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24226"/>
  <mc:AlternateContent xmlns:mc="http://schemas.openxmlformats.org/markup-compatibility/2006">
    <mc:Choice Requires="x15">
      <x15ac:absPath xmlns:x15ac="http://schemas.microsoft.com/office/spreadsheetml/2010/11/ac" url="C:\Users\lim6yong.KEYSIGHT\Downloads\"/>
    </mc:Choice>
  </mc:AlternateContent>
  <xr:revisionPtr revIDLastSave="0" documentId="13_ncr:1_{80B1E0C3-259D-4020-BE42-E09D6DBF6DBE}" xr6:coauthVersionLast="47" xr6:coauthVersionMax="47" xr10:uidLastSave="{00000000-0000-0000-0000-000000000000}"/>
  <bookViews>
    <workbookView xWindow="-120" yWindow="-16320" windowWidth="29040" windowHeight="15720" activeTab="2" xr2:uid="{00000000-000D-0000-FFFF-FFFF00000000}"/>
  </bookViews>
  <sheets>
    <sheet name="Data" sheetId="1" r:id="rId1"/>
    <sheet name="Pivot Table" sheetId="9" r:id="rId2"/>
    <sheet name="Dashboard" sheetId="4" r:id="rId3"/>
    <sheet name="Data Info" sheetId="6" state="hidden" r:id="rId4"/>
  </sheets>
  <definedNames>
    <definedName name="Slicer_Attendance__Performance">#N/A</definedName>
    <definedName name="Slicer_Career__Aspiration">#N/A</definedName>
    <definedName name="Slicer_Extracurricular__Activities">#N/A</definedName>
    <definedName name="Slicer_Gender">#N/A</definedName>
    <definedName name="Slicer_Part_Time__Job">#N/A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8" i="4" l="1"/>
  <c r="J28" i="4"/>
  <c r="K46" i="4"/>
  <c r="K44" i="4"/>
  <c r="K42" i="4"/>
  <c r="K40" i="4"/>
  <c r="K38" i="4"/>
  <c r="K36" i="4"/>
  <c r="K34" i="4"/>
  <c r="K32" i="4"/>
  <c r="K30" i="4"/>
  <c r="K28" i="4"/>
  <c r="J46" i="4"/>
  <c r="J44" i="4"/>
  <c r="J42" i="4"/>
  <c r="J40" i="4"/>
  <c r="J38" i="4"/>
  <c r="J36" i="4"/>
  <c r="J34" i="4"/>
  <c r="J32" i="4"/>
  <c r="J30" i="4"/>
  <c r="H46" i="4"/>
  <c r="H44" i="4"/>
  <c r="H42" i="4"/>
  <c r="H40" i="4"/>
  <c r="H38" i="4"/>
  <c r="H36" i="4"/>
  <c r="H34" i="4"/>
  <c r="H32" i="4"/>
  <c r="H30" i="4"/>
  <c r="D39" i="6"/>
  <c r="D37" i="6"/>
  <c r="D35" i="6"/>
  <c r="D34" i="6"/>
  <c r="D33" i="6"/>
  <c r="D31" i="6"/>
  <c r="D29" i="6"/>
  <c r="D28" i="6"/>
  <c r="D26" i="6"/>
  <c r="D25" i="6"/>
  <c r="D24" i="6"/>
  <c r="AD2" i="1"/>
  <c r="AD3" i="1"/>
  <c r="AD4" i="1"/>
  <c r="AD5" i="1"/>
  <c r="AD6" i="1"/>
  <c r="AD7" i="1"/>
  <c r="AD8" i="1"/>
  <c r="AD9" i="1"/>
  <c r="AD10" i="1"/>
  <c r="AD11" i="1"/>
  <c r="AD12" i="1"/>
  <c r="AD13" i="1"/>
  <c r="AD14" i="1"/>
  <c r="AD15" i="1"/>
  <c r="AD16" i="1"/>
  <c r="AD17" i="1"/>
  <c r="AD18" i="1"/>
  <c r="AD19" i="1"/>
  <c r="AD20" i="1"/>
  <c r="AD21" i="1"/>
  <c r="AD22" i="1"/>
  <c r="AD23" i="1"/>
  <c r="AD24" i="1"/>
  <c r="AD25" i="1"/>
  <c r="AD26" i="1"/>
  <c r="AD27" i="1"/>
  <c r="AD28" i="1"/>
  <c r="AD29" i="1"/>
  <c r="AD30" i="1"/>
  <c r="AD31" i="1"/>
  <c r="AD32" i="1"/>
  <c r="AD33" i="1"/>
  <c r="AD34" i="1"/>
  <c r="AD35" i="1"/>
  <c r="AD36" i="1"/>
  <c r="AD37" i="1"/>
  <c r="AD38" i="1"/>
  <c r="AD39" i="1"/>
  <c r="AD40" i="1"/>
  <c r="AD41" i="1"/>
  <c r="AD42" i="1"/>
  <c r="AD43" i="1"/>
  <c r="AD44" i="1"/>
  <c r="AD45" i="1"/>
  <c r="AD46" i="1"/>
  <c r="AD47" i="1"/>
  <c r="AD48" i="1"/>
  <c r="AD49" i="1"/>
  <c r="AD50" i="1"/>
  <c r="AD51" i="1"/>
  <c r="AD52" i="1"/>
  <c r="AD53" i="1"/>
  <c r="AD54" i="1"/>
  <c r="AD55" i="1"/>
  <c r="AD56" i="1"/>
  <c r="AD57" i="1"/>
  <c r="AD58" i="1"/>
  <c r="AD59" i="1"/>
  <c r="AD60" i="1"/>
  <c r="AD61" i="1"/>
  <c r="AD62" i="1"/>
  <c r="AD63" i="1"/>
  <c r="AD64" i="1"/>
  <c r="AD65" i="1"/>
  <c r="AD66" i="1"/>
  <c r="AD67" i="1"/>
  <c r="AD68" i="1"/>
  <c r="AD69" i="1"/>
  <c r="AD70" i="1"/>
  <c r="AD71" i="1"/>
  <c r="AD72" i="1"/>
  <c r="AD73" i="1"/>
  <c r="AD74" i="1"/>
  <c r="AD75" i="1"/>
  <c r="AD76" i="1"/>
  <c r="AD77" i="1"/>
  <c r="AD78" i="1"/>
  <c r="AD79" i="1"/>
  <c r="AD80" i="1"/>
  <c r="AD81" i="1"/>
  <c r="AD82" i="1"/>
  <c r="AD83" i="1"/>
  <c r="AD84" i="1"/>
  <c r="AD85" i="1"/>
  <c r="AD86" i="1"/>
  <c r="AD87" i="1"/>
  <c r="AD88" i="1"/>
  <c r="AD89" i="1"/>
  <c r="AD90" i="1"/>
  <c r="AD91" i="1"/>
  <c r="AD92" i="1"/>
  <c r="AD93" i="1"/>
  <c r="AD94" i="1"/>
  <c r="AD95" i="1"/>
  <c r="AD96" i="1"/>
  <c r="AD97" i="1"/>
  <c r="AD98" i="1"/>
  <c r="AD99" i="1"/>
  <c r="AD100" i="1"/>
  <c r="AD101" i="1"/>
  <c r="AD102" i="1"/>
  <c r="AD103" i="1"/>
  <c r="AD104" i="1"/>
  <c r="AD105" i="1"/>
  <c r="AD106" i="1"/>
  <c r="AD107" i="1"/>
  <c r="AD108" i="1"/>
  <c r="AD109" i="1"/>
  <c r="AD110" i="1"/>
  <c r="AD111" i="1"/>
  <c r="AD112" i="1"/>
  <c r="AD113" i="1"/>
  <c r="AD114" i="1"/>
  <c r="AD115" i="1"/>
  <c r="AD116" i="1"/>
  <c r="AD117" i="1"/>
  <c r="AD118" i="1"/>
  <c r="AD119" i="1"/>
  <c r="AD120" i="1"/>
  <c r="AD121" i="1"/>
  <c r="AD122" i="1"/>
  <c r="AD123" i="1"/>
  <c r="AD124" i="1"/>
  <c r="AD125" i="1"/>
  <c r="AD126" i="1"/>
  <c r="AD127" i="1"/>
  <c r="AD128" i="1"/>
  <c r="AD129" i="1"/>
  <c r="AD130" i="1"/>
  <c r="AD131" i="1"/>
  <c r="AD132" i="1"/>
  <c r="AD133" i="1"/>
  <c r="AD134" i="1"/>
  <c r="AD135" i="1"/>
  <c r="AD136" i="1"/>
  <c r="AD137" i="1"/>
  <c r="AD138" i="1"/>
  <c r="AD139" i="1"/>
  <c r="AD140" i="1"/>
  <c r="AD141" i="1"/>
  <c r="AD142" i="1"/>
  <c r="AD143" i="1"/>
  <c r="AD144" i="1"/>
  <c r="AD145" i="1"/>
  <c r="AD146" i="1"/>
  <c r="AD147" i="1"/>
  <c r="AD148" i="1"/>
  <c r="AD149" i="1"/>
  <c r="AD150" i="1"/>
  <c r="AD151" i="1"/>
  <c r="AD152" i="1"/>
  <c r="AD153" i="1"/>
  <c r="AD154" i="1"/>
  <c r="AD155" i="1"/>
  <c r="AD156" i="1"/>
  <c r="AD157" i="1"/>
  <c r="AD158" i="1"/>
  <c r="AD159" i="1"/>
  <c r="AD160" i="1"/>
  <c r="AD161" i="1"/>
  <c r="AD162" i="1"/>
  <c r="AD163" i="1"/>
  <c r="AD164" i="1"/>
  <c r="AD165" i="1"/>
  <c r="AD166" i="1"/>
  <c r="AD167" i="1"/>
  <c r="AD168" i="1"/>
  <c r="AD169" i="1"/>
  <c r="AD170" i="1"/>
  <c r="AD171" i="1"/>
  <c r="AD172" i="1"/>
  <c r="AD173" i="1"/>
  <c r="AD174" i="1"/>
  <c r="AD175" i="1"/>
  <c r="AD176" i="1"/>
  <c r="AD177" i="1"/>
  <c r="AD178" i="1"/>
  <c r="AD179" i="1"/>
  <c r="AD180" i="1"/>
  <c r="AD181" i="1"/>
  <c r="AD182" i="1"/>
  <c r="AD183" i="1"/>
  <c r="AD184" i="1"/>
  <c r="AD185" i="1"/>
  <c r="AD186" i="1"/>
  <c r="AD187" i="1"/>
  <c r="AD188" i="1"/>
  <c r="AD189" i="1"/>
  <c r="AD190" i="1"/>
  <c r="AD191" i="1"/>
  <c r="AD192" i="1"/>
  <c r="AD193" i="1"/>
  <c r="AD194" i="1"/>
  <c r="AD195" i="1"/>
  <c r="AD196" i="1"/>
  <c r="AD197" i="1"/>
  <c r="AD198" i="1"/>
  <c r="AD199" i="1"/>
  <c r="AD200" i="1"/>
  <c r="AD201" i="1"/>
  <c r="AD202" i="1"/>
  <c r="AD203" i="1"/>
  <c r="AD204" i="1"/>
  <c r="AD205" i="1"/>
  <c r="AD206" i="1"/>
  <c r="AD207" i="1"/>
  <c r="AD208" i="1"/>
  <c r="AD209" i="1"/>
  <c r="AD210" i="1"/>
  <c r="AD211" i="1"/>
  <c r="AD212" i="1"/>
  <c r="AD213" i="1"/>
  <c r="AD214" i="1"/>
  <c r="AD215" i="1"/>
  <c r="AD216" i="1"/>
  <c r="AD217" i="1"/>
  <c r="AD218" i="1"/>
  <c r="AD219" i="1"/>
  <c r="AD220" i="1"/>
  <c r="AD221" i="1"/>
  <c r="AD222" i="1"/>
  <c r="AD223" i="1"/>
  <c r="AD224" i="1"/>
  <c r="AD225" i="1"/>
  <c r="AD226" i="1"/>
  <c r="AD227" i="1"/>
  <c r="AD228" i="1"/>
  <c r="AD229" i="1"/>
  <c r="AD230" i="1"/>
  <c r="AD231" i="1"/>
  <c r="AD232" i="1"/>
  <c r="AD233" i="1"/>
  <c r="AD234" i="1"/>
  <c r="AD235" i="1"/>
  <c r="AD236" i="1"/>
  <c r="AD237" i="1"/>
  <c r="AD238" i="1"/>
  <c r="AD239" i="1"/>
  <c r="AD240" i="1"/>
  <c r="AD241" i="1"/>
  <c r="AD242" i="1"/>
  <c r="AD243" i="1"/>
  <c r="AD244" i="1"/>
  <c r="AD245" i="1"/>
  <c r="AD246" i="1"/>
  <c r="AD247" i="1"/>
  <c r="AD248" i="1"/>
  <c r="AD249" i="1"/>
  <c r="AD250" i="1"/>
  <c r="AD251" i="1"/>
  <c r="AD252" i="1"/>
  <c r="AD253" i="1"/>
  <c r="AD254" i="1"/>
  <c r="AD255" i="1"/>
  <c r="AD256" i="1"/>
  <c r="AD257" i="1"/>
  <c r="AD258" i="1"/>
  <c r="AD259" i="1"/>
  <c r="AD260" i="1"/>
  <c r="AD261" i="1"/>
  <c r="AD262" i="1"/>
  <c r="AD263" i="1"/>
  <c r="AD264" i="1"/>
  <c r="AD265" i="1"/>
  <c r="AD266" i="1"/>
  <c r="AD267" i="1"/>
  <c r="AD268" i="1"/>
  <c r="AD269" i="1"/>
  <c r="AD270" i="1"/>
  <c r="AD271" i="1"/>
  <c r="AD272" i="1"/>
  <c r="AD273" i="1"/>
  <c r="AD274" i="1"/>
  <c r="AD275" i="1"/>
  <c r="AD276" i="1"/>
  <c r="AD277" i="1"/>
  <c r="AD278" i="1"/>
  <c r="AD279" i="1"/>
  <c r="AD280" i="1"/>
  <c r="AD281" i="1"/>
  <c r="AD282" i="1"/>
  <c r="AD283" i="1"/>
  <c r="AD284" i="1"/>
  <c r="AD285" i="1"/>
  <c r="AD286" i="1"/>
  <c r="AD287" i="1"/>
  <c r="AD288" i="1"/>
  <c r="AD289" i="1"/>
  <c r="AD290" i="1"/>
  <c r="AD291" i="1"/>
  <c r="AD292" i="1"/>
  <c r="AD293" i="1"/>
  <c r="AD294" i="1"/>
  <c r="AD295" i="1"/>
  <c r="AD296" i="1"/>
  <c r="AD297" i="1"/>
  <c r="AD298" i="1"/>
  <c r="AD299" i="1"/>
  <c r="AD300" i="1"/>
  <c r="AD301" i="1"/>
  <c r="AD302" i="1"/>
  <c r="AD303" i="1"/>
  <c r="AD304" i="1"/>
  <c r="AD305" i="1"/>
  <c r="AD306" i="1"/>
  <c r="AD307" i="1"/>
  <c r="AD308" i="1"/>
  <c r="AD309" i="1"/>
  <c r="AD310" i="1"/>
  <c r="AD311" i="1"/>
  <c r="AD312" i="1"/>
  <c r="AD313" i="1"/>
  <c r="AD314" i="1"/>
  <c r="AD315" i="1"/>
  <c r="AD316" i="1"/>
  <c r="AD317" i="1"/>
  <c r="AD318" i="1"/>
  <c r="AD319" i="1"/>
  <c r="AD320" i="1"/>
  <c r="AD321" i="1"/>
  <c r="AD322" i="1"/>
  <c r="AD323" i="1"/>
  <c r="AD324" i="1"/>
  <c r="AD325" i="1"/>
  <c r="AD326" i="1"/>
  <c r="AD327" i="1"/>
  <c r="AD328" i="1"/>
  <c r="AD329" i="1"/>
  <c r="AD330" i="1"/>
  <c r="AD331" i="1"/>
  <c r="AD332" i="1"/>
  <c r="AD333" i="1"/>
  <c r="AD334" i="1"/>
  <c r="AD335" i="1"/>
  <c r="AD336" i="1"/>
  <c r="AD337" i="1"/>
  <c r="AD338" i="1"/>
  <c r="AD339" i="1"/>
  <c r="AD340" i="1"/>
  <c r="AD341" i="1"/>
  <c r="AD342" i="1"/>
  <c r="AD343" i="1"/>
  <c r="AD344" i="1"/>
  <c r="AD345" i="1"/>
  <c r="AD346" i="1"/>
  <c r="AD347" i="1"/>
  <c r="AD348" i="1"/>
  <c r="AD349" i="1"/>
  <c r="AD350" i="1"/>
  <c r="AD351" i="1"/>
  <c r="AD352" i="1"/>
  <c r="AD353" i="1"/>
  <c r="AD354" i="1"/>
  <c r="AD355" i="1"/>
  <c r="AD356" i="1"/>
  <c r="AD357" i="1"/>
  <c r="AD358" i="1"/>
  <c r="AD359" i="1"/>
  <c r="AD360" i="1"/>
  <c r="AD361" i="1"/>
  <c r="AD362" i="1"/>
  <c r="AD363" i="1"/>
  <c r="AD364" i="1"/>
  <c r="AD365" i="1"/>
  <c r="AD366" i="1"/>
  <c r="AD367" i="1"/>
  <c r="AD368" i="1"/>
  <c r="AD369" i="1"/>
  <c r="AD370" i="1"/>
  <c r="AD371" i="1"/>
  <c r="AD372" i="1"/>
  <c r="AD373" i="1"/>
  <c r="AD374" i="1"/>
  <c r="AD375" i="1"/>
  <c r="AD376" i="1"/>
  <c r="AD377" i="1"/>
  <c r="AD378" i="1"/>
  <c r="AD379" i="1"/>
  <c r="AD380" i="1"/>
  <c r="AD381" i="1"/>
  <c r="AD382" i="1"/>
  <c r="AD383" i="1"/>
  <c r="AD384" i="1"/>
  <c r="AD385" i="1"/>
  <c r="AD386" i="1"/>
  <c r="AD387" i="1"/>
  <c r="AD388" i="1"/>
  <c r="AD389" i="1"/>
  <c r="AD390" i="1"/>
  <c r="AD391" i="1"/>
  <c r="AD392" i="1"/>
  <c r="AD393" i="1"/>
  <c r="AD394" i="1"/>
  <c r="AD395" i="1"/>
  <c r="AD396" i="1"/>
  <c r="AD397" i="1"/>
  <c r="AD398" i="1"/>
  <c r="AD399" i="1"/>
  <c r="AD400" i="1"/>
  <c r="AD401" i="1"/>
  <c r="AD402" i="1"/>
  <c r="AD403" i="1"/>
  <c r="AD404" i="1"/>
  <c r="AD405" i="1"/>
  <c r="AD406" i="1"/>
  <c r="AD407" i="1"/>
  <c r="AD408" i="1"/>
  <c r="AD409" i="1"/>
  <c r="AD410" i="1"/>
  <c r="AD411" i="1"/>
  <c r="AD412" i="1"/>
  <c r="AD413" i="1"/>
  <c r="AD414" i="1"/>
  <c r="AD415" i="1"/>
  <c r="AD416" i="1"/>
  <c r="AD417" i="1"/>
  <c r="AD418" i="1"/>
  <c r="AD419" i="1"/>
  <c r="AD420" i="1"/>
  <c r="AD421" i="1"/>
  <c r="AD422" i="1"/>
  <c r="AD423" i="1"/>
  <c r="AD424" i="1"/>
  <c r="AD425" i="1"/>
  <c r="AD426" i="1"/>
  <c r="AD427" i="1"/>
  <c r="AD428" i="1"/>
  <c r="AD429" i="1"/>
  <c r="AD430" i="1"/>
  <c r="AD431" i="1"/>
  <c r="AD432" i="1"/>
  <c r="AD433" i="1"/>
  <c r="AD434" i="1"/>
  <c r="AD435" i="1"/>
  <c r="AD436" i="1"/>
  <c r="AD437" i="1"/>
  <c r="AD438" i="1"/>
  <c r="AD439" i="1"/>
  <c r="AD440" i="1"/>
  <c r="AD441" i="1"/>
  <c r="AD442" i="1"/>
  <c r="AD443" i="1"/>
  <c r="AD444" i="1"/>
  <c r="AD445" i="1"/>
  <c r="AD446" i="1"/>
  <c r="AD447" i="1"/>
  <c r="AD448" i="1"/>
  <c r="AD449" i="1"/>
  <c r="AD450" i="1"/>
  <c r="AD451" i="1"/>
  <c r="AD452" i="1"/>
  <c r="AD453" i="1"/>
  <c r="AD454" i="1"/>
  <c r="AD455" i="1"/>
  <c r="AD456" i="1"/>
  <c r="AD457" i="1"/>
  <c r="AD458" i="1"/>
  <c r="AD459" i="1"/>
  <c r="AD460" i="1"/>
  <c r="AD461" i="1"/>
  <c r="AD462" i="1"/>
  <c r="AD463" i="1"/>
  <c r="AD464" i="1"/>
  <c r="AD465" i="1"/>
  <c r="AD466" i="1"/>
  <c r="AD467" i="1"/>
  <c r="AD468" i="1"/>
  <c r="AD469" i="1"/>
  <c r="AD470" i="1"/>
  <c r="AD471" i="1"/>
  <c r="AD472" i="1"/>
  <c r="AD473" i="1"/>
  <c r="AD474" i="1"/>
  <c r="AD475" i="1"/>
  <c r="AD476" i="1"/>
  <c r="AD477" i="1"/>
  <c r="AD478" i="1"/>
  <c r="AD479" i="1"/>
  <c r="AD480" i="1"/>
  <c r="AD481" i="1"/>
  <c r="AD482" i="1"/>
  <c r="AD483" i="1"/>
  <c r="AD484" i="1"/>
  <c r="AD485" i="1"/>
  <c r="AD486" i="1"/>
  <c r="AD487" i="1"/>
  <c r="AD488" i="1"/>
  <c r="AD489" i="1"/>
  <c r="AD490" i="1"/>
  <c r="AD491" i="1"/>
  <c r="AD492" i="1"/>
  <c r="AD493" i="1"/>
  <c r="AD494" i="1"/>
  <c r="AD495" i="1"/>
  <c r="AD496" i="1"/>
  <c r="AD497" i="1"/>
  <c r="AD498" i="1"/>
  <c r="AD499" i="1"/>
  <c r="AD500" i="1"/>
  <c r="AD501" i="1"/>
  <c r="AD502" i="1"/>
  <c r="AD503" i="1"/>
  <c r="AD504" i="1"/>
  <c r="AD505" i="1"/>
  <c r="AD506" i="1"/>
  <c r="AD507" i="1"/>
  <c r="AD508" i="1"/>
  <c r="AD509" i="1"/>
  <c r="AD510" i="1"/>
  <c r="AD511" i="1"/>
  <c r="AD512" i="1"/>
  <c r="AD513" i="1"/>
  <c r="AD514" i="1"/>
  <c r="AD515" i="1"/>
  <c r="AD516" i="1"/>
  <c r="AD517" i="1"/>
  <c r="AD518" i="1"/>
  <c r="AD519" i="1"/>
  <c r="AD520" i="1"/>
  <c r="AD521" i="1"/>
  <c r="AD522" i="1"/>
  <c r="AD523" i="1"/>
  <c r="AD524" i="1"/>
  <c r="AD525" i="1"/>
  <c r="AD526" i="1"/>
  <c r="AD527" i="1"/>
  <c r="AD528" i="1"/>
  <c r="AD529" i="1"/>
  <c r="AD530" i="1"/>
  <c r="AD531" i="1"/>
  <c r="AD532" i="1"/>
  <c r="AD533" i="1"/>
  <c r="AD534" i="1"/>
  <c r="AD535" i="1"/>
  <c r="AD536" i="1"/>
  <c r="AD537" i="1"/>
  <c r="AD538" i="1"/>
  <c r="AD539" i="1"/>
  <c r="AD540" i="1"/>
  <c r="AD541" i="1"/>
  <c r="AD542" i="1"/>
  <c r="AD543" i="1"/>
  <c r="AD544" i="1"/>
  <c r="AD545" i="1"/>
  <c r="AD546" i="1"/>
  <c r="AD547" i="1"/>
  <c r="AD548" i="1"/>
  <c r="AD549" i="1"/>
  <c r="AD550" i="1"/>
  <c r="AD551" i="1"/>
  <c r="AD552" i="1"/>
  <c r="AD553" i="1"/>
  <c r="AD554" i="1"/>
  <c r="AD555" i="1"/>
  <c r="AD556" i="1"/>
  <c r="AD557" i="1"/>
  <c r="AD558" i="1"/>
  <c r="AD559" i="1"/>
  <c r="AD560" i="1"/>
  <c r="AD561" i="1"/>
  <c r="AD562" i="1"/>
  <c r="AD563" i="1"/>
  <c r="AD564" i="1"/>
  <c r="AD565" i="1"/>
  <c r="AD566" i="1"/>
  <c r="AD567" i="1"/>
  <c r="AD568" i="1"/>
  <c r="AD569" i="1"/>
  <c r="AD570" i="1"/>
  <c r="AD571" i="1"/>
  <c r="AD572" i="1"/>
  <c r="AD573" i="1"/>
  <c r="AD574" i="1"/>
  <c r="AD575" i="1"/>
  <c r="AD576" i="1"/>
  <c r="AD577" i="1"/>
  <c r="AD578" i="1"/>
  <c r="AD579" i="1"/>
  <c r="AD580" i="1"/>
  <c r="AD581" i="1"/>
  <c r="AD582" i="1"/>
  <c r="AD583" i="1"/>
  <c r="AD584" i="1"/>
  <c r="AD585" i="1"/>
  <c r="AD586" i="1"/>
  <c r="AD587" i="1"/>
  <c r="AD588" i="1"/>
  <c r="AD589" i="1"/>
  <c r="AD590" i="1"/>
  <c r="AD591" i="1"/>
  <c r="AD592" i="1"/>
  <c r="AD593" i="1"/>
  <c r="AD594" i="1"/>
  <c r="AD595" i="1"/>
  <c r="AD596" i="1"/>
  <c r="AD597" i="1"/>
  <c r="AD598" i="1"/>
  <c r="AD599" i="1"/>
  <c r="AD600" i="1"/>
  <c r="AD601" i="1"/>
  <c r="AD602" i="1"/>
  <c r="AD603" i="1"/>
  <c r="AD604" i="1"/>
  <c r="AD605" i="1"/>
  <c r="AD606" i="1"/>
  <c r="AD607" i="1"/>
  <c r="AD608" i="1"/>
  <c r="AD609" i="1"/>
  <c r="AD610" i="1"/>
  <c r="AD611" i="1"/>
  <c r="AD612" i="1"/>
  <c r="AD613" i="1"/>
  <c r="AD614" i="1"/>
  <c r="AD615" i="1"/>
  <c r="AD616" i="1"/>
  <c r="AD617" i="1"/>
  <c r="AD618" i="1"/>
  <c r="AD619" i="1"/>
  <c r="AD620" i="1"/>
  <c r="AD621" i="1"/>
  <c r="AD622" i="1"/>
  <c r="AD623" i="1"/>
  <c r="AD624" i="1"/>
  <c r="AD625" i="1"/>
  <c r="AD626" i="1"/>
  <c r="AD627" i="1"/>
  <c r="AD628" i="1"/>
  <c r="AD629" i="1"/>
  <c r="AD630" i="1"/>
  <c r="AD631" i="1"/>
  <c r="AD632" i="1"/>
  <c r="AD633" i="1"/>
  <c r="AD634" i="1"/>
  <c r="AD635" i="1"/>
  <c r="AD636" i="1"/>
  <c r="AD637" i="1"/>
  <c r="AD638" i="1"/>
  <c r="AD639" i="1"/>
  <c r="AD640" i="1"/>
  <c r="AD641" i="1"/>
  <c r="AD642" i="1"/>
  <c r="AD643" i="1"/>
  <c r="AD644" i="1"/>
  <c r="AD645" i="1"/>
  <c r="AD646" i="1"/>
  <c r="AD647" i="1"/>
  <c r="AD648" i="1"/>
  <c r="AD649" i="1"/>
  <c r="AD650" i="1"/>
  <c r="AD651" i="1"/>
  <c r="AD652" i="1"/>
  <c r="AD653" i="1"/>
  <c r="AD654" i="1"/>
  <c r="AD655" i="1"/>
  <c r="AD656" i="1"/>
  <c r="AD657" i="1"/>
  <c r="AD658" i="1"/>
  <c r="AD659" i="1"/>
  <c r="AD660" i="1"/>
  <c r="AD661" i="1"/>
  <c r="AD662" i="1"/>
  <c r="AD663" i="1"/>
  <c r="AD664" i="1"/>
  <c r="AD665" i="1"/>
  <c r="AD666" i="1"/>
  <c r="AD667" i="1"/>
  <c r="AD668" i="1"/>
  <c r="AD669" i="1"/>
  <c r="AD670" i="1"/>
  <c r="AD671" i="1"/>
  <c r="AD672" i="1"/>
  <c r="AD673" i="1"/>
  <c r="AD674" i="1"/>
  <c r="AD675" i="1"/>
  <c r="AD676" i="1"/>
  <c r="AD677" i="1"/>
  <c r="AD678" i="1"/>
  <c r="AD679" i="1"/>
  <c r="AD680" i="1"/>
  <c r="AD681" i="1"/>
  <c r="AD682" i="1"/>
  <c r="AD683" i="1"/>
  <c r="AD684" i="1"/>
  <c r="AD685" i="1"/>
  <c r="AD686" i="1"/>
  <c r="AD687" i="1"/>
  <c r="AD688" i="1"/>
  <c r="AD689" i="1"/>
  <c r="AD690" i="1"/>
  <c r="AD691" i="1"/>
  <c r="AD692" i="1"/>
  <c r="AD693" i="1"/>
  <c r="AD694" i="1"/>
  <c r="AD695" i="1"/>
  <c r="AD696" i="1"/>
  <c r="AD697" i="1"/>
  <c r="AD698" i="1"/>
  <c r="AD699" i="1"/>
  <c r="AD700" i="1"/>
  <c r="AD701" i="1"/>
  <c r="AD702" i="1"/>
  <c r="AD703" i="1"/>
  <c r="AD704" i="1"/>
  <c r="AD705" i="1"/>
  <c r="AD706" i="1"/>
  <c r="AD707" i="1"/>
  <c r="AD708" i="1"/>
  <c r="AD709" i="1"/>
  <c r="AD710" i="1"/>
  <c r="AD711" i="1"/>
  <c r="AD712" i="1"/>
  <c r="AD713" i="1"/>
  <c r="AD714" i="1"/>
  <c r="AD715" i="1"/>
  <c r="AD716" i="1"/>
  <c r="AD717" i="1"/>
  <c r="AD718" i="1"/>
  <c r="AD719" i="1"/>
  <c r="AD720" i="1"/>
  <c r="AD721" i="1"/>
  <c r="AD722" i="1"/>
  <c r="AD723" i="1"/>
  <c r="AD724" i="1"/>
  <c r="AD725" i="1"/>
  <c r="AD726" i="1"/>
  <c r="AD727" i="1"/>
  <c r="AD728" i="1"/>
  <c r="AD729" i="1"/>
  <c r="AD730" i="1"/>
  <c r="AD731" i="1"/>
  <c r="AD732" i="1"/>
  <c r="AD733" i="1"/>
  <c r="AD734" i="1"/>
  <c r="AD735" i="1"/>
  <c r="AD736" i="1"/>
  <c r="AD737" i="1"/>
  <c r="AD738" i="1"/>
  <c r="AD739" i="1"/>
  <c r="AD740" i="1"/>
  <c r="AD741" i="1"/>
  <c r="AD742" i="1"/>
  <c r="AD743" i="1"/>
  <c r="AD744" i="1"/>
  <c r="AD745" i="1"/>
  <c r="AD746" i="1"/>
  <c r="AD747" i="1"/>
  <c r="AD748" i="1"/>
  <c r="AD749" i="1"/>
  <c r="AD750" i="1"/>
  <c r="AD751" i="1"/>
  <c r="AD752" i="1"/>
  <c r="AD753" i="1"/>
  <c r="AD754" i="1"/>
  <c r="AD755" i="1"/>
  <c r="AD756" i="1"/>
  <c r="AD757" i="1"/>
  <c r="AD758" i="1"/>
  <c r="AD759" i="1"/>
  <c r="AD760" i="1"/>
  <c r="AD761" i="1"/>
  <c r="AD762" i="1"/>
  <c r="AD763" i="1"/>
  <c r="AD764" i="1"/>
  <c r="AD765" i="1"/>
  <c r="AD766" i="1"/>
  <c r="AD767" i="1"/>
  <c r="AD768" i="1"/>
  <c r="AD769" i="1"/>
  <c r="AD770" i="1"/>
  <c r="AD771" i="1"/>
  <c r="AD772" i="1"/>
  <c r="AD773" i="1"/>
  <c r="AD774" i="1"/>
  <c r="AD775" i="1"/>
  <c r="AD776" i="1"/>
  <c r="AD777" i="1"/>
  <c r="AD778" i="1"/>
  <c r="AD779" i="1"/>
  <c r="AD780" i="1"/>
  <c r="AD781" i="1"/>
  <c r="AD782" i="1"/>
  <c r="AD783" i="1"/>
  <c r="AD784" i="1"/>
  <c r="AD785" i="1"/>
  <c r="AD786" i="1"/>
  <c r="AD787" i="1"/>
  <c r="AD788" i="1"/>
  <c r="AD789" i="1"/>
  <c r="AD790" i="1"/>
  <c r="AD791" i="1"/>
  <c r="AD792" i="1"/>
  <c r="AD793" i="1"/>
  <c r="AD794" i="1"/>
  <c r="AD795" i="1"/>
  <c r="AD796" i="1"/>
  <c r="AD797" i="1"/>
  <c r="AD798" i="1"/>
  <c r="AD799" i="1"/>
  <c r="AD800" i="1"/>
  <c r="AD801" i="1"/>
  <c r="AD802" i="1"/>
  <c r="AD803" i="1"/>
  <c r="AD804" i="1"/>
  <c r="AD805" i="1"/>
  <c r="AD806" i="1"/>
  <c r="AD807" i="1"/>
  <c r="AD808" i="1"/>
  <c r="AD809" i="1"/>
  <c r="AD810" i="1"/>
  <c r="AD811" i="1"/>
  <c r="AD812" i="1"/>
  <c r="AD813" i="1"/>
  <c r="AD814" i="1"/>
  <c r="AD815" i="1"/>
  <c r="AD816" i="1"/>
  <c r="AD817" i="1"/>
  <c r="AD818" i="1"/>
  <c r="AD819" i="1"/>
  <c r="AD820" i="1"/>
  <c r="AD821" i="1"/>
  <c r="AD822" i="1"/>
  <c r="AD823" i="1"/>
  <c r="AD824" i="1"/>
  <c r="AD825" i="1"/>
  <c r="AD826" i="1"/>
  <c r="AD827" i="1"/>
  <c r="AD828" i="1"/>
  <c r="AD829" i="1"/>
  <c r="AD830" i="1"/>
  <c r="AD831" i="1"/>
  <c r="AD832" i="1"/>
  <c r="AD833" i="1"/>
  <c r="AD834" i="1"/>
  <c r="AD835" i="1"/>
  <c r="AD836" i="1"/>
  <c r="AD837" i="1"/>
  <c r="AD838" i="1"/>
  <c r="AD839" i="1"/>
  <c r="AD840" i="1"/>
  <c r="AD841" i="1"/>
  <c r="AD842" i="1"/>
  <c r="AD843" i="1"/>
  <c r="AD844" i="1"/>
  <c r="AD845" i="1"/>
  <c r="AD846" i="1"/>
  <c r="AD847" i="1"/>
  <c r="AD848" i="1"/>
  <c r="AD849" i="1"/>
  <c r="AD850" i="1"/>
  <c r="AD851" i="1"/>
  <c r="AD852" i="1"/>
  <c r="AD853" i="1"/>
  <c r="AD854" i="1"/>
  <c r="AD855" i="1"/>
  <c r="AD856" i="1"/>
  <c r="AD857" i="1"/>
  <c r="AD858" i="1"/>
  <c r="AD859" i="1"/>
  <c r="AD860" i="1"/>
  <c r="AD861" i="1"/>
  <c r="AD862" i="1"/>
  <c r="AD863" i="1"/>
  <c r="AD864" i="1"/>
  <c r="AD865" i="1"/>
  <c r="AD866" i="1"/>
  <c r="AD867" i="1"/>
  <c r="AD868" i="1"/>
  <c r="AD869" i="1"/>
  <c r="AD870" i="1"/>
  <c r="AD871" i="1"/>
  <c r="AD872" i="1"/>
  <c r="AD873" i="1"/>
  <c r="AD874" i="1"/>
  <c r="AD875" i="1"/>
  <c r="AD876" i="1"/>
  <c r="AD877" i="1"/>
  <c r="AD878" i="1"/>
  <c r="AD879" i="1"/>
  <c r="AD880" i="1"/>
  <c r="AD881" i="1"/>
  <c r="AD882" i="1"/>
  <c r="AD883" i="1"/>
  <c r="AD884" i="1"/>
  <c r="AD885" i="1"/>
  <c r="AD886" i="1"/>
  <c r="AD887" i="1"/>
  <c r="AD888" i="1"/>
  <c r="AD889" i="1"/>
  <c r="AD890" i="1"/>
  <c r="AD891" i="1"/>
  <c r="AD892" i="1"/>
  <c r="AD893" i="1"/>
  <c r="AD894" i="1"/>
  <c r="AD895" i="1"/>
  <c r="AD896" i="1"/>
  <c r="AD897" i="1"/>
  <c r="AD898" i="1"/>
  <c r="AD899" i="1"/>
  <c r="AD900" i="1"/>
  <c r="AD901" i="1"/>
  <c r="AD902" i="1"/>
  <c r="AD903" i="1"/>
  <c r="AD904" i="1"/>
  <c r="AD905" i="1"/>
  <c r="AD906" i="1"/>
  <c r="AD907" i="1"/>
  <c r="AD908" i="1"/>
  <c r="AD909" i="1"/>
  <c r="AD910" i="1"/>
  <c r="AD911" i="1"/>
  <c r="AD912" i="1"/>
  <c r="AD913" i="1"/>
  <c r="AD914" i="1"/>
  <c r="AD915" i="1"/>
  <c r="AD916" i="1"/>
  <c r="AD917" i="1"/>
  <c r="AD918" i="1"/>
  <c r="AD919" i="1"/>
  <c r="AD920" i="1"/>
  <c r="AD921" i="1"/>
  <c r="AD922" i="1"/>
  <c r="AD923" i="1"/>
  <c r="AD924" i="1"/>
  <c r="AD925" i="1"/>
  <c r="AD926" i="1"/>
  <c r="AD927" i="1"/>
  <c r="AD928" i="1"/>
  <c r="AD929" i="1"/>
  <c r="AD930" i="1"/>
  <c r="AD931" i="1"/>
  <c r="AD932" i="1"/>
  <c r="AD933" i="1"/>
  <c r="AD934" i="1"/>
  <c r="AD935" i="1"/>
  <c r="AD936" i="1"/>
  <c r="AD937" i="1"/>
  <c r="AD938" i="1"/>
  <c r="AD939" i="1"/>
  <c r="AD940" i="1"/>
  <c r="AD941" i="1"/>
  <c r="AD942" i="1"/>
  <c r="AD943" i="1"/>
  <c r="AD944" i="1"/>
  <c r="AD945" i="1"/>
  <c r="AD946" i="1"/>
  <c r="AD947" i="1"/>
  <c r="AD948" i="1"/>
  <c r="AD949" i="1"/>
  <c r="AD950" i="1"/>
  <c r="AD951" i="1"/>
  <c r="AD952" i="1"/>
  <c r="AD953" i="1"/>
  <c r="AD954" i="1"/>
  <c r="AD955" i="1"/>
  <c r="AD956" i="1"/>
  <c r="AD957" i="1"/>
  <c r="AD958" i="1"/>
  <c r="AD959" i="1"/>
  <c r="AD960" i="1"/>
  <c r="AD961" i="1"/>
  <c r="AD962" i="1"/>
  <c r="AD963" i="1"/>
  <c r="AD964" i="1"/>
  <c r="AD965" i="1"/>
  <c r="AD966" i="1"/>
  <c r="AD967" i="1"/>
  <c r="AD968" i="1"/>
  <c r="AD969" i="1"/>
  <c r="AD970" i="1"/>
  <c r="AD971" i="1"/>
  <c r="AD972" i="1"/>
  <c r="AD973" i="1"/>
  <c r="AD974" i="1"/>
  <c r="AD975" i="1"/>
  <c r="AD976" i="1"/>
  <c r="AD977" i="1"/>
  <c r="AD978" i="1"/>
  <c r="AD979" i="1"/>
  <c r="AD980" i="1"/>
  <c r="AD981" i="1"/>
  <c r="AD982" i="1"/>
  <c r="AD983" i="1"/>
  <c r="AD984" i="1"/>
  <c r="AD985" i="1"/>
  <c r="AD986" i="1"/>
  <c r="AD987" i="1"/>
  <c r="AD988" i="1"/>
  <c r="AD989" i="1"/>
  <c r="AD990" i="1"/>
  <c r="AD991" i="1"/>
  <c r="AD992" i="1"/>
  <c r="AD993" i="1"/>
  <c r="AD994" i="1"/>
  <c r="AD995" i="1"/>
  <c r="AD996" i="1"/>
  <c r="AD997" i="1"/>
  <c r="AD998" i="1"/>
  <c r="AD999" i="1"/>
  <c r="AD1000" i="1"/>
  <c r="AD1001" i="1"/>
  <c r="AD1002" i="1"/>
  <c r="AD1003" i="1"/>
  <c r="AD1004" i="1"/>
  <c r="AD1005" i="1"/>
  <c r="AD1006" i="1"/>
  <c r="AD1007" i="1"/>
  <c r="AD1008" i="1"/>
  <c r="AD1009" i="1"/>
  <c r="AD1010" i="1"/>
  <c r="AD1011" i="1"/>
  <c r="AD1012" i="1"/>
  <c r="AD1013" i="1"/>
  <c r="AD1014" i="1"/>
  <c r="AD1015" i="1"/>
  <c r="AD1016" i="1"/>
  <c r="AD1017" i="1"/>
  <c r="AD1018" i="1"/>
  <c r="AD1019" i="1"/>
  <c r="AD1020" i="1"/>
  <c r="AD1021" i="1"/>
  <c r="AD1022" i="1"/>
  <c r="AD1023" i="1"/>
  <c r="AD1024" i="1"/>
  <c r="AD1025" i="1"/>
  <c r="AD1026" i="1"/>
  <c r="AD1027" i="1"/>
  <c r="AD1028" i="1"/>
  <c r="AD1029" i="1"/>
  <c r="AD1030" i="1"/>
  <c r="AD1031" i="1"/>
  <c r="AD1032" i="1"/>
  <c r="AD1033" i="1"/>
  <c r="AD1034" i="1"/>
  <c r="AD1035" i="1"/>
  <c r="AD1036" i="1"/>
  <c r="AD1037" i="1"/>
  <c r="AD1038" i="1"/>
  <c r="AD1039" i="1"/>
  <c r="AD1040" i="1"/>
  <c r="AD1041" i="1"/>
  <c r="AD1042" i="1"/>
  <c r="AD1043" i="1"/>
  <c r="AD1044" i="1"/>
  <c r="AD1045" i="1"/>
  <c r="AD1046" i="1"/>
  <c r="AD1047" i="1"/>
  <c r="AD1048" i="1"/>
  <c r="AD1049" i="1"/>
  <c r="AD1050" i="1"/>
  <c r="AD1051" i="1"/>
  <c r="AD1052" i="1"/>
  <c r="AD1053" i="1"/>
  <c r="AD1054" i="1"/>
  <c r="AD1055" i="1"/>
  <c r="AD1056" i="1"/>
  <c r="AD1057" i="1"/>
  <c r="AD1058" i="1"/>
  <c r="AD1059" i="1"/>
  <c r="AD1060" i="1"/>
  <c r="AD1061" i="1"/>
  <c r="AD1062" i="1"/>
  <c r="AD1063" i="1"/>
  <c r="AD1064" i="1"/>
  <c r="AD1065" i="1"/>
  <c r="AD1066" i="1"/>
  <c r="AD1067" i="1"/>
  <c r="AD1068" i="1"/>
  <c r="AD1069" i="1"/>
  <c r="AD1070" i="1"/>
  <c r="AD1071" i="1"/>
  <c r="AD1072" i="1"/>
  <c r="AD1073" i="1"/>
  <c r="AD1074" i="1"/>
  <c r="AD1075" i="1"/>
  <c r="AD1076" i="1"/>
  <c r="AD1077" i="1"/>
  <c r="AD1078" i="1"/>
  <c r="AD1079" i="1"/>
  <c r="AD1080" i="1"/>
  <c r="AD1081" i="1"/>
  <c r="AD1082" i="1"/>
  <c r="AD1083" i="1"/>
  <c r="AD1084" i="1"/>
  <c r="AD1085" i="1"/>
  <c r="AD1086" i="1"/>
  <c r="AD1087" i="1"/>
  <c r="AD1088" i="1"/>
  <c r="AD1089" i="1"/>
  <c r="AD1090" i="1"/>
  <c r="AD1091" i="1"/>
  <c r="AD1092" i="1"/>
  <c r="AD1093" i="1"/>
  <c r="AD1094" i="1"/>
  <c r="AD1095" i="1"/>
  <c r="AD1096" i="1"/>
  <c r="AD1097" i="1"/>
  <c r="AD1098" i="1"/>
  <c r="AD1099" i="1"/>
  <c r="AD1100" i="1"/>
  <c r="AD1101" i="1"/>
  <c r="AD1102" i="1"/>
  <c r="AD1103" i="1"/>
  <c r="AD1104" i="1"/>
  <c r="AD1105" i="1"/>
  <c r="AD1106" i="1"/>
  <c r="AD1107" i="1"/>
  <c r="AD1108" i="1"/>
  <c r="AD1109" i="1"/>
  <c r="AD1110" i="1"/>
  <c r="AD1111" i="1"/>
  <c r="AD1112" i="1"/>
  <c r="AD1113" i="1"/>
  <c r="AD1114" i="1"/>
  <c r="AD1115" i="1"/>
  <c r="AD1116" i="1"/>
  <c r="AD1117" i="1"/>
  <c r="AD1118" i="1"/>
  <c r="AD1119" i="1"/>
  <c r="AD1120" i="1"/>
  <c r="AD1121" i="1"/>
  <c r="AD1122" i="1"/>
  <c r="AD1123" i="1"/>
  <c r="AD1124" i="1"/>
  <c r="AD1125" i="1"/>
  <c r="AD1126" i="1"/>
  <c r="AD1127" i="1"/>
  <c r="AD1128" i="1"/>
  <c r="AD1129" i="1"/>
  <c r="AD1130" i="1"/>
  <c r="AD1131" i="1"/>
  <c r="AD1132" i="1"/>
  <c r="AD1133" i="1"/>
  <c r="AD1134" i="1"/>
  <c r="AD1135" i="1"/>
  <c r="AD1136" i="1"/>
  <c r="AD1137" i="1"/>
  <c r="AD1138" i="1"/>
  <c r="AD1139" i="1"/>
  <c r="AD1140" i="1"/>
  <c r="AD1141" i="1"/>
  <c r="AD1142" i="1"/>
  <c r="AD1143" i="1"/>
  <c r="AD1144" i="1"/>
  <c r="AD1145" i="1"/>
  <c r="AD1146" i="1"/>
  <c r="AD1147" i="1"/>
  <c r="AD1148" i="1"/>
  <c r="AD1149" i="1"/>
  <c r="AD1150" i="1"/>
  <c r="AD1151" i="1"/>
  <c r="AD1152" i="1"/>
  <c r="AD1153" i="1"/>
  <c r="AD1154" i="1"/>
  <c r="AD1155" i="1"/>
  <c r="AD1156" i="1"/>
  <c r="AD1157" i="1"/>
  <c r="AD1158" i="1"/>
  <c r="AD1159" i="1"/>
  <c r="AD1160" i="1"/>
  <c r="AD1161" i="1"/>
  <c r="AD1162" i="1"/>
  <c r="AD1163" i="1"/>
  <c r="AD1164" i="1"/>
  <c r="AD1165" i="1"/>
  <c r="AD1166" i="1"/>
  <c r="AD1167" i="1"/>
  <c r="AD1168" i="1"/>
  <c r="AD1169" i="1"/>
  <c r="AD1170" i="1"/>
  <c r="AD1171" i="1"/>
  <c r="AD1172" i="1"/>
  <c r="AD1173" i="1"/>
  <c r="AD1174" i="1"/>
  <c r="AD1175" i="1"/>
  <c r="AD1176" i="1"/>
  <c r="AD1177" i="1"/>
  <c r="AD1178" i="1"/>
  <c r="AD1179" i="1"/>
  <c r="AD1180" i="1"/>
  <c r="AD1181" i="1"/>
  <c r="AD1182" i="1"/>
  <c r="AD1183" i="1"/>
  <c r="AD1184" i="1"/>
  <c r="AD1185" i="1"/>
  <c r="AD1186" i="1"/>
  <c r="AD1187" i="1"/>
  <c r="AD1188" i="1"/>
  <c r="AD1189" i="1"/>
  <c r="AD1190" i="1"/>
  <c r="AD1191" i="1"/>
  <c r="AD1192" i="1"/>
  <c r="AD1193" i="1"/>
  <c r="AD1194" i="1"/>
  <c r="AD1195" i="1"/>
  <c r="AD1196" i="1"/>
  <c r="AD1197" i="1"/>
  <c r="AD1198" i="1"/>
  <c r="AD1199" i="1"/>
  <c r="AD1200" i="1"/>
  <c r="AD1201" i="1"/>
  <c r="AD1202" i="1"/>
  <c r="AD1203" i="1"/>
  <c r="AD1204" i="1"/>
  <c r="AD1205" i="1"/>
  <c r="AD1206" i="1"/>
  <c r="AD1207" i="1"/>
  <c r="AD1208" i="1"/>
  <c r="AD1209" i="1"/>
  <c r="AD1210" i="1"/>
  <c r="AD1211" i="1"/>
  <c r="AD1212" i="1"/>
  <c r="AD1213" i="1"/>
  <c r="AD1214" i="1"/>
  <c r="AD1215" i="1"/>
  <c r="AD1216" i="1"/>
  <c r="AD1217" i="1"/>
  <c r="AD1218" i="1"/>
  <c r="AD1219" i="1"/>
  <c r="AD1220" i="1"/>
  <c r="AD1221" i="1"/>
  <c r="AD1222" i="1"/>
  <c r="AD1223" i="1"/>
  <c r="AD1224" i="1"/>
  <c r="AD1225" i="1"/>
  <c r="AD1226" i="1"/>
  <c r="AD1227" i="1"/>
  <c r="AD1228" i="1"/>
  <c r="AD1229" i="1"/>
  <c r="AD1230" i="1"/>
  <c r="AD1231" i="1"/>
  <c r="AD1232" i="1"/>
  <c r="AD1233" i="1"/>
  <c r="AD1234" i="1"/>
  <c r="AD1235" i="1"/>
  <c r="AD1236" i="1"/>
  <c r="AD1237" i="1"/>
  <c r="AD1238" i="1"/>
  <c r="AD1239" i="1"/>
  <c r="AD1240" i="1"/>
  <c r="AD1241" i="1"/>
  <c r="AD1242" i="1"/>
  <c r="AD1243" i="1"/>
  <c r="AD1244" i="1"/>
  <c r="AD1245" i="1"/>
  <c r="AD1246" i="1"/>
  <c r="AD1247" i="1"/>
  <c r="AD1248" i="1"/>
  <c r="AD1249" i="1"/>
  <c r="AD1250" i="1"/>
  <c r="AD1251" i="1"/>
  <c r="AD1252" i="1"/>
  <c r="AD1253" i="1"/>
  <c r="AD1254" i="1"/>
  <c r="AD1255" i="1"/>
  <c r="AD1256" i="1"/>
  <c r="AD1257" i="1"/>
  <c r="AD1258" i="1"/>
  <c r="AD1259" i="1"/>
  <c r="AD1260" i="1"/>
  <c r="AD1261" i="1"/>
  <c r="AD1262" i="1"/>
  <c r="AD1263" i="1"/>
  <c r="AD1264" i="1"/>
  <c r="AD1265" i="1"/>
  <c r="AD1266" i="1"/>
  <c r="AD1267" i="1"/>
  <c r="AD1268" i="1"/>
  <c r="AD1269" i="1"/>
  <c r="AD1270" i="1"/>
  <c r="AD1271" i="1"/>
  <c r="AD1272" i="1"/>
  <c r="AD1273" i="1"/>
  <c r="AD1274" i="1"/>
  <c r="AD1275" i="1"/>
  <c r="AD1276" i="1"/>
  <c r="AD1277" i="1"/>
  <c r="AD1278" i="1"/>
  <c r="AD1279" i="1"/>
  <c r="AD1280" i="1"/>
  <c r="AD1281" i="1"/>
  <c r="AD1282" i="1"/>
  <c r="AD1283" i="1"/>
  <c r="AD1284" i="1"/>
  <c r="AD1285" i="1"/>
  <c r="AD1286" i="1"/>
  <c r="AD1287" i="1"/>
  <c r="AD1288" i="1"/>
  <c r="AD1289" i="1"/>
  <c r="AD1290" i="1"/>
  <c r="AD1291" i="1"/>
  <c r="AD1292" i="1"/>
  <c r="AD1293" i="1"/>
  <c r="AD1294" i="1"/>
  <c r="AD1295" i="1"/>
  <c r="AD1296" i="1"/>
  <c r="AD1297" i="1"/>
  <c r="AD1298" i="1"/>
  <c r="AD1299" i="1"/>
  <c r="AD1300" i="1"/>
  <c r="AD1301" i="1"/>
  <c r="AD1302" i="1"/>
  <c r="AD1303" i="1"/>
  <c r="AD1304" i="1"/>
  <c r="AD1305" i="1"/>
  <c r="AD1306" i="1"/>
  <c r="AD1307" i="1"/>
  <c r="AD1308" i="1"/>
  <c r="AD1309" i="1"/>
  <c r="AD1310" i="1"/>
  <c r="AD1311" i="1"/>
  <c r="AD1312" i="1"/>
  <c r="AD1313" i="1"/>
  <c r="AD1314" i="1"/>
  <c r="AD1315" i="1"/>
  <c r="AD1316" i="1"/>
  <c r="AD1317" i="1"/>
  <c r="AD1318" i="1"/>
  <c r="AD1319" i="1"/>
  <c r="AD1320" i="1"/>
  <c r="AD1321" i="1"/>
  <c r="AD1322" i="1"/>
  <c r="AD1323" i="1"/>
  <c r="AD1324" i="1"/>
  <c r="AD1325" i="1"/>
  <c r="AD1326" i="1"/>
  <c r="AD1327" i="1"/>
  <c r="AD1328" i="1"/>
  <c r="AD1329" i="1"/>
  <c r="AD1330" i="1"/>
  <c r="AD1331" i="1"/>
  <c r="AD1332" i="1"/>
  <c r="AD1333" i="1"/>
  <c r="AD1334" i="1"/>
  <c r="AD1335" i="1"/>
  <c r="AD1336" i="1"/>
  <c r="AD1337" i="1"/>
  <c r="AD1338" i="1"/>
  <c r="AD1339" i="1"/>
  <c r="AD1340" i="1"/>
  <c r="AD1341" i="1"/>
  <c r="AD1342" i="1"/>
  <c r="AD1343" i="1"/>
  <c r="AD1344" i="1"/>
  <c r="AD1345" i="1"/>
  <c r="AD1346" i="1"/>
  <c r="AD1347" i="1"/>
  <c r="AD1348" i="1"/>
  <c r="AD1349" i="1"/>
  <c r="AD1350" i="1"/>
  <c r="AD1351" i="1"/>
  <c r="AD1352" i="1"/>
  <c r="AD1353" i="1"/>
  <c r="AD1354" i="1"/>
  <c r="AD1355" i="1"/>
  <c r="AD1356" i="1"/>
  <c r="AD1357" i="1"/>
  <c r="AD1358" i="1"/>
  <c r="AD1359" i="1"/>
  <c r="AD1360" i="1"/>
  <c r="AD1361" i="1"/>
  <c r="AD1362" i="1"/>
  <c r="AD1363" i="1"/>
  <c r="AD1364" i="1"/>
  <c r="AD1365" i="1"/>
  <c r="AD1366" i="1"/>
  <c r="AD1367" i="1"/>
  <c r="AD1368" i="1"/>
  <c r="AD1369" i="1"/>
  <c r="AD1370" i="1"/>
  <c r="AD1371" i="1"/>
  <c r="AD1372" i="1"/>
  <c r="AD1373" i="1"/>
  <c r="AD1374" i="1"/>
  <c r="AD1375" i="1"/>
  <c r="AD1376" i="1"/>
  <c r="AD1377" i="1"/>
  <c r="AD1378" i="1"/>
  <c r="AD1379" i="1"/>
  <c r="AD1380" i="1"/>
  <c r="AD1381" i="1"/>
  <c r="AD1382" i="1"/>
  <c r="AD1383" i="1"/>
  <c r="AD1384" i="1"/>
  <c r="AD1385" i="1"/>
  <c r="AD1386" i="1"/>
  <c r="AD1387" i="1"/>
  <c r="AD1388" i="1"/>
  <c r="AD1389" i="1"/>
  <c r="AD1390" i="1"/>
  <c r="AD1391" i="1"/>
  <c r="AD1392" i="1"/>
  <c r="AD1393" i="1"/>
  <c r="AD1394" i="1"/>
  <c r="AD1395" i="1"/>
  <c r="AD1396" i="1"/>
  <c r="AD1397" i="1"/>
  <c r="AD1398" i="1"/>
  <c r="AD1399" i="1"/>
  <c r="AD1400" i="1"/>
  <c r="AD1401" i="1"/>
  <c r="AD1402" i="1"/>
  <c r="AD1403" i="1"/>
  <c r="AD1404" i="1"/>
  <c r="AD1405" i="1"/>
  <c r="AD1406" i="1"/>
  <c r="AD1407" i="1"/>
  <c r="AD1408" i="1"/>
  <c r="AD1409" i="1"/>
  <c r="AD1410" i="1"/>
  <c r="AD1411" i="1"/>
  <c r="AD1412" i="1"/>
  <c r="AD1413" i="1"/>
  <c r="AD1414" i="1"/>
  <c r="AD1415" i="1"/>
  <c r="AD1416" i="1"/>
  <c r="AD1417" i="1"/>
  <c r="AD1418" i="1"/>
  <c r="AD1419" i="1"/>
  <c r="AD1420" i="1"/>
  <c r="AD1421" i="1"/>
  <c r="AD1422" i="1"/>
  <c r="AD1423" i="1"/>
  <c r="AD1424" i="1"/>
  <c r="AD1425" i="1"/>
  <c r="AD1426" i="1"/>
  <c r="AD1427" i="1"/>
  <c r="AD1428" i="1"/>
  <c r="AD1429" i="1"/>
  <c r="AD1430" i="1"/>
  <c r="AD1431" i="1"/>
  <c r="AD1432" i="1"/>
  <c r="AD1433" i="1"/>
  <c r="AD1434" i="1"/>
  <c r="AD1435" i="1"/>
  <c r="AD1436" i="1"/>
  <c r="AD1437" i="1"/>
  <c r="AD1438" i="1"/>
  <c r="AD1439" i="1"/>
  <c r="AD1440" i="1"/>
  <c r="AD1441" i="1"/>
  <c r="AD1442" i="1"/>
  <c r="AD1443" i="1"/>
  <c r="AD1444" i="1"/>
  <c r="AD1445" i="1"/>
  <c r="AD1446" i="1"/>
  <c r="AD1447" i="1"/>
  <c r="AD1448" i="1"/>
  <c r="AD1449" i="1"/>
  <c r="AD1450" i="1"/>
  <c r="AD1451" i="1"/>
  <c r="AD1452" i="1"/>
  <c r="AD1453" i="1"/>
  <c r="AD1454" i="1"/>
  <c r="AD1455" i="1"/>
  <c r="AD1456" i="1"/>
  <c r="AD1457" i="1"/>
  <c r="AD1458" i="1"/>
  <c r="AD1459" i="1"/>
  <c r="AD1460" i="1"/>
  <c r="AD1461" i="1"/>
  <c r="AD1462" i="1"/>
  <c r="AD1463" i="1"/>
  <c r="AD1464" i="1"/>
  <c r="AD1465" i="1"/>
  <c r="AD1466" i="1"/>
  <c r="AD1467" i="1"/>
  <c r="AD1468" i="1"/>
  <c r="AD1469" i="1"/>
  <c r="AD1470" i="1"/>
  <c r="AD1471" i="1"/>
  <c r="AD1472" i="1"/>
  <c r="AD1473" i="1"/>
  <c r="AD1474" i="1"/>
  <c r="AD1475" i="1"/>
  <c r="AD1476" i="1"/>
  <c r="AD1477" i="1"/>
  <c r="AD1478" i="1"/>
  <c r="AD1479" i="1"/>
  <c r="AD1480" i="1"/>
  <c r="AD1481" i="1"/>
  <c r="AD1482" i="1"/>
  <c r="AD1483" i="1"/>
  <c r="AD1484" i="1"/>
  <c r="AD1485" i="1"/>
  <c r="AD1486" i="1"/>
  <c r="AD1487" i="1"/>
  <c r="AD1488" i="1"/>
  <c r="AD1489" i="1"/>
  <c r="AD1490" i="1"/>
  <c r="AD1491" i="1"/>
  <c r="AD1492" i="1"/>
  <c r="AD1493" i="1"/>
  <c r="AD1494" i="1"/>
  <c r="AD1495" i="1"/>
  <c r="AD1496" i="1"/>
  <c r="AD1497" i="1"/>
  <c r="AD1498" i="1"/>
  <c r="AD1499" i="1"/>
  <c r="AD1500" i="1"/>
  <c r="AD1501" i="1"/>
  <c r="AD1502" i="1"/>
  <c r="AD1503" i="1"/>
  <c r="AD1504" i="1"/>
  <c r="AD1505" i="1"/>
  <c r="AD1506" i="1"/>
  <c r="AD1507" i="1"/>
  <c r="AD1508" i="1"/>
  <c r="AD1509" i="1"/>
  <c r="AD1510" i="1"/>
  <c r="AD1511" i="1"/>
  <c r="AD1512" i="1"/>
  <c r="AD1513" i="1"/>
  <c r="AD1514" i="1"/>
  <c r="AD1515" i="1"/>
  <c r="AD1516" i="1"/>
  <c r="AD1517" i="1"/>
  <c r="AD1518" i="1"/>
  <c r="AD1519" i="1"/>
  <c r="AD1520" i="1"/>
  <c r="AD1521" i="1"/>
  <c r="AD1522" i="1"/>
  <c r="AD1523" i="1"/>
  <c r="AD1524" i="1"/>
  <c r="AD1525" i="1"/>
  <c r="AD1526" i="1"/>
  <c r="AD1527" i="1"/>
  <c r="AD1528" i="1"/>
  <c r="AD1529" i="1"/>
  <c r="AD1530" i="1"/>
  <c r="AD1531" i="1"/>
  <c r="AD1532" i="1"/>
  <c r="AD1533" i="1"/>
  <c r="AD1534" i="1"/>
  <c r="AD1535" i="1"/>
  <c r="AD1536" i="1"/>
  <c r="AD1537" i="1"/>
  <c r="AD1538" i="1"/>
  <c r="AD1539" i="1"/>
  <c r="AD1540" i="1"/>
  <c r="AD1541" i="1"/>
  <c r="AD1542" i="1"/>
  <c r="AD1543" i="1"/>
  <c r="AD1544" i="1"/>
  <c r="AD1545" i="1"/>
  <c r="AD1546" i="1"/>
  <c r="AD1547" i="1"/>
  <c r="AD1548" i="1"/>
  <c r="AD1549" i="1"/>
  <c r="AD1550" i="1"/>
  <c r="AD1551" i="1"/>
  <c r="AD1552" i="1"/>
  <c r="AD1553" i="1"/>
  <c r="AD1554" i="1"/>
  <c r="AD1555" i="1"/>
  <c r="AD1556" i="1"/>
  <c r="AD1557" i="1"/>
  <c r="AD1558" i="1"/>
  <c r="AD1559" i="1"/>
  <c r="AD1560" i="1"/>
  <c r="AD1561" i="1"/>
  <c r="AD1562" i="1"/>
  <c r="AD1563" i="1"/>
  <c r="AD1564" i="1"/>
  <c r="AD1565" i="1"/>
  <c r="AD1566" i="1"/>
  <c r="AD1567" i="1"/>
  <c r="AD1568" i="1"/>
  <c r="AD1569" i="1"/>
  <c r="AD1570" i="1"/>
  <c r="AD1571" i="1"/>
  <c r="AD1572" i="1"/>
  <c r="AD1573" i="1"/>
  <c r="AD1574" i="1"/>
  <c r="AD1575" i="1"/>
  <c r="AD1576" i="1"/>
  <c r="AD1577" i="1"/>
  <c r="AD1578" i="1"/>
  <c r="AD1579" i="1"/>
  <c r="AD1580" i="1"/>
  <c r="AD1581" i="1"/>
  <c r="AD1582" i="1"/>
  <c r="AD1583" i="1"/>
  <c r="AD1584" i="1"/>
  <c r="AD1585" i="1"/>
  <c r="AD1586" i="1"/>
  <c r="AD1587" i="1"/>
  <c r="AD1588" i="1"/>
  <c r="AD1589" i="1"/>
  <c r="AD1590" i="1"/>
  <c r="AD1591" i="1"/>
  <c r="AD1592" i="1"/>
  <c r="AD1593" i="1"/>
  <c r="AD1594" i="1"/>
  <c r="AD1595" i="1"/>
  <c r="AD1596" i="1"/>
  <c r="AD1597" i="1"/>
  <c r="AD1598" i="1"/>
  <c r="AD1599" i="1"/>
  <c r="AD1600" i="1"/>
  <c r="AD1601" i="1"/>
  <c r="AD1602" i="1"/>
  <c r="AD1603" i="1"/>
  <c r="AD1604" i="1"/>
  <c r="AD1605" i="1"/>
  <c r="AD1606" i="1"/>
  <c r="AD1607" i="1"/>
  <c r="AD1608" i="1"/>
  <c r="AD1609" i="1"/>
  <c r="AD1610" i="1"/>
  <c r="AD1611" i="1"/>
  <c r="AD1612" i="1"/>
  <c r="AD1613" i="1"/>
  <c r="AD1614" i="1"/>
  <c r="AD1615" i="1"/>
  <c r="AD1616" i="1"/>
  <c r="AD1617" i="1"/>
  <c r="AD1618" i="1"/>
  <c r="AD1619" i="1"/>
  <c r="AD1620" i="1"/>
  <c r="AD1621" i="1"/>
  <c r="AD1622" i="1"/>
  <c r="AD1623" i="1"/>
  <c r="AD1624" i="1"/>
  <c r="AD1625" i="1"/>
  <c r="AD1626" i="1"/>
  <c r="AD1627" i="1"/>
  <c r="AD1628" i="1"/>
  <c r="AD1629" i="1"/>
  <c r="AD1630" i="1"/>
  <c r="AD1631" i="1"/>
  <c r="AD1632" i="1"/>
  <c r="AD1633" i="1"/>
  <c r="AD1634" i="1"/>
  <c r="AD1635" i="1"/>
  <c r="AD1636" i="1"/>
  <c r="AD1637" i="1"/>
  <c r="AD1638" i="1"/>
  <c r="AD1639" i="1"/>
  <c r="AD1640" i="1"/>
  <c r="AD1641" i="1"/>
  <c r="AD1642" i="1"/>
  <c r="AD1643" i="1"/>
  <c r="AD1644" i="1"/>
  <c r="AD1645" i="1"/>
  <c r="AD1646" i="1"/>
  <c r="AD1647" i="1"/>
  <c r="AD1648" i="1"/>
  <c r="AD1649" i="1"/>
  <c r="AD1650" i="1"/>
  <c r="AD1651" i="1"/>
  <c r="AD1652" i="1"/>
  <c r="AD1653" i="1"/>
  <c r="AD1654" i="1"/>
  <c r="AD1655" i="1"/>
  <c r="AD1656" i="1"/>
  <c r="AD1657" i="1"/>
  <c r="AD1658" i="1"/>
  <c r="AD1659" i="1"/>
  <c r="AD1660" i="1"/>
  <c r="AD1661" i="1"/>
  <c r="AD1662" i="1"/>
  <c r="AD1663" i="1"/>
  <c r="AD1664" i="1"/>
  <c r="AD1665" i="1"/>
  <c r="AD1666" i="1"/>
  <c r="AD1667" i="1"/>
  <c r="AD1668" i="1"/>
  <c r="AD1669" i="1"/>
  <c r="AD1670" i="1"/>
  <c r="AD1671" i="1"/>
  <c r="AD1672" i="1"/>
  <c r="AD1673" i="1"/>
  <c r="AD1674" i="1"/>
  <c r="AD1675" i="1"/>
  <c r="AD1676" i="1"/>
  <c r="AD1677" i="1"/>
  <c r="AD1678" i="1"/>
  <c r="AD1679" i="1"/>
  <c r="AD1680" i="1"/>
  <c r="AD1681" i="1"/>
  <c r="AD1682" i="1"/>
  <c r="AD1683" i="1"/>
  <c r="AD1684" i="1"/>
  <c r="AD1685" i="1"/>
  <c r="AD1686" i="1"/>
  <c r="AD1687" i="1"/>
  <c r="AD1688" i="1"/>
  <c r="AD1689" i="1"/>
  <c r="AD1690" i="1"/>
  <c r="AD1691" i="1"/>
  <c r="AD1692" i="1"/>
  <c r="AD1693" i="1"/>
  <c r="AD1694" i="1"/>
  <c r="AD1695" i="1"/>
  <c r="AD1696" i="1"/>
  <c r="AD1697" i="1"/>
  <c r="AD1698" i="1"/>
  <c r="AD1699" i="1"/>
  <c r="AD1700" i="1"/>
  <c r="AD1701" i="1"/>
  <c r="AD1702" i="1"/>
  <c r="AD1703" i="1"/>
  <c r="AD1704" i="1"/>
  <c r="AD1705" i="1"/>
  <c r="AD1706" i="1"/>
  <c r="AD1707" i="1"/>
  <c r="AD1708" i="1"/>
  <c r="AD1709" i="1"/>
  <c r="AD1710" i="1"/>
  <c r="AD1711" i="1"/>
  <c r="AD1712" i="1"/>
  <c r="AD1713" i="1"/>
  <c r="AD1714" i="1"/>
  <c r="AD1715" i="1"/>
  <c r="AD1716" i="1"/>
  <c r="AD1717" i="1"/>
  <c r="AD1718" i="1"/>
  <c r="AD1719" i="1"/>
  <c r="AD1720" i="1"/>
  <c r="AD1721" i="1"/>
  <c r="AD1722" i="1"/>
  <c r="AD1723" i="1"/>
  <c r="AD1724" i="1"/>
  <c r="AD1725" i="1"/>
  <c r="AD1726" i="1"/>
  <c r="AD1727" i="1"/>
  <c r="AD1728" i="1"/>
  <c r="AD1729" i="1"/>
  <c r="AD1730" i="1"/>
  <c r="AD1731" i="1"/>
  <c r="AD1732" i="1"/>
  <c r="AD1733" i="1"/>
  <c r="AD1734" i="1"/>
  <c r="AD1735" i="1"/>
  <c r="AD1736" i="1"/>
  <c r="AD1737" i="1"/>
  <c r="AD1738" i="1"/>
  <c r="AD1739" i="1"/>
  <c r="AD1740" i="1"/>
  <c r="AD1741" i="1"/>
  <c r="AD1742" i="1"/>
  <c r="AD1743" i="1"/>
  <c r="AD1744" i="1"/>
  <c r="AD1745" i="1"/>
  <c r="AD1746" i="1"/>
  <c r="AD1747" i="1"/>
  <c r="AD1748" i="1"/>
  <c r="AD1749" i="1"/>
  <c r="AD1750" i="1"/>
  <c r="AD1751" i="1"/>
  <c r="AD1752" i="1"/>
  <c r="AD1753" i="1"/>
  <c r="AD1754" i="1"/>
  <c r="AD1755" i="1"/>
  <c r="AD1756" i="1"/>
  <c r="AD1757" i="1"/>
  <c r="AD1758" i="1"/>
  <c r="AD1759" i="1"/>
  <c r="AD1760" i="1"/>
  <c r="AD1761" i="1"/>
  <c r="AD1762" i="1"/>
  <c r="AD1763" i="1"/>
  <c r="AD1764" i="1"/>
  <c r="AD1765" i="1"/>
  <c r="AD1766" i="1"/>
  <c r="AD1767" i="1"/>
  <c r="AD1768" i="1"/>
  <c r="AD1769" i="1"/>
  <c r="AD1770" i="1"/>
  <c r="AD1771" i="1"/>
  <c r="AD1772" i="1"/>
  <c r="AD1773" i="1"/>
  <c r="AD1774" i="1"/>
  <c r="AD1775" i="1"/>
  <c r="AD1776" i="1"/>
  <c r="AD1777" i="1"/>
  <c r="AD1778" i="1"/>
  <c r="AD1779" i="1"/>
  <c r="AD1780" i="1"/>
  <c r="AD1781" i="1"/>
  <c r="AD1782" i="1"/>
  <c r="AD1783" i="1"/>
  <c r="AD1784" i="1"/>
  <c r="AD1785" i="1"/>
  <c r="AD1786" i="1"/>
  <c r="AD1787" i="1"/>
  <c r="AD1788" i="1"/>
  <c r="AD1789" i="1"/>
  <c r="AD1790" i="1"/>
  <c r="AD1791" i="1"/>
  <c r="AD1792" i="1"/>
  <c r="AD1793" i="1"/>
  <c r="AD1794" i="1"/>
  <c r="AD1795" i="1"/>
  <c r="AD1796" i="1"/>
  <c r="AD1797" i="1"/>
  <c r="AD1798" i="1"/>
  <c r="AD1799" i="1"/>
  <c r="AD1800" i="1"/>
  <c r="AD1801" i="1"/>
  <c r="AD1802" i="1"/>
  <c r="AD1803" i="1"/>
  <c r="AD1804" i="1"/>
  <c r="AD1805" i="1"/>
  <c r="AD1806" i="1"/>
  <c r="AD1807" i="1"/>
  <c r="AD1808" i="1"/>
  <c r="AD1809" i="1"/>
  <c r="AD1810" i="1"/>
  <c r="AD1811" i="1"/>
  <c r="AD1812" i="1"/>
  <c r="AD1813" i="1"/>
  <c r="AD1814" i="1"/>
  <c r="AD1815" i="1"/>
  <c r="AD1816" i="1"/>
  <c r="AD1817" i="1"/>
  <c r="AD1818" i="1"/>
  <c r="AD1819" i="1"/>
  <c r="AD1820" i="1"/>
  <c r="AD1821" i="1"/>
  <c r="AD1822" i="1"/>
  <c r="AD1823" i="1"/>
  <c r="AD1824" i="1"/>
  <c r="AD1825" i="1"/>
  <c r="AD1826" i="1"/>
  <c r="AD1827" i="1"/>
  <c r="AD1828" i="1"/>
  <c r="AD1829" i="1"/>
  <c r="AD1830" i="1"/>
  <c r="AD1831" i="1"/>
  <c r="AD1832" i="1"/>
  <c r="AD1833" i="1"/>
  <c r="AD1834" i="1"/>
  <c r="AD1835" i="1"/>
  <c r="AD1836" i="1"/>
  <c r="AD1837" i="1"/>
  <c r="AD1838" i="1"/>
  <c r="AD1839" i="1"/>
  <c r="AD1840" i="1"/>
  <c r="AD1841" i="1"/>
  <c r="AD1842" i="1"/>
  <c r="AD1843" i="1"/>
  <c r="AD1844" i="1"/>
  <c r="AD1845" i="1"/>
  <c r="AD1846" i="1"/>
  <c r="AD1847" i="1"/>
  <c r="AD1848" i="1"/>
  <c r="AD1849" i="1"/>
  <c r="AD1850" i="1"/>
  <c r="AD1851" i="1"/>
  <c r="AD1852" i="1"/>
  <c r="AD1853" i="1"/>
  <c r="AD1854" i="1"/>
  <c r="AD1855" i="1"/>
  <c r="AD1856" i="1"/>
  <c r="AD1857" i="1"/>
  <c r="AD1858" i="1"/>
  <c r="AD1859" i="1"/>
  <c r="AD1860" i="1"/>
  <c r="AD1861" i="1"/>
  <c r="AD1862" i="1"/>
  <c r="AD1863" i="1"/>
  <c r="AD1864" i="1"/>
  <c r="AD1865" i="1"/>
  <c r="AD1866" i="1"/>
  <c r="AD1867" i="1"/>
  <c r="AD1868" i="1"/>
  <c r="AD1869" i="1"/>
  <c r="AD1870" i="1"/>
  <c r="AD1871" i="1"/>
  <c r="AD1872" i="1"/>
  <c r="AD1873" i="1"/>
  <c r="AD1874" i="1"/>
  <c r="AD1875" i="1"/>
  <c r="AD1876" i="1"/>
  <c r="AD1877" i="1"/>
  <c r="AD1878" i="1"/>
  <c r="AD1879" i="1"/>
  <c r="AD1880" i="1"/>
  <c r="AD1881" i="1"/>
  <c r="AD1882" i="1"/>
  <c r="AD1883" i="1"/>
  <c r="AD1884" i="1"/>
  <c r="AD1885" i="1"/>
  <c r="AD1886" i="1"/>
  <c r="AD1887" i="1"/>
  <c r="AD1888" i="1"/>
  <c r="AD1889" i="1"/>
  <c r="AD1890" i="1"/>
  <c r="AD1891" i="1"/>
  <c r="AD1892" i="1"/>
  <c r="AD1893" i="1"/>
  <c r="AD1894" i="1"/>
  <c r="AD1895" i="1"/>
  <c r="AD1896" i="1"/>
  <c r="AD1897" i="1"/>
  <c r="AD1898" i="1"/>
  <c r="AD1899" i="1"/>
  <c r="AD1900" i="1"/>
  <c r="AD1901" i="1"/>
  <c r="AD1902" i="1"/>
  <c r="AD1903" i="1"/>
  <c r="AD1904" i="1"/>
  <c r="AD1905" i="1"/>
  <c r="AD1906" i="1"/>
  <c r="AD1907" i="1"/>
  <c r="AD1908" i="1"/>
  <c r="AD1909" i="1"/>
  <c r="AD1910" i="1"/>
  <c r="AD1911" i="1"/>
  <c r="AD1912" i="1"/>
  <c r="AD1913" i="1"/>
  <c r="AD1914" i="1"/>
  <c r="AD1915" i="1"/>
  <c r="AD1916" i="1"/>
  <c r="AD1917" i="1"/>
  <c r="AD1918" i="1"/>
  <c r="AD1919" i="1"/>
  <c r="AD1920" i="1"/>
  <c r="AD1921" i="1"/>
  <c r="AD1922" i="1"/>
  <c r="AD1923" i="1"/>
  <c r="AD1924" i="1"/>
  <c r="AD1925" i="1"/>
  <c r="AD1926" i="1"/>
  <c r="AD1927" i="1"/>
  <c r="AD1928" i="1"/>
  <c r="AD1929" i="1"/>
  <c r="AD1930" i="1"/>
  <c r="AD1931" i="1"/>
  <c r="AD1932" i="1"/>
  <c r="AD1933" i="1"/>
  <c r="AD1934" i="1"/>
  <c r="AD1935" i="1"/>
  <c r="AD1936" i="1"/>
  <c r="AD1937" i="1"/>
  <c r="AD1938" i="1"/>
  <c r="AD1939" i="1"/>
  <c r="AD1940" i="1"/>
  <c r="AD1941" i="1"/>
  <c r="AD1942" i="1"/>
  <c r="AD1943" i="1"/>
  <c r="AD1944" i="1"/>
  <c r="AD1945" i="1"/>
  <c r="AD1946" i="1"/>
  <c r="AD1947" i="1"/>
  <c r="AD1948" i="1"/>
  <c r="AD1949" i="1"/>
  <c r="AD1950" i="1"/>
  <c r="AD1951" i="1"/>
  <c r="AD1952" i="1"/>
  <c r="AD1953" i="1"/>
  <c r="AD1954" i="1"/>
  <c r="AD1955" i="1"/>
  <c r="AD1956" i="1"/>
  <c r="AD1957" i="1"/>
  <c r="AD1958" i="1"/>
  <c r="AD1959" i="1"/>
  <c r="AD1960" i="1"/>
  <c r="AD1961" i="1"/>
  <c r="AD1962" i="1"/>
  <c r="AD1963" i="1"/>
  <c r="AD1964" i="1"/>
  <c r="AD1965" i="1"/>
  <c r="AD1966" i="1"/>
  <c r="AD1967" i="1"/>
  <c r="AD1968" i="1"/>
  <c r="AD1969" i="1"/>
  <c r="AD1970" i="1"/>
  <c r="AD1971" i="1"/>
  <c r="AD1972" i="1"/>
  <c r="AD1973" i="1"/>
  <c r="AD1974" i="1"/>
  <c r="AD1975" i="1"/>
  <c r="AD1976" i="1"/>
  <c r="AD1977" i="1"/>
  <c r="AD1978" i="1"/>
  <c r="AD1979" i="1"/>
  <c r="AD1980" i="1"/>
  <c r="AD1981" i="1"/>
  <c r="AD1982" i="1"/>
  <c r="AD1983" i="1"/>
  <c r="AD1984" i="1"/>
  <c r="AD1985" i="1"/>
  <c r="AD1986" i="1"/>
  <c r="AD1987" i="1"/>
  <c r="AD1988" i="1"/>
  <c r="AD1989" i="1"/>
  <c r="AD1990" i="1"/>
  <c r="AD1991" i="1"/>
  <c r="AD1992" i="1"/>
  <c r="AD1993" i="1"/>
  <c r="AD1994" i="1"/>
  <c r="AD1995" i="1"/>
  <c r="AD1996" i="1"/>
  <c r="AD1997" i="1"/>
  <c r="AD1998" i="1"/>
  <c r="AD1999" i="1"/>
  <c r="AD2000" i="1"/>
  <c r="AD2001" i="1"/>
  <c r="Q2" i="1" a="1"/>
  <c r="Q2" i="1" s="1"/>
  <c r="D40" i="6" s="1"/>
  <c r="Q3" i="1" a="1"/>
  <c r="Q3" i="1" s="1"/>
  <c r="Q4" i="1" a="1"/>
  <c r="Q4" i="1" s="1"/>
  <c r="Q5" i="1" a="1"/>
  <c r="Q5" i="1" s="1"/>
  <c r="Q6" i="1" a="1"/>
  <c r="Q6" i="1" s="1"/>
  <c r="Q7" i="1" a="1"/>
  <c r="Q7" i="1" s="1"/>
  <c r="Q8" i="1" a="1"/>
  <c r="Q8" i="1" s="1"/>
  <c r="Q9" i="1" a="1"/>
  <c r="Q9" i="1" s="1"/>
  <c r="Q10" i="1" a="1"/>
  <c r="Q10" i="1" s="1"/>
  <c r="Q11" i="1" a="1"/>
  <c r="Q11" i="1" s="1"/>
  <c r="Q12" i="1" a="1"/>
  <c r="Q12" i="1" s="1"/>
  <c r="Q13" i="1" a="1"/>
  <c r="Q13" i="1" s="1"/>
  <c r="Q14" i="1" a="1"/>
  <c r="Q14" i="1" s="1"/>
  <c r="Q15" i="1" a="1"/>
  <c r="Q15" i="1" s="1"/>
  <c r="Q16" i="1" a="1"/>
  <c r="Q16" i="1" s="1"/>
  <c r="Q17" i="1" a="1"/>
  <c r="Q17" i="1" s="1"/>
  <c r="Q18" i="1" a="1"/>
  <c r="Q18" i="1" s="1"/>
  <c r="Q19" i="1" a="1"/>
  <c r="Q19" i="1" s="1"/>
  <c r="Q20" i="1" a="1"/>
  <c r="Q20" i="1" s="1"/>
  <c r="Q21" i="1" a="1"/>
  <c r="Q21" i="1" s="1"/>
  <c r="Q22" i="1" a="1"/>
  <c r="Q22" i="1" s="1"/>
  <c r="Q23" i="1" a="1"/>
  <c r="Q23" i="1" s="1"/>
  <c r="Q24" i="1" a="1"/>
  <c r="Q24" i="1" s="1"/>
  <c r="Q25" i="1" a="1"/>
  <c r="Q25" i="1" s="1"/>
  <c r="Q26" i="1" a="1"/>
  <c r="Q26" i="1" s="1"/>
  <c r="Q27" i="1" a="1"/>
  <c r="Q27" i="1" s="1"/>
  <c r="Q28" i="1" a="1"/>
  <c r="Q28" i="1" s="1"/>
  <c r="Q29" i="1" a="1"/>
  <c r="Q29" i="1" s="1"/>
  <c r="Q30" i="1" a="1"/>
  <c r="Q30" i="1" s="1"/>
  <c r="Q31" i="1" a="1"/>
  <c r="Q31" i="1" s="1"/>
  <c r="Q32" i="1" a="1"/>
  <c r="Q32" i="1" s="1"/>
  <c r="Q33" i="1" a="1"/>
  <c r="Q33" i="1" s="1"/>
  <c r="Q34" i="1" a="1"/>
  <c r="Q34" i="1" s="1"/>
  <c r="Q35" i="1" a="1"/>
  <c r="Q35" i="1" s="1"/>
  <c r="Q36" i="1" a="1"/>
  <c r="Q36" i="1" s="1"/>
  <c r="Q37" i="1" a="1"/>
  <c r="Q37" i="1" s="1"/>
  <c r="Q38" i="1" a="1"/>
  <c r="Q38" i="1" s="1"/>
  <c r="Q39" i="1" a="1"/>
  <c r="Q39" i="1" s="1"/>
  <c r="Q40" i="1" a="1"/>
  <c r="Q40" i="1" s="1"/>
  <c r="Q41" i="1" a="1"/>
  <c r="Q41" i="1" s="1"/>
  <c r="Q42" i="1" a="1"/>
  <c r="Q42" i="1" s="1"/>
  <c r="Q43" i="1" a="1"/>
  <c r="Q43" i="1" s="1"/>
  <c r="Q44" i="1" a="1"/>
  <c r="Q44" i="1" s="1"/>
  <c r="Q45" i="1" a="1"/>
  <c r="Q45" i="1" s="1"/>
  <c r="Q46" i="1" a="1"/>
  <c r="Q46" i="1" s="1"/>
  <c r="Q47" i="1" a="1"/>
  <c r="Q47" i="1" s="1"/>
  <c r="Q48" i="1" a="1"/>
  <c r="Q48" i="1" s="1"/>
  <c r="Q49" i="1" a="1"/>
  <c r="Q49" i="1" s="1"/>
  <c r="Q50" i="1" a="1"/>
  <c r="Q50" i="1" s="1"/>
  <c r="Q51" i="1" a="1"/>
  <c r="Q51" i="1" s="1"/>
  <c r="Q52" i="1" a="1"/>
  <c r="Q52" i="1" s="1"/>
  <c r="Q53" i="1" a="1"/>
  <c r="Q53" i="1" s="1"/>
  <c r="Q54" i="1" a="1"/>
  <c r="Q54" i="1" s="1"/>
  <c r="Q55" i="1" a="1"/>
  <c r="Q55" i="1" s="1"/>
  <c r="Q56" i="1" a="1"/>
  <c r="Q56" i="1" s="1"/>
  <c r="Q57" i="1" a="1"/>
  <c r="Q57" i="1" s="1"/>
  <c r="Q58" i="1" a="1"/>
  <c r="Q58" i="1" s="1"/>
  <c r="Q59" i="1" a="1"/>
  <c r="Q59" i="1" s="1"/>
  <c r="Q60" i="1" a="1"/>
  <c r="Q60" i="1" s="1"/>
  <c r="Q61" i="1" a="1"/>
  <c r="Q61" i="1" s="1"/>
  <c r="Q62" i="1" a="1"/>
  <c r="Q62" i="1" s="1"/>
  <c r="Q63" i="1" a="1"/>
  <c r="Q63" i="1" s="1"/>
  <c r="Q64" i="1" a="1"/>
  <c r="Q64" i="1" s="1"/>
  <c r="Q65" i="1" a="1"/>
  <c r="Q65" i="1" s="1"/>
  <c r="Q66" i="1" a="1"/>
  <c r="Q66" i="1" s="1"/>
  <c r="Q67" i="1" a="1"/>
  <c r="Q67" i="1" s="1"/>
  <c r="Q68" i="1" a="1"/>
  <c r="Q68" i="1" s="1"/>
  <c r="Q69" i="1" a="1"/>
  <c r="Q69" i="1" s="1"/>
  <c r="Q70" i="1" a="1"/>
  <c r="Q70" i="1" s="1"/>
  <c r="Q71" i="1" a="1"/>
  <c r="Q71" i="1" s="1"/>
  <c r="Q72" i="1" a="1"/>
  <c r="Q72" i="1" s="1"/>
  <c r="Q73" i="1" a="1"/>
  <c r="Q73" i="1" s="1"/>
  <c r="Q74" i="1" a="1"/>
  <c r="Q74" i="1" s="1"/>
  <c r="Q75" i="1" a="1"/>
  <c r="Q75" i="1" s="1"/>
  <c r="Q76" i="1" a="1"/>
  <c r="Q76" i="1" s="1"/>
  <c r="Q77" i="1" a="1"/>
  <c r="Q77" i="1" s="1"/>
  <c r="Q78" i="1" a="1"/>
  <c r="Q78" i="1" s="1"/>
  <c r="Q79" i="1" a="1"/>
  <c r="Q79" i="1" s="1"/>
  <c r="Q80" i="1" a="1"/>
  <c r="Q80" i="1" s="1"/>
  <c r="Q81" i="1" a="1"/>
  <c r="Q81" i="1" s="1"/>
  <c r="Q82" i="1" a="1"/>
  <c r="Q82" i="1" s="1"/>
  <c r="Q83" i="1" a="1"/>
  <c r="Q83" i="1" s="1"/>
  <c r="Q84" i="1" a="1"/>
  <c r="Q84" i="1" s="1"/>
  <c r="Q85" i="1" a="1"/>
  <c r="Q85" i="1" s="1"/>
  <c r="Q86" i="1" a="1"/>
  <c r="Q86" i="1" s="1"/>
  <c r="Q87" i="1" a="1"/>
  <c r="Q87" i="1" s="1"/>
  <c r="Q88" i="1" a="1"/>
  <c r="Q88" i="1" s="1"/>
  <c r="Q89" i="1" a="1"/>
  <c r="Q89" i="1" s="1"/>
  <c r="Q90" i="1" a="1"/>
  <c r="Q90" i="1" s="1"/>
  <c r="Q91" i="1" a="1"/>
  <c r="Q91" i="1" s="1"/>
  <c r="Q92" i="1" a="1"/>
  <c r="Q92" i="1" s="1"/>
  <c r="Q93" i="1" a="1"/>
  <c r="Q93" i="1" s="1"/>
  <c r="Q94" i="1" a="1"/>
  <c r="Q94" i="1" s="1"/>
  <c r="Q95" i="1" a="1"/>
  <c r="Q95" i="1" s="1"/>
  <c r="Q96" i="1" a="1"/>
  <c r="Q96" i="1" s="1"/>
  <c r="Q97" i="1" a="1"/>
  <c r="Q97" i="1" s="1"/>
  <c r="Q98" i="1" a="1"/>
  <c r="Q98" i="1" s="1"/>
  <c r="Q99" i="1" a="1"/>
  <c r="Q99" i="1" s="1"/>
  <c r="Q100" i="1" a="1"/>
  <c r="Q100" i="1" s="1"/>
  <c r="Q101" i="1" a="1"/>
  <c r="Q101" i="1" s="1"/>
  <c r="Q102" i="1" a="1"/>
  <c r="Q102" i="1" s="1"/>
  <c r="Q103" i="1" a="1"/>
  <c r="Q103" i="1" s="1"/>
  <c r="Q104" i="1" a="1"/>
  <c r="Q104" i="1" s="1"/>
  <c r="Q105" i="1" a="1"/>
  <c r="Q105" i="1" s="1"/>
  <c r="Q106" i="1" a="1"/>
  <c r="Q106" i="1" s="1"/>
  <c r="Q107" i="1" a="1"/>
  <c r="Q107" i="1" s="1"/>
  <c r="Q108" i="1" a="1"/>
  <c r="Q108" i="1" s="1"/>
  <c r="Q109" i="1" a="1"/>
  <c r="Q109" i="1" s="1"/>
  <c r="Q110" i="1" a="1"/>
  <c r="Q110" i="1" s="1"/>
  <c r="Q111" i="1" a="1"/>
  <c r="Q111" i="1" s="1"/>
  <c r="Q112" i="1" a="1"/>
  <c r="Q112" i="1" s="1"/>
  <c r="Q113" i="1" a="1"/>
  <c r="Q113" i="1" s="1"/>
  <c r="Q114" i="1" a="1"/>
  <c r="Q114" i="1" s="1"/>
  <c r="Q115" i="1" a="1"/>
  <c r="Q115" i="1" s="1"/>
  <c r="Q116" i="1" a="1"/>
  <c r="Q116" i="1" s="1"/>
  <c r="Q117" i="1" a="1"/>
  <c r="Q117" i="1" s="1"/>
  <c r="Q118" i="1" a="1"/>
  <c r="Q118" i="1" s="1"/>
  <c r="Q119" i="1" a="1"/>
  <c r="Q119" i="1" s="1"/>
  <c r="Q120" i="1" a="1"/>
  <c r="Q120" i="1" s="1"/>
  <c r="Q121" i="1" a="1"/>
  <c r="Q121" i="1" s="1"/>
  <c r="Q122" i="1" a="1"/>
  <c r="Q122" i="1" s="1"/>
  <c r="Q123" i="1" a="1"/>
  <c r="Q123" i="1" s="1"/>
  <c r="Q124" i="1" a="1"/>
  <c r="Q124" i="1" s="1"/>
  <c r="Q125" i="1" a="1"/>
  <c r="Q125" i="1" s="1"/>
  <c r="Q126" i="1" a="1"/>
  <c r="Q126" i="1" s="1"/>
  <c r="Q127" i="1" a="1"/>
  <c r="Q127" i="1" s="1"/>
  <c r="Q128" i="1" a="1"/>
  <c r="Q128" i="1" s="1"/>
  <c r="Q129" i="1" a="1"/>
  <c r="Q129" i="1" s="1"/>
  <c r="Q130" i="1" a="1"/>
  <c r="Q130" i="1" s="1"/>
  <c r="Q131" i="1" a="1"/>
  <c r="Q131" i="1" s="1"/>
  <c r="Q132" i="1" a="1"/>
  <c r="Q132" i="1" s="1"/>
  <c r="Q133" i="1" a="1"/>
  <c r="Q133" i="1" s="1"/>
  <c r="Q134" i="1" a="1"/>
  <c r="Q134" i="1" s="1"/>
  <c r="Q135" i="1" a="1"/>
  <c r="Q135" i="1" s="1"/>
  <c r="Q136" i="1" a="1"/>
  <c r="Q136" i="1" s="1"/>
  <c r="Q137" i="1" a="1"/>
  <c r="Q137" i="1" s="1"/>
  <c r="Q138" i="1" a="1"/>
  <c r="Q138" i="1" s="1"/>
  <c r="Q139" i="1" a="1"/>
  <c r="Q139" i="1" s="1"/>
  <c r="Q140" i="1" a="1"/>
  <c r="Q140" i="1" s="1"/>
  <c r="Q141" i="1" a="1"/>
  <c r="Q141" i="1" s="1"/>
  <c r="Q142" i="1" a="1"/>
  <c r="Q142" i="1" s="1"/>
  <c r="Q143" i="1" a="1"/>
  <c r="Q143" i="1" s="1"/>
  <c r="Q144" i="1" a="1"/>
  <c r="Q144" i="1" s="1"/>
  <c r="Q145" i="1" a="1"/>
  <c r="Q145" i="1" s="1"/>
  <c r="Q146" i="1" a="1"/>
  <c r="Q146" i="1" s="1"/>
  <c r="Q147" i="1" a="1"/>
  <c r="Q147" i="1" s="1"/>
  <c r="Q148" i="1" a="1"/>
  <c r="Q148" i="1" s="1"/>
  <c r="Q149" i="1" a="1"/>
  <c r="Q149" i="1" s="1"/>
  <c r="Q150" i="1" a="1"/>
  <c r="Q150" i="1" s="1"/>
  <c r="Q151" i="1" a="1"/>
  <c r="Q151" i="1" s="1"/>
  <c r="Q152" i="1" a="1"/>
  <c r="Q152" i="1" s="1"/>
  <c r="Q153" i="1" a="1"/>
  <c r="Q153" i="1" s="1"/>
  <c r="Q154" i="1" a="1"/>
  <c r="Q154" i="1" s="1"/>
  <c r="Q155" i="1" a="1"/>
  <c r="Q155" i="1" s="1"/>
  <c r="Q156" i="1" a="1"/>
  <c r="Q156" i="1" s="1"/>
  <c r="Q157" i="1" a="1"/>
  <c r="Q157" i="1" s="1"/>
  <c r="Q158" i="1" a="1"/>
  <c r="Q158" i="1" s="1"/>
  <c r="Q159" i="1" a="1"/>
  <c r="Q159" i="1" s="1"/>
  <c r="Q160" i="1" a="1"/>
  <c r="Q160" i="1" s="1"/>
  <c r="Q161" i="1" a="1"/>
  <c r="Q161" i="1" s="1"/>
  <c r="Q162" i="1" a="1"/>
  <c r="Q162" i="1" s="1"/>
  <c r="Q163" i="1" a="1"/>
  <c r="Q163" i="1" s="1"/>
  <c r="Q164" i="1" a="1"/>
  <c r="Q164" i="1" s="1"/>
  <c r="Q165" i="1" a="1"/>
  <c r="Q165" i="1" s="1"/>
  <c r="Q166" i="1" a="1"/>
  <c r="Q166" i="1" s="1"/>
  <c r="Q167" i="1" a="1"/>
  <c r="Q167" i="1" s="1"/>
  <c r="Q168" i="1" a="1"/>
  <c r="Q168" i="1" s="1"/>
  <c r="Q169" i="1" a="1"/>
  <c r="Q169" i="1" s="1"/>
  <c r="Q170" i="1" a="1"/>
  <c r="Q170" i="1" s="1"/>
  <c r="Q171" i="1" a="1"/>
  <c r="Q171" i="1" s="1"/>
  <c r="Q172" i="1" a="1"/>
  <c r="Q172" i="1" s="1"/>
  <c r="Q173" i="1" a="1"/>
  <c r="Q173" i="1" s="1"/>
  <c r="Q174" i="1" a="1"/>
  <c r="Q174" i="1" s="1"/>
  <c r="Q175" i="1" a="1"/>
  <c r="Q175" i="1" s="1"/>
  <c r="Q176" i="1" a="1"/>
  <c r="Q176" i="1" s="1"/>
  <c r="Q177" i="1" a="1"/>
  <c r="Q177" i="1" s="1"/>
  <c r="Q178" i="1" a="1"/>
  <c r="Q178" i="1" s="1"/>
  <c r="Q179" i="1" a="1"/>
  <c r="Q179" i="1" s="1"/>
  <c r="Q180" i="1" a="1"/>
  <c r="Q180" i="1" s="1"/>
  <c r="Q181" i="1" a="1"/>
  <c r="Q181" i="1" s="1"/>
  <c r="Q182" i="1" a="1"/>
  <c r="Q182" i="1" s="1"/>
  <c r="Q183" i="1" a="1"/>
  <c r="Q183" i="1" s="1"/>
  <c r="Q184" i="1" a="1"/>
  <c r="Q184" i="1" s="1"/>
  <c r="Q185" i="1" a="1"/>
  <c r="Q185" i="1" s="1"/>
  <c r="Q186" i="1" a="1"/>
  <c r="Q186" i="1" s="1"/>
  <c r="Q187" i="1" a="1"/>
  <c r="Q187" i="1" s="1"/>
  <c r="Q188" i="1" a="1"/>
  <c r="Q188" i="1" s="1"/>
  <c r="Q189" i="1" a="1"/>
  <c r="Q189" i="1" s="1"/>
  <c r="Q190" i="1" a="1"/>
  <c r="Q190" i="1" s="1"/>
  <c r="Q191" i="1" a="1"/>
  <c r="Q191" i="1" s="1"/>
  <c r="Q192" i="1" a="1"/>
  <c r="Q192" i="1" s="1"/>
  <c r="Q193" i="1" a="1"/>
  <c r="Q193" i="1" s="1"/>
  <c r="Q194" i="1" a="1"/>
  <c r="Q194" i="1" s="1"/>
  <c r="Q195" i="1" a="1"/>
  <c r="Q195" i="1" s="1"/>
  <c r="Q196" i="1" a="1"/>
  <c r="Q196" i="1" s="1"/>
  <c r="Q197" i="1" a="1"/>
  <c r="Q197" i="1" s="1"/>
  <c r="Q198" i="1" a="1"/>
  <c r="Q198" i="1" s="1"/>
  <c r="Q199" i="1" a="1"/>
  <c r="Q199" i="1" s="1"/>
  <c r="Q200" i="1" a="1"/>
  <c r="Q200" i="1" s="1"/>
  <c r="Q201" i="1" a="1"/>
  <c r="Q201" i="1" s="1"/>
  <c r="Q202" i="1" a="1"/>
  <c r="Q202" i="1" s="1"/>
  <c r="Q203" i="1" a="1"/>
  <c r="Q203" i="1" s="1"/>
  <c r="Q204" i="1" a="1"/>
  <c r="Q204" i="1" s="1"/>
  <c r="Q205" i="1" a="1"/>
  <c r="Q205" i="1" s="1"/>
  <c r="Q206" i="1" a="1"/>
  <c r="Q206" i="1" s="1"/>
  <c r="Q207" i="1" a="1"/>
  <c r="Q207" i="1" s="1"/>
  <c r="Q208" i="1" a="1"/>
  <c r="Q208" i="1" s="1"/>
  <c r="Q209" i="1" a="1"/>
  <c r="Q209" i="1" s="1"/>
  <c r="Q210" i="1" a="1"/>
  <c r="Q210" i="1" s="1"/>
  <c r="Q211" i="1" a="1"/>
  <c r="Q211" i="1" s="1"/>
  <c r="Q212" i="1" a="1"/>
  <c r="Q212" i="1" s="1"/>
  <c r="Q213" i="1" a="1"/>
  <c r="Q213" i="1" s="1"/>
  <c r="Q214" i="1" a="1"/>
  <c r="Q214" i="1" s="1"/>
  <c r="Q215" i="1" a="1"/>
  <c r="Q215" i="1" s="1"/>
  <c r="Q216" i="1" a="1"/>
  <c r="Q216" i="1" s="1"/>
  <c r="Q217" i="1" a="1"/>
  <c r="Q217" i="1" s="1"/>
  <c r="Q218" i="1" a="1"/>
  <c r="Q218" i="1" s="1"/>
  <c r="Q219" i="1" a="1"/>
  <c r="Q219" i="1" s="1"/>
  <c r="Q220" i="1" a="1"/>
  <c r="Q220" i="1" s="1"/>
  <c r="Q221" i="1" a="1"/>
  <c r="Q221" i="1" s="1"/>
  <c r="Q222" i="1" a="1"/>
  <c r="Q222" i="1" s="1"/>
  <c r="Q223" i="1" a="1"/>
  <c r="Q223" i="1" s="1"/>
  <c r="Q224" i="1" a="1"/>
  <c r="Q224" i="1" s="1"/>
  <c r="Q225" i="1" a="1"/>
  <c r="Q225" i="1" s="1"/>
  <c r="Q226" i="1" a="1"/>
  <c r="Q226" i="1" s="1"/>
  <c r="Q227" i="1" a="1"/>
  <c r="Q227" i="1" s="1"/>
  <c r="Q228" i="1" a="1"/>
  <c r="Q228" i="1" s="1"/>
  <c r="Q229" i="1" a="1"/>
  <c r="Q229" i="1" s="1"/>
  <c r="Q230" i="1" a="1"/>
  <c r="Q230" i="1" s="1"/>
  <c r="Q231" i="1" a="1"/>
  <c r="Q231" i="1" s="1"/>
  <c r="Q232" i="1" a="1"/>
  <c r="Q232" i="1" s="1"/>
  <c r="Q233" i="1" a="1"/>
  <c r="Q233" i="1" s="1"/>
  <c r="Q234" i="1" a="1"/>
  <c r="Q234" i="1" s="1"/>
  <c r="Q235" i="1" a="1"/>
  <c r="Q235" i="1" s="1"/>
  <c r="Q236" i="1" a="1"/>
  <c r="Q236" i="1" s="1"/>
  <c r="Q237" i="1" a="1"/>
  <c r="Q237" i="1" s="1"/>
  <c r="Q238" i="1" a="1"/>
  <c r="Q238" i="1" s="1"/>
  <c r="Q239" i="1" a="1"/>
  <c r="Q239" i="1" s="1"/>
  <c r="Q240" i="1" a="1"/>
  <c r="Q240" i="1" s="1"/>
  <c r="Q241" i="1" a="1"/>
  <c r="Q241" i="1" s="1"/>
  <c r="Q242" i="1" a="1"/>
  <c r="Q242" i="1" s="1"/>
  <c r="Q243" i="1" a="1"/>
  <c r="Q243" i="1" s="1"/>
  <c r="Q244" i="1" a="1"/>
  <c r="Q244" i="1" s="1"/>
  <c r="Q245" i="1" a="1"/>
  <c r="Q245" i="1" s="1"/>
  <c r="Q246" i="1" a="1"/>
  <c r="Q246" i="1" s="1"/>
  <c r="Q247" i="1" a="1"/>
  <c r="Q247" i="1" s="1"/>
  <c r="Q248" i="1" a="1"/>
  <c r="Q248" i="1" s="1"/>
  <c r="Q249" i="1" a="1"/>
  <c r="Q249" i="1" s="1"/>
  <c r="Q250" i="1" a="1"/>
  <c r="Q250" i="1" s="1"/>
  <c r="Q251" i="1" a="1"/>
  <c r="Q251" i="1" s="1"/>
  <c r="Q252" i="1" a="1"/>
  <c r="Q252" i="1" s="1"/>
  <c r="Q253" i="1" a="1"/>
  <c r="Q253" i="1" s="1"/>
  <c r="Q254" i="1" a="1"/>
  <c r="Q254" i="1" s="1"/>
  <c r="Q255" i="1" a="1"/>
  <c r="Q255" i="1" s="1"/>
  <c r="Q256" i="1" a="1"/>
  <c r="Q256" i="1" s="1"/>
  <c r="Q257" i="1" a="1"/>
  <c r="Q257" i="1" s="1"/>
  <c r="Q258" i="1" a="1"/>
  <c r="Q258" i="1" s="1"/>
  <c r="Q259" i="1" a="1"/>
  <c r="Q259" i="1" s="1"/>
  <c r="Q260" i="1" a="1"/>
  <c r="Q260" i="1" s="1"/>
  <c r="Q261" i="1" a="1"/>
  <c r="Q261" i="1" s="1"/>
  <c r="Q262" i="1" a="1"/>
  <c r="Q262" i="1" s="1"/>
  <c r="Q263" i="1" a="1"/>
  <c r="Q263" i="1" s="1"/>
  <c r="Q264" i="1" a="1"/>
  <c r="Q264" i="1" s="1"/>
  <c r="Q265" i="1" a="1"/>
  <c r="Q265" i="1" s="1"/>
  <c r="Q266" i="1" a="1"/>
  <c r="Q266" i="1" s="1"/>
  <c r="Q267" i="1" a="1"/>
  <c r="Q267" i="1" s="1"/>
  <c r="Q268" i="1" a="1"/>
  <c r="Q268" i="1" s="1"/>
  <c r="Q269" i="1" a="1"/>
  <c r="Q269" i="1" s="1"/>
  <c r="Q270" i="1" a="1"/>
  <c r="Q270" i="1" s="1"/>
  <c r="Q271" i="1" a="1"/>
  <c r="Q271" i="1" s="1"/>
  <c r="Q272" i="1" a="1"/>
  <c r="Q272" i="1" s="1"/>
  <c r="Q273" i="1" a="1"/>
  <c r="Q273" i="1" s="1"/>
  <c r="Q274" i="1" a="1"/>
  <c r="Q274" i="1" s="1"/>
  <c r="Q275" i="1" a="1"/>
  <c r="Q275" i="1" s="1"/>
  <c r="Q276" i="1" a="1"/>
  <c r="Q276" i="1" s="1"/>
  <c r="Q277" i="1" a="1"/>
  <c r="Q277" i="1" s="1"/>
  <c r="Q278" i="1" a="1"/>
  <c r="Q278" i="1" s="1"/>
  <c r="Q279" i="1" a="1"/>
  <c r="Q279" i="1" s="1"/>
  <c r="Q280" i="1" a="1"/>
  <c r="Q280" i="1" s="1"/>
  <c r="Q281" i="1" a="1"/>
  <c r="Q281" i="1" s="1"/>
  <c r="Q282" i="1" a="1"/>
  <c r="Q282" i="1" s="1"/>
  <c r="Q283" i="1" a="1"/>
  <c r="Q283" i="1" s="1"/>
  <c r="Q284" i="1" a="1"/>
  <c r="Q284" i="1" s="1"/>
  <c r="Q285" i="1" a="1"/>
  <c r="Q285" i="1" s="1"/>
  <c r="Q286" i="1" a="1"/>
  <c r="Q286" i="1" s="1"/>
  <c r="Q287" i="1" a="1"/>
  <c r="Q287" i="1" s="1"/>
  <c r="Q288" i="1" a="1"/>
  <c r="Q288" i="1" s="1"/>
  <c r="Q289" i="1" a="1"/>
  <c r="Q289" i="1" s="1"/>
  <c r="Q290" i="1" a="1"/>
  <c r="Q290" i="1" s="1"/>
  <c r="Q291" i="1" a="1"/>
  <c r="Q291" i="1" s="1"/>
  <c r="Q292" i="1" a="1"/>
  <c r="Q292" i="1" s="1"/>
  <c r="Q293" i="1" a="1"/>
  <c r="Q293" i="1" s="1"/>
  <c r="Q294" i="1" a="1"/>
  <c r="Q294" i="1" s="1"/>
  <c r="Q295" i="1" a="1"/>
  <c r="Q295" i="1" s="1"/>
  <c r="Q296" i="1" a="1"/>
  <c r="Q296" i="1" s="1"/>
  <c r="Q297" i="1" a="1"/>
  <c r="Q297" i="1" s="1"/>
  <c r="Q298" i="1" a="1"/>
  <c r="Q298" i="1" s="1"/>
  <c r="Q299" i="1" a="1"/>
  <c r="Q299" i="1" s="1"/>
  <c r="Q300" i="1" a="1"/>
  <c r="Q300" i="1" s="1"/>
  <c r="Q301" i="1" a="1"/>
  <c r="Q301" i="1" s="1"/>
  <c r="Q302" i="1" a="1"/>
  <c r="Q302" i="1" s="1"/>
  <c r="Q303" i="1" a="1"/>
  <c r="Q303" i="1" s="1"/>
  <c r="Q304" i="1" a="1"/>
  <c r="Q304" i="1" s="1"/>
  <c r="Q305" i="1" a="1"/>
  <c r="Q305" i="1" s="1"/>
  <c r="Q306" i="1" a="1"/>
  <c r="Q306" i="1" s="1"/>
  <c r="Q307" i="1" a="1"/>
  <c r="Q307" i="1" s="1"/>
  <c r="Q308" i="1" a="1"/>
  <c r="Q308" i="1" s="1"/>
  <c r="Q309" i="1" a="1"/>
  <c r="Q309" i="1" s="1"/>
  <c r="Q310" i="1" a="1"/>
  <c r="Q310" i="1" s="1"/>
  <c r="Q311" i="1" a="1"/>
  <c r="Q311" i="1" s="1"/>
  <c r="Q312" i="1" a="1"/>
  <c r="Q312" i="1" s="1"/>
  <c r="Q313" i="1" a="1"/>
  <c r="Q313" i="1" s="1"/>
  <c r="Q314" i="1" a="1"/>
  <c r="Q314" i="1" s="1"/>
  <c r="Q315" i="1" a="1"/>
  <c r="Q315" i="1" s="1"/>
  <c r="Q316" i="1" a="1"/>
  <c r="Q316" i="1" s="1"/>
  <c r="Q317" i="1" a="1"/>
  <c r="Q317" i="1" s="1"/>
  <c r="Q318" i="1" a="1"/>
  <c r="Q318" i="1" s="1"/>
  <c r="Q319" i="1" a="1"/>
  <c r="Q319" i="1" s="1"/>
  <c r="Q320" i="1" a="1"/>
  <c r="Q320" i="1" s="1"/>
  <c r="Q321" i="1" a="1"/>
  <c r="Q321" i="1" s="1"/>
  <c r="Q322" i="1" a="1"/>
  <c r="Q322" i="1" s="1"/>
  <c r="Q323" i="1" a="1"/>
  <c r="Q323" i="1" s="1"/>
  <c r="Q324" i="1" a="1"/>
  <c r="Q324" i="1" s="1"/>
  <c r="Q325" i="1" a="1"/>
  <c r="Q325" i="1" s="1"/>
  <c r="Q326" i="1" a="1"/>
  <c r="Q326" i="1" s="1"/>
  <c r="Q327" i="1" a="1"/>
  <c r="Q327" i="1" s="1"/>
  <c r="Q328" i="1" a="1"/>
  <c r="Q328" i="1" s="1"/>
  <c r="Q329" i="1" a="1"/>
  <c r="Q329" i="1" s="1"/>
  <c r="Q330" i="1" a="1"/>
  <c r="Q330" i="1" s="1"/>
  <c r="Q331" i="1" a="1"/>
  <c r="Q331" i="1" s="1"/>
  <c r="Q332" i="1" a="1"/>
  <c r="Q332" i="1" s="1"/>
  <c r="Q333" i="1" a="1"/>
  <c r="Q333" i="1" s="1"/>
  <c r="Q334" i="1" a="1"/>
  <c r="Q334" i="1" s="1"/>
  <c r="Q335" i="1" a="1"/>
  <c r="Q335" i="1" s="1"/>
  <c r="Q336" i="1" a="1"/>
  <c r="Q336" i="1" s="1"/>
  <c r="Q337" i="1" a="1"/>
  <c r="Q337" i="1" s="1"/>
  <c r="Q338" i="1" a="1"/>
  <c r="Q338" i="1" s="1"/>
  <c r="Q339" i="1" a="1"/>
  <c r="Q339" i="1" s="1"/>
  <c r="Q340" i="1" a="1"/>
  <c r="Q340" i="1" s="1"/>
  <c r="Q341" i="1" a="1"/>
  <c r="Q341" i="1" s="1"/>
  <c r="Q342" i="1" a="1"/>
  <c r="Q342" i="1" s="1"/>
  <c r="Q343" i="1" a="1"/>
  <c r="Q343" i="1" s="1"/>
  <c r="Q344" i="1" a="1"/>
  <c r="Q344" i="1" s="1"/>
  <c r="Q345" i="1" a="1"/>
  <c r="Q345" i="1" s="1"/>
  <c r="Q346" i="1" a="1"/>
  <c r="Q346" i="1" s="1"/>
  <c r="Q347" i="1" a="1"/>
  <c r="Q347" i="1" s="1"/>
  <c r="Q348" i="1" a="1"/>
  <c r="Q348" i="1" s="1"/>
  <c r="Q349" i="1" a="1"/>
  <c r="Q349" i="1" s="1"/>
  <c r="Q350" i="1" a="1"/>
  <c r="Q350" i="1" s="1"/>
  <c r="Q351" i="1" a="1"/>
  <c r="Q351" i="1" s="1"/>
  <c r="Q352" i="1" a="1"/>
  <c r="Q352" i="1" s="1"/>
  <c r="Q353" i="1" a="1"/>
  <c r="Q353" i="1" s="1"/>
  <c r="Q354" i="1" a="1"/>
  <c r="Q354" i="1" s="1"/>
  <c r="Q355" i="1" a="1"/>
  <c r="Q355" i="1" s="1"/>
  <c r="Q356" i="1" a="1"/>
  <c r="Q356" i="1" s="1"/>
  <c r="Q357" i="1" a="1"/>
  <c r="Q357" i="1" s="1"/>
  <c r="Q358" i="1" a="1"/>
  <c r="Q358" i="1" s="1"/>
  <c r="Q359" i="1" a="1"/>
  <c r="Q359" i="1" s="1"/>
  <c r="Q360" i="1" a="1"/>
  <c r="Q360" i="1" s="1"/>
  <c r="Q361" i="1" a="1"/>
  <c r="Q361" i="1" s="1"/>
  <c r="Q362" i="1" a="1"/>
  <c r="Q362" i="1" s="1"/>
  <c r="Q363" i="1" a="1"/>
  <c r="Q363" i="1" s="1"/>
  <c r="Q364" i="1" a="1"/>
  <c r="Q364" i="1" s="1"/>
  <c r="Q365" i="1" a="1"/>
  <c r="Q365" i="1" s="1"/>
  <c r="Q366" i="1" a="1"/>
  <c r="Q366" i="1" s="1"/>
  <c r="Q367" i="1" a="1"/>
  <c r="Q367" i="1" s="1"/>
  <c r="Q368" i="1" a="1"/>
  <c r="Q368" i="1" s="1"/>
  <c r="Q369" i="1" a="1"/>
  <c r="Q369" i="1" s="1"/>
  <c r="Q370" i="1" a="1"/>
  <c r="Q370" i="1" s="1"/>
  <c r="Q371" i="1" a="1"/>
  <c r="Q371" i="1" s="1"/>
  <c r="Q372" i="1" a="1"/>
  <c r="Q372" i="1" s="1"/>
  <c r="Q373" i="1" a="1"/>
  <c r="Q373" i="1" s="1"/>
  <c r="Q374" i="1" a="1"/>
  <c r="Q374" i="1" s="1"/>
  <c r="Q375" i="1" a="1"/>
  <c r="Q375" i="1" s="1"/>
  <c r="Q376" i="1" a="1"/>
  <c r="Q376" i="1" s="1"/>
  <c r="Q377" i="1" a="1"/>
  <c r="Q377" i="1" s="1"/>
  <c r="Q378" i="1" a="1"/>
  <c r="Q378" i="1" s="1"/>
  <c r="Q379" i="1" a="1"/>
  <c r="Q379" i="1" s="1"/>
  <c r="Q380" i="1" a="1"/>
  <c r="Q380" i="1" s="1"/>
  <c r="Q381" i="1" a="1"/>
  <c r="Q381" i="1" s="1"/>
  <c r="Q382" i="1" a="1"/>
  <c r="Q382" i="1" s="1"/>
  <c r="Q383" i="1" a="1"/>
  <c r="Q383" i="1" s="1"/>
  <c r="Q384" i="1" a="1"/>
  <c r="Q384" i="1" s="1"/>
  <c r="Q385" i="1" a="1"/>
  <c r="Q385" i="1" s="1"/>
  <c r="Q386" i="1" a="1"/>
  <c r="Q386" i="1" s="1"/>
  <c r="Q387" i="1" a="1"/>
  <c r="Q387" i="1" s="1"/>
  <c r="Q388" i="1" a="1"/>
  <c r="Q388" i="1" s="1"/>
  <c r="Q389" i="1" a="1"/>
  <c r="Q389" i="1" s="1"/>
  <c r="Q390" i="1" a="1"/>
  <c r="Q390" i="1" s="1"/>
  <c r="Q391" i="1" a="1"/>
  <c r="Q391" i="1" s="1"/>
  <c r="Q392" i="1" a="1"/>
  <c r="Q392" i="1" s="1"/>
  <c r="Q393" i="1" a="1"/>
  <c r="Q393" i="1" s="1"/>
  <c r="Q394" i="1" a="1"/>
  <c r="Q394" i="1" s="1"/>
  <c r="Q395" i="1" a="1"/>
  <c r="Q395" i="1" s="1"/>
  <c r="Q396" i="1" a="1"/>
  <c r="Q396" i="1" s="1"/>
  <c r="Q397" i="1" a="1"/>
  <c r="Q397" i="1" s="1"/>
  <c r="Q398" i="1" a="1"/>
  <c r="Q398" i="1" s="1"/>
  <c r="Q399" i="1" a="1"/>
  <c r="Q399" i="1" s="1"/>
  <c r="Q400" i="1" a="1"/>
  <c r="Q400" i="1" s="1"/>
  <c r="Q401" i="1" a="1"/>
  <c r="Q401" i="1" s="1"/>
  <c r="Q402" i="1" a="1"/>
  <c r="Q402" i="1" s="1"/>
  <c r="Q403" i="1" a="1"/>
  <c r="Q403" i="1" s="1"/>
  <c r="Q404" i="1" a="1"/>
  <c r="Q404" i="1" s="1"/>
  <c r="Q405" i="1" a="1"/>
  <c r="Q405" i="1" s="1"/>
  <c r="Q406" i="1" a="1"/>
  <c r="Q406" i="1" s="1"/>
  <c r="Q407" i="1" a="1"/>
  <c r="Q407" i="1" s="1"/>
  <c r="Q408" i="1" a="1"/>
  <c r="Q408" i="1" s="1"/>
  <c r="Q409" i="1" a="1"/>
  <c r="Q409" i="1" s="1"/>
  <c r="Q410" i="1" a="1"/>
  <c r="Q410" i="1" s="1"/>
  <c r="Q411" i="1" a="1"/>
  <c r="Q411" i="1" s="1"/>
  <c r="Q412" i="1" a="1"/>
  <c r="Q412" i="1" s="1"/>
  <c r="Q413" i="1" a="1"/>
  <c r="Q413" i="1" s="1"/>
  <c r="Q414" i="1" a="1"/>
  <c r="Q414" i="1" s="1"/>
  <c r="Q415" i="1" a="1"/>
  <c r="Q415" i="1" s="1"/>
  <c r="Q416" i="1" a="1"/>
  <c r="Q416" i="1" s="1"/>
  <c r="Q417" i="1" a="1"/>
  <c r="Q417" i="1" s="1"/>
  <c r="Q418" i="1" a="1"/>
  <c r="Q418" i="1" s="1"/>
  <c r="Q419" i="1" a="1"/>
  <c r="Q419" i="1" s="1"/>
  <c r="Q420" i="1" a="1"/>
  <c r="Q420" i="1" s="1"/>
  <c r="Q421" i="1" a="1"/>
  <c r="Q421" i="1" s="1"/>
  <c r="Q422" i="1" a="1"/>
  <c r="Q422" i="1" s="1"/>
  <c r="Q423" i="1" a="1"/>
  <c r="Q423" i="1" s="1"/>
  <c r="Q424" i="1" a="1"/>
  <c r="Q424" i="1" s="1"/>
  <c r="Q425" i="1" a="1"/>
  <c r="Q425" i="1" s="1"/>
  <c r="Q426" i="1" a="1"/>
  <c r="Q426" i="1" s="1"/>
  <c r="Q427" i="1" a="1"/>
  <c r="Q427" i="1" s="1"/>
  <c r="Q428" i="1" a="1"/>
  <c r="Q428" i="1" s="1"/>
  <c r="Q429" i="1" a="1"/>
  <c r="Q429" i="1" s="1"/>
  <c r="Q430" i="1" a="1"/>
  <c r="Q430" i="1" s="1"/>
  <c r="Q431" i="1" a="1"/>
  <c r="Q431" i="1" s="1"/>
  <c r="Q432" i="1" a="1"/>
  <c r="Q432" i="1" s="1"/>
  <c r="Q433" i="1" a="1"/>
  <c r="Q433" i="1" s="1"/>
  <c r="Q434" i="1" a="1"/>
  <c r="Q434" i="1" s="1"/>
  <c r="Q435" i="1" a="1"/>
  <c r="Q435" i="1" s="1"/>
  <c r="Q436" i="1" a="1"/>
  <c r="Q436" i="1" s="1"/>
  <c r="Q437" i="1" a="1"/>
  <c r="Q437" i="1" s="1"/>
  <c r="Q438" i="1" a="1"/>
  <c r="Q438" i="1" s="1"/>
  <c r="Q439" i="1" a="1"/>
  <c r="Q439" i="1" s="1"/>
  <c r="Q440" i="1" a="1"/>
  <c r="Q440" i="1" s="1"/>
  <c r="Q441" i="1" a="1"/>
  <c r="Q441" i="1" s="1"/>
  <c r="Q442" i="1" a="1"/>
  <c r="Q442" i="1" s="1"/>
  <c r="Q443" i="1" a="1"/>
  <c r="Q443" i="1" s="1"/>
  <c r="Q444" i="1" a="1"/>
  <c r="Q444" i="1" s="1"/>
  <c r="Q445" i="1" a="1"/>
  <c r="Q445" i="1" s="1"/>
  <c r="Q446" i="1" a="1"/>
  <c r="Q446" i="1" s="1"/>
  <c r="Q447" i="1" a="1"/>
  <c r="Q447" i="1" s="1"/>
  <c r="Q448" i="1" a="1"/>
  <c r="Q448" i="1" s="1"/>
  <c r="Q449" i="1" a="1"/>
  <c r="Q449" i="1" s="1"/>
  <c r="Q450" i="1" a="1"/>
  <c r="Q450" i="1" s="1"/>
  <c r="Q451" i="1" a="1"/>
  <c r="Q451" i="1" s="1"/>
  <c r="Q452" i="1" a="1"/>
  <c r="Q452" i="1" s="1"/>
  <c r="Q453" i="1" a="1"/>
  <c r="Q453" i="1" s="1"/>
  <c r="Q454" i="1" a="1"/>
  <c r="Q454" i="1" s="1"/>
  <c r="Q455" i="1" a="1"/>
  <c r="Q455" i="1" s="1"/>
  <c r="Q456" i="1" a="1"/>
  <c r="Q456" i="1" s="1"/>
  <c r="Q457" i="1" a="1"/>
  <c r="Q457" i="1" s="1"/>
  <c r="Q458" i="1" a="1"/>
  <c r="Q458" i="1" s="1"/>
  <c r="Q459" i="1" a="1"/>
  <c r="Q459" i="1" s="1"/>
  <c r="Q460" i="1" a="1"/>
  <c r="Q460" i="1" s="1"/>
  <c r="Q461" i="1" a="1"/>
  <c r="Q461" i="1" s="1"/>
  <c r="Q462" i="1" a="1"/>
  <c r="Q462" i="1" s="1"/>
  <c r="Q463" i="1" a="1"/>
  <c r="Q463" i="1" s="1"/>
  <c r="Q464" i="1" a="1"/>
  <c r="Q464" i="1" s="1"/>
  <c r="Q465" i="1" a="1"/>
  <c r="Q465" i="1" s="1"/>
  <c r="Q466" i="1" a="1"/>
  <c r="Q466" i="1" s="1"/>
  <c r="Q467" i="1" a="1"/>
  <c r="Q467" i="1" s="1"/>
  <c r="Q468" i="1" a="1"/>
  <c r="Q468" i="1" s="1"/>
  <c r="Q469" i="1" a="1"/>
  <c r="Q469" i="1" s="1"/>
  <c r="Q470" i="1" a="1"/>
  <c r="Q470" i="1" s="1"/>
  <c r="Q471" i="1" a="1"/>
  <c r="Q471" i="1" s="1"/>
  <c r="Q472" i="1" a="1"/>
  <c r="Q472" i="1" s="1"/>
  <c r="Q473" i="1" a="1"/>
  <c r="Q473" i="1" s="1"/>
  <c r="Q474" i="1" a="1"/>
  <c r="Q474" i="1" s="1"/>
  <c r="Q475" i="1" a="1"/>
  <c r="Q475" i="1" s="1"/>
  <c r="Q476" i="1" a="1"/>
  <c r="Q476" i="1" s="1"/>
  <c r="Q477" i="1" a="1"/>
  <c r="Q477" i="1" s="1"/>
  <c r="Q478" i="1" a="1"/>
  <c r="Q478" i="1" s="1"/>
  <c r="Q479" i="1" a="1"/>
  <c r="Q479" i="1" s="1"/>
  <c r="Q480" i="1" a="1"/>
  <c r="Q480" i="1" s="1"/>
  <c r="Q481" i="1" a="1"/>
  <c r="Q481" i="1" s="1"/>
  <c r="Q482" i="1" a="1"/>
  <c r="Q482" i="1" s="1"/>
  <c r="Q483" i="1" a="1"/>
  <c r="Q483" i="1" s="1"/>
  <c r="Q484" i="1" a="1"/>
  <c r="Q484" i="1" s="1"/>
  <c r="Q485" i="1" a="1"/>
  <c r="Q485" i="1" s="1"/>
  <c r="Q486" i="1" a="1"/>
  <c r="Q486" i="1" s="1"/>
  <c r="Q487" i="1" a="1"/>
  <c r="Q487" i="1" s="1"/>
  <c r="Q488" i="1" a="1"/>
  <c r="Q488" i="1" s="1"/>
  <c r="Q489" i="1" a="1"/>
  <c r="Q489" i="1" s="1"/>
  <c r="Q490" i="1" a="1"/>
  <c r="Q490" i="1" s="1"/>
  <c r="Q491" i="1" a="1"/>
  <c r="Q491" i="1" s="1"/>
  <c r="Q492" i="1" a="1"/>
  <c r="Q492" i="1" s="1"/>
  <c r="Q493" i="1" a="1"/>
  <c r="Q493" i="1" s="1"/>
  <c r="Q494" i="1" a="1"/>
  <c r="Q494" i="1" s="1"/>
  <c r="Q495" i="1" a="1"/>
  <c r="Q495" i="1" s="1"/>
  <c r="Q496" i="1" a="1"/>
  <c r="Q496" i="1" s="1"/>
  <c r="Q497" i="1" a="1"/>
  <c r="Q497" i="1" s="1"/>
  <c r="Q498" i="1" a="1"/>
  <c r="Q498" i="1" s="1"/>
  <c r="Q499" i="1" a="1"/>
  <c r="Q499" i="1" s="1"/>
  <c r="Q500" i="1" a="1"/>
  <c r="Q500" i="1" s="1"/>
  <c r="Q501" i="1" a="1"/>
  <c r="Q501" i="1" s="1"/>
  <c r="Q502" i="1" a="1"/>
  <c r="Q502" i="1" s="1"/>
  <c r="Q503" i="1" a="1"/>
  <c r="Q503" i="1" s="1"/>
  <c r="Q504" i="1" a="1"/>
  <c r="Q504" i="1" s="1"/>
  <c r="Q505" i="1" a="1"/>
  <c r="Q505" i="1" s="1"/>
  <c r="Q506" i="1" a="1"/>
  <c r="Q506" i="1" s="1"/>
  <c r="Q507" i="1" a="1"/>
  <c r="Q507" i="1" s="1"/>
  <c r="Q508" i="1" a="1"/>
  <c r="Q508" i="1" s="1"/>
  <c r="Q509" i="1" a="1"/>
  <c r="Q509" i="1" s="1"/>
  <c r="Q510" i="1" a="1"/>
  <c r="Q510" i="1" s="1"/>
  <c r="Q511" i="1" a="1"/>
  <c r="Q511" i="1" s="1"/>
  <c r="Q512" i="1" a="1"/>
  <c r="Q512" i="1" s="1"/>
  <c r="Q513" i="1" a="1"/>
  <c r="Q513" i="1" s="1"/>
  <c r="Q514" i="1" a="1"/>
  <c r="Q514" i="1" s="1"/>
  <c r="Q515" i="1" a="1"/>
  <c r="Q515" i="1" s="1"/>
  <c r="Q516" i="1" a="1"/>
  <c r="Q516" i="1" s="1"/>
  <c r="Q517" i="1" a="1"/>
  <c r="Q517" i="1" s="1"/>
  <c r="Q518" i="1" a="1"/>
  <c r="Q518" i="1" s="1"/>
  <c r="Q519" i="1" a="1"/>
  <c r="Q519" i="1" s="1"/>
  <c r="Q520" i="1" a="1"/>
  <c r="Q520" i="1" s="1"/>
  <c r="Q521" i="1" a="1"/>
  <c r="Q521" i="1" s="1"/>
  <c r="Q522" i="1" a="1"/>
  <c r="Q522" i="1" s="1"/>
  <c r="Q523" i="1" a="1"/>
  <c r="Q523" i="1" s="1"/>
  <c r="Q524" i="1" a="1"/>
  <c r="Q524" i="1" s="1"/>
  <c r="Q525" i="1" a="1"/>
  <c r="Q525" i="1" s="1"/>
  <c r="Q526" i="1" a="1"/>
  <c r="Q526" i="1" s="1"/>
  <c r="Q527" i="1" a="1"/>
  <c r="Q527" i="1" s="1"/>
  <c r="Q528" i="1" a="1"/>
  <c r="Q528" i="1" s="1"/>
  <c r="Q529" i="1" a="1"/>
  <c r="Q529" i="1" s="1"/>
  <c r="Q530" i="1" a="1"/>
  <c r="Q530" i="1" s="1"/>
  <c r="Q531" i="1" a="1"/>
  <c r="Q531" i="1" s="1"/>
  <c r="Q532" i="1" a="1"/>
  <c r="Q532" i="1" s="1"/>
  <c r="Q533" i="1" a="1"/>
  <c r="Q533" i="1" s="1"/>
  <c r="Q534" i="1" a="1"/>
  <c r="Q534" i="1" s="1"/>
  <c r="Q535" i="1" a="1"/>
  <c r="Q535" i="1" s="1"/>
  <c r="Q536" i="1" a="1"/>
  <c r="Q536" i="1" s="1"/>
  <c r="Q537" i="1" a="1"/>
  <c r="Q537" i="1" s="1"/>
  <c r="Q538" i="1" a="1"/>
  <c r="Q538" i="1" s="1"/>
  <c r="Q539" i="1" a="1"/>
  <c r="Q539" i="1" s="1"/>
  <c r="Q540" i="1" a="1"/>
  <c r="Q540" i="1" s="1"/>
  <c r="Q541" i="1" a="1"/>
  <c r="Q541" i="1" s="1"/>
  <c r="Q542" i="1" a="1"/>
  <c r="Q542" i="1" s="1"/>
  <c r="Q543" i="1" a="1"/>
  <c r="Q543" i="1" s="1"/>
  <c r="Q544" i="1" a="1"/>
  <c r="Q544" i="1" s="1"/>
  <c r="Q545" i="1" a="1"/>
  <c r="Q545" i="1" s="1"/>
  <c r="Q546" i="1" a="1"/>
  <c r="Q546" i="1" s="1"/>
  <c r="Q547" i="1" a="1"/>
  <c r="Q547" i="1" s="1"/>
  <c r="Q548" i="1" a="1"/>
  <c r="Q548" i="1" s="1"/>
  <c r="Q549" i="1" a="1"/>
  <c r="Q549" i="1" s="1"/>
  <c r="Q550" i="1" a="1"/>
  <c r="Q550" i="1" s="1"/>
  <c r="Q551" i="1" a="1"/>
  <c r="Q551" i="1" s="1"/>
  <c r="Q552" i="1" a="1"/>
  <c r="Q552" i="1" s="1"/>
  <c r="Q553" i="1" a="1"/>
  <c r="Q553" i="1" s="1"/>
  <c r="Q554" i="1" a="1"/>
  <c r="Q554" i="1" s="1"/>
  <c r="Q555" i="1" a="1"/>
  <c r="Q555" i="1" s="1"/>
  <c r="Q556" i="1" a="1"/>
  <c r="Q556" i="1" s="1"/>
  <c r="Q557" i="1" a="1"/>
  <c r="Q557" i="1" s="1"/>
  <c r="Q558" i="1" a="1"/>
  <c r="Q558" i="1" s="1"/>
  <c r="Q559" i="1" a="1"/>
  <c r="Q559" i="1" s="1"/>
  <c r="Q560" i="1" a="1"/>
  <c r="Q560" i="1" s="1"/>
  <c r="Q561" i="1" a="1"/>
  <c r="Q561" i="1" s="1"/>
  <c r="Q562" i="1" a="1"/>
  <c r="Q562" i="1" s="1"/>
  <c r="Q563" i="1" a="1"/>
  <c r="Q563" i="1" s="1"/>
  <c r="Q564" i="1" a="1"/>
  <c r="Q564" i="1" s="1"/>
  <c r="Q565" i="1" a="1"/>
  <c r="Q565" i="1" s="1"/>
  <c r="Q566" i="1" a="1"/>
  <c r="Q566" i="1" s="1"/>
  <c r="Q567" i="1" a="1"/>
  <c r="Q567" i="1" s="1"/>
  <c r="Q568" i="1" a="1"/>
  <c r="Q568" i="1" s="1"/>
  <c r="Q569" i="1" a="1"/>
  <c r="Q569" i="1" s="1"/>
  <c r="Q570" i="1" a="1"/>
  <c r="Q570" i="1" s="1"/>
  <c r="Q571" i="1" a="1"/>
  <c r="Q571" i="1" s="1"/>
  <c r="Q572" i="1" a="1"/>
  <c r="Q572" i="1" s="1"/>
  <c r="Q573" i="1" a="1"/>
  <c r="Q573" i="1" s="1"/>
  <c r="Q574" i="1" a="1"/>
  <c r="Q574" i="1" s="1"/>
  <c r="Q575" i="1" a="1"/>
  <c r="Q575" i="1" s="1"/>
  <c r="Q576" i="1" a="1"/>
  <c r="Q576" i="1" s="1"/>
  <c r="Q577" i="1" a="1"/>
  <c r="Q577" i="1" s="1"/>
  <c r="Q578" i="1" a="1"/>
  <c r="Q578" i="1" s="1"/>
  <c r="Q579" i="1" a="1"/>
  <c r="Q579" i="1" s="1"/>
  <c r="Q580" i="1" a="1"/>
  <c r="Q580" i="1" s="1"/>
  <c r="Q581" i="1" a="1"/>
  <c r="Q581" i="1" s="1"/>
  <c r="Q582" i="1" a="1"/>
  <c r="Q582" i="1" s="1"/>
  <c r="Q583" i="1" a="1"/>
  <c r="Q583" i="1" s="1"/>
  <c r="Q584" i="1" a="1"/>
  <c r="Q584" i="1" s="1"/>
  <c r="Q585" i="1" a="1"/>
  <c r="Q585" i="1" s="1"/>
  <c r="Q586" i="1" a="1"/>
  <c r="Q586" i="1" s="1"/>
  <c r="Q587" i="1" a="1"/>
  <c r="Q587" i="1" s="1"/>
  <c r="Q588" i="1" a="1"/>
  <c r="Q588" i="1" s="1"/>
  <c r="Q589" i="1" a="1"/>
  <c r="Q589" i="1" s="1"/>
  <c r="Q590" i="1" a="1"/>
  <c r="Q590" i="1" s="1"/>
  <c r="Q591" i="1" a="1"/>
  <c r="Q591" i="1" s="1"/>
  <c r="Q592" i="1" a="1"/>
  <c r="Q592" i="1" s="1"/>
  <c r="Q593" i="1" a="1"/>
  <c r="Q593" i="1" s="1"/>
  <c r="Q594" i="1" a="1"/>
  <c r="Q594" i="1" s="1"/>
  <c r="Q595" i="1" a="1"/>
  <c r="Q595" i="1" s="1"/>
  <c r="Q596" i="1" a="1"/>
  <c r="Q596" i="1" s="1"/>
  <c r="Q597" i="1" a="1"/>
  <c r="Q597" i="1" s="1"/>
  <c r="Q598" i="1" a="1"/>
  <c r="Q598" i="1" s="1"/>
  <c r="Q599" i="1" a="1"/>
  <c r="Q599" i="1" s="1"/>
  <c r="Q600" i="1" a="1"/>
  <c r="Q600" i="1" s="1"/>
  <c r="Q601" i="1" a="1"/>
  <c r="Q601" i="1" s="1"/>
  <c r="Q602" i="1" a="1"/>
  <c r="Q602" i="1" s="1"/>
  <c r="Q603" i="1" a="1"/>
  <c r="Q603" i="1" s="1"/>
  <c r="Q604" i="1" a="1"/>
  <c r="Q604" i="1" s="1"/>
  <c r="Q605" i="1" a="1"/>
  <c r="Q605" i="1" s="1"/>
  <c r="Q606" i="1" a="1"/>
  <c r="Q606" i="1" s="1"/>
  <c r="Q607" i="1" a="1"/>
  <c r="Q607" i="1" s="1"/>
  <c r="Q608" i="1" a="1"/>
  <c r="Q608" i="1" s="1"/>
  <c r="Q609" i="1" a="1"/>
  <c r="Q609" i="1" s="1"/>
  <c r="Q610" i="1" a="1"/>
  <c r="Q610" i="1" s="1"/>
  <c r="Q611" i="1" a="1"/>
  <c r="Q611" i="1" s="1"/>
  <c r="Q612" i="1" a="1"/>
  <c r="Q612" i="1" s="1"/>
  <c r="Q613" i="1" a="1"/>
  <c r="Q613" i="1" s="1"/>
  <c r="Q614" i="1" a="1"/>
  <c r="Q614" i="1" s="1"/>
  <c r="Q615" i="1" a="1"/>
  <c r="Q615" i="1" s="1"/>
  <c r="Q616" i="1" a="1"/>
  <c r="Q616" i="1" s="1"/>
  <c r="Q617" i="1" a="1"/>
  <c r="Q617" i="1" s="1"/>
  <c r="Q618" i="1" a="1"/>
  <c r="Q618" i="1" s="1"/>
  <c r="Q619" i="1" a="1"/>
  <c r="Q619" i="1" s="1"/>
  <c r="Q620" i="1" a="1"/>
  <c r="Q620" i="1" s="1"/>
  <c r="Q621" i="1" a="1"/>
  <c r="Q621" i="1" s="1"/>
  <c r="Q622" i="1" a="1"/>
  <c r="Q622" i="1" s="1"/>
  <c r="Q623" i="1" a="1"/>
  <c r="Q623" i="1" s="1"/>
  <c r="Q624" i="1" a="1"/>
  <c r="Q624" i="1" s="1"/>
  <c r="Q625" i="1" a="1"/>
  <c r="Q625" i="1" s="1"/>
  <c r="Q626" i="1" a="1"/>
  <c r="Q626" i="1" s="1"/>
  <c r="Q627" i="1" a="1"/>
  <c r="Q627" i="1" s="1"/>
  <c r="Q628" i="1" a="1"/>
  <c r="Q628" i="1" s="1"/>
  <c r="Q629" i="1" a="1"/>
  <c r="Q629" i="1" s="1"/>
  <c r="Q630" i="1" a="1"/>
  <c r="Q630" i="1" s="1"/>
  <c r="Q631" i="1" a="1"/>
  <c r="Q631" i="1" s="1"/>
  <c r="Q632" i="1" a="1"/>
  <c r="Q632" i="1" s="1"/>
  <c r="Q633" i="1" a="1"/>
  <c r="Q633" i="1" s="1"/>
  <c r="Q634" i="1" a="1"/>
  <c r="Q634" i="1" s="1"/>
  <c r="Q635" i="1" a="1"/>
  <c r="Q635" i="1" s="1"/>
  <c r="Q636" i="1" a="1"/>
  <c r="Q636" i="1" s="1"/>
  <c r="Q637" i="1" a="1"/>
  <c r="Q637" i="1" s="1"/>
  <c r="Q638" i="1" a="1"/>
  <c r="Q638" i="1" s="1"/>
  <c r="Q639" i="1" a="1"/>
  <c r="Q639" i="1" s="1"/>
  <c r="Q640" i="1" a="1"/>
  <c r="Q640" i="1" s="1"/>
  <c r="Q641" i="1" a="1"/>
  <c r="Q641" i="1" s="1"/>
  <c r="Q642" i="1" a="1"/>
  <c r="Q642" i="1" s="1"/>
  <c r="Q643" i="1" a="1"/>
  <c r="Q643" i="1" s="1"/>
  <c r="Q644" i="1" a="1"/>
  <c r="Q644" i="1" s="1"/>
  <c r="Q645" i="1" a="1"/>
  <c r="Q645" i="1" s="1"/>
  <c r="Q646" i="1" a="1"/>
  <c r="Q646" i="1" s="1"/>
  <c r="Q647" i="1" a="1"/>
  <c r="Q647" i="1" s="1"/>
  <c r="Q648" i="1" a="1"/>
  <c r="Q648" i="1" s="1"/>
  <c r="Q649" i="1" a="1"/>
  <c r="Q649" i="1" s="1"/>
  <c r="Q650" i="1" a="1"/>
  <c r="Q650" i="1" s="1"/>
  <c r="Q651" i="1" a="1"/>
  <c r="Q651" i="1" s="1"/>
  <c r="Q652" i="1" a="1"/>
  <c r="Q652" i="1" s="1"/>
  <c r="Q653" i="1" a="1"/>
  <c r="Q653" i="1" s="1"/>
  <c r="Q654" i="1" a="1"/>
  <c r="Q654" i="1" s="1"/>
  <c r="Q655" i="1" a="1"/>
  <c r="Q655" i="1" s="1"/>
  <c r="Q656" i="1" a="1"/>
  <c r="Q656" i="1" s="1"/>
  <c r="Q657" i="1" a="1"/>
  <c r="Q657" i="1" s="1"/>
  <c r="Q658" i="1" a="1"/>
  <c r="Q658" i="1" s="1"/>
  <c r="Q659" i="1" a="1"/>
  <c r="Q659" i="1" s="1"/>
  <c r="Q660" i="1" a="1"/>
  <c r="Q660" i="1" s="1"/>
  <c r="Q661" i="1" a="1"/>
  <c r="Q661" i="1" s="1"/>
  <c r="Q662" i="1" a="1"/>
  <c r="Q662" i="1" s="1"/>
  <c r="Q663" i="1" a="1"/>
  <c r="Q663" i="1" s="1"/>
  <c r="Q664" i="1" a="1"/>
  <c r="Q664" i="1" s="1"/>
  <c r="Q665" i="1" a="1"/>
  <c r="Q665" i="1" s="1"/>
  <c r="Q666" i="1" a="1"/>
  <c r="Q666" i="1" s="1"/>
  <c r="Q667" i="1" a="1"/>
  <c r="Q667" i="1" s="1"/>
  <c r="Q668" i="1" a="1"/>
  <c r="Q668" i="1" s="1"/>
  <c r="Q669" i="1" a="1"/>
  <c r="Q669" i="1" s="1"/>
  <c r="Q670" i="1" a="1"/>
  <c r="Q670" i="1" s="1"/>
  <c r="Q671" i="1" a="1"/>
  <c r="Q671" i="1" s="1"/>
  <c r="Q672" i="1" a="1"/>
  <c r="Q672" i="1" s="1"/>
  <c r="Q673" i="1" a="1"/>
  <c r="Q673" i="1" s="1"/>
  <c r="Q674" i="1" a="1"/>
  <c r="Q674" i="1" s="1"/>
  <c r="Q675" i="1" a="1"/>
  <c r="Q675" i="1" s="1"/>
  <c r="Q676" i="1" a="1"/>
  <c r="Q676" i="1" s="1"/>
  <c r="Q677" i="1" a="1"/>
  <c r="Q677" i="1" s="1"/>
  <c r="Q678" i="1" a="1"/>
  <c r="Q678" i="1" s="1"/>
  <c r="Q679" i="1" a="1"/>
  <c r="Q679" i="1" s="1"/>
  <c r="Q680" i="1" a="1"/>
  <c r="Q680" i="1" s="1"/>
  <c r="Q681" i="1" a="1"/>
  <c r="Q681" i="1" s="1"/>
  <c r="Q682" i="1" a="1"/>
  <c r="Q682" i="1" s="1"/>
  <c r="Q683" i="1" a="1"/>
  <c r="Q683" i="1" s="1"/>
  <c r="Q684" i="1" a="1"/>
  <c r="Q684" i="1" s="1"/>
  <c r="Q685" i="1" a="1"/>
  <c r="Q685" i="1" s="1"/>
  <c r="Q686" i="1" a="1"/>
  <c r="Q686" i="1" s="1"/>
  <c r="Q687" i="1" a="1"/>
  <c r="Q687" i="1" s="1"/>
  <c r="Q688" i="1" a="1"/>
  <c r="Q688" i="1" s="1"/>
  <c r="Q689" i="1" a="1"/>
  <c r="Q689" i="1" s="1"/>
  <c r="Q690" i="1" a="1"/>
  <c r="Q690" i="1" s="1"/>
  <c r="Q691" i="1" a="1"/>
  <c r="Q691" i="1" s="1"/>
  <c r="Q692" i="1" a="1"/>
  <c r="Q692" i="1" s="1"/>
  <c r="Q693" i="1" a="1"/>
  <c r="Q693" i="1" s="1"/>
  <c r="Q694" i="1" a="1"/>
  <c r="Q694" i="1" s="1"/>
  <c r="Q695" i="1" a="1"/>
  <c r="Q695" i="1" s="1"/>
  <c r="Q696" i="1" a="1"/>
  <c r="Q696" i="1" s="1"/>
  <c r="Q697" i="1" a="1"/>
  <c r="Q697" i="1" s="1"/>
  <c r="Q698" i="1" a="1"/>
  <c r="Q698" i="1" s="1"/>
  <c r="Q699" i="1" a="1"/>
  <c r="Q699" i="1" s="1"/>
  <c r="Q700" i="1" a="1"/>
  <c r="Q700" i="1" s="1"/>
  <c r="Q701" i="1" a="1"/>
  <c r="Q701" i="1" s="1"/>
  <c r="Q702" i="1" a="1"/>
  <c r="Q702" i="1" s="1"/>
  <c r="Q703" i="1" a="1"/>
  <c r="Q703" i="1" s="1"/>
  <c r="Q704" i="1" a="1"/>
  <c r="Q704" i="1" s="1"/>
  <c r="Q705" i="1" a="1"/>
  <c r="Q705" i="1" s="1"/>
  <c r="Q706" i="1" a="1"/>
  <c r="Q706" i="1" s="1"/>
  <c r="Q707" i="1" a="1"/>
  <c r="Q707" i="1" s="1"/>
  <c r="Q708" i="1" a="1"/>
  <c r="Q708" i="1" s="1"/>
  <c r="Q709" i="1" a="1"/>
  <c r="Q709" i="1" s="1"/>
  <c r="Q710" i="1" a="1"/>
  <c r="Q710" i="1" s="1"/>
  <c r="Q711" i="1" a="1"/>
  <c r="Q711" i="1" s="1"/>
  <c r="Q712" i="1" a="1"/>
  <c r="Q712" i="1" s="1"/>
  <c r="Q713" i="1" a="1"/>
  <c r="Q713" i="1" s="1"/>
  <c r="Q714" i="1" a="1"/>
  <c r="Q714" i="1" s="1"/>
  <c r="Q715" i="1" a="1"/>
  <c r="Q715" i="1" s="1"/>
  <c r="Q716" i="1" a="1"/>
  <c r="Q716" i="1" s="1"/>
  <c r="Q717" i="1" a="1"/>
  <c r="Q717" i="1" s="1"/>
  <c r="Q718" i="1" a="1"/>
  <c r="Q718" i="1" s="1"/>
  <c r="Q719" i="1" a="1"/>
  <c r="Q719" i="1" s="1"/>
  <c r="Q720" i="1" a="1"/>
  <c r="Q720" i="1" s="1"/>
  <c r="Q721" i="1" a="1"/>
  <c r="Q721" i="1" s="1"/>
  <c r="Q722" i="1" a="1"/>
  <c r="Q722" i="1" s="1"/>
  <c r="Q723" i="1" a="1"/>
  <c r="Q723" i="1" s="1"/>
  <c r="Q724" i="1" a="1"/>
  <c r="Q724" i="1" s="1"/>
  <c r="Q725" i="1" a="1"/>
  <c r="Q725" i="1" s="1"/>
  <c r="Q726" i="1" a="1"/>
  <c r="Q726" i="1" s="1"/>
  <c r="Q727" i="1" a="1"/>
  <c r="Q727" i="1" s="1"/>
  <c r="Q728" i="1" a="1"/>
  <c r="Q728" i="1" s="1"/>
  <c r="Q729" i="1" a="1"/>
  <c r="Q729" i="1" s="1"/>
  <c r="Q730" i="1" a="1"/>
  <c r="Q730" i="1" s="1"/>
  <c r="Q731" i="1" a="1"/>
  <c r="Q731" i="1" s="1"/>
  <c r="Q732" i="1" a="1"/>
  <c r="Q732" i="1" s="1"/>
  <c r="Q733" i="1" a="1"/>
  <c r="Q733" i="1" s="1"/>
  <c r="Q734" i="1" a="1"/>
  <c r="Q734" i="1" s="1"/>
  <c r="Q735" i="1" a="1"/>
  <c r="Q735" i="1" s="1"/>
  <c r="Q736" i="1" a="1"/>
  <c r="Q736" i="1" s="1"/>
  <c r="Q737" i="1" a="1"/>
  <c r="Q737" i="1" s="1"/>
  <c r="Q738" i="1" a="1"/>
  <c r="Q738" i="1" s="1"/>
  <c r="Q739" i="1" a="1"/>
  <c r="Q739" i="1" s="1"/>
  <c r="Q740" i="1" a="1"/>
  <c r="Q740" i="1" s="1"/>
  <c r="Q741" i="1" a="1"/>
  <c r="Q741" i="1" s="1"/>
  <c r="Q742" i="1" a="1"/>
  <c r="Q742" i="1" s="1"/>
  <c r="Q743" i="1" a="1"/>
  <c r="Q743" i="1" s="1"/>
  <c r="Q744" i="1" a="1"/>
  <c r="Q744" i="1" s="1"/>
  <c r="Q745" i="1" a="1"/>
  <c r="Q745" i="1" s="1"/>
  <c r="Q746" i="1" a="1"/>
  <c r="Q746" i="1" s="1"/>
  <c r="Q747" i="1" a="1"/>
  <c r="Q747" i="1" s="1"/>
  <c r="Q748" i="1" a="1"/>
  <c r="Q748" i="1" s="1"/>
  <c r="Q749" i="1" a="1"/>
  <c r="Q749" i="1" s="1"/>
  <c r="Q750" i="1" a="1"/>
  <c r="Q750" i="1" s="1"/>
  <c r="Q751" i="1" a="1"/>
  <c r="Q751" i="1" s="1"/>
  <c r="Q752" i="1" a="1"/>
  <c r="Q752" i="1" s="1"/>
  <c r="Q753" i="1" a="1"/>
  <c r="Q753" i="1" s="1"/>
  <c r="Q754" i="1" a="1"/>
  <c r="Q754" i="1" s="1"/>
  <c r="Q755" i="1" a="1"/>
  <c r="Q755" i="1" s="1"/>
  <c r="Q756" i="1" a="1"/>
  <c r="Q756" i="1" s="1"/>
  <c r="Q757" i="1" a="1"/>
  <c r="Q757" i="1" s="1"/>
  <c r="Q758" i="1" a="1"/>
  <c r="Q758" i="1" s="1"/>
  <c r="Q759" i="1" a="1"/>
  <c r="Q759" i="1" s="1"/>
  <c r="Q760" i="1" a="1"/>
  <c r="Q760" i="1" s="1"/>
  <c r="Q761" i="1" a="1"/>
  <c r="Q761" i="1" s="1"/>
  <c r="Q762" i="1" a="1"/>
  <c r="Q762" i="1" s="1"/>
  <c r="Q763" i="1" a="1"/>
  <c r="Q763" i="1" s="1"/>
  <c r="Q764" i="1" a="1"/>
  <c r="Q764" i="1" s="1"/>
  <c r="Q765" i="1" a="1"/>
  <c r="Q765" i="1" s="1"/>
  <c r="Q766" i="1" a="1"/>
  <c r="Q766" i="1" s="1"/>
  <c r="Q767" i="1" a="1"/>
  <c r="Q767" i="1" s="1"/>
  <c r="Q768" i="1" a="1"/>
  <c r="Q768" i="1" s="1"/>
  <c r="Q769" i="1" a="1"/>
  <c r="Q769" i="1" s="1"/>
  <c r="Q770" i="1" a="1"/>
  <c r="Q770" i="1" s="1"/>
  <c r="Q771" i="1" a="1"/>
  <c r="Q771" i="1" s="1"/>
  <c r="Q772" i="1" a="1"/>
  <c r="Q772" i="1" s="1"/>
  <c r="Q773" i="1" a="1"/>
  <c r="Q773" i="1" s="1"/>
  <c r="Q774" i="1" a="1"/>
  <c r="Q774" i="1" s="1"/>
  <c r="Q775" i="1" a="1"/>
  <c r="Q775" i="1" s="1"/>
  <c r="Q776" i="1" a="1"/>
  <c r="Q776" i="1" s="1"/>
  <c r="Q777" i="1" a="1"/>
  <c r="Q777" i="1" s="1"/>
  <c r="Q778" i="1" a="1"/>
  <c r="Q778" i="1" s="1"/>
  <c r="Q779" i="1" a="1"/>
  <c r="Q779" i="1" s="1"/>
  <c r="Q780" i="1" a="1"/>
  <c r="Q780" i="1" s="1"/>
  <c r="Q781" i="1" a="1"/>
  <c r="Q781" i="1" s="1"/>
  <c r="Q782" i="1" a="1"/>
  <c r="Q782" i="1" s="1"/>
  <c r="Q783" i="1" a="1"/>
  <c r="Q783" i="1" s="1"/>
  <c r="Q784" i="1" a="1"/>
  <c r="Q784" i="1" s="1"/>
  <c r="Q785" i="1" a="1"/>
  <c r="Q785" i="1" s="1"/>
  <c r="Q786" i="1" a="1"/>
  <c r="Q786" i="1" s="1"/>
  <c r="Q787" i="1" a="1"/>
  <c r="Q787" i="1" s="1"/>
  <c r="Q788" i="1" a="1"/>
  <c r="Q788" i="1" s="1"/>
  <c r="Q789" i="1" a="1"/>
  <c r="Q789" i="1" s="1"/>
  <c r="Q790" i="1" a="1"/>
  <c r="Q790" i="1" s="1"/>
  <c r="Q791" i="1" a="1"/>
  <c r="Q791" i="1" s="1"/>
  <c r="Q792" i="1" a="1"/>
  <c r="Q792" i="1" s="1"/>
  <c r="Q793" i="1" a="1"/>
  <c r="Q793" i="1" s="1"/>
  <c r="Q794" i="1" a="1"/>
  <c r="Q794" i="1" s="1"/>
  <c r="Q795" i="1" a="1"/>
  <c r="Q795" i="1" s="1"/>
  <c r="Q796" i="1" a="1"/>
  <c r="Q796" i="1" s="1"/>
  <c r="Q797" i="1" a="1"/>
  <c r="Q797" i="1" s="1"/>
  <c r="Q798" i="1" a="1"/>
  <c r="Q798" i="1" s="1"/>
  <c r="Q799" i="1" a="1"/>
  <c r="Q799" i="1" s="1"/>
  <c r="Q800" i="1" a="1"/>
  <c r="Q800" i="1" s="1"/>
  <c r="Q801" i="1" a="1"/>
  <c r="Q801" i="1" s="1"/>
  <c r="Q802" i="1" a="1"/>
  <c r="Q802" i="1" s="1"/>
  <c r="Q803" i="1" a="1"/>
  <c r="Q803" i="1" s="1"/>
  <c r="Q804" i="1" a="1"/>
  <c r="Q804" i="1" s="1"/>
  <c r="Q805" i="1" a="1"/>
  <c r="Q805" i="1" s="1"/>
  <c r="Q806" i="1" a="1"/>
  <c r="Q806" i="1" s="1"/>
  <c r="Q807" i="1" a="1"/>
  <c r="Q807" i="1" s="1"/>
  <c r="Q808" i="1" a="1"/>
  <c r="Q808" i="1" s="1"/>
  <c r="Q809" i="1" a="1"/>
  <c r="Q809" i="1" s="1"/>
  <c r="Q810" i="1" a="1"/>
  <c r="Q810" i="1" s="1"/>
  <c r="Q811" i="1" a="1"/>
  <c r="Q811" i="1" s="1"/>
  <c r="Q812" i="1" a="1"/>
  <c r="Q812" i="1" s="1"/>
  <c r="Q813" i="1" a="1"/>
  <c r="Q813" i="1" s="1"/>
  <c r="Q814" i="1" a="1"/>
  <c r="Q814" i="1" s="1"/>
  <c r="Q815" i="1" a="1"/>
  <c r="Q815" i="1" s="1"/>
  <c r="Q816" i="1" a="1"/>
  <c r="Q816" i="1" s="1"/>
  <c r="Q817" i="1" a="1"/>
  <c r="Q817" i="1" s="1"/>
  <c r="Q818" i="1" a="1"/>
  <c r="Q818" i="1" s="1"/>
  <c r="Q819" i="1" a="1"/>
  <c r="Q819" i="1" s="1"/>
  <c r="Q820" i="1" a="1"/>
  <c r="Q820" i="1" s="1"/>
  <c r="Q821" i="1" a="1"/>
  <c r="Q821" i="1" s="1"/>
  <c r="Q822" i="1" a="1"/>
  <c r="Q822" i="1" s="1"/>
  <c r="Q823" i="1" a="1"/>
  <c r="Q823" i="1" s="1"/>
  <c r="Q824" i="1" a="1"/>
  <c r="Q824" i="1" s="1"/>
  <c r="Q825" i="1" a="1"/>
  <c r="Q825" i="1" s="1"/>
  <c r="Q826" i="1" a="1"/>
  <c r="Q826" i="1" s="1"/>
  <c r="Q827" i="1" a="1"/>
  <c r="Q827" i="1" s="1"/>
  <c r="Q828" i="1" a="1"/>
  <c r="Q828" i="1" s="1"/>
  <c r="Q829" i="1" a="1"/>
  <c r="Q829" i="1" s="1"/>
  <c r="Q830" i="1" a="1"/>
  <c r="Q830" i="1" s="1"/>
  <c r="Q831" i="1" a="1"/>
  <c r="Q831" i="1" s="1"/>
  <c r="Q832" i="1" a="1"/>
  <c r="Q832" i="1" s="1"/>
  <c r="Q833" i="1" a="1"/>
  <c r="Q833" i="1" s="1"/>
  <c r="Q834" i="1" a="1"/>
  <c r="Q834" i="1" s="1"/>
  <c r="Q835" i="1" a="1"/>
  <c r="Q835" i="1" s="1"/>
  <c r="Q836" i="1" a="1"/>
  <c r="Q836" i="1" s="1"/>
  <c r="Q837" i="1" a="1"/>
  <c r="Q837" i="1" s="1"/>
  <c r="Q838" i="1" a="1"/>
  <c r="Q838" i="1" s="1"/>
  <c r="Q839" i="1" a="1"/>
  <c r="Q839" i="1" s="1"/>
  <c r="Q840" i="1" a="1"/>
  <c r="Q840" i="1" s="1"/>
  <c r="Q841" i="1" a="1"/>
  <c r="Q841" i="1" s="1"/>
  <c r="Q842" i="1" a="1"/>
  <c r="Q842" i="1" s="1"/>
  <c r="Q843" i="1" a="1"/>
  <c r="Q843" i="1" s="1"/>
  <c r="Q844" i="1" a="1"/>
  <c r="Q844" i="1" s="1"/>
  <c r="Q845" i="1" a="1"/>
  <c r="Q845" i="1" s="1"/>
  <c r="Q846" i="1" a="1"/>
  <c r="Q846" i="1" s="1"/>
  <c r="Q847" i="1" a="1"/>
  <c r="Q847" i="1" s="1"/>
  <c r="Q848" i="1" a="1"/>
  <c r="Q848" i="1" s="1"/>
  <c r="Q849" i="1" a="1"/>
  <c r="Q849" i="1" s="1"/>
  <c r="Q850" i="1" a="1"/>
  <c r="Q850" i="1" s="1"/>
  <c r="Q851" i="1" a="1"/>
  <c r="Q851" i="1" s="1"/>
  <c r="Q852" i="1" a="1"/>
  <c r="Q852" i="1" s="1"/>
  <c r="Q853" i="1" a="1"/>
  <c r="Q853" i="1" s="1"/>
  <c r="Q854" i="1" a="1"/>
  <c r="Q854" i="1" s="1"/>
  <c r="Q855" i="1" a="1"/>
  <c r="Q855" i="1" s="1"/>
  <c r="Q856" i="1" a="1"/>
  <c r="Q856" i="1" s="1"/>
  <c r="Q857" i="1" a="1"/>
  <c r="Q857" i="1" s="1"/>
  <c r="Q858" i="1" a="1"/>
  <c r="Q858" i="1" s="1"/>
  <c r="Q859" i="1" a="1"/>
  <c r="Q859" i="1" s="1"/>
  <c r="Q860" i="1" a="1"/>
  <c r="Q860" i="1" s="1"/>
  <c r="Q861" i="1" a="1"/>
  <c r="Q861" i="1" s="1"/>
  <c r="Q862" i="1" a="1"/>
  <c r="Q862" i="1" s="1"/>
  <c r="Q863" i="1" a="1"/>
  <c r="Q863" i="1" s="1"/>
  <c r="Q864" i="1" a="1"/>
  <c r="Q864" i="1" s="1"/>
  <c r="Q865" i="1" a="1"/>
  <c r="Q865" i="1" s="1"/>
  <c r="Q866" i="1" a="1"/>
  <c r="Q866" i="1" s="1"/>
  <c r="Q867" i="1" a="1"/>
  <c r="Q867" i="1" s="1"/>
  <c r="Q868" i="1" a="1"/>
  <c r="Q868" i="1" s="1"/>
  <c r="Q869" i="1" a="1"/>
  <c r="Q869" i="1" s="1"/>
  <c r="Q870" i="1" a="1"/>
  <c r="Q870" i="1" s="1"/>
  <c r="Q871" i="1" a="1"/>
  <c r="Q871" i="1" s="1"/>
  <c r="Q872" i="1" a="1"/>
  <c r="Q872" i="1" s="1"/>
  <c r="Q873" i="1" a="1"/>
  <c r="Q873" i="1" s="1"/>
  <c r="Q874" i="1" a="1"/>
  <c r="Q874" i="1" s="1"/>
  <c r="Q875" i="1" a="1"/>
  <c r="Q875" i="1" s="1"/>
  <c r="Q876" i="1" a="1"/>
  <c r="Q876" i="1" s="1"/>
  <c r="Q877" i="1" a="1"/>
  <c r="Q877" i="1" s="1"/>
  <c r="Q878" i="1" a="1"/>
  <c r="Q878" i="1" s="1"/>
  <c r="Q879" i="1" a="1"/>
  <c r="Q879" i="1" s="1"/>
  <c r="Q880" i="1" a="1"/>
  <c r="Q880" i="1" s="1"/>
  <c r="Q881" i="1" a="1"/>
  <c r="Q881" i="1" s="1"/>
  <c r="Q882" i="1" a="1"/>
  <c r="Q882" i="1" s="1"/>
  <c r="Q883" i="1" a="1"/>
  <c r="Q883" i="1" s="1"/>
  <c r="Q884" i="1" a="1"/>
  <c r="Q884" i="1" s="1"/>
  <c r="Q885" i="1" a="1"/>
  <c r="Q885" i="1" s="1"/>
  <c r="Q886" i="1" a="1"/>
  <c r="Q886" i="1" s="1"/>
  <c r="Q887" i="1" a="1"/>
  <c r="Q887" i="1" s="1"/>
  <c r="Q888" i="1" a="1"/>
  <c r="Q888" i="1" s="1"/>
  <c r="Q889" i="1" a="1"/>
  <c r="Q889" i="1" s="1"/>
  <c r="Q890" i="1" a="1"/>
  <c r="Q890" i="1" s="1"/>
  <c r="Q891" i="1" a="1"/>
  <c r="Q891" i="1" s="1"/>
  <c r="Q892" i="1" a="1"/>
  <c r="Q892" i="1" s="1"/>
  <c r="Q893" i="1" a="1"/>
  <c r="Q893" i="1" s="1"/>
  <c r="Q894" i="1" a="1"/>
  <c r="Q894" i="1" s="1"/>
  <c r="Q895" i="1" a="1"/>
  <c r="Q895" i="1" s="1"/>
  <c r="Q896" i="1" a="1"/>
  <c r="Q896" i="1" s="1"/>
  <c r="Q897" i="1" a="1"/>
  <c r="Q897" i="1" s="1"/>
  <c r="Q898" i="1" a="1"/>
  <c r="Q898" i="1" s="1"/>
  <c r="Q899" i="1" a="1"/>
  <c r="Q899" i="1" s="1"/>
  <c r="Q900" i="1" a="1"/>
  <c r="Q900" i="1" s="1"/>
  <c r="Q901" i="1" a="1"/>
  <c r="Q901" i="1" s="1"/>
  <c r="Q902" i="1" a="1"/>
  <c r="Q902" i="1" s="1"/>
  <c r="Q903" i="1" a="1"/>
  <c r="Q903" i="1" s="1"/>
  <c r="Q904" i="1" a="1"/>
  <c r="Q904" i="1" s="1"/>
  <c r="Q905" i="1" a="1"/>
  <c r="Q905" i="1" s="1"/>
  <c r="Q906" i="1" a="1"/>
  <c r="Q906" i="1" s="1"/>
  <c r="Q907" i="1" a="1"/>
  <c r="Q907" i="1" s="1"/>
  <c r="Q908" i="1" a="1"/>
  <c r="Q908" i="1" s="1"/>
  <c r="Q909" i="1" a="1"/>
  <c r="Q909" i="1" s="1"/>
  <c r="Q910" i="1" a="1"/>
  <c r="Q910" i="1" s="1"/>
  <c r="Q911" i="1" a="1"/>
  <c r="Q911" i="1" s="1"/>
  <c r="Q912" i="1" a="1"/>
  <c r="Q912" i="1" s="1"/>
  <c r="Q913" i="1" a="1"/>
  <c r="Q913" i="1" s="1"/>
  <c r="Q914" i="1" a="1"/>
  <c r="Q914" i="1" s="1"/>
  <c r="Q915" i="1" a="1"/>
  <c r="Q915" i="1" s="1"/>
  <c r="Q916" i="1" a="1"/>
  <c r="Q916" i="1" s="1"/>
  <c r="Q917" i="1" a="1"/>
  <c r="Q917" i="1" s="1"/>
  <c r="Q918" i="1" a="1"/>
  <c r="Q918" i="1" s="1"/>
  <c r="Q919" i="1" a="1"/>
  <c r="Q919" i="1" s="1"/>
  <c r="Q920" i="1" a="1"/>
  <c r="Q920" i="1" s="1"/>
  <c r="Q921" i="1" a="1"/>
  <c r="Q921" i="1" s="1"/>
  <c r="Q922" i="1" a="1"/>
  <c r="Q922" i="1" s="1"/>
  <c r="Q923" i="1" a="1"/>
  <c r="Q923" i="1" s="1"/>
  <c r="Q924" i="1" a="1"/>
  <c r="Q924" i="1" s="1"/>
  <c r="Q925" i="1" a="1"/>
  <c r="Q925" i="1" s="1"/>
  <c r="Q926" i="1" a="1"/>
  <c r="Q926" i="1" s="1"/>
  <c r="Q927" i="1" a="1"/>
  <c r="Q927" i="1" s="1"/>
  <c r="Q928" i="1" a="1"/>
  <c r="Q928" i="1" s="1"/>
  <c r="Q929" i="1" a="1"/>
  <c r="Q929" i="1" s="1"/>
  <c r="Q930" i="1" a="1"/>
  <c r="Q930" i="1" s="1"/>
  <c r="Q931" i="1" a="1"/>
  <c r="Q931" i="1" s="1"/>
  <c r="Q932" i="1" a="1"/>
  <c r="Q932" i="1" s="1"/>
  <c r="Q933" i="1" a="1"/>
  <c r="Q933" i="1" s="1"/>
  <c r="Q934" i="1" a="1"/>
  <c r="Q934" i="1" s="1"/>
  <c r="Q935" i="1" a="1"/>
  <c r="Q935" i="1" s="1"/>
  <c r="Q936" i="1" a="1"/>
  <c r="Q936" i="1" s="1"/>
  <c r="Q937" i="1" a="1"/>
  <c r="Q937" i="1" s="1"/>
  <c r="Q938" i="1" a="1"/>
  <c r="Q938" i="1" s="1"/>
  <c r="Q939" i="1" a="1"/>
  <c r="Q939" i="1" s="1"/>
  <c r="Q940" i="1" a="1"/>
  <c r="Q940" i="1" s="1"/>
  <c r="Q941" i="1" a="1"/>
  <c r="Q941" i="1" s="1"/>
  <c r="Q942" i="1" a="1"/>
  <c r="Q942" i="1" s="1"/>
  <c r="Q943" i="1" a="1"/>
  <c r="Q943" i="1" s="1"/>
  <c r="Q944" i="1" a="1"/>
  <c r="Q944" i="1" s="1"/>
  <c r="Q945" i="1" a="1"/>
  <c r="Q945" i="1" s="1"/>
  <c r="Q946" i="1" a="1"/>
  <c r="Q946" i="1" s="1"/>
  <c r="Q947" i="1" a="1"/>
  <c r="Q947" i="1" s="1"/>
  <c r="Q948" i="1" a="1"/>
  <c r="Q948" i="1" s="1"/>
  <c r="Q949" i="1" a="1"/>
  <c r="Q949" i="1" s="1"/>
  <c r="Q950" i="1" a="1"/>
  <c r="Q950" i="1" s="1"/>
  <c r="Q951" i="1" a="1"/>
  <c r="Q951" i="1" s="1"/>
  <c r="Q952" i="1" a="1"/>
  <c r="Q952" i="1" s="1"/>
  <c r="Q953" i="1" a="1"/>
  <c r="Q953" i="1" s="1"/>
  <c r="Q954" i="1" a="1"/>
  <c r="Q954" i="1" s="1"/>
  <c r="Q955" i="1" a="1"/>
  <c r="Q955" i="1" s="1"/>
  <c r="Q956" i="1" a="1"/>
  <c r="Q956" i="1" s="1"/>
  <c r="Q957" i="1" a="1"/>
  <c r="Q957" i="1" s="1"/>
  <c r="Q958" i="1" a="1"/>
  <c r="Q958" i="1" s="1"/>
  <c r="Q959" i="1" a="1"/>
  <c r="Q959" i="1" s="1"/>
  <c r="Q960" i="1" a="1"/>
  <c r="Q960" i="1" s="1"/>
  <c r="Q961" i="1" a="1"/>
  <c r="Q961" i="1" s="1"/>
  <c r="Q962" i="1" a="1"/>
  <c r="Q962" i="1" s="1"/>
  <c r="Q963" i="1" a="1"/>
  <c r="Q963" i="1" s="1"/>
  <c r="Q964" i="1" a="1"/>
  <c r="Q964" i="1" s="1"/>
  <c r="Q965" i="1" a="1"/>
  <c r="Q965" i="1" s="1"/>
  <c r="Q966" i="1" a="1"/>
  <c r="Q966" i="1" s="1"/>
  <c r="Q967" i="1" a="1"/>
  <c r="Q967" i="1" s="1"/>
  <c r="Q968" i="1" a="1"/>
  <c r="Q968" i="1" s="1"/>
  <c r="Q969" i="1" a="1"/>
  <c r="Q969" i="1" s="1"/>
  <c r="Q970" i="1" a="1"/>
  <c r="Q970" i="1" s="1"/>
  <c r="Q971" i="1" a="1"/>
  <c r="Q971" i="1" s="1"/>
  <c r="Q972" i="1" a="1"/>
  <c r="Q972" i="1" s="1"/>
  <c r="Q973" i="1" a="1"/>
  <c r="Q973" i="1" s="1"/>
  <c r="Q974" i="1" a="1"/>
  <c r="Q974" i="1" s="1"/>
  <c r="Q975" i="1" a="1"/>
  <c r="Q975" i="1" s="1"/>
  <c r="Q976" i="1" a="1"/>
  <c r="Q976" i="1" s="1"/>
  <c r="Q977" i="1" a="1"/>
  <c r="Q977" i="1" s="1"/>
  <c r="Q978" i="1" a="1"/>
  <c r="Q978" i="1" s="1"/>
  <c r="Q979" i="1" a="1"/>
  <c r="Q979" i="1" s="1"/>
  <c r="Q980" i="1" a="1"/>
  <c r="Q980" i="1" s="1"/>
  <c r="Q981" i="1" a="1"/>
  <c r="Q981" i="1" s="1"/>
  <c r="Q982" i="1" a="1"/>
  <c r="Q982" i="1" s="1"/>
  <c r="Q983" i="1" a="1"/>
  <c r="Q983" i="1" s="1"/>
  <c r="Q984" i="1" a="1"/>
  <c r="Q984" i="1" s="1"/>
  <c r="Q985" i="1" a="1"/>
  <c r="Q985" i="1" s="1"/>
  <c r="Q986" i="1" a="1"/>
  <c r="Q986" i="1" s="1"/>
  <c r="Q987" i="1" a="1"/>
  <c r="Q987" i="1" s="1"/>
  <c r="Q988" i="1" a="1"/>
  <c r="Q988" i="1" s="1"/>
  <c r="Q989" i="1" a="1"/>
  <c r="Q989" i="1" s="1"/>
  <c r="Q990" i="1" a="1"/>
  <c r="Q990" i="1" s="1"/>
  <c r="Q991" i="1" a="1"/>
  <c r="Q991" i="1" s="1"/>
  <c r="Q992" i="1" a="1"/>
  <c r="Q992" i="1" s="1"/>
  <c r="Q993" i="1" a="1"/>
  <c r="Q993" i="1" s="1"/>
  <c r="Q994" i="1" a="1"/>
  <c r="Q994" i="1" s="1"/>
  <c r="Q995" i="1" a="1"/>
  <c r="Q995" i="1" s="1"/>
  <c r="Q996" i="1" a="1"/>
  <c r="Q996" i="1" s="1"/>
  <c r="Q997" i="1" a="1"/>
  <c r="Q997" i="1" s="1"/>
  <c r="Q998" i="1" a="1"/>
  <c r="Q998" i="1" s="1"/>
  <c r="Q999" i="1" a="1"/>
  <c r="Q999" i="1" s="1"/>
  <c r="Q1000" i="1" a="1"/>
  <c r="Q1000" i="1" s="1"/>
  <c r="Q1001" i="1" a="1"/>
  <c r="Q1001" i="1" s="1"/>
  <c r="Q1002" i="1" a="1"/>
  <c r="Q1002" i="1" s="1"/>
  <c r="Q1003" i="1" a="1"/>
  <c r="Q1003" i="1" s="1"/>
  <c r="Q1004" i="1" a="1"/>
  <c r="Q1004" i="1" s="1"/>
  <c r="Q1005" i="1" a="1"/>
  <c r="Q1005" i="1" s="1"/>
  <c r="Q1006" i="1" a="1"/>
  <c r="Q1006" i="1" s="1"/>
  <c r="Q1007" i="1" a="1"/>
  <c r="Q1007" i="1" s="1"/>
  <c r="Q1008" i="1" a="1"/>
  <c r="Q1008" i="1" s="1"/>
  <c r="Q1009" i="1" a="1"/>
  <c r="Q1009" i="1" s="1"/>
  <c r="Q1010" i="1" a="1"/>
  <c r="Q1010" i="1" s="1"/>
  <c r="Q1011" i="1" a="1"/>
  <c r="Q1011" i="1" s="1"/>
  <c r="Q1012" i="1" a="1"/>
  <c r="Q1012" i="1" s="1"/>
  <c r="Q1013" i="1" a="1"/>
  <c r="Q1013" i="1" s="1"/>
  <c r="Q1014" i="1" a="1"/>
  <c r="Q1014" i="1" s="1"/>
  <c r="Q1015" i="1" a="1"/>
  <c r="Q1015" i="1" s="1"/>
  <c r="Q1016" i="1" a="1"/>
  <c r="Q1016" i="1" s="1"/>
  <c r="Q1017" i="1" a="1"/>
  <c r="Q1017" i="1" s="1"/>
  <c r="Q1018" i="1" a="1"/>
  <c r="Q1018" i="1" s="1"/>
  <c r="Q1019" i="1" a="1"/>
  <c r="Q1019" i="1" s="1"/>
  <c r="Q1020" i="1" a="1"/>
  <c r="Q1020" i="1" s="1"/>
  <c r="Q1021" i="1" a="1"/>
  <c r="Q1021" i="1" s="1"/>
  <c r="Q1022" i="1" a="1"/>
  <c r="Q1022" i="1" s="1"/>
  <c r="Q1023" i="1" a="1"/>
  <c r="Q1023" i="1" s="1"/>
  <c r="Q1024" i="1" a="1"/>
  <c r="Q1024" i="1" s="1"/>
  <c r="Q1025" i="1" a="1"/>
  <c r="Q1025" i="1" s="1"/>
  <c r="Q1026" i="1" a="1"/>
  <c r="Q1026" i="1" s="1"/>
  <c r="Q1027" i="1" a="1"/>
  <c r="Q1027" i="1" s="1"/>
  <c r="Q1028" i="1" a="1"/>
  <c r="Q1028" i="1" s="1"/>
  <c r="Q1029" i="1" a="1"/>
  <c r="Q1029" i="1" s="1"/>
  <c r="Q1030" i="1" a="1"/>
  <c r="Q1030" i="1" s="1"/>
  <c r="Q1031" i="1" a="1"/>
  <c r="Q1031" i="1" s="1"/>
  <c r="Q1032" i="1" a="1"/>
  <c r="Q1032" i="1" s="1"/>
  <c r="Q1033" i="1" a="1"/>
  <c r="Q1033" i="1" s="1"/>
  <c r="Q1034" i="1" a="1"/>
  <c r="Q1034" i="1" s="1"/>
  <c r="Q1035" i="1" a="1"/>
  <c r="Q1035" i="1" s="1"/>
  <c r="Q1036" i="1" a="1"/>
  <c r="Q1036" i="1" s="1"/>
  <c r="Q1037" i="1" a="1"/>
  <c r="Q1037" i="1" s="1"/>
  <c r="Q1038" i="1" a="1"/>
  <c r="Q1038" i="1" s="1"/>
  <c r="Q1039" i="1" a="1"/>
  <c r="Q1039" i="1" s="1"/>
  <c r="Q1040" i="1" a="1"/>
  <c r="Q1040" i="1" s="1"/>
  <c r="Q1041" i="1" a="1"/>
  <c r="Q1041" i="1" s="1"/>
  <c r="Q1042" i="1" a="1"/>
  <c r="Q1042" i="1" s="1"/>
  <c r="Q1043" i="1" a="1"/>
  <c r="Q1043" i="1" s="1"/>
  <c r="Q1044" i="1" a="1"/>
  <c r="Q1044" i="1" s="1"/>
  <c r="Q1045" i="1" a="1"/>
  <c r="Q1045" i="1" s="1"/>
  <c r="Q1046" i="1" a="1"/>
  <c r="Q1046" i="1" s="1"/>
  <c r="Q1047" i="1" a="1"/>
  <c r="Q1047" i="1" s="1"/>
  <c r="Q1048" i="1" a="1"/>
  <c r="Q1048" i="1" s="1"/>
  <c r="Q1049" i="1" a="1"/>
  <c r="Q1049" i="1" s="1"/>
  <c r="Q1050" i="1" a="1"/>
  <c r="Q1050" i="1" s="1"/>
  <c r="Q1051" i="1" a="1"/>
  <c r="Q1051" i="1" s="1"/>
  <c r="Q1052" i="1" a="1"/>
  <c r="Q1052" i="1" s="1"/>
  <c r="Q1053" i="1" a="1"/>
  <c r="Q1053" i="1" s="1"/>
  <c r="Q1054" i="1" a="1"/>
  <c r="Q1054" i="1" s="1"/>
  <c r="Q1055" i="1" a="1"/>
  <c r="Q1055" i="1" s="1"/>
  <c r="Q1056" i="1" a="1"/>
  <c r="Q1056" i="1" s="1"/>
  <c r="Q1057" i="1" a="1"/>
  <c r="Q1057" i="1" s="1"/>
  <c r="Q1058" i="1" a="1"/>
  <c r="Q1058" i="1" s="1"/>
  <c r="Q1059" i="1" a="1"/>
  <c r="Q1059" i="1" s="1"/>
  <c r="Q1060" i="1" a="1"/>
  <c r="Q1060" i="1" s="1"/>
  <c r="Q1061" i="1" a="1"/>
  <c r="Q1061" i="1" s="1"/>
  <c r="Q1062" i="1" a="1"/>
  <c r="Q1062" i="1" s="1"/>
  <c r="Q1063" i="1" a="1"/>
  <c r="Q1063" i="1" s="1"/>
  <c r="Q1064" i="1" a="1"/>
  <c r="Q1064" i="1" s="1"/>
  <c r="Q1065" i="1" a="1"/>
  <c r="Q1065" i="1" s="1"/>
  <c r="Q1066" i="1" a="1"/>
  <c r="Q1066" i="1" s="1"/>
  <c r="Q1067" i="1" a="1"/>
  <c r="Q1067" i="1" s="1"/>
  <c r="Q1068" i="1" a="1"/>
  <c r="Q1068" i="1" s="1"/>
  <c r="Q1069" i="1" a="1"/>
  <c r="Q1069" i="1" s="1"/>
  <c r="Q1070" i="1" a="1"/>
  <c r="Q1070" i="1" s="1"/>
  <c r="Q1071" i="1" a="1"/>
  <c r="Q1071" i="1" s="1"/>
  <c r="Q1072" i="1" a="1"/>
  <c r="Q1072" i="1" s="1"/>
  <c r="Q1073" i="1" a="1"/>
  <c r="Q1073" i="1" s="1"/>
  <c r="Q1074" i="1" a="1"/>
  <c r="Q1074" i="1" s="1"/>
  <c r="Q1075" i="1" a="1"/>
  <c r="Q1075" i="1" s="1"/>
  <c r="Q1076" i="1" a="1"/>
  <c r="Q1076" i="1" s="1"/>
  <c r="Q1077" i="1" a="1"/>
  <c r="Q1077" i="1" s="1"/>
  <c r="Q1078" i="1" a="1"/>
  <c r="Q1078" i="1" s="1"/>
  <c r="Q1079" i="1" a="1"/>
  <c r="Q1079" i="1" s="1"/>
  <c r="Q1080" i="1" a="1"/>
  <c r="Q1080" i="1" s="1"/>
  <c r="Q1081" i="1" a="1"/>
  <c r="Q1081" i="1" s="1"/>
  <c r="Q1082" i="1" a="1"/>
  <c r="Q1082" i="1" s="1"/>
  <c r="Q1083" i="1" a="1"/>
  <c r="Q1083" i="1" s="1"/>
  <c r="Q1084" i="1" a="1"/>
  <c r="Q1084" i="1" s="1"/>
  <c r="Q1085" i="1" a="1"/>
  <c r="Q1085" i="1" s="1"/>
  <c r="Q1086" i="1" a="1"/>
  <c r="Q1086" i="1" s="1"/>
  <c r="Q1087" i="1" a="1"/>
  <c r="Q1087" i="1" s="1"/>
  <c r="Q1088" i="1" a="1"/>
  <c r="Q1088" i="1" s="1"/>
  <c r="Q1089" i="1" a="1"/>
  <c r="Q1089" i="1" s="1"/>
  <c r="Q1090" i="1" a="1"/>
  <c r="Q1090" i="1" s="1"/>
  <c r="Q1091" i="1" a="1"/>
  <c r="Q1091" i="1" s="1"/>
  <c r="Q1092" i="1" a="1"/>
  <c r="Q1092" i="1" s="1"/>
  <c r="Q1093" i="1" a="1"/>
  <c r="Q1093" i="1" s="1"/>
  <c r="Q1094" i="1" a="1"/>
  <c r="Q1094" i="1" s="1"/>
  <c r="Q1095" i="1" a="1"/>
  <c r="Q1095" i="1" s="1"/>
  <c r="Q1096" i="1" a="1"/>
  <c r="Q1096" i="1" s="1"/>
  <c r="Q1097" i="1" a="1"/>
  <c r="Q1097" i="1" s="1"/>
  <c r="Q1098" i="1" a="1"/>
  <c r="Q1098" i="1" s="1"/>
  <c r="Q1099" i="1" a="1"/>
  <c r="Q1099" i="1" s="1"/>
  <c r="Q1100" i="1" a="1"/>
  <c r="Q1100" i="1" s="1"/>
  <c r="Q1101" i="1" a="1"/>
  <c r="Q1101" i="1" s="1"/>
  <c r="Q1102" i="1" a="1"/>
  <c r="Q1102" i="1" s="1"/>
  <c r="Q1103" i="1" a="1"/>
  <c r="Q1103" i="1" s="1"/>
  <c r="Q1104" i="1" a="1"/>
  <c r="Q1104" i="1" s="1"/>
  <c r="Q1105" i="1" a="1"/>
  <c r="Q1105" i="1" s="1"/>
  <c r="Q1106" i="1" a="1"/>
  <c r="Q1106" i="1" s="1"/>
  <c r="Q1107" i="1" a="1"/>
  <c r="Q1107" i="1" s="1"/>
  <c r="Q1108" i="1" a="1"/>
  <c r="Q1108" i="1" s="1"/>
  <c r="Q1109" i="1" a="1"/>
  <c r="Q1109" i="1" s="1"/>
  <c r="Q1110" i="1" a="1"/>
  <c r="Q1110" i="1" s="1"/>
  <c r="Q1111" i="1" a="1"/>
  <c r="Q1111" i="1" s="1"/>
  <c r="Q1112" i="1" a="1"/>
  <c r="Q1112" i="1" s="1"/>
  <c r="Q1113" i="1" a="1"/>
  <c r="Q1113" i="1" s="1"/>
  <c r="Q1114" i="1" a="1"/>
  <c r="Q1114" i="1" s="1"/>
  <c r="Q1115" i="1" a="1"/>
  <c r="Q1115" i="1" s="1"/>
  <c r="Q1116" i="1" a="1"/>
  <c r="Q1116" i="1" s="1"/>
  <c r="Q1117" i="1" a="1"/>
  <c r="Q1117" i="1" s="1"/>
  <c r="Q1118" i="1" a="1"/>
  <c r="Q1118" i="1" s="1"/>
  <c r="Q1119" i="1" a="1"/>
  <c r="Q1119" i="1" s="1"/>
  <c r="Q1120" i="1" a="1"/>
  <c r="Q1120" i="1" s="1"/>
  <c r="Q1121" i="1" a="1"/>
  <c r="Q1121" i="1" s="1"/>
  <c r="Q1122" i="1" a="1"/>
  <c r="Q1122" i="1" s="1"/>
  <c r="Q1123" i="1" a="1"/>
  <c r="Q1123" i="1" s="1"/>
  <c r="Q1124" i="1" a="1"/>
  <c r="Q1124" i="1" s="1"/>
  <c r="Q1125" i="1" a="1"/>
  <c r="Q1125" i="1" s="1"/>
  <c r="Q1126" i="1" a="1"/>
  <c r="Q1126" i="1" s="1"/>
  <c r="Q1127" i="1" a="1"/>
  <c r="Q1127" i="1" s="1"/>
  <c r="Q1128" i="1" a="1"/>
  <c r="Q1128" i="1" s="1"/>
  <c r="Q1129" i="1" a="1"/>
  <c r="Q1129" i="1" s="1"/>
  <c r="Q1130" i="1" a="1"/>
  <c r="Q1130" i="1" s="1"/>
  <c r="Q1131" i="1" a="1"/>
  <c r="Q1131" i="1" s="1"/>
  <c r="Q1132" i="1" a="1"/>
  <c r="Q1132" i="1" s="1"/>
  <c r="Q1133" i="1" a="1"/>
  <c r="Q1133" i="1" s="1"/>
  <c r="Q1134" i="1" a="1"/>
  <c r="Q1134" i="1" s="1"/>
  <c r="Q1135" i="1" a="1"/>
  <c r="Q1135" i="1" s="1"/>
  <c r="Q1136" i="1" a="1"/>
  <c r="Q1136" i="1" s="1"/>
  <c r="Q1137" i="1" a="1"/>
  <c r="Q1137" i="1" s="1"/>
  <c r="Q1138" i="1" a="1"/>
  <c r="Q1138" i="1" s="1"/>
  <c r="Q1139" i="1" a="1"/>
  <c r="Q1139" i="1" s="1"/>
  <c r="Q1140" i="1" a="1"/>
  <c r="Q1140" i="1" s="1"/>
  <c r="Q1141" i="1" a="1"/>
  <c r="Q1141" i="1" s="1"/>
  <c r="Q1142" i="1" a="1"/>
  <c r="Q1142" i="1" s="1"/>
  <c r="Q1143" i="1" a="1"/>
  <c r="Q1143" i="1" s="1"/>
  <c r="Q1144" i="1" a="1"/>
  <c r="Q1144" i="1" s="1"/>
  <c r="Q1145" i="1" a="1"/>
  <c r="Q1145" i="1" s="1"/>
  <c r="Q1146" i="1" a="1"/>
  <c r="Q1146" i="1" s="1"/>
  <c r="Q1147" i="1" a="1"/>
  <c r="Q1147" i="1" s="1"/>
  <c r="Q1148" i="1" a="1"/>
  <c r="Q1148" i="1" s="1"/>
  <c r="Q1149" i="1" a="1"/>
  <c r="Q1149" i="1" s="1"/>
  <c r="Q1150" i="1" a="1"/>
  <c r="Q1150" i="1" s="1"/>
  <c r="Q1151" i="1" a="1"/>
  <c r="Q1151" i="1" s="1"/>
  <c r="Q1152" i="1" a="1"/>
  <c r="Q1152" i="1" s="1"/>
  <c r="Q1153" i="1" a="1"/>
  <c r="Q1153" i="1" s="1"/>
  <c r="Q1154" i="1" a="1"/>
  <c r="Q1154" i="1" s="1"/>
  <c r="Q1155" i="1" a="1"/>
  <c r="Q1155" i="1" s="1"/>
  <c r="Q1156" i="1" a="1"/>
  <c r="Q1156" i="1" s="1"/>
  <c r="Q1157" i="1" a="1"/>
  <c r="Q1157" i="1" s="1"/>
  <c r="Q1158" i="1" a="1"/>
  <c r="Q1158" i="1" s="1"/>
  <c r="Q1159" i="1" a="1"/>
  <c r="Q1159" i="1" s="1"/>
  <c r="Q1160" i="1" a="1"/>
  <c r="Q1160" i="1" s="1"/>
  <c r="Q1161" i="1" a="1"/>
  <c r="Q1161" i="1" s="1"/>
  <c r="Q1162" i="1" a="1"/>
  <c r="Q1162" i="1" s="1"/>
  <c r="Q1163" i="1" a="1"/>
  <c r="Q1163" i="1" s="1"/>
  <c r="Q1164" i="1" a="1"/>
  <c r="Q1164" i="1" s="1"/>
  <c r="Q1165" i="1" a="1"/>
  <c r="Q1165" i="1" s="1"/>
  <c r="Q1166" i="1" a="1"/>
  <c r="Q1166" i="1" s="1"/>
  <c r="Q1167" i="1" a="1"/>
  <c r="Q1167" i="1" s="1"/>
  <c r="Q1168" i="1" a="1"/>
  <c r="Q1168" i="1" s="1"/>
  <c r="Q1169" i="1" a="1"/>
  <c r="Q1169" i="1" s="1"/>
  <c r="Q1170" i="1" a="1"/>
  <c r="Q1170" i="1" s="1"/>
  <c r="Q1171" i="1" a="1"/>
  <c r="Q1171" i="1" s="1"/>
  <c r="Q1172" i="1" a="1"/>
  <c r="Q1172" i="1" s="1"/>
  <c r="Q1173" i="1" a="1"/>
  <c r="Q1173" i="1" s="1"/>
  <c r="Q1174" i="1" a="1"/>
  <c r="Q1174" i="1" s="1"/>
  <c r="Q1175" i="1" a="1"/>
  <c r="Q1175" i="1" s="1"/>
  <c r="Q1176" i="1" a="1"/>
  <c r="Q1176" i="1" s="1"/>
  <c r="Q1177" i="1" a="1"/>
  <c r="Q1177" i="1" s="1"/>
  <c r="Q1178" i="1" a="1"/>
  <c r="Q1178" i="1" s="1"/>
  <c r="Q1179" i="1" a="1"/>
  <c r="Q1179" i="1" s="1"/>
  <c r="Q1180" i="1" a="1"/>
  <c r="Q1180" i="1" s="1"/>
  <c r="Q1181" i="1" a="1"/>
  <c r="Q1181" i="1" s="1"/>
  <c r="Q1182" i="1" a="1"/>
  <c r="Q1182" i="1" s="1"/>
  <c r="Q1183" i="1" a="1"/>
  <c r="Q1183" i="1" s="1"/>
  <c r="Q1184" i="1" a="1"/>
  <c r="Q1184" i="1" s="1"/>
  <c r="Q1185" i="1" a="1"/>
  <c r="Q1185" i="1" s="1"/>
  <c r="Q1186" i="1" a="1"/>
  <c r="Q1186" i="1" s="1"/>
  <c r="Q1187" i="1" a="1"/>
  <c r="Q1187" i="1" s="1"/>
  <c r="Q1188" i="1" a="1"/>
  <c r="Q1188" i="1" s="1"/>
  <c r="Q1189" i="1" a="1"/>
  <c r="Q1189" i="1" s="1"/>
  <c r="Q1190" i="1" a="1"/>
  <c r="Q1190" i="1" s="1"/>
  <c r="Q1191" i="1" a="1"/>
  <c r="Q1191" i="1" s="1"/>
  <c r="Q1192" i="1" a="1"/>
  <c r="Q1192" i="1" s="1"/>
  <c r="Q1193" i="1" a="1"/>
  <c r="Q1193" i="1" s="1"/>
  <c r="Q1194" i="1" a="1"/>
  <c r="Q1194" i="1" s="1"/>
  <c r="Q1195" i="1" a="1"/>
  <c r="Q1195" i="1" s="1"/>
  <c r="Q1196" i="1" a="1"/>
  <c r="Q1196" i="1" s="1"/>
  <c r="Q1197" i="1" a="1"/>
  <c r="Q1197" i="1" s="1"/>
  <c r="Q1198" i="1" a="1"/>
  <c r="Q1198" i="1" s="1"/>
  <c r="Q1199" i="1" a="1"/>
  <c r="Q1199" i="1" s="1"/>
  <c r="Q1200" i="1" a="1"/>
  <c r="Q1200" i="1" s="1"/>
  <c r="Q1201" i="1" a="1"/>
  <c r="Q1201" i="1" s="1"/>
  <c r="Q1202" i="1" a="1"/>
  <c r="Q1202" i="1" s="1"/>
  <c r="Q1203" i="1" a="1"/>
  <c r="Q1203" i="1" s="1"/>
  <c r="Q1204" i="1" a="1"/>
  <c r="Q1204" i="1" s="1"/>
  <c r="Q1205" i="1" a="1"/>
  <c r="Q1205" i="1" s="1"/>
  <c r="Q1206" i="1" a="1"/>
  <c r="Q1206" i="1" s="1"/>
  <c r="Q1207" i="1" a="1"/>
  <c r="Q1207" i="1" s="1"/>
  <c r="Q1208" i="1" a="1"/>
  <c r="Q1208" i="1" s="1"/>
  <c r="Q1209" i="1" a="1"/>
  <c r="Q1209" i="1" s="1"/>
  <c r="Q1210" i="1" a="1"/>
  <c r="Q1210" i="1" s="1"/>
  <c r="Q1211" i="1" a="1"/>
  <c r="Q1211" i="1" s="1"/>
  <c r="Q1212" i="1" a="1"/>
  <c r="Q1212" i="1" s="1"/>
  <c r="Q1213" i="1" a="1"/>
  <c r="Q1213" i="1" s="1"/>
  <c r="Q1214" i="1" a="1"/>
  <c r="Q1214" i="1" s="1"/>
  <c r="Q1215" i="1" a="1"/>
  <c r="Q1215" i="1" s="1"/>
  <c r="Q1216" i="1" a="1"/>
  <c r="Q1216" i="1" s="1"/>
  <c r="Q1217" i="1" a="1"/>
  <c r="Q1217" i="1" s="1"/>
  <c r="Q1218" i="1" a="1"/>
  <c r="Q1218" i="1" s="1"/>
  <c r="Q1219" i="1" a="1"/>
  <c r="Q1219" i="1" s="1"/>
  <c r="Q1220" i="1" a="1"/>
  <c r="Q1220" i="1" s="1"/>
  <c r="Q1221" i="1" a="1"/>
  <c r="Q1221" i="1" s="1"/>
  <c r="Q1222" i="1" a="1"/>
  <c r="Q1222" i="1" s="1"/>
  <c r="Q1223" i="1" a="1"/>
  <c r="Q1223" i="1" s="1"/>
  <c r="Q1224" i="1" a="1"/>
  <c r="Q1224" i="1" s="1"/>
  <c r="Q1225" i="1" a="1"/>
  <c r="Q1225" i="1" s="1"/>
  <c r="Q1226" i="1" a="1"/>
  <c r="Q1226" i="1" s="1"/>
  <c r="Q1227" i="1" a="1"/>
  <c r="Q1227" i="1" s="1"/>
  <c r="Q1228" i="1" a="1"/>
  <c r="Q1228" i="1" s="1"/>
  <c r="Q1229" i="1" a="1"/>
  <c r="Q1229" i="1" s="1"/>
  <c r="Q1230" i="1" a="1"/>
  <c r="Q1230" i="1" s="1"/>
  <c r="Q1231" i="1" a="1"/>
  <c r="Q1231" i="1" s="1"/>
  <c r="Q1232" i="1" a="1"/>
  <c r="Q1232" i="1" s="1"/>
  <c r="Q1233" i="1" a="1"/>
  <c r="Q1233" i="1" s="1"/>
  <c r="Q1234" i="1" a="1"/>
  <c r="Q1234" i="1" s="1"/>
  <c r="Q1235" i="1" a="1"/>
  <c r="Q1235" i="1" s="1"/>
  <c r="Q1236" i="1" a="1"/>
  <c r="Q1236" i="1" s="1"/>
  <c r="Q1237" i="1" a="1"/>
  <c r="Q1237" i="1" s="1"/>
  <c r="Q1238" i="1" a="1"/>
  <c r="Q1238" i="1" s="1"/>
  <c r="Q1239" i="1" a="1"/>
  <c r="Q1239" i="1" s="1"/>
  <c r="Q1240" i="1" a="1"/>
  <c r="Q1240" i="1" s="1"/>
  <c r="Q1241" i="1" a="1"/>
  <c r="Q1241" i="1" s="1"/>
  <c r="Q1242" i="1" a="1"/>
  <c r="Q1242" i="1" s="1"/>
  <c r="Q1243" i="1" a="1"/>
  <c r="Q1243" i="1" s="1"/>
  <c r="Q1244" i="1" a="1"/>
  <c r="Q1244" i="1" s="1"/>
  <c r="Q1245" i="1" a="1"/>
  <c r="Q1245" i="1" s="1"/>
  <c r="Q1246" i="1" a="1"/>
  <c r="Q1246" i="1" s="1"/>
  <c r="Q1247" i="1" a="1"/>
  <c r="Q1247" i="1" s="1"/>
  <c r="Q1248" i="1" a="1"/>
  <c r="Q1248" i="1" s="1"/>
  <c r="Q1249" i="1" a="1"/>
  <c r="Q1249" i="1" s="1"/>
  <c r="Q1250" i="1" a="1"/>
  <c r="Q1250" i="1" s="1"/>
  <c r="Q1251" i="1" a="1"/>
  <c r="Q1251" i="1" s="1"/>
  <c r="Q1252" i="1" a="1"/>
  <c r="Q1252" i="1" s="1"/>
  <c r="Q1253" i="1" a="1"/>
  <c r="Q1253" i="1" s="1"/>
  <c r="Q1254" i="1" a="1"/>
  <c r="Q1254" i="1" s="1"/>
  <c r="Q1255" i="1" a="1"/>
  <c r="Q1255" i="1" s="1"/>
  <c r="Q1256" i="1" a="1"/>
  <c r="Q1256" i="1" s="1"/>
  <c r="Q1257" i="1" a="1"/>
  <c r="Q1257" i="1" s="1"/>
  <c r="Q1258" i="1" a="1"/>
  <c r="Q1258" i="1" s="1"/>
  <c r="Q1259" i="1" a="1"/>
  <c r="Q1259" i="1" s="1"/>
  <c r="Q1260" i="1" a="1"/>
  <c r="Q1260" i="1" s="1"/>
  <c r="Q1261" i="1" a="1"/>
  <c r="Q1261" i="1" s="1"/>
  <c r="Q1262" i="1" a="1"/>
  <c r="Q1262" i="1" s="1"/>
  <c r="Q1263" i="1" a="1"/>
  <c r="Q1263" i="1" s="1"/>
  <c r="Q1264" i="1" a="1"/>
  <c r="Q1264" i="1" s="1"/>
  <c r="Q1265" i="1" a="1"/>
  <c r="Q1265" i="1" s="1"/>
  <c r="Q1266" i="1" a="1"/>
  <c r="Q1266" i="1" s="1"/>
  <c r="Q1267" i="1" a="1"/>
  <c r="Q1267" i="1" s="1"/>
  <c r="Q1268" i="1" a="1"/>
  <c r="Q1268" i="1" s="1"/>
  <c r="Q1269" i="1" a="1"/>
  <c r="Q1269" i="1" s="1"/>
  <c r="Q1270" i="1" a="1"/>
  <c r="Q1270" i="1" s="1"/>
  <c r="Q1271" i="1" a="1"/>
  <c r="Q1271" i="1" s="1"/>
  <c r="Q1272" i="1" a="1"/>
  <c r="Q1272" i="1" s="1"/>
  <c r="Q1273" i="1" a="1"/>
  <c r="Q1273" i="1" s="1"/>
  <c r="Q1274" i="1" a="1"/>
  <c r="Q1274" i="1" s="1"/>
  <c r="Q1275" i="1" a="1"/>
  <c r="Q1275" i="1" s="1"/>
  <c r="Q1276" i="1" a="1"/>
  <c r="Q1276" i="1" s="1"/>
  <c r="Q1277" i="1" a="1"/>
  <c r="Q1277" i="1" s="1"/>
  <c r="Q1278" i="1" a="1"/>
  <c r="Q1278" i="1" s="1"/>
  <c r="Q1279" i="1" a="1"/>
  <c r="Q1279" i="1" s="1"/>
  <c r="Q1280" i="1" a="1"/>
  <c r="Q1280" i="1" s="1"/>
  <c r="Q1281" i="1" a="1"/>
  <c r="Q1281" i="1" s="1"/>
  <c r="Q1282" i="1" a="1"/>
  <c r="Q1282" i="1" s="1"/>
  <c r="Q1283" i="1" a="1"/>
  <c r="Q1283" i="1" s="1"/>
  <c r="Q1284" i="1" a="1"/>
  <c r="Q1284" i="1" s="1"/>
  <c r="Q1285" i="1" a="1"/>
  <c r="Q1285" i="1" s="1"/>
  <c r="Q1286" i="1" a="1"/>
  <c r="Q1286" i="1" s="1"/>
  <c r="Q1287" i="1" a="1"/>
  <c r="Q1287" i="1" s="1"/>
  <c r="Q1288" i="1" a="1"/>
  <c r="Q1288" i="1" s="1"/>
  <c r="Q1289" i="1" a="1"/>
  <c r="Q1289" i="1" s="1"/>
  <c r="Q1290" i="1" a="1"/>
  <c r="Q1290" i="1" s="1"/>
  <c r="Q1291" i="1" a="1"/>
  <c r="Q1291" i="1" s="1"/>
  <c r="Q1292" i="1" a="1"/>
  <c r="Q1292" i="1" s="1"/>
  <c r="Q1293" i="1" a="1"/>
  <c r="Q1293" i="1" s="1"/>
  <c r="Q1294" i="1" a="1"/>
  <c r="Q1294" i="1" s="1"/>
  <c r="Q1295" i="1" a="1"/>
  <c r="Q1295" i="1" s="1"/>
  <c r="Q1296" i="1" a="1"/>
  <c r="Q1296" i="1" s="1"/>
  <c r="Q1297" i="1" a="1"/>
  <c r="Q1297" i="1" s="1"/>
  <c r="Q1298" i="1" a="1"/>
  <c r="Q1298" i="1" s="1"/>
  <c r="Q1299" i="1" a="1"/>
  <c r="Q1299" i="1" s="1"/>
  <c r="Q1300" i="1" a="1"/>
  <c r="Q1300" i="1" s="1"/>
  <c r="Q1301" i="1" a="1"/>
  <c r="Q1301" i="1" s="1"/>
  <c r="Q1302" i="1" a="1"/>
  <c r="Q1302" i="1" s="1"/>
  <c r="Q1303" i="1" a="1"/>
  <c r="Q1303" i="1" s="1"/>
  <c r="Q1304" i="1" a="1"/>
  <c r="Q1304" i="1" s="1"/>
  <c r="Q1305" i="1" a="1"/>
  <c r="Q1305" i="1" s="1"/>
  <c r="Q1306" i="1" a="1"/>
  <c r="Q1306" i="1" s="1"/>
  <c r="Q1307" i="1" a="1"/>
  <c r="Q1307" i="1" s="1"/>
  <c r="Q1308" i="1" a="1"/>
  <c r="Q1308" i="1" s="1"/>
  <c r="Q1309" i="1" a="1"/>
  <c r="Q1309" i="1" s="1"/>
  <c r="Q1310" i="1" a="1"/>
  <c r="Q1310" i="1" s="1"/>
  <c r="Q1311" i="1" a="1"/>
  <c r="Q1311" i="1" s="1"/>
  <c r="Q1312" i="1" a="1"/>
  <c r="Q1312" i="1" s="1"/>
  <c r="Q1313" i="1" a="1"/>
  <c r="Q1313" i="1" s="1"/>
  <c r="Q1314" i="1" a="1"/>
  <c r="Q1314" i="1" s="1"/>
  <c r="Q1315" i="1" a="1"/>
  <c r="Q1315" i="1" s="1"/>
  <c r="Q1316" i="1" a="1"/>
  <c r="Q1316" i="1" s="1"/>
  <c r="Q1317" i="1" a="1"/>
  <c r="Q1317" i="1" s="1"/>
  <c r="Q1318" i="1" a="1"/>
  <c r="Q1318" i="1" s="1"/>
  <c r="Q1319" i="1" a="1"/>
  <c r="Q1319" i="1" s="1"/>
  <c r="Q1320" i="1" a="1"/>
  <c r="Q1320" i="1" s="1"/>
  <c r="Q1321" i="1" a="1"/>
  <c r="Q1321" i="1" s="1"/>
  <c r="Q1322" i="1" a="1"/>
  <c r="Q1322" i="1" s="1"/>
  <c r="Q1323" i="1" a="1"/>
  <c r="Q1323" i="1" s="1"/>
  <c r="Q1324" i="1" a="1"/>
  <c r="Q1324" i="1" s="1"/>
  <c r="Q1325" i="1" a="1"/>
  <c r="Q1325" i="1" s="1"/>
  <c r="Q1326" i="1" a="1"/>
  <c r="Q1326" i="1" s="1"/>
  <c r="Q1327" i="1" a="1"/>
  <c r="Q1327" i="1" s="1"/>
  <c r="Q1328" i="1" a="1"/>
  <c r="Q1328" i="1" s="1"/>
  <c r="Q1329" i="1" a="1"/>
  <c r="Q1329" i="1" s="1"/>
  <c r="Q1330" i="1" a="1"/>
  <c r="Q1330" i="1" s="1"/>
  <c r="Q1331" i="1" a="1"/>
  <c r="Q1331" i="1" s="1"/>
  <c r="Q1332" i="1" a="1"/>
  <c r="Q1332" i="1" s="1"/>
  <c r="Q1333" i="1" a="1"/>
  <c r="Q1333" i="1" s="1"/>
  <c r="Q1334" i="1" a="1"/>
  <c r="Q1334" i="1" s="1"/>
  <c r="Q1335" i="1" a="1"/>
  <c r="Q1335" i="1" s="1"/>
  <c r="Q1336" i="1" a="1"/>
  <c r="Q1336" i="1" s="1"/>
  <c r="Q1337" i="1" a="1"/>
  <c r="Q1337" i="1" s="1"/>
  <c r="Q1338" i="1" a="1"/>
  <c r="Q1338" i="1" s="1"/>
  <c r="Q1339" i="1" a="1"/>
  <c r="Q1339" i="1" s="1"/>
  <c r="Q1340" i="1" a="1"/>
  <c r="Q1340" i="1" s="1"/>
  <c r="Q1341" i="1" a="1"/>
  <c r="Q1341" i="1" s="1"/>
  <c r="Q1342" i="1" a="1"/>
  <c r="Q1342" i="1" s="1"/>
  <c r="Q1343" i="1" a="1"/>
  <c r="Q1343" i="1" s="1"/>
  <c r="Q1344" i="1" a="1"/>
  <c r="Q1344" i="1" s="1"/>
  <c r="Q1345" i="1" a="1"/>
  <c r="Q1345" i="1" s="1"/>
  <c r="Q1346" i="1" a="1"/>
  <c r="Q1346" i="1" s="1"/>
  <c r="Q1347" i="1" a="1"/>
  <c r="Q1347" i="1" s="1"/>
  <c r="Q1348" i="1" a="1"/>
  <c r="Q1348" i="1" s="1"/>
  <c r="Q1349" i="1" a="1"/>
  <c r="Q1349" i="1" s="1"/>
  <c r="Q1350" i="1" a="1"/>
  <c r="Q1350" i="1" s="1"/>
  <c r="Q1351" i="1" a="1"/>
  <c r="Q1351" i="1" s="1"/>
  <c r="Q1352" i="1" a="1"/>
  <c r="Q1352" i="1" s="1"/>
  <c r="Q1353" i="1" a="1"/>
  <c r="Q1353" i="1" s="1"/>
  <c r="Q1354" i="1" a="1"/>
  <c r="Q1354" i="1" s="1"/>
  <c r="Q1355" i="1" a="1"/>
  <c r="Q1355" i="1" s="1"/>
  <c r="Q1356" i="1" a="1"/>
  <c r="Q1356" i="1" s="1"/>
  <c r="Q1357" i="1" a="1"/>
  <c r="Q1357" i="1" s="1"/>
  <c r="Q1358" i="1" a="1"/>
  <c r="Q1358" i="1" s="1"/>
  <c r="Q1359" i="1" a="1"/>
  <c r="Q1359" i="1" s="1"/>
  <c r="Q1360" i="1" a="1"/>
  <c r="Q1360" i="1" s="1"/>
  <c r="Q1361" i="1" a="1"/>
  <c r="Q1361" i="1" s="1"/>
  <c r="Q1362" i="1" a="1"/>
  <c r="Q1362" i="1" s="1"/>
  <c r="Q1363" i="1" a="1"/>
  <c r="Q1363" i="1" s="1"/>
  <c r="Q1364" i="1" a="1"/>
  <c r="Q1364" i="1" s="1"/>
  <c r="Q1365" i="1" a="1"/>
  <c r="Q1365" i="1" s="1"/>
  <c r="Q1366" i="1" a="1"/>
  <c r="Q1366" i="1" s="1"/>
  <c r="Q1367" i="1" a="1"/>
  <c r="Q1367" i="1" s="1"/>
  <c r="Q1368" i="1" a="1"/>
  <c r="Q1368" i="1" s="1"/>
  <c r="Q1369" i="1" a="1"/>
  <c r="Q1369" i="1" s="1"/>
  <c r="Q1370" i="1" a="1"/>
  <c r="Q1370" i="1" s="1"/>
  <c r="Q1371" i="1" a="1"/>
  <c r="Q1371" i="1" s="1"/>
  <c r="Q1372" i="1" a="1"/>
  <c r="Q1372" i="1" s="1"/>
  <c r="Q1373" i="1" a="1"/>
  <c r="Q1373" i="1" s="1"/>
  <c r="Q1374" i="1" a="1"/>
  <c r="Q1374" i="1" s="1"/>
  <c r="Q1375" i="1" a="1"/>
  <c r="Q1375" i="1" s="1"/>
  <c r="Q1376" i="1" a="1"/>
  <c r="Q1376" i="1" s="1"/>
  <c r="Q1377" i="1" a="1"/>
  <c r="Q1377" i="1" s="1"/>
  <c r="Q1378" i="1" a="1"/>
  <c r="Q1378" i="1" s="1"/>
  <c r="Q1379" i="1" a="1"/>
  <c r="Q1379" i="1" s="1"/>
  <c r="Q1380" i="1" a="1"/>
  <c r="Q1380" i="1" s="1"/>
  <c r="Q1381" i="1" a="1"/>
  <c r="Q1381" i="1" s="1"/>
  <c r="Q1382" i="1" a="1"/>
  <c r="Q1382" i="1" s="1"/>
  <c r="Q1383" i="1" a="1"/>
  <c r="Q1383" i="1" s="1"/>
  <c r="Q1384" i="1" a="1"/>
  <c r="Q1384" i="1" s="1"/>
  <c r="Q1385" i="1" a="1"/>
  <c r="Q1385" i="1" s="1"/>
  <c r="Q1386" i="1" a="1"/>
  <c r="Q1386" i="1" s="1"/>
  <c r="Q1387" i="1" a="1"/>
  <c r="Q1387" i="1" s="1"/>
  <c r="Q1388" i="1" a="1"/>
  <c r="Q1388" i="1" s="1"/>
  <c r="Q1389" i="1" a="1"/>
  <c r="Q1389" i="1" s="1"/>
  <c r="Q1390" i="1" a="1"/>
  <c r="Q1390" i="1" s="1"/>
  <c r="Q1391" i="1" a="1"/>
  <c r="Q1391" i="1" s="1"/>
  <c r="Q1392" i="1" a="1"/>
  <c r="Q1392" i="1" s="1"/>
  <c r="Q1393" i="1" a="1"/>
  <c r="Q1393" i="1" s="1"/>
  <c r="Q1394" i="1" a="1"/>
  <c r="Q1394" i="1" s="1"/>
  <c r="Q1395" i="1" a="1"/>
  <c r="Q1395" i="1" s="1"/>
  <c r="Q1396" i="1" a="1"/>
  <c r="Q1396" i="1" s="1"/>
  <c r="Q1397" i="1" a="1"/>
  <c r="Q1397" i="1" s="1"/>
  <c r="Q1398" i="1" a="1"/>
  <c r="Q1398" i="1" s="1"/>
  <c r="Q1399" i="1" a="1"/>
  <c r="Q1399" i="1" s="1"/>
  <c r="Q1400" i="1" a="1"/>
  <c r="Q1400" i="1" s="1"/>
  <c r="Q1401" i="1" a="1"/>
  <c r="Q1401" i="1" s="1"/>
  <c r="Q1402" i="1" a="1"/>
  <c r="Q1402" i="1" s="1"/>
  <c r="Q1403" i="1" a="1"/>
  <c r="Q1403" i="1" s="1"/>
  <c r="Q1404" i="1" a="1"/>
  <c r="Q1404" i="1" s="1"/>
  <c r="Q1405" i="1" a="1"/>
  <c r="Q1405" i="1" s="1"/>
  <c r="Q1406" i="1" a="1"/>
  <c r="Q1406" i="1" s="1"/>
  <c r="Q1407" i="1" a="1"/>
  <c r="Q1407" i="1" s="1"/>
  <c r="Q1408" i="1" a="1"/>
  <c r="Q1408" i="1" s="1"/>
  <c r="Q1409" i="1" a="1"/>
  <c r="Q1409" i="1" s="1"/>
  <c r="Q1410" i="1" a="1"/>
  <c r="Q1410" i="1" s="1"/>
  <c r="Q1411" i="1" a="1"/>
  <c r="Q1411" i="1" s="1"/>
  <c r="Q1412" i="1" a="1"/>
  <c r="Q1412" i="1" s="1"/>
  <c r="Q1413" i="1" a="1"/>
  <c r="Q1413" i="1" s="1"/>
  <c r="Q1414" i="1" a="1"/>
  <c r="Q1414" i="1" s="1"/>
  <c r="Q1415" i="1" a="1"/>
  <c r="Q1415" i="1" s="1"/>
  <c r="Q1416" i="1" a="1"/>
  <c r="Q1416" i="1" s="1"/>
  <c r="Q1417" i="1" a="1"/>
  <c r="Q1417" i="1" s="1"/>
  <c r="Q1418" i="1" a="1"/>
  <c r="Q1418" i="1" s="1"/>
  <c r="Q1419" i="1" a="1"/>
  <c r="Q1419" i="1" s="1"/>
  <c r="Q1420" i="1" a="1"/>
  <c r="Q1420" i="1" s="1"/>
  <c r="Q1421" i="1" a="1"/>
  <c r="Q1421" i="1" s="1"/>
  <c r="Q1422" i="1" a="1"/>
  <c r="Q1422" i="1" s="1"/>
  <c r="Q1423" i="1" a="1"/>
  <c r="Q1423" i="1" s="1"/>
  <c r="Q1424" i="1" a="1"/>
  <c r="Q1424" i="1" s="1"/>
  <c r="Q1425" i="1" a="1"/>
  <c r="Q1425" i="1" s="1"/>
  <c r="Q1426" i="1" a="1"/>
  <c r="Q1426" i="1" s="1"/>
  <c r="Q1427" i="1" a="1"/>
  <c r="Q1427" i="1" s="1"/>
  <c r="Q1428" i="1" a="1"/>
  <c r="Q1428" i="1" s="1"/>
  <c r="Q1429" i="1" a="1"/>
  <c r="Q1429" i="1" s="1"/>
  <c r="Q1430" i="1" a="1"/>
  <c r="Q1430" i="1" s="1"/>
  <c r="Q1431" i="1" a="1"/>
  <c r="Q1431" i="1" s="1"/>
  <c r="Q1432" i="1" a="1"/>
  <c r="Q1432" i="1" s="1"/>
  <c r="Q1433" i="1" a="1"/>
  <c r="Q1433" i="1" s="1"/>
  <c r="Q1434" i="1" a="1"/>
  <c r="Q1434" i="1" s="1"/>
  <c r="Q1435" i="1" a="1"/>
  <c r="Q1435" i="1" s="1"/>
  <c r="Q1436" i="1" a="1"/>
  <c r="Q1436" i="1" s="1"/>
  <c r="Q1437" i="1" a="1"/>
  <c r="Q1437" i="1" s="1"/>
  <c r="Q1438" i="1" a="1"/>
  <c r="Q1438" i="1" s="1"/>
  <c r="Q1439" i="1" a="1"/>
  <c r="Q1439" i="1" s="1"/>
  <c r="Q1440" i="1" a="1"/>
  <c r="Q1440" i="1" s="1"/>
  <c r="Q1441" i="1" a="1"/>
  <c r="Q1441" i="1" s="1"/>
  <c r="Q1442" i="1" a="1"/>
  <c r="Q1442" i="1" s="1"/>
  <c r="Q1443" i="1" a="1"/>
  <c r="Q1443" i="1" s="1"/>
  <c r="Q1444" i="1" a="1"/>
  <c r="Q1444" i="1" s="1"/>
  <c r="Q1445" i="1" a="1"/>
  <c r="Q1445" i="1" s="1"/>
  <c r="Q1446" i="1" a="1"/>
  <c r="Q1446" i="1" s="1"/>
  <c r="Q1447" i="1" a="1"/>
  <c r="Q1447" i="1" s="1"/>
  <c r="Q1448" i="1" a="1"/>
  <c r="Q1448" i="1" s="1"/>
  <c r="Q1449" i="1" a="1"/>
  <c r="Q1449" i="1" s="1"/>
  <c r="Q1450" i="1" a="1"/>
  <c r="Q1450" i="1" s="1"/>
  <c r="Q1451" i="1" a="1"/>
  <c r="Q1451" i="1" s="1"/>
  <c r="Q1452" i="1" a="1"/>
  <c r="Q1452" i="1" s="1"/>
  <c r="Q1453" i="1" a="1"/>
  <c r="Q1453" i="1" s="1"/>
  <c r="Q1454" i="1" a="1"/>
  <c r="Q1454" i="1" s="1"/>
  <c r="Q1455" i="1" a="1"/>
  <c r="Q1455" i="1" s="1"/>
  <c r="Q1456" i="1" a="1"/>
  <c r="Q1456" i="1" s="1"/>
  <c r="Q1457" i="1" a="1"/>
  <c r="Q1457" i="1" s="1"/>
  <c r="Q1458" i="1" a="1"/>
  <c r="Q1458" i="1" s="1"/>
  <c r="Q1459" i="1" a="1"/>
  <c r="Q1459" i="1" s="1"/>
  <c r="Q1460" i="1" a="1"/>
  <c r="Q1460" i="1" s="1"/>
  <c r="Q1461" i="1" a="1"/>
  <c r="Q1461" i="1" s="1"/>
  <c r="Q1462" i="1" a="1"/>
  <c r="Q1462" i="1" s="1"/>
  <c r="Q1463" i="1" a="1"/>
  <c r="Q1463" i="1" s="1"/>
  <c r="Q1464" i="1" a="1"/>
  <c r="Q1464" i="1" s="1"/>
  <c r="Q1465" i="1" a="1"/>
  <c r="Q1465" i="1" s="1"/>
  <c r="Q1466" i="1" a="1"/>
  <c r="Q1466" i="1" s="1"/>
  <c r="Q1467" i="1" a="1"/>
  <c r="Q1467" i="1" s="1"/>
  <c r="Q1468" i="1" a="1"/>
  <c r="Q1468" i="1" s="1"/>
  <c r="Q1469" i="1" a="1"/>
  <c r="Q1469" i="1" s="1"/>
  <c r="Q1470" i="1" a="1"/>
  <c r="Q1470" i="1" s="1"/>
  <c r="Q1471" i="1" a="1"/>
  <c r="Q1471" i="1" s="1"/>
  <c r="Q1472" i="1" a="1"/>
  <c r="Q1472" i="1" s="1"/>
  <c r="Q1473" i="1" a="1"/>
  <c r="Q1473" i="1" s="1"/>
  <c r="Q1474" i="1" a="1"/>
  <c r="Q1474" i="1" s="1"/>
  <c r="Q1475" i="1" a="1"/>
  <c r="Q1475" i="1" s="1"/>
  <c r="Q1476" i="1" a="1"/>
  <c r="Q1476" i="1" s="1"/>
  <c r="Q1477" i="1" a="1"/>
  <c r="Q1477" i="1" s="1"/>
  <c r="Q1478" i="1" a="1"/>
  <c r="Q1478" i="1" s="1"/>
  <c r="Q1479" i="1" a="1"/>
  <c r="Q1479" i="1" s="1"/>
  <c r="Q1480" i="1" a="1"/>
  <c r="Q1480" i="1" s="1"/>
  <c r="Q1481" i="1" a="1"/>
  <c r="Q1481" i="1" s="1"/>
  <c r="Q1482" i="1" a="1"/>
  <c r="Q1482" i="1" s="1"/>
  <c r="Q1483" i="1" a="1"/>
  <c r="Q1483" i="1" s="1"/>
  <c r="Q1484" i="1" a="1"/>
  <c r="Q1484" i="1" s="1"/>
  <c r="Q1485" i="1" a="1"/>
  <c r="Q1485" i="1" s="1"/>
  <c r="Q1486" i="1" a="1"/>
  <c r="Q1486" i="1" s="1"/>
  <c r="Q1487" i="1" a="1"/>
  <c r="Q1487" i="1" s="1"/>
  <c r="Q1488" i="1" a="1"/>
  <c r="Q1488" i="1" s="1"/>
  <c r="Q1489" i="1" a="1"/>
  <c r="Q1489" i="1" s="1"/>
  <c r="Q1490" i="1" a="1"/>
  <c r="Q1490" i="1" s="1"/>
  <c r="Q1491" i="1" a="1"/>
  <c r="Q1491" i="1" s="1"/>
  <c r="Q1492" i="1" a="1"/>
  <c r="Q1492" i="1" s="1"/>
  <c r="Q1493" i="1" a="1"/>
  <c r="Q1493" i="1" s="1"/>
  <c r="Q1494" i="1" a="1"/>
  <c r="Q1494" i="1" s="1"/>
  <c r="Q1495" i="1" a="1"/>
  <c r="Q1495" i="1" s="1"/>
  <c r="Q1496" i="1" a="1"/>
  <c r="Q1496" i="1" s="1"/>
  <c r="Q1497" i="1" a="1"/>
  <c r="Q1497" i="1" s="1"/>
  <c r="Q1498" i="1" a="1"/>
  <c r="Q1498" i="1" s="1"/>
  <c r="Q1499" i="1" a="1"/>
  <c r="Q1499" i="1" s="1"/>
  <c r="Q1500" i="1" a="1"/>
  <c r="Q1500" i="1" s="1"/>
  <c r="Q1501" i="1" a="1"/>
  <c r="Q1501" i="1" s="1"/>
  <c r="Q1502" i="1" a="1"/>
  <c r="Q1502" i="1" s="1"/>
  <c r="Q1503" i="1" a="1"/>
  <c r="Q1503" i="1" s="1"/>
  <c r="Q1504" i="1" a="1"/>
  <c r="Q1504" i="1" s="1"/>
  <c r="Q1505" i="1" a="1"/>
  <c r="Q1505" i="1" s="1"/>
  <c r="Q1506" i="1" a="1"/>
  <c r="Q1506" i="1" s="1"/>
  <c r="Q1507" i="1" a="1"/>
  <c r="Q1507" i="1" s="1"/>
  <c r="Q1508" i="1" a="1"/>
  <c r="Q1508" i="1" s="1"/>
  <c r="Q1509" i="1" a="1"/>
  <c r="Q1509" i="1" s="1"/>
  <c r="Q1510" i="1" a="1"/>
  <c r="Q1510" i="1" s="1"/>
  <c r="Q1511" i="1" a="1"/>
  <c r="Q1511" i="1" s="1"/>
  <c r="Q1512" i="1" a="1"/>
  <c r="Q1512" i="1" s="1"/>
  <c r="Q1513" i="1" a="1"/>
  <c r="Q1513" i="1" s="1"/>
  <c r="Q1514" i="1" a="1"/>
  <c r="Q1514" i="1" s="1"/>
  <c r="Q1515" i="1" a="1"/>
  <c r="Q1515" i="1" s="1"/>
  <c r="Q1516" i="1" a="1"/>
  <c r="Q1516" i="1" s="1"/>
  <c r="Q1517" i="1" a="1"/>
  <c r="Q1517" i="1" s="1"/>
  <c r="Q1518" i="1" a="1"/>
  <c r="Q1518" i="1" s="1"/>
  <c r="Q1519" i="1" a="1"/>
  <c r="Q1519" i="1" s="1"/>
  <c r="Q1520" i="1" a="1"/>
  <c r="Q1520" i="1" s="1"/>
  <c r="Q1521" i="1" a="1"/>
  <c r="Q1521" i="1" s="1"/>
  <c r="Q1522" i="1" a="1"/>
  <c r="Q1522" i="1" s="1"/>
  <c r="Q1523" i="1" a="1"/>
  <c r="Q1523" i="1" s="1"/>
  <c r="Q1524" i="1" a="1"/>
  <c r="Q1524" i="1" s="1"/>
  <c r="Q1525" i="1" a="1"/>
  <c r="Q1525" i="1" s="1"/>
  <c r="Q1526" i="1" a="1"/>
  <c r="Q1526" i="1" s="1"/>
  <c r="Q1527" i="1" a="1"/>
  <c r="Q1527" i="1" s="1"/>
  <c r="Q1528" i="1" a="1"/>
  <c r="Q1528" i="1" s="1"/>
  <c r="Q1529" i="1" a="1"/>
  <c r="Q1529" i="1" s="1"/>
  <c r="Q1530" i="1" a="1"/>
  <c r="Q1530" i="1" s="1"/>
  <c r="Q1531" i="1" a="1"/>
  <c r="Q1531" i="1" s="1"/>
  <c r="Q1532" i="1" a="1"/>
  <c r="Q1532" i="1" s="1"/>
  <c r="Q1533" i="1" a="1"/>
  <c r="Q1533" i="1" s="1"/>
  <c r="Q1534" i="1" a="1"/>
  <c r="Q1534" i="1" s="1"/>
  <c r="Q1535" i="1" a="1"/>
  <c r="Q1535" i="1" s="1"/>
  <c r="Q1536" i="1" a="1"/>
  <c r="Q1536" i="1" s="1"/>
  <c r="Q1537" i="1" a="1"/>
  <c r="Q1537" i="1" s="1"/>
  <c r="Q1538" i="1" a="1"/>
  <c r="Q1538" i="1" s="1"/>
  <c r="Q1539" i="1" a="1"/>
  <c r="Q1539" i="1" s="1"/>
  <c r="Q1540" i="1" a="1"/>
  <c r="Q1540" i="1" s="1"/>
  <c r="Q1541" i="1" a="1"/>
  <c r="Q1541" i="1" s="1"/>
  <c r="Q1542" i="1" a="1"/>
  <c r="Q1542" i="1" s="1"/>
  <c r="Q1543" i="1" a="1"/>
  <c r="Q1543" i="1" s="1"/>
  <c r="Q1544" i="1" a="1"/>
  <c r="Q1544" i="1" s="1"/>
  <c r="Q1545" i="1" a="1"/>
  <c r="Q1545" i="1" s="1"/>
  <c r="Q1546" i="1" a="1"/>
  <c r="Q1546" i="1" s="1"/>
  <c r="Q1547" i="1" a="1"/>
  <c r="Q1547" i="1" s="1"/>
  <c r="Q1548" i="1" a="1"/>
  <c r="Q1548" i="1" s="1"/>
  <c r="Q1549" i="1" a="1"/>
  <c r="Q1549" i="1" s="1"/>
  <c r="Q1550" i="1" a="1"/>
  <c r="Q1550" i="1" s="1"/>
  <c r="Q1551" i="1" a="1"/>
  <c r="Q1551" i="1" s="1"/>
  <c r="Q1552" i="1" a="1"/>
  <c r="Q1552" i="1" s="1"/>
  <c r="Q1553" i="1" a="1"/>
  <c r="Q1553" i="1" s="1"/>
  <c r="Q1554" i="1" a="1"/>
  <c r="Q1554" i="1" s="1"/>
  <c r="Q1555" i="1" a="1"/>
  <c r="Q1555" i="1" s="1"/>
  <c r="Q1556" i="1" a="1"/>
  <c r="Q1556" i="1" s="1"/>
  <c r="Q1557" i="1" a="1"/>
  <c r="Q1557" i="1" s="1"/>
  <c r="Q1558" i="1" a="1"/>
  <c r="Q1558" i="1" s="1"/>
  <c r="Q1559" i="1" a="1"/>
  <c r="Q1559" i="1" s="1"/>
  <c r="Q1560" i="1" a="1"/>
  <c r="Q1560" i="1" s="1"/>
  <c r="Q1561" i="1" a="1"/>
  <c r="Q1561" i="1" s="1"/>
  <c r="Q1562" i="1" a="1"/>
  <c r="Q1562" i="1" s="1"/>
  <c r="Q1563" i="1" a="1"/>
  <c r="Q1563" i="1" s="1"/>
  <c r="Q1564" i="1" a="1"/>
  <c r="Q1564" i="1" s="1"/>
  <c r="Q1565" i="1" a="1"/>
  <c r="Q1565" i="1" s="1"/>
  <c r="Q1566" i="1" a="1"/>
  <c r="Q1566" i="1" s="1"/>
  <c r="Q1567" i="1" a="1"/>
  <c r="Q1567" i="1" s="1"/>
  <c r="Q1568" i="1" a="1"/>
  <c r="Q1568" i="1" s="1"/>
  <c r="Q1569" i="1" a="1"/>
  <c r="Q1569" i="1" s="1"/>
  <c r="Q1570" i="1" a="1"/>
  <c r="Q1570" i="1" s="1"/>
  <c r="Q1571" i="1" a="1"/>
  <c r="Q1571" i="1" s="1"/>
  <c r="Q1572" i="1" a="1"/>
  <c r="Q1572" i="1" s="1"/>
  <c r="Q1573" i="1" a="1"/>
  <c r="Q1573" i="1" s="1"/>
  <c r="Q1574" i="1" a="1"/>
  <c r="Q1574" i="1" s="1"/>
  <c r="Q1575" i="1" a="1"/>
  <c r="Q1575" i="1" s="1"/>
  <c r="Q1576" i="1" a="1"/>
  <c r="Q1576" i="1" s="1"/>
  <c r="Q1577" i="1" a="1"/>
  <c r="Q1577" i="1" s="1"/>
  <c r="Q1578" i="1" a="1"/>
  <c r="Q1578" i="1" s="1"/>
  <c r="Q1579" i="1" a="1"/>
  <c r="Q1579" i="1" s="1"/>
  <c r="Q1580" i="1" a="1"/>
  <c r="Q1580" i="1" s="1"/>
  <c r="Q1581" i="1" a="1"/>
  <c r="Q1581" i="1" s="1"/>
  <c r="Q1582" i="1" a="1"/>
  <c r="Q1582" i="1" s="1"/>
  <c r="Q1583" i="1" a="1"/>
  <c r="Q1583" i="1" s="1"/>
  <c r="Q1584" i="1" a="1"/>
  <c r="Q1584" i="1" s="1"/>
  <c r="Q1585" i="1" a="1"/>
  <c r="Q1585" i="1" s="1"/>
  <c r="Q1586" i="1" a="1"/>
  <c r="Q1586" i="1" s="1"/>
  <c r="Q1587" i="1" a="1"/>
  <c r="Q1587" i="1" s="1"/>
  <c r="Q1588" i="1" a="1"/>
  <c r="Q1588" i="1" s="1"/>
  <c r="Q1589" i="1" a="1"/>
  <c r="Q1589" i="1" s="1"/>
  <c r="Q1590" i="1" a="1"/>
  <c r="Q1590" i="1" s="1"/>
  <c r="Q1591" i="1" a="1"/>
  <c r="Q1591" i="1" s="1"/>
  <c r="Q1592" i="1" a="1"/>
  <c r="Q1592" i="1" s="1"/>
  <c r="Q1593" i="1" a="1"/>
  <c r="Q1593" i="1" s="1"/>
  <c r="Q1594" i="1" a="1"/>
  <c r="Q1594" i="1" s="1"/>
  <c r="Q1595" i="1" a="1"/>
  <c r="Q1595" i="1" s="1"/>
  <c r="Q1596" i="1" a="1"/>
  <c r="Q1596" i="1" s="1"/>
  <c r="Q1597" i="1" a="1"/>
  <c r="Q1597" i="1" s="1"/>
  <c r="Q1598" i="1" a="1"/>
  <c r="Q1598" i="1" s="1"/>
  <c r="Q1599" i="1" a="1"/>
  <c r="Q1599" i="1" s="1"/>
  <c r="Q1600" i="1" a="1"/>
  <c r="Q1600" i="1" s="1"/>
  <c r="Q1601" i="1" a="1"/>
  <c r="Q1601" i="1" s="1"/>
  <c r="Q1602" i="1" a="1"/>
  <c r="Q1602" i="1" s="1"/>
  <c r="Q1603" i="1" a="1"/>
  <c r="Q1603" i="1" s="1"/>
  <c r="Q1604" i="1" a="1"/>
  <c r="Q1604" i="1" s="1"/>
  <c r="Q1605" i="1" a="1"/>
  <c r="Q1605" i="1" s="1"/>
  <c r="Q1606" i="1" a="1"/>
  <c r="Q1606" i="1" s="1"/>
  <c r="Q1607" i="1" a="1"/>
  <c r="Q1607" i="1" s="1"/>
  <c r="Q1608" i="1" a="1"/>
  <c r="Q1608" i="1" s="1"/>
  <c r="Q1609" i="1" a="1"/>
  <c r="Q1609" i="1" s="1"/>
  <c r="Q1610" i="1" a="1"/>
  <c r="Q1610" i="1" s="1"/>
  <c r="Q1611" i="1" a="1"/>
  <c r="Q1611" i="1" s="1"/>
  <c r="Q1612" i="1" a="1"/>
  <c r="Q1612" i="1" s="1"/>
  <c r="Q1613" i="1" a="1"/>
  <c r="Q1613" i="1" s="1"/>
  <c r="Q1614" i="1" a="1"/>
  <c r="Q1614" i="1" s="1"/>
  <c r="Q1615" i="1" a="1"/>
  <c r="Q1615" i="1" s="1"/>
  <c r="Q1616" i="1" a="1"/>
  <c r="Q1616" i="1" s="1"/>
  <c r="Q1617" i="1" a="1"/>
  <c r="Q1617" i="1" s="1"/>
  <c r="Q1618" i="1" a="1"/>
  <c r="Q1618" i="1" s="1"/>
  <c r="Q1619" i="1" a="1"/>
  <c r="Q1619" i="1" s="1"/>
  <c r="Q1620" i="1" a="1"/>
  <c r="Q1620" i="1" s="1"/>
  <c r="Q1621" i="1" a="1"/>
  <c r="Q1621" i="1" s="1"/>
  <c r="Q1622" i="1" a="1"/>
  <c r="Q1622" i="1" s="1"/>
  <c r="Q1623" i="1" a="1"/>
  <c r="Q1623" i="1" s="1"/>
  <c r="Q1624" i="1" a="1"/>
  <c r="Q1624" i="1" s="1"/>
  <c r="Q1625" i="1" a="1"/>
  <c r="Q1625" i="1" s="1"/>
  <c r="Q1626" i="1" a="1"/>
  <c r="Q1626" i="1" s="1"/>
  <c r="Q1627" i="1" a="1"/>
  <c r="Q1627" i="1" s="1"/>
  <c r="Q1628" i="1" a="1"/>
  <c r="Q1628" i="1" s="1"/>
  <c r="Q1629" i="1" a="1"/>
  <c r="Q1629" i="1" s="1"/>
  <c r="Q1630" i="1" a="1"/>
  <c r="Q1630" i="1" s="1"/>
  <c r="Q1631" i="1" a="1"/>
  <c r="Q1631" i="1" s="1"/>
  <c r="Q1632" i="1" a="1"/>
  <c r="Q1632" i="1" s="1"/>
  <c r="Q1633" i="1" a="1"/>
  <c r="Q1633" i="1" s="1"/>
  <c r="Q1634" i="1" a="1"/>
  <c r="Q1634" i="1" s="1"/>
  <c r="Q1635" i="1" a="1"/>
  <c r="Q1635" i="1" s="1"/>
  <c r="Q1636" i="1" a="1"/>
  <c r="Q1636" i="1" s="1"/>
  <c r="Q1637" i="1" a="1"/>
  <c r="Q1637" i="1" s="1"/>
  <c r="Q1638" i="1" a="1"/>
  <c r="Q1638" i="1" s="1"/>
  <c r="Q1639" i="1" a="1"/>
  <c r="Q1639" i="1" s="1"/>
  <c r="Q1640" i="1" a="1"/>
  <c r="Q1640" i="1" s="1"/>
  <c r="Q1641" i="1" a="1"/>
  <c r="Q1641" i="1" s="1"/>
  <c r="Q1642" i="1" a="1"/>
  <c r="Q1642" i="1" s="1"/>
  <c r="Q1643" i="1" a="1"/>
  <c r="Q1643" i="1" s="1"/>
  <c r="Q1644" i="1" a="1"/>
  <c r="Q1644" i="1" s="1"/>
  <c r="Q1645" i="1" a="1"/>
  <c r="Q1645" i="1" s="1"/>
  <c r="Q1646" i="1" a="1"/>
  <c r="Q1646" i="1" s="1"/>
  <c r="Q1647" i="1" a="1"/>
  <c r="Q1647" i="1" s="1"/>
  <c r="Q1648" i="1" a="1"/>
  <c r="Q1648" i="1" s="1"/>
  <c r="Q1649" i="1" a="1"/>
  <c r="Q1649" i="1" s="1"/>
  <c r="Q1650" i="1" a="1"/>
  <c r="Q1650" i="1" s="1"/>
  <c r="Q1651" i="1" a="1"/>
  <c r="Q1651" i="1" s="1"/>
  <c r="Q1652" i="1" a="1"/>
  <c r="Q1652" i="1" s="1"/>
  <c r="Q1653" i="1" a="1"/>
  <c r="Q1653" i="1" s="1"/>
  <c r="Q1654" i="1" a="1"/>
  <c r="Q1654" i="1" s="1"/>
  <c r="Q1655" i="1" a="1"/>
  <c r="Q1655" i="1" s="1"/>
  <c r="Q1656" i="1" a="1"/>
  <c r="Q1656" i="1" s="1"/>
  <c r="Q1657" i="1" a="1"/>
  <c r="Q1657" i="1" s="1"/>
  <c r="Q1658" i="1" a="1"/>
  <c r="Q1658" i="1" s="1"/>
  <c r="Q1659" i="1" a="1"/>
  <c r="Q1659" i="1" s="1"/>
  <c r="Q1660" i="1" a="1"/>
  <c r="Q1660" i="1" s="1"/>
  <c r="Q1661" i="1" a="1"/>
  <c r="Q1661" i="1" s="1"/>
  <c r="Q1662" i="1" a="1"/>
  <c r="Q1662" i="1" s="1"/>
  <c r="Q1663" i="1" a="1"/>
  <c r="Q1663" i="1" s="1"/>
  <c r="Q1664" i="1" a="1"/>
  <c r="Q1664" i="1" s="1"/>
  <c r="Q1665" i="1" a="1"/>
  <c r="Q1665" i="1" s="1"/>
  <c r="Q1666" i="1" a="1"/>
  <c r="Q1666" i="1" s="1"/>
  <c r="Q1667" i="1" a="1"/>
  <c r="Q1667" i="1" s="1"/>
  <c r="Q1668" i="1" a="1"/>
  <c r="Q1668" i="1" s="1"/>
  <c r="Q1669" i="1" a="1"/>
  <c r="Q1669" i="1" s="1"/>
  <c r="Q1670" i="1" a="1"/>
  <c r="Q1670" i="1" s="1"/>
  <c r="Q1671" i="1" a="1"/>
  <c r="Q1671" i="1" s="1"/>
  <c r="Q1672" i="1" a="1"/>
  <c r="Q1672" i="1" s="1"/>
  <c r="Q1673" i="1" a="1"/>
  <c r="Q1673" i="1" s="1"/>
  <c r="Q1674" i="1" a="1"/>
  <c r="Q1674" i="1" s="1"/>
  <c r="Q1675" i="1" a="1"/>
  <c r="Q1675" i="1" s="1"/>
  <c r="Q1676" i="1" a="1"/>
  <c r="Q1676" i="1" s="1"/>
  <c r="Q1677" i="1" a="1"/>
  <c r="Q1677" i="1" s="1"/>
  <c r="Q1678" i="1" a="1"/>
  <c r="Q1678" i="1" s="1"/>
  <c r="Q1679" i="1" a="1"/>
  <c r="Q1679" i="1" s="1"/>
  <c r="Q1680" i="1" a="1"/>
  <c r="Q1680" i="1" s="1"/>
  <c r="Q1681" i="1" a="1"/>
  <c r="Q1681" i="1" s="1"/>
  <c r="Q1682" i="1" a="1"/>
  <c r="Q1682" i="1" s="1"/>
  <c r="Q1683" i="1" a="1"/>
  <c r="Q1683" i="1" s="1"/>
  <c r="Q1684" i="1" a="1"/>
  <c r="Q1684" i="1" s="1"/>
  <c r="Q1685" i="1" a="1"/>
  <c r="Q1685" i="1" s="1"/>
  <c r="Q1686" i="1" a="1"/>
  <c r="Q1686" i="1" s="1"/>
  <c r="Q1687" i="1" a="1"/>
  <c r="Q1687" i="1" s="1"/>
  <c r="Q1688" i="1" a="1"/>
  <c r="Q1688" i="1" s="1"/>
  <c r="Q1689" i="1" a="1"/>
  <c r="Q1689" i="1" s="1"/>
  <c r="Q1690" i="1" a="1"/>
  <c r="Q1690" i="1" s="1"/>
  <c r="Q1691" i="1" a="1"/>
  <c r="Q1691" i="1" s="1"/>
  <c r="Q1692" i="1" a="1"/>
  <c r="Q1692" i="1" s="1"/>
  <c r="Q1693" i="1" a="1"/>
  <c r="Q1693" i="1" s="1"/>
  <c r="Q1694" i="1" a="1"/>
  <c r="Q1694" i="1" s="1"/>
  <c r="Q1695" i="1" a="1"/>
  <c r="Q1695" i="1" s="1"/>
  <c r="Q1696" i="1" a="1"/>
  <c r="Q1696" i="1" s="1"/>
  <c r="Q1697" i="1" a="1"/>
  <c r="Q1697" i="1" s="1"/>
  <c r="Q1698" i="1" a="1"/>
  <c r="Q1698" i="1" s="1"/>
  <c r="Q1699" i="1" a="1"/>
  <c r="Q1699" i="1" s="1"/>
  <c r="Q1700" i="1" a="1"/>
  <c r="Q1700" i="1" s="1"/>
  <c r="Q1701" i="1" a="1"/>
  <c r="Q1701" i="1" s="1"/>
  <c r="Q1702" i="1" a="1"/>
  <c r="Q1702" i="1" s="1"/>
  <c r="Q1703" i="1" a="1"/>
  <c r="Q1703" i="1" s="1"/>
  <c r="Q1704" i="1" a="1"/>
  <c r="Q1704" i="1" s="1"/>
  <c r="Q1705" i="1" a="1"/>
  <c r="Q1705" i="1" s="1"/>
  <c r="Q1706" i="1" a="1"/>
  <c r="Q1706" i="1" s="1"/>
  <c r="Q1707" i="1" a="1"/>
  <c r="Q1707" i="1" s="1"/>
  <c r="Q1708" i="1" a="1"/>
  <c r="Q1708" i="1" s="1"/>
  <c r="Q1709" i="1" a="1"/>
  <c r="Q1709" i="1" s="1"/>
  <c r="Q1710" i="1" a="1"/>
  <c r="Q1710" i="1" s="1"/>
  <c r="Q1711" i="1" a="1"/>
  <c r="Q1711" i="1" s="1"/>
  <c r="Q1712" i="1" a="1"/>
  <c r="Q1712" i="1" s="1"/>
  <c r="Q1713" i="1" a="1"/>
  <c r="Q1713" i="1" s="1"/>
  <c r="Q1714" i="1" a="1"/>
  <c r="Q1714" i="1" s="1"/>
  <c r="Q1715" i="1" a="1"/>
  <c r="Q1715" i="1" s="1"/>
  <c r="Q1716" i="1" a="1"/>
  <c r="Q1716" i="1" s="1"/>
  <c r="Q1717" i="1" a="1"/>
  <c r="Q1717" i="1" s="1"/>
  <c r="Q1718" i="1" a="1"/>
  <c r="Q1718" i="1" s="1"/>
  <c r="Q1719" i="1" a="1"/>
  <c r="Q1719" i="1" s="1"/>
  <c r="Q1720" i="1" a="1"/>
  <c r="Q1720" i="1" s="1"/>
  <c r="Q1721" i="1" a="1"/>
  <c r="Q1721" i="1" s="1"/>
  <c r="Q1722" i="1" a="1"/>
  <c r="Q1722" i="1" s="1"/>
  <c r="Q1723" i="1" a="1"/>
  <c r="Q1723" i="1" s="1"/>
  <c r="Q1724" i="1" a="1"/>
  <c r="Q1724" i="1" s="1"/>
  <c r="Q1725" i="1" a="1"/>
  <c r="Q1725" i="1" s="1"/>
  <c r="Q1726" i="1" a="1"/>
  <c r="Q1726" i="1" s="1"/>
  <c r="Q1727" i="1" a="1"/>
  <c r="Q1727" i="1" s="1"/>
  <c r="Q1728" i="1" a="1"/>
  <c r="Q1728" i="1" s="1"/>
  <c r="Q1729" i="1" a="1"/>
  <c r="Q1729" i="1" s="1"/>
  <c r="Q1730" i="1" a="1"/>
  <c r="Q1730" i="1" s="1"/>
  <c r="Q1731" i="1" a="1"/>
  <c r="Q1731" i="1" s="1"/>
  <c r="Q1732" i="1" a="1"/>
  <c r="Q1732" i="1" s="1"/>
  <c r="Q1733" i="1" a="1"/>
  <c r="Q1733" i="1" s="1"/>
  <c r="Q1734" i="1" a="1"/>
  <c r="Q1734" i="1" s="1"/>
  <c r="Q1735" i="1" a="1"/>
  <c r="Q1735" i="1" s="1"/>
  <c r="Q1736" i="1" a="1"/>
  <c r="Q1736" i="1" s="1"/>
  <c r="Q1737" i="1" a="1"/>
  <c r="Q1737" i="1" s="1"/>
  <c r="Q1738" i="1" a="1"/>
  <c r="Q1738" i="1" s="1"/>
  <c r="Q1739" i="1" a="1"/>
  <c r="Q1739" i="1" s="1"/>
  <c r="Q1740" i="1" a="1"/>
  <c r="Q1740" i="1" s="1"/>
  <c r="Q1741" i="1" a="1"/>
  <c r="Q1741" i="1" s="1"/>
  <c r="Q1742" i="1" a="1"/>
  <c r="Q1742" i="1" s="1"/>
  <c r="Q1743" i="1" a="1"/>
  <c r="Q1743" i="1" s="1"/>
  <c r="Q1744" i="1" a="1"/>
  <c r="Q1744" i="1" s="1"/>
  <c r="Q1745" i="1" a="1"/>
  <c r="Q1745" i="1" s="1"/>
  <c r="Q1746" i="1" a="1"/>
  <c r="Q1746" i="1" s="1"/>
  <c r="Q1747" i="1" a="1"/>
  <c r="Q1747" i="1" s="1"/>
  <c r="Q1748" i="1" a="1"/>
  <c r="Q1748" i="1" s="1"/>
  <c r="Q1749" i="1" a="1"/>
  <c r="Q1749" i="1" s="1"/>
  <c r="Q1750" i="1" a="1"/>
  <c r="Q1750" i="1" s="1"/>
  <c r="Q1751" i="1" a="1"/>
  <c r="Q1751" i="1" s="1"/>
  <c r="Q1752" i="1" a="1"/>
  <c r="Q1752" i="1" s="1"/>
  <c r="Q1753" i="1" a="1"/>
  <c r="Q1753" i="1" s="1"/>
  <c r="Q1754" i="1" a="1"/>
  <c r="Q1754" i="1" s="1"/>
  <c r="Q1755" i="1" a="1"/>
  <c r="Q1755" i="1" s="1"/>
  <c r="Q1756" i="1" a="1"/>
  <c r="Q1756" i="1" s="1"/>
  <c r="Q1757" i="1" a="1"/>
  <c r="Q1757" i="1" s="1"/>
  <c r="Q1758" i="1" a="1"/>
  <c r="Q1758" i="1" s="1"/>
  <c r="Q1759" i="1" a="1"/>
  <c r="Q1759" i="1" s="1"/>
  <c r="Q1760" i="1" a="1"/>
  <c r="Q1760" i="1" s="1"/>
  <c r="Q1761" i="1" a="1"/>
  <c r="Q1761" i="1" s="1"/>
  <c r="Q1762" i="1" a="1"/>
  <c r="Q1762" i="1" s="1"/>
  <c r="Q1763" i="1" a="1"/>
  <c r="Q1763" i="1" s="1"/>
  <c r="Q1764" i="1" a="1"/>
  <c r="Q1764" i="1" s="1"/>
  <c r="Q1765" i="1" a="1"/>
  <c r="Q1765" i="1" s="1"/>
  <c r="Q1766" i="1" a="1"/>
  <c r="Q1766" i="1" s="1"/>
  <c r="Q1767" i="1" a="1"/>
  <c r="Q1767" i="1" s="1"/>
  <c r="Q1768" i="1" a="1"/>
  <c r="Q1768" i="1" s="1"/>
  <c r="Q1769" i="1" a="1"/>
  <c r="Q1769" i="1" s="1"/>
  <c r="Q1770" i="1" a="1"/>
  <c r="Q1770" i="1" s="1"/>
  <c r="Q1771" i="1" a="1"/>
  <c r="Q1771" i="1" s="1"/>
  <c r="Q1772" i="1" a="1"/>
  <c r="Q1772" i="1" s="1"/>
  <c r="Q1773" i="1" a="1"/>
  <c r="Q1773" i="1" s="1"/>
  <c r="Q1774" i="1" a="1"/>
  <c r="Q1774" i="1" s="1"/>
  <c r="Q1775" i="1" a="1"/>
  <c r="Q1775" i="1" s="1"/>
  <c r="Q1776" i="1" a="1"/>
  <c r="Q1776" i="1" s="1"/>
  <c r="Q1777" i="1" a="1"/>
  <c r="Q1777" i="1" s="1"/>
  <c r="Q1778" i="1" a="1"/>
  <c r="Q1778" i="1" s="1"/>
  <c r="Q1779" i="1" a="1"/>
  <c r="Q1779" i="1" s="1"/>
  <c r="Q1780" i="1" a="1"/>
  <c r="Q1780" i="1" s="1"/>
  <c r="Q1781" i="1" a="1"/>
  <c r="Q1781" i="1" s="1"/>
  <c r="Q1782" i="1" a="1"/>
  <c r="Q1782" i="1" s="1"/>
  <c r="Q1783" i="1" a="1"/>
  <c r="Q1783" i="1" s="1"/>
  <c r="Q1784" i="1" a="1"/>
  <c r="Q1784" i="1" s="1"/>
  <c r="Q1785" i="1" a="1"/>
  <c r="Q1785" i="1" s="1"/>
  <c r="Q1786" i="1" a="1"/>
  <c r="Q1786" i="1" s="1"/>
  <c r="Q1787" i="1" a="1"/>
  <c r="Q1787" i="1" s="1"/>
  <c r="Q1788" i="1" a="1"/>
  <c r="Q1788" i="1" s="1"/>
  <c r="Q1789" i="1" a="1"/>
  <c r="Q1789" i="1" s="1"/>
  <c r="Q1790" i="1" a="1"/>
  <c r="Q1790" i="1" s="1"/>
  <c r="Q1791" i="1" a="1"/>
  <c r="Q1791" i="1" s="1"/>
  <c r="Q1792" i="1" a="1"/>
  <c r="Q1792" i="1" s="1"/>
  <c r="Q1793" i="1" a="1"/>
  <c r="Q1793" i="1" s="1"/>
  <c r="Q1794" i="1" a="1"/>
  <c r="Q1794" i="1" s="1"/>
  <c r="Q1795" i="1" a="1"/>
  <c r="Q1795" i="1" s="1"/>
  <c r="Q1796" i="1" a="1"/>
  <c r="Q1796" i="1" s="1"/>
  <c r="Q1797" i="1" a="1"/>
  <c r="Q1797" i="1" s="1"/>
  <c r="Q1798" i="1" a="1"/>
  <c r="Q1798" i="1" s="1"/>
  <c r="Q1799" i="1" a="1"/>
  <c r="Q1799" i="1" s="1"/>
  <c r="Q1800" i="1" a="1"/>
  <c r="Q1800" i="1" s="1"/>
  <c r="Q1801" i="1" a="1"/>
  <c r="Q1801" i="1" s="1"/>
  <c r="Q1802" i="1" a="1"/>
  <c r="Q1802" i="1" s="1"/>
  <c r="Q1803" i="1" a="1"/>
  <c r="Q1803" i="1" s="1"/>
  <c r="Q1804" i="1" a="1"/>
  <c r="Q1804" i="1" s="1"/>
  <c r="Q1805" i="1" a="1"/>
  <c r="Q1805" i="1" s="1"/>
  <c r="Q1806" i="1" a="1"/>
  <c r="Q1806" i="1" s="1"/>
  <c r="Q1807" i="1" a="1"/>
  <c r="Q1807" i="1" s="1"/>
  <c r="Q1808" i="1" a="1"/>
  <c r="Q1808" i="1" s="1"/>
  <c r="Q1809" i="1" a="1"/>
  <c r="Q1809" i="1" s="1"/>
  <c r="Q1810" i="1" a="1"/>
  <c r="Q1810" i="1" s="1"/>
  <c r="Q1811" i="1" a="1"/>
  <c r="Q1811" i="1" s="1"/>
  <c r="Q1812" i="1" a="1"/>
  <c r="Q1812" i="1" s="1"/>
  <c r="Q1813" i="1" a="1"/>
  <c r="Q1813" i="1" s="1"/>
  <c r="Q1814" i="1" a="1"/>
  <c r="Q1814" i="1" s="1"/>
  <c r="Q1815" i="1" a="1"/>
  <c r="Q1815" i="1" s="1"/>
  <c r="Q1816" i="1" a="1"/>
  <c r="Q1816" i="1" s="1"/>
  <c r="Q1817" i="1" a="1"/>
  <c r="Q1817" i="1" s="1"/>
  <c r="Q1818" i="1" a="1"/>
  <c r="Q1818" i="1" s="1"/>
  <c r="Q1819" i="1" a="1"/>
  <c r="Q1819" i="1" s="1"/>
  <c r="Q1820" i="1" a="1"/>
  <c r="Q1820" i="1" s="1"/>
  <c r="Q1821" i="1" a="1"/>
  <c r="Q1821" i="1" s="1"/>
  <c r="Q1822" i="1" a="1"/>
  <c r="Q1822" i="1" s="1"/>
  <c r="Q1823" i="1" a="1"/>
  <c r="Q1823" i="1" s="1"/>
  <c r="Q1824" i="1" a="1"/>
  <c r="Q1824" i="1" s="1"/>
  <c r="Q1825" i="1" a="1"/>
  <c r="Q1825" i="1" s="1"/>
  <c r="Q1826" i="1" a="1"/>
  <c r="Q1826" i="1" s="1"/>
  <c r="Q1827" i="1" a="1"/>
  <c r="Q1827" i="1" s="1"/>
  <c r="Q1828" i="1" a="1"/>
  <c r="Q1828" i="1" s="1"/>
  <c r="Q1829" i="1" a="1"/>
  <c r="Q1829" i="1" s="1"/>
  <c r="Q1830" i="1" a="1"/>
  <c r="Q1830" i="1" s="1"/>
  <c r="Q1831" i="1" a="1"/>
  <c r="Q1831" i="1" s="1"/>
  <c r="Q1832" i="1" a="1"/>
  <c r="Q1832" i="1" s="1"/>
  <c r="Q1833" i="1" a="1"/>
  <c r="Q1833" i="1" s="1"/>
  <c r="Q1834" i="1" a="1"/>
  <c r="Q1834" i="1" s="1"/>
  <c r="Q1835" i="1" a="1"/>
  <c r="Q1835" i="1" s="1"/>
  <c r="Q1836" i="1" a="1"/>
  <c r="Q1836" i="1" s="1"/>
  <c r="Q1837" i="1" a="1"/>
  <c r="Q1837" i="1" s="1"/>
  <c r="Q1838" i="1" a="1"/>
  <c r="Q1838" i="1" s="1"/>
  <c r="Q1839" i="1" a="1"/>
  <c r="Q1839" i="1" s="1"/>
  <c r="Q1840" i="1" a="1"/>
  <c r="Q1840" i="1" s="1"/>
  <c r="Q1841" i="1" a="1"/>
  <c r="Q1841" i="1" s="1"/>
  <c r="Q1842" i="1" a="1"/>
  <c r="Q1842" i="1" s="1"/>
  <c r="Q1843" i="1" a="1"/>
  <c r="Q1843" i="1" s="1"/>
  <c r="Q1844" i="1" a="1"/>
  <c r="Q1844" i="1" s="1"/>
  <c r="Q1845" i="1" a="1"/>
  <c r="Q1845" i="1" s="1"/>
  <c r="Q1846" i="1" a="1"/>
  <c r="Q1846" i="1" s="1"/>
  <c r="Q1847" i="1" a="1"/>
  <c r="Q1847" i="1" s="1"/>
  <c r="Q1848" i="1" a="1"/>
  <c r="Q1848" i="1" s="1"/>
  <c r="Q1849" i="1" a="1"/>
  <c r="Q1849" i="1" s="1"/>
  <c r="Q1850" i="1" a="1"/>
  <c r="Q1850" i="1" s="1"/>
  <c r="Q1851" i="1" a="1"/>
  <c r="Q1851" i="1" s="1"/>
  <c r="Q1852" i="1" a="1"/>
  <c r="Q1852" i="1" s="1"/>
  <c r="Q1853" i="1" a="1"/>
  <c r="Q1853" i="1" s="1"/>
  <c r="Q1854" i="1" a="1"/>
  <c r="Q1854" i="1" s="1"/>
  <c r="Q1855" i="1" a="1"/>
  <c r="Q1855" i="1" s="1"/>
  <c r="Q1856" i="1" a="1"/>
  <c r="Q1856" i="1" s="1"/>
  <c r="Q1857" i="1" a="1"/>
  <c r="Q1857" i="1" s="1"/>
  <c r="Q1858" i="1" a="1"/>
  <c r="Q1858" i="1" s="1"/>
  <c r="Q1859" i="1" a="1"/>
  <c r="Q1859" i="1" s="1"/>
  <c r="Q1860" i="1" a="1"/>
  <c r="Q1860" i="1" s="1"/>
  <c r="Q1861" i="1" a="1"/>
  <c r="Q1861" i="1" s="1"/>
  <c r="Q1862" i="1" a="1"/>
  <c r="Q1862" i="1" s="1"/>
  <c r="Q1863" i="1" a="1"/>
  <c r="Q1863" i="1" s="1"/>
  <c r="Q1864" i="1" a="1"/>
  <c r="Q1864" i="1" s="1"/>
  <c r="Q1865" i="1" a="1"/>
  <c r="Q1865" i="1" s="1"/>
  <c r="Q1866" i="1" a="1"/>
  <c r="Q1866" i="1" s="1"/>
  <c r="Q1867" i="1" a="1"/>
  <c r="Q1867" i="1" s="1"/>
  <c r="Q1868" i="1" a="1"/>
  <c r="Q1868" i="1" s="1"/>
  <c r="Q1869" i="1" a="1"/>
  <c r="Q1869" i="1" s="1"/>
  <c r="Q1870" i="1" a="1"/>
  <c r="Q1870" i="1" s="1"/>
  <c r="Q1871" i="1" a="1"/>
  <c r="Q1871" i="1" s="1"/>
  <c r="Q1872" i="1" a="1"/>
  <c r="Q1872" i="1" s="1"/>
  <c r="Q1873" i="1" a="1"/>
  <c r="Q1873" i="1" s="1"/>
  <c r="Q1874" i="1" a="1"/>
  <c r="Q1874" i="1" s="1"/>
  <c r="Q1875" i="1" a="1"/>
  <c r="Q1875" i="1" s="1"/>
  <c r="Q1876" i="1" a="1"/>
  <c r="Q1876" i="1" s="1"/>
  <c r="Q1877" i="1" a="1"/>
  <c r="Q1877" i="1" s="1"/>
  <c r="Q1878" i="1" a="1"/>
  <c r="Q1878" i="1" s="1"/>
  <c r="Q1879" i="1" a="1"/>
  <c r="Q1879" i="1" s="1"/>
  <c r="Q1880" i="1" a="1"/>
  <c r="Q1880" i="1" s="1"/>
  <c r="Q1881" i="1" a="1"/>
  <c r="Q1881" i="1" s="1"/>
  <c r="Q1882" i="1" a="1"/>
  <c r="Q1882" i="1" s="1"/>
  <c r="Q1883" i="1" a="1"/>
  <c r="Q1883" i="1" s="1"/>
  <c r="Q1884" i="1" a="1"/>
  <c r="Q1884" i="1" s="1"/>
  <c r="Q1885" i="1" a="1"/>
  <c r="Q1885" i="1" s="1"/>
  <c r="Q1886" i="1" a="1"/>
  <c r="Q1886" i="1" s="1"/>
  <c r="Q1887" i="1" a="1"/>
  <c r="Q1887" i="1" s="1"/>
  <c r="Q1888" i="1" a="1"/>
  <c r="Q1888" i="1" s="1"/>
  <c r="Q1889" i="1" a="1"/>
  <c r="Q1889" i="1" s="1"/>
  <c r="Q1890" i="1" a="1"/>
  <c r="Q1890" i="1" s="1"/>
  <c r="Q1891" i="1" a="1"/>
  <c r="Q1891" i="1" s="1"/>
  <c r="Q1892" i="1" a="1"/>
  <c r="Q1892" i="1" s="1"/>
  <c r="Q1893" i="1" a="1"/>
  <c r="Q1893" i="1" s="1"/>
  <c r="Q1894" i="1" a="1"/>
  <c r="Q1894" i="1" s="1"/>
  <c r="Q1895" i="1" a="1"/>
  <c r="Q1895" i="1" s="1"/>
  <c r="Q1896" i="1" a="1"/>
  <c r="Q1896" i="1" s="1"/>
  <c r="Q1897" i="1" a="1"/>
  <c r="Q1897" i="1" s="1"/>
  <c r="Q1898" i="1" a="1"/>
  <c r="Q1898" i="1" s="1"/>
  <c r="Q1899" i="1" a="1"/>
  <c r="Q1899" i="1" s="1"/>
  <c r="Q1900" i="1" a="1"/>
  <c r="Q1900" i="1" s="1"/>
  <c r="Q1901" i="1" a="1"/>
  <c r="Q1901" i="1" s="1"/>
  <c r="Q1902" i="1" a="1"/>
  <c r="Q1902" i="1" s="1"/>
  <c r="Q1903" i="1" a="1"/>
  <c r="Q1903" i="1" s="1"/>
  <c r="Q1904" i="1" a="1"/>
  <c r="Q1904" i="1" s="1"/>
  <c r="Q1905" i="1" a="1"/>
  <c r="Q1905" i="1" s="1"/>
  <c r="Q1906" i="1" a="1"/>
  <c r="Q1906" i="1" s="1"/>
  <c r="Q1907" i="1" a="1"/>
  <c r="Q1907" i="1" s="1"/>
  <c r="Q1908" i="1" a="1"/>
  <c r="Q1908" i="1" s="1"/>
  <c r="Q1909" i="1" a="1"/>
  <c r="Q1909" i="1" s="1"/>
  <c r="Q1910" i="1" a="1"/>
  <c r="Q1910" i="1" s="1"/>
  <c r="Q1911" i="1" a="1"/>
  <c r="Q1911" i="1" s="1"/>
  <c r="Q1912" i="1" a="1"/>
  <c r="Q1912" i="1" s="1"/>
  <c r="Q1913" i="1" a="1"/>
  <c r="Q1913" i="1" s="1"/>
  <c r="Q1914" i="1" a="1"/>
  <c r="Q1914" i="1" s="1"/>
  <c r="Q1915" i="1" a="1"/>
  <c r="Q1915" i="1" s="1"/>
  <c r="Q1916" i="1" a="1"/>
  <c r="Q1916" i="1" s="1"/>
  <c r="Q1917" i="1" a="1"/>
  <c r="Q1917" i="1" s="1"/>
  <c r="Q1918" i="1" a="1"/>
  <c r="Q1918" i="1" s="1"/>
  <c r="Q1919" i="1" a="1"/>
  <c r="Q1919" i="1" s="1"/>
  <c r="Q1920" i="1" a="1"/>
  <c r="Q1920" i="1" s="1"/>
  <c r="Q1921" i="1" a="1"/>
  <c r="Q1921" i="1" s="1"/>
  <c r="Q1922" i="1" a="1"/>
  <c r="Q1922" i="1" s="1"/>
  <c r="Q1923" i="1" a="1"/>
  <c r="Q1923" i="1" s="1"/>
  <c r="Q1924" i="1" a="1"/>
  <c r="Q1924" i="1" s="1"/>
  <c r="Q1925" i="1" a="1"/>
  <c r="Q1925" i="1" s="1"/>
  <c r="Q1926" i="1" a="1"/>
  <c r="Q1926" i="1" s="1"/>
  <c r="Q1927" i="1" a="1"/>
  <c r="Q1927" i="1" s="1"/>
  <c r="Q1928" i="1" a="1"/>
  <c r="Q1928" i="1" s="1"/>
  <c r="Q1929" i="1" a="1"/>
  <c r="Q1929" i="1" s="1"/>
  <c r="Q1930" i="1" a="1"/>
  <c r="Q1930" i="1" s="1"/>
  <c r="Q1931" i="1" a="1"/>
  <c r="Q1931" i="1" s="1"/>
  <c r="Q1932" i="1" a="1"/>
  <c r="Q1932" i="1" s="1"/>
  <c r="Q1933" i="1" a="1"/>
  <c r="Q1933" i="1" s="1"/>
  <c r="Q1934" i="1" a="1"/>
  <c r="Q1934" i="1" s="1"/>
  <c r="Q1935" i="1" a="1"/>
  <c r="Q1935" i="1" s="1"/>
  <c r="Q1936" i="1" a="1"/>
  <c r="Q1936" i="1" s="1"/>
  <c r="Q1937" i="1" a="1"/>
  <c r="Q1937" i="1" s="1"/>
  <c r="Q1938" i="1" a="1"/>
  <c r="Q1938" i="1" s="1"/>
  <c r="Q1939" i="1" a="1"/>
  <c r="Q1939" i="1" s="1"/>
  <c r="Q1940" i="1" a="1"/>
  <c r="Q1940" i="1" s="1"/>
  <c r="Q1941" i="1" a="1"/>
  <c r="Q1941" i="1" s="1"/>
  <c r="Q1942" i="1" a="1"/>
  <c r="Q1942" i="1" s="1"/>
  <c r="Q1943" i="1" a="1"/>
  <c r="Q1943" i="1" s="1"/>
  <c r="Q1944" i="1" a="1"/>
  <c r="Q1944" i="1" s="1"/>
  <c r="Q1945" i="1" a="1"/>
  <c r="Q1945" i="1" s="1"/>
  <c r="Q1946" i="1" a="1"/>
  <c r="Q1946" i="1" s="1"/>
  <c r="Q1947" i="1" a="1"/>
  <c r="Q1947" i="1" s="1"/>
  <c r="Q1948" i="1" a="1"/>
  <c r="Q1948" i="1" s="1"/>
  <c r="Q1949" i="1" a="1"/>
  <c r="Q1949" i="1" s="1"/>
  <c r="Q1950" i="1" a="1"/>
  <c r="Q1950" i="1" s="1"/>
  <c r="Q1951" i="1" a="1"/>
  <c r="Q1951" i="1" s="1"/>
  <c r="Q1952" i="1" a="1"/>
  <c r="Q1952" i="1" s="1"/>
  <c r="Q1953" i="1" a="1"/>
  <c r="Q1953" i="1" s="1"/>
  <c r="Q1954" i="1" a="1"/>
  <c r="Q1954" i="1" s="1"/>
  <c r="Q1955" i="1" a="1"/>
  <c r="Q1955" i="1" s="1"/>
  <c r="Q1956" i="1" a="1"/>
  <c r="Q1956" i="1" s="1"/>
  <c r="Q1957" i="1" a="1"/>
  <c r="Q1957" i="1" s="1"/>
  <c r="Q1958" i="1" a="1"/>
  <c r="Q1958" i="1" s="1"/>
  <c r="Q1959" i="1" a="1"/>
  <c r="Q1959" i="1" s="1"/>
  <c r="Q1960" i="1" a="1"/>
  <c r="Q1960" i="1" s="1"/>
  <c r="Q1961" i="1" a="1"/>
  <c r="Q1961" i="1" s="1"/>
  <c r="Q1962" i="1" a="1"/>
  <c r="Q1962" i="1" s="1"/>
  <c r="Q1963" i="1" a="1"/>
  <c r="Q1963" i="1" s="1"/>
  <c r="Q1964" i="1" a="1"/>
  <c r="Q1964" i="1" s="1"/>
  <c r="Q1965" i="1" a="1"/>
  <c r="Q1965" i="1" s="1"/>
  <c r="Q1966" i="1" a="1"/>
  <c r="Q1966" i="1" s="1"/>
  <c r="Q1967" i="1" a="1"/>
  <c r="Q1967" i="1" s="1"/>
  <c r="Q1968" i="1" a="1"/>
  <c r="Q1968" i="1" s="1"/>
  <c r="Q1969" i="1" a="1"/>
  <c r="Q1969" i="1" s="1"/>
  <c r="Q1970" i="1" a="1"/>
  <c r="Q1970" i="1" s="1"/>
  <c r="Q1971" i="1" a="1"/>
  <c r="Q1971" i="1" s="1"/>
  <c r="Q1972" i="1" a="1"/>
  <c r="Q1972" i="1" s="1"/>
  <c r="Q1973" i="1" a="1"/>
  <c r="Q1973" i="1" s="1"/>
  <c r="Q1974" i="1" a="1"/>
  <c r="Q1974" i="1" s="1"/>
  <c r="Q1975" i="1" a="1"/>
  <c r="Q1975" i="1" s="1"/>
  <c r="Q1976" i="1" a="1"/>
  <c r="Q1976" i="1" s="1"/>
  <c r="Q1977" i="1" a="1"/>
  <c r="Q1977" i="1" s="1"/>
  <c r="Q1978" i="1" a="1"/>
  <c r="Q1978" i="1" s="1"/>
  <c r="Q1979" i="1" a="1"/>
  <c r="Q1979" i="1" s="1"/>
  <c r="Q1980" i="1" a="1"/>
  <c r="Q1980" i="1" s="1"/>
  <c r="Q1981" i="1" a="1"/>
  <c r="Q1981" i="1" s="1"/>
  <c r="Q1982" i="1" a="1"/>
  <c r="Q1982" i="1" s="1"/>
  <c r="Q1983" i="1" a="1"/>
  <c r="Q1983" i="1" s="1"/>
  <c r="Q1984" i="1" a="1"/>
  <c r="Q1984" i="1" s="1"/>
  <c r="Q1985" i="1" a="1"/>
  <c r="Q1985" i="1" s="1"/>
  <c r="Q1986" i="1" a="1"/>
  <c r="Q1986" i="1" s="1"/>
  <c r="Q1987" i="1" a="1"/>
  <c r="Q1987" i="1" s="1"/>
  <c r="Q1988" i="1" a="1"/>
  <c r="Q1988" i="1" s="1"/>
  <c r="Q1989" i="1" a="1"/>
  <c r="Q1989" i="1" s="1"/>
  <c r="Q1990" i="1" a="1"/>
  <c r="Q1990" i="1" s="1"/>
  <c r="Q1991" i="1" a="1"/>
  <c r="Q1991" i="1" s="1"/>
  <c r="Q1992" i="1" a="1"/>
  <c r="Q1992" i="1" s="1"/>
  <c r="Q1993" i="1" a="1"/>
  <c r="Q1993" i="1" s="1"/>
  <c r="Q1994" i="1" a="1"/>
  <c r="Q1994" i="1" s="1"/>
  <c r="Q1995" i="1" a="1"/>
  <c r="Q1995" i="1" s="1"/>
  <c r="Q1996" i="1" a="1"/>
  <c r="Q1996" i="1" s="1"/>
  <c r="Q1997" i="1" a="1"/>
  <c r="Q1997" i="1" s="1"/>
  <c r="Q1998" i="1" a="1"/>
  <c r="Q1998" i="1" s="1"/>
  <c r="Q1999" i="1" a="1"/>
  <c r="Q1999" i="1" s="1"/>
  <c r="Q2000" i="1" a="1"/>
  <c r="Q2000" i="1" s="1"/>
  <c r="Q2001" i="1" a="1"/>
  <c r="Q2001" i="1" s="1"/>
  <c r="AA2" i="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AA302" i="1"/>
  <c r="AA303" i="1"/>
  <c r="AA304" i="1"/>
  <c r="AA305" i="1"/>
  <c r="AA306" i="1"/>
  <c r="AA307" i="1"/>
  <c r="AA308" i="1"/>
  <c r="AA309" i="1"/>
  <c r="AA310" i="1"/>
  <c r="AA311" i="1"/>
  <c r="AA312" i="1"/>
  <c r="AA313" i="1"/>
  <c r="AA314" i="1"/>
  <c r="AA315" i="1"/>
  <c r="AA316" i="1"/>
  <c r="AA317" i="1"/>
  <c r="AA318" i="1"/>
  <c r="AA319" i="1"/>
  <c r="AA320" i="1"/>
  <c r="AA321" i="1"/>
  <c r="AA322" i="1"/>
  <c r="AA323" i="1"/>
  <c r="AA324" i="1"/>
  <c r="AA325" i="1"/>
  <c r="AA326" i="1"/>
  <c r="AA327" i="1"/>
  <c r="AA328" i="1"/>
  <c r="AA329" i="1"/>
  <c r="AA330" i="1"/>
  <c r="AA331" i="1"/>
  <c r="AA332" i="1"/>
  <c r="AA333" i="1"/>
  <c r="AA334" i="1"/>
  <c r="AA335" i="1"/>
  <c r="AA336" i="1"/>
  <c r="AA337" i="1"/>
  <c r="AA338" i="1"/>
  <c r="AA339" i="1"/>
  <c r="AA340" i="1"/>
  <c r="AA341" i="1"/>
  <c r="AA342" i="1"/>
  <c r="AA343" i="1"/>
  <c r="AA344" i="1"/>
  <c r="AA345" i="1"/>
  <c r="AA346" i="1"/>
  <c r="AA347" i="1"/>
  <c r="AA348" i="1"/>
  <c r="AA349" i="1"/>
  <c r="AA350" i="1"/>
  <c r="AA351" i="1"/>
  <c r="AA352" i="1"/>
  <c r="AA353" i="1"/>
  <c r="AA354" i="1"/>
  <c r="AA355" i="1"/>
  <c r="AA356" i="1"/>
  <c r="AA357" i="1"/>
  <c r="AA358" i="1"/>
  <c r="AA359" i="1"/>
  <c r="AA360" i="1"/>
  <c r="AA361" i="1"/>
  <c r="AA362" i="1"/>
  <c r="AA363" i="1"/>
  <c r="AA364" i="1"/>
  <c r="AA365" i="1"/>
  <c r="AA366" i="1"/>
  <c r="AA367" i="1"/>
  <c r="AA368" i="1"/>
  <c r="AA369" i="1"/>
  <c r="AA370" i="1"/>
  <c r="AA371" i="1"/>
  <c r="AA372" i="1"/>
  <c r="AA373" i="1"/>
  <c r="AA374" i="1"/>
  <c r="AA375" i="1"/>
  <c r="AA376" i="1"/>
  <c r="AA377" i="1"/>
  <c r="AA378" i="1"/>
  <c r="AA379" i="1"/>
  <c r="AA380" i="1"/>
  <c r="AA381" i="1"/>
  <c r="AA382" i="1"/>
  <c r="AA383" i="1"/>
  <c r="AA384" i="1"/>
  <c r="AA385" i="1"/>
  <c r="AA386" i="1"/>
  <c r="AA387" i="1"/>
  <c r="AA388" i="1"/>
  <c r="AA389" i="1"/>
  <c r="AA390" i="1"/>
  <c r="AA391" i="1"/>
  <c r="AA392" i="1"/>
  <c r="AA393" i="1"/>
  <c r="AA394" i="1"/>
  <c r="AA395" i="1"/>
  <c r="AA396" i="1"/>
  <c r="AA397" i="1"/>
  <c r="AA398" i="1"/>
  <c r="AA399" i="1"/>
  <c r="AA400" i="1"/>
  <c r="AA401" i="1"/>
  <c r="AA402" i="1"/>
  <c r="AA403" i="1"/>
  <c r="AA404" i="1"/>
  <c r="AA405" i="1"/>
  <c r="AA406" i="1"/>
  <c r="AA407" i="1"/>
  <c r="AA408" i="1"/>
  <c r="AA409" i="1"/>
  <c r="AA410" i="1"/>
  <c r="AA411" i="1"/>
  <c r="AA412" i="1"/>
  <c r="AA413" i="1"/>
  <c r="AA414" i="1"/>
  <c r="AA415" i="1"/>
  <c r="AA416" i="1"/>
  <c r="AA417" i="1"/>
  <c r="AA418" i="1"/>
  <c r="AA419" i="1"/>
  <c r="AA420" i="1"/>
  <c r="AA421" i="1"/>
  <c r="AA422" i="1"/>
  <c r="AA423" i="1"/>
  <c r="AA424" i="1"/>
  <c r="AA425" i="1"/>
  <c r="AA426" i="1"/>
  <c r="AA427" i="1"/>
  <c r="AA428" i="1"/>
  <c r="AA429" i="1"/>
  <c r="AA430" i="1"/>
  <c r="AA431" i="1"/>
  <c r="AA432" i="1"/>
  <c r="AA433" i="1"/>
  <c r="AA434" i="1"/>
  <c r="AA435" i="1"/>
  <c r="AA436" i="1"/>
  <c r="AA437" i="1"/>
  <c r="AA438" i="1"/>
  <c r="AA439" i="1"/>
  <c r="AA440" i="1"/>
  <c r="AA441" i="1"/>
  <c r="AA442" i="1"/>
  <c r="AA443" i="1"/>
  <c r="AA444" i="1"/>
  <c r="AA445" i="1"/>
  <c r="AA446" i="1"/>
  <c r="AA447" i="1"/>
  <c r="AA448" i="1"/>
  <c r="AA449" i="1"/>
  <c r="AA450" i="1"/>
  <c r="AA451" i="1"/>
  <c r="AA452" i="1"/>
  <c r="AA453" i="1"/>
  <c r="AA454" i="1"/>
  <c r="AA455" i="1"/>
  <c r="AA456" i="1"/>
  <c r="AA457" i="1"/>
  <c r="AA458" i="1"/>
  <c r="AA459" i="1"/>
  <c r="AA460" i="1"/>
  <c r="AA461" i="1"/>
  <c r="AA462" i="1"/>
  <c r="AA463" i="1"/>
  <c r="AA464" i="1"/>
  <c r="AA465" i="1"/>
  <c r="AA466" i="1"/>
  <c r="AA467" i="1"/>
  <c r="AA468" i="1"/>
  <c r="AA469" i="1"/>
  <c r="AA470" i="1"/>
  <c r="AA471" i="1"/>
  <c r="AA472" i="1"/>
  <c r="AA473" i="1"/>
  <c r="AA474" i="1"/>
  <c r="AA475" i="1"/>
  <c r="AA476" i="1"/>
  <c r="AA477" i="1"/>
  <c r="AA478" i="1"/>
  <c r="AA479" i="1"/>
  <c r="AA480" i="1"/>
  <c r="AA481" i="1"/>
  <c r="AA482" i="1"/>
  <c r="AA483" i="1"/>
  <c r="AA484" i="1"/>
  <c r="AA485" i="1"/>
  <c r="AA486" i="1"/>
  <c r="AA487" i="1"/>
  <c r="AA488" i="1"/>
  <c r="AA489" i="1"/>
  <c r="AA490" i="1"/>
  <c r="AA491" i="1"/>
  <c r="AA492" i="1"/>
  <c r="AA493" i="1"/>
  <c r="AA494" i="1"/>
  <c r="AA495" i="1"/>
  <c r="AA496" i="1"/>
  <c r="AA497" i="1"/>
  <c r="AA498" i="1"/>
  <c r="AA499" i="1"/>
  <c r="AA500" i="1"/>
  <c r="AA501" i="1"/>
  <c r="AA502" i="1"/>
  <c r="AA503" i="1"/>
  <c r="AA504" i="1"/>
  <c r="AA505" i="1"/>
  <c r="AA506" i="1"/>
  <c r="AA507" i="1"/>
  <c r="AA508" i="1"/>
  <c r="AA509" i="1"/>
  <c r="AA510" i="1"/>
  <c r="AA511" i="1"/>
  <c r="AA512" i="1"/>
  <c r="AA513" i="1"/>
  <c r="AA514" i="1"/>
  <c r="AA515" i="1"/>
  <c r="AA516" i="1"/>
  <c r="AA517" i="1"/>
  <c r="AA518" i="1"/>
  <c r="AA519" i="1"/>
  <c r="AA520" i="1"/>
  <c r="AA521" i="1"/>
  <c r="AA522" i="1"/>
  <c r="AA523" i="1"/>
  <c r="AA524" i="1"/>
  <c r="AA525" i="1"/>
  <c r="AA526" i="1"/>
  <c r="AA527" i="1"/>
  <c r="AA528" i="1"/>
  <c r="AA529" i="1"/>
  <c r="AA530" i="1"/>
  <c r="AA531" i="1"/>
  <c r="AA532" i="1"/>
  <c r="AA533" i="1"/>
  <c r="AA534" i="1"/>
  <c r="AA535" i="1"/>
  <c r="AA536" i="1"/>
  <c r="AA537" i="1"/>
  <c r="AA538" i="1"/>
  <c r="AA539" i="1"/>
  <c r="AA540" i="1"/>
  <c r="AA541" i="1"/>
  <c r="AA542" i="1"/>
  <c r="AA543" i="1"/>
  <c r="AA544" i="1"/>
  <c r="AA545" i="1"/>
  <c r="AA546" i="1"/>
  <c r="AA547" i="1"/>
  <c r="AA548" i="1"/>
  <c r="AA549" i="1"/>
  <c r="AA550" i="1"/>
  <c r="AA551" i="1"/>
  <c r="AA552" i="1"/>
  <c r="AA553" i="1"/>
  <c r="AA554" i="1"/>
  <c r="AA555" i="1"/>
  <c r="AA556" i="1"/>
  <c r="AA557" i="1"/>
  <c r="AA558" i="1"/>
  <c r="AA559" i="1"/>
  <c r="AA560" i="1"/>
  <c r="AA561" i="1"/>
  <c r="AA562" i="1"/>
  <c r="AA563" i="1"/>
  <c r="AA564" i="1"/>
  <c r="AA565" i="1"/>
  <c r="AA566" i="1"/>
  <c r="AA567" i="1"/>
  <c r="AA568" i="1"/>
  <c r="AA569" i="1"/>
  <c r="AA570" i="1"/>
  <c r="AA571" i="1"/>
  <c r="AA572" i="1"/>
  <c r="AA573" i="1"/>
  <c r="AA574" i="1"/>
  <c r="AA575" i="1"/>
  <c r="AA576" i="1"/>
  <c r="AA577" i="1"/>
  <c r="AA578" i="1"/>
  <c r="AA579" i="1"/>
  <c r="AA580" i="1"/>
  <c r="AA581" i="1"/>
  <c r="AA582" i="1"/>
  <c r="AA583" i="1"/>
  <c r="AA584" i="1"/>
  <c r="AA585" i="1"/>
  <c r="AA586" i="1"/>
  <c r="AA587" i="1"/>
  <c r="AA588" i="1"/>
  <c r="AA589" i="1"/>
  <c r="AA590" i="1"/>
  <c r="AA591" i="1"/>
  <c r="AA592" i="1"/>
  <c r="AA593" i="1"/>
  <c r="AA594" i="1"/>
  <c r="AA595" i="1"/>
  <c r="AA596" i="1"/>
  <c r="AA597" i="1"/>
  <c r="AA598" i="1"/>
  <c r="AA599" i="1"/>
  <c r="AA600" i="1"/>
  <c r="AA601" i="1"/>
  <c r="AA602" i="1"/>
  <c r="AA603" i="1"/>
  <c r="AA604" i="1"/>
  <c r="AA605" i="1"/>
  <c r="AA606" i="1"/>
  <c r="AA607" i="1"/>
  <c r="AA608" i="1"/>
  <c r="AA609" i="1"/>
  <c r="AA610" i="1"/>
  <c r="AA611" i="1"/>
  <c r="AA612" i="1"/>
  <c r="AA613" i="1"/>
  <c r="AA614" i="1"/>
  <c r="AA615" i="1"/>
  <c r="AA616" i="1"/>
  <c r="AA617" i="1"/>
  <c r="AA618" i="1"/>
  <c r="AA619" i="1"/>
  <c r="AA620" i="1"/>
  <c r="AA621" i="1"/>
  <c r="AA622" i="1"/>
  <c r="AA623" i="1"/>
  <c r="AA624" i="1"/>
  <c r="AA625" i="1"/>
  <c r="AA626" i="1"/>
  <c r="AA627" i="1"/>
  <c r="AA628" i="1"/>
  <c r="AA629" i="1"/>
  <c r="AA630" i="1"/>
  <c r="AA631" i="1"/>
  <c r="AA632" i="1"/>
  <c r="AA633" i="1"/>
  <c r="AA634" i="1"/>
  <c r="AA635" i="1"/>
  <c r="AA636" i="1"/>
  <c r="AA637" i="1"/>
  <c r="AA638" i="1"/>
  <c r="AA639" i="1"/>
  <c r="AA640" i="1"/>
  <c r="AA641" i="1"/>
  <c r="AA642" i="1"/>
  <c r="AA643" i="1"/>
  <c r="AA644" i="1"/>
  <c r="AA645" i="1"/>
  <c r="AA646" i="1"/>
  <c r="AA647" i="1"/>
  <c r="AA648" i="1"/>
  <c r="AA649" i="1"/>
  <c r="AA650" i="1"/>
  <c r="AA651" i="1"/>
  <c r="AA652" i="1"/>
  <c r="AA653" i="1"/>
  <c r="AA654" i="1"/>
  <c r="AA655" i="1"/>
  <c r="AA656" i="1"/>
  <c r="AA657" i="1"/>
  <c r="AA658" i="1"/>
  <c r="AA659" i="1"/>
  <c r="AA660" i="1"/>
  <c r="AA661" i="1"/>
  <c r="AA662" i="1"/>
  <c r="AA663" i="1"/>
  <c r="AA664" i="1"/>
  <c r="AA665" i="1"/>
  <c r="AA666" i="1"/>
  <c r="AA667" i="1"/>
  <c r="AA668" i="1"/>
  <c r="AA669" i="1"/>
  <c r="AA670" i="1"/>
  <c r="AA671" i="1"/>
  <c r="AA672" i="1"/>
  <c r="AA673" i="1"/>
  <c r="AA674" i="1"/>
  <c r="AA675" i="1"/>
  <c r="AA676" i="1"/>
  <c r="AA677" i="1"/>
  <c r="AA678" i="1"/>
  <c r="AA679" i="1"/>
  <c r="AA680" i="1"/>
  <c r="AA681" i="1"/>
  <c r="AA682" i="1"/>
  <c r="AA683" i="1"/>
  <c r="AA684" i="1"/>
  <c r="AA685" i="1"/>
  <c r="AA686" i="1"/>
  <c r="AA687" i="1"/>
  <c r="AA688" i="1"/>
  <c r="AA689" i="1"/>
  <c r="AA690" i="1"/>
  <c r="AA691" i="1"/>
  <c r="AA692" i="1"/>
  <c r="AA693" i="1"/>
  <c r="AA694" i="1"/>
  <c r="AA695" i="1"/>
  <c r="AA696" i="1"/>
  <c r="AA697" i="1"/>
  <c r="AA698" i="1"/>
  <c r="AA699" i="1"/>
  <c r="AA700" i="1"/>
  <c r="AA701" i="1"/>
  <c r="AA702" i="1"/>
  <c r="AA703" i="1"/>
  <c r="AA704" i="1"/>
  <c r="AA705" i="1"/>
  <c r="AA706" i="1"/>
  <c r="AA707" i="1"/>
  <c r="AA708" i="1"/>
  <c r="AA709" i="1"/>
  <c r="AA710" i="1"/>
  <c r="AA711" i="1"/>
  <c r="AA712" i="1"/>
  <c r="AA713" i="1"/>
  <c r="AA714" i="1"/>
  <c r="AA715" i="1"/>
  <c r="AA716" i="1"/>
  <c r="AA717" i="1"/>
  <c r="AA718" i="1"/>
  <c r="AA719" i="1"/>
  <c r="AA720" i="1"/>
  <c r="AA721" i="1"/>
  <c r="AA722" i="1"/>
  <c r="AA723" i="1"/>
  <c r="AA724" i="1"/>
  <c r="AA725" i="1"/>
  <c r="AA726" i="1"/>
  <c r="AA727" i="1"/>
  <c r="AA728" i="1"/>
  <c r="AA729" i="1"/>
  <c r="AA730" i="1"/>
  <c r="AA731" i="1"/>
  <c r="AA732" i="1"/>
  <c r="AA733" i="1"/>
  <c r="AA734" i="1"/>
  <c r="AA735" i="1"/>
  <c r="AA736" i="1"/>
  <c r="AA737" i="1"/>
  <c r="AA738" i="1"/>
  <c r="AA739" i="1"/>
  <c r="AA740" i="1"/>
  <c r="AA741" i="1"/>
  <c r="AA742" i="1"/>
  <c r="AA743" i="1"/>
  <c r="AA744" i="1"/>
  <c r="AA745" i="1"/>
  <c r="AA746" i="1"/>
  <c r="AA747" i="1"/>
  <c r="AA748" i="1"/>
  <c r="AA749" i="1"/>
  <c r="AA750" i="1"/>
  <c r="AA751" i="1"/>
  <c r="AA752" i="1"/>
  <c r="AA753" i="1"/>
  <c r="AA754" i="1"/>
  <c r="AA755" i="1"/>
  <c r="AA756" i="1"/>
  <c r="AA757" i="1"/>
  <c r="AA758" i="1"/>
  <c r="AA759" i="1"/>
  <c r="AA760" i="1"/>
  <c r="AA761" i="1"/>
  <c r="AA762" i="1"/>
  <c r="AA763" i="1"/>
  <c r="AA764" i="1"/>
  <c r="AA765" i="1"/>
  <c r="AA766" i="1"/>
  <c r="AA767" i="1"/>
  <c r="AA768" i="1"/>
  <c r="AA769" i="1"/>
  <c r="AA770" i="1"/>
  <c r="AA771" i="1"/>
  <c r="AA772" i="1"/>
  <c r="AA773" i="1"/>
  <c r="AA774" i="1"/>
  <c r="AA775" i="1"/>
  <c r="AA776" i="1"/>
  <c r="AA777" i="1"/>
  <c r="AA778" i="1"/>
  <c r="AA779" i="1"/>
  <c r="AA780" i="1"/>
  <c r="AA781" i="1"/>
  <c r="AA782" i="1"/>
  <c r="AA783" i="1"/>
  <c r="AA784" i="1"/>
  <c r="AA785" i="1"/>
  <c r="AA786" i="1"/>
  <c r="AA787" i="1"/>
  <c r="AA788" i="1"/>
  <c r="AA789" i="1"/>
  <c r="AA790" i="1"/>
  <c r="AA791" i="1"/>
  <c r="AA792" i="1"/>
  <c r="AA793" i="1"/>
  <c r="AA794" i="1"/>
  <c r="AA795" i="1"/>
  <c r="AA796" i="1"/>
  <c r="AA797" i="1"/>
  <c r="AA798" i="1"/>
  <c r="AA799" i="1"/>
  <c r="AA800" i="1"/>
  <c r="AA801" i="1"/>
  <c r="AA802" i="1"/>
  <c r="AA803" i="1"/>
  <c r="AA804" i="1"/>
  <c r="AA805" i="1"/>
  <c r="AA806" i="1"/>
  <c r="AA807" i="1"/>
  <c r="AA808" i="1"/>
  <c r="AA809" i="1"/>
  <c r="AA810" i="1"/>
  <c r="AA811" i="1"/>
  <c r="AA812" i="1"/>
  <c r="AA813" i="1"/>
  <c r="AA814" i="1"/>
  <c r="AA815" i="1"/>
  <c r="AA816" i="1"/>
  <c r="AA817" i="1"/>
  <c r="AA818" i="1"/>
  <c r="AA819" i="1"/>
  <c r="AA820" i="1"/>
  <c r="AA821" i="1"/>
  <c r="AA822" i="1"/>
  <c r="AA823" i="1"/>
  <c r="AA824" i="1"/>
  <c r="AA825" i="1"/>
  <c r="AA826" i="1"/>
  <c r="AA827" i="1"/>
  <c r="AA828" i="1"/>
  <c r="AA829" i="1"/>
  <c r="AA830" i="1"/>
  <c r="AA831" i="1"/>
  <c r="AA832" i="1"/>
  <c r="AA833" i="1"/>
  <c r="AA834" i="1"/>
  <c r="AA835" i="1"/>
  <c r="AA836" i="1"/>
  <c r="AA837" i="1"/>
  <c r="AA838" i="1"/>
  <c r="AA839" i="1"/>
  <c r="AA840" i="1"/>
  <c r="AA841" i="1"/>
  <c r="AA842" i="1"/>
  <c r="AA843" i="1"/>
  <c r="AA844" i="1"/>
  <c r="AA845" i="1"/>
  <c r="AA846" i="1"/>
  <c r="AA847" i="1"/>
  <c r="AA848" i="1"/>
  <c r="AA849" i="1"/>
  <c r="AA850" i="1"/>
  <c r="AA851" i="1"/>
  <c r="AA852" i="1"/>
  <c r="AA853" i="1"/>
  <c r="AA854" i="1"/>
  <c r="AA855" i="1"/>
  <c r="AA856" i="1"/>
  <c r="AA857" i="1"/>
  <c r="AA858" i="1"/>
  <c r="AA859" i="1"/>
  <c r="AA860" i="1"/>
  <c r="AA861" i="1"/>
  <c r="AA862" i="1"/>
  <c r="AA863" i="1"/>
  <c r="AA864" i="1"/>
  <c r="AA865" i="1"/>
  <c r="AA866" i="1"/>
  <c r="AA867" i="1"/>
  <c r="AA868" i="1"/>
  <c r="AA869" i="1"/>
  <c r="AA870" i="1"/>
  <c r="AA871" i="1"/>
  <c r="AA872" i="1"/>
  <c r="AA873" i="1"/>
  <c r="AA874" i="1"/>
  <c r="AA875" i="1"/>
  <c r="AA876" i="1"/>
  <c r="AA877" i="1"/>
  <c r="AA878" i="1"/>
  <c r="AA879" i="1"/>
  <c r="AA880" i="1"/>
  <c r="AA881" i="1"/>
  <c r="AA882" i="1"/>
  <c r="AA883" i="1"/>
  <c r="AA884" i="1"/>
  <c r="AA885" i="1"/>
  <c r="AA886" i="1"/>
  <c r="AA887" i="1"/>
  <c r="AA888" i="1"/>
  <c r="AA889" i="1"/>
  <c r="AA890" i="1"/>
  <c r="AA891" i="1"/>
  <c r="AA892" i="1"/>
  <c r="AA893" i="1"/>
  <c r="AA894" i="1"/>
  <c r="AA895" i="1"/>
  <c r="AA896" i="1"/>
  <c r="AA897" i="1"/>
  <c r="AA898" i="1"/>
  <c r="AA899" i="1"/>
  <c r="AA900" i="1"/>
  <c r="AA901" i="1"/>
  <c r="AA902" i="1"/>
  <c r="AA903" i="1"/>
  <c r="AA904" i="1"/>
  <c r="AA905" i="1"/>
  <c r="AA906" i="1"/>
  <c r="AA907" i="1"/>
  <c r="AA908" i="1"/>
  <c r="AA909" i="1"/>
  <c r="AA910" i="1"/>
  <c r="AA911" i="1"/>
  <c r="AA912" i="1"/>
  <c r="AA913" i="1"/>
  <c r="AA914" i="1"/>
  <c r="AA915" i="1"/>
  <c r="AA916" i="1"/>
  <c r="AA917" i="1"/>
  <c r="AA918" i="1"/>
  <c r="AA919" i="1"/>
  <c r="AA920" i="1"/>
  <c r="AA921" i="1"/>
  <c r="AA922" i="1"/>
  <c r="AA923" i="1"/>
  <c r="AA924" i="1"/>
  <c r="AA925" i="1"/>
  <c r="AA926" i="1"/>
  <c r="AA927" i="1"/>
  <c r="AA928" i="1"/>
  <c r="AA929" i="1"/>
  <c r="AA930" i="1"/>
  <c r="AA931" i="1"/>
  <c r="AA932" i="1"/>
  <c r="AA933" i="1"/>
  <c r="AA934" i="1"/>
  <c r="AA935" i="1"/>
  <c r="AA936" i="1"/>
  <c r="AA937" i="1"/>
  <c r="AA938" i="1"/>
  <c r="AA939" i="1"/>
  <c r="AA940" i="1"/>
  <c r="AA941" i="1"/>
  <c r="AA942" i="1"/>
  <c r="AA943" i="1"/>
  <c r="AA944" i="1"/>
  <c r="AA945" i="1"/>
  <c r="AA946" i="1"/>
  <c r="AA947" i="1"/>
  <c r="AA948" i="1"/>
  <c r="AA949" i="1"/>
  <c r="AA950" i="1"/>
  <c r="AA951" i="1"/>
  <c r="AA952" i="1"/>
  <c r="AA953" i="1"/>
  <c r="AA954" i="1"/>
  <c r="AA955" i="1"/>
  <c r="AA956" i="1"/>
  <c r="AA957" i="1"/>
  <c r="AA958" i="1"/>
  <c r="AA959" i="1"/>
  <c r="AA960" i="1"/>
  <c r="AA961" i="1"/>
  <c r="AA962" i="1"/>
  <c r="AA963" i="1"/>
  <c r="AA964" i="1"/>
  <c r="AA965" i="1"/>
  <c r="AA966" i="1"/>
  <c r="AA967" i="1"/>
  <c r="AA968" i="1"/>
  <c r="AA969" i="1"/>
  <c r="AA970" i="1"/>
  <c r="AA971" i="1"/>
  <c r="AA972" i="1"/>
  <c r="AA973" i="1"/>
  <c r="AA974" i="1"/>
  <c r="AA975" i="1"/>
  <c r="AA976" i="1"/>
  <c r="AA977" i="1"/>
  <c r="AA978" i="1"/>
  <c r="AA979" i="1"/>
  <c r="AA980" i="1"/>
  <c r="AA981" i="1"/>
  <c r="AA982" i="1"/>
  <c r="AA983" i="1"/>
  <c r="AA984" i="1"/>
  <c r="AA985" i="1"/>
  <c r="AA986" i="1"/>
  <c r="AA987" i="1"/>
  <c r="AA988" i="1"/>
  <c r="AA989" i="1"/>
  <c r="AA990" i="1"/>
  <c r="AA991" i="1"/>
  <c r="AA992" i="1"/>
  <c r="AA993" i="1"/>
  <c r="AA994" i="1"/>
  <c r="AA995" i="1"/>
  <c r="AA996" i="1"/>
  <c r="AA997" i="1"/>
  <c r="AA998" i="1"/>
  <c r="AA999" i="1"/>
  <c r="AA1000" i="1"/>
  <c r="AA1001" i="1"/>
  <c r="AA1002" i="1"/>
  <c r="AA1003" i="1"/>
  <c r="AA1004" i="1"/>
  <c r="AA1005" i="1"/>
  <c r="AA1006" i="1"/>
  <c r="AA1007" i="1"/>
  <c r="AA1008" i="1"/>
  <c r="AA1009" i="1"/>
  <c r="AA1010" i="1"/>
  <c r="AA1011" i="1"/>
  <c r="AA1012" i="1"/>
  <c r="AA1013" i="1"/>
  <c r="AA1014" i="1"/>
  <c r="AA1015" i="1"/>
  <c r="AA1016" i="1"/>
  <c r="AA1017" i="1"/>
  <c r="AA1018" i="1"/>
  <c r="AA1019" i="1"/>
  <c r="AA1020" i="1"/>
  <c r="AA1021" i="1"/>
  <c r="AA1022" i="1"/>
  <c r="AA1023" i="1"/>
  <c r="AA1024" i="1"/>
  <c r="AA1025" i="1"/>
  <c r="AA1026" i="1"/>
  <c r="AA1027" i="1"/>
  <c r="AA1028" i="1"/>
  <c r="AA1029" i="1"/>
  <c r="AA1030" i="1"/>
  <c r="AA1031" i="1"/>
  <c r="AA1032" i="1"/>
  <c r="AA1033" i="1"/>
  <c r="AA1034" i="1"/>
  <c r="AA1035" i="1"/>
  <c r="AA1036" i="1"/>
  <c r="AA1037" i="1"/>
  <c r="AA1038" i="1"/>
  <c r="AA1039" i="1"/>
  <c r="AA1040" i="1"/>
  <c r="AA1041" i="1"/>
  <c r="AA1042" i="1"/>
  <c r="AA1043" i="1"/>
  <c r="AA1044" i="1"/>
  <c r="AA1045" i="1"/>
  <c r="AA1046" i="1"/>
  <c r="AA1047" i="1"/>
  <c r="AA1048" i="1"/>
  <c r="AA1049" i="1"/>
  <c r="AA1050" i="1"/>
  <c r="AA1051" i="1"/>
  <c r="AA1052" i="1"/>
  <c r="AA1053" i="1"/>
  <c r="AA1054" i="1"/>
  <c r="AA1055" i="1"/>
  <c r="AA1056" i="1"/>
  <c r="AA1057" i="1"/>
  <c r="AA1058" i="1"/>
  <c r="AA1059" i="1"/>
  <c r="AA1060" i="1"/>
  <c r="AA1061" i="1"/>
  <c r="AA1062" i="1"/>
  <c r="AA1063" i="1"/>
  <c r="AA1064" i="1"/>
  <c r="AA1065" i="1"/>
  <c r="AA1066" i="1"/>
  <c r="AA1067" i="1"/>
  <c r="AA1068" i="1"/>
  <c r="AA1069" i="1"/>
  <c r="AA1070" i="1"/>
  <c r="AA1071" i="1"/>
  <c r="AA1072" i="1"/>
  <c r="AA1073" i="1"/>
  <c r="AA1074" i="1"/>
  <c r="AA1075" i="1"/>
  <c r="AA1076" i="1"/>
  <c r="AA1077" i="1"/>
  <c r="AA1078" i="1"/>
  <c r="AA1079" i="1"/>
  <c r="AA1080" i="1"/>
  <c r="AA1081" i="1"/>
  <c r="AA1082" i="1"/>
  <c r="AA1083" i="1"/>
  <c r="AA1084" i="1"/>
  <c r="AA1085" i="1"/>
  <c r="AA1086" i="1"/>
  <c r="AA1087" i="1"/>
  <c r="AA1088" i="1"/>
  <c r="AA1089" i="1"/>
  <c r="AA1090" i="1"/>
  <c r="AA1091" i="1"/>
  <c r="AA1092" i="1"/>
  <c r="AA1093" i="1"/>
  <c r="AA1094" i="1"/>
  <c r="AA1095" i="1"/>
  <c r="AA1096" i="1"/>
  <c r="AA1097" i="1"/>
  <c r="AA1098" i="1"/>
  <c r="AA1099" i="1"/>
  <c r="AA1100" i="1"/>
  <c r="AA1101" i="1"/>
  <c r="AA1102" i="1"/>
  <c r="AA1103" i="1"/>
  <c r="AA1104" i="1"/>
  <c r="AA1105" i="1"/>
  <c r="AA1106" i="1"/>
  <c r="AA1107" i="1"/>
  <c r="AA1108" i="1"/>
  <c r="AA1109" i="1"/>
  <c r="AA1110" i="1"/>
  <c r="AA1111" i="1"/>
  <c r="AA1112" i="1"/>
  <c r="AA1113" i="1"/>
  <c r="AA1114" i="1"/>
  <c r="AA1115" i="1"/>
  <c r="AA1116" i="1"/>
  <c r="AA1117" i="1"/>
  <c r="AA1118" i="1"/>
  <c r="AA1119" i="1"/>
  <c r="AA1120" i="1"/>
  <c r="AA1121" i="1"/>
  <c r="AA1122" i="1"/>
  <c r="AA1123" i="1"/>
  <c r="AA1124" i="1"/>
  <c r="AA1125" i="1"/>
  <c r="AA1126" i="1"/>
  <c r="AA1127" i="1"/>
  <c r="AA1128" i="1"/>
  <c r="AA1129" i="1"/>
  <c r="AA1130" i="1"/>
  <c r="AA1131" i="1"/>
  <c r="AA1132" i="1"/>
  <c r="AA1133" i="1"/>
  <c r="AA1134" i="1"/>
  <c r="AA1135" i="1"/>
  <c r="AA1136" i="1"/>
  <c r="AA1137" i="1"/>
  <c r="AA1138" i="1"/>
  <c r="AA1139" i="1"/>
  <c r="AA1140" i="1"/>
  <c r="AA1141" i="1"/>
  <c r="AA1142" i="1"/>
  <c r="AA1143" i="1"/>
  <c r="AA1144" i="1"/>
  <c r="AA1145" i="1"/>
  <c r="AA1146" i="1"/>
  <c r="AA1147" i="1"/>
  <c r="AA1148" i="1"/>
  <c r="AA1149" i="1"/>
  <c r="AA1150" i="1"/>
  <c r="AA1151" i="1"/>
  <c r="AA1152" i="1"/>
  <c r="AA1153" i="1"/>
  <c r="AA1154" i="1"/>
  <c r="AA1155" i="1"/>
  <c r="AA1156" i="1"/>
  <c r="AA1157" i="1"/>
  <c r="AA1158" i="1"/>
  <c r="AA1159" i="1"/>
  <c r="AA1160" i="1"/>
  <c r="AA1161" i="1"/>
  <c r="AA1162" i="1"/>
  <c r="AA1163" i="1"/>
  <c r="AA1164" i="1"/>
  <c r="AA1165" i="1"/>
  <c r="AA1166" i="1"/>
  <c r="AA1167" i="1"/>
  <c r="AA1168" i="1"/>
  <c r="AA1169" i="1"/>
  <c r="AA1170" i="1"/>
  <c r="AA1171" i="1"/>
  <c r="AA1172" i="1"/>
  <c r="AA1173" i="1"/>
  <c r="AA1174" i="1"/>
  <c r="AA1175" i="1"/>
  <c r="AA1176" i="1"/>
  <c r="AA1177" i="1"/>
  <c r="AA1178" i="1"/>
  <c r="AA1179" i="1"/>
  <c r="AA1180" i="1"/>
  <c r="AA1181" i="1"/>
  <c r="AA1182" i="1"/>
  <c r="AA1183" i="1"/>
  <c r="AA1184" i="1"/>
  <c r="AA1185" i="1"/>
  <c r="AA1186" i="1"/>
  <c r="AA1187" i="1"/>
  <c r="AA1188" i="1"/>
  <c r="AA1189" i="1"/>
  <c r="AA1190" i="1"/>
  <c r="AA1191" i="1"/>
  <c r="AA1192" i="1"/>
  <c r="AA1193" i="1"/>
  <c r="AA1194" i="1"/>
  <c r="AA1195" i="1"/>
  <c r="AA1196" i="1"/>
  <c r="AA1197" i="1"/>
  <c r="AA1198" i="1"/>
  <c r="AA1199" i="1"/>
  <c r="AA1200" i="1"/>
  <c r="AA1201" i="1"/>
  <c r="AA1202" i="1"/>
  <c r="AA1203" i="1"/>
  <c r="AA1204" i="1"/>
  <c r="AA1205" i="1"/>
  <c r="AA1206" i="1"/>
  <c r="AA1207" i="1"/>
  <c r="AA1208" i="1"/>
  <c r="AA1209" i="1"/>
  <c r="AA1210" i="1"/>
  <c r="AA1211" i="1"/>
  <c r="AA1212" i="1"/>
  <c r="AA1213" i="1"/>
  <c r="AA1214" i="1"/>
  <c r="AA1215" i="1"/>
  <c r="AA1216" i="1"/>
  <c r="AA1217" i="1"/>
  <c r="AA1218" i="1"/>
  <c r="AA1219" i="1"/>
  <c r="AA1220" i="1"/>
  <c r="AA1221" i="1"/>
  <c r="AA1222" i="1"/>
  <c r="AA1223" i="1"/>
  <c r="AA1224" i="1"/>
  <c r="AA1225" i="1"/>
  <c r="AA1226" i="1"/>
  <c r="AA1227" i="1"/>
  <c r="AA1228" i="1"/>
  <c r="AA1229" i="1"/>
  <c r="AA1230" i="1"/>
  <c r="AA1231" i="1"/>
  <c r="AA1232" i="1"/>
  <c r="AA1233" i="1"/>
  <c r="AA1234" i="1"/>
  <c r="AA1235" i="1"/>
  <c r="AA1236" i="1"/>
  <c r="AA1237" i="1"/>
  <c r="AA1238" i="1"/>
  <c r="AA1239" i="1"/>
  <c r="AA1240" i="1"/>
  <c r="AA1241" i="1"/>
  <c r="AA1242" i="1"/>
  <c r="AA1243" i="1"/>
  <c r="AA1244" i="1"/>
  <c r="AA1245" i="1"/>
  <c r="AA1246" i="1"/>
  <c r="AA1247" i="1"/>
  <c r="AA1248" i="1"/>
  <c r="AA1249" i="1"/>
  <c r="AA1250" i="1"/>
  <c r="AA1251" i="1"/>
  <c r="AA1252" i="1"/>
  <c r="AA1253" i="1"/>
  <c r="AA1254" i="1"/>
  <c r="AA1255" i="1"/>
  <c r="AA1256" i="1"/>
  <c r="AA1257" i="1"/>
  <c r="AA1258" i="1"/>
  <c r="AA1259" i="1"/>
  <c r="AA1260" i="1"/>
  <c r="AA1261" i="1"/>
  <c r="AA1262" i="1"/>
  <c r="AA1263" i="1"/>
  <c r="AA1264" i="1"/>
  <c r="AA1265" i="1"/>
  <c r="AA1266" i="1"/>
  <c r="AA1267" i="1"/>
  <c r="AA1268" i="1"/>
  <c r="AA1269" i="1"/>
  <c r="AA1270" i="1"/>
  <c r="AA1271" i="1"/>
  <c r="AA1272" i="1"/>
  <c r="AA1273" i="1"/>
  <c r="AA1274" i="1"/>
  <c r="AA1275" i="1"/>
  <c r="AA1276" i="1"/>
  <c r="AA1277" i="1"/>
  <c r="AA1278" i="1"/>
  <c r="AA1279" i="1"/>
  <c r="AA1280" i="1"/>
  <c r="AA1281" i="1"/>
  <c r="AA1282" i="1"/>
  <c r="AA1283" i="1"/>
  <c r="AA1284" i="1"/>
  <c r="AA1285" i="1"/>
  <c r="AA1286" i="1"/>
  <c r="AA1287" i="1"/>
  <c r="AA1288" i="1"/>
  <c r="AA1289" i="1"/>
  <c r="AA1290" i="1"/>
  <c r="AA1291" i="1"/>
  <c r="AA1292" i="1"/>
  <c r="AA1293" i="1"/>
  <c r="AA1294" i="1"/>
  <c r="AA1295" i="1"/>
  <c r="AA1296" i="1"/>
  <c r="AA1297" i="1"/>
  <c r="AA1298" i="1"/>
  <c r="AA1299" i="1"/>
  <c r="AA1300" i="1"/>
  <c r="AA1301" i="1"/>
  <c r="AA1302" i="1"/>
  <c r="AA1303" i="1"/>
  <c r="AA1304" i="1"/>
  <c r="AA1305" i="1"/>
  <c r="AA1306" i="1"/>
  <c r="AA1307" i="1"/>
  <c r="AA1308" i="1"/>
  <c r="AA1309" i="1"/>
  <c r="AA1310" i="1"/>
  <c r="AA1311" i="1"/>
  <c r="AA1312" i="1"/>
  <c r="AA1313" i="1"/>
  <c r="AA1314" i="1"/>
  <c r="AA1315" i="1"/>
  <c r="AA1316" i="1"/>
  <c r="AA1317" i="1"/>
  <c r="AA1318" i="1"/>
  <c r="AA1319" i="1"/>
  <c r="AA1320" i="1"/>
  <c r="AA1321" i="1"/>
  <c r="AA1322" i="1"/>
  <c r="AA1323" i="1"/>
  <c r="AA1324" i="1"/>
  <c r="AA1325" i="1"/>
  <c r="AA1326" i="1"/>
  <c r="AA1327" i="1"/>
  <c r="AA1328" i="1"/>
  <c r="AA1329" i="1"/>
  <c r="AA1330" i="1"/>
  <c r="AA1331" i="1"/>
  <c r="AA1332" i="1"/>
  <c r="AA1333" i="1"/>
  <c r="AA1334" i="1"/>
  <c r="AA1335" i="1"/>
  <c r="AA1336" i="1"/>
  <c r="AA1337" i="1"/>
  <c r="AA1338" i="1"/>
  <c r="AA1339" i="1"/>
  <c r="AA1340" i="1"/>
  <c r="AA1341" i="1"/>
  <c r="AA1342" i="1"/>
  <c r="AA1343" i="1"/>
  <c r="AA1344" i="1"/>
  <c r="AA1345" i="1"/>
  <c r="AA1346" i="1"/>
  <c r="AA1347" i="1"/>
  <c r="AA1348" i="1"/>
  <c r="AA1349" i="1"/>
  <c r="AA1350" i="1"/>
  <c r="AA1351" i="1"/>
  <c r="AA1352" i="1"/>
  <c r="AA1353" i="1"/>
  <c r="AA1354" i="1"/>
  <c r="AA1355" i="1"/>
  <c r="AA1356" i="1"/>
  <c r="AA1357" i="1"/>
  <c r="AA1358" i="1"/>
  <c r="AA1359" i="1"/>
  <c r="AA1360" i="1"/>
  <c r="AA1361" i="1"/>
  <c r="AA1362" i="1"/>
  <c r="AA1363" i="1"/>
  <c r="AA1364" i="1"/>
  <c r="AA1365" i="1"/>
  <c r="AA1366" i="1"/>
  <c r="AA1367" i="1"/>
  <c r="AA1368" i="1"/>
  <c r="AA1369" i="1"/>
  <c r="AA1370" i="1"/>
  <c r="AA1371" i="1"/>
  <c r="AA1372" i="1"/>
  <c r="AA1373" i="1"/>
  <c r="AA1374" i="1"/>
  <c r="AA1375" i="1"/>
  <c r="AA1376" i="1"/>
  <c r="AA1377" i="1"/>
  <c r="AA1378" i="1"/>
  <c r="AA1379" i="1"/>
  <c r="AA1380" i="1"/>
  <c r="AA1381" i="1"/>
  <c r="AA1382" i="1"/>
  <c r="AA1383" i="1"/>
  <c r="AA1384" i="1"/>
  <c r="AA1385" i="1"/>
  <c r="AA1386" i="1"/>
  <c r="AA1387" i="1"/>
  <c r="AA1388" i="1"/>
  <c r="AA1389" i="1"/>
  <c r="AA1390" i="1"/>
  <c r="AA1391" i="1"/>
  <c r="AA1392" i="1"/>
  <c r="AA1393" i="1"/>
  <c r="AA1394" i="1"/>
  <c r="AA1395" i="1"/>
  <c r="AA1396" i="1"/>
  <c r="AA1397" i="1"/>
  <c r="AA1398" i="1"/>
  <c r="AA1399" i="1"/>
  <c r="AA1400" i="1"/>
  <c r="AA1401" i="1"/>
  <c r="AA1402" i="1"/>
  <c r="AA1403" i="1"/>
  <c r="AA1404" i="1"/>
  <c r="AA1405" i="1"/>
  <c r="AA1406" i="1"/>
  <c r="AA1407" i="1"/>
  <c r="AA1408" i="1"/>
  <c r="AA1409" i="1"/>
  <c r="AA1410" i="1"/>
  <c r="AA1411" i="1"/>
  <c r="AA1412" i="1"/>
  <c r="AA1413" i="1"/>
  <c r="AA1414" i="1"/>
  <c r="AA1415" i="1"/>
  <c r="AA1416" i="1"/>
  <c r="AA1417" i="1"/>
  <c r="AA1418" i="1"/>
  <c r="AA1419" i="1"/>
  <c r="AA1420" i="1"/>
  <c r="AA1421" i="1"/>
  <c r="AA1422" i="1"/>
  <c r="AA1423" i="1"/>
  <c r="AA1424" i="1"/>
  <c r="AA1425" i="1"/>
  <c r="AA1426" i="1"/>
  <c r="AA1427" i="1"/>
  <c r="AA1428" i="1"/>
  <c r="AA1429" i="1"/>
  <c r="AA1430" i="1"/>
  <c r="AA1431" i="1"/>
  <c r="AA1432" i="1"/>
  <c r="AA1433" i="1"/>
  <c r="AA1434" i="1"/>
  <c r="AA1435" i="1"/>
  <c r="AA1436" i="1"/>
  <c r="AA1437" i="1"/>
  <c r="AA1438" i="1"/>
  <c r="AA1439" i="1"/>
  <c r="AA1440" i="1"/>
  <c r="AA1441" i="1"/>
  <c r="AA1442" i="1"/>
  <c r="AA1443" i="1"/>
  <c r="AA1444" i="1"/>
  <c r="AA1445" i="1"/>
  <c r="AA1446" i="1"/>
  <c r="AA1447" i="1"/>
  <c r="AA1448" i="1"/>
  <c r="AA1449" i="1"/>
  <c r="AA1450" i="1"/>
  <c r="AA1451" i="1"/>
  <c r="AA1452" i="1"/>
  <c r="AA1453" i="1"/>
  <c r="AA1454" i="1"/>
  <c r="AA1455" i="1"/>
  <c r="AA1456" i="1"/>
  <c r="AA1457" i="1"/>
  <c r="AA1458" i="1"/>
  <c r="AA1459" i="1"/>
  <c r="AA1460" i="1"/>
  <c r="AA1461" i="1"/>
  <c r="AA1462" i="1"/>
  <c r="AA1463" i="1"/>
  <c r="AA1464" i="1"/>
  <c r="AA1465" i="1"/>
  <c r="AA1466" i="1"/>
  <c r="AA1467" i="1"/>
  <c r="AA1468" i="1"/>
  <c r="AA1469" i="1"/>
  <c r="AA1470" i="1"/>
  <c r="AA1471" i="1"/>
  <c r="AA1472" i="1"/>
  <c r="AA1473" i="1"/>
  <c r="AA1474" i="1"/>
  <c r="AA1475" i="1"/>
  <c r="AA1476" i="1"/>
  <c r="AA1477" i="1"/>
  <c r="AA1478" i="1"/>
  <c r="AA1479" i="1"/>
  <c r="AA1480" i="1"/>
  <c r="AA1481" i="1"/>
  <c r="AA1482" i="1"/>
  <c r="AA1483" i="1"/>
  <c r="AA1484" i="1"/>
  <c r="AA1485" i="1"/>
  <c r="AA1486" i="1"/>
  <c r="AA1487" i="1"/>
  <c r="AA1488" i="1"/>
  <c r="AA1489" i="1"/>
  <c r="AA1490" i="1"/>
  <c r="AA1491" i="1"/>
  <c r="AA1492" i="1"/>
  <c r="AA1493" i="1"/>
  <c r="AA1494" i="1"/>
  <c r="AA1495" i="1"/>
  <c r="AA1496" i="1"/>
  <c r="AA1497" i="1"/>
  <c r="AA1498" i="1"/>
  <c r="AA1499" i="1"/>
  <c r="AA1500" i="1"/>
  <c r="AA1501" i="1"/>
  <c r="AA1502" i="1"/>
  <c r="AA1503" i="1"/>
  <c r="AA1504" i="1"/>
  <c r="AA1505" i="1"/>
  <c r="AA1506" i="1"/>
  <c r="AA1507" i="1"/>
  <c r="AA1508" i="1"/>
  <c r="AA1509" i="1"/>
  <c r="AA1510" i="1"/>
  <c r="AA1511" i="1"/>
  <c r="AA1512" i="1"/>
  <c r="AA1513" i="1"/>
  <c r="AA1514" i="1"/>
  <c r="AA1515" i="1"/>
  <c r="AA1516" i="1"/>
  <c r="AA1517" i="1"/>
  <c r="AA1518" i="1"/>
  <c r="AA1519" i="1"/>
  <c r="AA1520" i="1"/>
  <c r="AA1521" i="1"/>
  <c r="AA1522" i="1"/>
  <c r="AA1523" i="1"/>
  <c r="AA1524" i="1"/>
  <c r="AA1525" i="1"/>
  <c r="AA1526" i="1"/>
  <c r="AA1527" i="1"/>
  <c r="AA1528" i="1"/>
  <c r="AA1529" i="1"/>
  <c r="AA1530" i="1"/>
  <c r="AA1531" i="1"/>
  <c r="AA1532" i="1"/>
  <c r="AA1533" i="1"/>
  <c r="AA1534" i="1"/>
  <c r="AA1535" i="1"/>
  <c r="AA1536" i="1"/>
  <c r="AA1537" i="1"/>
  <c r="AA1538" i="1"/>
  <c r="AA1539" i="1"/>
  <c r="AA1540" i="1"/>
  <c r="AA1541" i="1"/>
  <c r="AA1542" i="1"/>
  <c r="AA1543" i="1"/>
  <c r="AA1544" i="1"/>
  <c r="AA1545" i="1"/>
  <c r="AA1546" i="1"/>
  <c r="AA1547" i="1"/>
  <c r="AA1548" i="1"/>
  <c r="AA1549" i="1"/>
  <c r="AA1550" i="1"/>
  <c r="AA1551" i="1"/>
  <c r="AA1552" i="1"/>
  <c r="AA1553" i="1"/>
  <c r="AA1554" i="1"/>
  <c r="AA1555" i="1"/>
  <c r="AA1556" i="1"/>
  <c r="AA1557" i="1"/>
  <c r="AA1558" i="1"/>
  <c r="AA1559" i="1"/>
  <c r="AA1560" i="1"/>
  <c r="AA1561" i="1"/>
  <c r="AA1562" i="1"/>
  <c r="AA1563" i="1"/>
  <c r="AA1564" i="1"/>
  <c r="AA1565" i="1"/>
  <c r="AA1566" i="1"/>
  <c r="AA1567" i="1"/>
  <c r="AA1568" i="1"/>
  <c r="AA1569" i="1"/>
  <c r="AA1570" i="1"/>
  <c r="AA1571" i="1"/>
  <c r="AA1572" i="1"/>
  <c r="AA1573" i="1"/>
  <c r="AA1574" i="1"/>
  <c r="AA1575" i="1"/>
  <c r="AA1576" i="1"/>
  <c r="AA1577" i="1"/>
  <c r="AA1578" i="1"/>
  <c r="AA1579" i="1"/>
  <c r="AA1580" i="1"/>
  <c r="AA1581" i="1"/>
  <c r="AA1582" i="1"/>
  <c r="AA1583" i="1"/>
  <c r="AA1584" i="1"/>
  <c r="AA1585" i="1"/>
  <c r="AA1586" i="1"/>
  <c r="AA1587" i="1"/>
  <c r="AA1588" i="1"/>
  <c r="AA1589" i="1"/>
  <c r="AA1590" i="1"/>
  <c r="AA1591" i="1"/>
  <c r="AA1592" i="1"/>
  <c r="AA1593" i="1"/>
  <c r="AA1594" i="1"/>
  <c r="AA1595" i="1"/>
  <c r="AA1596" i="1"/>
  <c r="AA1597" i="1"/>
  <c r="AA1598" i="1"/>
  <c r="AA1599" i="1"/>
  <c r="AA1600" i="1"/>
  <c r="AA1601" i="1"/>
  <c r="AA1602" i="1"/>
  <c r="AA1603" i="1"/>
  <c r="AA1604" i="1"/>
  <c r="AA1605" i="1"/>
  <c r="AA1606" i="1"/>
  <c r="AA1607" i="1"/>
  <c r="AA1608" i="1"/>
  <c r="AA1609" i="1"/>
  <c r="AA1610" i="1"/>
  <c r="AA1611" i="1"/>
  <c r="AA1612" i="1"/>
  <c r="AA1613" i="1"/>
  <c r="AA1614" i="1"/>
  <c r="AA1615" i="1"/>
  <c r="AA1616" i="1"/>
  <c r="AA1617" i="1"/>
  <c r="AA1618" i="1"/>
  <c r="AA1619" i="1"/>
  <c r="AA1620" i="1"/>
  <c r="AA1621" i="1"/>
  <c r="AA1622" i="1"/>
  <c r="AA1623" i="1"/>
  <c r="AA1624" i="1"/>
  <c r="AA1625" i="1"/>
  <c r="AA1626" i="1"/>
  <c r="AA1627" i="1"/>
  <c r="AA1628" i="1"/>
  <c r="AA1629" i="1"/>
  <c r="AA1630" i="1"/>
  <c r="AA1631" i="1"/>
  <c r="AA1632" i="1"/>
  <c r="AA1633" i="1"/>
  <c r="AA1634" i="1"/>
  <c r="AA1635" i="1"/>
  <c r="AA1636" i="1"/>
  <c r="AA1637" i="1"/>
  <c r="AA1638" i="1"/>
  <c r="AA1639" i="1"/>
  <c r="AA1640" i="1"/>
  <c r="AA1641" i="1"/>
  <c r="AA1642" i="1"/>
  <c r="AA1643" i="1"/>
  <c r="AA1644" i="1"/>
  <c r="AA1645" i="1"/>
  <c r="AA1646" i="1"/>
  <c r="AA1647" i="1"/>
  <c r="AA1648" i="1"/>
  <c r="AA1649" i="1"/>
  <c r="AA1650" i="1"/>
  <c r="AA1651" i="1"/>
  <c r="AA1652" i="1"/>
  <c r="AA1653" i="1"/>
  <c r="AA1654" i="1"/>
  <c r="AA1655" i="1"/>
  <c r="AA1656" i="1"/>
  <c r="AA1657" i="1"/>
  <c r="AA1658" i="1"/>
  <c r="AA1659" i="1"/>
  <c r="AA1660" i="1"/>
  <c r="AA1661" i="1"/>
  <c r="AA1662" i="1"/>
  <c r="AA1663" i="1"/>
  <c r="AA1664" i="1"/>
  <c r="AA1665" i="1"/>
  <c r="AA1666" i="1"/>
  <c r="AA1667" i="1"/>
  <c r="AA1668" i="1"/>
  <c r="AA1669" i="1"/>
  <c r="AA1670" i="1"/>
  <c r="AA1671" i="1"/>
  <c r="AA1672" i="1"/>
  <c r="AA1673" i="1"/>
  <c r="AA1674" i="1"/>
  <c r="AA1675" i="1"/>
  <c r="AA1676" i="1"/>
  <c r="AA1677" i="1"/>
  <c r="AA1678" i="1"/>
  <c r="AA1679" i="1"/>
  <c r="AA1680" i="1"/>
  <c r="AA1681" i="1"/>
  <c r="AA1682" i="1"/>
  <c r="AA1683" i="1"/>
  <c r="AA1684" i="1"/>
  <c r="AA1685" i="1"/>
  <c r="AA1686" i="1"/>
  <c r="AA1687" i="1"/>
  <c r="AA1688" i="1"/>
  <c r="AA1689" i="1"/>
  <c r="AA1690" i="1"/>
  <c r="AA1691" i="1"/>
  <c r="AA1692" i="1"/>
  <c r="AA1693" i="1"/>
  <c r="AA1694" i="1"/>
  <c r="AA1695" i="1"/>
  <c r="AA1696" i="1"/>
  <c r="AA1697" i="1"/>
  <c r="AA1698" i="1"/>
  <c r="AA1699" i="1"/>
  <c r="AA1700" i="1"/>
  <c r="AA1701" i="1"/>
  <c r="AA1702" i="1"/>
  <c r="AA1703" i="1"/>
  <c r="AA1704" i="1"/>
  <c r="AA1705" i="1"/>
  <c r="AA1706" i="1"/>
  <c r="AA1707" i="1"/>
  <c r="AA1708" i="1"/>
  <c r="AA1709" i="1"/>
  <c r="AA1710" i="1"/>
  <c r="AA1711" i="1"/>
  <c r="AA1712" i="1"/>
  <c r="AA1713" i="1"/>
  <c r="AA1714" i="1"/>
  <c r="AA1715" i="1"/>
  <c r="AA1716" i="1"/>
  <c r="AA1717" i="1"/>
  <c r="AA1718" i="1"/>
  <c r="AA1719" i="1"/>
  <c r="AA1720" i="1"/>
  <c r="AA1721" i="1"/>
  <c r="AA1722" i="1"/>
  <c r="AA1723" i="1"/>
  <c r="AA1724" i="1"/>
  <c r="AA1725" i="1"/>
  <c r="AA1726" i="1"/>
  <c r="AA1727" i="1"/>
  <c r="AA1728" i="1"/>
  <c r="AA1729" i="1"/>
  <c r="AA1730" i="1"/>
  <c r="AA1731" i="1"/>
  <c r="AA1732" i="1"/>
  <c r="AA1733" i="1"/>
  <c r="AA1734" i="1"/>
  <c r="AA1735" i="1"/>
  <c r="AA1736" i="1"/>
  <c r="AA1737" i="1"/>
  <c r="AA1738" i="1"/>
  <c r="AA1739" i="1"/>
  <c r="AA1740" i="1"/>
  <c r="AA1741" i="1"/>
  <c r="AA1742" i="1"/>
  <c r="AA1743" i="1"/>
  <c r="AA1744" i="1"/>
  <c r="AA1745" i="1"/>
  <c r="AA1746" i="1"/>
  <c r="AA1747" i="1"/>
  <c r="AA1748" i="1"/>
  <c r="AA1749" i="1"/>
  <c r="AA1750" i="1"/>
  <c r="AA1751" i="1"/>
  <c r="AA1752" i="1"/>
  <c r="AA1753" i="1"/>
  <c r="AA1754" i="1"/>
  <c r="AA1755" i="1"/>
  <c r="AA1756" i="1"/>
  <c r="AA1757" i="1"/>
  <c r="AA1758" i="1"/>
  <c r="AA1759" i="1"/>
  <c r="AA1760" i="1"/>
  <c r="AA1761" i="1"/>
  <c r="AA1762" i="1"/>
  <c r="AA1763" i="1"/>
  <c r="AA1764" i="1"/>
  <c r="AA1765" i="1"/>
  <c r="AA1766" i="1"/>
  <c r="AA1767" i="1"/>
  <c r="AA1768" i="1"/>
  <c r="AA1769" i="1"/>
  <c r="AA1770" i="1"/>
  <c r="AA1771" i="1"/>
  <c r="AA1772" i="1"/>
  <c r="AA1773" i="1"/>
  <c r="AA1774" i="1"/>
  <c r="AA1775" i="1"/>
  <c r="AA1776" i="1"/>
  <c r="AA1777" i="1"/>
  <c r="AA1778" i="1"/>
  <c r="AA1779" i="1"/>
  <c r="AA1780" i="1"/>
  <c r="AA1781" i="1"/>
  <c r="AA1782" i="1"/>
  <c r="AA1783" i="1"/>
  <c r="AA1784" i="1"/>
  <c r="AA1785" i="1"/>
  <c r="AA1786" i="1"/>
  <c r="AA1787" i="1"/>
  <c r="AA1788" i="1"/>
  <c r="AA1789" i="1"/>
  <c r="AA1790" i="1"/>
  <c r="AA1791" i="1"/>
  <c r="AA1792" i="1"/>
  <c r="AA1793" i="1"/>
  <c r="AA1794" i="1"/>
  <c r="AA1795" i="1"/>
  <c r="AA1796" i="1"/>
  <c r="AA1797" i="1"/>
  <c r="AA1798" i="1"/>
  <c r="AA1799" i="1"/>
  <c r="AA1800" i="1"/>
  <c r="AA1801" i="1"/>
  <c r="AA1802" i="1"/>
  <c r="AA1803" i="1"/>
  <c r="AA1804" i="1"/>
  <c r="AA1805" i="1"/>
  <c r="AA1806" i="1"/>
  <c r="AA1807" i="1"/>
  <c r="AA1808" i="1"/>
  <c r="AA1809" i="1"/>
  <c r="AA1810" i="1"/>
  <c r="AA1811" i="1"/>
  <c r="AA1812" i="1"/>
  <c r="AA1813" i="1"/>
  <c r="AA1814" i="1"/>
  <c r="AA1815" i="1"/>
  <c r="AA1816" i="1"/>
  <c r="AA1817" i="1"/>
  <c r="AA1818" i="1"/>
  <c r="AA1819" i="1"/>
  <c r="AA1820" i="1"/>
  <c r="AA1821" i="1"/>
  <c r="AA1822" i="1"/>
  <c r="AA1823" i="1"/>
  <c r="AA1824" i="1"/>
  <c r="AA1825" i="1"/>
  <c r="AA1826" i="1"/>
  <c r="AA1827" i="1"/>
  <c r="AA1828" i="1"/>
  <c r="AA1829" i="1"/>
  <c r="AA1830" i="1"/>
  <c r="AA1831" i="1"/>
  <c r="AA1832" i="1"/>
  <c r="AA1833" i="1"/>
  <c r="AA1834" i="1"/>
  <c r="AA1835" i="1"/>
  <c r="AA1836" i="1"/>
  <c r="AA1837" i="1"/>
  <c r="AA1838" i="1"/>
  <c r="AA1839" i="1"/>
  <c r="AA1840" i="1"/>
  <c r="AA1841" i="1"/>
  <c r="AA1842" i="1"/>
  <c r="AA1843" i="1"/>
  <c r="AA1844" i="1"/>
  <c r="AA1845" i="1"/>
  <c r="AA1846" i="1"/>
  <c r="AA1847" i="1"/>
  <c r="AA1848" i="1"/>
  <c r="AA1849" i="1"/>
  <c r="AA1850" i="1"/>
  <c r="AA1851" i="1"/>
  <c r="AA1852" i="1"/>
  <c r="AA1853" i="1"/>
  <c r="AA1854" i="1"/>
  <c r="AA1855" i="1"/>
  <c r="AA1856" i="1"/>
  <c r="AA1857" i="1"/>
  <c r="AA1858" i="1"/>
  <c r="AA1859" i="1"/>
  <c r="AA1860" i="1"/>
  <c r="AA1861" i="1"/>
  <c r="AA1862" i="1"/>
  <c r="AA1863" i="1"/>
  <c r="AA1864" i="1"/>
  <c r="AA1865" i="1"/>
  <c r="AA1866" i="1"/>
  <c r="AA1867" i="1"/>
  <c r="AA1868" i="1"/>
  <c r="AA1869" i="1"/>
  <c r="AA1870" i="1"/>
  <c r="AA1871" i="1"/>
  <c r="AA1872" i="1"/>
  <c r="AA1873" i="1"/>
  <c r="AA1874" i="1"/>
  <c r="AA1875" i="1"/>
  <c r="AA1876" i="1"/>
  <c r="AA1877" i="1"/>
  <c r="AA1878" i="1"/>
  <c r="AA1879" i="1"/>
  <c r="AA1880" i="1"/>
  <c r="AA1881" i="1"/>
  <c r="AA1882" i="1"/>
  <c r="AA1883" i="1"/>
  <c r="AA1884" i="1"/>
  <c r="AA1885" i="1"/>
  <c r="AA1886" i="1"/>
  <c r="AA1887" i="1"/>
  <c r="AA1888" i="1"/>
  <c r="AA1889" i="1"/>
  <c r="AA1890" i="1"/>
  <c r="AA1891" i="1"/>
  <c r="AA1892" i="1"/>
  <c r="AA1893" i="1"/>
  <c r="AA1894" i="1"/>
  <c r="AA1895" i="1"/>
  <c r="AA1896" i="1"/>
  <c r="AA1897" i="1"/>
  <c r="AA1898" i="1"/>
  <c r="AA1899" i="1"/>
  <c r="AA1900" i="1"/>
  <c r="AA1901" i="1"/>
  <c r="AA1902" i="1"/>
  <c r="AA1903" i="1"/>
  <c r="AA1904" i="1"/>
  <c r="AA1905" i="1"/>
  <c r="AA1906" i="1"/>
  <c r="AA1907" i="1"/>
  <c r="AA1908" i="1"/>
  <c r="AA1909" i="1"/>
  <c r="AA1910" i="1"/>
  <c r="AA1911" i="1"/>
  <c r="AA1912" i="1"/>
  <c r="AA1913" i="1"/>
  <c r="AA1914" i="1"/>
  <c r="AA1915" i="1"/>
  <c r="AA1916" i="1"/>
  <c r="AA1917" i="1"/>
  <c r="AA1918" i="1"/>
  <c r="AA1919" i="1"/>
  <c r="AA1920" i="1"/>
  <c r="AA1921" i="1"/>
  <c r="AA1922" i="1"/>
  <c r="AA1923" i="1"/>
  <c r="AA1924" i="1"/>
  <c r="AA1925" i="1"/>
  <c r="AA1926" i="1"/>
  <c r="AA1927" i="1"/>
  <c r="AA1928" i="1"/>
  <c r="AA1929" i="1"/>
  <c r="AA1930" i="1"/>
  <c r="AA1931" i="1"/>
  <c r="AA1932" i="1"/>
  <c r="AA1933" i="1"/>
  <c r="AA1934" i="1"/>
  <c r="AA1935" i="1"/>
  <c r="AA1936" i="1"/>
  <c r="AA1937" i="1"/>
  <c r="AA1938" i="1"/>
  <c r="AA1939" i="1"/>
  <c r="AA1940" i="1"/>
  <c r="AA1941" i="1"/>
  <c r="AA1942" i="1"/>
  <c r="AA1943" i="1"/>
  <c r="AA1944" i="1"/>
  <c r="AA1945" i="1"/>
  <c r="AA1946" i="1"/>
  <c r="AA1947" i="1"/>
  <c r="AA1948" i="1"/>
  <c r="AA1949" i="1"/>
  <c r="AA1950" i="1"/>
  <c r="AA1951" i="1"/>
  <c r="AA1952" i="1"/>
  <c r="AA1953" i="1"/>
  <c r="AA1954" i="1"/>
  <c r="AA1955" i="1"/>
  <c r="AA1956" i="1"/>
  <c r="AA1957" i="1"/>
  <c r="AA1958" i="1"/>
  <c r="AA1959" i="1"/>
  <c r="AA1960" i="1"/>
  <c r="AA1961" i="1"/>
  <c r="AA1962" i="1"/>
  <c r="AA1963" i="1"/>
  <c r="AA1964" i="1"/>
  <c r="AA1965" i="1"/>
  <c r="AA1966" i="1"/>
  <c r="AA1967" i="1"/>
  <c r="AA1968" i="1"/>
  <c r="AA1969" i="1"/>
  <c r="AA1970" i="1"/>
  <c r="AA1971" i="1"/>
  <c r="AA1972" i="1"/>
  <c r="AA1973" i="1"/>
  <c r="AA1974" i="1"/>
  <c r="AA1975" i="1"/>
  <c r="AA1976" i="1"/>
  <c r="AA1977" i="1"/>
  <c r="AA1978" i="1"/>
  <c r="AA1979" i="1"/>
  <c r="AA1980" i="1"/>
  <c r="AA1981" i="1"/>
  <c r="AA1982" i="1"/>
  <c r="AA1983" i="1"/>
  <c r="AA1984" i="1"/>
  <c r="AA1985" i="1"/>
  <c r="AA1986" i="1"/>
  <c r="AA1987" i="1"/>
  <c r="AA1988" i="1"/>
  <c r="AA1989" i="1"/>
  <c r="AA1990" i="1"/>
  <c r="AA1991" i="1"/>
  <c r="AA1992" i="1"/>
  <c r="AA1993" i="1"/>
  <c r="AA1994" i="1"/>
  <c r="AA1995" i="1"/>
  <c r="AA1996" i="1"/>
  <c r="AA1997" i="1"/>
  <c r="AA1998" i="1"/>
  <c r="AA1999" i="1"/>
  <c r="AA2000" i="1"/>
  <c r="AA2001" i="1"/>
  <c r="Z2" i="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0" i="1"/>
  <c r="Z731" i="1"/>
  <c r="Z732" i="1"/>
  <c r="Z733" i="1"/>
  <c r="Z734" i="1"/>
  <c r="Z735" i="1"/>
  <c r="Z736" i="1"/>
  <c r="Z737" i="1"/>
  <c r="Z738" i="1"/>
  <c r="Z739" i="1"/>
  <c r="Z740" i="1"/>
  <c r="Z741" i="1"/>
  <c r="Z742" i="1"/>
  <c r="Z743" i="1"/>
  <c r="Z744" i="1"/>
  <c r="Z745" i="1"/>
  <c r="Z746" i="1"/>
  <c r="Z747" i="1"/>
  <c r="Z748" i="1"/>
  <c r="Z749" i="1"/>
  <c r="Z750" i="1"/>
  <c r="Z751" i="1"/>
  <c r="Z752" i="1"/>
  <c r="Z753" i="1"/>
  <c r="Z754" i="1"/>
  <c r="Z755" i="1"/>
  <c r="Z756" i="1"/>
  <c r="Z757" i="1"/>
  <c r="Z758" i="1"/>
  <c r="Z759" i="1"/>
  <c r="Z760" i="1"/>
  <c r="Z761" i="1"/>
  <c r="Z762" i="1"/>
  <c r="Z763" i="1"/>
  <c r="Z764" i="1"/>
  <c r="Z765" i="1"/>
  <c r="Z766" i="1"/>
  <c r="Z767" i="1"/>
  <c r="Z768" i="1"/>
  <c r="Z769" i="1"/>
  <c r="Z770" i="1"/>
  <c r="Z771" i="1"/>
  <c r="Z772" i="1"/>
  <c r="Z773" i="1"/>
  <c r="Z774" i="1"/>
  <c r="Z775" i="1"/>
  <c r="Z776" i="1"/>
  <c r="Z777" i="1"/>
  <c r="Z778" i="1"/>
  <c r="Z779" i="1"/>
  <c r="Z780" i="1"/>
  <c r="Z781" i="1"/>
  <c r="Z782" i="1"/>
  <c r="Z783" i="1"/>
  <c r="Z784" i="1"/>
  <c r="Z785" i="1"/>
  <c r="Z786" i="1"/>
  <c r="Z787" i="1"/>
  <c r="Z788" i="1"/>
  <c r="Z789" i="1"/>
  <c r="Z790" i="1"/>
  <c r="Z791" i="1"/>
  <c r="Z792" i="1"/>
  <c r="Z793" i="1"/>
  <c r="Z794" i="1"/>
  <c r="Z795" i="1"/>
  <c r="Z796" i="1"/>
  <c r="Z797" i="1"/>
  <c r="Z798" i="1"/>
  <c r="Z799" i="1"/>
  <c r="Z800" i="1"/>
  <c r="Z801" i="1"/>
  <c r="Z802" i="1"/>
  <c r="Z803" i="1"/>
  <c r="Z804" i="1"/>
  <c r="Z805" i="1"/>
  <c r="Z806" i="1"/>
  <c r="Z807" i="1"/>
  <c r="Z808" i="1"/>
  <c r="Z809" i="1"/>
  <c r="Z810" i="1"/>
  <c r="Z811" i="1"/>
  <c r="Z812" i="1"/>
  <c r="Z813" i="1"/>
  <c r="Z814" i="1"/>
  <c r="Z815" i="1"/>
  <c r="Z816" i="1"/>
  <c r="Z817" i="1"/>
  <c r="Z818" i="1"/>
  <c r="Z819" i="1"/>
  <c r="Z820" i="1"/>
  <c r="Z821" i="1"/>
  <c r="Z822" i="1"/>
  <c r="Z823" i="1"/>
  <c r="Z824" i="1"/>
  <c r="Z825" i="1"/>
  <c r="Z826" i="1"/>
  <c r="Z827" i="1"/>
  <c r="Z828" i="1"/>
  <c r="Z829" i="1"/>
  <c r="Z830" i="1"/>
  <c r="Z831" i="1"/>
  <c r="Z832" i="1"/>
  <c r="Z833" i="1"/>
  <c r="Z834" i="1"/>
  <c r="Z835" i="1"/>
  <c r="Z836" i="1"/>
  <c r="Z837" i="1"/>
  <c r="Z838" i="1"/>
  <c r="Z839" i="1"/>
  <c r="Z840" i="1"/>
  <c r="Z841" i="1"/>
  <c r="Z842" i="1"/>
  <c r="Z843" i="1"/>
  <c r="Z844" i="1"/>
  <c r="Z845" i="1"/>
  <c r="Z846" i="1"/>
  <c r="Z847" i="1"/>
  <c r="Z848" i="1"/>
  <c r="Z849" i="1"/>
  <c r="Z850" i="1"/>
  <c r="Z851" i="1"/>
  <c r="Z852" i="1"/>
  <c r="Z853" i="1"/>
  <c r="Z854" i="1"/>
  <c r="Z855" i="1"/>
  <c r="Z856" i="1"/>
  <c r="Z857" i="1"/>
  <c r="Z858" i="1"/>
  <c r="Z859" i="1"/>
  <c r="Z860" i="1"/>
  <c r="Z861" i="1"/>
  <c r="Z862" i="1"/>
  <c r="Z863" i="1"/>
  <c r="Z864" i="1"/>
  <c r="Z865" i="1"/>
  <c r="Z866" i="1"/>
  <c r="Z867" i="1"/>
  <c r="Z868" i="1"/>
  <c r="Z869" i="1"/>
  <c r="Z870" i="1"/>
  <c r="Z871" i="1"/>
  <c r="Z872" i="1"/>
  <c r="Z873" i="1"/>
  <c r="Z874" i="1"/>
  <c r="Z875" i="1"/>
  <c r="Z876" i="1"/>
  <c r="Z877" i="1"/>
  <c r="Z878" i="1"/>
  <c r="Z879" i="1"/>
  <c r="Z880" i="1"/>
  <c r="Z881" i="1"/>
  <c r="Z882" i="1"/>
  <c r="Z883" i="1"/>
  <c r="Z884" i="1"/>
  <c r="Z885" i="1"/>
  <c r="Z886" i="1"/>
  <c r="Z887" i="1"/>
  <c r="Z888" i="1"/>
  <c r="Z889" i="1"/>
  <c r="Z890" i="1"/>
  <c r="Z891" i="1"/>
  <c r="Z892" i="1"/>
  <c r="Z893" i="1"/>
  <c r="Z894" i="1"/>
  <c r="Z895" i="1"/>
  <c r="Z896" i="1"/>
  <c r="Z897" i="1"/>
  <c r="Z898" i="1"/>
  <c r="Z899" i="1"/>
  <c r="Z900" i="1"/>
  <c r="Z901" i="1"/>
  <c r="Z902" i="1"/>
  <c r="Z903" i="1"/>
  <c r="Z904" i="1"/>
  <c r="Z905" i="1"/>
  <c r="Z906" i="1"/>
  <c r="Z907" i="1"/>
  <c r="Z908" i="1"/>
  <c r="Z909" i="1"/>
  <c r="Z910" i="1"/>
  <c r="Z911" i="1"/>
  <c r="Z912" i="1"/>
  <c r="Z913" i="1"/>
  <c r="Z914" i="1"/>
  <c r="Z915" i="1"/>
  <c r="Z916" i="1"/>
  <c r="Z917" i="1"/>
  <c r="Z918" i="1"/>
  <c r="Z919" i="1"/>
  <c r="Z920" i="1"/>
  <c r="Z921" i="1"/>
  <c r="Z922" i="1"/>
  <c r="Z923" i="1"/>
  <c r="Z924" i="1"/>
  <c r="Z925" i="1"/>
  <c r="Z926" i="1"/>
  <c r="Z927" i="1"/>
  <c r="Z928" i="1"/>
  <c r="Z929" i="1"/>
  <c r="Z930" i="1"/>
  <c r="Z931" i="1"/>
  <c r="Z932" i="1"/>
  <c r="Z933" i="1"/>
  <c r="Z934" i="1"/>
  <c r="Z935" i="1"/>
  <c r="Z936" i="1"/>
  <c r="Z937" i="1"/>
  <c r="Z938" i="1"/>
  <c r="Z939" i="1"/>
  <c r="Z940" i="1"/>
  <c r="Z941" i="1"/>
  <c r="Z942" i="1"/>
  <c r="Z943" i="1"/>
  <c r="Z944" i="1"/>
  <c r="Z945" i="1"/>
  <c r="Z946" i="1"/>
  <c r="Z947" i="1"/>
  <c r="Z948" i="1"/>
  <c r="Z949" i="1"/>
  <c r="Z950" i="1"/>
  <c r="Z951" i="1"/>
  <c r="Z952" i="1"/>
  <c r="Z953" i="1"/>
  <c r="Z954" i="1"/>
  <c r="Z955" i="1"/>
  <c r="Z956" i="1"/>
  <c r="Z957" i="1"/>
  <c r="Z958" i="1"/>
  <c r="Z959" i="1"/>
  <c r="Z960" i="1"/>
  <c r="Z961" i="1"/>
  <c r="Z962" i="1"/>
  <c r="Z963" i="1"/>
  <c r="Z964" i="1"/>
  <c r="Z965" i="1"/>
  <c r="Z966" i="1"/>
  <c r="Z967" i="1"/>
  <c r="Z968" i="1"/>
  <c r="Z969" i="1"/>
  <c r="Z970" i="1"/>
  <c r="Z971" i="1"/>
  <c r="Z972" i="1"/>
  <c r="Z973" i="1"/>
  <c r="Z974" i="1"/>
  <c r="Z975" i="1"/>
  <c r="Z976" i="1"/>
  <c r="Z977" i="1"/>
  <c r="Z978" i="1"/>
  <c r="Z979" i="1"/>
  <c r="Z980" i="1"/>
  <c r="Z981" i="1"/>
  <c r="Z982" i="1"/>
  <c r="Z983" i="1"/>
  <c r="Z984" i="1"/>
  <c r="Z985" i="1"/>
  <c r="Z986" i="1"/>
  <c r="Z987" i="1"/>
  <c r="Z988" i="1"/>
  <c r="Z989" i="1"/>
  <c r="Z990" i="1"/>
  <c r="Z991" i="1"/>
  <c r="Z992" i="1"/>
  <c r="Z993" i="1"/>
  <c r="Z994" i="1"/>
  <c r="Z995" i="1"/>
  <c r="Z996" i="1"/>
  <c r="Z997" i="1"/>
  <c r="Z998" i="1"/>
  <c r="Z999" i="1"/>
  <c r="Z1000" i="1"/>
  <c r="Z1001" i="1"/>
  <c r="Z1002" i="1"/>
  <c r="Z1003" i="1"/>
  <c r="Z1004" i="1"/>
  <c r="Z1005" i="1"/>
  <c r="Z1006" i="1"/>
  <c r="Z1007" i="1"/>
  <c r="Z1008" i="1"/>
  <c r="Z1009" i="1"/>
  <c r="Z1010" i="1"/>
  <c r="Z1011" i="1"/>
  <c r="Z1012" i="1"/>
  <c r="Z1013" i="1"/>
  <c r="Z1014" i="1"/>
  <c r="Z1015" i="1"/>
  <c r="Z1016" i="1"/>
  <c r="Z1017" i="1"/>
  <c r="Z1018" i="1"/>
  <c r="Z1019" i="1"/>
  <c r="Z1020" i="1"/>
  <c r="Z1021" i="1"/>
  <c r="Z1022" i="1"/>
  <c r="Z1023" i="1"/>
  <c r="Z1024" i="1"/>
  <c r="Z1025" i="1"/>
  <c r="Z1026" i="1"/>
  <c r="Z1027" i="1"/>
  <c r="Z1028" i="1"/>
  <c r="Z1029" i="1"/>
  <c r="Z1030" i="1"/>
  <c r="Z1031" i="1"/>
  <c r="Z1032" i="1"/>
  <c r="Z1033" i="1"/>
  <c r="Z1034" i="1"/>
  <c r="Z1035" i="1"/>
  <c r="Z1036" i="1"/>
  <c r="Z1037" i="1"/>
  <c r="Z1038" i="1"/>
  <c r="Z1039" i="1"/>
  <c r="Z1040" i="1"/>
  <c r="Z1041" i="1"/>
  <c r="Z1042" i="1"/>
  <c r="Z1043" i="1"/>
  <c r="Z1044" i="1"/>
  <c r="Z1045" i="1"/>
  <c r="Z1046" i="1"/>
  <c r="Z1047" i="1"/>
  <c r="Z1048" i="1"/>
  <c r="Z1049" i="1"/>
  <c r="Z1050" i="1"/>
  <c r="Z1051" i="1"/>
  <c r="Z1052" i="1"/>
  <c r="Z1053" i="1"/>
  <c r="Z1054" i="1"/>
  <c r="Z1055" i="1"/>
  <c r="Z1056" i="1"/>
  <c r="Z1057" i="1"/>
  <c r="Z1058" i="1"/>
  <c r="Z1059" i="1"/>
  <c r="Z1060" i="1"/>
  <c r="Z1061" i="1"/>
  <c r="Z1062" i="1"/>
  <c r="Z1063" i="1"/>
  <c r="Z1064" i="1"/>
  <c r="Z1065" i="1"/>
  <c r="Z1066" i="1"/>
  <c r="Z1067" i="1"/>
  <c r="Z1068" i="1"/>
  <c r="Z1069" i="1"/>
  <c r="Z1070" i="1"/>
  <c r="Z1071" i="1"/>
  <c r="Z1072" i="1"/>
  <c r="Z1073" i="1"/>
  <c r="Z1074" i="1"/>
  <c r="Z1075" i="1"/>
  <c r="Z1076" i="1"/>
  <c r="Z1077" i="1"/>
  <c r="Z1078" i="1"/>
  <c r="Z1079" i="1"/>
  <c r="Z1080" i="1"/>
  <c r="Z1081" i="1"/>
  <c r="Z1082" i="1"/>
  <c r="Z1083" i="1"/>
  <c r="Z1084" i="1"/>
  <c r="Z1085" i="1"/>
  <c r="Z1086" i="1"/>
  <c r="Z1087" i="1"/>
  <c r="Z1088" i="1"/>
  <c r="Z1089" i="1"/>
  <c r="Z1090" i="1"/>
  <c r="Z1091" i="1"/>
  <c r="Z1092" i="1"/>
  <c r="Z1093" i="1"/>
  <c r="Z1094" i="1"/>
  <c r="Z1095" i="1"/>
  <c r="Z1096" i="1"/>
  <c r="Z1097" i="1"/>
  <c r="Z1098" i="1"/>
  <c r="Z1099" i="1"/>
  <c r="Z1100" i="1"/>
  <c r="Z1101" i="1"/>
  <c r="Z1102" i="1"/>
  <c r="Z1103" i="1"/>
  <c r="Z1104" i="1"/>
  <c r="Z1105" i="1"/>
  <c r="Z1106" i="1"/>
  <c r="Z1107" i="1"/>
  <c r="Z1108" i="1"/>
  <c r="Z1109" i="1"/>
  <c r="Z1110" i="1"/>
  <c r="Z1111" i="1"/>
  <c r="Z1112" i="1"/>
  <c r="Z1113" i="1"/>
  <c r="Z1114" i="1"/>
  <c r="Z1115" i="1"/>
  <c r="Z1116" i="1"/>
  <c r="Z1117" i="1"/>
  <c r="Z1118" i="1"/>
  <c r="Z1119" i="1"/>
  <c r="Z1120" i="1"/>
  <c r="Z1121" i="1"/>
  <c r="Z1122" i="1"/>
  <c r="Z1123" i="1"/>
  <c r="Z1124" i="1"/>
  <c r="Z1125" i="1"/>
  <c r="Z1126" i="1"/>
  <c r="Z1127" i="1"/>
  <c r="Z1128" i="1"/>
  <c r="Z1129" i="1"/>
  <c r="Z1130" i="1"/>
  <c r="Z1131" i="1"/>
  <c r="Z1132" i="1"/>
  <c r="Z1133" i="1"/>
  <c r="Z1134" i="1"/>
  <c r="Z1135" i="1"/>
  <c r="Z1136" i="1"/>
  <c r="Z1137" i="1"/>
  <c r="Z1138" i="1"/>
  <c r="Z1139" i="1"/>
  <c r="Z1140" i="1"/>
  <c r="Z1141" i="1"/>
  <c r="Z1142" i="1"/>
  <c r="Z1143" i="1"/>
  <c r="Z1144" i="1"/>
  <c r="Z1145" i="1"/>
  <c r="Z1146" i="1"/>
  <c r="Z1147" i="1"/>
  <c r="Z1148" i="1"/>
  <c r="Z1149" i="1"/>
  <c r="Z1150" i="1"/>
  <c r="Z1151" i="1"/>
  <c r="Z1152" i="1"/>
  <c r="Z1153" i="1"/>
  <c r="Z1154" i="1"/>
  <c r="Z1155" i="1"/>
  <c r="Z1156" i="1"/>
  <c r="Z1157" i="1"/>
  <c r="Z1158" i="1"/>
  <c r="Z1159" i="1"/>
  <c r="Z1160" i="1"/>
  <c r="Z1161" i="1"/>
  <c r="Z1162" i="1"/>
  <c r="Z1163" i="1"/>
  <c r="Z1164" i="1"/>
  <c r="Z1165" i="1"/>
  <c r="Z1166" i="1"/>
  <c r="Z1167" i="1"/>
  <c r="Z1168" i="1"/>
  <c r="Z1169" i="1"/>
  <c r="Z1170" i="1"/>
  <c r="Z1171" i="1"/>
  <c r="Z1172" i="1"/>
  <c r="Z1173" i="1"/>
  <c r="Z1174" i="1"/>
  <c r="Z1175" i="1"/>
  <c r="Z1176" i="1"/>
  <c r="Z1177" i="1"/>
  <c r="Z1178" i="1"/>
  <c r="Z1179" i="1"/>
  <c r="Z1180" i="1"/>
  <c r="Z1181" i="1"/>
  <c r="Z1182" i="1"/>
  <c r="Z1183" i="1"/>
  <c r="Z1184" i="1"/>
  <c r="Z1185" i="1"/>
  <c r="Z1186" i="1"/>
  <c r="Z1187" i="1"/>
  <c r="Z1188" i="1"/>
  <c r="Z1189" i="1"/>
  <c r="Z1190" i="1"/>
  <c r="Z1191" i="1"/>
  <c r="Z1192" i="1"/>
  <c r="Z1193" i="1"/>
  <c r="Z1194" i="1"/>
  <c r="Z1195" i="1"/>
  <c r="Z1196" i="1"/>
  <c r="Z1197" i="1"/>
  <c r="Z1198" i="1"/>
  <c r="Z1199" i="1"/>
  <c r="Z1200" i="1"/>
  <c r="Z1201" i="1"/>
  <c r="Z1202" i="1"/>
  <c r="Z1203" i="1"/>
  <c r="Z1204" i="1"/>
  <c r="Z1205" i="1"/>
  <c r="Z1206" i="1"/>
  <c r="Z1207" i="1"/>
  <c r="Z1208" i="1"/>
  <c r="Z1209" i="1"/>
  <c r="Z1210" i="1"/>
  <c r="Z1211" i="1"/>
  <c r="Z1212" i="1"/>
  <c r="Z1213" i="1"/>
  <c r="Z1214" i="1"/>
  <c r="Z1215" i="1"/>
  <c r="Z1216" i="1"/>
  <c r="Z1217" i="1"/>
  <c r="Z1218" i="1"/>
  <c r="Z1219" i="1"/>
  <c r="Z1220" i="1"/>
  <c r="Z1221" i="1"/>
  <c r="Z1222" i="1"/>
  <c r="Z1223" i="1"/>
  <c r="Z1224" i="1"/>
  <c r="Z1225" i="1"/>
  <c r="Z1226" i="1"/>
  <c r="Z1227" i="1"/>
  <c r="Z1228" i="1"/>
  <c r="Z1229" i="1"/>
  <c r="Z1230" i="1"/>
  <c r="Z1231" i="1"/>
  <c r="Z1232" i="1"/>
  <c r="Z1233" i="1"/>
  <c r="Z1234" i="1"/>
  <c r="Z1235" i="1"/>
  <c r="Z1236" i="1"/>
  <c r="Z1237" i="1"/>
  <c r="Z1238" i="1"/>
  <c r="Z1239" i="1"/>
  <c r="Z1240" i="1"/>
  <c r="Z1241" i="1"/>
  <c r="Z1242" i="1"/>
  <c r="Z1243" i="1"/>
  <c r="Z1244" i="1"/>
  <c r="Z1245" i="1"/>
  <c r="Z1246" i="1"/>
  <c r="Z1247" i="1"/>
  <c r="Z1248" i="1"/>
  <c r="Z1249" i="1"/>
  <c r="Z1250" i="1"/>
  <c r="Z1251" i="1"/>
  <c r="Z1252" i="1"/>
  <c r="Z1253" i="1"/>
  <c r="Z1254" i="1"/>
  <c r="Z1255" i="1"/>
  <c r="Z1256" i="1"/>
  <c r="Z1257" i="1"/>
  <c r="Z1258" i="1"/>
  <c r="Z1259" i="1"/>
  <c r="Z1260" i="1"/>
  <c r="Z1261" i="1"/>
  <c r="Z1262" i="1"/>
  <c r="Z1263" i="1"/>
  <c r="Z1264" i="1"/>
  <c r="Z1265" i="1"/>
  <c r="Z1266" i="1"/>
  <c r="Z1267" i="1"/>
  <c r="Z1268" i="1"/>
  <c r="Z1269" i="1"/>
  <c r="Z1270" i="1"/>
  <c r="Z1271" i="1"/>
  <c r="Z1272" i="1"/>
  <c r="Z1273" i="1"/>
  <c r="Z1274" i="1"/>
  <c r="Z1275" i="1"/>
  <c r="Z1276" i="1"/>
  <c r="Z1277" i="1"/>
  <c r="Z1278" i="1"/>
  <c r="Z1279" i="1"/>
  <c r="Z1280" i="1"/>
  <c r="Z1281" i="1"/>
  <c r="Z1282" i="1"/>
  <c r="Z1283" i="1"/>
  <c r="Z1284" i="1"/>
  <c r="Z1285" i="1"/>
  <c r="Z1286" i="1"/>
  <c r="Z1287" i="1"/>
  <c r="Z1288" i="1"/>
  <c r="Z1289" i="1"/>
  <c r="Z1290" i="1"/>
  <c r="Z1291" i="1"/>
  <c r="Z1292" i="1"/>
  <c r="Z1293" i="1"/>
  <c r="Z1294" i="1"/>
  <c r="Z1295" i="1"/>
  <c r="Z1296" i="1"/>
  <c r="Z1297" i="1"/>
  <c r="Z1298" i="1"/>
  <c r="Z1299" i="1"/>
  <c r="Z1300" i="1"/>
  <c r="Z1301" i="1"/>
  <c r="Z1302" i="1"/>
  <c r="Z1303" i="1"/>
  <c r="Z1304" i="1"/>
  <c r="Z1305" i="1"/>
  <c r="Z1306" i="1"/>
  <c r="Z1307" i="1"/>
  <c r="Z1308" i="1"/>
  <c r="Z1309" i="1"/>
  <c r="Z1310" i="1"/>
  <c r="Z1311" i="1"/>
  <c r="Z1312" i="1"/>
  <c r="Z1313" i="1"/>
  <c r="Z1314" i="1"/>
  <c r="Z1315" i="1"/>
  <c r="Z1316" i="1"/>
  <c r="Z1317" i="1"/>
  <c r="Z1318" i="1"/>
  <c r="Z1319" i="1"/>
  <c r="Z1320" i="1"/>
  <c r="Z1321" i="1"/>
  <c r="Z1322" i="1"/>
  <c r="Z1323" i="1"/>
  <c r="Z1324" i="1"/>
  <c r="Z1325" i="1"/>
  <c r="Z1326" i="1"/>
  <c r="Z1327" i="1"/>
  <c r="Z1328" i="1"/>
  <c r="Z1329" i="1"/>
  <c r="Z1330" i="1"/>
  <c r="Z1331" i="1"/>
  <c r="Z1332" i="1"/>
  <c r="Z1333" i="1"/>
  <c r="Z1334" i="1"/>
  <c r="Z1335" i="1"/>
  <c r="Z1336" i="1"/>
  <c r="Z1337" i="1"/>
  <c r="Z1338" i="1"/>
  <c r="Z1339" i="1"/>
  <c r="Z1340" i="1"/>
  <c r="Z1341" i="1"/>
  <c r="Z1342" i="1"/>
  <c r="Z1343" i="1"/>
  <c r="Z1344" i="1"/>
  <c r="Z1345" i="1"/>
  <c r="Z1346" i="1"/>
  <c r="Z1347" i="1"/>
  <c r="Z1348" i="1"/>
  <c r="Z1349" i="1"/>
  <c r="Z1350" i="1"/>
  <c r="Z1351" i="1"/>
  <c r="Z1352" i="1"/>
  <c r="Z1353" i="1"/>
  <c r="Z1354" i="1"/>
  <c r="Z1355" i="1"/>
  <c r="Z1356" i="1"/>
  <c r="Z1357" i="1"/>
  <c r="Z1358" i="1"/>
  <c r="Z1359" i="1"/>
  <c r="Z1360" i="1"/>
  <c r="Z1361" i="1"/>
  <c r="Z1362" i="1"/>
  <c r="Z1363" i="1"/>
  <c r="Z1364" i="1"/>
  <c r="Z1365" i="1"/>
  <c r="Z1366" i="1"/>
  <c r="Z1367" i="1"/>
  <c r="Z1368" i="1"/>
  <c r="Z1369" i="1"/>
  <c r="Z1370" i="1"/>
  <c r="Z1371" i="1"/>
  <c r="Z1372" i="1"/>
  <c r="Z1373" i="1"/>
  <c r="Z1374" i="1"/>
  <c r="Z1375" i="1"/>
  <c r="Z1376" i="1"/>
  <c r="Z1377" i="1"/>
  <c r="Z1378" i="1"/>
  <c r="Z1379" i="1"/>
  <c r="Z1380" i="1"/>
  <c r="Z1381" i="1"/>
  <c r="Z1382" i="1"/>
  <c r="Z1383" i="1"/>
  <c r="Z1384" i="1"/>
  <c r="Z1385" i="1"/>
  <c r="Z1386" i="1"/>
  <c r="Z1387" i="1"/>
  <c r="Z1388" i="1"/>
  <c r="Z1389" i="1"/>
  <c r="Z1390" i="1"/>
  <c r="Z1391" i="1"/>
  <c r="Z1392" i="1"/>
  <c r="Z1393" i="1"/>
  <c r="Z1394" i="1"/>
  <c r="Z1395" i="1"/>
  <c r="Z1396" i="1"/>
  <c r="Z1397" i="1"/>
  <c r="Z1398" i="1"/>
  <c r="Z1399" i="1"/>
  <c r="Z1400" i="1"/>
  <c r="Z1401" i="1"/>
  <c r="Z1402" i="1"/>
  <c r="Z1403" i="1"/>
  <c r="Z1404" i="1"/>
  <c r="Z1405" i="1"/>
  <c r="Z1406" i="1"/>
  <c r="Z1407" i="1"/>
  <c r="Z1408" i="1"/>
  <c r="Z1409" i="1"/>
  <c r="Z1410" i="1"/>
  <c r="Z1411" i="1"/>
  <c r="Z1412" i="1"/>
  <c r="Z1413" i="1"/>
  <c r="Z1414" i="1"/>
  <c r="Z1415" i="1"/>
  <c r="Z1416" i="1"/>
  <c r="Z1417" i="1"/>
  <c r="Z1418" i="1"/>
  <c r="Z1419" i="1"/>
  <c r="Z1420" i="1"/>
  <c r="Z1421" i="1"/>
  <c r="Z1422" i="1"/>
  <c r="Z1423" i="1"/>
  <c r="Z1424" i="1"/>
  <c r="Z1425" i="1"/>
  <c r="Z1426" i="1"/>
  <c r="Z1427" i="1"/>
  <c r="Z1428" i="1"/>
  <c r="Z1429" i="1"/>
  <c r="Z1430" i="1"/>
  <c r="Z1431" i="1"/>
  <c r="Z1432" i="1"/>
  <c r="Z1433" i="1"/>
  <c r="Z1434" i="1"/>
  <c r="Z1435" i="1"/>
  <c r="Z1436" i="1"/>
  <c r="Z1437" i="1"/>
  <c r="Z1438" i="1"/>
  <c r="Z1439" i="1"/>
  <c r="Z1440" i="1"/>
  <c r="Z1441" i="1"/>
  <c r="Z1442" i="1"/>
  <c r="Z1443" i="1"/>
  <c r="Z1444" i="1"/>
  <c r="Z1445" i="1"/>
  <c r="Z1446" i="1"/>
  <c r="Z1447" i="1"/>
  <c r="Z1448" i="1"/>
  <c r="Z1449" i="1"/>
  <c r="Z1450" i="1"/>
  <c r="Z1451" i="1"/>
  <c r="Z1452" i="1"/>
  <c r="Z1453" i="1"/>
  <c r="Z1454" i="1"/>
  <c r="Z1455" i="1"/>
  <c r="Z1456" i="1"/>
  <c r="Z1457" i="1"/>
  <c r="Z1458" i="1"/>
  <c r="Z1459" i="1"/>
  <c r="Z1460" i="1"/>
  <c r="Z1461" i="1"/>
  <c r="Z1462" i="1"/>
  <c r="Z1463" i="1"/>
  <c r="Z1464" i="1"/>
  <c r="Z1465" i="1"/>
  <c r="Z1466" i="1"/>
  <c r="Z1467" i="1"/>
  <c r="Z1468" i="1"/>
  <c r="Z1469" i="1"/>
  <c r="Z1470" i="1"/>
  <c r="Z1471" i="1"/>
  <c r="Z1472" i="1"/>
  <c r="Z1473" i="1"/>
  <c r="Z1474" i="1"/>
  <c r="Z1475" i="1"/>
  <c r="Z1476" i="1"/>
  <c r="Z1477" i="1"/>
  <c r="Z1478" i="1"/>
  <c r="Z1479" i="1"/>
  <c r="Z1480" i="1"/>
  <c r="Z1481" i="1"/>
  <c r="Z1482" i="1"/>
  <c r="Z1483" i="1"/>
  <c r="Z1484" i="1"/>
  <c r="Z1485" i="1"/>
  <c r="Z1486" i="1"/>
  <c r="Z1487" i="1"/>
  <c r="Z1488" i="1"/>
  <c r="Z1489" i="1"/>
  <c r="Z1490" i="1"/>
  <c r="Z1491" i="1"/>
  <c r="Z1492" i="1"/>
  <c r="Z1493" i="1"/>
  <c r="Z1494" i="1"/>
  <c r="Z1495" i="1"/>
  <c r="Z1496" i="1"/>
  <c r="Z1497" i="1"/>
  <c r="Z1498" i="1"/>
  <c r="Z1499" i="1"/>
  <c r="Z1500" i="1"/>
  <c r="Z1501" i="1"/>
  <c r="Z1502" i="1"/>
  <c r="Z1503" i="1"/>
  <c r="Z1504" i="1"/>
  <c r="Z1505" i="1"/>
  <c r="Z1506" i="1"/>
  <c r="Z1507" i="1"/>
  <c r="Z1508" i="1"/>
  <c r="Z1509" i="1"/>
  <c r="Z1510" i="1"/>
  <c r="Z1511" i="1"/>
  <c r="Z1512" i="1"/>
  <c r="Z1513" i="1"/>
  <c r="Z1514" i="1"/>
  <c r="Z1515" i="1"/>
  <c r="Z1516" i="1"/>
  <c r="Z1517" i="1"/>
  <c r="Z1518" i="1"/>
  <c r="Z1519" i="1"/>
  <c r="Z1520" i="1"/>
  <c r="Z1521" i="1"/>
  <c r="Z1522" i="1"/>
  <c r="Z1523" i="1"/>
  <c r="Z1524" i="1"/>
  <c r="Z1525" i="1"/>
  <c r="Z1526" i="1"/>
  <c r="Z1527" i="1"/>
  <c r="Z1528" i="1"/>
  <c r="Z1529" i="1"/>
  <c r="Z1530" i="1"/>
  <c r="Z1531" i="1"/>
  <c r="Z1532" i="1"/>
  <c r="Z1533" i="1"/>
  <c r="Z1534" i="1"/>
  <c r="Z1535" i="1"/>
  <c r="Z1536" i="1"/>
  <c r="Z1537" i="1"/>
  <c r="Z1538" i="1"/>
  <c r="Z1539" i="1"/>
  <c r="Z1540" i="1"/>
  <c r="Z1541" i="1"/>
  <c r="Z1542" i="1"/>
  <c r="Z1543" i="1"/>
  <c r="Z1544" i="1"/>
  <c r="Z1545" i="1"/>
  <c r="Z1546" i="1"/>
  <c r="Z1547" i="1"/>
  <c r="Z1548" i="1"/>
  <c r="Z1549" i="1"/>
  <c r="Z1550" i="1"/>
  <c r="Z1551" i="1"/>
  <c r="Z1552" i="1"/>
  <c r="Z1553" i="1"/>
  <c r="Z1554" i="1"/>
  <c r="Z1555" i="1"/>
  <c r="Z1556" i="1"/>
  <c r="Z1557" i="1"/>
  <c r="Z1558" i="1"/>
  <c r="Z1559" i="1"/>
  <c r="Z1560" i="1"/>
  <c r="Z1561" i="1"/>
  <c r="Z1562" i="1"/>
  <c r="Z1563" i="1"/>
  <c r="Z1564" i="1"/>
  <c r="Z1565" i="1"/>
  <c r="Z1566" i="1"/>
  <c r="Z1567" i="1"/>
  <c r="Z1568" i="1"/>
  <c r="Z1569" i="1"/>
  <c r="Z1570" i="1"/>
  <c r="Z1571" i="1"/>
  <c r="Z1572" i="1"/>
  <c r="Z1573" i="1"/>
  <c r="Z1574" i="1"/>
  <c r="Z1575" i="1"/>
  <c r="Z1576" i="1"/>
  <c r="Z1577" i="1"/>
  <c r="Z1578" i="1"/>
  <c r="Z1579" i="1"/>
  <c r="Z1580" i="1"/>
  <c r="Z1581" i="1"/>
  <c r="Z1582" i="1"/>
  <c r="Z1583" i="1"/>
  <c r="Z1584" i="1"/>
  <c r="Z1585" i="1"/>
  <c r="Z1586" i="1"/>
  <c r="Z1587" i="1"/>
  <c r="Z1588" i="1"/>
  <c r="Z1589" i="1"/>
  <c r="Z1590" i="1"/>
  <c r="Z1591" i="1"/>
  <c r="Z1592" i="1"/>
  <c r="Z1593" i="1"/>
  <c r="Z1594" i="1"/>
  <c r="Z1595" i="1"/>
  <c r="Z1596" i="1"/>
  <c r="Z1597" i="1"/>
  <c r="Z1598" i="1"/>
  <c r="Z1599" i="1"/>
  <c r="Z1600" i="1"/>
  <c r="Z1601" i="1"/>
  <c r="Z1602" i="1"/>
  <c r="Z1603" i="1"/>
  <c r="Z1604" i="1"/>
  <c r="Z1605" i="1"/>
  <c r="Z1606" i="1"/>
  <c r="Z1607" i="1"/>
  <c r="Z1608" i="1"/>
  <c r="Z1609" i="1"/>
  <c r="Z1610" i="1"/>
  <c r="Z1611" i="1"/>
  <c r="Z1612" i="1"/>
  <c r="Z1613" i="1"/>
  <c r="Z1614" i="1"/>
  <c r="Z1615" i="1"/>
  <c r="Z1616" i="1"/>
  <c r="Z1617" i="1"/>
  <c r="Z1618" i="1"/>
  <c r="Z1619" i="1"/>
  <c r="Z1620" i="1"/>
  <c r="Z1621" i="1"/>
  <c r="Z1622" i="1"/>
  <c r="Z1623" i="1"/>
  <c r="Z1624" i="1"/>
  <c r="Z1625" i="1"/>
  <c r="Z1626" i="1"/>
  <c r="Z1627" i="1"/>
  <c r="Z1628" i="1"/>
  <c r="Z1629" i="1"/>
  <c r="Z1630" i="1"/>
  <c r="Z1631" i="1"/>
  <c r="Z1632" i="1"/>
  <c r="Z1633" i="1"/>
  <c r="Z1634" i="1"/>
  <c r="Z1635" i="1"/>
  <c r="Z1636" i="1"/>
  <c r="Z1637" i="1"/>
  <c r="Z1638" i="1"/>
  <c r="Z1639" i="1"/>
  <c r="Z1640" i="1"/>
  <c r="Z1641" i="1"/>
  <c r="Z1642" i="1"/>
  <c r="Z1643" i="1"/>
  <c r="Z1644" i="1"/>
  <c r="Z1645" i="1"/>
  <c r="Z1646" i="1"/>
  <c r="Z1647" i="1"/>
  <c r="Z1648" i="1"/>
  <c r="Z1649" i="1"/>
  <c r="Z1650" i="1"/>
  <c r="Z1651" i="1"/>
  <c r="Z1652" i="1"/>
  <c r="Z1653" i="1"/>
  <c r="Z1654" i="1"/>
  <c r="Z1655" i="1"/>
  <c r="Z1656" i="1"/>
  <c r="Z1657" i="1"/>
  <c r="Z1658" i="1"/>
  <c r="Z1659" i="1"/>
  <c r="Z1660" i="1"/>
  <c r="Z1661" i="1"/>
  <c r="Z1662" i="1"/>
  <c r="Z1663" i="1"/>
  <c r="Z1664" i="1"/>
  <c r="Z1665" i="1"/>
  <c r="Z1666" i="1"/>
  <c r="Z1667" i="1"/>
  <c r="Z1668" i="1"/>
  <c r="Z1669" i="1"/>
  <c r="Z1670" i="1"/>
  <c r="Z1671" i="1"/>
  <c r="Z1672" i="1"/>
  <c r="Z1673" i="1"/>
  <c r="Z1674" i="1"/>
  <c r="Z1675" i="1"/>
  <c r="Z1676" i="1"/>
  <c r="Z1677" i="1"/>
  <c r="Z1678" i="1"/>
  <c r="Z1679" i="1"/>
  <c r="Z1680" i="1"/>
  <c r="Z1681" i="1"/>
  <c r="Z1682" i="1"/>
  <c r="Z1683" i="1"/>
  <c r="Z1684" i="1"/>
  <c r="Z1685" i="1"/>
  <c r="Z1686" i="1"/>
  <c r="Z1687" i="1"/>
  <c r="Z1688" i="1"/>
  <c r="Z1689" i="1"/>
  <c r="Z1690" i="1"/>
  <c r="Z1691" i="1"/>
  <c r="Z1692" i="1"/>
  <c r="Z1693" i="1"/>
  <c r="Z1694" i="1"/>
  <c r="Z1695" i="1"/>
  <c r="Z1696" i="1"/>
  <c r="Z1697" i="1"/>
  <c r="Z1698" i="1"/>
  <c r="Z1699" i="1"/>
  <c r="Z1700" i="1"/>
  <c r="Z1701" i="1"/>
  <c r="Z1702" i="1"/>
  <c r="Z1703" i="1"/>
  <c r="Z1704" i="1"/>
  <c r="Z1705" i="1"/>
  <c r="Z1706" i="1"/>
  <c r="Z1707" i="1"/>
  <c r="Z1708" i="1"/>
  <c r="Z1709" i="1"/>
  <c r="Z1710" i="1"/>
  <c r="Z1711" i="1"/>
  <c r="Z1712" i="1"/>
  <c r="Z1713" i="1"/>
  <c r="Z1714" i="1"/>
  <c r="Z1715" i="1"/>
  <c r="Z1716" i="1"/>
  <c r="Z1717" i="1"/>
  <c r="Z1718" i="1"/>
  <c r="Z1719" i="1"/>
  <c r="Z1720" i="1"/>
  <c r="Z1721" i="1"/>
  <c r="Z1722" i="1"/>
  <c r="Z1723" i="1"/>
  <c r="Z1724" i="1"/>
  <c r="Z1725" i="1"/>
  <c r="Z1726" i="1"/>
  <c r="Z1727" i="1"/>
  <c r="Z1728" i="1"/>
  <c r="Z1729" i="1"/>
  <c r="Z1730" i="1"/>
  <c r="Z1731" i="1"/>
  <c r="Z1732" i="1"/>
  <c r="Z1733" i="1"/>
  <c r="Z1734" i="1"/>
  <c r="Z1735" i="1"/>
  <c r="Z1736" i="1"/>
  <c r="Z1737" i="1"/>
  <c r="Z1738" i="1"/>
  <c r="Z1739" i="1"/>
  <c r="Z1740" i="1"/>
  <c r="Z1741" i="1"/>
  <c r="Z1742" i="1"/>
  <c r="Z1743" i="1"/>
  <c r="Z1744" i="1"/>
  <c r="Z1745" i="1"/>
  <c r="Z1746" i="1"/>
  <c r="Z1747" i="1"/>
  <c r="Z1748" i="1"/>
  <c r="Z1749" i="1"/>
  <c r="Z1750" i="1"/>
  <c r="Z1751" i="1"/>
  <c r="Z1752" i="1"/>
  <c r="Z1753" i="1"/>
  <c r="Z1754" i="1"/>
  <c r="Z1755" i="1"/>
  <c r="Z1756" i="1"/>
  <c r="Z1757" i="1"/>
  <c r="Z1758" i="1"/>
  <c r="Z1759" i="1"/>
  <c r="Z1760" i="1"/>
  <c r="Z1761" i="1"/>
  <c r="Z1762" i="1"/>
  <c r="Z1763" i="1"/>
  <c r="Z1764" i="1"/>
  <c r="Z1765" i="1"/>
  <c r="Z1766" i="1"/>
  <c r="Z1767" i="1"/>
  <c r="Z1768" i="1"/>
  <c r="Z1769" i="1"/>
  <c r="Z1770" i="1"/>
  <c r="Z1771" i="1"/>
  <c r="Z1772" i="1"/>
  <c r="Z1773" i="1"/>
  <c r="Z1774" i="1"/>
  <c r="Z1775" i="1"/>
  <c r="Z1776" i="1"/>
  <c r="Z1777" i="1"/>
  <c r="Z1778" i="1"/>
  <c r="Z1779" i="1"/>
  <c r="Z1780" i="1"/>
  <c r="Z1781" i="1"/>
  <c r="Z1782" i="1"/>
  <c r="Z1783" i="1"/>
  <c r="Z1784" i="1"/>
  <c r="Z1785" i="1"/>
  <c r="Z1786" i="1"/>
  <c r="Z1787" i="1"/>
  <c r="Z1788" i="1"/>
  <c r="Z1789" i="1"/>
  <c r="Z1790" i="1"/>
  <c r="Z1791" i="1"/>
  <c r="Z1792" i="1"/>
  <c r="Z1793" i="1"/>
  <c r="Z1794" i="1"/>
  <c r="Z1795" i="1"/>
  <c r="Z1796" i="1"/>
  <c r="Z1797" i="1"/>
  <c r="Z1798" i="1"/>
  <c r="Z1799" i="1"/>
  <c r="Z1800" i="1"/>
  <c r="Z1801" i="1"/>
  <c r="Z1802" i="1"/>
  <c r="Z1803" i="1"/>
  <c r="Z1804" i="1"/>
  <c r="Z1805" i="1"/>
  <c r="Z1806" i="1"/>
  <c r="Z1807" i="1"/>
  <c r="Z1808" i="1"/>
  <c r="Z1809" i="1"/>
  <c r="Z1810" i="1"/>
  <c r="Z1811" i="1"/>
  <c r="Z1812" i="1"/>
  <c r="Z1813" i="1"/>
  <c r="Z1814" i="1"/>
  <c r="Z1815" i="1"/>
  <c r="Z1816" i="1"/>
  <c r="Z1817" i="1"/>
  <c r="Z1818" i="1"/>
  <c r="Z1819" i="1"/>
  <c r="Z1820" i="1"/>
  <c r="Z1821" i="1"/>
  <c r="Z1822" i="1"/>
  <c r="Z1823" i="1"/>
  <c r="Z1824" i="1"/>
  <c r="Z1825" i="1"/>
  <c r="Z1826" i="1"/>
  <c r="Z1827" i="1"/>
  <c r="Z1828" i="1"/>
  <c r="Z1829" i="1"/>
  <c r="Z1830" i="1"/>
  <c r="Z1831" i="1"/>
  <c r="Z1832" i="1"/>
  <c r="Z1833" i="1"/>
  <c r="Z1834" i="1"/>
  <c r="Z1835" i="1"/>
  <c r="Z1836" i="1"/>
  <c r="Z1837" i="1"/>
  <c r="Z1838" i="1"/>
  <c r="Z1839" i="1"/>
  <c r="Z1840" i="1"/>
  <c r="Z1841" i="1"/>
  <c r="Z1842" i="1"/>
  <c r="Z1843" i="1"/>
  <c r="Z1844" i="1"/>
  <c r="Z1845" i="1"/>
  <c r="Z1846" i="1"/>
  <c r="Z1847" i="1"/>
  <c r="Z1848" i="1"/>
  <c r="Z1849" i="1"/>
  <c r="Z1850" i="1"/>
  <c r="Z1851" i="1"/>
  <c r="Z1852" i="1"/>
  <c r="Z1853" i="1"/>
  <c r="Z1854" i="1"/>
  <c r="Z1855" i="1"/>
  <c r="Z1856" i="1"/>
  <c r="Z1857" i="1"/>
  <c r="Z1858" i="1"/>
  <c r="Z1859" i="1"/>
  <c r="Z1860" i="1"/>
  <c r="Z1861" i="1"/>
  <c r="Z1862" i="1"/>
  <c r="Z1863" i="1"/>
  <c r="Z1864" i="1"/>
  <c r="Z1865" i="1"/>
  <c r="Z1866" i="1"/>
  <c r="Z1867" i="1"/>
  <c r="Z1868" i="1"/>
  <c r="Z1869" i="1"/>
  <c r="Z1870" i="1"/>
  <c r="Z1871" i="1"/>
  <c r="Z1872" i="1"/>
  <c r="Z1873" i="1"/>
  <c r="Z1874" i="1"/>
  <c r="Z1875" i="1"/>
  <c r="Z1876" i="1"/>
  <c r="Z1877" i="1"/>
  <c r="Z1878" i="1"/>
  <c r="Z1879" i="1"/>
  <c r="Z1880" i="1"/>
  <c r="Z1881" i="1"/>
  <c r="Z1882" i="1"/>
  <c r="Z1883" i="1"/>
  <c r="Z1884" i="1"/>
  <c r="Z1885" i="1"/>
  <c r="Z1886" i="1"/>
  <c r="Z1887" i="1"/>
  <c r="Z1888" i="1"/>
  <c r="Z1889" i="1"/>
  <c r="Z1890" i="1"/>
  <c r="Z1891" i="1"/>
  <c r="Z1892" i="1"/>
  <c r="Z1893" i="1"/>
  <c r="Z1894" i="1"/>
  <c r="Z1895" i="1"/>
  <c r="Z1896" i="1"/>
  <c r="Z1897" i="1"/>
  <c r="Z1898" i="1"/>
  <c r="Z1899" i="1"/>
  <c r="Z1900" i="1"/>
  <c r="Z1901" i="1"/>
  <c r="Z1902" i="1"/>
  <c r="Z1903" i="1"/>
  <c r="Z1904" i="1"/>
  <c r="Z1905" i="1"/>
  <c r="Z1906" i="1"/>
  <c r="Z1907" i="1"/>
  <c r="Z1908" i="1"/>
  <c r="Z1909" i="1"/>
  <c r="Z1910" i="1"/>
  <c r="Z1911" i="1"/>
  <c r="Z1912" i="1"/>
  <c r="Z1913" i="1"/>
  <c r="Z1914" i="1"/>
  <c r="Z1915" i="1"/>
  <c r="Z1916" i="1"/>
  <c r="Z1917" i="1"/>
  <c r="Z1918" i="1"/>
  <c r="Z1919" i="1"/>
  <c r="Z1920" i="1"/>
  <c r="Z1921" i="1"/>
  <c r="Z1922" i="1"/>
  <c r="Z1923" i="1"/>
  <c r="Z1924" i="1"/>
  <c r="Z1925" i="1"/>
  <c r="Z1926" i="1"/>
  <c r="Z1927" i="1"/>
  <c r="Z1928" i="1"/>
  <c r="Z1929" i="1"/>
  <c r="Z1930" i="1"/>
  <c r="Z1931" i="1"/>
  <c r="Z1932" i="1"/>
  <c r="Z1933" i="1"/>
  <c r="Z1934" i="1"/>
  <c r="Z1935" i="1"/>
  <c r="Z1936" i="1"/>
  <c r="Z1937" i="1"/>
  <c r="Z1938" i="1"/>
  <c r="Z1939" i="1"/>
  <c r="Z1940" i="1"/>
  <c r="Z1941" i="1"/>
  <c r="Z1942" i="1"/>
  <c r="Z1943" i="1"/>
  <c r="Z1944" i="1"/>
  <c r="Z1945" i="1"/>
  <c r="Z1946" i="1"/>
  <c r="Z1947" i="1"/>
  <c r="Z1948" i="1"/>
  <c r="Z1949" i="1"/>
  <c r="Z1950" i="1"/>
  <c r="Z1951" i="1"/>
  <c r="Z1952" i="1"/>
  <c r="Z1953" i="1"/>
  <c r="Z1954" i="1"/>
  <c r="Z1955" i="1"/>
  <c r="Z1956" i="1"/>
  <c r="Z1957" i="1"/>
  <c r="Z1958" i="1"/>
  <c r="Z1959" i="1"/>
  <c r="Z1960" i="1"/>
  <c r="Z1961" i="1"/>
  <c r="Z1962" i="1"/>
  <c r="Z1963" i="1"/>
  <c r="Z1964" i="1"/>
  <c r="Z1965" i="1"/>
  <c r="Z1966" i="1"/>
  <c r="Z1967" i="1"/>
  <c r="Z1968" i="1"/>
  <c r="Z1969" i="1"/>
  <c r="Z1970" i="1"/>
  <c r="Z1971" i="1"/>
  <c r="Z1972" i="1"/>
  <c r="Z1973" i="1"/>
  <c r="Z1974" i="1"/>
  <c r="Z1975" i="1"/>
  <c r="Z1976" i="1"/>
  <c r="Z1977" i="1"/>
  <c r="Z1978" i="1"/>
  <c r="Z1979" i="1"/>
  <c r="Z1980" i="1"/>
  <c r="Z1981" i="1"/>
  <c r="Z1982" i="1"/>
  <c r="Z1983" i="1"/>
  <c r="Z1984" i="1"/>
  <c r="Z1985" i="1"/>
  <c r="Z1986" i="1"/>
  <c r="Z1987" i="1"/>
  <c r="Z1988" i="1"/>
  <c r="Z1989" i="1"/>
  <c r="Z1990" i="1"/>
  <c r="Z1991" i="1"/>
  <c r="Z1992" i="1"/>
  <c r="Z1993" i="1"/>
  <c r="Z1994" i="1"/>
  <c r="Z1995" i="1"/>
  <c r="Z1996" i="1"/>
  <c r="Z1997" i="1"/>
  <c r="Z1998" i="1"/>
  <c r="Z1999" i="1"/>
  <c r="Z2000" i="1"/>
  <c r="Z2001" i="1"/>
  <c r="Y2" i="1" a="1"/>
  <c r="Y2" i="1" s="1"/>
  <c r="Y3" i="1" a="1"/>
  <c r="Y3" i="1" s="1"/>
  <c r="Y4" i="1" a="1"/>
  <c r="Y4" i="1" s="1"/>
  <c r="Y5" i="1" a="1"/>
  <c r="Y5" i="1" s="1"/>
  <c r="Y6" i="1" a="1"/>
  <c r="Y6" i="1" s="1"/>
  <c r="Y7" i="1" a="1"/>
  <c r="Y7" i="1" s="1"/>
  <c r="Y8" i="1" a="1"/>
  <c r="Y8" i="1" s="1"/>
  <c r="Y9" i="1" a="1"/>
  <c r="Y9" i="1" s="1"/>
  <c r="Y10" i="1" a="1"/>
  <c r="Y10" i="1" s="1"/>
  <c r="Y11" i="1" a="1"/>
  <c r="Y11" i="1" s="1"/>
  <c r="Y12" i="1" a="1"/>
  <c r="Y12" i="1" s="1"/>
  <c r="Y13" i="1" a="1"/>
  <c r="Y13" i="1" s="1"/>
  <c r="Y14" i="1" a="1"/>
  <c r="Y14" i="1" s="1"/>
  <c r="Y15" i="1" a="1"/>
  <c r="Y15" i="1" s="1"/>
  <c r="Y16" i="1" a="1"/>
  <c r="Y16" i="1" s="1"/>
  <c r="Y17" i="1" a="1"/>
  <c r="Y17" i="1" s="1"/>
  <c r="Y18" i="1" a="1"/>
  <c r="Y18" i="1" s="1"/>
  <c r="Y19" i="1" a="1"/>
  <c r="Y19" i="1" s="1"/>
  <c r="Y20" i="1" a="1"/>
  <c r="Y20" i="1" s="1"/>
  <c r="Y21" i="1" a="1"/>
  <c r="Y21" i="1" s="1"/>
  <c r="Y22" i="1" a="1"/>
  <c r="Y22" i="1" s="1"/>
  <c r="Y23" i="1" a="1"/>
  <c r="Y23" i="1" s="1"/>
  <c r="Y24" i="1" a="1"/>
  <c r="Y24" i="1" s="1"/>
  <c r="Y25" i="1" a="1"/>
  <c r="Y25" i="1" s="1"/>
  <c r="Y26" i="1" a="1"/>
  <c r="Y26" i="1" s="1"/>
  <c r="Y27" i="1" a="1"/>
  <c r="Y27" i="1" s="1"/>
  <c r="Y28" i="1" a="1"/>
  <c r="Y28" i="1" s="1"/>
  <c r="Y29" i="1" a="1"/>
  <c r="Y29" i="1" s="1"/>
  <c r="Y30" i="1" a="1"/>
  <c r="Y30" i="1" s="1"/>
  <c r="Y31" i="1" a="1"/>
  <c r="Y31" i="1" s="1"/>
  <c r="Y32" i="1" a="1"/>
  <c r="Y32" i="1" s="1"/>
  <c r="Y33" i="1" a="1"/>
  <c r="Y33" i="1" s="1"/>
  <c r="Y34" i="1" a="1"/>
  <c r="Y34" i="1" s="1"/>
  <c r="Y35" i="1" a="1"/>
  <c r="Y35" i="1" s="1"/>
  <c r="Y36" i="1" a="1"/>
  <c r="Y36" i="1" s="1"/>
  <c r="Y37" i="1" a="1"/>
  <c r="Y37" i="1" s="1"/>
  <c r="Y38" i="1" a="1"/>
  <c r="Y38" i="1" s="1"/>
  <c r="Y39" i="1" a="1"/>
  <c r="Y39" i="1" s="1"/>
  <c r="Y40" i="1" a="1"/>
  <c r="Y40" i="1" s="1"/>
  <c r="Y41" i="1" a="1"/>
  <c r="Y41" i="1" s="1"/>
  <c r="Y42" i="1" a="1"/>
  <c r="Y42" i="1" s="1"/>
  <c r="Y43" i="1" a="1"/>
  <c r="Y43" i="1" s="1"/>
  <c r="Y44" i="1" a="1"/>
  <c r="Y44" i="1" s="1"/>
  <c r="Y45" i="1" a="1"/>
  <c r="Y45" i="1" s="1"/>
  <c r="Y46" i="1" a="1"/>
  <c r="Y46" i="1" s="1"/>
  <c r="Y47" i="1" a="1"/>
  <c r="Y47" i="1" s="1"/>
  <c r="Y48" i="1" a="1"/>
  <c r="Y48" i="1" s="1"/>
  <c r="Y49" i="1" a="1"/>
  <c r="Y49" i="1" s="1"/>
  <c r="Y50" i="1" a="1"/>
  <c r="Y50" i="1" s="1"/>
  <c r="Y51" i="1" a="1"/>
  <c r="Y51" i="1" s="1"/>
  <c r="Y52" i="1" a="1"/>
  <c r="Y52" i="1" s="1"/>
  <c r="Y53" i="1" a="1"/>
  <c r="Y53" i="1" s="1"/>
  <c r="Y54" i="1" a="1"/>
  <c r="Y54" i="1" s="1"/>
  <c r="Y55" i="1" a="1"/>
  <c r="Y55" i="1" s="1"/>
  <c r="Y56" i="1" a="1"/>
  <c r="Y56" i="1" s="1"/>
  <c r="Y57" i="1" a="1"/>
  <c r="Y57" i="1" s="1"/>
  <c r="Y58" i="1" a="1"/>
  <c r="Y58" i="1" s="1"/>
  <c r="Y59" i="1" a="1"/>
  <c r="Y59" i="1" s="1"/>
  <c r="Y60" i="1" a="1"/>
  <c r="Y60" i="1" s="1"/>
  <c r="Y61" i="1" a="1"/>
  <c r="Y61" i="1" s="1"/>
  <c r="Y62" i="1" a="1"/>
  <c r="Y62" i="1" s="1"/>
  <c r="Y63" i="1" a="1"/>
  <c r="Y63" i="1" s="1"/>
  <c r="Y64" i="1" a="1"/>
  <c r="Y64" i="1" s="1"/>
  <c r="Y65" i="1" a="1"/>
  <c r="Y65" i="1" s="1"/>
  <c r="Y66" i="1" a="1"/>
  <c r="Y66" i="1" s="1"/>
  <c r="Y67" i="1" a="1"/>
  <c r="Y67" i="1" s="1"/>
  <c r="Y68" i="1" a="1"/>
  <c r="Y68" i="1" s="1"/>
  <c r="Y69" i="1" a="1"/>
  <c r="Y69" i="1" s="1"/>
  <c r="Y70" i="1" a="1"/>
  <c r="Y70" i="1" s="1"/>
  <c r="Y71" i="1" a="1"/>
  <c r="Y71" i="1" s="1"/>
  <c r="Y72" i="1" a="1"/>
  <c r="Y72" i="1" s="1"/>
  <c r="Y73" i="1" a="1"/>
  <c r="Y73" i="1" s="1"/>
  <c r="Y74" i="1" a="1"/>
  <c r="Y74" i="1" s="1"/>
  <c r="Y75" i="1" a="1"/>
  <c r="Y75" i="1" s="1"/>
  <c r="Y76" i="1" a="1"/>
  <c r="Y76" i="1" s="1"/>
  <c r="Y77" i="1" a="1"/>
  <c r="Y77" i="1" s="1"/>
  <c r="Y78" i="1" a="1"/>
  <c r="Y78" i="1" s="1"/>
  <c r="Y79" i="1" a="1"/>
  <c r="Y79" i="1" s="1"/>
  <c r="Y80" i="1" a="1"/>
  <c r="Y80" i="1" s="1"/>
  <c r="Y81" i="1" a="1"/>
  <c r="Y81" i="1" s="1"/>
  <c r="Y82" i="1" a="1"/>
  <c r="Y82" i="1" s="1"/>
  <c r="Y83" i="1" a="1"/>
  <c r="Y83" i="1" s="1"/>
  <c r="Y84" i="1" a="1"/>
  <c r="Y84" i="1" s="1"/>
  <c r="Y85" i="1" a="1"/>
  <c r="Y85" i="1" s="1"/>
  <c r="Y86" i="1" a="1"/>
  <c r="Y86" i="1" s="1"/>
  <c r="Y87" i="1" a="1"/>
  <c r="Y87" i="1" s="1"/>
  <c r="Y88" i="1" a="1"/>
  <c r="Y88" i="1" s="1"/>
  <c r="Y89" i="1" a="1"/>
  <c r="Y89" i="1" s="1"/>
  <c r="Y90" i="1" a="1"/>
  <c r="Y90" i="1" s="1"/>
  <c r="Y91" i="1" a="1"/>
  <c r="Y91" i="1" s="1"/>
  <c r="Y92" i="1" a="1"/>
  <c r="Y92" i="1" s="1"/>
  <c r="Y93" i="1" a="1"/>
  <c r="Y93" i="1" s="1"/>
  <c r="Y94" i="1" a="1"/>
  <c r="Y94" i="1" s="1"/>
  <c r="Y95" i="1" a="1"/>
  <c r="Y95" i="1" s="1"/>
  <c r="Y96" i="1" a="1"/>
  <c r="Y96" i="1" s="1"/>
  <c r="Y97" i="1" a="1"/>
  <c r="Y97" i="1" s="1"/>
  <c r="Y98" i="1" a="1"/>
  <c r="Y98" i="1" s="1"/>
  <c r="Y99" i="1" a="1"/>
  <c r="Y99" i="1" s="1"/>
  <c r="Y100" i="1" a="1"/>
  <c r="Y100" i="1" s="1"/>
  <c r="Y101" i="1" a="1"/>
  <c r="Y101" i="1" s="1"/>
  <c r="Y102" i="1" a="1"/>
  <c r="Y102" i="1" s="1"/>
  <c r="Y103" i="1" a="1"/>
  <c r="Y103" i="1" s="1"/>
  <c r="Y104" i="1" a="1"/>
  <c r="Y104" i="1" s="1"/>
  <c r="Y105" i="1" a="1"/>
  <c r="Y105" i="1" s="1"/>
  <c r="Y106" i="1" a="1"/>
  <c r="Y106" i="1" s="1"/>
  <c r="Y107" i="1" a="1"/>
  <c r="Y107" i="1" s="1"/>
  <c r="Y108" i="1" a="1"/>
  <c r="Y108" i="1" s="1"/>
  <c r="Y109" i="1" a="1"/>
  <c r="Y109" i="1" s="1"/>
  <c r="Y110" i="1" a="1"/>
  <c r="Y110" i="1" s="1"/>
  <c r="Y111" i="1" a="1"/>
  <c r="Y111" i="1" s="1"/>
  <c r="Y112" i="1" a="1"/>
  <c r="Y112" i="1" s="1"/>
  <c r="Y113" i="1" a="1"/>
  <c r="Y113" i="1" s="1"/>
  <c r="Y114" i="1" a="1"/>
  <c r="Y114" i="1" s="1"/>
  <c r="Y115" i="1" a="1"/>
  <c r="Y115" i="1" s="1"/>
  <c r="Y116" i="1" a="1"/>
  <c r="Y116" i="1" s="1"/>
  <c r="Y117" i="1" a="1"/>
  <c r="Y117" i="1" s="1"/>
  <c r="Y118" i="1" a="1"/>
  <c r="Y118" i="1" s="1"/>
  <c r="Y119" i="1" a="1"/>
  <c r="Y119" i="1" s="1"/>
  <c r="Y120" i="1" a="1"/>
  <c r="Y120" i="1" s="1"/>
  <c r="Y121" i="1" a="1"/>
  <c r="Y121" i="1" s="1"/>
  <c r="Y122" i="1" a="1"/>
  <c r="Y122" i="1" s="1"/>
  <c r="Y123" i="1" a="1"/>
  <c r="Y123" i="1" s="1"/>
  <c r="Y124" i="1" a="1"/>
  <c r="Y124" i="1" s="1"/>
  <c r="Y125" i="1" a="1"/>
  <c r="Y125" i="1" s="1"/>
  <c r="Y126" i="1" a="1"/>
  <c r="Y126" i="1" s="1"/>
  <c r="Y127" i="1" a="1"/>
  <c r="Y127" i="1" s="1"/>
  <c r="Y128" i="1" a="1"/>
  <c r="Y128" i="1" s="1"/>
  <c r="Y129" i="1" a="1"/>
  <c r="Y129" i="1" s="1"/>
  <c r="Y130" i="1" a="1"/>
  <c r="Y130" i="1" s="1"/>
  <c r="Y131" i="1" a="1"/>
  <c r="Y131" i="1" s="1"/>
  <c r="Y132" i="1" a="1"/>
  <c r="Y132" i="1" s="1"/>
  <c r="Y133" i="1" a="1"/>
  <c r="Y133" i="1" s="1"/>
  <c r="Y134" i="1" a="1"/>
  <c r="Y134" i="1" s="1"/>
  <c r="Y135" i="1" a="1"/>
  <c r="Y135" i="1" s="1"/>
  <c r="Y136" i="1" a="1"/>
  <c r="Y136" i="1" s="1"/>
  <c r="Y137" i="1" a="1"/>
  <c r="Y137" i="1" s="1"/>
  <c r="Y138" i="1" a="1"/>
  <c r="Y138" i="1" s="1"/>
  <c r="Y139" i="1" a="1"/>
  <c r="Y139" i="1" s="1"/>
  <c r="Y140" i="1" a="1"/>
  <c r="Y140" i="1" s="1"/>
  <c r="Y141" i="1" a="1"/>
  <c r="Y141" i="1" s="1"/>
  <c r="Y142" i="1" a="1"/>
  <c r="Y142" i="1" s="1"/>
  <c r="Y143" i="1" a="1"/>
  <c r="Y143" i="1" s="1"/>
  <c r="Y144" i="1" a="1"/>
  <c r="Y144" i="1" s="1"/>
  <c r="Y145" i="1" a="1"/>
  <c r="Y145" i="1" s="1"/>
  <c r="Y146" i="1" a="1"/>
  <c r="Y146" i="1" s="1"/>
  <c r="Y147" i="1" a="1"/>
  <c r="Y147" i="1" s="1"/>
  <c r="Y148" i="1" a="1"/>
  <c r="Y148" i="1" s="1"/>
  <c r="Y149" i="1" a="1"/>
  <c r="Y149" i="1" s="1"/>
  <c r="Y150" i="1" a="1"/>
  <c r="Y150" i="1" s="1"/>
  <c r="Y151" i="1" a="1"/>
  <c r="Y151" i="1" s="1"/>
  <c r="Y152" i="1" a="1"/>
  <c r="Y152" i="1" s="1"/>
  <c r="Y153" i="1" a="1"/>
  <c r="Y153" i="1" s="1"/>
  <c r="Y154" i="1" a="1"/>
  <c r="Y154" i="1" s="1"/>
  <c r="Y155" i="1" a="1"/>
  <c r="Y155" i="1" s="1"/>
  <c r="Y156" i="1" a="1"/>
  <c r="Y156" i="1" s="1"/>
  <c r="Y157" i="1" a="1"/>
  <c r="Y157" i="1" s="1"/>
  <c r="Y158" i="1" a="1"/>
  <c r="Y158" i="1" s="1"/>
  <c r="Y159" i="1" a="1"/>
  <c r="Y159" i="1" s="1"/>
  <c r="Y160" i="1" a="1"/>
  <c r="Y160" i="1" s="1"/>
  <c r="Y161" i="1" a="1"/>
  <c r="Y161" i="1" s="1"/>
  <c r="Y162" i="1" a="1"/>
  <c r="Y162" i="1" s="1"/>
  <c r="Y163" i="1" a="1"/>
  <c r="Y163" i="1" s="1"/>
  <c r="Y164" i="1" a="1"/>
  <c r="Y164" i="1" s="1"/>
  <c r="Y165" i="1" a="1"/>
  <c r="Y165" i="1" s="1"/>
  <c r="Y166" i="1" a="1"/>
  <c r="Y166" i="1" s="1"/>
  <c r="Y167" i="1" a="1"/>
  <c r="Y167" i="1" s="1"/>
  <c r="Y168" i="1" a="1"/>
  <c r="Y168" i="1" s="1"/>
  <c r="Y169" i="1" a="1"/>
  <c r="Y169" i="1" s="1"/>
  <c r="Y170" i="1" a="1"/>
  <c r="Y170" i="1" s="1"/>
  <c r="Y171" i="1" a="1"/>
  <c r="Y171" i="1" s="1"/>
  <c r="Y172" i="1" a="1"/>
  <c r="Y172" i="1" s="1"/>
  <c r="Y173" i="1" a="1"/>
  <c r="Y173" i="1" s="1"/>
  <c r="Y174" i="1" a="1"/>
  <c r="Y174" i="1" s="1"/>
  <c r="Y175" i="1" a="1"/>
  <c r="Y175" i="1" s="1"/>
  <c r="Y176" i="1" a="1"/>
  <c r="Y176" i="1" s="1"/>
  <c r="Y177" i="1" a="1"/>
  <c r="Y177" i="1" s="1"/>
  <c r="Y178" i="1" a="1"/>
  <c r="Y178" i="1" s="1"/>
  <c r="Y179" i="1" a="1"/>
  <c r="Y179" i="1" s="1"/>
  <c r="Y180" i="1" a="1"/>
  <c r="Y180" i="1" s="1"/>
  <c r="Y181" i="1" a="1"/>
  <c r="Y181" i="1" s="1"/>
  <c r="Y182" i="1" a="1"/>
  <c r="Y182" i="1" s="1"/>
  <c r="Y183" i="1" a="1"/>
  <c r="Y183" i="1" s="1"/>
  <c r="Y184" i="1" a="1"/>
  <c r="Y184" i="1" s="1"/>
  <c r="Y185" i="1" a="1"/>
  <c r="Y185" i="1" s="1"/>
  <c r="Y186" i="1" a="1"/>
  <c r="Y186" i="1" s="1"/>
  <c r="Y187" i="1" a="1"/>
  <c r="Y187" i="1" s="1"/>
  <c r="Y188" i="1" a="1"/>
  <c r="Y188" i="1" s="1"/>
  <c r="Y189" i="1" a="1"/>
  <c r="Y189" i="1" s="1"/>
  <c r="Y190" i="1" a="1"/>
  <c r="Y190" i="1" s="1"/>
  <c r="Y191" i="1" a="1"/>
  <c r="Y191" i="1" s="1"/>
  <c r="Y192" i="1" a="1"/>
  <c r="Y192" i="1" s="1"/>
  <c r="Y193" i="1" a="1"/>
  <c r="Y193" i="1" s="1"/>
  <c r="Y194" i="1" a="1"/>
  <c r="Y194" i="1" s="1"/>
  <c r="Y195" i="1" a="1"/>
  <c r="Y195" i="1" s="1"/>
  <c r="Y196" i="1" a="1"/>
  <c r="Y196" i="1" s="1"/>
  <c r="Y197" i="1" a="1"/>
  <c r="Y197" i="1" s="1"/>
  <c r="Y198" i="1" a="1"/>
  <c r="Y198" i="1" s="1"/>
  <c r="Y199" i="1" a="1"/>
  <c r="Y199" i="1" s="1"/>
  <c r="Y200" i="1" a="1"/>
  <c r="Y200" i="1" s="1"/>
  <c r="Y201" i="1" a="1"/>
  <c r="Y201" i="1" s="1"/>
  <c r="Y202" i="1" a="1"/>
  <c r="Y202" i="1" s="1"/>
  <c r="Y203" i="1" a="1"/>
  <c r="Y203" i="1" s="1"/>
  <c r="Y204" i="1" a="1"/>
  <c r="Y204" i="1" s="1"/>
  <c r="Y205" i="1" a="1"/>
  <c r="Y205" i="1" s="1"/>
  <c r="Y206" i="1" a="1"/>
  <c r="Y206" i="1" s="1"/>
  <c r="Y207" i="1" a="1"/>
  <c r="Y207" i="1" s="1"/>
  <c r="Y208" i="1" a="1"/>
  <c r="Y208" i="1" s="1"/>
  <c r="Y209" i="1" a="1"/>
  <c r="Y209" i="1" s="1"/>
  <c r="Y210" i="1" a="1"/>
  <c r="Y210" i="1" s="1"/>
  <c r="Y211" i="1" a="1"/>
  <c r="Y211" i="1" s="1"/>
  <c r="Y212" i="1" a="1"/>
  <c r="Y212" i="1" s="1"/>
  <c r="Y213" i="1" a="1"/>
  <c r="Y213" i="1" s="1"/>
  <c r="Y214" i="1" a="1"/>
  <c r="Y214" i="1" s="1"/>
  <c r="Y215" i="1" a="1"/>
  <c r="Y215" i="1" s="1"/>
  <c r="Y216" i="1" a="1"/>
  <c r="Y216" i="1" s="1"/>
  <c r="Y217" i="1" a="1"/>
  <c r="Y217" i="1" s="1"/>
  <c r="Y218" i="1" a="1"/>
  <c r="Y218" i="1" s="1"/>
  <c r="Y219" i="1" a="1"/>
  <c r="Y219" i="1" s="1"/>
  <c r="Y220" i="1" a="1"/>
  <c r="Y220" i="1" s="1"/>
  <c r="Y221" i="1" a="1"/>
  <c r="Y221" i="1" s="1"/>
  <c r="Y222" i="1" a="1"/>
  <c r="Y222" i="1" s="1"/>
  <c r="Y223" i="1" a="1"/>
  <c r="Y223" i="1" s="1"/>
  <c r="Y224" i="1" a="1"/>
  <c r="Y224" i="1" s="1"/>
  <c r="Y225" i="1" a="1"/>
  <c r="Y225" i="1" s="1"/>
  <c r="Y226" i="1" a="1"/>
  <c r="Y226" i="1" s="1"/>
  <c r="Y227" i="1" a="1"/>
  <c r="Y227" i="1" s="1"/>
  <c r="Y228" i="1" a="1"/>
  <c r="Y228" i="1" s="1"/>
  <c r="Y229" i="1" a="1"/>
  <c r="Y229" i="1" s="1"/>
  <c r="Y230" i="1" a="1"/>
  <c r="Y230" i="1" s="1"/>
  <c r="Y231" i="1" a="1"/>
  <c r="Y231" i="1" s="1"/>
  <c r="Y232" i="1" a="1"/>
  <c r="Y232" i="1" s="1"/>
  <c r="Y233" i="1" a="1"/>
  <c r="Y233" i="1" s="1"/>
  <c r="Y234" i="1" a="1"/>
  <c r="Y234" i="1" s="1"/>
  <c r="Y235" i="1" a="1"/>
  <c r="Y235" i="1" s="1"/>
  <c r="Y236" i="1" a="1"/>
  <c r="Y236" i="1" s="1"/>
  <c r="Y237" i="1" a="1"/>
  <c r="Y237" i="1" s="1"/>
  <c r="Y238" i="1" a="1"/>
  <c r="Y238" i="1" s="1"/>
  <c r="Y239" i="1" a="1"/>
  <c r="Y239" i="1" s="1"/>
  <c r="Y240" i="1" a="1"/>
  <c r="Y240" i="1" s="1"/>
  <c r="Y241" i="1" a="1"/>
  <c r="Y241" i="1" s="1"/>
  <c r="Y242" i="1" a="1"/>
  <c r="Y242" i="1" s="1"/>
  <c r="Y243" i="1" a="1"/>
  <c r="Y243" i="1" s="1"/>
  <c r="Y244" i="1" a="1"/>
  <c r="Y244" i="1" s="1"/>
  <c r="Y245" i="1" a="1"/>
  <c r="Y245" i="1" s="1"/>
  <c r="Y246" i="1" a="1"/>
  <c r="Y246" i="1" s="1"/>
  <c r="Y247" i="1" a="1"/>
  <c r="Y247" i="1" s="1"/>
  <c r="Y248" i="1" a="1"/>
  <c r="Y248" i="1" s="1"/>
  <c r="Y249" i="1" a="1"/>
  <c r="Y249" i="1" s="1"/>
  <c r="Y250" i="1" a="1"/>
  <c r="Y250" i="1" s="1"/>
  <c r="Y251" i="1" a="1"/>
  <c r="Y251" i="1" s="1"/>
  <c r="Y252" i="1" a="1"/>
  <c r="Y252" i="1" s="1"/>
  <c r="Y253" i="1" a="1"/>
  <c r="Y253" i="1" s="1"/>
  <c r="Y254" i="1" a="1"/>
  <c r="Y254" i="1" s="1"/>
  <c r="Y255" i="1" a="1"/>
  <c r="Y255" i="1" s="1"/>
  <c r="Y256" i="1" a="1"/>
  <c r="Y256" i="1" s="1"/>
  <c r="Y257" i="1" a="1"/>
  <c r="Y257" i="1" s="1"/>
  <c r="Y258" i="1" a="1"/>
  <c r="Y258" i="1" s="1"/>
  <c r="Y259" i="1" a="1"/>
  <c r="Y259" i="1" s="1"/>
  <c r="Y260" i="1" a="1"/>
  <c r="Y260" i="1" s="1"/>
  <c r="Y261" i="1" a="1"/>
  <c r="Y261" i="1" s="1"/>
  <c r="Y262" i="1" a="1"/>
  <c r="Y262" i="1" s="1"/>
  <c r="Y263" i="1" a="1"/>
  <c r="Y263" i="1" s="1"/>
  <c r="Y264" i="1" a="1"/>
  <c r="Y264" i="1" s="1"/>
  <c r="Y265" i="1" a="1"/>
  <c r="Y265" i="1" s="1"/>
  <c r="Y266" i="1" a="1"/>
  <c r="Y266" i="1" s="1"/>
  <c r="Y267" i="1" a="1"/>
  <c r="Y267" i="1" s="1"/>
  <c r="Y268" i="1" a="1"/>
  <c r="Y268" i="1" s="1"/>
  <c r="Y269" i="1" a="1"/>
  <c r="Y269" i="1" s="1"/>
  <c r="Y270" i="1" a="1"/>
  <c r="Y270" i="1" s="1"/>
  <c r="Y271" i="1" a="1"/>
  <c r="Y271" i="1" s="1"/>
  <c r="Y272" i="1" a="1"/>
  <c r="Y272" i="1" s="1"/>
  <c r="Y273" i="1" a="1"/>
  <c r="Y273" i="1" s="1"/>
  <c r="Y274" i="1" a="1"/>
  <c r="Y274" i="1" s="1"/>
  <c r="Y275" i="1" a="1"/>
  <c r="Y275" i="1" s="1"/>
  <c r="Y276" i="1" a="1"/>
  <c r="Y276" i="1" s="1"/>
  <c r="Y277" i="1" a="1"/>
  <c r="Y277" i="1" s="1"/>
  <c r="Y278" i="1" a="1"/>
  <c r="Y278" i="1" s="1"/>
  <c r="Y279" i="1" a="1"/>
  <c r="Y279" i="1" s="1"/>
  <c r="Y280" i="1" a="1"/>
  <c r="Y280" i="1" s="1"/>
  <c r="Y281" i="1" a="1"/>
  <c r="Y281" i="1" s="1"/>
  <c r="Y282" i="1" a="1"/>
  <c r="Y282" i="1" s="1"/>
  <c r="Y283" i="1" a="1"/>
  <c r="Y283" i="1" s="1"/>
  <c r="Y284" i="1" a="1"/>
  <c r="Y284" i="1" s="1"/>
  <c r="Y285" i="1" a="1"/>
  <c r="Y285" i="1" s="1"/>
  <c r="Y286" i="1" a="1"/>
  <c r="Y286" i="1" s="1"/>
  <c r="Y287" i="1" a="1"/>
  <c r="Y287" i="1" s="1"/>
  <c r="Y288" i="1" a="1"/>
  <c r="Y288" i="1" s="1"/>
  <c r="Y289" i="1" a="1"/>
  <c r="Y289" i="1" s="1"/>
  <c r="Y290" i="1" a="1"/>
  <c r="Y290" i="1" s="1"/>
  <c r="Y291" i="1" a="1"/>
  <c r="Y291" i="1" s="1"/>
  <c r="Y292" i="1" a="1"/>
  <c r="Y292" i="1" s="1"/>
  <c r="Y293" i="1" a="1"/>
  <c r="Y293" i="1" s="1"/>
  <c r="Y294" i="1" a="1"/>
  <c r="Y294" i="1" s="1"/>
  <c r="Y295" i="1" a="1"/>
  <c r="Y295" i="1" s="1"/>
  <c r="Y296" i="1" a="1"/>
  <c r="Y296" i="1" s="1"/>
  <c r="Y297" i="1" a="1"/>
  <c r="Y297" i="1" s="1"/>
  <c r="Y298" i="1" a="1"/>
  <c r="Y298" i="1" s="1"/>
  <c r="Y299" i="1" a="1"/>
  <c r="Y299" i="1" s="1"/>
  <c r="Y300" i="1" a="1"/>
  <c r="Y300" i="1" s="1"/>
  <c r="Y301" i="1" a="1"/>
  <c r="Y301" i="1" s="1"/>
  <c r="Y302" i="1" a="1"/>
  <c r="Y302" i="1" s="1"/>
  <c r="Y303" i="1" a="1"/>
  <c r="Y303" i="1" s="1"/>
  <c r="Y304" i="1" a="1"/>
  <c r="Y304" i="1" s="1"/>
  <c r="Y305" i="1" a="1"/>
  <c r="Y305" i="1" s="1"/>
  <c r="Y306" i="1" a="1"/>
  <c r="Y306" i="1" s="1"/>
  <c r="Y307" i="1" a="1"/>
  <c r="Y307" i="1" s="1"/>
  <c r="Y308" i="1" a="1"/>
  <c r="Y308" i="1" s="1"/>
  <c r="Y309" i="1" a="1"/>
  <c r="Y309" i="1" s="1"/>
  <c r="Y310" i="1" a="1"/>
  <c r="Y310" i="1" s="1"/>
  <c r="Y311" i="1" a="1"/>
  <c r="Y311" i="1" s="1"/>
  <c r="Y312" i="1" a="1"/>
  <c r="Y312" i="1" s="1"/>
  <c r="Y313" i="1" a="1"/>
  <c r="Y313" i="1" s="1"/>
  <c r="Y314" i="1" a="1"/>
  <c r="Y314" i="1" s="1"/>
  <c r="Y315" i="1" a="1"/>
  <c r="Y315" i="1" s="1"/>
  <c r="Y316" i="1" a="1"/>
  <c r="Y316" i="1" s="1"/>
  <c r="Y317" i="1" a="1"/>
  <c r="Y317" i="1" s="1"/>
  <c r="Y318" i="1" a="1"/>
  <c r="Y318" i="1" s="1"/>
  <c r="Y319" i="1" a="1"/>
  <c r="Y319" i="1" s="1"/>
  <c r="Y320" i="1" a="1"/>
  <c r="Y320" i="1" s="1"/>
  <c r="Y321" i="1" a="1"/>
  <c r="Y321" i="1" s="1"/>
  <c r="Y322" i="1" a="1"/>
  <c r="Y322" i="1" s="1"/>
  <c r="Y323" i="1" a="1"/>
  <c r="Y323" i="1" s="1"/>
  <c r="Y324" i="1" a="1"/>
  <c r="Y324" i="1" s="1"/>
  <c r="Y325" i="1" a="1"/>
  <c r="Y325" i="1" s="1"/>
  <c r="Y326" i="1" a="1"/>
  <c r="Y326" i="1" s="1"/>
  <c r="Y327" i="1" a="1"/>
  <c r="Y327" i="1" s="1"/>
  <c r="Y328" i="1" a="1"/>
  <c r="Y328" i="1" s="1"/>
  <c r="Y329" i="1" a="1"/>
  <c r="Y329" i="1" s="1"/>
  <c r="Y330" i="1" a="1"/>
  <c r="Y330" i="1" s="1"/>
  <c r="Y331" i="1" a="1"/>
  <c r="Y331" i="1" s="1"/>
  <c r="Y332" i="1" a="1"/>
  <c r="Y332" i="1" s="1"/>
  <c r="Y333" i="1" a="1"/>
  <c r="Y333" i="1" s="1"/>
  <c r="Y334" i="1" a="1"/>
  <c r="Y334" i="1" s="1"/>
  <c r="Y335" i="1" a="1"/>
  <c r="Y335" i="1" s="1"/>
  <c r="Y336" i="1" a="1"/>
  <c r="Y336" i="1" s="1"/>
  <c r="Y337" i="1" a="1"/>
  <c r="Y337" i="1" s="1"/>
  <c r="Y338" i="1" a="1"/>
  <c r="Y338" i="1" s="1"/>
  <c r="Y339" i="1" a="1"/>
  <c r="Y339" i="1" s="1"/>
  <c r="Y340" i="1" a="1"/>
  <c r="Y340" i="1" s="1"/>
  <c r="Y341" i="1" a="1"/>
  <c r="Y341" i="1" s="1"/>
  <c r="Y342" i="1" a="1"/>
  <c r="Y342" i="1" s="1"/>
  <c r="Y343" i="1" a="1"/>
  <c r="Y343" i="1" s="1"/>
  <c r="Y344" i="1" a="1"/>
  <c r="Y344" i="1" s="1"/>
  <c r="Y345" i="1" a="1"/>
  <c r="Y345" i="1" s="1"/>
  <c r="Y346" i="1" a="1"/>
  <c r="Y346" i="1" s="1"/>
  <c r="Y347" i="1" a="1"/>
  <c r="Y347" i="1" s="1"/>
  <c r="Y348" i="1" a="1"/>
  <c r="Y348" i="1" s="1"/>
  <c r="Y349" i="1" a="1"/>
  <c r="Y349" i="1" s="1"/>
  <c r="Y350" i="1" a="1"/>
  <c r="Y350" i="1" s="1"/>
  <c r="Y351" i="1" a="1"/>
  <c r="Y351" i="1" s="1"/>
  <c r="Y352" i="1" a="1"/>
  <c r="Y352" i="1" s="1"/>
  <c r="Y353" i="1" a="1"/>
  <c r="Y353" i="1" s="1"/>
  <c r="Y354" i="1" a="1"/>
  <c r="Y354" i="1" s="1"/>
  <c r="Y355" i="1" a="1"/>
  <c r="Y355" i="1" s="1"/>
  <c r="Y356" i="1" a="1"/>
  <c r="Y356" i="1" s="1"/>
  <c r="Y357" i="1" a="1"/>
  <c r="Y357" i="1" s="1"/>
  <c r="Y358" i="1" a="1"/>
  <c r="Y358" i="1" s="1"/>
  <c r="Y359" i="1" a="1"/>
  <c r="Y359" i="1" s="1"/>
  <c r="Y360" i="1" a="1"/>
  <c r="Y360" i="1" s="1"/>
  <c r="Y361" i="1" a="1"/>
  <c r="Y361" i="1" s="1"/>
  <c r="Y362" i="1" a="1"/>
  <c r="Y362" i="1" s="1"/>
  <c r="Y363" i="1" a="1"/>
  <c r="Y363" i="1" s="1"/>
  <c r="Y364" i="1" a="1"/>
  <c r="Y364" i="1" s="1"/>
  <c r="Y365" i="1" a="1"/>
  <c r="Y365" i="1" s="1"/>
  <c r="Y366" i="1" a="1"/>
  <c r="Y366" i="1" s="1"/>
  <c r="Y367" i="1" a="1"/>
  <c r="Y367" i="1" s="1"/>
  <c r="Y368" i="1" a="1"/>
  <c r="Y368" i="1" s="1"/>
  <c r="Y369" i="1" a="1"/>
  <c r="Y369" i="1" s="1"/>
  <c r="Y370" i="1" a="1"/>
  <c r="Y370" i="1" s="1"/>
  <c r="Y371" i="1" a="1"/>
  <c r="Y371" i="1" s="1"/>
  <c r="Y372" i="1" a="1"/>
  <c r="Y372" i="1" s="1"/>
  <c r="Y373" i="1" a="1"/>
  <c r="Y373" i="1" s="1"/>
  <c r="Y374" i="1" a="1"/>
  <c r="Y374" i="1" s="1"/>
  <c r="Y375" i="1" a="1"/>
  <c r="Y375" i="1" s="1"/>
  <c r="Y376" i="1" a="1"/>
  <c r="Y376" i="1" s="1"/>
  <c r="Y377" i="1" a="1"/>
  <c r="Y377" i="1" s="1"/>
  <c r="Y378" i="1" a="1"/>
  <c r="Y378" i="1" s="1"/>
  <c r="Y379" i="1" a="1"/>
  <c r="Y379" i="1" s="1"/>
  <c r="Y380" i="1" a="1"/>
  <c r="Y380" i="1" s="1"/>
  <c r="Y381" i="1" a="1"/>
  <c r="Y381" i="1" s="1"/>
  <c r="Y382" i="1" a="1"/>
  <c r="Y382" i="1" s="1"/>
  <c r="Y383" i="1" a="1"/>
  <c r="Y383" i="1" s="1"/>
  <c r="Y384" i="1" a="1"/>
  <c r="Y384" i="1" s="1"/>
  <c r="Y385" i="1" a="1"/>
  <c r="Y385" i="1" s="1"/>
  <c r="Y386" i="1" a="1"/>
  <c r="Y386" i="1" s="1"/>
  <c r="Y387" i="1" a="1"/>
  <c r="Y387" i="1" s="1"/>
  <c r="Y388" i="1" a="1"/>
  <c r="Y388" i="1" s="1"/>
  <c r="Y389" i="1" a="1"/>
  <c r="Y389" i="1" s="1"/>
  <c r="Y390" i="1" a="1"/>
  <c r="Y390" i="1" s="1"/>
  <c r="Y391" i="1" a="1"/>
  <c r="Y391" i="1" s="1"/>
  <c r="Y392" i="1" a="1"/>
  <c r="Y392" i="1" s="1"/>
  <c r="Y393" i="1" a="1"/>
  <c r="Y393" i="1" s="1"/>
  <c r="Y394" i="1" a="1"/>
  <c r="Y394" i="1" s="1"/>
  <c r="Y395" i="1" a="1"/>
  <c r="Y395" i="1" s="1"/>
  <c r="Y396" i="1" a="1"/>
  <c r="Y396" i="1" s="1"/>
  <c r="Y397" i="1" a="1"/>
  <c r="Y397" i="1" s="1"/>
  <c r="Y398" i="1" a="1"/>
  <c r="Y398" i="1" s="1"/>
  <c r="Y399" i="1" a="1"/>
  <c r="Y399" i="1" s="1"/>
  <c r="Y400" i="1" a="1"/>
  <c r="Y400" i="1" s="1"/>
  <c r="Y401" i="1" a="1"/>
  <c r="Y401" i="1" s="1"/>
  <c r="Y402" i="1" a="1"/>
  <c r="Y402" i="1" s="1"/>
  <c r="Y403" i="1" a="1"/>
  <c r="Y403" i="1" s="1"/>
  <c r="Y404" i="1" a="1"/>
  <c r="Y404" i="1" s="1"/>
  <c r="Y405" i="1" a="1"/>
  <c r="Y405" i="1" s="1"/>
  <c r="Y406" i="1" a="1"/>
  <c r="Y406" i="1" s="1"/>
  <c r="Y407" i="1" a="1"/>
  <c r="Y407" i="1" s="1"/>
  <c r="Y408" i="1" a="1"/>
  <c r="Y408" i="1" s="1"/>
  <c r="Y409" i="1" a="1"/>
  <c r="Y409" i="1" s="1"/>
  <c r="Y410" i="1" a="1"/>
  <c r="Y410" i="1" s="1"/>
  <c r="Y411" i="1" a="1"/>
  <c r="Y411" i="1" s="1"/>
  <c r="Y412" i="1" a="1"/>
  <c r="Y412" i="1" s="1"/>
  <c r="Y413" i="1" a="1"/>
  <c r="Y413" i="1" s="1"/>
  <c r="Y414" i="1" a="1"/>
  <c r="Y414" i="1" s="1"/>
  <c r="Y415" i="1" a="1"/>
  <c r="Y415" i="1" s="1"/>
  <c r="Y416" i="1" a="1"/>
  <c r="Y416" i="1" s="1"/>
  <c r="Y417" i="1" a="1"/>
  <c r="Y417" i="1" s="1"/>
  <c r="Y418" i="1" a="1"/>
  <c r="Y418" i="1" s="1"/>
  <c r="Y419" i="1" a="1"/>
  <c r="Y419" i="1" s="1"/>
  <c r="Y420" i="1" a="1"/>
  <c r="Y420" i="1" s="1"/>
  <c r="Y421" i="1" a="1"/>
  <c r="Y421" i="1" s="1"/>
  <c r="Y422" i="1" a="1"/>
  <c r="Y422" i="1" s="1"/>
  <c r="Y423" i="1" a="1"/>
  <c r="Y423" i="1" s="1"/>
  <c r="Y424" i="1" a="1"/>
  <c r="Y424" i="1" s="1"/>
  <c r="Y425" i="1" a="1"/>
  <c r="Y425" i="1" s="1"/>
  <c r="Y426" i="1" a="1"/>
  <c r="Y426" i="1" s="1"/>
  <c r="Y427" i="1" a="1"/>
  <c r="Y427" i="1" s="1"/>
  <c r="Y428" i="1" a="1"/>
  <c r="Y428" i="1" s="1"/>
  <c r="Y429" i="1" a="1"/>
  <c r="Y429" i="1" s="1"/>
  <c r="Y430" i="1" a="1"/>
  <c r="Y430" i="1" s="1"/>
  <c r="Y431" i="1" a="1"/>
  <c r="Y431" i="1" s="1"/>
  <c r="Y432" i="1" a="1"/>
  <c r="Y432" i="1" s="1"/>
  <c r="Y433" i="1" a="1"/>
  <c r="Y433" i="1" s="1"/>
  <c r="Y434" i="1" a="1"/>
  <c r="Y434" i="1" s="1"/>
  <c r="Y435" i="1" a="1"/>
  <c r="Y435" i="1" s="1"/>
  <c r="Y436" i="1" a="1"/>
  <c r="Y436" i="1" s="1"/>
  <c r="Y437" i="1" a="1"/>
  <c r="Y437" i="1" s="1"/>
  <c r="Y438" i="1" a="1"/>
  <c r="Y438" i="1" s="1"/>
  <c r="Y439" i="1" a="1"/>
  <c r="Y439" i="1" s="1"/>
  <c r="Y440" i="1" a="1"/>
  <c r="Y440" i="1" s="1"/>
  <c r="Y441" i="1" a="1"/>
  <c r="Y441" i="1" s="1"/>
  <c r="Y442" i="1" a="1"/>
  <c r="Y442" i="1" s="1"/>
  <c r="Y443" i="1" a="1"/>
  <c r="Y443" i="1" s="1"/>
  <c r="Y444" i="1" a="1"/>
  <c r="Y444" i="1" s="1"/>
  <c r="Y445" i="1" a="1"/>
  <c r="Y445" i="1" s="1"/>
  <c r="Y446" i="1" a="1"/>
  <c r="Y446" i="1" s="1"/>
  <c r="Y447" i="1" a="1"/>
  <c r="Y447" i="1" s="1"/>
  <c r="Y448" i="1" a="1"/>
  <c r="Y448" i="1" s="1"/>
  <c r="Y449" i="1" a="1"/>
  <c r="Y449" i="1" s="1"/>
  <c r="Y450" i="1" a="1"/>
  <c r="Y450" i="1" s="1"/>
  <c r="Y451" i="1" a="1"/>
  <c r="Y451" i="1" s="1"/>
  <c r="Y452" i="1" a="1"/>
  <c r="Y452" i="1" s="1"/>
  <c r="Y453" i="1" a="1"/>
  <c r="Y453" i="1" s="1"/>
  <c r="Y454" i="1" a="1"/>
  <c r="Y454" i="1" s="1"/>
  <c r="Y455" i="1" a="1"/>
  <c r="Y455" i="1" s="1"/>
  <c r="Y456" i="1" a="1"/>
  <c r="Y456" i="1" s="1"/>
  <c r="Y457" i="1" a="1"/>
  <c r="Y457" i="1" s="1"/>
  <c r="Y458" i="1" a="1"/>
  <c r="Y458" i="1" s="1"/>
  <c r="Y459" i="1" a="1"/>
  <c r="Y459" i="1" s="1"/>
  <c r="Y460" i="1" a="1"/>
  <c r="Y460" i="1" s="1"/>
  <c r="Y461" i="1" a="1"/>
  <c r="Y461" i="1" s="1"/>
  <c r="Y462" i="1" a="1"/>
  <c r="Y462" i="1" s="1"/>
  <c r="Y463" i="1" a="1"/>
  <c r="Y463" i="1" s="1"/>
  <c r="Y464" i="1" a="1"/>
  <c r="Y464" i="1" s="1"/>
  <c r="Y465" i="1" a="1"/>
  <c r="Y465" i="1" s="1"/>
  <c r="Y466" i="1" a="1"/>
  <c r="Y466" i="1" s="1"/>
  <c r="Y467" i="1" a="1"/>
  <c r="Y467" i="1" s="1"/>
  <c r="Y468" i="1" a="1"/>
  <c r="Y468" i="1" s="1"/>
  <c r="Y469" i="1" a="1"/>
  <c r="Y469" i="1" s="1"/>
  <c r="Y470" i="1" a="1"/>
  <c r="Y470" i="1" s="1"/>
  <c r="Y471" i="1" a="1"/>
  <c r="Y471" i="1" s="1"/>
  <c r="Y472" i="1" a="1"/>
  <c r="Y472" i="1" s="1"/>
  <c r="Y473" i="1" a="1"/>
  <c r="Y473" i="1" s="1"/>
  <c r="Y474" i="1" a="1"/>
  <c r="Y474" i="1" s="1"/>
  <c r="Y475" i="1" a="1"/>
  <c r="Y475" i="1" s="1"/>
  <c r="Y476" i="1" a="1"/>
  <c r="Y476" i="1" s="1"/>
  <c r="Y477" i="1" a="1"/>
  <c r="Y477" i="1" s="1"/>
  <c r="Y478" i="1" a="1"/>
  <c r="Y478" i="1" s="1"/>
  <c r="Y479" i="1" a="1"/>
  <c r="Y479" i="1" s="1"/>
  <c r="Y480" i="1" a="1"/>
  <c r="Y480" i="1" s="1"/>
  <c r="Y481" i="1" a="1"/>
  <c r="Y481" i="1" s="1"/>
  <c r="Y482" i="1" a="1"/>
  <c r="Y482" i="1" s="1"/>
  <c r="Y483" i="1" a="1"/>
  <c r="Y483" i="1" s="1"/>
  <c r="Y484" i="1" a="1"/>
  <c r="Y484" i="1" s="1"/>
  <c r="Y485" i="1" a="1"/>
  <c r="Y485" i="1" s="1"/>
  <c r="Y486" i="1" a="1"/>
  <c r="Y486" i="1" s="1"/>
  <c r="Y487" i="1" a="1"/>
  <c r="Y487" i="1" s="1"/>
  <c r="Y488" i="1" a="1"/>
  <c r="Y488" i="1" s="1"/>
  <c r="Y489" i="1" a="1"/>
  <c r="Y489" i="1" s="1"/>
  <c r="Y490" i="1" a="1"/>
  <c r="Y490" i="1" s="1"/>
  <c r="Y491" i="1" a="1"/>
  <c r="Y491" i="1" s="1"/>
  <c r="Y492" i="1" a="1"/>
  <c r="Y492" i="1" s="1"/>
  <c r="Y493" i="1" a="1"/>
  <c r="Y493" i="1" s="1"/>
  <c r="Y494" i="1" a="1"/>
  <c r="Y494" i="1" s="1"/>
  <c r="Y495" i="1" a="1"/>
  <c r="Y495" i="1" s="1"/>
  <c r="Y496" i="1" a="1"/>
  <c r="Y496" i="1" s="1"/>
  <c r="Y497" i="1" a="1"/>
  <c r="Y497" i="1" s="1"/>
  <c r="Y498" i="1" a="1"/>
  <c r="Y498" i="1" s="1"/>
  <c r="Y499" i="1" a="1"/>
  <c r="Y499" i="1" s="1"/>
  <c r="Y500" i="1" a="1"/>
  <c r="Y500" i="1" s="1"/>
  <c r="Y501" i="1" a="1"/>
  <c r="Y501" i="1" s="1"/>
  <c r="Y502" i="1" a="1"/>
  <c r="Y502" i="1" s="1"/>
  <c r="Y503" i="1" a="1"/>
  <c r="Y503" i="1" s="1"/>
  <c r="Y504" i="1" a="1"/>
  <c r="Y504" i="1" s="1"/>
  <c r="Y505" i="1" a="1"/>
  <c r="Y505" i="1" s="1"/>
  <c r="Y506" i="1" a="1"/>
  <c r="Y506" i="1" s="1"/>
  <c r="Y507" i="1" a="1"/>
  <c r="Y507" i="1" s="1"/>
  <c r="Y508" i="1" a="1"/>
  <c r="Y508" i="1" s="1"/>
  <c r="Y509" i="1" a="1"/>
  <c r="Y509" i="1" s="1"/>
  <c r="Y510" i="1" a="1"/>
  <c r="Y510" i="1" s="1"/>
  <c r="Y511" i="1" a="1"/>
  <c r="Y511" i="1" s="1"/>
  <c r="Y512" i="1" a="1"/>
  <c r="Y512" i="1" s="1"/>
  <c r="Y513" i="1" a="1"/>
  <c r="Y513" i="1" s="1"/>
  <c r="Y514" i="1" a="1"/>
  <c r="Y514" i="1" s="1"/>
  <c r="Y515" i="1" a="1"/>
  <c r="Y515" i="1" s="1"/>
  <c r="Y516" i="1" a="1"/>
  <c r="Y516" i="1" s="1"/>
  <c r="Y517" i="1" a="1"/>
  <c r="Y517" i="1" s="1"/>
  <c r="Y518" i="1" a="1"/>
  <c r="Y518" i="1" s="1"/>
  <c r="Y519" i="1" a="1"/>
  <c r="Y519" i="1" s="1"/>
  <c r="Y520" i="1" a="1"/>
  <c r="Y520" i="1" s="1"/>
  <c r="Y521" i="1" a="1"/>
  <c r="Y521" i="1" s="1"/>
  <c r="Y522" i="1" a="1"/>
  <c r="Y522" i="1" s="1"/>
  <c r="Y523" i="1" a="1"/>
  <c r="Y523" i="1" s="1"/>
  <c r="Y524" i="1" a="1"/>
  <c r="Y524" i="1" s="1"/>
  <c r="Y525" i="1" a="1"/>
  <c r="Y525" i="1" s="1"/>
  <c r="Y526" i="1" a="1"/>
  <c r="Y526" i="1" s="1"/>
  <c r="Y527" i="1" a="1"/>
  <c r="Y527" i="1" s="1"/>
  <c r="Y528" i="1" a="1"/>
  <c r="Y528" i="1" s="1"/>
  <c r="Y529" i="1" a="1"/>
  <c r="Y529" i="1" s="1"/>
  <c r="Y530" i="1" a="1"/>
  <c r="Y530" i="1" s="1"/>
  <c r="Y531" i="1" a="1"/>
  <c r="Y531" i="1" s="1"/>
  <c r="Y532" i="1" a="1"/>
  <c r="Y532" i="1" s="1"/>
  <c r="Y533" i="1" a="1"/>
  <c r="Y533" i="1" s="1"/>
  <c r="Y534" i="1" a="1"/>
  <c r="Y534" i="1" s="1"/>
  <c r="Y535" i="1" a="1"/>
  <c r="Y535" i="1" s="1"/>
  <c r="Y536" i="1" a="1"/>
  <c r="Y536" i="1" s="1"/>
  <c r="Y537" i="1" a="1"/>
  <c r="Y537" i="1" s="1"/>
  <c r="Y538" i="1" a="1"/>
  <c r="Y538" i="1" s="1"/>
  <c r="Y539" i="1" a="1"/>
  <c r="Y539" i="1" s="1"/>
  <c r="Y540" i="1" a="1"/>
  <c r="Y540" i="1" s="1"/>
  <c r="Y541" i="1" a="1"/>
  <c r="Y541" i="1" s="1"/>
  <c r="Y542" i="1" a="1"/>
  <c r="Y542" i="1" s="1"/>
  <c r="Y543" i="1" a="1"/>
  <c r="Y543" i="1" s="1"/>
  <c r="Y544" i="1" a="1"/>
  <c r="Y544" i="1" s="1"/>
  <c r="Y545" i="1" a="1"/>
  <c r="Y545" i="1" s="1"/>
  <c r="Y546" i="1" a="1"/>
  <c r="Y546" i="1" s="1"/>
  <c r="Y547" i="1" a="1"/>
  <c r="Y547" i="1" s="1"/>
  <c r="Y548" i="1" a="1"/>
  <c r="Y548" i="1" s="1"/>
  <c r="Y549" i="1" a="1"/>
  <c r="Y549" i="1" s="1"/>
  <c r="Y550" i="1" a="1"/>
  <c r="Y550" i="1" s="1"/>
  <c r="Y551" i="1" a="1"/>
  <c r="Y551" i="1" s="1"/>
  <c r="Y552" i="1" a="1"/>
  <c r="Y552" i="1" s="1"/>
  <c r="Y553" i="1" a="1"/>
  <c r="Y553" i="1" s="1"/>
  <c r="Y554" i="1" a="1"/>
  <c r="Y554" i="1" s="1"/>
  <c r="Y555" i="1" a="1"/>
  <c r="Y555" i="1" s="1"/>
  <c r="Y556" i="1" a="1"/>
  <c r="Y556" i="1" s="1"/>
  <c r="Y557" i="1" a="1"/>
  <c r="Y557" i="1" s="1"/>
  <c r="Y558" i="1" a="1"/>
  <c r="Y558" i="1" s="1"/>
  <c r="Y559" i="1" a="1"/>
  <c r="Y559" i="1" s="1"/>
  <c r="Y560" i="1" a="1"/>
  <c r="Y560" i="1" s="1"/>
  <c r="Y561" i="1" a="1"/>
  <c r="Y561" i="1" s="1"/>
  <c r="Y562" i="1" a="1"/>
  <c r="Y562" i="1" s="1"/>
  <c r="Y563" i="1" a="1"/>
  <c r="Y563" i="1" s="1"/>
  <c r="Y564" i="1" a="1"/>
  <c r="Y564" i="1" s="1"/>
  <c r="Y565" i="1" a="1"/>
  <c r="Y565" i="1" s="1"/>
  <c r="Y566" i="1" a="1"/>
  <c r="Y566" i="1" s="1"/>
  <c r="Y567" i="1" a="1"/>
  <c r="Y567" i="1" s="1"/>
  <c r="Y568" i="1" a="1"/>
  <c r="Y568" i="1" s="1"/>
  <c r="Y569" i="1" a="1"/>
  <c r="Y569" i="1" s="1"/>
  <c r="Y570" i="1" a="1"/>
  <c r="Y570" i="1" s="1"/>
  <c r="Y571" i="1" a="1"/>
  <c r="Y571" i="1" s="1"/>
  <c r="Y572" i="1" a="1"/>
  <c r="Y572" i="1" s="1"/>
  <c r="Y573" i="1" a="1"/>
  <c r="Y573" i="1" s="1"/>
  <c r="Y574" i="1" a="1"/>
  <c r="Y574" i="1" s="1"/>
  <c r="Y575" i="1" a="1"/>
  <c r="Y575" i="1" s="1"/>
  <c r="Y576" i="1" a="1"/>
  <c r="Y576" i="1" s="1"/>
  <c r="Y577" i="1" a="1"/>
  <c r="Y577" i="1" s="1"/>
  <c r="Y578" i="1" a="1"/>
  <c r="Y578" i="1" s="1"/>
  <c r="Y579" i="1" a="1"/>
  <c r="Y579" i="1" s="1"/>
  <c r="Y580" i="1" a="1"/>
  <c r="Y580" i="1" s="1"/>
  <c r="Y581" i="1" a="1"/>
  <c r="Y581" i="1" s="1"/>
  <c r="Y582" i="1" a="1"/>
  <c r="Y582" i="1" s="1"/>
  <c r="Y583" i="1" a="1"/>
  <c r="Y583" i="1" s="1"/>
  <c r="Y584" i="1" a="1"/>
  <c r="Y584" i="1" s="1"/>
  <c r="Y585" i="1" a="1"/>
  <c r="Y585" i="1" s="1"/>
  <c r="Y586" i="1" a="1"/>
  <c r="Y586" i="1" s="1"/>
  <c r="Y587" i="1" a="1"/>
  <c r="Y587" i="1" s="1"/>
  <c r="Y588" i="1" a="1"/>
  <c r="Y588" i="1" s="1"/>
  <c r="Y589" i="1" a="1"/>
  <c r="Y589" i="1" s="1"/>
  <c r="Y590" i="1" a="1"/>
  <c r="Y590" i="1" s="1"/>
  <c r="Y591" i="1" a="1"/>
  <c r="Y591" i="1" s="1"/>
  <c r="Y592" i="1" a="1"/>
  <c r="Y592" i="1" s="1"/>
  <c r="Y593" i="1" a="1"/>
  <c r="Y593" i="1" s="1"/>
  <c r="Y594" i="1" a="1"/>
  <c r="Y594" i="1" s="1"/>
  <c r="Y595" i="1" a="1"/>
  <c r="Y595" i="1" s="1"/>
  <c r="Y596" i="1" a="1"/>
  <c r="Y596" i="1" s="1"/>
  <c r="Y597" i="1" a="1"/>
  <c r="Y597" i="1" s="1"/>
  <c r="Y598" i="1" a="1"/>
  <c r="Y598" i="1" s="1"/>
  <c r="Y599" i="1" a="1"/>
  <c r="Y599" i="1" s="1"/>
  <c r="Y600" i="1" a="1"/>
  <c r="Y600" i="1" s="1"/>
  <c r="Y601" i="1" a="1"/>
  <c r="Y601" i="1" s="1"/>
  <c r="Y602" i="1" a="1"/>
  <c r="Y602" i="1" s="1"/>
  <c r="Y603" i="1" a="1"/>
  <c r="Y603" i="1" s="1"/>
  <c r="Y604" i="1" a="1"/>
  <c r="Y604" i="1" s="1"/>
  <c r="Y605" i="1" a="1"/>
  <c r="Y605" i="1" s="1"/>
  <c r="Y606" i="1" a="1"/>
  <c r="Y606" i="1" s="1"/>
  <c r="Y607" i="1" a="1"/>
  <c r="Y607" i="1" s="1"/>
  <c r="Y608" i="1" a="1"/>
  <c r="Y608" i="1" s="1"/>
  <c r="Y609" i="1" a="1"/>
  <c r="Y609" i="1" s="1"/>
  <c r="Y610" i="1" a="1"/>
  <c r="Y610" i="1" s="1"/>
  <c r="Y611" i="1" a="1"/>
  <c r="Y611" i="1" s="1"/>
  <c r="Y612" i="1" a="1"/>
  <c r="Y612" i="1" s="1"/>
  <c r="Y613" i="1" a="1"/>
  <c r="Y613" i="1" s="1"/>
  <c r="Y614" i="1" a="1"/>
  <c r="Y614" i="1" s="1"/>
  <c r="Y615" i="1" a="1"/>
  <c r="Y615" i="1" s="1"/>
  <c r="Y616" i="1" a="1"/>
  <c r="Y616" i="1" s="1"/>
  <c r="Y617" i="1" a="1"/>
  <c r="Y617" i="1" s="1"/>
  <c r="Y618" i="1" a="1"/>
  <c r="Y618" i="1" s="1"/>
  <c r="Y619" i="1" a="1"/>
  <c r="Y619" i="1" s="1"/>
  <c r="Y620" i="1" a="1"/>
  <c r="Y620" i="1" s="1"/>
  <c r="Y621" i="1" a="1"/>
  <c r="Y621" i="1" s="1"/>
  <c r="Y622" i="1" a="1"/>
  <c r="Y622" i="1" s="1"/>
  <c r="Y623" i="1" a="1"/>
  <c r="Y623" i="1" s="1"/>
  <c r="Y624" i="1" a="1"/>
  <c r="Y624" i="1" s="1"/>
  <c r="Y625" i="1" a="1"/>
  <c r="Y625" i="1" s="1"/>
  <c r="Y626" i="1" a="1"/>
  <c r="Y626" i="1" s="1"/>
  <c r="Y627" i="1" a="1"/>
  <c r="Y627" i="1" s="1"/>
  <c r="Y628" i="1" a="1"/>
  <c r="Y628" i="1" s="1"/>
  <c r="Y629" i="1" a="1"/>
  <c r="Y629" i="1" s="1"/>
  <c r="Y630" i="1" a="1"/>
  <c r="Y630" i="1" s="1"/>
  <c r="Y631" i="1" a="1"/>
  <c r="Y631" i="1" s="1"/>
  <c r="Y632" i="1" a="1"/>
  <c r="Y632" i="1" s="1"/>
  <c r="Y633" i="1" a="1"/>
  <c r="Y633" i="1" s="1"/>
  <c r="Y634" i="1" a="1"/>
  <c r="Y634" i="1" s="1"/>
  <c r="Y635" i="1" a="1"/>
  <c r="Y635" i="1" s="1"/>
  <c r="Y636" i="1" a="1"/>
  <c r="Y636" i="1" s="1"/>
  <c r="Y637" i="1" a="1"/>
  <c r="Y637" i="1" s="1"/>
  <c r="Y638" i="1" a="1"/>
  <c r="Y638" i="1" s="1"/>
  <c r="Y639" i="1" a="1"/>
  <c r="Y639" i="1" s="1"/>
  <c r="Y640" i="1" a="1"/>
  <c r="Y640" i="1" s="1"/>
  <c r="Y641" i="1" a="1"/>
  <c r="Y641" i="1" s="1"/>
  <c r="Y642" i="1" a="1"/>
  <c r="Y642" i="1" s="1"/>
  <c r="Y643" i="1" a="1"/>
  <c r="Y643" i="1" s="1"/>
  <c r="Y644" i="1" a="1"/>
  <c r="Y644" i="1" s="1"/>
  <c r="Y645" i="1" a="1"/>
  <c r="Y645" i="1" s="1"/>
  <c r="Y646" i="1" a="1"/>
  <c r="Y646" i="1" s="1"/>
  <c r="Y647" i="1" a="1"/>
  <c r="Y647" i="1" s="1"/>
  <c r="Y648" i="1" a="1"/>
  <c r="Y648" i="1" s="1"/>
  <c r="Y649" i="1" a="1"/>
  <c r="Y649" i="1" s="1"/>
  <c r="Y650" i="1" a="1"/>
  <c r="Y650" i="1" s="1"/>
  <c r="Y651" i="1" a="1"/>
  <c r="Y651" i="1" s="1"/>
  <c r="Y652" i="1" a="1"/>
  <c r="Y652" i="1" s="1"/>
  <c r="Y653" i="1" a="1"/>
  <c r="Y653" i="1" s="1"/>
  <c r="Y654" i="1" a="1"/>
  <c r="Y654" i="1" s="1"/>
  <c r="Y655" i="1" a="1"/>
  <c r="Y655" i="1" s="1"/>
  <c r="Y656" i="1" a="1"/>
  <c r="Y656" i="1" s="1"/>
  <c r="Y657" i="1" a="1"/>
  <c r="Y657" i="1" s="1"/>
  <c r="Y658" i="1" a="1"/>
  <c r="Y658" i="1" s="1"/>
  <c r="Y659" i="1" a="1"/>
  <c r="Y659" i="1" s="1"/>
  <c r="Y660" i="1" a="1"/>
  <c r="Y660" i="1" s="1"/>
  <c r="Y661" i="1" a="1"/>
  <c r="Y661" i="1" s="1"/>
  <c r="Y662" i="1" a="1"/>
  <c r="Y662" i="1" s="1"/>
  <c r="Y663" i="1" a="1"/>
  <c r="Y663" i="1" s="1"/>
  <c r="Y664" i="1" a="1"/>
  <c r="Y664" i="1" s="1"/>
  <c r="Y665" i="1" a="1"/>
  <c r="Y665" i="1" s="1"/>
  <c r="Y666" i="1" a="1"/>
  <c r="Y666" i="1" s="1"/>
  <c r="Y667" i="1" a="1"/>
  <c r="Y667" i="1" s="1"/>
  <c r="Y668" i="1" a="1"/>
  <c r="Y668" i="1" s="1"/>
  <c r="Y669" i="1" a="1"/>
  <c r="Y669" i="1" s="1"/>
  <c r="Y670" i="1" a="1"/>
  <c r="Y670" i="1" s="1"/>
  <c r="Y671" i="1" a="1"/>
  <c r="Y671" i="1" s="1"/>
  <c r="Y672" i="1" a="1"/>
  <c r="Y672" i="1" s="1"/>
  <c r="Y673" i="1" a="1"/>
  <c r="Y673" i="1" s="1"/>
  <c r="Y674" i="1" a="1"/>
  <c r="Y674" i="1" s="1"/>
  <c r="Y675" i="1" a="1"/>
  <c r="Y675" i="1" s="1"/>
  <c r="Y676" i="1" a="1"/>
  <c r="Y676" i="1" s="1"/>
  <c r="Y677" i="1" a="1"/>
  <c r="Y677" i="1" s="1"/>
  <c r="Y678" i="1" a="1"/>
  <c r="Y678" i="1" s="1"/>
  <c r="Y679" i="1" a="1"/>
  <c r="Y679" i="1" s="1"/>
  <c r="Y680" i="1" a="1"/>
  <c r="Y680" i="1" s="1"/>
  <c r="Y681" i="1" a="1"/>
  <c r="Y681" i="1" s="1"/>
  <c r="Y682" i="1" a="1"/>
  <c r="Y682" i="1" s="1"/>
  <c r="Y683" i="1" a="1"/>
  <c r="Y683" i="1" s="1"/>
  <c r="Y684" i="1" a="1"/>
  <c r="Y684" i="1" s="1"/>
  <c r="Y685" i="1" a="1"/>
  <c r="Y685" i="1" s="1"/>
  <c r="Y686" i="1" a="1"/>
  <c r="Y686" i="1" s="1"/>
  <c r="Y687" i="1" a="1"/>
  <c r="Y687" i="1" s="1"/>
  <c r="Y688" i="1" a="1"/>
  <c r="Y688" i="1" s="1"/>
  <c r="Y689" i="1" a="1"/>
  <c r="Y689" i="1" s="1"/>
  <c r="Y690" i="1" a="1"/>
  <c r="Y690" i="1" s="1"/>
  <c r="Y691" i="1" a="1"/>
  <c r="Y691" i="1" s="1"/>
  <c r="Y692" i="1" a="1"/>
  <c r="Y692" i="1" s="1"/>
  <c r="Y693" i="1" a="1"/>
  <c r="Y693" i="1" s="1"/>
  <c r="Y694" i="1" a="1"/>
  <c r="Y694" i="1" s="1"/>
  <c r="Y695" i="1" a="1"/>
  <c r="Y695" i="1" s="1"/>
  <c r="Y696" i="1" a="1"/>
  <c r="Y696" i="1" s="1"/>
  <c r="Y697" i="1" a="1"/>
  <c r="Y697" i="1" s="1"/>
  <c r="Y698" i="1" a="1"/>
  <c r="Y698" i="1" s="1"/>
  <c r="Y699" i="1" a="1"/>
  <c r="Y699" i="1" s="1"/>
  <c r="Y700" i="1" a="1"/>
  <c r="Y700" i="1" s="1"/>
  <c r="Y701" i="1" a="1"/>
  <c r="Y701" i="1" s="1"/>
  <c r="Y702" i="1" a="1"/>
  <c r="Y702" i="1" s="1"/>
  <c r="Y703" i="1" a="1"/>
  <c r="Y703" i="1" s="1"/>
  <c r="Y704" i="1" a="1"/>
  <c r="Y704" i="1" s="1"/>
  <c r="Y705" i="1" a="1"/>
  <c r="Y705" i="1" s="1"/>
  <c r="Y706" i="1" a="1"/>
  <c r="Y706" i="1" s="1"/>
  <c r="Y707" i="1" a="1"/>
  <c r="Y707" i="1" s="1"/>
  <c r="Y708" i="1" a="1"/>
  <c r="Y708" i="1" s="1"/>
  <c r="Y709" i="1" a="1"/>
  <c r="Y709" i="1" s="1"/>
  <c r="Y710" i="1" a="1"/>
  <c r="Y710" i="1" s="1"/>
  <c r="Y711" i="1" a="1"/>
  <c r="Y711" i="1" s="1"/>
  <c r="Y712" i="1" a="1"/>
  <c r="Y712" i="1" s="1"/>
  <c r="Y713" i="1" a="1"/>
  <c r="Y713" i="1" s="1"/>
  <c r="Y714" i="1" a="1"/>
  <c r="Y714" i="1" s="1"/>
  <c r="Y715" i="1" a="1"/>
  <c r="Y715" i="1" s="1"/>
  <c r="Y716" i="1" a="1"/>
  <c r="Y716" i="1" s="1"/>
  <c r="Y717" i="1" a="1"/>
  <c r="Y717" i="1" s="1"/>
  <c r="Y718" i="1" a="1"/>
  <c r="Y718" i="1" s="1"/>
  <c r="Y719" i="1" a="1"/>
  <c r="Y719" i="1" s="1"/>
  <c r="Y720" i="1" a="1"/>
  <c r="Y720" i="1" s="1"/>
  <c r="Y721" i="1" a="1"/>
  <c r="Y721" i="1" s="1"/>
  <c r="Y722" i="1" a="1"/>
  <c r="Y722" i="1" s="1"/>
  <c r="Y723" i="1" a="1"/>
  <c r="Y723" i="1" s="1"/>
  <c r="Y724" i="1" a="1"/>
  <c r="Y724" i="1" s="1"/>
  <c r="Y725" i="1" a="1"/>
  <c r="Y725" i="1" s="1"/>
  <c r="Y726" i="1" a="1"/>
  <c r="Y726" i="1" s="1"/>
  <c r="Y727" i="1" a="1"/>
  <c r="Y727" i="1" s="1"/>
  <c r="Y728" i="1" a="1"/>
  <c r="Y728" i="1" s="1"/>
  <c r="Y729" i="1" a="1"/>
  <c r="Y729" i="1" s="1"/>
  <c r="Y730" i="1" a="1"/>
  <c r="Y730" i="1" s="1"/>
  <c r="Y731" i="1" a="1"/>
  <c r="Y731" i="1" s="1"/>
  <c r="Y732" i="1" a="1"/>
  <c r="Y732" i="1" s="1"/>
  <c r="Y733" i="1" a="1"/>
  <c r="Y733" i="1" s="1"/>
  <c r="Y734" i="1" a="1"/>
  <c r="Y734" i="1" s="1"/>
  <c r="Y735" i="1" a="1"/>
  <c r="Y735" i="1" s="1"/>
  <c r="Y736" i="1" a="1"/>
  <c r="Y736" i="1" s="1"/>
  <c r="Y737" i="1" a="1"/>
  <c r="Y737" i="1" s="1"/>
  <c r="Y738" i="1" a="1"/>
  <c r="Y738" i="1" s="1"/>
  <c r="Y739" i="1" a="1"/>
  <c r="Y739" i="1" s="1"/>
  <c r="Y740" i="1" a="1"/>
  <c r="Y740" i="1" s="1"/>
  <c r="Y741" i="1" a="1"/>
  <c r="Y741" i="1" s="1"/>
  <c r="Y742" i="1" a="1"/>
  <c r="Y742" i="1" s="1"/>
  <c r="Y743" i="1" a="1"/>
  <c r="Y743" i="1" s="1"/>
  <c r="Y744" i="1" a="1"/>
  <c r="Y744" i="1" s="1"/>
  <c r="Y745" i="1" a="1"/>
  <c r="Y745" i="1" s="1"/>
  <c r="Y746" i="1" a="1"/>
  <c r="Y746" i="1" s="1"/>
  <c r="Y747" i="1" a="1"/>
  <c r="Y747" i="1" s="1"/>
  <c r="Y748" i="1" a="1"/>
  <c r="Y748" i="1" s="1"/>
  <c r="Y749" i="1" a="1"/>
  <c r="Y749" i="1" s="1"/>
  <c r="Y750" i="1" a="1"/>
  <c r="Y750" i="1" s="1"/>
  <c r="Y751" i="1" a="1"/>
  <c r="Y751" i="1" s="1"/>
  <c r="Y752" i="1" a="1"/>
  <c r="Y752" i="1" s="1"/>
  <c r="Y753" i="1" a="1"/>
  <c r="Y753" i="1" s="1"/>
  <c r="Y754" i="1" a="1"/>
  <c r="Y754" i="1" s="1"/>
  <c r="Y755" i="1" a="1"/>
  <c r="Y755" i="1" s="1"/>
  <c r="Y756" i="1" a="1"/>
  <c r="Y756" i="1" s="1"/>
  <c r="Y757" i="1" a="1"/>
  <c r="Y757" i="1" s="1"/>
  <c r="Y758" i="1" a="1"/>
  <c r="Y758" i="1" s="1"/>
  <c r="Y759" i="1" a="1"/>
  <c r="Y759" i="1" s="1"/>
  <c r="Y760" i="1" a="1"/>
  <c r="Y760" i="1" s="1"/>
  <c r="Y761" i="1" a="1"/>
  <c r="Y761" i="1" s="1"/>
  <c r="Y762" i="1" a="1"/>
  <c r="Y762" i="1" s="1"/>
  <c r="Y763" i="1" a="1"/>
  <c r="Y763" i="1" s="1"/>
  <c r="Y764" i="1" a="1"/>
  <c r="Y764" i="1" s="1"/>
  <c r="Y765" i="1" a="1"/>
  <c r="Y765" i="1" s="1"/>
  <c r="Y766" i="1" a="1"/>
  <c r="Y766" i="1" s="1"/>
  <c r="Y767" i="1" a="1"/>
  <c r="Y767" i="1" s="1"/>
  <c r="Y768" i="1" a="1"/>
  <c r="Y768" i="1" s="1"/>
  <c r="Y769" i="1" a="1"/>
  <c r="Y769" i="1" s="1"/>
  <c r="Y770" i="1" a="1"/>
  <c r="Y770" i="1" s="1"/>
  <c r="Y771" i="1" a="1"/>
  <c r="Y771" i="1" s="1"/>
  <c r="Y772" i="1" a="1"/>
  <c r="Y772" i="1" s="1"/>
  <c r="Y773" i="1" a="1"/>
  <c r="Y773" i="1" s="1"/>
  <c r="Y774" i="1" a="1"/>
  <c r="Y774" i="1" s="1"/>
  <c r="Y775" i="1" a="1"/>
  <c r="Y775" i="1" s="1"/>
  <c r="Y776" i="1" a="1"/>
  <c r="Y776" i="1" s="1"/>
  <c r="Y777" i="1" a="1"/>
  <c r="Y777" i="1" s="1"/>
  <c r="Y778" i="1" a="1"/>
  <c r="Y778" i="1" s="1"/>
  <c r="Y779" i="1" a="1"/>
  <c r="Y779" i="1" s="1"/>
  <c r="Y780" i="1" a="1"/>
  <c r="Y780" i="1" s="1"/>
  <c r="Y781" i="1" a="1"/>
  <c r="Y781" i="1" s="1"/>
  <c r="Y782" i="1" a="1"/>
  <c r="Y782" i="1" s="1"/>
  <c r="Y783" i="1" a="1"/>
  <c r="Y783" i="1" s="1"/>
  <c r="Y784" i="1" a="1"/>
  <c r="Y784" i="1" s="1"/>
  <c r="Y785" i="1" a="1"/>
  <c r="Y785" i="1" s="1"/>
  <c r="Y786" i="1" a="1"/>
  <c r="Y786" i="1" s="1"/>
  <c r="Y787" i="1" a="1"/>
  <c r="Y787" i="1" s="1"/>
  <c r="Y788" i="1" a="1"/>
  <c r="Y788" i="1" s="1"/>
  <c r="Y789" i="1" a="1"/>
  <c r="Y789" i="1" s="1"/>
  <c r="Y790" i="1" a="1"/>
  <c r="Y790" i="1" s="1"/>
  <c r="Y791" i="1" a="1"/>
  <c r="Y791" i="1" s="1"/>
  <c r="Y792" i="1" a="1"/>
  <c r="Y792" i="1" s="1"/>
  <c r="Y793" i="1" a="1"/>
  <c r="Y793" i="1" s="1"/>
  <c r="Y794" i="1" a="1"/>
  <c r="Y794" i="1" s="1"/>
  <c r="Y795" i="1" a="1"/>
  <c r="Y795" i="1" s="1"/>
  <c r="Y796" i="1" a="1"/>
  <c r="Y796" i="1" s="1"/>
  <c r="Y797" i="1" a="1"/>
  <c r="Y797" i="1" s="1"/>
  <c r="Y798" i="1" a="1"/>
  <c r="Y798" i="1" s="1"/>
  <c r="Y799" i="1" a="1"/>
  <c r="Y799" i="1" s="1"/>
  <c r="Y800" i="1" a="1"/>
  <c r="Y800" i="1" s="1"/>
  <c r="Y801" i="1" a="1"/>
  <c r="Y801" i="1" s="1"/>
  <c r="Y802" i="1" a="1"/>
  <c r="Y802" i="1" s="1"/>
  <c r="Y803" i="1" a="1"/>
  <c r="Y803" i="1" s="1"/>
  <c r="Y804" i="1" a="1"/>
  <c r="Y804" i="1" s="1"/>
  <c r="Y805" i="1" a="1"/>
  <c r="Y805" i="1" s="1"/>
  <c r="Y806" i="1" a="1"/>
  <c r="Y806" i="1" s="1"/>
  <c r="Y807" i="1" a="1"/>
  <c r="Y807" i="1" s="1"/>
  <c r="Y808" i="1" a="1"/>
  <c r="Y808" i="1" s="1"/>
  <c r="Y809" i="1" a="1"/>
  <c r="Y809" i="1" s="1"/>
  <c r="Y810" i="1" a="1"/>
  <c r="Y810" i="1" s="1"/>
  <c r="Y811" i="1" a="1"/>
  <c r="Y811" i="1" s="1"/>
  <c r="Y812" i="1" a="1"/>
  <c r="Y812" i="1" s="1"/>
  <c r="Y813" i="1" a="1"/>
  <c r="Y813" i="1" s="1"/>
  <c r="Y814" i="1" a="1"/>
  <c r="Y814" i="1" s="1"/>
  <c r="Y815" i="1" a="1"/>
  <c r="Y815" i="1" s="1"/>
  <c r="Y816" i="1" a="1"/>
  <c r="Y816" i="1" s="1"/>
  <c r="Y817" i="1" a="1"/>
  <c r="Y817" i="1" s="1"/>
  <c r="Y818" i="1" a="1"/>
  <c r="Y818" i="1" s="1"/>
  <c r="Y819" i="1" a="1"/>
  <c r="Y819" i="1" s="1"/>
  <c r="Y820" i="1" a="1"/>
  <c r="Y820" i="1" s="1"/>
  <c r="Y821" i="1" a="1"/>
  <c r="Y821" i="1" s="1"/>
  <c r="Y822" i="1" a="1"/>
  <c r="Y822" i="1" s="1"/>
  <c r="Y823" i="1" a="1"/>
  <c r="Y823" i="1" s="1"/>
  <c r="Y824" i="1" a="1"/>
  <c r="Y824" i="1" s="1"/>
  <c r="Y825" i="1" a="1"/>
  <c r="Y825" i="1" s="1"/>
  <c r="Y826" i="1" a="1"/>
  <c r="Y826" i="1" s="1"/>
  <c r="Y827" i="1" a="1"/>
  <c r="Y827" i="1" s="1"/>
  <c r="Y828" i="1" a="1"/>
  <c r="Y828" i="1" s="1"/>
  <c r="Y829" i="1" a="1"/>
  <c r="Y829" i="1" s="1"/>
  <c r="Y830" i="1" a="1"/>
  <c r="Y830" i="1" s="1"/>
  <c r="Y831" i="1" a="1"/>
  <c r="Y831" i="1" s="1"/>
  <c r="Y832" i="1" a="1"/>
  <c r="Y832" i="1" s="1"/>
  <c r="Y833" i="1" a="1"/>
  <c r="Y833" i="1" s="1"/>
  <c r="Y834" i="1" a="1"/>
  <c r="Y834" i="1" s="1"/>
  <c r="Y835" i="1" a="1"/>
  <c r="Y835" i="1" s="1"/>
  <c r="Y836" i="1" a="1"/>
  <c r="Y836" i="1" s="1"/>
  <c r="Y837" i="1" a="1"/>
  <c r="Y837" i="1" s="1"/>
  <c r="Y838" i="1" a="1"/>
  <c r="Y838" i="1" s="1"/>
  <c r="Y839" i="1" a="1"/>
  <c r="Y839" i="1" s="1"/>
  <c r="Y840" i="1" a="1"/>
  <c r="Y840" i="1" s="1"/>
  <c r="Y841" i="1" a="1"/>
  <c r="Y841" i="1" s="1"/>
  <c r="Y842" i="1" a="1"/>
  <c r="Y842" i="1" s="1"/>
  <c r="Y843" i="1" a="1"/>
  <c r="Y843" i="1" s="1"/>
  <c r="Y844" i="1" a="1"/>
  <c r="Y844" i="1" s="1"/>
  <c r="Y845" i="1" a="1"/>
  <c r="Y845" i="1" s="1"/>
  <c r="Y846" i="1" a="1"/>
  <c r="Y846" i="1" s="1"/>
  <c r="Y847" i="1" a="1"/>
  <c r="Y847" i="1" s="1"/>
  <c r="Y848" i="1" a="1"/>
  <c r="Y848" i="1" s="1"/>
  <c r="Y849" i="1" a="1"/>
  <c r="Y849" i="1" s="1"/>
  <c r="Y850" i="1" a="1"/>
  <c r="Y850" i="1" s="1"/>
  <c r="Y851" i="1" a="1"/>
  <c r="Y851" i="1" s="1"/>
  <c r="Y852" i="1" a="1"/>
  <c r="Y852" i="1" s="1"/>
  <c r="Y853" i="1" a="1"/>
  <c r="Y853" i="1" s="1"/>
  <c r="Y854" i="1" a="1"/>
  <c r="Y854" i="1" s="1"/>
  <c r="Y855" i="1" a="1"/>
  <c r="Y855" i="1" s="1"/>
  <c r="Y856" i="1" a="1"/>
  <c r="Y856" i="1" s="1"/>
  <c r="Y857" i="1" a="1"/>
  <c r="Y857" i="1" s="1"/>
  <c r="Y858" i="1" a="1"/>
  <c r="Y858" i="1" s="1"/>
  <c r="Y859" i="1" a="1"/>
  <c r="Y859" i="1" s="1"/>
  <c r="Y860" i="1" a="1"/>
  <c r="Y860" i="1" s="1"/>
  <c r="Y861" i="1" a="1"/>
  <c r="Y861" i="1" s="1"/>
  <c r="Y862" i="1" a="1"/>
  <c r="Y862" i="1" s="1"/>
  <c r="Y863" i="1" a="1"/>
  <c r="Y863" i="1" s="1"/>
  <c r="Y864" i="1" a="1"/>
  <c r="Y864" i="1" s="1"/>
  <c r="Y865" i="1" a="1"/>
  <c r="Y865" i="1" s="1"/>
  <c r="Y866" i="1" a="1"/>
  <c r="Y866" i="1" s="1"/>
  <c r="Y867" i="1" a="1"/>
  <c r="Y867" i="1" s="1"/>
  <c r="Y868" i="1" a="1"/>
  <c r="Y868" i="1" s="1"/>
  <c r="Y869" i="1" a="1"/>
  <c r="Y869" i="1" s="1"/>
  <c r="Y870" i="1" a="1"/>
  <c r="Y870" i="1" s="1"/>
  <c r="Y871" i="1" a="1"/>
  <c r="Y871" i="1" s="1"/>
  <c r="Y872" i="1" a="1"/>
  <c r="Y872" i="1" s="1"/>
  <c r="Y873" i="1" a="1"/>
  <c r="Y873" i="1" s="1"/>
  <c r="Y874" i="1" a="1"/>
  <c r="Y874" i="1" s="1"/>
  <c r="Y875" i="1" a="1"/>
  <c r="Y875" i="1" s="1"/>
  <c r="Y876" i="1" a="1"/>
  <c r="Y876" i="1" s="1"/>
  <c r="Y877" i="1" a="1"/>
  <c r="Y877" i="1" s="1"/>
  <c r="Y878" i="1" a="1"/>
  <c r="Y878" i="1" s="1"/>
  <c r="Y879" i="1" a="1"/>
  <c r="Y879" i="1" s="1"/>
  <c r="Y880" i="1" a="1"/>
  <c r="Y880" i="1" s="1"/>
  <c r="Y881" i="1" a="1"/>
  <c r="Y881" i="1" s="1"/>
  <c r="Y882" i="1" a="1"/>
  <c r="Y882" i="1" s="1"/>
  <c r="Y883" i="1" a="1"/>
  <c r="Y883" i="1" s="1"/>
  <c r="Y884" i="1" a="1"/>
  <c r="Y884" i="1" s="1"/>
  <c r="Y885" i="1" a="1"/>
  <c r="Y885" i="1" s="1"/>
  <c r="Y886" i="1" a="1"/>
  <c r="Y886" i="1" s="1"/>
  <c r="Y887" i="1" a="1"/>
  <c r="Y887" i="1" s="1"/>
  <c r="Y888" i="1" a="1"/>
  <c r="Y888" i="1" s="1"/>
  <c r="Y889" i="1" a="1"/>
  <c r="Y889" i="1" s="1"/>
  <c r="Y890" i="1" a="1"/>
  <c r="Y890" i="1" s="1"/>
  <c r="Y891" i="1" a="1"/>
  <c r="Y891" i="1" s="1"/>
  <c r="Y892" i="1" a="1"/>
  <c r="Y892" i="1" s="1"/>
  <c r="Y893" i="1" a="1"/>
  <c r="Y893" i="1" s="1"/>
  <c r="Y894" i="1" a="1"/>
  <c r="Y894" i="1" s="1"/>
  <c r="Y895" i="1" a="1"/>
  <c r="Y895" i="1" s="1"/>
  <c r="Y896" i="1" a="1"/>
  <c r="Y896" i="1" s="1"/>
  <c r="Y897" i="1" a="1"/>
  <c r="Y897" i="1" s="1"/>
  <c r="Y898" i="1" a="1"/>
  <c r="Y898" i="1" s="1"/>
  <c r="Y899" i="1" a="1"/>
  <c r="Y899" i="1" s="1"/>
  <c r="Y900" i="1" a="1"/>
  <c r="Y900" i="1" s="1"/>
  <c r="Y901" i="1" a="1"/>
  <c r="Y901" i="1" s="1"/>
  <c r="Y902" i="1" a="1"/>
  <c r="Y902" i="1" s="1"/>
  <c r="Y903" i="1" a="1"/>
  <c r="Y903" i="1" s="1"/>
  <c r="Y904" i="1" a="1"/>
  <c r="Y904" i="1" s="1"/>
  <c r="Y905" i="1" a="1"/>
  <c r="Y905" i="1" s="1"/>
  <c r="Y906" i="1" a="1"/>
  <c r="Y906" i="1" s="1"/>
  <c r="Y907" i="1" a="1"/>
  <c r="Y907" i="1" s="1"/>
  <c r="Y908" i="1" a="1"/>
  <c r="Y908" i="1" s="1"/>
  <c r="Y909" i="1" a="1"/>
  <c r="Y909" i="1" s="1"/>
  <c r="Y910" i="1" a="1"/>
  <c r="Y910" i="1" s="1"/>
  <c r="Y911" i="1" a="1"/>
  <c r="Y911" i="1" s="1"/>
  <c r="Y912" i="1" a="1"/>
  <c r="Y912" i="1" s="1"/>
  <c r="Y913" i="1" a="1"/>
  <c r="Y913" i="1" s="1"/>
  <c r="Y914" i="1" a="1"/>
  <c r="Y914" i="1" s="1"/>
  <c r="Y915" i="1" a="1"/>
  <c r="Y915" i="1" s="1"/>
  <c r="Y916" i="1" a="1"/>
  <c r="Y916" i="1" s="1"/>
  <c r="Y917" i="1" a="1"/>
  <c r="Y917" i="1" s="1"/>
  <c r="Y918" i="1" a="1"/>
  <c r="Y918" i="1" s="1"/>
  <c r="Y919" i="1" a="1"/>
  <c r="Y919" i="1" s="1"/>
  <c r="Y920" i="1" a="1"/>
  <c r="Y920" i="1" s="1"/>
  <c r="Y921" i="1" a="1"/>
  <c r="Y921" i="1" s="1"/>
  <c r="Y922" i="1" a="1"/>
  <c r="Y922" i="1" s="1"/>
  <c r="Y923" i="1" a="1"/>
  <c r="Y923" i="1" s="1"/>
  <c r="Y924" i="1" a="1"/>
  <c r="Y924" i="1" s="1"/>
  <c r="Y925" i="1" a="1"/>
  <c r="Y925" i="1" s="1"/>
  <c r="Y926" i="1" a="1"/>
  <c r="Y926" i="1" s="1"/>
  <c r="Y927" i="1" a="1"/>
  <c r="Y927" i="1" s="1"/>
  <c r="Y928" i="1" a="1"/>
  <c r="Y928" i="1" s="1"/>
  <c r="Y929" i="1" a="1"/>
  <c r="Y929" i="1" s="1"/>
  <c r="Y930" i="1" a="1"/>
  <c r="Y930" i="1" s="1"/>
  <c r="Y931" i="1" a="1"/>
  <c r="Y931" i="1" s="1"/>
  <c r="Y932" i="1" a="1"/>
  <c r="Y932" i="1" s="1"/>
  <c r="Y933" i="1" a="1"/>
  <c r="Y933" i="1" s="1"/>
  <c r="Y934" i="1" a="1"/>
  <c r="Y934" i="1" s="1"/>
  <c r="Y935" i="1" a="1"/>
  <c r="Y935" i="1" s="1"/>
  <c r="Y936" i="1" a="1"/>
  <c r="Y936" i="1" s="1"/>
  <c r="Y937" i="1" a="1"/>
  <c r="Y937" i="1" s="1"/>
  <c r="Y938" i="1" a="1"/>
  <c r="Y938" i="1" s="1"/>
  <c r="Y939" i="1" a="1"/>
  <c r="Y939" i="1" s="1"/>
  <c r="Y940" i="1" a="1"/>
  <c r="Y940" i="1" s="1"/>
  <c r="Y941" i="1" a="1"/>
  <c r="Y941" i="1" s="1"/>
  <c r="Y942" i="1" a="1"/>
  <c r="Y942" i="1" s="1"/>
  <c r="Y943" i="1" a="1"/>
  <c r="Y943" i="1" s="1"/>
  <c r="Y944" i="1" a="1"/>
  <c r="Y944" i="1" s="1"/>
  <c r="Y945" i="1" a="1"/>
  <c r="Y945" i="1" s="1"/>
  <c r="Y946" i="1" a="1"/>
  <c r="Y946" i="1" s="1"/>
  <c r="Y947" i="1" a="1"/>
  <c r="Y947" i="1" s="1"/>
  <c r="Y948" i="1" a="1"/>
  <c r="Y948" i="1" s="1"/>
  <c r="Y949" i="1" a="1"/>
  <c r="Y949" i="1" s="1"/>
  <c r="Y950" i="1" a="1"/>
  <c r="Y950" i="1" s="1"/>
  <c r="Y951" i="1" a="1"/>
  <c r="Y951" i="1" s="1"/>
  <c r="Y952" i="1" a="1"/>
  <c r="Y952" i="1" s="1"/>
  <c r="Y953" i="1" a="1"/>
  <c r="Y953" i="1" s="1"/>
  <c r="Y954" i="1" a="1"/>
  <c r="Y954" i="1" s="1"/>
  <c r="Y955" i="1" a="1"/>
  <c r="Y955" i="1" s="1"/>
  <c r="Y956" i="1" a="1"/>
  <c r="Y956" i="1" s="1"/>
  <c r="Y957" i="1" a="1"/>
  <c r="Y957" i="1" s="1"/>
  <c r="Y958" i="1" a="1"/>
  <c r="Y958" i="1" s="1"/>
  <c r="Y959" i="1" a="1"/>
  <c r="Y959" i="1" s="1"/>
  <c r="Y960" i="1" a="1"/>
  <c r="Y960" i="1" s="1"/>
  <c r="Y961" i="1" a="1"/>
  <c r="Y961" i="1" s="1"/>
  <c r="Y962" i="1" a="1"/>
  <c r="Y962" i="1" s="1"/>
  <c r="Y963" i="1" a="1"/>
  <c r="Y963" i="1" s="1"/>
  <c r="Y964" i="1" a="1"/>
  <c r="Y964" i="1" s="1"/>
  <c r="Y965" i="1" a="1"/>
  <c r="Y965" i="1" s="1"/>
  <c r="Y966" i="1" a="1"/>
  <c r="Y966" i="1" s="1"/>
  <c r="Y967" i="1" a="1"/>
  <c r="Y967" i="1" s="1"/>
  <c r="Y968" i="1" a="1"/>
  <c r="Y968" i="1" s="1"/>
  <c r="Y969" i="1" a="1"/>
  <c r="Y969" i="1" s="1"/>
  <c r="Y970" i="1" a="1"/>
  <c r="Y970" i="1" s="1"/>
  <c r="Y971" i="1" a="1"/>
  <c r="Y971" i="1" s="1"/>
  <c r="Y972" i="1" a="1"/>
  <c r="Y972" i="1" s="1"/>
  <c r="Y973" i="1" a="1"/>
  <c r="Y973" i="1" s="1"/>
  <c r="Y974" i="1" a="1"/>
  <c r="Y974" i="1" s="1"/>
  <c r="Y975" i="1" a="1"/>
  <c r="Y975" i="1" s="1"/>
  <c r="Y976" i="1" a="1"/>
  <c r="Y976" i="1" s="1"/>
  <c r="Y977" i="1" a="1"/>
  <c r="Y977" i="1" s="1"/>
  <c r="Y978" i="1" a="1"/>
  <c r="Y978" i="1" s="1"/>
  <c r="Y979" i="1" a="1"/>
  <c r="Y979" i="1" s="1"/>
  <c r="Y980" i="1" a="1"/>
  <c r="Y980" i="1" s="1"/>
  <c r="Y981" i="1" a="1"/>
  <c r="Y981" i="1" s="1"/>
  <c r="Y982" i="1" a="1"/>
  <c r="Y982" i="1" s="1"/>
  <c r="Y983" i="1" a="1"/>
  <c r="Y983" i="1" s="1"/>
  <c r="Y984" i="1" a="1"/>
  <c r="Y984" i="1" s="1"/>
  <c r="Y985" i="1" a="1"/>
  <c r="Y985" i="1" s="1"/>
  <c r="Y986" i="1" a="1"/>
  <c r="Y986" i="1" s="1"/>
  <c r="Y987" i="1" a="1"/>
  <c r="Y987" i="1" s="1"/>
  <c r="Y988" i="1" a="1"/>
  <c r="Y988" i="1" s="1"/>
  <c r="Y989" i="1" a="1"/>
  <c r="Y989" i="1" s="1"/>
  <c r="Y990" i="1" a="1"/>
  <c r="Y990" i="1" s="1"/>
  <c r="Y991" i="1" a="1"/>
  <c r="Y991" i="1" s="1"/>
  <c r="Y992" i="1" a="1"/>
  <c r="Y992" i="1" s="1"/>
  <c r="Y993" i="1" a="1"/>
  <c r="Y993" i="1" s="1"/>
  <c r="Y994" i="1" a="1"/>
  <c r="Y994" i="1" s="1"/>
  <c r="Y995" i="1" a="1"/>
  <c r="Y995" i="1" s="1"/>
  <c r="Y996" i="1" a="1"/>
  <c r="Y996" i="1" s="1"/>
  <c r="Y997" i="1" a="1"/>
  <c r="Y997" i="1" s="1"/>
  <c r="Y998" i="1" a="1"/>
  <c r="Y998" i="1" s="1"/>
  <c r="Y999" i="1" a="1"/>
  <c r="Y999" i="1" s="1"/>
  <c r="Y1000" i="1" a="1"/>
  <c r="Y1000" i="1" s="1"/>
  <c r="Y1001" i="1" a="1"/>
  <c r="Y1001" i="1" s="1"/>
  <c r="Y1002" i="1" a="1"/>
  <c r="Y1002" i="1" s="1"/>
  <c r="Y1003" i="1" a="1"/>
  <c r="Y1003" i="1" s="1"/>
  <c r="Y1004" i="1" a="1"/>
  <c r="Y1004" i="1" s="1"/>
  <c r="Y1005" i="1" a="1"/>
  <c r="Y1005" i="1" s="1"/>
  <c r="Y1006" i="1" a="1"/>
  <c r="Y1006" i="1" s="1"/>
  <c r="Y1007" i="1" a="1"/>
  <c r="Y1007" i="1" s="1"/>
  <c r="Y1008" i="1" a="1"/>
  <c r="Y1008" i="1" s="1"/>
  <c r="Y1009" i="1" a="1"/>
  <c r="Y1009" i="1" s="1"/>
  <c r="Y1010" i="1" a="1"/>
  <c r="Y1010" i="1" s="1"/>
  <c r="Y1011" i="1" a="1"/>
  <c r="Y1011" i="1" s="1"/>
  <c r="Y1012" i="1" a="1"/>
  <c r="Y1012" i="1" s="1"/>
  <c r="Y1013" i="1" a="1"/>
  <c r="Y1013" i="1" s="1"/>
  <c r="Y1014" i="1" a="1"/>
  <c r="Y1014" i="1" s="1"/>
  <c r="Y1015" i="1" a="1"/>
  <c r="Y1015" i="1" s="1"/>
  <c r="Y1016" i="1" a="1"/>
  <c r="Y1016" i="1" s="1"/>
  <c r="Y1017" i="1" a="1"/>
  <c r="Y1017" i="1" s="1"/>
  <c r="Y1018" i="1" a="1"/>
  <c r="Y1018" i="1" s="1"/>
  <c r="Y1019" i="1" a="1"/>
  <c r="Y1019" i="1" s="1"/>
  <c r="Y1020" i="1" a="1"/>
  <c r="Y1020" i="1" s="1"/>
  <c r="Y1021" i="1" a="1"/>
  <c r="Y1021" i="1" s="1"/>
  <c r="Y1022" i="1" a="1"/>
  <c r="Y1022" i="1" s="1"/>
  <c r="Y1023" i="1" a="1"/>
  <c r="Y1023" i="1" s="1"/>
  <c r="Y1024" i="1" a="1"/>
  <c r="Y1024" i="1" s="1"/>
  <c r="Y1025" i="1" a="1"/>
  <c r="Y1025" i="1" s="1"/>
  <c r="Y1026" i="1" a="1"/>
  <c r="Y1026" i="1" s="1"/>
  <c r="Y1027" i="1" a="1"/>
  <c r="Y1027" i="1" s="1"/>
  <c r="Y1028" i="1" a="1"/>
  <c r="Y1028" i="1" s="1"/>
  <c r="Y1029" i="1" a="1"/>
  <c r="Y1029" i="1" s="1"/>
  <c r="Y1030" i="1" a="1"/>
  <c r="Y1030" i="1" s="1"/>
  <c r="Y1031" i="1" a="1"/>
  <c r="Y1031" i="1" s="1"/>
  <c r="Y1032" i="1" a="1"/>
  <c r="Y1032" i="1" s="1"/>
  <c r="Y1033" i="1" a="1"/>
  <c r="Y1033" i="1" s="1"/>
  <c r="Y1034" i="1" a="1"/>
  <c r="Y1034" i="1" s="1"/>
  <c r="Y1035" i="1" a="1"/>
  <c r="Y1035" i="1" s="1"/>
  <c r="Y1036" i="1" a="1"/>
  <c r="Y1036" i="1" s="1"/>
  <c r="Y1037" i="1" a="1"/>
  <c r="Y1037" i="1" s="1"/>
  <c r="Y1038" i="1" a="1"/>
  <c r="Y1038" i="1" s="1"/>
  <c r="Y1039" i="1" a="1"/>
  <c r="Y1039" i="1" s="1"/>
  <c r="Y1040" i="1" a="1"/>
  <c r="Y1040" i="1" s="1"/>
  <c r="Y1041" i="1" a="1"/>
  <c r="Y1041" i="1" s="1"/>
  <c r="Y1042" i="1" a="1"/>
  <c r="Y1042" i="1" s="1"/>
  <c r="Y1043" i="1" a="1"/>
  <c r="Y1043" i="1" s="1"/>
  <c r="Y1044" i="1" a="1"/>
  <c r="Y1044" i="1" s="1"/>
  <c r="Y1045" i="1" a="1"/>
  <c r="Y1045" i="1" s="1"/>
  <c r="Y1046" i="1" a="1"/>
  <c r="Y1046" i="1" s="1"/>
  <c r="Y1047" i="1" a="1"/>
  <c r="Y1047" i="1" s="1"/>
  <c r="Y1048" i="1" a="1"/>
  <c r="Y1048" i="1" s="1"/>
  <c r="Y1049" i="1" a="1"/>
  <c r="Y1049" i="1" s="1"/>
  <c r="Y1050" i="1" a="1"/>
  <c r="Y1050" i="1" s="1"/>
  <c r="Y1051" i="1" a="1"/>
  <c r="Y1051" i="1" s="1"/>
  <c r="Y1052" i="1" a="1"/>
  <c r="Y1052" i="1" s="1"/>
  <c r="Y1053" i="1" a="1"/>
  <c r="Y1053" i="1" s="1"/>
  <c r="Y1054" i="1" a="1"/>
  <c r="Y1054" i="1" s="1"/>
  <c r="Y1055" i="1" a="1"/>
  <c r="Y1055" i="1" s="1"/>
  <c r="Y1056" i="1" a="1"/>
  <c r="Y1056" i="1" s="1"/>
  <c r="Y1057" i="1" a="1"/>
  <c r="Y1057" i="1" s="1"/>
  <c r="Y1058" i="1" a="1"/>
  <c r="Y1058" i="1" s="1"/>
  <c r="Y1059" i="1" a="1"/>
  <c r="Y1059" i="1" s="1"/>
  <c r="Y1060" i="1" a="1"/>
  <c r="Y1060" i="1" s="1"/>
  <c r="Y1061" i="1" a="1"/>
  <c r="Y1061" i="1" s="1"/>
  <c r="Y1062" i="1" a="1"/>
  <c r="Y1062" i="1" s="1"/>
  <c r="Y1063" i="1" a="1"/>
  <c r="Y1063" i="1" s="1"/>
  <c r="Y1064" i="1" a="1"/>
  <c r="Y1064" i="1" s="1"/>
  <c r="Y1065" i="1" a="1"/>
  <c r="Y1065" i="1" s="1"/>
  <c r="Y1066" i="1" a="1"/>
  <c r="Y1066" i="1" s="1"/>
  <c r="Y1067" i="1" a="1"/>
  <c r="Y1067" i="1" s="1"/>
  <c r="Y1068" i="1" a="1"/>
  <c r="Y1068" i="1" s="1"/>
  <c r="Y1069" i="1" a="1"/>
  <c r="Y1069" i="1" s="1"/>
  <c r="Y1070" i="1" a="1"/>
  <c r="Y1070" i="1" s="1"/>
  <c r="Y1071" i="1" a="1"/>
  <c r="Y1071" i="1" s="1"/>
  <c r="Y1072" i="1" a="1"/>
  <c r="Y1072" i="1" s="1"/>
  <c r="Y1073" i="1" a="1"/>
  <c r="Y1073" i="1" s="1"/>
  <c r="Y1074" i="1" a="1"/>
  <c r="Y1074" i="1" s="1"/>
  <c r="Y1075" i="1" a="1"/>
  <c r="Y1075" i="1" s="1"/>
  <c r="Y1076" i="1" a="1"/>
  <c r="Y1076" i="1" s="1"/>
  <c r="Y1077" i="1" a="1"/>
  <c r="Y1077" i="1" s="1"/>
  <c r="Y1078" i="1" a="1"/>
  <c r="Y1078" i="1" s="1"/>
  <c r="Y1079" i="1" a="1"/>
  <c r="Y1079" i="1" s="1"/>
  <c r="Y1080" i="1" a="1"/>
  <c r="Y1080" i="1" s="1"/>
  <c r="Y1081" i="1" a="1"/>
  <c r="Y1081" i="1" s="1"/>
  <c r="Y1082" i="1" a="1"/>
  <c r="Y1082" i="1" s="1"/>
  <c r="Y1083" i="1" a="1"/>
  <c r="Y1083" i="1" s="1"/>
  <c r="Y1084" i="1" a="1"/>
  <c r="Y1084" i="1" s="1"/>
  <c r="Y1085" i="1" a="1"/>
  <c r="Y1085" i="1" s="1"/>
  <c r="Y1086" i="1" a="1"/>
  <c r="Y1086" i="1" s="1"/>
  <c r="Y1087" i="1" a="1"/>
  <c r="Y1087" i="1" s="1"/>
  <c r="Y1088" i="1" a="1"/>
  <c r="Y1088" i="1" s="1"/>
  <c r="Y1089" i="1" a="1"/>
  <c r="Y1089" i="1" s="1"/>
  <c r="Y1090" i="1" a="1"/>
  <c r="Y1090" i="1" s="1"/>
  <c r="Y1091" i="1" a="1"/>
  <c r="Y1091" i="1" s="1"/>
  <c r="Y1092" i="1" a="1"/>
  <c r="Y1092" i="1" s="1"/>
  <c r="Y1093" i="1" a="1"/>
  <c r="Y1093" i="1" s="1"/>
  <c r="Y1094" i="1" a="1"/>
  <c r="Y1094" i="1" s="1"/>
  <c r="Y1095" i="1" a="1"/>
  <c r="Y1095" i="1" s="1"/>
  <c r="Y1096" i="1" a="1"/>
  <c r="Y1096" i="1" s="1"/>
  <c r="Y1097" i="1" a="1"/>
  <c r="Y1097" i="1" s="1"/>
  <c r="Y1098" i="1" a="1"/>
  <c r="Y1098" i="1" s="1"/>
  <c r="Y1099" i="1" a="1"/>
  <c r="Y1099" i="1" s="1"/>
  <c r="Y1100" i="1" a="1"/>
  <c r="Y1100" i="1" s="1"/>
  <c r="Y1101" i="1" a="1"/>
  <c r="Y1101" i="1" s="1"/>
  <c r="Y1102" i="1" a="1"/>
  <c r="Y1102" i="1" s="1"/>
  <c r="Y1103" i="1" a="1"/>
  <c r="Y1103" i="1" s="1"/>
  <c r="Y1104" i="1" a="1"/>
  <c r="Y1104" i="1" s="1"/>
  <c r="Y1105" i="1" a="1"/>
  <c r="Y1105" i="1" s="1"/>
  <c r="Y1106" i="1" a="1"/>
  <c r="Y1106" i="1" s="1"/>
  <c r="Y1107" i="1" a="1"/>
  <c r="Y1107" i="1" s="1"/>
  <c r="Y1108" i="1" a="1"/>
  <c r="Y1108" i="1" s="1"/>
  <c r="Y1109" i="1" a="1"/>
  <c r="Y1109" i="1" s="1"/>
  <c r="Y1110" i="1" a="1"/>
  <c r="Y1110" i="1" s="1"/>
  <c r="Y1111" i="1" a="1"/>
  <c r="Y1111" i="1" s="1"/>
  <c r="Y1112" i="1" a="1"/>
  <c r="Y1112" i="1" s="1"/>
  <c r="Y1113" i="1" a="1"/>
  <c r="Y1113" i="1" s="1"/>
  <c r="Y1114" i="1" a="1"/>
  <c r="Y1114" i="1" s="1"/>
  <c r="Y1115" i="1" a="1"/>
  <c r="Y1115" i="1" s="1"/>
  <c r="Y1116" i="1" a="1"/>
  <c r="Y1116" i="1" s="1"/>
  <c r="Y1117" i="1" a="1"/>
  <c r="Y1117" i="1" s="1"/>
  <c r="Y1118" i="1" a="1"/>
  <c r="Y1118" i="1" s="1"/>
  <c r="Y1119" i="1" a="1"/>
  <c r="Y1119" i="1" s="1"/>
  <c r="Y1120" i="1" a="1"/>
  <c r="Y1120" i="1" s="1"/>
  <c r="Y1121" i="1" a="1"/>
  <c r="Y1121" i="1" s="1"/>
  <c r="Y1122" i="1" a="1"/>
  <c r="Y1122" i="1" s="1"/>
  <c r="Y1123" i="1" a="1"/>
  <c r="Y1123" i="1" s="1"/>
  <c r="Y1124" i="1" a="1"/>
  <c r="Y1124" i="1" s="1"/>
  <c r="Y1125" i="1" a="1"/>
  <c r="Y1125" i="1" s="1"/>
  <c r="Y1126" i="1" a="1"/>
  <c r="Y1126" i="1" s="1"/>
  <c r="Y1127" i="1" a="1"/>
  <c r="Y1127" i="1" s="1"/>
  <c r="Y1128" i="1" a="1"/>
  <c r="Y1128" i="1" s="1"/>
  <c r="Y1129" i="1" a="1"/>
  <c r="Y1129" i="1" s="1"/>
  <c r="Y1130" i="1" a="1"/>
  <c r="Y1130" i="1" s="1"/>
  <c r="Y1131" i="1" a="1"/>
  <c r="Y1131" i="1" s="1"/>
  <c r="Y1132" i="1" a="1"/>
  <c r="Y1132" i="1" s="1"/>
  <c r="Y1133" i="1" a="1"/>
  <c r="Y1133" i="1" s="1"/>
  <c r="Y1134" i="1" a="1"/>
  <c r="Y1134" i="1" s="1"/>
  <c r="Y1135" i="1" a="1"/>
  <c r="Y1135" i="1" s="1"/>
  <c r="Y1136" i="1" a="1"/>
  <c r="Y1136" i="1" s="1"/>
  <c r="Y1137" i="1" a="1"/>
  <c r="Y1137" i="1" s="1"/>
  <c r="Y1138" i="1" a="1"/>
  <c r="Y1138" i="1" s="1"/>
  <c r="Y1139" i="1" a="1"/>
  <c r="Y1139" i="1" s="1"/>
  <c r="Y1140" i="1" a="1"/>
  <c r="Y1140" i="1" s="1"/>
  <c r="Y1141" i="1" a="1"/>
  <c r="Y1141" i="1" s="1"/>
  <c r="Y1142" i="1" a="1"/>
  <c r="Y1142" i="1" s="1"/>
  <c r="Y1143" i="1" a="1"/>
  <c r="Y1143" i="1" s="1"/>
  <c r="Y1144" i="1" a="1"/>
  <c r="Y1144" i="1" s="1"/>
  <c r="Y1145" i="1" a="1"/>
  <c r="Y1145" i="1" s="1"/>
  <c r="Y1146" i="1" a="1"/>
  <c r="Y1146" i="1" s="1"/>
  <c r="Y1147" i="1" a="1"/>
  <c r="Y1147" i="1" s="1"/>
  <c r="Y1148" i="1" a="1"/>
  <c r="Y1148" i="1" s="1"/>
  <c r="Y1149" i="1" a="1"/>
  <c r="Y1149" i="1" s="1"/>
  <c r="Y1150" i="1" a="1"/>
  <c r="Y1150" i="1" s="1"/>
  <c r="Y1151" i="1" a="1"/>
  <c r="Y1151" i="1" s="1"/>
  <c r="Y1152" i="1" a="1"/>
  <c r="Y1152" i="1" s="1"/>
  <c r="Y1153" i="1" a="1"/>
  <c r="Y1153" i="1" s="1"/>
  <c r="Y1154" i="1" a="1"/>
  <c r="Y1154" i="1" s="1"/>
  <c r="Y1155" i="1" a="1"/>
  <c r="Y1155" i="1" s="1"/>
  <c r="Y1156" i="1" a="1"/>
  <c r="Y1156" i="1" s="1"/>
  <c r="Y1157" i="1" a="1"/>
  <c r="Y1157" i="1" s="1"/>
  <c r="Y1158" i="1" a="1"/>
  <c r="Y1158" i="1" s="1"/>
  <c r="Y1159" i="1" a="1"/>
  <c r="Y1159" i="1" s="1"/>
  <c r="Y1160" i="1" a="1"/>
  <c r="Y1160" i="1" s="1"/>
  <c r="Y1161" i="1" a="1"/>
  <c r="Y1161" i="1" s="1"/>
  <c r="Y1162" i="1" a="1"/>
  <c r="Y1162" i="1" s="1"/>
  <c r="Y1163" i="1" a="1"/>
  <c r="Y1163" i="1" s="1"/>
  <c r="Y1164" i="1" a="1"/>
  <c r="Y1164" i="1" s="1"/>
  <c r="Y1165" i="1" a="1"/>
  <c r="Y1165" i="1" s="1"/>
  <c r="Y1166" i="1" a="1"/>
  <c r="Y1166" i="1" s="1"/>
  <c r="Y1167" i="1" a="1"/>
  <c r="Y1167" i="1" s="1"/>
  <c r="Y1168" i="1" a="1"/>
  <c r="Y1168" i="1" s="1"/>
  <c r="Y1169" i="1" a="1"/>
  <c r="Y1169" i="1" s="1"/>
  <c r="Y1170" i="1" a="1"/>
  <c r="Y1170" i="1" s="1"/>
  <c r="Y1171" i="1" a="1"/>
  <c r="Y1171" i="1" s="1"/>
  <c r="Y1172" i="1" a="1"/>
  <c r="Y1172" i="1" s="1"/>
  <c r="Y1173" i="1" a="1"/>
  <c r="Y1173" i="1" s="1"/>
  <c r="Y1174" i="1" a="1"/>
  <c r="Y1174" i="1" s="1"/>
  <c r="Y1175" i="1" a="1"/>
  <c r="Y1175" i="1" s="1"/>
  <c r="Y1176" i="1" a="1"/>
  <c r="Y1176" i="1" s="1"/>
  <c r="Y1177" i="1" a="1"/>
  <c r="Y1177" i="1" s="1"/>
  <c r="Y1178" i="1" a="1"/>
  <c r="Y1178" i="1" s="1"/>
  <c r="Y1179" i="1" a="1"/>
  <c r="Y1179" i="1" s="1"/>
  <c r="Y1180" i="1" a="1"/>
  <c r="Y1180" i="1" s="1"/>
  <c r="Y1181" i="1" a="1"/>
  <c r="Y1181" i="1" s="1"/>
  <c r="Y1182" i="1" a="1"/>
  <c r="Y1182" i="1" s="1"/>
  <c r="Y1183" i="1" a="1"/>
  <c r="Y1183" i="1" s="1"/>
  <c r="Y1184" i="1" a="1"/>
  <c r="Y1184" i="1" s="1"/>
  <c r="Y1185" i="1" a="1"/>
  <c r="Y1185" i="1" s="1"/>
  <c r="Y1186" i="1" a="1"/>
  <c r="Y1186" i="1" s="1"/>
  <c r="Y1187" i="1" a="1"/>
  <c r="Y1187" i="1" s="1"/>
  <c r="Y1188" i="1" a="1"/>
  <c r="Y1188" i="1" s="1"/>
  <c r="Y1189" i="1" a="1"/>
  <c r="Y1189" i="1" s="1"/>
  <c r="Y1190" i="1" a="1"/>
  <c r="Y1190" i="1" s="1"/>
  <c r="Y1191" i="1" a="1"/>
  <c r="Y1191" i="1" s="1"/>
  <c r="Y1192" i="1" a="1"/>
  <c r="Y1192" i="1" s="1"/>
  <c r="Y1193" i="1" a="1"/>
  <c r="Y1193" i="1" s="1"/>
  <c r="Y1194" i="1" a="1"/>
  <c r="Y1194" i="1" s="1"/>
  <c r="Y1195" i="1" a="1"/>
  <c r="Y1195" i="1" s="1"/>
  <c r="Y1196" i="1" a="1"/>
  <c r="Y1196" i="1" s="1"/>
  <c r="Y1197" i="1" a="1"/>
  <c r="Y1197" i="1" s="1"/>
  <c r="Y1198" i="1" a="1"/>
  <c r="Y1198" i="1" s="1"/>
  <c r="Y1199" i="1" a="1"/>
  <c r="Y1199" i="1" s="1"/>
  <c r="Y1200" i="1" a="1"/>
  <c r="Y1200" i="1" s="1"/>
  <c r="Y1201" i="1" a="1"/>
  <c r="Y1201" i="1" s="1"/>
  <c r="Y1202" i="1" a="1"/>
  <c r="Y1202" i="1" s="1"/>
  <c r="Y1203" i="1" a="1"/>
  <c r="Y1203" i="1" s="1"/>
  <c r="Y1204" i="1" a="1"/>
  <c r="Y1204" i="1" s="1"/>
  <c r="Y1205" i="1" a="1"/>
  <c r="Y1205" i="1" s="1"/>
  <c r="Y1206" i="1" a="1"/>
  <c r="Y1206" i="1" s="1"/>
  <c r="Y1207" i="1" a="1"/>
  <c r="Y1207" i="1" s="1"/>
  <c r="Y1208" i="1" a="1"/>
  <c r="Y1208" i="1" s="1"/>
  <c r="Y1209" i="1" a="1"/>
  <c r="Y1209" i="1" s="1"/>
  <c r="Y1210" i="1" a="1"/>
  <c r="Y1210" i="1" s="1"/>
  <c r="Y1211" i="1" a="1"/>
  <c r="Y1211" i="1" s="1"/>
  <c r="Y1212" i="1" a="1"/>
  <c r="Y1212" i="1" s="1"/>
  <c r="Y1213" i="1" a="1"/>
  <c r="Y1213" i="1" s="1"/>
  <c r="Y1214" i="1" a="1"/>
  <c r="Y1214" i="1" s="1"/>
  <c r="Y1215" i="1" a="1"/>
  <c r="Y1215" i="1" s="1"/>
  <c r="Y1216" i="1" a="1"/>
  <c r="Y1216" i="1" s="1"/>
  <c r="Y1217" i="1" a="1"/>
  <c r="Y1217" i="1" s="1"/>
  <c r="Y1218" i="1" a="1"/>
  <c r="Y1218" i="1" s="1"/>
  <c r="Y1219" i="1" a="1"/>
  <c r="Y1219" i="1" s="1"/>
  <c r="Y1220" i="1" a="1"/>
  <c r="Y1220" i="1" s="1"/>
  <c r="Y1221" i="1" a="1"/>
  <c r="Y1221" i="1" s="1"/>
  <c r="Y1222" i="1" a="1"/>
  <c r="Y1222" i="1" s="1"/>
  <c r="Y1223" i="1" a="1"/>
  <c r="Y1223" i="1" s="1"/>
  <c r="Y1224" i="1" a="1"/>
  <c r="Y1224" i="1" s="1"/>
  <c r="Y1225" i="1" a="1"/>
  <c r="Y1225" i="1" s="1"/>
  <c r="Y1226" i="1" a="1"/>
  <c r="Y1226" i="1" s="1"/>
  <c r="Y1227" i="1" a="1"/>
  <c r="Y1227" i="1" s="1"/>
  <c r="Y1228" i="1" a="1"/>
  <c r="Y1228" i="1" s="1"/>
  <c r="Y1229" i="1" a="1"/>
  <c r="Y1229" i="1" s="1"/>
  <c r="Y1230" i="1" a="1"/>
  <c r="Y1230" i="1" s="1"/>
  <c r="Y1231" i="1" a="1"/>
  <c r="Y1231" i="1" s="1"/>
  <c r="Y1232" i="1" a="1"/>
  <c r="Y1232" i="1" s="1"/>
  <c r="Y1233" i="1" a="1"/>
  <c r="Y1233" i="1" s="1"/>
  <c r="Y1234" i="1" a="1"/>
  <c r="Y1234" i="1" s="1"/>
  <c r="Y1235" i="1" a="1"/>
  <c r="Y1235" i="1" s="1"/>
  <c r="Y1236" i="1" a="1"/>
  <c r="Y1236" i="1" s="1"/>
  <c r="Y1237" i="1" a="1"/>
  <c r="Y1237" i="1" s="1"/>
  <c r="Y1238" i="1" a="1"/>
  <c r="Y1238" i="1" s="1"/>
  <c r="Y1239" i="1" a="1"/>
  <c r="Y1239" i="1" s="1"/>
  <c r="Y1240" i="1" a="1"/>
  <c r="Y1240" i="1" s="1"/>
  <c r="Y1241" i="1" a="1"/>
  <c r="Y1241" i="1" s="1"/>
  <c r="Y1242" i="1" a="1"/>
  <c r="Y1242" i="1" s="1"/>
  <c r="Y1243" i="1" a="1"/>
  <c r="Y1243" i="1" s="1"/>
  <c r="Y1244" i="1" a="1"/>
  <c r="Y1244" i="1" s="1"/>
  <c r="Y1245" i="1" a="1"/>
  <c r="Y1245" i="1" s="1"/>
  <c r="Y1246" i="1" a="1"/>
  <c r="Y1246" i="1" s="1"/>
  <c r="Y1247" i="1" a="1"/>
  <c r="Y1247" i="1" s="1"/>
  <c r="Y1248" i="1" a="1"/>
  <c r="Y1248" i="1" s="1"/>
  <c r="Y1249" i="1" a="1"/>
  <c r="Y1249" i="1" s="1"/>
  <c r="Y1250" i="1" a="1"/>
  <c r="Y1250" i="1" s="1"/>
  <c r="Y1251" i="1" a="1"/>
  <c r="Y1251" i="1" s="1"/>
  <c r="Y1252" i="1" a="1"/>
  <c r="Y1252" i="1" s="1"/>
  <c r="Y1253" i="1" a="1"/>
  <c r="Y1253" i="1" s="1"/>
  <c r="Y1254" i="1" a="1"/>
  <c r="Y1254" i="1" s="1"/>
  <c r="Y1255" i="1" a="1"/>
  <c r="Y1255" i="1" s="1"/>
  <c r="Y1256" i="1" a="1"/>
  <c r="Y1256" i="1" s="1"/>
  <c r="Y1257" i="1" a="1"/>
  <c r="Y1257" i="1" s="1"/>
  <c r="Y1258" i="1" a="1"/>
  <c r="Y1258" i="1" s="1"/>
  <c r="Y1259" i="1" a="1"/>
  <c r="Y1259" i="1" s="1"/>
  <c r="Y1260" i="1" a="1"/>
  <c r="Y1260" i="1" s="1"/>
  <c r="Y1261" i="1" a="1"/>
  <c r="Y1261" i="1" s="1"/>
  <c r="Y1262" i="1" a="1"/>
  <c r="Y1262" i="1" s="1"/>
  <c r="Y1263" i="1" a="1"/>
  <c r="Y1263" i="1" s="1"/>
  <c r="Y1264" i="1" a="1"/>
  <c r="Y1264" i="1" s="1"/>
  <c r="Y1265" i="1" a="1"/>
  <c r="Y1265" i="1" s="1"/>
  <c r="Y1266" i="1" a="1"/>
  <c r="Y1266" i="1" s="1"/>
  <c r="Y1267" i="1" a="1"/>
  <c r="Y1267" i="1" s="1"/>
  <c r="Y1268" i="1" a="1"/>
  <c r="Y1268" i="1" s="1"/>
  <c r="Y1269" i="1" a="1"/>
  <c r="Y1269" i="1" s="1"/>
  <c r="Y1270" i="1" a="1"/>
  <c r="Y1270" i="1" s="1"/>
  <c r="Y1271" i="1" a="1"/>
  <c r="Y1271" i="1" s="1"/>
  <c r="Y1272" i="1" a="1"/>
  <c r="Y1272" i="1" s="1"/>
  <c r="Y1273" i="1" a="1"/>
  <c r="Y1273" i="1" s="1"/>
  <c r="Y1274" i="1" a="1"/>
  <c r="Y1274" i="1" s="1"/>
  <c r="Y1275" i="1" a="1"/>
  <c r="Y1275" i="1" s="1"/>
  <c r="Y1276" i="1" a="1"/>
  <c r="Y1276" i="1" s="1"/>
  <c r="Y1277" i="1" a="1"/>
  <c r="Y1277" i="1" s="1"/>
  <c r="Y1278" i="1" a="1"/>
  <c r="Y1278" i="1" s="1"/>
  <c r="Y1279" i="1" a="1"/>
  <c r="Y1279" i="1" s="1"/>
  <c r="Y1280" i="1" a="1"/>
  <c r="Y1280" i="1" s="1"/>
  <c r="Y1281" i="1" a="1"/>
  <c r="Y1281" i="1" s="1"/>
  <c r="Y1282" i="1" a="1"/>
  <c r="Y1282" i="1" s="1"/>
  <c r="Y1283" i="1" a="1"/>
  <c r="Y1283" i="1" s="1"/>
  <c r="Y1284" i="1" a="1"/>
  <c r="Y1284" i="1" s="1"/>
  <c r="Y1285" i="1" a="1"/>
  <c r="Y1285" i="1" s="1"/>
  <c r="Y1286" i="1" a="1"/>
  <c r="Y1286" i="1" s="1"/>
  <c r="Y1287" i="1" a="1"/>
  <c r="Y1287" i="1" s="1"/>
  <c r="Y1288" i="1" a="1"/>
  <c r="Y1288" i="1" s="1"/>
  <c r="Y1289" i="1" a="1"/>
  <c r="Y1289" i="1" s="1"/>
  <c r="Y1290" i="1" a="1"/>
  <c r="Y1290" i="1" s="1"/>
  <c r="Y1291" i="1" a="1"/>
  <c r="Y1291" i="1" s="1"/>
  <c r="Y1292" i="1" a="1"/>
  <c r="Y1292" i="1" s="1"/>
  <c r="Y1293" i="1" a="1"/>
  <c r="Y1293" i="1" s="1"/>
  <c r="Y1294" i="1" a="1"/>
  <c r="Y1294" i="1" s="1"/>
  <c r="Y1295" i="1" a="1"/>
  <c r="Y1295" i="1" s="1"/>
  <c r="Y1296" i="1" a="1"/>
  <c r="Y1296" i="1" s="1"/>
  <c r="Y1297" i="1" a="1"/>
  <c r="Y1297" i="1" s="1"/>
  <c r="Y1298" i="1" a="1"/>
  <c r="Y1298" i="1" s="1"/>
  <c r="Y1299" i="1" a="1"/>
  <c r="Y1299" i="1" s="1"/>
  <c r="Y1300" i="1" a="1"/>
  <c r="Y1300" i="1" s="1"/>
  <c r="Y1301" i="1" a="1"/>
  <c r="Y1301" i="1" s="1"/>
  <c r="Y1302" i="1" a="1"/>
  <c r="Y1302" i="1" s="1"/>
  <c r="Y1303" i="1" a="1"/>
  <c r="Y1303" i="1" s="1"/>
  <c r="Y1304" i="1" a="1"/>
  <c r="Y1304" i="1" s="1"/>
  <c r="Y1305" i="1" a="1"/>
  <c r="Y1305" i="1" s="1"/>
  <c r="Y1306" i="1" a="1"/>
  <c r="Y1306" i="1" s="1"/>
  <c r="Y1307" i="1" a="1"/>
  <c r="Y1307" i="1" s="1"/>
  <c r="Y1308" i="1" a="1"/>
  <c r="Y1308" i="1" s="1"/>
  <c r="Y1309" i="1" a="1"/>
  <c r="Y1309" i="1" s="1"/>
  <c r="Y1310" i="1" a="1"/>
  <c r="Y1310" i="1" s="1"/>
  <c r="Y1311" i="1" a="1"/>
  <c r="Y1311" i="1" s="1"/>
  <c r="Y1312" i="1" a="1"/>
  <c r="Y1312" i="1" s="1"/>
  <c r="Y1313" i="1" a="1"/>
  <c r="Y1313" i="1" s="1"/>
  <c r="Y1314" i="1" a="1"/>
  <c r="Y1314" i="1" s="1"/>
  <c r="Y1315" i="1" a="1"/>
  <c r="Y1315" i="1" s="1"/>
  <c r="Y1316" i="1" a="1"/>
  <c r="Y1316" i="1" s="1"/>
  <c r="Y1317" i="1" a="1"/>
  <c r="Y1317" i="1" s="1"/>
  <c r="Y1318" i="1" a="1"/>
  <c r="Y1318" i="1" s="1"/>
  <c r="Y1319" i="1" a="1"/>
  <c r="Y1319" i="1" s="1"/>
  <c r="Y1320" i="1" a="1"/>
  <c r="Y1320" i="1" s="1"/>
  <c r="Y1321" i="1" a="1"/>
  <c r="Y1321" i="1" s="1"/>
  <c r="Y1322" i="1" a="1"/>
  <c r="Y1322" i="1" s="1"/>
  <c r="Y1323" i="1" a="1"/>
  <c r="Y1323" i="1" s="1"/>
  <c r="Y1324" i="1" a="1"/>
  <c r="Y1324" i="1" s="1"/>
  <c r="Y1325" i="1" a="1"/>
  <c r="Y1325" i="1" s="1"/>
  <c r="Y1326" i="1" a="1"/>
  <c r="Y1326" i="1" s="1"/>
  <c r="Y1327" i="1" a="1"/>
  <c r="Y1327" i="1" s="1"/>
  <c r="Y1328" i="1" a="1"/>
  <c r="Y1328" i="1" s="1"/>
  <c r="Y1329" i="1" a="1"/>
  <c r="Y1329" i="1" s="1"/>
  <c r="Y1330" i="1" a="1"/>
  <c r="Y1330" i="1" s="1"/>
  <c r="Y1331" i="1" a="1"/>
  <c r="Y1331" i="1" s="1"/>
  <c r="Y1332" i="1" a="1"/>
  <c r="Y1332" i="1" s="1"/>
  <c r="Y1333" i="1" a="1"/>
  <c r="Y1333" i="1" s="1"/>
  <c r="Y1334" i="1" a="1"/>
  <c r="Y1334" i="1" s="1"/>
  <c r="Y1335" i="1" a="1"/>
  <c r="Y1335" i="1" s="1"/>
  <c r="Y1336" i="1" a="1"/>
  <c r="Y1336" i="1" s="1"/>
  <c r="Y1337" i="1" a="1"/>
  <c r="Y1337" i="1" s="1"/>
  <c r="Y1338" i="1" a="1"/>
  <c r="Y1338" i="1" s="1"/>
  <c r="Y1339" i="1" a="1"/>
  <c r="Y1339" i="1" s="1"/>
  <c r="Y1340" i="1" a="1"/>
  <c r="Y1340" i="1" s="1"/>
  <c r="Y1341" i="1" a="1"/>
  <c r="Y1341" i="1" s="1"/>
  <c r="Y1342" i="1" a="1"/>
  <c r="Y1342" i="1" s="1"/>
  <c r="Y1343" i="1" a="1"/>
  <c r="Y1343" i="1" s="1"/>
  <c r="Y1344" i="1" a="1"/>
  <c r="Y1344" i="1" s="1"/>
  <c r="Y1345" i="1" a="1"/>
  <c r="Y1345" i="1" s="1"/>
  <c r="Y1346" i="1" a="1"/>
  <c r="Y1346" i="1" s="1"/>
  <c r="Y1347" i="1" a="1"/>
  <c r="Y1347" i="1" s="1"/>
  <c r="Y1348" i="1" a="1"/>
  <c r="Y1348" i="1" s="1"/>
  <c r="Y1349" i="1" a="1"/>
  <c r="Y1349" i="1" s="1"/>
  <c r="Y1350" i="1" a="1"/>
  <c r="Y1350" i="1" s="1"/>
  <c r="Y1351" i="1" a="1"/>
  <c r="Y1351" i="1" s="1"/>
  <c r="Y1352" i="1" a="1"/>
  <c r="Y1352" i="1" s="1"/>
  <c r="Y1353" i="1" a="1"/>
  <c r="Y1353" i="1" s="1"/>
  <c r="Y1354" i="1" a="1"/>
  <c r="Y1354" i="1" s="1"/>
  <c r="Y1355" i="1" a="1"/>
  <c r="Y1355" i="1" s="1"/>
  <c r="Y1356" i="1" a="1"/>
  <c r="Y1356" i="1" s="1"/>
  <c r="Y1357" i="1" a="1"/>
  <c r="Y1357" i="1" s="1"/>
  <c r="Y1358" i="1" a="1"/>
  <c r="Y1358" i="1" s="1"/>
  <c r="Y1359" i="1" a="1"/>
  <c r="Y1359" i="1" s="1"/>
  <c r="Y1360" i="1" a="1"/>
  <c r="Y1360" i="1" s="1"/>
  <c r="Y1361" i="1" a="1"/>
  <c r="Y1361" i="1" s="1"/>
  <c r="Y1362" i="1" a="1"/>
  <c r="Y1362" i="1" s="1"/>
  <c r="Y1363" i="1" a="1"/>
  <c r="Y1363" i="1" s="1"/>
  <c r="Y1364" i="1" a="1"/>
  <c r="Y1364" i="1" s="1"/>
  <c r="Y1365" i="1" a="1"/>
  <c r="Y1365" i="1" s="1"/>
  <c r="Y1366" i="1" a="1"/>
  <c r="Y1366" i="1" s="1"/>
  <c r="Y1367" i="1" a="1"/>
  <c r="Y1367" i="1" s="1"/>
  <c r="Y1368" i="1" a="1"/>
  <c r="Y1368" i="1" s="1"/>
  <c r="Y1369" i="1" a="1"/>
  <c r="Y1369" i="1" s="1"/>
  <c r="Y1370" i="1" a="1"/>
  <c r="Y1370" i="1" s="1"/>
  <c r="Y1371" i="1" a="1"/>
  <c r="Y1371" i="1" s="1"/>
  <c r="Y1372" i="1" a="1"/>
  <c r="Y1372" i="1" s="1"/>
  <c r="Y1373" i="1" a="1"/>
  <c r="Y1373" i="1" s="1"/>
  <c r="Y1374" i="1" a="1"/>
  <c r="Y1374" i="1" s="1"/>
  <c r="Y1375" i="1" a="1"/>
  <c r="Y1375" i="1" s="1"/>
  <c r="Y1376" i="1" a="1"/>
  <c r="Y1376" i="1" s="1"/>
  <c r="Y1377" i="1" a="1"/>
  <c r="Y1377" i="1" s="1"/>
  <c r="Y1378" i="1" a="1"/>
  <c r="Y1378" i="1" s="1"/>
  <c r="Y1379" i="1" a="1"/>
  <c r="Y1379" i="1" s="1"/>
  <c r="Y1380" i="1" a="1"/>
  <c r="Y1380" i="1" s="1"/>
  <c r="Y1381" i="1" a="1"/>
  <c r="Y1381" i="1" s="1"/>
  <c r="Y1382" i="1" a="1"/>
  <c r="Y1382" i="1" s="1"/>
  <c r="Y1383" i="1" a="1"/>
  <c r="Y1383" i="1" s="1"/>
  <c r="Y1384" i="1" a="1"/>
  <c r="Y1384" i="1" s="1"/>
  <c r="Y1385" i="1" a="1"/>
  <c r="Y1385" i="1" s="1"/>
  <c r="Y1386" i="1" a="1"/>
  <c r="Y1386" i="1" s="1"/>
  <c r="Y1387" i="1" a="1"/>
  <c r="Y1387" i="1" s="1"/>
  <c r="Y1388" i="1" a="1"/>
  <c r="Y1388" i="1" s="1"/>
  <c r="Y1389" i="1" a="1"/>
  <c r="Y1389" i="1" s="1"/>
  <c r="Y1390" i="1" a="1"/>
  <c r="Y1390" i="1" s="1"/>
  <c r="Y1391" i="1" a="1"/>
  <c r="Y1391" i="1" s="1"/>
  <c r="Y1392" i="1" a="1"/>
  <c r="Y1392" i="1" s="1"/>
  <c r="Y1393" i="1" a="1"/>
  <c r="Y1393" i="1" s="1"/>
  <c r="Y1394" i="1" a="1"/>
  <c r="Y1394" i="1" s="1"/>
  <c r="Y1395" i="1" a="1"/>
  <c r="Y1395" i="1" s="1"/>
  <c r="Y1396" i="1" a="1"/>
  <c r="Y1396" i="1" s="1"/>
  <c r="Y1397" i="1" a="1"/>
  <c r="Y1397" i="1" s="1"/>
  <c r="Y1398" i="1" a="1"/>
  <c r="Y1398" i="1" s="1"/>
  <c r="Y1399" i="1" a="1"/>
  <c r="Y1399" i="1" s="1"/>
  <c r="Y1400" i="1" a="1"/>
  <c r="Y1400" i="1" s="1"/>
  <c r="Y1401" i="1" a="1"/>
  <c r="Y1401" i="1" s="1"/>
  <c r="Y1402" i="1" a="1"/>
  <c r="Y1402" i="1" s="1"/>
  <c r="Y1403" i="1" a="1"/>
  <c r="Y1403" i="1" s="1"/>
  <c r="Y1404" i="1" a="1"/>
  <c r="Y1404" i="1" s="1"/>
  <c r="Y1405" i="1" a="1"/>
  <c r="Y1405" i="1" s="1"/>
  <c r="Y1406" i="1" a="1"/>
  <c r="Y1406" i="1" s="1"/>
  <c r="Y1407" i="1" a="1"/>
  <c r="Y1407" i="1" s="1"/>
  <c r="Y1408" i="1" a="1"/>
  <c r="Y1408" i="1" s="1"/>
  <c r="Y1409" i="1" a="1"/>
  <c r="Y1409" i="1" s="1"/>
  <c r="Y1410" i="1" a="1"/>
  <c r="Y1410" i="1" s="1"/>
  <c r="Y1411" i="1" a="1"/>
  <c r="Y1411" i="1" s="1"/>
  <c r="Y1412" i="1" a="1"/>
  <c r="Y1412" i="1" s="1"/>
  <c r="Y1413" i="1" a="1"/>
  <c r="Y1413" i="1" s="1"/>
  <c r="Y1414" i="1" a="1"/>
  <c r="Y1414" i="1" s="1"/>
  <c r="Y1415" i="1" a="1"/>
  <c r="Y1415" i="1" s="1"/>
  <c r="Y1416" i="1" a="1"/>
  <c r="Y1416" i="1" s="1"/>
  <c r="Y1417" i="1" a="1"/>
  <c r="Y1417" i="1" s="1"/>
  <c r="Y1418" i="1" a="1"/>
  <c r="Y1418" i="1" s="1"/>
  <c r="Y1419" i="1" a="1"/>
  <c r="Y1419" i="1" s="1"/>
  <c r="Y1420" i="1" a="1"/>
  <c r="Y1420" i="1" s="1"/>
  <c r="Y1421" i="1" a="1"/>
  <c r="Y1421" i="1" s="1"/>
  <c r="Y1422" i="1" a="1"/>
  <c r="Y1422" i="1" s="1"/>
  <c r="Y1423" i="1" a="1"/>
  <c r="Y1423" i="1" s="1"/>
  <c r="Y1424" i="1" a="1"/>
  <c r="Y1424" i="1" s="1"/>
  <c r="Y1425" i="1" a="1"/>
  <c r="Y1425" i="1" s="1"/>
  <c r="Y1426" i="1" a="1"/>
  <c r="Y1426" i="1" s="1"/>
  <c r="Y1427" i="1" a="1"/>
  <c r="Y1427" i="1" s="1"/>
  <c r="Y1428" i="1" a="1"/>
  <c r="Y1428" i="1" s="1"/>
  <c r="Y1429" i="1" a="1"/>
  <c r="Y1429" i="1" s="1"/>
  <c r="Y1430" i="1" a="1"/>
  <c r="Y1430" i="1" s="1"/>
  <c r="Y1431" i="1" a="1"/>
  <c r="Y1431" i="1" s="1"/>
  <c r="Y1432" i="1" a="1"/>
  <c r="Y1432" i="1" s="1"/>
  <c r="Y1433" i="1" a="1"/>
  <c r="Y1433" i="1" s="1"/>
  <c r="Y1434" i="1" a="1"/>
  <c r="Y1434" i="1" s="1"/>
  <c r="Y1435" i="1" a="1"/>
  <c r="Y1435" i="1" s="1"/>
  <c r="Y1436" i="1" a="1"/>
  <c r="Y1436" i="1" s="1"/>
  <c r="Y1437" i="1" a="1"/>
  <c r="Y1437" i="1" s="1"/>
  <c r="Y1438" i="1" a="1"/>
  <c r="Y1438" i="1" s="1"/>
  <c r="Y1439" i="1" a="1"/>
  <c r="Y1439" i="1" s="1"/>
  <c r="Y1440" i="1" a="1"/>
  <c r="Y1440" i="1" s="1"/>
  <c r="Y1441" i="1" a="1"/>
  <c r="Y1441" i="1" s="1"/>
  <c r="Y1442" i="1" a="1"/>
  <c r="Y1442" i="1" s="1"/>
  <c r="Y1443" i="1" a="1"/>
  <c r="Y1443" i="1" s="1"/>
  <c r="Y1444" i="1" a="1"/>
  <c r="Y1444" i="1" s="1"/>
  <c r="Y1445" i="1" a="1"/>
  <c r="Y1445" i="1" s="1"/>
  <c r="Y1446" i="1" a="1"/>
  <c r="Y1446" i="1" s="1"/>
  <c r="Y1447" i="1" a="1"/>
  <c r="Y1447" i="1" s="1"/>
  <c r="Y1448" i="1" a="1"/>
  <c r="Y1448" i="1" s="1"/>
  <c r="Y1449" i="1" a="1"/>
  <c r="Y1449" i="1" s="1"/>
  <c r="Y1450" i="1" a="1"/>
  <c r="Y1450" i="1" s="1"/>
  <c r="Y1451" i="1" a="1"/>
  <c r="Y1451" i="1" s="1"/>
  <c r="Y1452" i="1" a="1"/>
  <c r="Y1452" i="1" s="1"/>
  <c r="Y1453" i="1" a="1"/>
  <c r="Y1453" i="1" s="1"/>
  <c r="Y1454" i="1" a="1"/>
  <c r="Y1454" i="1" s="1"/>
  <c r="Y1455" i="1" a="1"/>
  <c r="Y1455" i="1" s="1"/>
  <c r="Y1456" i="1" a="1"/>
  <c r="Y1456" i="1" s="1"/>
  <c r="Y1457" i="1" a="1"/>
  <c r="Y1457" i="1" s="1"/>
  <c r="Y1458" i="1" a="1"/>
  <c r="Y1458" i="1" s="1"/>
  <c r="Y1459" i="1" a="1"/>
  <c r="Y1459" i="1" s="1"/>
  <c r="Y1460" i="1" a="1"/>
  <c r="Y1460" i="1" s="1"/>
  <c r="Y1461" i="1" a="1"/>
  <c r="Y1461" i="1" s="1"/>
  <c r="Y1462" i="1" a="1"/>
  <c r="Y1462" i="1" s="1"/>
  <c r="Y1463" i="1" a="1"/>
  <c r="Y1463" i="1" s="1"/>
  <c r="Y1464" i="1" a="1"/>
  <c r="Y1464" i="1" s="1"/>
  <c r="Y1465" i="1" a="1"/>
  <c r="Y1465" i="1" s="1"/>
  <c r="Y1466" i="1" a="1"/>
  <c r="Y1466" i="1" s="1"/>
  <c r="Y1467" i="1" a="1"/>
  <c r="Y1467" i="1" s="1"/>
  <c r="Y1468" i="1" a="1"/>
  <c r="Y1468" i="1" s="1"/>
  <c r="Y1469" i="1" a="1"/>
  <c r="Y1469" i="1" s="1"/>
  <c r="Y1470" i="1" a="1"/>
  <c r="Y1470" i="1" s="1"/>
  <c r="Y1471" i="1" a="1"/>
  <c r="Y1471" i="1" s="1"/>
  <c r="Y1472" i="1" a="1"/>
  <c r="Y1472" i="1" s="1"/>
  <c r="Y1473" i="1" a="1"/>
  <c r="Y1473" i="1" s="1"/>
  <c r="Y1474" i="1" a="1"/>
  <c r="Y1474" i="1" s="1"/>
  <c r="Y1475" i="1" a="1"/>
  <c r="Y1475" i="1" s="1"/>
  <c r="Y1476" i="1" a="1"/>
  <c r="Y1476" i="1" s="1"/>
  <c r="Y1477" i="1" a="1"/>
  <c r="Y1477" i="1" s="1"/>
  <c r="Y1478" i="1" a="1"/>
  <c r="Y1478" i="1" s="1"/>
  <c r="Y1479" i="1" a="1"/>
  <c r="Y1479" i="1" s="1"/>
  <c r="Y1480" i="1" a="1"/>
  <c r="Y1480" i="1" s="1"/>
  <c r="Y1481" i="1" a="1"/>
  <c r="Y1481" i="1" s="1"/>
  <c r="Y1482" i="1" a="1"/>
  <c r="Y1482" i="1" s="1"/>
  <c r="Y1483" i="1" a="1"/>
  <c r="Y1483" i="1" s="1"/>
  <c r="Y1484" i="1" a="1"/>
  <c r="Y1484" i="1" s="1"/>
  <c r="Y1485" i="1" a="1"/>
  <c r="Y1485" i="1" s="1"/>
  <c r="Y1486" i="1" a="1"/>
  <c r="Y1486" i="1" s="1"/>
  <c r="Y1487" i="1" a="1"/>
  <c r="Y1487" i="1" s="1"/>
  <c r="Y1488" i="1" a="1"/>
  <c r="Y1488" i="1" s="1"/>
  <c r="Y1489" i="1" a="1"/>
  <c r="Y1489" i="1" s="1"/>
  <c r="Y1490" i="1" a="1"/>
  <c r="Y1490" i="1" s="1"/>
  <c r="Y1491" i="1" a="1"/>
  <c r="Y1491" i="1" s="1"/>
  <c r="Y1492" i="1" a="1"/>
  <c r="Y1492" i="1" s="1"/>
  <c r="Y1493" i="1" a="1"/>
  <c r="Y1493" i="1" s="1"/>
  <c r="Y1494" i="1" a="1"/>
  <c r="Y1494" i="1" s="1"/>
  <c r="Y1495" i="1" a="1"/>
  <c r="Y1495" i="1" s="1"/>
  <c r="Y1496" i="1" a="1"/>
  <c r="Y1496" i="1" s="1"/>
  <c r="Y1497" i="1" a="1"/>
  <c r="Y1497" i="1" s="1"/>
  <c r="Y1498" i="1" a="1"/>
  <c r="Y1498" i="1" s="1"/>
  <c r="Y1499" i="1" a="1"/>
  <c r="Y1499" i="1" s="1"/>
  <c r="Y1500" i="1" a="1"/>
  <c r="Y1500" i="1" s="1"/>
  <c r="Y1501" i="1" a="1"/>
  <c r="Y1501" i="1" s="1"/>
  <c r="Y1502" i="1" a="1"/>
  <c r="Y1502" i="1" s="1"/>
  <c r="Y1503" i="1" a="1"/>
  <c r="Y1503" i="1" s="1"/>
  <c r="Y1504" i="1" a="1"/>
  <c r="Y1504" i="1" s="1"/>
  <c r="Y1505" i="1" a="1"/>
  <c r="Y1505" i="1" s="1"/>
  <c r="Y1506" i="1" a="1"/>
  <c r="Y1506" i="1" s="1"/>
  <c r="Y1507" i="1" a="1"/>
  <c r="Y1507" i="1" s="1"/>
  <c r="Y1508" i="1" a="1"/>
  <c r="Y1508" i="1" s="1"/>
  <c r="Y1509" i="1" a="1"/>
  <c r="Y1509" i="1" s="1"/>
  <c r="Y1510" i="1" a="1"/>
  <c r="Y1510" i="1" s="1"/>
  <c r="Y1511" i="1" a="1"/>
  <c r="Y1511" i="1" s="1"/>
  <c r="Y1512" i="1" a="1"/>
  <c r="Y1512" i="1" s="1"/>
  <c r="Y1513" i="1" a="1"/>
  <c r="Y1513" i="1" s="1"/>
  <c r="Y1514" i="1" a="1"/>
  <c r="Y1514" i="1" s="1"/>
  <c r="Y1515" i="1" a="1"/>
  <c r="Y1515" i="1" s="1"/>
  <c r="Y1516" i="1" a="1"/>
  <c r="Y1516" i="1" s="1"/>
  <c r="Y1517" i="1" a="1"/>
  <c r="Y1517" i="1" s="1"/>
  <c r="Y1518" i="1" a="1"/>
  <c r="Y1518" i="1" s="1"/>
  <c r="Y1519" i="1" a="1"/>
  <c r="Y1519" i="1" s="1"/>
  <c r="Y1520" i="1" a="1"/>
  <c r="Y1520" i="1" s="1"/>
  <c r="Y1521" i="1" a="1"/>
  <c r="Y1521" i="1" s="1"/>
  <c r="Y1522" i="1" a="1"/>
  <c r="Y1522" i="1" s="1"/>
  <c r="Y1523" i="1" a="1"/>
  <c r="Y1523" i="1" s="1"/>
  <c r="Y1524" i="1" a="1"/>
  <c r="Y1524" i="1" s="1"/>
  <c r="Y1525" i="1" a="1"/>
  <c r="Y1525" i="1" s="1"/>
  <c r="Y1526" i="1" a="1"/>
  <c r="Y1526" i="1" s="1"/>
  <c r="Y1527" i="1" a="1"/>
  <c r="Y1527" i="1" s="1"/>
  <c r="Y1528" i="1" a="1"/>
  <c r="Y1528" i="1" s="1"/>
  <c r="Y1529" i="1" a="1"/>
  <c r="Y1529" i="1" s="1"/>
  <c r="Y1530" i="1" a="1"/>
  <c r="Y1530" i="1" s="1"/>
  <c r="Y1531" i="1" a="1"/>
  <c r="Y1531" i="1" s="1"/>
  <c r="Y1532" i="1" a="1"/>
  <c r="Y1532" i="1" s="1"/>
  <c r="Y1533" i="1" a="1"/>
  <c r="Y1533" i="1" s="1"/>
  <c r="Y1534" i="1" a="1"/>
  <c r="Y1534" i="1" s="1"/>
  <c r="Y1535" i="1" a="1"/>
  <c r="Y1535" i="1" s="1"/>
  <c r="Y1536" i="1" a="1"/>
  <c r="Y1536" i="1" s="1"/>
  <c r="Y1537" i="1" a="1"/>
  <c r="Y1537" i="1" s="1"/>
  <c r="Y1538" i="1" a="1"/>
  <c r="Y1538" i="1" s="1"/>
  <c r="Y1539" i="1" a="1"/>
  <c r="Y1539" i="1" s="1"/>
  <c r="Y1540" i="1" a="1"/>
  <c r="Y1540" i="1" s="1"/>
  <c r="Y1541" i="1" a="1"/>
  <c r="Y1541" i="1" s="1"/>
  <c r="Y1542" i="1" a="1"/>
  <c r="Y1542" i="1" s="1"/>
  <c r="Y1543" i="1" a="1"/>
  <c r="Y1543" i="1" s="1"/>
  <c r="Y1544" i="1" a="1"/>
  <c r="Y1544" i="1" s="1"/>
  <c r="Y1545" i="1" a="1"/>
  <c r="Y1545" i="1" s="1"/>
  <c r="Y1546" i="1" a="1"/>
  <c r="Y1546" i="1" s="1"/>
  <c r="Y1547" i="1" a="1"/>
  <c r="Y1547" i="1" s="1"/>
  <c r="Y1548" i="1" a="1"/>
  <c r="Y1548" i="1" s="1"/>
  <c r="Y1549" i="1" a="1"/>
  <c r="Y1549" i="1" s="1"/>
  <c r="Y1550" i="1" a="1"/>
  <c r="Y1550" i="1" s="1"/>
  <c r="Y1551" i="1" a="1"/>
  <c r="Y1551" i="1" s="1"/>
  <c r="Y1552" i="1" a="1"/>
  <c r="Y1552" i="1" s="1"/>
  <c r="Y1553" i="1" a="1"/>
  <c r="Y1553" i="1" s="1"/>
  <c r="Y1554" i="1" a="1"/>
  <c r="Y1554" i="1" s="1"/>
  <c r="Y1555" i="1" a="1"/>
  <c r="Y1555" i="1" s="1"/>
  <c r="Y1556" i="1" a="1"/>
  <c r="Y1556" i="1" s="1"/>
  <c r="Y1557" i="1" a="1"/>
  <c r="Y1557" i="1" s="1"/>
  <c r="Y1558" i="1" a="1"/>
  <c r="Y1558" i="1" s="1"/>
  <c r="Y1559" i="1" a="1"/>
  <c r="Y1559" i="1" s="1"/>
  <c r="Y1560" i="1" a="1"/>
  <c r="Y1560" i="1" s="1"/>
  <c r="Y1561" i="1" a="1"/>
  <c r="Y1561" i="1" s="1"/>
  <c r="Y1562" i="1" a="1"/>
  <c r="Y1562" i="1" s="1"/>
  <c r="Y1563" i="1" a="1"/>
  <c r="Y1563" i="1" s="1"/>
  <c r="Y1564" i="1" a="1"/>
  <c r="Y1564" i="1" s="1"/>
  <c r="Y1565" i="1" a="1"/>
  <c r="Y1565" i="1" s="1"/>
  <c r="Y1566" i="1" a="1"/>
  <c r="Y1566" i="1" s="1"/>
  <c r="Y1567" i="1" a="1"/>
  <c r="Y1567" i="1" s="1"/>
  <c r="Y1568" i="1" a="1"/>
  <c r="Y1568" i="1" s="1"/>
  <c r="Y1569" i="1" a="1"/>
  <c r="Y1569" i="1" s="1"/>
  <c r="Y1570" i="1" a="1"/>
  <c r="Y1570" i="1" s="1"/>
  <c r="Y1571" i="1" a="1"/>
  <c r="Y1571" i="1" s="1"/>
  <c r="Y1572" i="1" a="1"/>
  <c r="Y1572" i="1" s="1"/>
  <c r="Y1573" i="1" a="1"/>
  <c r="Y1573" i="1" s="1"/>
  <c r="Y1574" i="1" a="1"/>
  <c r="Y1574" i="1" s="1"/>
  <c r="Y1575" i="1" a="1"/>
  <c r="Y1575" i="1" s="1"/>
  <c r="Y1576" i="1" a="1"/>
  <c r="Y1576" i="1" s="1"/>
  <c r="Y1577" i="1" a="1"/>
  <c r="Y1577" i="1" s="1"/>
  <c r="Y1578" i="1" a="1"/>
  <c r="Y1578" i="1" s="1"/>
  <c r="Y1579" i="1" a="1"/>
  <c r="Y1579" i="1" s="1"/>
  <c r="Y1580" i="1" a="1"/>
  <c r="Y1580" i="1" s="1"/>
  <c r="Y1581" i="1" a="1"/>
  <c r="Y1581" i="1" s="1"/>
  <c r="Y1582" i="1" a="1"/>
  <c r="Y1582" i="1" s="1"/>
  <c r="Y1583" i="1" a="1"/>
  <c r="Y1583" i="1" s="1"/>
  <c r="Y1584" i="1" a="1"/>
  <c r="Y1584" i="1" s="1"/>
  <c r="Y1585" i="1" a="1"/>
  <c r="Y1585" i="1" s="1"/>
  <c r="Y1586" i="1" a="1"/>
  <c r="Y1586" i="1" s="1"/>
  <c r="Y1587" i="1" a="1"/>
  <c r="Y1587" i="1" s="1"/>
  <c r="Y1588" i="1" a="1"/>
  <c r="Y1588" i="1" s="1"/>
  <c r="Y1589" i="1" a="1"/>
  <c r="Y1589" i="1" s="1"/>
  <c r="Y1590" i="1" a="1"/>
  <c r="Y1590" i="1" s="1"/>
  <c r="Y1591" i="1" a="1"/>
  <c r="Y1591" i="1" s="1"/>
  <c r="Y1592" i="1" a="1"/>
  <c r="Y1592" i="1" s="1"/>
  <c r="Y1593" i="1" a="1"/>
  <c r="Y1593" i="1" s="1"/>
  <c r="Y1594" i="1" a="1"/>
  <c r="Y1594" i="1" s="1"/>
  <c r="Y1595" i="1" a="1"/>
  <c r="Y1595" i="1" s="1"/>
  <c r="Y1596" i="1" a="1"/>
  <c r="Y1596" i="1" s="1"/>
  <c r="Y1597" i="1" a="1"/>
  <c r="Y1597" i="1" s="1"/>
  <c r="Y1598" i="1" a="1"/>
  <c r="Y1598" i="1" s="1"/>
  <c r="Y1599" i="1" a="1"/>
  <c r="Y1599" i="1" s="1"/>
  <c r="Y1600" i="1" a="1"/>
  <c r="Y1600" i="1" s="1"/>
  <c r="Y1601" i="1" a="1"/>
  <c r="Y1601" i="1" s="1"/>
  <c r="Y1602" i="1" a="1"/>
  <c r="Y1602" i="1" s="1"/>
  <c r="Y1603" i="1" a="1"/>
  <c r="Y1603" i="1" s="1"/>
  <c r="Y1604" i="1" a="1"/>
  <c r="Y1604" i="1" s="1"/>
  <c r="Y1605" i="1" a="1"/>
  <c r="Y1605" i="1" s="1"/>
  <c r="Y1606" i="1" a="1"/>
  <c r="Y1606" i="1" s="1"/>
  <c r="Y1607" i="1" a="1"/>
  <c r="Y1607" i="1" s="1"/>
  <c r="Y1608" i="1" a="1"/>
  <c r="Y1608" i="1" s="1"/>
  <c r="Y1609" i="1" a="1"/>
  <c r="Y1609" i="1" s="1"/>
  <c r="Y1610" i="1" a="1"/>
  <c r="Y1610" i="1" s="1"/>
  <c r="Y1611" i="1" a="1"/>
  <c r="Y1611" i="1" s="1"/>
  <c r="Y1612" i="1" a="1"/>
  <c r="Y1612" i="1" s="1"/>
  <c r="Y1613" i="1" a="1"/>
  <c r="Y1613" i="1" s="1"/>
  <c r="Y1614" i="1" a="1"/>
  <c r="Y1614" i="1" s="1"/>
  <c r="Y1615" i="1" a="1"/>
  <c r="Y1615" i="1" s="1"/>
  <c r="Y1616" i="1" a="1"/>
  <c r="Y1616" i="1" s="1"/>
  <c r="Y1617" i="1" a="1"/>
  <c r="Y1617" i="1" s="1"/>
  <c r="Y1618" i="1" a="1"/>
  <c r="Y1618" i="1" s="1"/>
  <c r="Y1619" i="1" a="1"/>
  <c r="Y1619" i="1" s="1"/>
  <c r="Y1620" i="1" a="1"/>
  <c r="Y1620" i="1" s="1"/>
  <c r="Y1621" i="1" a="1"/>
  <c r="Y1621" i="1" s="1"/>
  <c r="Y1622" i="1" a="1"/>
  <c r="Y1622" i="1" s="1"/>
  <c r="Y1623" i="1" a="1"/>
  <c r="Y1623" i="1" s="1"/>
  <c r="Y1624" i="1" a="1"/>
  <c r="Y1624" i="1" s="1"/>
  <c r="Y1625" i="1" a="1"/>
  <c r="Y1625" i="1" s="1"/>
  <c r="Y1626" i="1" a="1"/>
  <c r="Y1626" i="1" s="1"/>
  <c r="Y1627" i="1" a="1"/>
  <c r="Y1627" i="1" s="1"/>
  <c r="Y1628" i="1" a="1"/>
  <c r="Y1628" i="1" s="1"/>
  <c r="Y1629" i="1" a="1"/>
  <c r="Y1629" i="1" s="1"/>
  <c r="Y1630" i="1" a="1"/>
  <c r="Y1630" i="1" s="1"/>
  <c r="Y1631" i="1" a="1"/>
  <c r="Y1631" i="1" s="1"/>
  <c r="Y1632" i="1" a="1"/>
  <c r="Y1632" i="1" s="1"/>
  <c r="Y1633" i="1" a="1"/>
  <c r="Y1633" i="1" s="1"/>
  <c r="Y1634" i="1" a="1"/>
  <c r="Y1634" i="1" s="1"/>
  <c r="Y1635" i="1" a="1"/>
  <c r="Y1635" i="1" s="1"/>
  <c r="Y1636" i="1" a="1"/>
  <c r="Y1636" i="1" s="1"/>
  <c r="Y1637" i="1" a="1"/>
  <c r="Y1637" i="1" s="1"/>
  <c r="Y1638" i="1" a="1"/>
  <c r="Y1638" i="1" s="1"/>
  <c r="Y1639" i="1" a="1"/>
  <c r="Y1639" i="1" s="1"/>
  <c r="Y1640" i="1" a="1"/>
  <c r="Y1640" i="1" s="1"/>
  <c r="Y1641" i="1" a="1"/>
  <c r="Y1641" i="1" s="1"/>
  <c r="Y1642" i="1" a="1"/>
  <c r="Y1642" i="1" s="1"/>
  <c r="Y1643" i="1" a="1"/>
  <c r="Y1643" i="1" s="1"/>
  <c r="Y1644" i="1" a="1"/>
  <c r="Y1644" i="1" s="1"/>
  <c r="Y1645" i="1" a="1"/>
  <c r="Y1645" i="1" s="1"/>
  <c r="Y1646" i="1" a="1"/>
  <c r="Y1646" i="1" s="1"/>
  <c r="Y1647" i="1" a="1"/>
  <c r="Y1647" i="1" s="1"/>
  <c r="Y1648" i="1" a="1"/>
  <c r="Y1648" i="1" s="1"/>
  <c r="Y1649" i="1" a="1"/>
  <c r="Y1649" i="1" s="1"/>
  <c r="Y1650" i="1" a="1"/>
  <c r="Y1650" i="1" s="1"/>
  <c r="Y1651" i="1" a="1"/>
  <c r="Y1651" i="1" s="1"/>
  <c r="Y1652" i="1" a="1"/>
  <c r="Y1652" i="1" s="1"/>
  <c r="Y1653" i="1" a="1"/>
  <c r="Y1653" i="1" s="1"/>
  <c r="Y1654" i="1" a="1"/>
  <c r="Y1654" i="1" s="1"/>
  <c r="Y1655" i="1" a="1"/>
  <c r="Y1655" i="1" s="1"/>
  <c r="Y1656" i="1" a="1"/>
  <c r="Y1656" i="1" s="1"/>
  <c r="Y1657" i="1" a="1"/>
  <c r="Y1657" i="1" s="1"/>
  <c r="Y1658" i="1" a="1"/>
  <c r="Y1658" i="1" s="1"/>
  <c r="Y1659" i="1" a="1"/>
  <c r="Y1659" i="1" s="1"/>
  <c r="Y1660" i="1" a="1"/>
  <c r="Y1660" i="1" s="1"/>
  <c r="Y1661" i="1" a="1"/>
  <c r="Y1661" i="1" s="1"/>
  <c r="Y1662" i="1" a="1"/>
  <c r="Y1662" i="1" s="1"/>
  <c r="Y1663" i="1" a="1"/>
  <c r="Y1663" i="1" s="1"/>
  <c r="Y1664" i="1" a="1"/>
  <c r="Y1664" i="1" s="1"/>
  <c r="Y1665" i="1" a="1"/>
  <c r="Y1665" i="1" s="1"/>
  <c r="Y1666" i="1" a="1"/>
  <c r="Y1666" i="1" s="1"/>
  <c r="Y1667" i="1" a="1"/>
  <c r="Y1667" i="1" s="1"/>
  <c r="Y1668" i="1" a="1"/>
  <c r="Y1668" i="1" s="1"/>
  <c r="Y1669" i="1" a="1"/>
  <c r="Y1669" i="1" s="1"/>
  <c r="Y1670" i="1" a="1"/>
  <c r="Y1670" i="1" s="1"/>
  <c r="Y1671" i="1" a="1"/>
  <c r="Y1671" i="1" s="1"/>
  <c r="Y1672" i="1" a="1"/>
  <c r="Y1672" i="1" s="1"/>
  <c r="Y1673" i="1" a="1"/>
  <c r="Y1673" i="1" s="1"/>
  <c r="Y1674" i="1" a="1"/>
  <c r="Y1674" i="1" s="1"/>
  <c r="Y1675" i="1" a="1"/>
  <c r="Y1675" i="1" s="1"/>
  <c r="Y1676" i="1" a="1"/>
  <c r="Y1676" i="1" s="1"/>
  <c r="Y1677" i="1" a="1"/>
  <c r="Y1677" i="1" s="1"/>
  <c r="Y1678" i="1" a="1"/>
  <c r="Y1678" i="1" s="1"/>
  <c r="Y1679" i="1" a="1"/>
  <c r="Y1679" i="1" s="1"/>
  <c r="Y1680" i="1" a="1"/>
  <c r="Y1680" i="1" s="1"/>
  <c r="Y1681" i="1" a="1"/>
  <c r="Y1681" i="1" s="1"/>
  <c r="Y1682" i="1" a="1"/>
  <c r="Y1682" i="1" s="1"/>
  <c r="Y1683" i="1" a="1"/>
  <c r="Y1683" i="1" s="1"/>
  <c r="Y1684" i="1" a="1"/>
  <c r="Y1684" i="1" s="1"/>
  <c r="Y1685" i="1" a="1"/>
  <c r="Y1685" i="1" s="1"/>
  <c r="Y1686" i="1" a="1"/>
  <c r="Y1686" i="1" s="1"/>
  <c r="Y1687" i="1" a="1"/>
  <c r="Y1687" i="1" s="1"/>
  <c r="Y1688" i="1" a="1"/>
  <c r="Y1688" i="1" s="1"/>
  <c r="Y1689" i="1" a="1"/>
  <c r="Y1689" i="1" s="1"/>
  <c r="Y1690" i="1" a="1"/>
  <c r="Y1690" i="1" s="1"/>
  <c r="Y1691" i="1" a="1"/>
  <c r="Y1691" i="1" s="1"/>
  <c r="Y1692" i="1" a="1"/>
  <c r="Y1692" i="1" s="1"/>
  <c r="Y1693" i="1" a="1"/>
  <c r="Y1693" i="1" s="1"/>
  <c r="Y1694" i="1" a="1"/>
  <c r="Y1694" i="1" s="1"/>
  <c r="Y1695" i="1" a="1"/>
  <c r="Y1695" i="1" s="1"/>
  <c r="Y1696" i="1" a="1"/>
  <c r="Y1696" i="1" s="1"/>
  <c r="Y1697" i="1" a="1"/>
  <c r="Y1697" i="1" s="1"/>
  <c r="Y1698" i="1" a="1"/>
  <c r="Y1698" i="1" s="1"/>
  <c r="Y1699" i="1" a="1"/>
  <c r="Y1699" i="1" s="1"/>
  <c r="Y1700" i="1" a="1"/>
  <c r="Y1700" i="1" s="1"/>
  <c r="Y1701" i="1" a="1"/>
  <c r="Y1701" i="1" s="1"/>
  <c r="Y1702" i="1" a="1"/>
  <c r="Y1702" i="1" s="1"/>
  <c r="Y1703" i="1" a="1"/>
  <c r="Y1703" i="1" s="1"/>
  <c r="Y1704" i="1" a="1"/>
  <c r="Y1704" i="1" s="1"/>
  <c r="Y1705" i="1" a="1"/>
  <c r="Y1705" i="1" s="1"/>
  <c r="Y1706" i="1" a="1"/>
  <c r="Y1706" i="1" s="1"/>
  <c r="Y1707" i="1" a="1"/>
  <c r="Y1707" i="1" s="1"/>
  <c r="Y1708" i="1" a="1"/>
  <c r="Y1708" i="1" s="1"/>
  <c r="Y1709" i="1" a="1"/>
  <c r="Y1709" i="1" s="1"/>
  <c r="Y1710" i="1" a="1"/>
  <c r="Y1710" i="1" s="1"/>
  <c r="Y1711" i="1" a="1"/>
  <c r="Y1711" i="1" s="1"/>
  <c r="Y1712" i="1" a="1"/>
  <c r="Y1712" i="1" s="1"/>
  <c r="Y1713" i="1" a="1"/>
  <c r="Y1713" i="1" s="1"/>
  <c r="Y1714" i="1" a="1"/>
  <c r="Y1714" i="1" s="1"/>
  <c r="Y1715" i="1" a="1"/>
  <c r="Y1715" i="1" s="1"/>
  <c r="Y1716" i="1" a="1"/>
  <c r="Y1716" i="1" s="1"/>
  <c r="Y1717" i="1" a="1"/>
  <c r="Y1717" i="1" s="1"/>
  <c r="Y1718" i="1" a="1"/>
  <c r="Y1718" i="1" s="1"/>
  <c r="Y1719" i="1" a="1"/>
  <c r="Y1719" i="1" s="1"/>
  <c r="Y1720" i="1" a="1"/>
  <c r="Y1720" i="1" s="1"/>
  <c r="Y1721" i="1" a="1"/>
  <c r="Y1721" i="1" s="1"/>
  <c r="Y1722" i="1" a="1"/>
  <c r="Y1722" i="1" s="1"/>
  <c r="Y1723" i="1" a="1"/>
  <c r="Y1723" i="1" s="1"/>
  <c r="Y1724" i="1" a="1"/>
  <c r="Y1724" i="1" s="1"/>
  <c r="Y1725" i="1" a="1"/>
  <c r="Y1725" i="1" s="1"/>
  <c r="Y1726" i="1" a="1"/>
  <c r="Y1726" i="1" s="1"/>
  <c r="Y1727" i="1" a="1"/>
  <c r="Y1727" i="1" s="1"/>
  <c r="Y1728" i="1" a="1"/>
  <c r="Y1728" i="1" s="1"/>
  <c r="Y1729" i="1" a="1"/>
  <c r="Y1729" i="1" s="1"/>
  <c r="Y1730" i="1" a="1"/>
  <c r="Y1730" i="1" s="1"/>
  <c r="Y1731" i="1" a="1"/>
  <c r="Y1731" i="1" s="1"/>
  <c r="Y1732" i="1" a="1"/>
  <c r="Y1732" i="1" s="1"/>
  <c r="Y1733" i="1" a="1"/>
  <c r="Y1733" i="1" s="1"/>
  <c r="Y1734" i="1" a="1"/>
  <c r="Y1734" i="1" s="1"/>
  <c r="Y1735" i="1" a="1"/>
  <c r="Y1735" i="1" s="1"/>
  <c r="Y1736" i="1" a="1"/>
  <c r="Y1736" i="1" s="1"/>
  <c r="Y1737" i="1" a="1"/>
  <c r="Y1737" i="1" s="1"/>
  <c r="Y1738" i="1" a="1"/>
  <c r="Y1738" i="1" s="1"/>
  <c r="Y1739" i="1" a="1"/>
  <c r="Y1739" i="1" s="1"/>
  <c r="Y1740" i="1" a="1"/>
  <c r="Y1740" i="1" s="1"/>
  <c r="Y1741" i="1" a="1"/>
  <c r="Y1741" i="1" s="1"/>
  <c r="Y1742" i="1" a="1"/>
  <c r="Y1742" i="1" s="1"/>
  <c r="Y1743" i="1" a="1"/>
  <c r="Y1743" i="1" s="1"/>
  <c r="Y1744" i="1" a="1"/>
  <c r="Y1744" i="1" s="1"/>
  <c r="Y1745" i="1" a="1"/>
  <c r="Y1745" i="1" s="1"/>
  <c r="Y1746" i="1" a="1"/>
  <c r="Y1746" i="1" s="1"/>
  <c r="Y1747" i="1" a="1"/>
  <c r="Y1747" i="1" s="1"/>
  <c r="Y1748" i="1" a="1"/>
  <c r="Y1748" i="1" s="1"/>
  <c r="Y1749" i="1" a="1"/>
  <c r="Y1749" i="1" s="1"/>
  <c r="Y1750" i="1" a="1"/>
  <c r="Y1750" i="1" s="1"/>
  <c r="Y1751" i="1" a="1"/>
  <c r="Y1751" i="1" s="1"/>
  <c r="Y1752" i="1" a="1"/>
  <c r="Y1752" i="1" s="1"/>
  <c r="Y1753" i="1" a="1"/>
  <c r="Y1753" i="1" s="1"/>
  <c r="Y1754" i="1" a="1"/>
  <c r="Y1754" i="1" s="1"/>
  <c r="Y1755" i="1" a="1"/>
  <c r="Y1755" i="1" s="1"/>
  <c r="Y1756" i="1" a="1"/>
  <c r="Y1756" i="1" s="1"/>
  <c r="Y1757" i="1" a="1"/>
  <c r="Y1757" i="1" s="1"/>
  <c r="Y1758" i="1" a="1"/>
  <c r="Y1758" i="1" s="1"/>
  <c r="Y1759" i="1" a="1"/>
  <c r="Y1759" i="1" s="1"/>
  <c r="Y1760" i="1" a="1"/>
  <c r="Y1760" i="1" s="1"/>
  <c r="Y1761" i="1" a="1"/>
  <c r="Y1761" i="1" s="1"/>
  <c r="Y1762" i="1" a="1"/>
  <c r="Y1762" i="1" s="1"/>
  <c r="Y1763" i="1" a="1"/>
  <c r="Y1763" i="1" s="1"/>
  <c r="Y1764" i="1" a="1"/>
  <c r="Y1764" i="1" s="1"/>
  <c r="Y1765" i="1" a="1"/>
  <c r="Y1765" i="1" s="1"/>
  <c r="Y1766" i="1" a="1"/>
  <c r="Y1766" i="1" s="1"/>
  <c r="Y1767" i="1" a="1"/>
  <c r="Y1767" i="1" s="1"/>
  <c r="Y1768" i="1" a="1"/>
  <c r="Y1768" i="1" s="1"/>
  <c r="Y1769" i="1" a="1"/>
  <c r="Y1769" i="1" s="1"/>
  <c r="Y1770" i="1" a="1"/>
  <c r="Y1770" i="1" s="1"/>
  <c r="Y1771" i="1" a="1"/>
  <c r="Y1771" i="1" s="1"/>
  <c r="Y1772" i="1" a="1"/>
  <c r="Y1772" i="1" s="1"/>
  <c r="Y1773" i="1" a="1"/>
  <c r="Y1773" i="1" s="1"/>
  <c r="Y1774" i="1" a="1"/>
  <c r="Y1774" i="1" s="1"/>
  <c r="Y1775" i="1" a="1"/>
  <c r="Y1775" i="1" s="1"/>
  <c r="Y1776" i="1" a="1"/>
  <c r="Y1776" i="1" s="1"/>
  <c r="Y1777" i="1" a="1"/>
  <c r="Y1777" i="1" s="1"/>
  <c r="Y1778" i="1" a="1"/>
  <c r="Y1778" i="1" s="1"/>
  <c r="Y1779" i="1" a="1"/>
  <c r="Y1779" i="1" s="1"/>
  <c r="Y1780" i="1" a="1"/>
  <c r="Y1780" i="1" s="1"/>
  <c r="Y1781" i="1" a="1"/>
  <c r="Y1781" i="1" s="1"/>
  <c r="Y1782" i="1" a="1"/>
  <c r="Y1782" i="1" s="1"/>
  <c r="Y1783" i="1" a="1"/>
  <c r="Y1783" i="1" s="1"/>
  <c r="Y1784" i="1" a="1"/>
  <c r="Y1784" i="1" s="1"/>
  <c r="Y1785" i="1" a="1"/>
  <c r="Y1785" i="1" s="1"/>
  <c r="Y1786" i="1" a="1"/>
  <c r="Y1786" i="1" s="1"/>
  <c r="Y1787" i="1" a="1"/>
  <c r="Y1787" i="1" s="1"/>
  <c r="Y1788" i="1" a="1"/>
  <c r="Y1788" i="1" s="1"/>
  <c r="Y1789" i="1" a="1"/>
  <c r="Y1789" i="1" s="1"/>
  <c r="Y1790" i="1" a="1"/>
  <c r="Y1790" i="1" s="1"/>
  <c r="Y1791" i="1" a="1"/>
  <c r="Y1791" i="1" s="1"/>
  <c r="Y1792" i="1" a="1"/>
  <c r="Y1792" i="1" s="1"/>
  <c r="Y1793" i="1" a="1"/>
  <c r="Y1793" i="1" s="1"/>
  <c r="Y1794" i="1" a="1"/>
  <c r="Y1794" i="1" s="1"/>
  <c r="Y1795" i="1" a="1"/>
  <c r="Y1795" i="1" s="1"/>
  <c r="Y1796" i="1" a="1"/>
  <c r="Y1796" i="1" s="1"/>
  <c r="Y1797" i="1" a="1"/>
  <c r="Y1797" i="1" s="1"/>
  <c r="Y1798" i="1" a="1"/>
  <c r="Y1798" i="1" s="1"/>
  <c r="Y1799" i="1" a="1"/>
  <c r="Y1799" i="1" s="1"/>
  <c r="Y1800" i="1" a="1"/>
  <c r="Y1800" i="1" s="1"/>
  <c r="Y1801" i="1" a="1"/>
  <c r="Y1801" i="1" s="1"/>
  <c r="Y1802" i="1" a="1"/>
  <c r="Y1802" i="1" s="1"/>
  <c r="Y1803" i="1" a="1"/>
  <c r="Y1803" i="1" s="1"/>
  <c r="Y1804" i="1" a="1"/>
  <c r="Y1804" i="1" s="1"/>
  <c r="Y1805" i="1" a="1"/>
  <c r="Y1805" i="1" s="1"/>
  <c r="Y1806" i="1" a="1"/>
  <c r="Y1806" i="1" s="1"/>
  <c r="Y1807" i="1" a="1"/>
  <c r="Y1807" i="1" s="1"/>
  <c r="Y1808" i="1" a="1"/>
  <c r="Y1808" i="1" s="1"/>
  <c r="Y1809" i="1" a="1"/>
  <c r="Y1809" i="1" s="1"/>
  <c r="Y1810" i="1" a="1"/>
  <c r="Y1810" i="1" s="1"/>
  <c r="Y1811" i="1" a="1"/>
  <c r="Y1811" i="1" s="1"/>
  <c r="Y1812" i="1" a="1"/>
  <c r="Y1812" i="1" s="1"/>
  <c r="Y1813" i="1" a="1"/>
  <c r="Y1813" i="1" s="1"/>
  <c r="Y1814" i="1" a="1"/>
  <c r="Y1814" i="1" s="1"/>
  <c r="Y1815" i="1" a="1"/>
  <c r="Y1815" i="1" s="1"/>
  <c r="Y1816" i="1" a="1"/>
  <c r="Y1816" i="1" s="1"/>
  <c r="Y1817" i="1" a="1"/>
  <c r="Y1817" i="1" s="1"/>
  <c r="Y1818" i="1" a="1"/>
  <c r="Y1818" i="1" s="1"/>
  <c r="Y1819" i="1" a="1"/>
  <c r="Y1819" i="1" s="1"/>
  <c r="Y1820" i="1" a="1"/>
  <c r="Y1820" i="1" s="1"/>
  <c r="Y1821" i="1" a="1"/>
  <c r="Y1821" i="1" s="1"/>
  <c r="Y1822" i="1" a="1"/>
  <c r="Y1822" i="1" s="1"/>
  <c r="Y1823" i="1" a="1"/>
  <c r="Y1823" i="1" s="1"/>
  <c r="Y1824" i="1" a="1"/>
  <c r="Y1824" i="1" s="1"/>
  <c r="Y1825" i="1" a="1"/>
  <c r="Y1825" i="1" s="1"/>
  <c r="Y1826" i="1" a="1"/>
  <c r="Y1826" i="1" s="1"/>
  <c r="Y1827" i="1" a="1"/>
  <c r="Y1827" i="1" s="1"/>
  <c r="Y1828" i="1" a="1"/>
  <c r="Y1828" i="1" s="1"/>
  <c r="Y1829" i="1" a="1"/>
  <c r="Y1829" i="1" s="1"/>
  <c r="Y1830" i="1" a="1"/>
  <c r="Y1830" i="1" s="1"/>
  <c r="Y1831" i="1" a="1"/>
  <c r="Y1831" i="1" s="1"/>
  <c r="Y1832" i="1" a="1"/>
  <c r="Y1832" i="1" s="1"/>
  <c r="Y1833" i="1" a="1"/>
  <c r="Y1833" i="1" s="1"/>
  <c r="Y1834" i="1" a="1"/>
  <c r="Y1834" i="1" s="1"/>
  <c r="Y1835" i="1" a="1"/>
  <c r="Y1835" i="1" s="1"/>
  <c r="Y1836" i="1" a="1"/>
  <c r="Y1836" i="1" s="1"/>
  <c r="Y1837" i="1" a="1"/>
  <c r="Y1837" i="1" s="1"/>
  <c r="Y1838" i="1" a="1"/>
  <c r="Y1838" i="1" s="1"/>
  <c r="Y1839" i="1" a="1"/>
  <c r="Y1839" i="1" s="1"/>
  <c r="Y1840" i="1" a="1"/>
  <c r="Y1840" i="1" s="1"/>
  <c r="Y1841" i="1" a="1"/>
  <c r="Y1841" i="1" s="1"/>
  <c r="Y1842" i="1" a="1"/>
  <c r="Y1842" i="1" s="1"/>
  <c r="Y1843" i="1" a="1"/>
  <c r="Y1843" i="1" s="1"/>
  <c r="Y1844" i="1" a="1"/>
  <c r="Y1844" i="1" s="1"/>
  <c r="Y1845" i="1" a="1"/>
  <c r="Y1845" i="1" s="1"/>
  <c r="Y1846" i="1" a="1"/>
  <c r="Y1846" i="1" s="1"/>
  <c r="Y1847" i="1" a="1"/>
  <c r="Y1847" i="1" s="1"/>
  <c r="Y1848" i="1" a="1"/>
  <c r="Y1848" i="1" s="1"/>
  <c r="Y1849" i="1" a="1"/>
  <c r="Y1849" i="1" s="1"/>
  <c r="Y1850" i="1" a="1"/>
  <c r="Y1850" i="1" s="1"/>
  <c r="Y1851" i="1" a="1"/>
  <c r="Y1851" i="1" s="1"/>
  <c r="Y1852" i="1" a="1"/>
  <c r="Y1852" i="1" s="1"/>
  <c r="Y1853" i="1" a="1"/>
  <c r="Y1853" i="1" s="1"/>
  <c r="Y1854" i="1" a="1"/>
  <c r="Y1854" i="1" s="1"/>
  <c r="Y1855" i="1" a="1"/>
  <c r="Y1855" i="1" s="1"/>
  <c r="Y1856" i="1" a="1"/>
  <c r="Y1856" i="1" s="1"/>
  <c r="Y1857" i="1" a="1"/>
  <c r="Y1857" i="1" s="1"/>
  <c r="Y1858" i="1" a="1"/>
  <c r="Y1858" i="1" s="1"/>
  <c r="Y1859" i="1" a="1"/>
  <c r="Y1859" i="1" s="1"/>
  <c r="Y1860" i="1" a="1"/>
  <c r="Y1860" i="1" s="1"/>
  <c r="Y1861" i="1" a="1"/>
  <c r="Y1861" i="1" s="1"/>
  <c r="Y1862" i="1" a="1"/>
  <c r="Y1862" i="1" s="1"/>
  <c r="Y1863" i="1" a="1"/>
  <c r="Y1863" i="1" s="1"/>
  <c r="Y1864" i="1" a="1"/>
  <c r="Y1864" i="1" s="1"/>
  <c r="Y1865" i="1" a="1"/>
  <c r="Y1865" i="1" s="1"/>
  <c r="Y1866" i="1" a="1"/>
  <c r="Y1866" i="1" s="1"/>
  <c r="Y1867" i="1" a="1"/>
  <c r="Y1867" i="1" s="1"/>
  <c r="Y1868" i="1" a="1"/>
  <c r="Y1868" i="1" s="1"/>
  <c r="Y1869" i="1" a="1"/>
  <c r="Y1869" i="1" s="1"/>
  <c r="Y1870" i="1" a="1"/>
  <c r="Y1870" i="1" s="1"/>
  <c r="Y1871" i="1" a="1"/>
  <c r="Y1871" i="1" s="1"/>
  <c r="Y1872" i="1" a="1"/>
  <c r="Y1872" i="1" s="1"/>
  <c r="Y1873" i="1" a="1"/>
  <c r="Y1873" i="1" s="1"/>
  <c r="Y1874" i="1" a="1"/>
  <c r="Y1874" i="1" s="1"/>
  <c r="Y1875" i="1" a="1"/>
  <c r="Y1875" i="1" s="1"/>
  <c r="Y1876" i="1" a="1"/>
  <c r="Y1876" i="1" s="1"/>
  <c r="Y1877" i="1" a="1"/>
  <c r="Y1877" i="1" s="1"/>
  <c r="Y1878" i="1" a="1"/>
  <c r="Y1878" i="1" s="1"/>
  <c r="Y1879" i="1" a="1"/>
  <c r="Y1879" i="1" s="1"/>
  <c r="Y1880" i="1" a="1"/>
  <c r="Y1880" i="1" s="1"/>
  <c r="Y1881" i="1" a="1"/>
  <c r="Y1881" i="1" s="1"/>
  <c r="Y1882" i="1" a="1"/>
  <c r="Y1882" i="1" s="1"/>
  <c r="Y1883" i="1" a="1"/>
  <c r="Y1883" i="1" s="1"/>
  <c r="Y1884" i="1" a="1"/>
  <c r="Y1884" i="1" s="1"/>
  <c r="Y1885" i="1" a="1"/>
  <c r="Y1885" i="1" s="1"/>
  <c r="Y1886" i="1" a="1"/>
  <c r="Y1886" i="1" s="1"/>
  <c r="Y1887" i="1" a="1"/>
  <c r="Y1887" i="1" s="1"/>
  <c r="Y1888" i="1" a="1"/>
  <c r="Y1888" i="1" s="1"/>
  <c r="Y1889" i="1" a="1"/>
  <c r="Y1889" i="1" s="1"/>
  <c r="Y1890" i="1" a="1"/>
  <c r="Y1890" i="1" s="1"/>
  <c r="Y1891" i="1" a="1"/>
  <c r="Y1891" i="1" s="1"/>
  <c r="Y1892" i="1" a="1"/>
  <c r="Y1892" i="1" s="1"/>
  <c r="Y1893" i="1" a="1"/>
  <c r="Y1893" i="1" s="1"/>
  <c r="Y1894" i="1" a="1"/>
  <c r="Y1894" i="1" s="1"/>
  <c r="Y1895" i="1" a="1"/>
  <c r="Y1895" i="1" s="1"/>
  <c r="Y1896" i="1" a="1"/>
  <c r="Y1896" i="1" s="1"/>
  <c r="Y1897" i="1" a="1"/>
  <c r="Y1897" i="1" s="1"/>
  <c r="Y1898" i="1" a="1"/>
  <c r="Y1898" i="1" s="1"/>
  <c r="Y1899" i="1" a="1"/>
  <c r="Y1899" i="1" s="1"/>
  <c r="Y1900" i="1" a="1"/>
  <c r="Y1900" i="1" s="1"/>
  <c r="Y1901" i="1" a="1"/>
  <c r="Y1901" i="1" s="1"/>
  <c r="Y1902" i="1" a="1"/>
  <c r="Y1902" i="1" s="1"/>
  <c r="Y1903" i="1" a="1"/>
  <c r="Y1903" i="1" s="1"/>
  <c r="Y1904" i="1" a="1"/>
  <c r="Y1904" i="1" s="1"/>
  <c r="Y1905" i="1" a="1"/>
  <c r="Y1905" i="1" s="1"/>
  <c r="Y1906" i="1" a="1"/>
  <c r="Y1906" i="1" s="1"/>
  <c r="Y1907" i="1" a="1"/>
  <c r="Y1907" i="1" s="1"/>
  <c r="Y1908" i="1" a="1"/>
  <c r="Y1908" i="1" s="1"/>
  <c r="Y1909" i="1" a="1"/>
  <c r="Y1909" i="1" s="1"/>
  <c r="Y1910" i="1" a="1"/>
  <c r="Y1910" i="1" s="1"/>
  <c r="Y1911" i="1" a="1"/>
  <c r="Y1911" i="1" s="1"/>
  <c r="Y1912" i="1" a="1"/>
  <c r="Y1912" i="1" s="1"/>
  <c r="Y1913" i="1" a="1"/>
  <c r="Y1913" i="1" s="1"/>
  <c r="Y1914" i="1" a="1"/>
  <c r="Y1914" i="1" s="1"/>
  <c r="Y1915" i="1" a="1"/>
  <c r="Y1915" i="1" s="1"/>
  <c r="Y1916" i="1" a="1"/>
  <c r="Y1916" i="1" s="1"/>
  <c r="Y1917" i="1" a="1"/>
  <c r="Y1917" i="1" s="1"/>
  <c r="Y1918" i="1" a="1"/>
  <c r="Y1918" i="1" s="1"/>
  <c r="Y1919" i="1" a="1"/>
  <c r="Y1919" i="1" s="1"/>
  <c r="Y1920" i="1" a="1"/>
  <c r="Y1920" i="1" s="1"/>
  <c r="Y1921" i="1" a="1"/>
  <c r="Y1921" i="1" s="1"/>
  <c r="Y1922" i="1" a="1"/>
  <c r="Y1922" i="1" s="1"/>
  <c r="Y1923" i="1" a="1"/>
  <c r="Y1923" i="1" s="1"/>
  <c r="Y1924" i="1" a="1"/>
  <c r="Y1924" i="1" s="1"/>
  <c r="Y1925" i="1" a="1"/>
  <c r="Y1925" i="1" s="1"/>
  <c r="Y1926" i="1" a="1"/>
  <c r="Y1926" i="1" s="1"/>
  <c r="Y1927" i="1" a="1"/>
  <c r="Y1927" i="1" s="1"/>
  <c r="Y1928" i="1" a="1"/>
  <c r="Y1928" i="1" s="1"/>
  <c r="Y1929" i="1" a="1"/>
  <c r="Y1929" i="1" s="1"/>
  <c r="Y1930" i="1" a="1"/>
  <c r="Y1930" i="1" s="1"/>
  <c r="Y1931" i="1" a="1"/>
  <c r="Y1931" i="1" s="1"/>
  <c r="Y1932" i="1" a="1"/>
  <c r="Y1932" i="1" s="1"/>
  <c r="Y1933" i="1" a="1"/>
  <c r="Y1933" i="1" s="1"/>
  <c r="Y1934" i="1" a="1"/>
  <c r="Y1934" i="1" s="1"/>
  <c r="Y1935" i="1" a="1"/>
  <c r="Y1935" i="1" s="1"/>
  <c r="Y1936" i="1" a="1"/>
  <c r="Y1936" i="1" s="1"/>
  <c r="Y1937" i="1" a="1"/>
  <c r="Y1937" i="1" s="1"/>
  <c r="Y1938" i="1" a="1"/>
  <c r="Y1938" i="1" s="1"/>
  <c r="Y1939" i="1" a="1"/>
  <c r="Y1939" i="1" s="1"/>
  <c r="Y1940" i="1" a="1"/>
  <c r="Y1940" i="1" s="1"/>
  <c r="Y1941" i="1" a="1"/>
  <c r="Y1941" i="1" s="1"/>
  <c r="Y1942" i="1" a="1"/>
  <c r="Y1942" i="1" s="1"/>
  <c r="Y1943" i="1" a="1"/>
  <c r="Y1943" i="1" s="1"/>
  <c r="Y1944" i="1" a="1"/>
  <c r="Y1944" i="1" s="1"/>
  <c r="Y1945" i="1" a="1"/>
  <c r="Y1945" i="1" s="1"/>
  <c r="Y1946" i="1" a="1"/>
  <c r="Y1946" i="1" s="1"/>
  <c r="Y1947" i="1" a="1"/>
  <c r="Y1947" i="1" s="1"/>
  <c r="Y1948" i="1" a="1"/>
  <c r="Y1948" i="1" s="1"/>
  <c r="Y1949" i="1" a="1"/>
  <c r="Y1949" i="1" s="1"/>
  <c r="Y1950" i="1" a="1"/>
  <c r="Y1950" i="1" s="1"/>
  <c r="Y1951" i="1" a="1"/>
  <c r="Y1951" i="1" s="1"/>
  <c r="Y1952" i="1" a="1"/>
  <c r="Y1952" i="1" s="1"/>
  <c r="Y1953" i="1" a="1"/>
  <c r="Y1953" i="1" s="1"/>
  <c r="Y1954" i="1" a="1"/>
  <c r="Y1954" i="1" s="1"/>
  <c r="Y1955" i="1" a="1"/>
  <c r="Y1955" i="1" s="1"/>
  <c r="Y1956" i="1" a="1"/>
  <c r="Y1956" i="1" s="1"/>
  <c r="Y1957" i="1" a="1"/>
  <c r="Y1957" i="1" s="1"/>
  <c r="Y1958" i="1" a="1"/>
  <c r="Y1958" i="1" s="1"/>
  <c r="Y1959" i="1" a="1"/>
  <c r="Y1959" i="1" s="1"/>
  <c r="Y1960" i="1" a="1"/>
  <c r="Y1960" i="1" s="1"/>
  <c r="Y1961" i="1" a="1"/>
  <c r="Y1961" i="1" s="1"/>
  <c r="Y1962" i="1" a="1"/>
  <c r="Y1962" i="1" s="1"/>
  <c r="Y1963" i="1" a="1"/>
  <c r="Y1963" i="1" s="1"/>
  <c r="Y1964" i="1" a="1"/>
  <c r="Y1964" i="1" s="1"/>
  <c r="Y1965" i="1" a="1"/>
  <c r="Y1965" i="1" s="1"/>
  <c r="Y1966" i="1" a="1"/>
  <c r="Y1966" i="1" s="1"/>
  <c r="Y1967" i="1" a="1"/>
  <c r="Y1967" i="1" s="1"/>
  <c r="Y1968" i="1" a="1"/>
  <c r="Y1968" i="1" s="1"/>
  <c r="Y1969" i="1" a="1"/>
  <c r="Y1969" i="1" s="1"/>
  <c r="Y1970" i="1" a="1"/>
  <c r="Y1970" i="1" s="1"/>
  <c r="Y1971" i="1" a="1"/>
  <c r="Y1971" i="1" s="1"/>
  <c r="Y1972" i="1" a="1"/>
  <c r="Y1972" i="1" s="1"/>
  <c r="Y1973" i="1" a="1"/>
  <c r="Y1973" i="1" s="1"/>
  <c r="Y1974" i="1" a="1"/>
  <c r="Y1974" i="1" s="1"/>
  <c r="Y1975" i="1" a="1"/>
  <c r="Y1975" i="1" s="1"/>
  <c r="Y1976" i="1" a="1"/>
  <c r="Y1976" i="1" s="1"/>
  <c r="Y1977" i="1" a="1"/>
  <c r="Y1977" i="1" s="1"/>
  <c r="Y1978" i="1" a="1"/>
  <c r="Y1978" i="1" s="1"/>
  <c r="Y1979" i="1" a="1"/>
  <c r="Y1979" i="1" s="1"/>
  <c r="Y1980" i="1" a="1"/>
  <c r="Y1980" i="1" s="1"/>
  <c r="Y1981" i="1" a="1"/>
  <c r="Y1981" i="1" s="1"/>
  <c r="Y1982" i="1" a="1"/>
  <c r="Y1982" i="1" s="1"/>
  <c r="Y1983" i="1" a="1"/>
  <c r="Y1983" i="1" s="1"/>
  <c r="Y1984" i="1" a="1"/>
  <c r="Y1984" i="1" s="1"/>
  <c r="Y1985" i="1" a="1"/>
  <c r="Y1985" i="1" s="1"/>
  <c r="Y1986" i="1" a="1"/>
  <c r="Y1986" i="1" s="1"/>
  <c r="Y1987" i="1" a="1"/>
  <c r="Y1987" i="1" s="1"/>
  <c r="Y1988" i="1" a="1"/>
  <c r="Y1988" i="1" s="1"/>
  <c r="Y1989" i="1" a="1"/>
  <c r="Y1989" i="1" s="1"/>
  <c r="Y1990" i="1" a="1"/>
  <c r="Y1990" i="1" s="1"/>
  <c r="Y1991" i="1" a="1"/>
  <c r="Y1991" i="1" s="1"/>
  <c r="Y1992" i="1" a="1"/>
  <c r="Y1992" i="1" s="1"/>
  <c r="Y1993" i="1" a="1"/>
  <c r="Y1993" i="1" s="1"/>
  <c r="Y1994" i="1" a="1"/>
  <c r="Y1994" i="1" s="1"/>
  <c r="Y1995" i="1" a="1"/>
  <c r="Y1995" i="1" s="1"/>
  <c r="Y1996" i="1" a="1"/>
  <c r="Y1996" i="1" s="1"/>
  <c r="Y1997" i="1" a="1"/>
  <c r="Y1997" i="1" s="1"/>
  <c r="Y1998" i="1" a="1"/>
  <c r="Y1998" i="1" s="1"/>
  <c r="Y1999" i="1" a="1"/>
  <c r="Y1999" i="1" s="1"/>
  <c r="Y2000" i="1" a="1"/>
  <c r="Y2000" i="1" s="1"/>
  <c r="Y2001" i="1" a="1"/>
  <c r="Y2001" i="1" s="1"/>
  <c r="W2" i="1" a="1"/>
  <c r="W2" i="1" s="1"/>
  <c r="W3" i="1" a="1"/>
  <c r="W3" i="1" s="1"/>
  <c r="W4" i="1" a="1"/>
  <c r="W4" i="1" s="1"/>
  <c r="W5" i="1" a="1"/>
  <c r="W5" i="1" s="1"/>
  <c r="W6" i="1" a="1"/>
  <c r="W6" i="1" s="1"/>
  <c r="W7" i="1" a="1"/>
  <c r="W7" i="1" s="1"/>
  <c r="W8" i="1" a="1"/>
  <c r="W8" i="1" s="1"/>
  <c r="W9" i="1" a="1"/>
  <c r="W9" i="1" s="1"/>
  <c r="W10" i="1" a="1"/>
  <c r="W10" i="1" s="1"/>
  <c r="W11" i="1" a="1"/>
  <c r="W11" i="1" s="1"/>
  <c r="W12" i="1" a="1"/>
  <c r="W12" i="1" s="1"/>
  <c r="W13" i="1" a="1"/>
  <c r="W13" i="1" s="1"/>
  <c r="W14" i="1" a="1"/>
  <c r="W14" i="1" s="1"/>
  <c r="W15" i="1" a="1"/>
  <c r="W15" i="1" s="1"/>
  <c r="W16" i="1" a="1"/>
  <c r="W16" i="1" s="1"/>
  <c r="W17" i="1" a="1"/>
  <c r="W17" i="1" s="1"/>
  <c r="W18" i="1" a="1"/>
  <c r="W18" i="1" s="1"/>
  <c r="W19" i="1" a="1"/>
  <c r="W19" i="1" s="1"/>
  <c r="W20" i="1" a="1"/>
  <c r="W20" i="1" s="1"/>
  <c r="W21" i="1" a="1"/>
  <c r="W21" i="1" s="1"/>
  <c r="W22" i="1" a="1"/>
  <c r="W22" i="1" s="1"/>
  <c r="W23" i="1" a="1"/>
  <c r="W23" i="1" s="1"/>
  <c r="W24" i="1" a="1"/>
  <c r="W24" i="1" s="1"/>
  <c r="W25" i="1" a="1"/>
  <c r="W25" i="1" s="1"/>
  <c r="W26" i="1" a="1"/>
  <c r="W26" i="1" s="1"/>
  <c r="W27" i="1" a="1"/>
  <c r="W27" i="1" s="1"/>
  <c r="W28" i="1" a="1"/>
  <c r="W28" i="1" s="1"/>
  <c r="W29" i="1" a="1"/>
  <c r="W29" i="1" s="1"/>
  <c r="W30" i="1" a="1"/>
  <c r="W30" i="1" s="1"/>
  <c r="W31" i="1" a="1"/>
  <c r="W31" i="1" s="1"/>
  <c r="W32" i="1" a="1"/>
  <c r="W32" i="1" s="1"/>
  <c r="W33" i="1" a="1"/>
  <c r="W33" i="1" s="1"/>
  <c r="W34" i="1" a="1"/>
  <c r="W34" i="1" s="1"/>
  <c r="W35" i="1" a="1"/>
  <c r="W35" i="1" s="1"/>
  <c r="W36" i="1" a="1"/>
  <c r="W36" i="1" s="1"/>
  <c r="W37" i="1" a="1"/>
  <c r="W37" i="1" s="1"/>
  <c r="W38" i="1" a="1"/>
  <c r="W38" i="1" s="1"/>
  <c r="W39" i="1" a="1"/>
  <c r="W39" i="1" s="1"/>
  <c r="W40" i="1" a="1"/>
  <c r="W40" i="1" s="1"/>
  <c r="W41" i="1" a="1"/>
  <c r="W41" i="1" s="1"/>
  <c r="W42" i="1" a="1"/>
  <c r="W42" i="1" s="1"/>
  <c r="W43" i="1" a="1"/>
  <c r="W43" i="1" s="1"/>
  <c r="W44" i="1" a="1"/>
  <c r="W44" i="1" s="1"/>
  <c r="W45" i="1" a="1"/>
  <c r="W45" i="1" s="1"/>
  <c r="W46" i="1" a="1"/>
  <c r="W46" i="1" s="1"/>
  <c r="W47" i="1" a="1"/>
  <c r="W47" i="1" s="1"/>
  <c r="W48" i="1" a="1"/>
  <c r="W48" i="1" s="1"/>
  <c r="W49" i="1" a="1"/>
  <c r="W49" i="1" s="1"/>
  <c r="W50" i="1" a="1"/>
  <c r="W50" i="1" s="1"/>
  <c r="W51" i="1" a="1"/>
  <c r="W51" i="1" s="1"/>
  <c r="W52" i="1" a="1"/>
  <c r="W52" i="1" s="1"/>
  <c r="W53" i="1" a="1"/>
  <c r="W53" i="1" s="1"/>
  <c r="W54" i="1" a="1"/>
  <c r="W54" i="1" s="1"/>
  <c r="W55" i="1" a="1"/>
  <c r="W55" i="1" s="1"/>
  <c r="W56" i="1" a="1"/>
  <c r="W56" i="1" s="1"/>
  <c r="W57" i="1" a="1"/>
  <c r="W57" i="1" s="1"/>
  <c r="W58" i="1" a="1"/>
  <c r="W58" i="1" s="1"/>
  <c r="W59" i="1" a="1"/>
  <c r="W59" i="1" s="1"/>
  <c r="W60" i="1" a="1"/>
  <c r="W60" i="1" s="1"/>
  <c r="W61" i="1" a="1"/>
  <c r="W61" i="1" s="1"/>
  <c r="W62" i="1" a="1"/>
  <c r="W62" i="1" s="1"/>
  <c r="W63" i="1" a="1"/>
  <c r="W63" i="1" s="1"/>
  <c r="W64" i="1" a="1"/>
  <c r="W64" i="1" s="1"/>
  <c r="W65" i="1" a="1"/>
  <c r="W65" i="1" s="1"/>
  <c r="W66" i="1" a="1"/>
  <c r="W66" i="1" s="1"/>
  <c r="W67" i="1" a="1"/>
  <c r="W67" i="1" s="1"/>
  <c r="W68" i="1" a="1"/>
  <c r="W68" i="1" s="1"/>
  <c r="W69" i="1" a="1"/>
  <c r="W69" i="1" s="1"/>
  <c r="W70" i="1" a="1"/>
  <c r="W70" i="1" s="1"/>
  <c r="W71" i="1" a="1"/>
  <c r="W71" i="1" s="1"/>
  <c r="W72" i="1" a="1"/>
  <c r="W72" i="1" s="1"/>
  <c r="W73" i="1" a="1"/>
  <c r="W73" i="1" s="1"/>
  <c r="W74" i="1" a="1"/>
  <c r="W74" i="1" s="1"/>
  <c r="W75" i="1" a="1"/>
  <c r="W75" i="1" s="1"/>
  <c r="W76" i="1" a="1"/>
  <c r="W76" i="1" s="1"/>
  <c r="W77" i="1" a="1"/>
  <c r="W77" i="1" s="1"/>
  <c r="W78" i="1" a="1"/>
  <c r="W78" i="1" s="1"/>
  <c r="W79" i="1" a="1"/>
  <c r="W79" i="1" s="1"/>
  <c r="W80" i="1" a="1"/>
  <c r="W80" i="1" s="1"/>
  <c r="W81" i="1" a="1"/>
  <c r="W81" i="1" s="1"/>
  <c r="W82" i="1" a="1"/>
  <c r="W82" i="1" s="1"/>
  <c r="W83" i="1" a="1"/>
  <c r="W83" i="1" s="1"/>
  <c r="W84" i="1" a="1"/>
  <c r="W84" i="1" s="1"/>
  <c r="W85" i="1" a="1"/>
  <c r="W85" i="1" s="1"/>
  <c r="W86" i="1" a="1"/>
  <c r="W86" i="1" s="1"/>
  <c r="W87" i="1" a="1"/>
  <c r="W87" i="1" s="1"/>
  <c r="W88" i="1" a="1"/>
  <c r="W88" i="1" s="1"/>
  <c r="W89" i="1" a="1"/>
  <c r="W89" i="1" s="1"/>
  <c r="W90" i="1" a="1"/>
  <c r="W90" i="1" s="1"/>
  <c r="W91" i="1" a="1"/>
  <c r="W91" i="1" s="1"/>
  <c r="W92" i="1" a="1"/>
  <c r="W92" i="1" s="1"/>
  <c r="W93" i="1" a="1"/>
  <c r="W93" i="1" s="1"/>
  <c r="W94" i="1" a="1"/>
  <c r="W94" i="1" s="1"/>
  <c r="W95" i="1" a="1"/>
  <c r="W95" i="1" s="1"/>
  <c r="W96" i="1" a="1"/>
  <c r="W96" i="1" s="1"/>
  <c r="W97" i="1" a="1"/>
  <c r="W97" i="1" s="1"/>
  <c r="W98" i="1" a="1"/>
  <c r="W98" i="1" s="1"/>
  <c r="W99" i="1" a="1"/>
  <c r="W99" i="1" s="1"/>
  <c r="W100" i="1" a="1"/>
  <c r="W100" i="1" s="1"/>
  <c r="W101" i="1" a="1"/>
  <c r="W101" i="1" s="1"/>
  <c r="W102" i="1" a="1"/>
  <c r="W102" i="1" s="1"/>
  <c r="W103" i="1" a="1"/>
  <c r="W103" i="1" s="1"/>
  <c r="W104" i="1" a="1"/>
  <c r="W104" i="1" s="1"/>
  <c r="W105" i="1" a="1"/>
  <c r="W105" i="1" s="1"/>
  <c r="W106" i="1" a="1"/>
  <c r="W106" i="1" s="1"/>
  <c r="W107" i="1" a="1"/>
  <c r="W107" i="1" s="1"/>
  <c r="W108" i="1" a="1"/>
  <c r="W108" i="1" s="1"/>
  <c r="W109" i="1" a="1"/>
  <c r="W109" i="1" s="1"/>
  <c r="W110" i="1" a="1"/>
  <c r="W110" i="1" s="1"/>
  <c r="W111" i="1" a="1"/>
  <c r="W111" i="1" s="1"/>
  <c r="W112" i="1" a="1"/>
  <c r="W112" i="1" s="1"/>
  <c r="W113" i="1" a="1"/>
  <c r="W113" i="1" s="1"/>
  <c r="W114" i="1" a="1"/>
  <c r="W114" i="1" s="1"/>
  <c r="W115" i="1" a="1"/>
  <c r="W115" i="1" s="1"/>
  <c r="W116" i="1" a="1"/>
  <c r="W116" i="1" s="1"/>
  <c r="W117" i="1" a="1"/>
  <c r="W117" i="1" s="1"/>
  <c r="W118" i="1" a="1"/>
  <c r="W118" i="1" s="1"/>
  <c r="W119" i="1" a="1"/>
  <c r="W119" i="1" s="1"/>
  <c r="W120" i="1" a="1"/>
  <c r="W120" i="1" s="1"/>
  <c r="W121" i="1" a="1"/>
  <c r="W121" i="1" s="1"/>
  <c r="W122" i="1" a="1"/>
  <c r="W122" i="1" s="1"/>
  <c r="W123" i="1" a="1"/>
  <c r="W123" i="1" s="1"/>
  <c r="W124" i="1" a="1"/>
  <c r="W124" i="1" s="1"/>
  <c r="W125" i="1" a="1"/>
  <c r="W125" i="1" s="1"/>
  <c r="W126" i="1" a="1"/>
  <c r="W126" i="1" s="1"/>
  <c r="W127" i="1" a="1"/>
  <c r="W127" i="1" s="1"/>
  <c r="W128" i="1" a="1"/>
  <c r="W128" i="1" s="1"/>
  <c r="W129" i="1" a="1"/>
  <c r="W129" i="1" s="1"/>
  <c r="W130" i="1" a="1"/>
  <c r="W130" i="1" s="1"/>
  <c r="W131" i="1" a="1"/>
  <c r="W131" i="1" s="1"/>
  <c r="W132" i="1" a="1"/>
  <c r="W132" i="1" s="1"/>
  <c r="W133" i="1" a="1"/>
  <c r="W133" i="1" s="1"/>
  <c r="W134" i="1" a="1"/>
  <c r="W134" i="1" s="1"/>
  <c r="W135" i="1" a="1"/>
  <c r="W135" i="1" s="1"/>
  <c r="W136" i="1" a="1"/>
  <c r="W136" i="1" s="1"/>
  <c r="W137" i="1" a="1"/>
  <c r="W137" i="1" s="1"/>
  <c r="W138" i="1" a="1"/>
  <c r="W138" i="1" s="1"/>
  <c r="W139" i="1" a="1"/>
  <c r="W139" i="1" s="1"/>
  <c r="W140" i="1" a="1"/>
  <c r="W140" i="1" s="1"/>
  <c r="W141" i="1" a="1"/>
  <c r="W141" i="1" s="1"/>
  <c r="W142" i="1" a="1"/>
  <c r="W142" i="1" s="1"/>
  <c r="W143" i="1" a="1"/>
  <c r="W143" i="1" s="1"/>
  <c r="W144" i="1" a="1"/>
  <c r="W144" i="1" s="1"/>
  <c r="W145" i="1" a="1"/>
  <c r="W145" i="1" s="1"/>
  <c r="W146" i="1" a="1"/>
  <c r="W146" i="1" s="1"/>
  <c r="W147" i="1" a="1"/>
  <c r="W147" i="1" s="1"/>
  <c r="W148" i="1" a="1"/>
  <c r="W148" i="1" s="1"/>
  <c r="W149" i="1" a="1"/>
  <c r="W149" i="1" s="1"/>
  <c r="W150" i="1" a="1"/>
  <c r="W150" i="1" s="1"/>
  <c r="W151" i="1" a="1"/>
  <c r="W151" i="1" s="1"/>
  <c r="W152" i="1" a="1"/>
  <c r="W152" i="1" s="1"/>
  <c r="W153" i="1" a="1"/>
  <c r="W153" i="1" s="1"/>
  <c r="W154" i="1" a="1"/>
  <c r="W154" i="1" s="1"/>
  <c r="W155" i="1" a="1"/>
  <c r="W155" i="1" s="1"/>
  <c r="W156" i="1" a="1"/>
  <c r="W156" i="1" s="1"/>
  <c r="W157" i="1" a="1"/>
  <c r="W157" i="1" s="1"/>
  <c r="W158" i="1" a="1"/>
  <c r="W158" i="1" s="1"/>
  <c r="W159" i="1" a="1"/>
  <c r="W159" i="1" s="1"/>
  <c r="W160" i="1" a="1"/>
  <c r="W160" i="1" s="1"/>
  <c r="W161" i="1" a="1"/>
  <c r="W161" i="1" s="1"/>
  <c r="W162" i="1" a="1"/>
  <c r="W162" i="1" s="1"/>
  <c r="W163" i="1" a="1"/>
  <c r="W163" i="1" s="1"/>
  <c r="W164" i="1" a="1"/>
  <c r="W164" i="1" s="1"/>
  <c r="W165" i="1" a="1"/>
  <c r="W165" i="1" s="1"/>
  <c r="W166" i="1" a="1"/>
  <c r="W166" i="1" s="1"/>
  <c r="W167" i="1" a="1"/>
  <c r="W167" i="1" s="1"/>
  <c r="W168" i="1" a="1"/>
  <c r="W168" i="1" s="1"/>
  <c r="W169" i="1" a="1"/>
  <c r="W169" i="1" s="1"/>
  <c r="W170" i="1" a="1"/>
  <c r="W170" i="1" s="1"/>
  <c r="W171" i="1" a="1"/>
  <c r="W171" i="1" s="1"/>
  <c r="W172" i="1" a="1"/>
  <c r="W172" i="1" s="1"/>
  <c r="W173" i="1" a="1"/>
  <c r="W173" i="1" s="1"/>
  <c r="W174" i="1" a="1"/>
  <c r="W174" i="1" s="1"/>
  <c r="W175" i="1" a="1"/>
  <c r="W175" i="1" s="1"/>
  <c r="W176" i="1" a="1"/>
  <c r="W176" i="1" s="1"/>
  <c r="W177" i="1" a="1"/>
  <c r="W177" i="1" s="1"/>
  <c r="W178" i="1" a="1"/>
  <c r="W178" i="1" s="1"/>
  <c r="W179" i="1" a="1"/>
  <c r="W179" i="1" s="1"/>
  <c r="W180" i="1" a="1"/>
  <c r="W180" i="1" s="1"/>
  <c r="W181" i="1" a="1"/>
  <c r="W181" i="1" s="1"/>
  <c r="W182" i="1" a="1"/>
  <c r="W182" i="1" s="1"/>
  <c r="W183" i="1" a="1"/>
  <c r="W183" i="1" s="1"/>
  <c r="W184" i="1" a="1"/>
  <c r="W184" i="1" s="1"/>
  <c r="W185" i="1" a="1"/>
  <c r="W185" i="1" s="1"/>
  <c r="W186" i="1" a="1"/>
  <c r="W186" i="1" s="1"/>
  <c r="W187" i="1" a="1"/>
  <c r="W187" i="1" s="1"/>
  <c r="W188" i="1" a="1"/>
  <c r="W188" i="1" s="1"/>
  <c r="W189" i="1" a="1"/>
  <c r="W189" i="1" s="1"/>
  <c r="W190" i="1" a="1"/>
  <c r="W190" i="1" s="1"/>
  <c r="W191" i="1" a="1"/>
  <c r="W191" i="1" s="1"/>
  <c r="W192" i="1" a="1"/>
  <c r="W192" i="1" s="1"/>
  <c r="W193" i="1" a="1"/>
  <c r="W193" i="1" s="1"/>
  <c r="W194" i="1" a="1"/>
  <c r="W194" i="1" s="1"/>
  <c r="W195" i="1" a="1"/>
  <c r="W195" i="1" s="1"/>
  <c r="W196" i="1" a="1"/>
  <c r="W196" i="1" s="1"/>
  <c r="W197" i="1" a="1"/>
  <c r="W197" i="1" s="1"/>
  <c r="W198" i="1" a="1"/>
  <c r="W198" i="1" s="1"/>
  <c r="W199" i="1" a="1"/>
  <c r="W199" i="1" s="1"/>
  <c r="W200" i="1" a="1"/>
  <c r="W200" i="1" s="1"/>
  <c r="W201" i="1" a="1"/>
  <c r="W201" i="1" s="1"/>
  <c r="W202" i="1" a="1"/>
  <c r="W202" i="1" s="1"/>
  <c r="W203" i="1" a="1"/>
  <c r="W203" i="1" s="1"/>
  <c r="W204" i="1" a="1"/>
  <c r="W204" i="1" s="1"/>
  <c r="W205" i="1" a="1"/>
  <c r="W205" i="1" s="1"/>
  <c r="W206" i="1" a="1"/>
  <c r="W206" i="1" s="1"/>
  <c r="W207" i="1" a="1"/>
  <c r="W207" i="1" s="1"/>
  <c r="W208" i="1" a="1"/>
  <c r="W208" i="1" s="1"/>
  <c r="W209" i="1" a="1"/>
  <c r="W209" i="1" s="1"/>
  <c r="W210" i="1" a="1"/>
  <c r="W210" i="1" s="1"/>
  <c r="W211" i="1" a="1"/>
  <c r="W211" i="1" s="1"/>
  <c r="W212" i="1" a="1"/>
  <c r="W212" i="1" s="1"/>
  <c r="W213" i="1" a="1"/>
  <c r="W213" i="1" s="1"/>
  <c r="W214" i="1" a="1"/>
  <c r="W214" i="1" s="1"/>
  <c r="W215" i="1" a="1"/>
  <c r="W215" i="1" s="1"/>
  <c r="W216" i="1" a="1"/>
  <c r="W216" i="1" s="1"/>
  <c r="W217" i="1" a="1"/>
  <c r="W217" i="1" s="1"/>
  <c r="W218" i="1" a="1"/>
  <c r="W218" i="1" s="1"/>
  <c r="W219" i="1" a="1"/>
  <c r="W219" i="1" s="1"/>
  <c r="W220" i="1" a="1"/>
  <c r="W220" i="1" s="1"/>
  <c r="W221" i="1" a="1"/>
  <c r="W221" i="1" s="1"/>
  <c r="W222" i="1" a="1"/>
  <c r="W222" i="1" s="1"/>
  <c r="W223" i="1" a="1"/>
  <c r="W223" i="1" s="1"/>
  <c r="W224" i="1" a="1"/>
  <c r="W224" i="1" s="1"/>
  <c r="W225" i="1" a="1"/>
  <c r="W225" i="1" s="1"/>
  <c r="W226" i="1" a="1"/>
  <c r="W226" i="1" s="1"/>
  <c r="W227" i="1" a="1"/>
  <c r="W227" i="1" s="1"/>
  <c r="W228" i="1" a="1"/>
  <c r="W228" i="1" s="1"/>
  <c r="W229" i="1" a="1"/>
  <c r="W229" i="1" s="1"/>
  <c r="W230" i="1" a="1"/>
  <c r="W230" i="1" s="1"/>
  <c r="W231" i="1" a="1"/>
  <c r="W231" i="1" s="1"/>
  <c r="W232" i="1" a="1"/>
  <c r="W232" i="1" s="1"/>
  <c r="W233" i="1" a="1"/>
  <c r="W233" i="1" s="1"/>
  <c r="W234" i="1" a="1"/>
  <c r="W234" i="1" s="1"/>
  <c r="W235" i="1" a="1"/>
  <c r="W235" i="1" s="1"/>
  <c r="W236" i="1" a="1"/>
  <c r="W236" i="1" s="1"/>
  <c r="W237" i="1" a="1"/>
  <c r="W237" i="1" s="1"/>
  <c r="W238" i="1" a="1"/>
  <c r="W238" i="1" s="1"/>
  <c r="W239" i="1" a="1"/>
  <c r="W239" i="1" s="1"/>
  <c r="W240" i="1" a="1"/>
  <c r="W240" i="1" s="1"/>
  <c r="W241" i="1" a="1"/>
  <c r="W241" i="1" s="1"/>
  <c r="W242" i="1" a="1"/>
  <c r="W242" i="1" s="1"/>
  <c r="W243" i="1" a="1"/>
  <c r="W243" i="1" s="1"/>
  <c r="W244" i="1" a="1"/>
  <c r="W244" i="1" s="1"/>
  <c r="W245" i="1" a="1"/>
  <c r="W245" i="1" s="1"/>
  <c r="W246" i="1" a="1"/>
  <c r="W246" i="1" s="1"/>
  <c r="W247" i="1" a="1"/>
  <c r="W247" i="1" s="1"/>
  <c r="W248" i="1" a="1"/>
  <c r="W248" i="1" s="1"/>
  <c r="W249" i="1" a="1"/>
  <c r="W249" i="1" s="1"/>
  <c r="W250" i="1" a="1"/>
  <c r="W250" i="1" s="1"/>
  <c r="W251" i="1" a="1"/>
  <c r="W251" i="1" s="1"/>
  <c r="W252" i="1" a="1"/>
  <c r="W252" i="1" s="1"/>
  <c r="W253" i="1" a="1"/>
  <c r="W253" i="1" s="1"/>
  <c r="W254" i="1" a="1"/>
  <c r="W254" i="1" s="1"/>
  <c r="W255" i="1" a="1"/>
  <c r="W255" i="1" s="1"/>
  <c r="W256" i="1" a="1"/>
  <c r="W256" i="1" s="1"/>
  <c r="W257" i="1" a="1"/>
  <c r="W257" i="1" s="1"/>
  <c r="W258" i="1" a="1"/>
  <c r="W258" i="1" s="1"/>
  <c r="W259" i="1" a="1"/>
  <c r="W259" i="1" s="1"/>
  <c r="W260" i="1" a="1"/>
  <c r="W260" i="1" s="1"/>
  <c r="W261" i="1" a="1"/>
  <c r="W261" i="1" s="1"/>
  <c r="W262" i="1" a="1"/>
  <c r="W262" i="1" s="1"/>
  <c r="W263" i="1" a="1"/>
  <c r="W263" i="1" s="1"/>
  <c r="W264" i="1" a="1"/>
  <c r="W264" i="1" s="1"/>
  <c r="W265" i="1" a="1"/>
  <c r="W265" i="1" s="1"/>
  <c r="W266" i="1" a="1"/>
  <c r="W266" i="1" s="1"/>
  <c r="W267" i="1" a="1"/>
  <c r="W267" i="1" s="1"/>
  <c r="W268" i="1" a="1"/>
  <c r="W268" i="1" s="1"/>
  <c r="W269" i="1" a="1"/>
  <c r="W269" i="1" s="1"/>
  <c r="W270" i="1" a="1"/>
  <c r="W270" i="1" s="1"/>
  <c r="W271" i="1" a="1"/>
  <c r="W271" i="1" s="1"/>
  <c r="W272" i="1" a="1"/>
  <c r="W272" i="1" s="1"/>
  <c r="W273" i="1" a="1"/>
  <c r="W273" i="1" s="1"/>
  <c r="W274" i="1" a="1"/>
  <c r="W274" i="1" s="1"/>
  <c r="W275" i="1" a="1"/>
  <c r="W275" i="1" s="1"/>
  <c r="W276" i="1" a="1"/>
  <c r="W276" i="1" s="1"/>
  <c r="W277" i="1" a="1"/>
  <c r="W277" i="1" s="1"/>
  <c r="W278" i="1" a="1"/>
  <c r="W278" i="1" s="1"/>
  <c r="W279" i="1" a="1"/>
  <c r="W279" i="1" s="1"/>
  <c r="W280" i="1" a="1"/>
  <c r="W280" i="1" s="1"/>
  <c r="W281" i="1" a="1"/>
  <c r="W281" i="1" s="1"/>
  <c r="W282" i="1" a="1"/>
  <c r="W282" i="1" s="1"/>
  <c r="W283" i="1" a="1"/>
  <c r="W283" i="1" s="1"/>
  <c r="W284" i="1" a="1"/>
  <c r="W284" i="1" s="1"/>
  <c r="W285" i="1" a="1"/>
  <c r="W285" i="1" s="1"/>
  <c r="W286" i="1" a="1"/>
  <c r="W286" i="1" s="1"/>
  <c r="W287" i="1" a="1"/>
  <c r="W287" i="1" s="1"/>
  <c r="W288" i="1" a="1"/>
  <c r="W288" i="1" s="1"/>
  <c r="W289" i="1" a="1"/>
  <c r="W289" i="1" s="1"/>
  <c r="W290" i="1" a="1"/>
  <c r="W290" i="1" s="1"/>
  <c r="W291" i="1" a="1"/>
  <c r="W291" i="1" s="1"/>
  <c r="W292" i="1" a="1"/>
  <c r="W292" i="1" s="1"/>
  <c r="W293" i="1" a="1"/>
  <c r="W293" i="1" s="1"/>
  <c r="W294" i="1" a="1"/>
  <c r="W294" i="1" s="1"/>
  <c r="W295" i="1" a="1"/>
  <c r="W295" i="1" s="1"/>
  <c r="W296" i="1" a="1"/>
  <c r="W296" i="1" s="1"/>
  <c r="W297" i="1" a="1"/>
  <c r="W297" i="1" s="1"/>
  <c r="W298" i="1" a="1"/>
  <c r="W298" i="1" s="1"/>
  <c r="W299" i="1" a="1"/>
  <c r="W299" i="1" s="1"/>
  <c r="W300" i="1" a="1"/>
  <c r="W300" i="1" s="1"/>
  <c r="W301" i="1" a="1"/>
  <c r="W301" i="1" s="1"/>
  <c r="W302" i="1" a="1"/>
  <c r="W302" i="1" s="1"/>
  <c r="W303" i="1" a="1"/>
  <c r="W303" i="1" s="1"/>
  <c r="W304" i="1" a="1"/>
  <c r="W304" i="1" s="1"/>
  <c r="W305" i="1" a="1"/>
  <c r="W305" i="1" s="1"/>
  <c r="W306" i="1" a="1"/>
  <c r="W306" i="1" s="1"/>
  <c r="W307" i="1" a="1"/>
  <c r="W307" i="1" s="1"/>
  <c r="W308" i="1" a="1"/>
  <c r="W308" i="1" s="1"/>
  <c r="W309" i="1" a="1"/>
  <c r="W309" i="1" s="1"/>
  <c r="W310" i="1" a="1"/>
  <c r="W310" i="1" s="1"/>
  <c r="W311" i="1" a="1"/>
  <c r="W311" i="1" s="1"/>
  <c r="W312" i="1" a="1"/>
  <c r="W312" i="1" s="1"/>
  <c r="W313" i="1" a="1"/>
  <c r="W313" i="1" s="1"/>
  <c r="W314" i="1" a="1"/>
  <c r="W314" i="1" s="1"/>
  <c r="W315" i="1" a="1"/>
  <c r="W315" i="1" s="1"/>
  <c r="W316" i="1" a="1"/>
  <c r="W316" i="1" s="1"/>
  <c r="W317" i="1" a="1"/>
  <c r="W317" i="1" s="1"/>
  <c r="W318" i="1" a="1"/>
  <c r="W318" i="1" s="1"/>
  <c r="W319" i="1" a="1"/>
  <c r="W319" i="1" s="1"/>
  <c r="W320" i="1" a="1"/>
  <c r="W320" i="1" s="1"/>
  <c r="W321" i="1" a="1"/>
  <c r="W321" i="1" s="1"/>
  <c r="W322" i="1" a="1"/>
  <c r="W322" i="1" s="1"/>
  <c r="W323" i="1" a="1"/>
  <c r="W323" i="1" s="1"/>
  <c r="W324" i="1" a="1"/>
  <c r="W324" i="1" s="1"/>
  <c r="W325" i="1" a="1"/>
  <c r="W325" i="1" s="1"/>
  <c r="W326" i="1" a="1"/>
  <c r="W326" i="1" s="1"/>
  <c r="W327" i="1" a="1"/>
  <c r="W327" i="1" s="1"/>
  <c r="W328" i="1" a="1"/>
  <c r="W328" i="1" s="1"/>
  <c r="W329" i="1" a="1"/>
  <c r="W329" i="1" s="1"/>
  <c r="W330" i="1" a="1"/>
  <c r="W330" i="1" s="1"/>
  <c r="W331" i="1" a="1"/>
  <c r="W331" i="1" s="1"/>
  <c r="W332" i="1" a="1"/>
  <c r="W332" i="1" s="1"/>
  <c r="W333" i="1" a="1"/>
  <c r="W333" i="1" s="1"/>
  <c r="W334" i="1" a="1"/>
  <c r="W334" i="1" s="1"/>
  <c r="W335" i="1" a="1"/>
  <c r="W335" i="1" s="1"/>
  <c r="W336" i="1" a="1"/>
  <c r="W336" i="1" s="1"/>
  <c r="W337" i="1" a="1"/>
  <c r="W337" i="1" s="1"/>
  <c r="W338" i="1" a="1"/>
  <c r="W338" i="1" s="1"/>
  <c r="W339" i="1" a="1"/>
  <c r="W339" i="1" s="1"/>
  <c r="W340" i="1" a="1"/>
  <c r="W340" i="1" s="1"/>
  <c r="W341" i="1" a="1"/>
  <c r="W341" i="1" s="1"/>
  <c r="W342" i="1" a="1"/>
  <c r="W342" i="1" s="1"/>
  <c r="W343" i="1" a="1"/>
  <c r="W343" i="1" s="1"/>
  <c r="W344" i="1" a="1"/>
  <c r="W344" i="1" s="1"/>
  <c r="W345" i="1" a="1"/>
  <c r="W345" i="1" s="1"/>
  <c r="W346" i="1" a="1"/>
  <c r="W346" i="1" s="1"/>
  <c r="W347" i="1" a="1"/>
  <c r="W347" i="1" s="1"/>
  <c r="W348" i="1" a="1"/>
  <c r="W348" i="1" s="1"/>
  <c r="W349" i="1" a="1"/>
  <c r="W349" i="1" s="1"/>
  <c r="W350" i="1" a="1"/>
  <c r="W350" i="1" s="1"/>
  <c r="W351" i="1" a="1"/>
  <c r="W351" i="1" s="1"/>
  <c r="W352" i="1" a="1"/>
  <c r="W352" i="1" s="1"/>
  <c r="W353" i="1" a="1"/>
  <c r="W353" i="1" s="1"/>
  <c r="W354" i="1" a="1"/>
  <c r="W354" i="1" s="1"/>
  <c r="W355" i="1" a="1"/>
  <c r="W355" i="1" s="1"/>
  <c r="W356" i="1" a="1"/>
  <c r="W356" i="1" s="1"/>
  <c r="W357" i="1" a="1"/>
  <c r="W357" i="1" s="1"/>
  <c r="W358" i="1" a="1"/>
  <c r="W358" i="1" s="1"/>
  <c r="W359" i="1" a="1"/>
  <c r="W359" i="1" s="1"/>
  <c r="W360" i="1" a="1"/>
  <c r="W360" i="1" s="1"/>
  <c r="W361" i="1" a="1"/>
  <c r="W361" i="1" s="1"/>
  <c r="W362" i="1" a="1"/>
  <c r="W362" i="1" s="1"/>
  <c r="W363" i="1" a="1"/>
  <c r="W363" i="1" s="1"/>
  <c r="W364" i="1" a="1"/>
  <c r="W364" i="1" s="1"/>
  <c r="W365" i="1" a="1"/>
  <c r="W365" i="1" s="1"/>
  <c r="W366" i="1" a="1"/>
  <c r="W366" i="1" s="1"/>
  <c r="W367" i="1" a="1"/>
  <c r="W367" i="1" s="1"/>
  <c r="W368" i="1" a="1"/>
  <c r="W368" i="1" s="1"/>
  <c r="W369" i="1" a="1"/>
  <c r="W369" i="1" s="1"/>
  <c r="W370" i="1" a="1"/>
  <c r="W370" i="1" s="1"/>
  <c r="W371" i="1" a="1"/>
  <c r="W371" i="1" s="1"/>
  <c r="W372" i="1" a="1"/>
  <c r="W372" i="1" s="1"/>
  <c r="W373" i="1" a="1"/>
  <c r="W373" i="1" s="1"/>
  <c r="W374" i="1" a="1"/>
  <c r="W374" i="1" s="1"/>
  <c r="W375" i="1" a="1"/>
  <c r="W375" i="1" s="1"/>
  <c r="W376" i="1" a="1"/>
  <c r="W376" i="1" s="1"/>
  <c r="W377" i="1" a="1"/>
  <c r="W377" i="1" s="1"/>
  <c r="W378" i="1" a="1"/>
  <c r="W378" i="1" s="1"/>
  <c r="W379" i="1" a="1"/>
  <c r="W379" i="1" s="1"/>
  <c r="W380" i="1" a="1"/>
  <c r="W380" i="1" s="1"/>
  <c r="W381" i="1" a="1"/>
  <c r="W381" i="1" s="1"/>
  <c r="W382" i="1" a="1"/>
  <c r="W382" i="1" s="1"/>
  <c r="W383" i="1" a="1"/>
  <c r="W383" i="1" s="1"/>
  <c r="W384" i="1" a="1"/>
  <c r="W384" i="1" s="1"/>
  <c r="W385" i="1" a="1"/>
  <c r="W385" i="1" s="1"/>
  <c r="W386" i="1" a="1"/>
  <c r="W386" i="1" s="1"/>
  <c r="W387" i="1" a="1"/>
  <c r="W387" i="1" s="1"/>
  <c r="W388" i="1" a="1"/>
  <c r="W388" i="1" s="1"/>
  <c r="W389" i="1" a="1"/>
  <c r="W389" i="1" s="1"/>
  <c r="W390" i="1" a="1"/>
  <c r="W390" i="1" s="1"/>
  <c r="W391" i="1" a="1"/>
  <c r="W391" i="1" s="1"/>
  <c r="W392" i="1" a="1"/>
  <c r="W392" i="1" s="1"/>
  <c r="W393" i="1" a="1"/>
  <c r="W393" i="1" s="1"/>
  <c r="W394" i="1" a="1"/>
  <c r="W394" i="1" s="1"/>
  <c r="W395" i="1" a="1"/>
  <c r="W395" i="1" s="1"/>
  <c r="W396" i="1" a="1"/>
  <c r="W396" i="1" s="1"/>
  <c r="W397" i="1" a="1"/>
  <c r="W397" i="1" s="1"/>
  <c r="W398" i="1" a="1"/>
  <c r="W398" i="1" s="1"/>
  <c r="W399" i="1" a="1"/>
  <c r="W399" i="1" s="1"/>
  <c r="W400" i="1" a="1"/>
  <c r="W400" i="1" s="1"/>
  <c r="W401" i="1" a="1"/>
  <c r="W401" i="1" s="1"/>
  <c r="W402" i="1" a="1"/>
  <c r="W402" i="1" s="1"/>
  <c r="W403" i="1" a="1"/>
  <c r="W403" i="1" s="1"/>
  <c r="W404" i="1" a="1"/>
  <c r="W404" i="1" s="1"/>
  <c r="W405" i="1" a="1"/>
  <c r="W405" i="1" s="1"/>
  <c r="W406" i="1" a="1"/>
  <c r="W406" i="1" s="1"/>
  <c r="W407" i="1" a="1"/>
  <c r="W407" i="1" s="1"/>
  <c r="W408" i="1" a="1"/>
  <c r="W408" i="1" s="1"/>
  <c r="W409" i="1" a="1"/>
  <c r="W409" i="1" s="1"/>
  <c r="W410" i="1" a="1"/>
  <c r="W410" i="1" s="1"/>
  <c r="W411" i="1" a="1"/>
  <c r="W411" i="1" s="1"/>
  <c r="W412" i="1" a="1"/>
  <c r="W412" i="1" s="1"/>
  <c r="W413" i="1" a="1"/>
  <c r="W413" i="1" s="1"/>
  <c r="W414" i="1" a="1"/>
  <c r="W414" i="1" s="1"/>
  <c r="W415" i="1" a="1"/>
  <c r="W415" i="1" s="1"/>
  <c r="W416" i="1" a="1"/>
  <c r="W416" i="1" s="1"/>
  <c r="W417" i="1" a="1"/>
  <c r="W417" i="1" s="1"/>
  <c r="W418" i="1" a="1"/>
  <c r="W418" i="1" s="1"/>
  <c r="W419" i="1" a="1"/>
  <c r="W419" i="1" s="1"/>
  <c r="W420" i="1" a="1"/>
  <c r="W420" i="1" s="1"/>
  <c r="W421" i="1" a="1"/>
  <c r="W421" i="1" s="1"/>
  <c r="W422" i="1" a="1"/>
  <c r="W422" i="1" s="1"/>
  <c r="W423" i="1" a="1"/>
  <c r="W423" i="1" s="1"/>
  <c r="W424" i="1" a="1"/>
  <c r="W424" i="1" s="1"/>
  <c r="W425" i="1" a="1"/>
  <c r="W425" i="1" s="1"/>
  <c r="W426" i="1" a="1"/>
  <c r="W426" i="1" s="1"/>
  <c r="W427" i="1" a="1"/>
  <c r="W427" i="1" s="1"/>
  <c r="W428" i="1" a="1"/>
  <c r="W428" i="1" s="1"/>
  <c r="W429" i="1" a="1"/>
  <c r="W429" i="1" s="1"/>
  <c r="W430" i="1" a="1"/>
  <c r="W430" i="1" s="1"/>
  <c r="W431" i="1" a="1"/>
  <c r="W431" i="1" s="1"/>
  <c r="W432" i="1" a="1"/>
  <c r="W432" i="1" s="1"/>
  <c r="W433" i="1" a="1"/>
  <c r="W433" i="1" s="1"/>
  <c r="W434" i="1" a="1"/>
  <c r="W434" i="1" s="1"/>
  <c r="W435" i="1" a="1"/>
  <c r="W435" i="1" s="1"/>
  <c r="W436" i="1" a="1"/>
  <c r="W436" i="1" s="1"/>
  <c r="W437" i="1" a="1"/>
  <c r="W437" i="1" s="1"/>
  <c r="W438" i="1" a="1"/>
  <c r="W438" i="1" s="1"/>
  <c r="W439" i="1" a="1"/>
  <c r="W439" i="1" s="1"/>
  <c r="W440" i="1" a="1"/>
  <c r="W440" i="1" s="1"/>
  <c r="W441" i="1" a="1"/>
  <c r="W441" i="1" s="1"/>
  <c r="W442" i="1" a="1"/>
  <c r="W442" i="1" s="1"/>
  <c r="W443" i="1" a="1"/>
  <c r="W443" i="1" s="1"/>
  <c r="W444" i="1" a="1"/>
  <c r="W444" i="1" s="1"/>
  <c r="W445" i="1" a="1"/>
  <c r="W445" i="1" s="1"/>
  <c r="W446" i="1" a="1"/>
  <c r="W446" i="1" s="1"/>
  <c r="W447" i="1" a="1"/>
  <c r="W447" i="1" s="1"/>
  <c r="W448" i="1" a="1"/>
  <c r="W448" i="1" s="1"/>
  <c r="W449" i="1" a="1"/>
  <c r="W449" i="1" s="1"/>
  <c r="W450" i="1" a="1"/>
  <c r="W450" i="1" s="1"/>
  <c r="W451" i="1" a="1"/>
  <c r="W451" i="1" s="1"/>
  <c r="W452" i="1" a="1"/>
  <c r="W452" i="1" s="1"/>
  <c r="W453" i="1" a="1"/>
  <c r="W453" i="1" s="1"/>
  <c r="W454" i="1" a="1"/>
  <c r="W454" i="1" s="1"/>
  <c r="W455" i="1" a="1"/>
  <c r="W455" i="1" s="1"/>
  <c r="W456" i="1" a="1"/>
  <c r="W456" i="1" s="1"/>
  <c r="W457" i="1" a="1"/>
  <c r="W457" i="1" s="1"/>
  <c r="W458" i="1" a="1"/>
  <c r="W458" i="1" s="1"/>
  <c r="W459" i="1" a="1"/>
  <c r="W459" i="1" s="1"/>
  <c r="W460" i="1" a="1"/>
  <c r="W460" i="1" s="1"/>
  <c r="W461" i="1" a="1"/>
  <c r="W461" i="1" s="1"/>
  <c r="W462" i="1" a="1"/>
  <c r="W462" i="1" s="1"/>
  <c r="W463" i="1" a="1"/>
  <c r="W463" i="1" s="1"/>
  <c r="W464" i="1" a="1"/>
  <c r="W464" i="1" s="1"/>
  <c r="W465" i="1" a="1"/>
  <c r="W465" i="1" s="1"/>
  <c r="W466" i="1" a="1"/>
  <c r="W466" i="1" s="1"/>
  <c r="W467" i="1" a="1"/>
  <c r="W467" i="1" s="1"/>
  <c r="W468" i="1" a="1"/>
  <c r="W468" i="1" s="1"/>
  <c r="W469" i="1" a="1"/>
  <c r="W469" i="1" s="1"/>
  <c r="W470" i="1" a="1"/>
  <c r="W470" i="1" s="1"/>
  <c r="W471" i="1" a="1"/>
  <c r="W471" i="1" s="1"/>
  <c r="W472" i="1" a="1"/>
  <c r="W472" i="1" s="1"/>
  <c r="W473" i="1" a="1"/>
  <c r="W473" i="1" s="1"/>
  <c r="W474" i="1" a="1"/>
  <c r="W474" i="1" s="1"/>
  <c r="W475" i="1" a="1"/>
  <c r="W475" i="1" s="1"/>
  <c r="W476" i="1" a="1"/>
  <c r="W476" i="1" s="1"/>
  <c r="W477" i="1" a="1"/>
  <c r="W477" i="1" s="1"/>
  <c r="W478" i="1" a="1"/>
  <c r="W478" i="1" s="1"/>
  <c r="W479" i="1" a="1"/>
  <c r="W479" i="1" s="1"/>
  <c r="W480" i="1" a="1"/>
  <c r="W480" i="1" s="1"/>
  <c r="W481" i="1" a="1"/>
  <c r="W481" i="1" s="1"/>
  <c r="W482" i="1" a="1"/>
  <c r="W482" i="1" s="1"/>
  <c r="W483" i="1" a="1"/>
  <c r="W483" i="1" s="1"/>
  <c r="W484" i="1" a="1"/>
  <c r="W484" i="1" s="1"/>
  <c r="W485" i="1" a="1"/>
  <c r="W485" i="1" s="1"/>
  <c r="W486" i="1" a="1"/>
  <c r="W486" i="1" s="1"/>
  <c r="W487" i="1" a="1"/>
  <c r="W487" i="1" s="1"/>
  <c r="W488" i="1" a="1"/>
  <c r="W488" i="1" s="1"/>
  <c r="W489" i="1" a="1"/>
  <c r="W489" i="1" s="1"/>
  <c r="W490" i="1" a="1"/>
  <c r="W490" i="1" s="1"/>
  <c r="W491" i="1" a="1"/>
  <c r="W491" i="1" s="1"/>
  <c r="W492" i="1" a="1"/>
  <c r="W492" i="1" s="1"/>
  <c r="W493" i="1" a="1"/>
  <c r="W493" i="1" s="1"/>
  <c r="W494" i="1" a="1"/>
  <c r="W494" i="1" s="1"/>
  <c r="W495" i="1" a="1"/>
  <c r="W495" i="1" s="1"/>
  <c r="W496" i="1" a="1"/>
  <c r="W496" i="1" s="1"/>
  <c r="W497" i="1" a="1"/>
  <c r="W497" i="1" s="1"/>
  <c r="W498" i="1" a="1"/>
  <c r="W498" i="1" s="1"/>
  <c r="W499" i="1" a="1"/>
  <c r="W499" i="1" s="1"/>
  <c r="W500" i="1" a="1"/>
  <c r="W500" i="1" s="1"/>
  <c r="W501" i="1" a="1"/>
  <c r="W501" i="1" s="1"/>
  <c r="W502" i="1" a="1"/>
  <c r="W502" i="1" s="1"/>
  <c r="W503" i="1" a="1"/>
  <c r="W503" i="1" s="1"/>
  <c r="W504" i="1" a="1"/>
  <c r="W504" i="1" s="1"/>
  <c r="W505" i="1" a="1"/>
  <c r="W505" i="1" s="1"/>
  <c r="W506" i="1" a="1"/>
  <c r="W506" i="1" s="1"/>
  <c r="W507" i="1" a="1"/>
  <c r="W507" i="1" s="1"/>
  <c r="W508" i="1" a="1"/>
  <c r="W508" i="1" s="1"/>
  <c r="W509" i="1" a="1"/>
  <c r="W509" i="1" s="1"/>
  <c r="W510" i="1" a="1"/>
  <c r="W510" i="1" s="1"/>
  <c r="W511" i="1" a="1"/>
  <c r="W511" i="1" s="1"/>
  <c r="W512" i="1" a="1"/>
  <c r="W512" i="1" s="1"/>
  <c r="W513" i="1" a="1"/>
  <c r="W513" i="1" s="1"/>
  <c r="W514" i="1" a="1"/>
  <c r="W514" i="1" s="1"/>
  <c r="W515" i="1" a="1"/>
  <c r="W515" i="1" s="1"/>
  <c r="W516" i="1" a="1"/>
  <c r="W516" i="1" s="1"/>
  <c r="W517" i="1" a="1"/>
  <c r="W517" i="1" s="1"/>
  <c r="W518" i="1" a="1"/>
  <c r="W518" i="1" s="1"/>
  <c r="W519" i="1" a="1"/>
  <c r="W519" i="1" s="1"/>
  <c r="W520" i="1" a="1"/>
  <c r="W520" i="1" s="1"/>
  <c r="W521" i="1" a="1"/>
  <c r="W521" i="1" s="1"/>
  <c r="W522" i="1" a="1"/>
  <c r="W522" i="1" s="1"/>
  <c r="W523" i="1" a="1"/>
  <c r="W523" i="1" s="1"/>
  <c r="W524" i="1" a="1"/>
  <c r="W524" i="1" s="1"/>
  <c r="W525" i="1" a="1"/>
  <c r="W525" i="1" s="1"/>
  <c r="W526" i="1" a="1"/>
  <c r="W526" i="1" s="1"/>
  <c r="W527" i="1" a="1"/>
  <c r="W527" i="1" s="1"/>
  <c r="W528" i="1" a="1"/>
  <c r="W528" i="1" s="1"/>
  <c r="W529" i="1" a="1"/>
  <c r="W529" i="1" s="1"/>
  <c r="W530" i="1" a="1"/>
  <c r="W530" i="1" s="1"/>
  <c r="W531" i="1" a="1"/>
  <c r="W531" i="1" s="1"/>
  <c r="W532" i="1" a="1"/>
  <c r="W532" i="1" s="1"/>
  <c r="W533" i="1" a="1"/>
  <c r="W533" i="1" s="1"/>
  <c r="W534" i="1" a="1"/>
  <c r="W534" i="1" s="1"/>
  <c r="W535" i="1" a="1"/>
  <c r="W535" i="1" s="1"/>
  <c r="W536" i="1" a="1"/>
  <c r="W536" i="1" s="1"/>
  <c r="W537" i="1" a="1"/>
  <c r="W537" i="1" s="1"/>
  <c r="W538" i="1" a="1"/>
  <c r="W538" i="1" s="1"/>
  <c r="W539" i="1" a="1"/>
  <c r="W539" i="1" s="1"/>
  <c r="W540" i="1" a="1"/>
  <c r="W540" i="1" s="1"/>
  <c r="W541" i="1" a="1"/>
  <c r="W541" i="1" s="1"/>
  <c r="W542" i="1" a="1"/>
  <c r="W542" i="1" s="1"/>
  <c r="W543" i="1" a="1"/>
  <c r="W543" i="1" s="1"/>
  <c r="W544" i="1" a="1"/>
  <c r="W544" i="1" s="1"/>
  <c r="W545" i="1" a="1"/>
  <c r="W545" i="1" s="1"/>
  <c r="W546" i="1" a="1"/>
  <c r="W546" i="1" s="1"/>
  <c r="W547" i="1" a="1"/>
  <c r="W547" i="1" s="1"/>
  <c r="W548" i="1" a="1"/>
  <c r="W548" i="1" s="1"/>
  <c r="W549" i="1" a="1"/>
  <c r="W549" i="1" s="1"/>
  <c r="W550" i="1" a="1"/>
  <c r="W550" i="1" s="1"/>
  <c r="W551" i="1" a="1"/>
  <c r="W551" i="1" s="1"/>
  <c r="W552" i="1" a="1"/>
  <c r="W552" i="1" s="1"/>
  <c r="W553" i="1" a="1"/>
  <c r="W553" i="1" s="1"/>
  <c r="W554" i="1" a="1"/>
  <c r="W554" i="1" s="1"/>
  <c r="W555" i="1" a="1"/>
  <c r="W555" i="1" s="1"/>
  <c r="W556" i="1" a="1"/>
  <c r="W556" i="1" s="1"/>
  <c r="W557" i="1" a="1"/>
  <c r="W557" i="1" s="1"/>
  <c r="W558" i="1" a="1"/>
  <c r="W558" i="1" s="1"/>
  <c r="W559" i="1" a="1"/>
  <c r="W559" i="1" s="1"/>
  <c r="W560" i="1" a="1"/>
  <c r="W560" i="1" s="1"/>
  <c r="W561" i="1" a="1"/>
  <c r="W561" i="1" s="1"/>
  <c r="W562" i="1" a="1"/>
  <c r="W562" i="1" s="1"/>
  <c r="W563" i="1" a="1"/>
  <c r="W563" i="1" s="1"/>
  <c r="W564" i="1" a="1"/>
  <c r="W564" i="1" s="1"/>
  <c r="W565" i="1" a="1"/>
  <c r="W565" i="1" s="1"/>
  <c r="W566" i="1" a="1"/>
  <c r="W566" i="1" s="1"/>
  <c r="W567" i="1" a="1"/>
  <c r="W567" i="1" s="1"/>
  <c r="W568" i="1" a="1"/>
  <c r="W568" i="1" s="1"/>
  <c r="W569" i="1" a="1"/>
  <c r="W569" i="1" s="1"/>
  <c r="W570" i="1" a="1"/>
  <c r="W570" i="1" s="1"/>
  <c r="W571" i="1" a="1"/>
  <c r="W571" i="1" s="1"/>
  <c r="W572" i="1" a="1"/>
  <c r="W572" i="1" s="1"/>
  <c r="W573" i="1" a="1"/>
  <c r="W573" i="1" s="1"/>
  <c r="W574" i="1" a="1"/>
  <c r="W574" i="1" s="1"/>
  <c r="W575" i="1" a="1"/>
  <c r="W575" i="1" s="1"/>
  <c r="W576" i="1" a="1"/>
  <c r="W576" i="1" s="1"/>
  <c r="W577" i="1" a="1"/>
  <c r="W577" i="1" s="1"/>
  <c r="W578" i="1" a="1"/>
  <c r="W578" i="1" s="1"/>
  <c r="W579" i="1" a="1"/>
  <c r="W579" i="1" s="1"/>
  <c r="W580" i="1" a="1"/>
  <c r="W580" i="1" s="1"/>
  <c r="W581" i="1" a="1"/>
  <c r="W581" i="1" s="1"/>
  <c r="W582" i="1" a="1"/>
  <c r="W582" i="1" s="1"/>
  <c r="W583" i="1" a="1"/>
  <c r="W583" i="1" s="1"/>
  <c r="W584" i="1" a="1"/>
  <c r="W584" i="1" s="1"/>
  <c r="W585" i="1" a="1"/>
  <c r="W585" i="1" s="1"/>
  <c r="W586" i="1" a="1"/>
  <c r="W586" i="1" s="1"/>
  <c r="W587" i="1" a="1"/>
  <c r="W587" i="1" s="1"/>
  <c r="W588" i="1" a="1"/>
  <c r="W588" i="1" s="1"/>
  <c r="W589" i="1" a="1"/>
  <c r="W589" i="1" s="1"/>
  <c r="W590" i="1" a="1"/>
  <c r="W590" i="1" s="1"/>
  <c r="W591" i="1" a="1"/>
  <c r="W591" i="1" s="1"/>
  <c r="W592" i="1" a="1"/>
  <c r="W592" i="1" s="1"/>
  <c r="W593" i="1" a="1"/>
  <c r="W593" i="1" s="1"/>
  <c r="W594" i="1" a="1"/>
  <c r="W594" i="1" s="1"/>
  <c r="W595" i="1" a="1"/>
  <c r="W595" i="1" s="1"/>
  <c r="W596" i="1" a="1"/>
  <c r="W596" i="1" s="1"/>
  <c r="W597" i="1" a="1"/>
  <c r="W597" i="1" s="1"/>
  <c r="W598" i="1" a="1"/>
  <c r="W598" i="1" s="1"/>
  <c r="W599" i="1" a="1"/>
  <c r="W599" i="1" s="1"/>
  <c r="W600" i="1" a="1"/>
  <c r="W600" i="1" s="1"/>
  <c r="W601" i="1" a="1"/>
  <c r="W601" i="1" s="1"/>
  <c r="W602" i="1" a="1"/>
  <c r="W602" i="1" s="1"/>
  <c r="W603" i="1" a="1"/>
  <c r="W603" i="1" s="1"/>
  <c r="W604" i="1" a="1"/>
  <c r="W604" i="1" s="1"/>
  <c r="W605" i="1" a="1"/>
  <c r="W605" i="1" s="1"/>
  <c r="W606" i="1" a="1"/>
  <c r="W606" i="1" s="1"/>
  <c r="W607" i="1" a="1"/>
  <c r="W607" i="1" s="1"/>
  <c r="W608" i="1" a="1"/>
  <c r="W608" i="1" s="1"/>
  <c r="W609" i="1" a="1"/>
  <c r="W609" i="1" s="1"/>
  <c r="W610" i="1" a="1"/>
  <c r="W610" i="1" s="1"/>
  <c r="W611" i="1" a="1"/>
  <c r="W611" i="1" s="1"/>
  <c r="W612" i="1" a="1"/>
  <c r="W612" i="1" s="1"/>
  <c r="W613" i="1" a="1"/>
  <c r="W613" i="1" s="1"/>
  <c r="W614" i="1" a="1"/>
  <c r="W614" i="1" s="1"/>
  <c r="W615" i="1" a="1"/>
  <c r="W615" i="1" s="1"/>
  <c r="W616" i="1" a="1"/>
  <c r="W616" i="1" s="1"/>
  <c r="W617" i="1" a="1"/>
  <c r="W617" i="1" s="1"/>
  <c r="W618" i="1" a="1"/>
  <c r="W618" i="1" s="1"/>
  <c r="W619" i="1" a="1"/>
  <c r="W619" i="1" s="1"/>
  <c r="W620" i="1" a="1"/>
  <c r="W620" i="1" s="1"/>
  <c r="W621" i="1" a="1"/>
  <c r="W621" i="1" s="1"/>
  <c r="W622" i="1" a="1"/>
  <c r="W622" i="1" s="1"/>
  <c r="W623" i="1" a="1"/>
  <c r="W623" i="1" s="1"/>
  <c r="W624" i="1" a="1"/>
  <c r="W624" i="1" s="1"/>
  <c r="W625" i="1" a="1"/>
  <c r="W625" i="1" s="1"/>
  <c r="W626" i="1" a="1"/>
  <c r="W626" i="1" s="1"/>
  <c r="W627" i="1" a="1"/>
  <c r="W627" i="1" s="1"/>
  <c r="W628" i="1" a="1"/>
  <c r="W628" i="1" s="1"/>
  <c r="W629" i="1" a="1"/>
  <c r="W629" i="1" s="1"/>
  <c r="W630" i="1" a="1"/>
  <c r="W630" i="1" s="1"/>
  <c r="W631" i="1" a="1"/>
  <c r="W631" i="1" s="1"/>
  <c r="W632" i="1" a="1"/>
  <c r="W632" i="1" s="1"/>
  <c r="W633" i="1" a="1"/>
  <c r="W633" i="1" s="1"/>
  <c r="W634" i="1" a="1"/>
  <c r="W634" i="1" s="1"/>
  <c r="W635" i="1" a="1"/>
  <c r="W635" i="1" s="1"/>
  <c r="W636" i="1" a="1"/>
  <c r="W636" i="1" s="1"/>
  <c r="W637" i="1" a="1"/>
  <c r="W637" i="1" s="1"/>
  <c r="W638" i="1" a="1"/>
  <c r="W638" i="1" s="1"/>
  <c r="W639" i="1" a="1"/>
  <c r="W639" i="1" s="1"/>
  <c r="W640" i="1" a="1"/>
  <c r="W640" i="1" s="1"/>
  <c r="W641" i="1" a="1"/>
  <c r="W641" i="1" s="1"/>
  <c r="W642" i="1" a="1"/>
  <c r="W642" i="1" s="1"/>
  <c r="W643" i="1" a="1"/>
  <c r="W643" i="1" s="1"/>
  <c r="W644" i="1" a="1"/>
  <c r="W644" i="1" s="1"/>
  <c r="W645" i="1" a="1"/>
  <c r="W645" i="1" s="1"/>
  <c r="W646" i="1" a="1"/>
  <c r="W646" i="1" s="1"/>
  <c r="W647" i="1" a="1"/>
  <c r="W647" i="1" s="1"/>
  <c r="W648" i="1" a="1"/>
  <c r="W648" i="1" s="1"/>
  <c r="W649" i="1" a="1"/>
  <c r="W649" i="1" s="1"/>
  <c r="W650" i="1" a="1"/>
  <c r="W650" i="1" s="1"/>
  <c r="W651" i="1" a="1"/>
  <c r="W651" i="1" s="1"/>
  <c r="W652" i="1" a="1"/>
  <c r="W652" i="1" s="1"/>
  <c r="W653" i="1" a="1"/>
  <c r="W653" i="1" s="1"/>
  <c r="W654" i="1" a="1"/>
  <c r="W654" i="1" s="1"/>
  <c r="W655" i="1" a="1"/>
  <c r="W655" i="1" s="1"/>
  <c r="W656" i="1" a="1"/>
  <c r="W656" i="1" s="1"/>
  <c r="W657" i="1" a="1"/>
  <c r="W657" i="1" s="1"/>
  <c r="W658" i="1" a="1"/>
  <c r="W658" i="1" s="1"/>
  <c r="W659" i="1" a="1"/>
  <c r="W659" i="1" s="1"/>
  <c r="W660" i="1" a="1"/>
  <c r="W660" i="1" s="1"/>
  <c r="W661" i="1" a="1"/>
  <c r="W661" i="1" s="1"/>
  <c r="W662" i="1" a="1"/>
  <c r="W662" i="1" s="1"/>
  <c r="W663" i="1" a="1"/>
  <c r="W663" i="1" s="1"/>
  <c r="W664" i="1" a="1"/>
  <c r="W664" i="1" s="1"/>
  <c r="W665" i="1" a="1"/>
  <c r="W665" i="1" s="1"/>
  <c r="W666" i="1" a="1"/>
  <c r="W666" i="1" s="1"/>
  <c r="W667" i="1" a="1"/>
  <c r="W667" i="1" s="1"/>
  <c r="W668" i="1" a="1"/>
  <c r="W668" i="1" s="1"/>
  <c r="W669" i="1" a="1"/>
  <c r="W669" i="1" s="1"/>
  <c r="W670" i="1" a="1"/>
  <c r="W670" i="1" s="1"/>
  <c r="W671" i="1" a="1"/>
  <c r="W671" i="1" s="1"/>
  <c r="W672" i="1" a="1"/>
  <c r="W672" i="1" s="1"/>
  <c r="W673" i="1" a="1"/>
  <c r="W673" i="1" s="1"/>
  <c r="W674" i="1" a="1"/>
  <c r="W674" i="1" s="1"/>
  <c r="W675" i="1" a="1"/>
  <c r="W675" i="1" s="1"/>
  <c r="W676" i="1" a="1"/>
  <c r="W676" i="1" s="1"/>
  <c r="W677" i="1" a="1"/>
  <c r="W677" i="1" s="1"/>
  <c r="W678" i="1" a="1"/>
  <c r="W678" i="1" s="1"/>
  <c r="W679" i="1" a="1"/>
  <c r="W679" i="1" s="1"/>
  <c r="W680" i="1" a="1"/>
  <c r="W680" i="1" s="1"/>
  <c r="W681" i="1" a="1"/>
  <c r="W681" i="1" s="1"/>
  <c r="W682" i="1" a="1"/>
  <c r="W682" i="1" s="1"/>
  <c r="W683" i="1" a="1"/>
  <c r="W683" i="1" s="1"/>
  <c r="W684" i="1" a="1"/>
  <c r="W684" i="1" s="1"/>
  <c r="W685" i="1" a="1"/>
  <c r="W685" i="1" s="1"/>
  <c r="W686" i="1" a="1"/>
  <c r="W686" i="1" s="1"/>
  <c r="W687" i="1" a="1"/>
  <c r="W687" i="1" s="1"/>
  <c r="W688" i="1" a="1"/>
  <c r="W688" i="1" s="1"/>
  <c r="W689" i="1" a="1"/>
  <c r="W689" i="1" s="1"/>
  <c r="W690" i="1" a="1"/>
  <c r="W690" i="1" s="1"/>
  <c r="W691" i="1" a="1"/>
  <c r="W691" i="1" s="1"/>
  <c r="W692" i="1" a="1"/>
  <c r="W692" i="1" s="1"/>
  <c r="W693" i="1" a="1"/>
  <c r="W693" i="1" s="1"/>
  <c r="W694" i="1" a="1"/>
  <c r="W694" i="1" s="1"/>
  <c r="W695" i="1" a="1"/>
  <c r="W695" i="1" s="1"/>
  <c r="W696" i="1" a="1"/>
  <c r="W696" i="1" s="1"/>
  <c r="W697" i="1" a="1"/>
  <c r="W697" i="1" s="1"/>
  <c r="W698" i="1" a="1"/>
  <c r="W698" i="1" s="1"/>
  <c r="W699" i="1" a="1"/>
  <c r="W699" i="1" s="1"/>
  <c r="W700" i="1" a="1"/>
  <c r="W700" i="1" s="1"/>
  <c r="W701" i="1" a="1"/>
  <c r="W701" i="1" s="1"/>
  <c r="W702" i="1" a="1"/>
  <c r="W702" i="1" s="1"/>
  <c r="W703" i="1" a="1"/>
  <c r="W703" i="1" s="1"/>
  <c r="W704" i="1" a="1"/>
  <c r="W704" i="1" s="1"/>
  <c r="W705" i="1" a="1"/>
  <c r="W705" i="1" s="1"/>
  <c r="W706" i="1" a="1"/>
  <c r="W706" i="1" s="1"/>
  <c r="W707" i="1" a="1"/>
  <c r="W707" i="1" s="1"/>
  <c r="W708" i="1" a="1"/>
  <c r="W708" i="1" s="1"/>
  <c r="W709" i="1" a="1"/>
  <c r="W709" i="1" s="1"/>
  <c r="W710" i="1" a="1"/>
  <c r="W710" i="1" s="1"/>
  <c r="W711" i="1" a="1"/>
  <c r="W711" i="1" s="1"/>
  <c r="W712" i="1" a="1"/>
  <c r="W712" i="1" s="1"/>
  <c r="W713" i="1" a="1"/>
  <c r="W713" i="1" s="1"/>
  <c r="W714" i="1" a="1"/>
  <c r="W714" i="1" s="1"/>
  <c r="W715" i="1" a="1"/>
  <c r="W715" i="1" s="1"/>
  <c r="W716" i="1" a="1"/>
  <c r="W716" i="1" s="1"/>
  <c r="W717" i="1" a="1"/>
  <c r="W717" i="1" s="1"/>
  <c r="W718" i="1" a="1"/>
  <c r="W718" i="1" s="1"/>
  <c r="W719" i="1" a="1"/>
  <c r="W719" i="1" s="1"/>
  <c r="W720" i="1" a="1"/>
  <c r="W720" i="1" s="1"/>
  <c r="W721" i="1" a="1"/>
  <c r="W721" i="1" s="1"/>
  <c r="W722" i="1" a="1"/>
  <c r="W722" i="1" s="1"/>
  <c r="W723" i="1" a="1"/>
  <c r="W723" i="1" s="1"/>
  <c r="W724" i="1" a="1"/>
  <c r="W724" i="1" s="1"/>
  <c r="W725" i="1" a="1"/>
  <c r="W725" i="1" s="1"/>
  <c r="W726" i="1" a="1"/>
  <c r="W726" i="1" s="1"/>
  <c r="W727" i="1" a="1"/>
  <c r="W727" i="1" s="1"/>
  <c r="W728" i="1" a="1"/>
  <c r="W728" i="1" s="1"/>
  <c r="W729" i="1" a="1"/>
  <c r="W729" i="1" s="1"/>
  <c r="W730" i="1" a="1"/>
  <c r="W730" i="1" s="1"/>
  <c r="W731" i="1" a="1"/>
  <c r="W731" i="1" s="1"/>
  <c r="W732" i="1" a="1"/>
  <c r="W732" i="1" s="1"/>
  <c r="W733" i="1" a="1"/>
  <c r="W733" i="1" s="1"/>
  <c r="W734" i="1" a="1"/>
  <c r="W734" i="1" s="1"/>
  <c r="W735" i="1" a="1"/>
  <c r="W735" i="1" s="1"/>
  <c r="W736" i="1" a="1"/>
  <c r="W736" i="1" s="1"/>
  <c r="W737" i="1" a="1"/>
  <c r="W737" i="1" s="1"/>
  <c r="W738" i="1" a="1"/>
  <c r="W738" i="1" s="1"/>
  <c r="W739" i="1" a="1"/>
  <c r="W739" i="1" s="1"/>
  <c r="W740" i="1" a="1"/>
  <c r="W740" i="1" s="1"/>
  <c r="W741" i="1" a="1"/>
  <c r="W741" i="1" s="1"/>
  <c r="W742" i="1" a="1"/>
  <c r="W742" i="1" s="1"/>
  <c r="W743" i="1" a="1"/>
  <c r="W743" i="1" s="1"/>
  <c r="W744" i="1" a="1"/>
  <c r="W744" i="1" s="1"/>
  <c r="W745" i="1" a="1"/>
  <c r="W745" i="1" s="1"/>
  <c r="W746" i="1" a="1"/>
  <c r="W746" i="1" s="1"/>
  <c r="W747" i="1" a="1"/>
  <c r="W747" i="1" s="1"/>
  <c r="W748" i="1" a="1"/>
  <c r="W748" i="1" s="1"/>
  <c r="W749" i="1" a="1"/>
  <c r="W749" i="1" s="1"/>
  <c r="W750" i="1" a="1"/>
  <c r="W750" i="1" s="1"/>
  <c r="W751" i="1" a="1"/>
  <c r="W751" i="1" s="1"/>
  <c r="W752" i="1" a="1"/>
  <c r="W752" i="1" s="1"/>
  <c r="W753" i="1" a="1"/>
  <c r="W753" i="1" s="1"/>
  <c r="W754" i="1" a="1"/>
  <c r="W754" i="1" s="1"/>
  <c r="W755" i="1" a="1"/>
  <c r="W755" i="1" s="1"/>
  <c r="W756" i="1" a="1"/>
  <c r="W756" i="1" s="1"/>
  <c r="W757" i="1" a="1"/>
  <c r="W757" i="1" s="1"/>
  <c r="W758" i="1" a="1"/>
  <c r="W758" i="1" s="1"/>
  <c r="W759" i="1" a="1"/>
  <c r="W759" i="1" s="1"/>
  <c r="W760" i="1" a="1"/>
  <c r="W760" i="1" s="1"/>
  <c r="W761" i="1" a="1"/>
  <c r="W761" i="1" s="1"/>
  <c r="W762" i="1" a="1"/>
  <c r="W762" i="1" s="1"/>
  <c r="W763" i="1" a="1"/>
  <c r="W763" i="1" s="1"/>
  <c r="W764" i="1" a="1"/>
  <c r="W764" i="1" s="1"/>
  <c r="W765" i="1" a="1"/>
  <c r="W765" i="1" s="1"/>
  <c r="W766" i="1" a="1"/>
  <c r="W766" i="1" s="1"/>
  <c r="W767" i="1" a="1"/>
  <c r="W767" i="1" s="1"/>
  <c r="W768" i="1" a="1"/>
  <c r="W768" i="1" s="1"/>
  <c r="W769" i="1" a="1"/>
  <c r="W769" i="1" s="1"/>
  <c r="W770" i="1" a="1"/>
  <c r="W770" i="1" s="1"/>
  <c r="W771" i="1" a="1"/>
  <c r="W771" i="1" s="1"/>
  <c r="W772" i="1" a="1"/>
  <c r="W772" i="1" s="1"/>
  <c r="W773" i="1" a="1"/>
  <c r="W773" i="1" s="1"/>
  <c r="W774" i="1" a="1"/>
  <c r="W774" i="1" s="1"/>
  <c r="W775" i="1" a="1"/>
  <c r="W775" i="1" s="1"/>
  <c r="W776" i="1" a="1"/>
  <c r="W776" i="1" s="1"/>
  <c r="W777" i="1" a="1"/>
  <c r="W777" i="1" s="1"/>
  <c r="W778" i="1" a="1"/>
  <c r="W778" i="1" s="1"/>
  <c r="W779" i="1" a="1"/>
  <c r="W779" i="1" s="1"/>
  <c r="W780" i="1" a="1"/>
  <c r="W780" i="1" s="1"/>
  <c r="W781" i="1" a="1"/>
  <c r="W781" i="1" s="1"/>
  <c r="W782" i="1" a="1"/>
  <c r="W782" i="1" s="1"/>
  <c r="W783" i="1" a="1"/>
  <c r="W783" i="1" s="1"/>
  <c r="W784" i="1" a="1"/>
  <c r="W784" i="1" s="1"/>
  <c r="W785" i="1" a="1"/>
  <c r="W785" i="1" s="1"/>
  <c r="W786" i="1" a="1"/>
  <c r="W786" i="1" s="1"/>
  <c r="W787" i="1" a="1"/>
  <c r="W787" i="1" s="1"/>
  <c r="W788" i="1" a="1"/>
  <c r="W788" i="1" s="1"/>
  <c r="W789" i="1" a="1"/>
  <c r="W789" i="1" s="1"/>
  <c r="W790" i="1" a="1"/>
  <c r="W790" i="1" s="1"/>
  <c r="W791" i="1" a="1"/>
  <c r="W791" i="1" s="1"/>
  <c r="W792" i="1" a="1"/>
  <c r="W792" i="1" s="1"/>
  <c r="W793" i="1" a="1"/>
  <c r="W793" i="1" s="1"/>
  <c r="W794" i="1" a="1"/>
  <c r="W794" i="1" s="1"/>
  <c r="W795" i="1" a="1"/>
  <c r="W795" i="1" s="1"/>
  <c r="W796" i="1" a="1"/>
  <c r="W796" i="1" s="1"/>
  <c r="W797" i="1" a="1"/>
  <c r="W797" i="1" s="1"/>
  <c r="W798" i="1" a="1"/>
  <c r="W798" i="1" s="1"/>
  <c r="W799" i="1" a="1"/>
  <c r="W799" i="1" s="1"/>
  <c r="W800" i="1" a="1"/>
  <c r="W800" i="1" s="1"/>
  <c r="W801" i="1" a="1"/>
  <c r="W801" i="1" s="1"/>
  <c r="W802" i="1" a="1"/>
  <c r="W802" i="1" s="1"/>
  <c r="W803" i="1" a="1"/>
  <c r="W803" i="1" s="1"/>
  <c r="W804" i="1" a="1"/>
  <c r="W804" i="1" s="1"/>
  <c r="W805" i="1" a="1"/>
  <c r="W805" i="1" s="1"/>
  <c r="W806" i="1" a="1"/>
  <c r="W806" i="1" s="1"/>
  <c r="W807" i="1" a="1"/>
  <c r="W807" i="1" s="1"/>
  <c r="W808" i="1" a="1"/>
  <c r="W808" i="1" s="1"/>
  <c r="W809" i="1" a="1"/>
  <c r="W809" i="1" s="1"/>
  <c r="W810" i="1" a="1"/>
  <c r="W810" i="1" s="1"/>
  <c r="W811" i="1" a="1"/>
  <c r="W811" i="1" s="1"/>
  <c r="W812" i="1" a="1"/>
  <c r="W812" i="1" s="1"/>
  <c r="W813" i="1" a="1"/>
  <c r="W813" i="1" s="1"/>
  <c r="W814" i="1" a="1"/>
  <c r="W814" i="1" s="1"/>
  <c r="W815" i="1" a="1"/>
  <c r="W815" i="1" s="1"/>
  <c r="W816" i="1" a="1"/>
  <c r="W816" i="1" s="1"/>
  <c r="W817" i="1" a="1"/>
  <c r="W817" i="1" s="1"/>
  <c r="W818" i="1" a="1"/>
  <c r="W818" i="1" s="1"/>
  <c r="W819" i="1" a="1"/>
  <c r="W819" i="1" s="1"/>
  <c r="W820" i="1" a="1"/>
  <c r="W820" i="1" s="1"/>
  <c r="W821" i="1" a="1"/>
  <c r="W821" i="1" s="1"/>
  <c r="W822" i="1" a="1"/>
  <c r="W822" i="1" s="1"/>
  <c r="W823" i="1" a="1"/>
  <c r="W823" i="1" s="1"/>
  <c r="W824" i="1" a="1"/>
  <c r="W824" i="1" s="1"/>
  <c r="W825" i="1" a="1"/>
  <c r="W825" i="1" s="1"/>
  <c r="W826" i="1" a="1"/>
  <c r="W826" i="1" s="1"/>
  <c r="W827" i="1" a="1"/>
  <c r="W827" i="1" s="1"/>
  <c r="W828" i="1" a="1"/>
  <c r="W828" i="1" s="1"/>
  <c r="W829" i="1" a="1"/>
  <c r="W829" i="1" s="1"/>
  <c r="W830" i="1" a="1"/>
  <c r="W830" i="1" s="1"/>
  <c r="W831" i="1" a="1"/>
  <c r="W831" i="1" s="1"/>
  <c r="W832" i="1" a="1"/>
  <c r="W832" i="1" s="1"/>
  <c r="W833" i="1" a="1"/>
  <c r="W833" i="1" s="1"/>
  <c r="W834" i="1" a="1"/>
  <c r="W834" i="1" s="1"/>
  <c r="W835" i="1" a="1"/>
  <c r="W835" i="1" s="1"/>
  <c r="W836" i="1" a="1"/>
  <c r="W836" i="1" s="1"/>
  <c r="W837" i="1" a="1"/>
  <c r="W837" i="1" s="1"/>
  <c r="W838" i="1" a="1"/>
  <c r="W838" i="1" s="1"/>
  <c r="W839" i="1" a="1"/>
  <c r="W839" i="1" s="1"/>
  <c r="W840" i="1" a="1"/>
  <c r="W840" i="1" s="1"/>
  <c r="W841" i="1" a="1"/>
  <c r="W841" i="1" s="1"/>
  <c r="W842" i="1" a="1"/>
  <c r="W842" i="1" s="1"/>
  <c r="W843" i="1" a="1"/>
  <c r="W843" i="1" s="1"/>
  <c r="W844" i="1" a="1"/>
  <c r="W844" i="1" s="1"/>
  <c r="W845" i="1" a="1"/>
  <c r="W845" i="1" s="1"/>
  <c r="W846" i="1" a="1"/>
  <c r="W846" i="1" s="1"/>
  <c r="W847" i="1" a="1"/>
  <c r="W847" i="1" s="1"/>
  <c r="W848" i="1" a="1"/>
  <c r="W848" i="1" s="1"/>
  <c r="W849" i="1" a="1"/>
  <c r="W849" i="1" s="1"/>
  <c r="W850" i="1" a="1"/>
  <c r="W850" i="1" s="1"/>
  <c r="W851" i="1" a="1"/>
  <c r="W851" i="1" s="1"/>
  <c r="W852" i="1" a="1"/>
  <c r="W852" i="1" s="1"/>
  <c r="W853" i="1" a="1"/>
  <c r="W853" i="1" s="1"/>
  <c r="W854" i="1" a="1"/>
  <c r="W854" i="1" s="1"/>
  <c r="W855" i="1" a="1"/>
  <c r="W855" i="1" s="1"/>
  <c r="W856" i="1" a="1"/>
  <c r="W856" i="1" s="1"/>
  <c r="W857" i="1" a="1"/>
  <c r="W857" i="1" s="1"/>
  <c r="W858" i="1" a="1"/>
  <c r="W858" i="1" s="1"/>
  <c r="W859" i="1" a="1"/>
  <c r="W859" i="1" s="1"/>
  <c r="W860" i="1" a="1"/>
  <c r="W860" i="1" s="1"/>
  <c r="W861" i="1" a="1"/>
  <c r="W861" i="1" s="1"/>
  <c r="W862" i="1" a="1"/>
  <c r="W862" i="1" s="1"/>
  <c r="W863" i="1" a="1"/>
  <c r="W863" i="1" s="1"/>
  <c r="W864" i="1" a="1"/>
  <c r="W864" i="1" s="1"/>
  <c r="W865" i="1" a="1"/>
  <c r="W865" i="1" s="1"/>
  <c r="W866" i="1" a="1"/>
  <c r="W866" i="1" s="1"/>
  <c r="W867" i="1" a="1"/>
  <c r="W867" i="1" s="1"/>
  <c r="W868" i="1" a="1"/>
  <c r="W868" i="1" s="1"/>
  <c r="W869" i="1" a="1"/>
  <c r="W869" i="1" s="1"/>
  <c r="W870" i="1" a="1"/>
  <c r="W870" i="1" s="1"/>
  <c r="W871" i="1" a="1"/>
  <c r="W871" i="1" s="1"/>
  <c r="W872" i="1" a="1"/>
  <c r="W872" i="1" s="1"/>
  <c r="W873" i="1" a="1"/>
  <c r="W873" i="1" s="1"/>
  <c r="W874" i="1" a="1"/>
  <c r="W874" i="1" s="1"/>
  <c r="W875" i="1" a="1"/>
  <c r="W875" i="1" s="1"/>
  <c r="W876" i="1" a="1"/>
  <c r="W876" i="1" s="1"/>
  <c r="W877" i="1" a="1"/>
  <c r="W877" i="1" s="1"/>
  <c r="W878" i="1" a="1"/>
  <c r="W878" i="1" s="1"/>
  <c r="W879" i="1" a="1"/>
  <c r="W879" i="1" s="1"/>
  <c r="W880" i="1" a="1"/>
  <c r="W880" i="1" s="1"/>
  <c r="W881" i="1" a="1"/>
  <c r="W881" i="1" s="1"/>
  <c r="W882" i="1" a="1"/>
  <c r="W882" i="1" s="1"/>
  <c r="W883" i="1" a="1"/>
  <c r="W883" i="1" s="1"/>
  <c r="W884" i="1" a="1"/>
  <c r="W884" i="1" s="1"/>
  <c r="W885" i="1" a="1"/>
  <c r="W885" i="1" s="1"/>
  <c r="W886" i="1" a="1"/>
  <c r="W886" i="1" s="1"/>
  <c r="W887" i="1" a="1"/>
  <c r="W887" i="1" s="1"/>
  <c r="W888" i="1" a="1"/>
  <c r="W888" i="1" s="1"/>
  <c r="W889" i="1" a="1"/>
  <c r="W889" i="1" s="1"/>
  <c r="W890" i="1" a="1"/>
  <c r="W890" i="1" s="1"/>
  <c r="W891" i="1" a="1"/>
  <c r="W891" i="1" s="1"/>
  <c r="W892" i="1" a="1"/>
  <c r="W892" i="1" s="1"/>
  <c r="W893" i="1" a="1"/>
  <c r="W893" i="1" s="1"/>
  <c r="W894" i="1" a="1"/>
  <c r="W894" i="1" s="1"/>
  <c r="W895" i="1" a="1"/>
  <c r="W895" i="1" s="1"/>
  <c r="W896" i="1" a="1"/>
  <c r="W896" i="1" s="1"/>
  <c r="W897" i="1" a="1"/>
  <c r="W897" i="1" s="1"/>
  <c r="W898" i="1" a="1"/>
  <c r="W898" i="1" s="1"/>
  <c r="W899" i="1" a="1"/>
  <c r="W899" i="1" s="1"/>
  <c r="W900" i="1" a="1"/>
  <c r="W900" i="1" s="1"/>
  <c r="W901" i="1" a="1"/>
  <c r="W901" i="1" s="1"/>
  <c r="W902" i="1" a="1"/>
  <c r="W902" i="1" s="1"/>
  <c r="W903" i="1" a="1"/>
  <c r="W903" i="1" s="1"/>
  <c r="W904" i="1" a="1"/>
  <c r="W904" i="1" s="1"/>
  <c r="W905" i="1" a="1"/>
  <c r="W905" i="1" s="1"/>
  <c r="W906" i="1" a="1"/>
  <c r="W906" i="1" s="1"/>
  <c r="W907" i="1" a="1"/>
  <c r="W907" i="1" s="1"/>
  <c r="W908" i="1" a="1"/>
  <c r="W908" i="1" s="1"/>
  <c r="W909" i="1" a="1"/>
  <c r="W909" i="1" s="1"/>
  <c r="W910" i="1" a="1"/>
  <c r="W910" i="1" s="1"/>
  <c r="W911" i="1" a="1"/>
  <c r="W911" i="1" s="1"/>
  <c r="W912" i="1" a="1"/>
  <c r="W912" i="1" s="1"/>
  <c r="W913" i="1" a="1"/>
  <c r="W913" i="1" s="1"/>
  <c r="W914" i="1" a="1"/>
  <c r="W914" i="1" s="1"/>
  <c r="W915" i="1" a="1"/>
  <c r="W915" i="1" s="1"/>
  <c r="W916" i="1" a="1"/>
  <c r="W916" i="1" s="1"/>
  <c r="W917" i="1" a="1"/>
  <c r="W917" i="1" s="1"/>
  <c r="W918" i="1" a="1"/>
  <c r="W918" i="1" s="1"/>
  <c r="W919" i="1" a="1"/>
  <c r="W919" i="1" s="1"/>
  <c r="W920" i="1" a="1"/>
  <c r="W920" i="1" s="1"/>
  <c r="W921" i="1" a="1"/>
  <c r="W921" i="1" s="1"/>
  <c r="W922" i="1" a="1"/>
  <c r="W922" i="1" s="1"/>
  <c r="W923" i="1" a="1"/>
  <c r="W923" i="1" s="1"/>
  <c r="W924" i="1" a="1"/>
  <c r="W924" i="1" s="1"/>
  <c r="W925" i="1" a="1"/>
  <c r="W925" i="1" s="1"/>
  <c r="W926" i="1" a="1"/>
  <c r="W926" i="1" s="1"/>
  <c r="W927" i="1" a="1"/>
  <c r="W927" i="1" s="1"/>
  <c r="W928" i="1" a="1"/>
  <c r="W928" i="1" s="1"/>
  <c r="W929" i="1" a="1"/>
  <c r="W929" i="1" s="1"/>
  <c r="W930" i="1" a="1"/>
  <c r="W930" i="1" s="1"/>
  <c r="W931" i="1" a="1"/>
  <c r="W931" i="1" s="1"/>
  <c r="W932" i="1" a="1"/>
  <c r="W932" i="1" s="1"/>
  <c r="W933" i="1" a="1"/>
  <c r="W933" i="1" s="1"/>
  <c r="W934" i="1" a="1"/>
  <c r="W934" i="1" s="1"/>
  <c r="W935" i="1" a="1"/>
  <c r="W935" i="1" s="1"/>
  <c r="W936" i="1" a="1"/>
  <c r="W936" i="1" s="1"/>
  <c r="W937" i="1" a="1"/>
  <c r="W937" i="1" s="1"/>
  <c r="W938" i="1" a="1"/>
  <c r="W938" i="1" s="1"/>
  <c r="W939" i="1" a="1"/>
  <c r="W939" i="1" s="1"/>
  <c r="W940" i="1" a="1"/>
  <c r="W940" i="1" s="1"/>
  <c r="W941" i="1" a="1"/>
  <c r="W941" i="1" s="1"/>
  <c r="W942" i="1" a="1"/>
  <c r="W942" i="1" s="1"/>
  <c r="W943" i="1" a="1"/>
  <c r="W943" i="1" s="1"/>
  <c r="W944" i="1" a="1"/>
  <c r="W944" i="1" s="1"/>
  <c r="W945" i="1" a="1"/>
  <c r="W945" i="1" s="1"/>
  <c r="W946" i="1" a="1"/>
  <c r="W946" i="1" s="1"/>
  <c r="W947" i="1" a="1"/>
  <c r="W947" i="1" s="1"/>
  <c r="W948" i="1" a="1"/>
  <c r="W948" i="1" s="1"/>
  <c r="W949" i="1" a="1"/>
  <c r="W949" i="1" s="1"/>
  <c r="W950" i="1" a="1"/>
  <c r="W950" i="1" s="1"/>
  <c r="W951" i="1" a="1"/>
  <c r="W951" i="1" s="1"/>
  <c r="W952" i="1" a="1"/>
  <c r="W952" i="1" s="1"/>
  <c r="W953" i="1" a="1"/>
  <c r="W953" i="1" s="1"/>
  <c r="W954" i="1" a="1"/>
  <c r="W954" i="1" s="1"/>
  <c r="W955" i="1" a="1"/>
  <c r="W955" i="1" s="1"/>
  <c r="W956" i="1" a="1"/>
  <c r="W956" i="1" s="1"/>
  <c r="W957" i="1" a="1"/>
  <c r="W957" i="1" s="1"/>
  <c r="W958" i="1" a="1"/>
  <c r="W958" i="1" s="1"/>
  <c r="W959" i="1" a="1"/>
  <c r="W959" i="1" s="1"/>
  <c r="W960" i="1" a="1"/>
  <c r="W960" i="1" s="1"/>
  <c r="W961" i="1" a="1"/>
  <c r="W961" i="1" s="1"/>
  <c r="W962" i="1" a="1"/>
  <c r="W962" i="1" s="1"/>
  <c r="W963" i="1" a="1"/>
  <c r="W963" i="1" s="1"/>
  <c r="W964" i="1" a="1"/>
  <c r="W964" i="1" s="1"/>
  <c r="W965" i="1" a="1"/>
  <c r="W965" i="1" s="1"/>
  <c r="W966" i="1" a="1"/>
  <c r="W966" i="1" s="1"/>
  <c r="W967" i="1" a="1"/>
  <c r="W967" i="1" s="1"/>
  <c r="W968" i="1" a="1"/>
  <c r="W968" i="1" s="1"/>
  <c r="W969" i="1" a="1"/>
  <c r="W969" i="1" s="1"/>
  <c r="W970" i="1" a="1"/>
  <c r="W970" i="1" s="1"/>
  <c r="W971" i="1" a="1"/>
  <c r="W971" i="1" s="1"/>
  <c r="W972" i="1" a="1"/>
  <c r="W972" i="1" s="1"/>
  <c r="W973" i="1" a="1"/>
  <c r="W973" i="1" s="1"/>
  <c r="W974" i="1" a="1"/>
  <c r="W974" i="1" s="1"/>
  <c r="W975" i="1" a="1"/>
  <c r="W975" i="1" s="1"/>
  <c r="W976" i="1" a="1"/>
  <c r="W976" i="1" s="1"/>
  <c r="W977" i="1" a="1"/>
  <c r="W977" i="1" s="1"/>
  <c r="W978" i="1" a="1"/>
  <c r="W978" i="1" s="1"/>
  <c r="W979" i="1" a="1"/>
  <c r="W979" i="1" s="1"/>
  <c r="W980" i="1" a="1"/>
  <c r="W980" i="1" s="1"/>
  <c r="W981" i="1" a="1"/>
  <c r="W981" i="1" s="1"/>
  <c r="W982" i="1" a="1"/>
  <c r="W982" i="1" s="1"/>
  <c r="W983" i="1" a="1"/>
  <c r="W983" i="1" s="1"/>
  <c r="W984" i="1" a="1"/>
  <c r="W984" i="1" s="1"/>
  <c r="W985" i="1" a="1"/>
  <c r="W985" i="1" s="1"/>
  <c r="W986" i="1" a="1"/>
  <c r="W986" i="1" s="1"/>
  <c r="W987" i="1" a="1"/>
  <c r="W987" i="1" s="1"/>
  <c r="W988" i="1" a="1"/>
  <c r="W988" i="1" s="1"/>
  <c r="W989" i="1" a="1"/>
  <c r="W989" i="1" s="1"/>
  <c r="W990" i="1" a="1"/>
  <c r="W990" i="1" s="1"/>
  <c r="W991" i="1" a="1"/>
  <c r="W991" i="1" s="1"/>
  <c r="W992" i="1" a="1"/>
  <c r="W992" i="1" s="1"/>
  <c r="W993" i="1" a="1"/>
  <c r="W993" i="1" s="1"/>
  <c r="W994" i="1" a="1"/>
  <c r="W994" i="1" s="1"/>
  <c r="W995" i="1" a="1"/>
  <c r="W995" i="1" s="1"/>
  <c r="W996" i="1" a="1"/>
  <c r="W996" i="1" s="1"/>
  <c r="W997" i="1" a="1"/>
  <c r="W997" i="1" s="1"/>
  <c r="W998" i="1" a="1"/>
  <c r="W998" i="1" s="1"/>
  <c r="W999" i="1" a="1"/>
  <c r="W999" i="1" s="1"/>
  <c r="W1000" i="1" a="1"/>
  <c r="W1000" i="1" s="1"/>
  <c r="W1001" i="1" a="1"/>
  <c r="W1001" i="1" s="1"/>
  <c r="W1002" i="1" a="1"/>
  <c r="W1002" i="1" s="1"/>
  <c r="W1003" i="1" a="1"/>
  <c r="W1003" i="1" s="1"/>
  <c r="W1004" i="1" a="1"/>
  <c r="W1004" i="1" s="1"/>
  <c r="W1005" i="1" a="1"/>
  <c r="W1005" i="1" s="1"/>
  <c r="W1006" i="1" a="1"/>
  <c r="W1006" i="1" s="1"/>
  <c r="W1007" i="1" a="1"/>
  <c r="W1007" i="1" s="1"/>
  <c r="W1008" i="1" a="1"/>
  <c r="W1008" i="1" s="1"/>
  <c r="W1009" i="1" a="1"/>
  <c r="W1009" i="1" s="1"/>
  <c r="W1010" i="1" a="1"/>
  <c r="W1010" i="1" s="1"/>
  <c r="W1011" i="1" a="1"/>
  <c r="W1011" i="1" s="1"/>
  <c r="W1012" i="1" a="1"/>
  <c r="W1012" i="1" s="1"/>
  <c r="W1013" i="1" a="1"/>
  <c r="W1013" i="1" s="1"/>
  <c r="W1014" i="1" a="1"/>
  <c r="W1014" i="1" s="1"/>
  <c r="W1015" i="1" a="1"/>
  <c r="W1015" i="1" s="1"/>
  <c r="W1016" i="1" a="1"/>
  <c r="W1016" i="1" s="1"/>
  <c r="W1017" i="1" a="1"/>
  <c r="W1017" i="1" s="1"/>
  <c r="W1018" i="1" a="1"/>
  <c r="W1018" i="1" s="1"/>
  <c r="W1019" i="1" a="1"/>
  <c r="W1019" i="1" s="1"/>
  <c r="W1020" i="1" a="1"/>
  <c r="W1020" i="1" s="1"/>
  <c r="W1021" i="1" a="1"/>
  <c r="W1021" i="1" s="1"/>
  <c r="W1022" i="1" a="1"/>
  <c r="W1022" i="1" s="1"/>
  <c r="W1023" i="1" a="1"/>
  <c r="W1023" i="1" s="1"/>
  <c r="W1024" i="1" a="1"/>
  <c r="W1024" i="1" s="1"/>
  <c r="W1025" i="1" a="1"/>
  <c r="W1025" i="1" s="1"/>
  <c r="W1026" i="1" a="1"/>
  <c r="W1026" i="1" s="1"/>
  <c r="W1027" i="1" a="1"/>
  <c r="W1027" i="1" s="1"/>
  <c r="W1028" i="1" a="1"/>
  <c r="W1028" i="1" s="1"/>
  <c r="W1029" i="1" a="1"/>
  <c r="W1029" i="1" s="1"/>
  <c r="W1030" i="1" a="1"/>
  <c r="W1030" i="1" s="1"/>
  <c r="W1031" i="1" a="1"/>
  <c r="W1031" i="1" s="1"/>
  <c r="W1032" i="1" a="1"/>
  <c r="W1032" i="1" s="1"/>
  <c r="W1033" i="1" a="1"/>
  <c r="W1033" i="1" s="1"/>
  <c r="W1034" i="1" a="1"/>
  <c r="W1034" i="1" s="1"/>
  <c r="W1035" i="1" a="1"/>
  <c r="W1035" i="1" s="1"/>
  <c r="W1036" i="1" a="1"/>
  <c r="W1036" i="1" s="1"/>
  <c r="W1037" i="1" a="1"/>
  <c r="W1037" i="1" s="1"/>
  <c r="W1038" i="1" a="1"/>
  <c r="W1038" i="1" s="1"/>
  <c r="W1039" i="1" a="1"/>
  <c r="W1039" i="1" s="1"/>
  <c r="W1040" i="1" a="1"/>
  <c r="W1040" i="1" s="1"/>
  <c r="W1041" i="1" a="1"/>
  <c r="W1041" i="1" s="1"/>
  <c r="W1042" i="1" a="1"/>
  <c r="W1042" i="1" s="1"/>
  <c r="W1043" i="1" a="1"/>
  <c r="W1043" i="1" s="1"/>
  <c r="W1044" i="1" a="1"/>
  <c r="W1044" i="1" s="1"/>
  <c r="W1045" i="1" a="1"/>
  <c r="W1045" i="1" s="1"/>
  <c r="W1046" i="1" a="1"/>
  <c r="W1046" i="1" s="1"/>
  <c r="W1047" i="1" a="1"/>
  <c r="W1047" i="1" s="1"/>
  <c r="W1048" i="1" a="1"/>
  <c r="W1048" i="1" s="1"/>
  <c r="W1049" i="1" a="1"/>
  <c r="W1049" i="1" s="1"/>
  <c r="W1050" i="1" a="1"/>
  <c r="W1050" i="1" s="1"/>
  <c r="W1051" i="1" a="1"/>
  <c r="W1051" i="1" s="1"/>
  <c r="W1052" i="1" a="1"/>
  <c r="W1052" i="1" s="1"/>
  <c r="W1053" i="1" a="1"/>
  <c r="W1053" i="1" s="1"/>
  <c r="W1054" i="1" a="1"/>
  <c r="W1054" i="1" s="1"/>
  <c r="W1055" i="1" a="1"/>
  <c r="W1055" i="1" s="1"/>
  <c r="W1056" i="1" a="1"/>
  <c r="W1056" i="1" s="1"/>
  <c r="W1057" i="1" a="1"/>
  <c r="W1057" i="1" s="1"/>
  <c r="W1058" i="1" a="1"/>
  <c r="W1058" i="1" s="1"/>
  <c r="W1059" i="1" a="1"/>
  <c r="W1059" i="1" s="1"/>
  <c r="W1060" i="1" a="1"/>
  <c r="W1060" i="1" s="1"/>
  <c r="W1061" i="1" a="1"/>
  <c r="W1061" i="1" s="1"/>
  <c r="W1062" i="1" a="1"/>
  <c r="W1062" i="1" s="1"/>
  <c r="W1063" i="1" a="1"/>
  <c r="W1063" i="1" s="1"/>
  <c r="W1064" i="1" a="1"/>
  <c r="W1064" i="1" s="1"/>
  <c r="W1065" i="1" a="1"/>
  <c r="W1065" i="1" s="1"/>
  <c r="W1066" i="1" a="1"/>
  <c r="W1066" i="1" s="1"/>
  <c r="W1067" i="1" a="1"/>
  <c r="W1067" i="1" s="1"/>
  <c r="W1068" i="1" a="1"/>
  <c r="W1068" i="1" s="1"/>
  <c r="W1069" i="1" a="1"/>
  <c r="W1069" i="1" s="1"/>
  <c r="W1070" i="1" a="1"/>
  <c r="W1070" i="1" s="1"/>
  <c r="W1071" i="1" a="1"/>
  <c r="W1071" i="1" s="1"/>
  <c r="W1072" i="1" a="1"/>
  <c r="W1072" i="1" s="1"/>
  <c r="W1073" i="1" a="1"/>
  <c r="W1073" i="1" s="1"/>
  <c r="W1074" i="1" a="1"/>
  <c r="W1074" i="1" s="1"/>
  <c r="W1075" i="1" a="1"/>
  <c r="W1075" i="1" s="1"/>
  <c r="W1076" i="1" a="1"/>
  <c r="W1076" i="1" s="1"/>
  <c r="W1077" i="1" a="1"/>
  <c r="W1077" i="1" s="1"/>
  <c r="W1078" i="1" a="1"/>
  <c r="W1078" i="1" s="1"/>
  <c r="W1079" i="1" a="1"/>
  <c r="W1079" i="1" s="1"/>
  <c r="W1080" i="1" a="1"/>
  <c r="W1080" i="1" s="1"/>
  <c r="W1081" i="1" a="1"/>
  <c r="W1081" i="1" s="1"/>
  <c r="W1082" i="1" a="1"/>
  <c r="W1082" i="1" s="1"/>
  <c r="W1083" i="1" a="1"/>
  <c r="W1083" i="1" s="1"/>
  <c r="W1084" i="1" a="1"/>
  <c r="W1084" i="1" s="1"/>
  <c r="W1085" i="1" a="1"/>
  <c r="W1085" i="1" s="1"/>
  <c r="W1086" i="1" a="1"/>
  <c r="W1086" i="1" s="1"/>
  <c r="W1087" i="1" a="1"/>
  <c r="W1087" i="1" s="1"/>
  <c r="W1088" i="1" a="1"/>
  <c r="W1088" i="1" s="1"/>
  <c r="W1089" i="1" a="1"/>
  <c r="W1089" i="1" s="1"/>
  <c r="W1090" i="1" a="1"/>
  <c r="W1090" i="1" s="1"/>
  <c r="W1091" i="1" a="1"/>
  <c r="W1091" i="1" s="1"/>
  <c r="W1092" i="1" a="1"/>
  <c r="W1092" i="1" s="1"/>
  <c r="W1093" i="1" a="1"/>
  <c r="W1093" i="1" s="1"/>
  <c r="W1094" i="1" a="1"/>
  <c r="W1094" i="1" s="1"/>
  <c r="W1095" i="1" a="1"/>
  <c r="W1095" i="1" s="1"/>
  <c r="W1096" i="1" a="1"/>
  <c r="W1096" i="1" s="1"/>
  <c r="W1097" i="1" a="1"/>
  <c r="W1097" i="1" s="1"/>
  <c r="W1098" i="1" a="1"/>
  <c r="W1098" i="1" s="1"/>
  <c r="W1099" i="1" a="1"/>
  <c r="W1099" i="1" s="1"/>
  <c r="W1100" i="1" a="1"/>
  <c r="W1100" i="1" s="1"/>
  <c r="W1101" i="1" a="1"/>
  <c r="W1101" i="1" s="1"/>
  <c r="W1102" i="1" a="1"/>
  <c r="W1102" i="1" s="1"/>
  <c r="W1103" i="1" a="1"/>
  <c r="W1103" i="1" s="1"/>
  <c r="W1104" i="1" a="1"/>
  <c r="W1104" i="1" s="1"/>
  <c r="W1105" i="1" a="1"/>
  <c r="W1105" i="1" s="1"/>
  <c r="W1106" i="1" a="1"/>
  <c r="W1106" i="1" s="1"/>
  <c r="W1107" i="1" a="1"/>
  <c r="W1107" i="1" s="1"/>
  <c r="W1108" i="1" a="1"/>
  <c r="W1108" i="1" s="1"/>
  <c r="W1109" i="1" a="1"/>
  <c r="W1109" i="1" s="1"/>
  <c r="W1110" i="1" a="1"/>
  <c r="W1110" i="1" s="1"/>
  <c r="W1111" i="1" a="1"/>
  <c r="W1111" i="1" s="1"/>
  <c r="W1112" i="1" a="1"/>
  <c r="W1112" i="1" s="1"/>
  <c r="W1113" i="1" a="1"/>
  <c r="W1113" i="1" s="1"/>
  <c r="W1114" i="1" a="1"/>
  <c r="W1114" i="1" s="1"/>
  <c r="W1115" i="1" a="1"/>
  <c r="W1115" i="1" s="1"/>
  <c r="W1116" i="1" a="1"/>
  <c r="W1116" i="1" s="1"/>
  <c r="W1117" i="1" a="1"/>
  <c r="W1117" i="1" s="1"/>
  <c r="W1118" i="1" a="1"/>
  <c r="W1118" i="1" s="1"/>
  <c r="W1119" i="1" a="1"/>
  <c r="W1119" i="1" s="1"/>
  <c r="W1120" i="1" a="1"/>
  <c r="W1120" i="1" s="1"/>
  <c r="W1121" i="1" a="1"/>
  <c r="W1121" i="1" s="1"/>
  <c r="W1122" i="1" a="1"/>
  <c r="W1122" i="1" s="1"/>
  <c r="W1123" i="1" a="1"/>
  <c r="W1123" i="1" s="1"/>
  <c r="W1124" i="1" a="1"/>
  <c r="W1124" i="1" s="1"/>
  <c r="W1125" i="1" a="1"/>
  <c r="W1125" i="1" s="1"/>
  <c r="W1126" i="1" a="1"/>
  <c r="W1126" i="1" s="1"/>
  <c r="W1127" i="1" a="1"/>
  <c r="W1127" i="1" s="1"/>
  <c r="W1128" i="1" a="1"/>
  <c r="W1128" i="1" s="1"/>
  <c r="W1129" i="1" a="1"/>
  <c r="W1129" i="1" s="1"/>
  <c r="W1130" i="1" a="1"/>
  <c r="W1130" i="1" s="1"/>
  <c r="W1131" i="1" a="1"/>
  <c r="W1131" i="1" s="1"/>
  <c r="W1132" i="1" a="1"/>
  <c r="W1132" i="1" s="1"/>
  <c r="W1133" i="1" a="1"/>
  <c r="W1133" i="1" s="1"/>
  <c r="W1134" i="1" a="1"/>
  <c r="W1134" i="1" s="1"/>
  <c r="W1135" i="1" a="1"/>
  <c r="W1135" i="1" s="1"/>
  <c r="W1136" i="1" a="1"/>
  <c r="W1136" i="1" s="1"/>
  <c r="W1137" i="1" a="1"/>
  <c r="W1137" i="1" s="1"/>
  <c r="W1138" i="1" a="1"/>
  <c r="W1138" i="1" s="1"/>
  <c r="W1139" i="1" a="1"/>
  <c r="W1139" i="1" s="1"/>
  <c r="W1140" i="1" a="1"/>
  <c r="W1140" i="1" s="1"/>
  <c r="W1141" i="1" a="1"/>
  <c r="W1141" i="1" s="1"/>
  <c r="W1142" i="1" a="1"/>
  <c r="W1142" i="1" s="1"/>
  <c r="W1143" i="1" a="1"/>
  <c r="W1143" i="1" s="1"/>
  <c r="W1144" i="1" a="1"/>
  <c r="W1144" i="1" s="1"/>
  <c r="W1145" i="1" a="1"/>
  <c r="W1145" i="1" s="1"/>
  <c r="W1146" i="1" a="1"/>
  <c r="W1146" i="1" s="1"/>
  <c r="W1147" i="1" a="1"/>
  <c r="W1147" i="1" s="1"/>
  <c r="W1148" i="1" a="1"/>
  <c r="W1148" i="1" s="1"/>
  <c r="W1149" i="1" a="1"/>
  <c r="W1149" i="1" s="1"/>
  <c r="W1150" i="1" a="1"/>
  <c r="W1150" i="1" s="1"/>
  <c r="W1151" i="1" a="1"/>
  <c r="W1151" i="1" s="1"/>
  <c r="W1152" i="1" a="1"/>
  <c r="W1152" i="1" s="1"/>
  <c r="W1153" i="1" a="1"/>
  <c r="W1153" i="1" s="1"/>
  <c r="W1154" i="1" a="1"/>
  <c r="W1154" i="1" s="1"/>
  <c r="W1155" i="1" a="1"/>
  <c r="W1155" i="1" s="1"/>
  <c r="W1156" i="1" a="1"/>
  <c r="W1156" i="1" s="1"/>
  <c r="W1157" i="1" a="1"/>
  <c r="W1157" i="1" s="1"/>
  <c r="W1158" i="1" a="1"/>
  <c r="W1158" i="1" s="1"/>
  <c r="W1159" i="1" a="1"/>
  <c r="W1159" i="1" s="1"/>
  <c r="W1160" i="1" a="1"/>
  <c r="W1160" i="1" s="1"/>
  <c r="W1161" i="1" a="1"/>
  <c r="W1161" i="1" s="1"/>
  <c r="W1162" i="1" a="1"/>
  <c r="W1162" i="1" s="1"/>
  <c r="W1163" i="1" a="1"/>
  <c r="W1163" i="1" s="1"/>
  <c r="W1164" i="1" a="1"/>
  <c r="W1164" i="1" s="1"/>
  <c r="W1165" i="1" a="1"/>
  <c r="W1165" i="1" s="1"/>
  <c r="W1166" i="1" a="1"/>
  <c r="W1166" i="1" s="1"/>
  <c r="W1167" i="1" a="1"/>
  <c r="W1167" i="1" s="1"/>
  <c r="W1168" i="1" a="1"/>
  <c r="W1168" i="1" s="1"/>
  <c r="W1169" i="1" a="1"/>
  <c r="W1169" i="1" s="1"/>
  <c r="W1170" i="1" a="1"/>
  <c r="W1170" i="1" s="1"/>
  <c r="W1171" i="1" a="1"/>
  <c r="W1171" i="1" s="1"/>
  <c r="W1172" i="1" a="1"/>
  <c r="W1172" i="1" s="1"/>
  <c r="W1173" i="1" a="1"/>
  <c r="W1173" i="1" s="1"/>
  <c r="W1174" i="1" a="1"/>
  <c r="W1174" i="1" s="1"/>
  <c r="W1175" i="1" a="1"/>
  <c r="W1175" i="1" s="1"/>
  <c r="W1176" i="1" a="1"/>
  <c r="W1176" i="1" s="1"/>
  <c r="W1177" i="1" a="1"/>
  <c r="W1177" i="1" s="1"/>
  <c r="W1178" i="1" a="1"/>
  <c r="W1178" i="1" s="1"/>
  <c r="W1179" i="1" a="1"/>
  <c r="W1179" i="1" s="1"/>
  <c r="W1180" i="1" a="1"/>
  <c r="W1180" i="1" s="1"/>
  <c r="W1181" i="1" a="1"/>
  <c r="W1181" i="1" s="1"/>
  <c r="W1182" i="1" a="1"/>
  <c r="W1182" i="1" s="1"/>
  <c r="W1183" i="1" a="1"/>
  <c r="W1183" i="1" s="1"/>
  <c r="W1184" i="1" a="1"/>
  <c r="W1184" i="1" s="1"/>
  <c r="W1185" i="1" a="1"/>
  <c r="W1185" i="1" s="1"/>
  <c r="W1186" i="1" a="1"/>
  <c r="W1186" i="1" s="1"/>
  <c r="W1187" i="1" a="1"/>
  <c r="W1187" i="1" s="1"/>
  <c r="W1188" i="1" a="1"/>
  <c r="W1188" i="1" s="1"/>
  <c r="W1189" i="1" a="1"/>
  <c r="W1189" i="1" s="1"/>
  <c r="W1190" i="1" a="1"/>
  <c r="W1190" i="1" s="1"/>
  <c r="W1191" i="1" a="1"/>
  <c r="W1191" i="1" s="1"/>
  <c r="W1192" i="1" a="1"/>
  <c r="W1192" i="1" s="1"/>
  <c r="W1193" i="1" a="1"/>
  <c r="W1193" i="1" s="1"/>
  <c r="W1194" i="1" a="1"/>
  <c r="W1194" i="1" s="1"/>
  <c r="W1195" i="1" a="1"/>
  <c r="W1195" i="1" s="1"/>
  <c r="W1196" i="1" a="1"/>
  <c r="W1196" i="1" s="1"/>
  <c r="W1197" i="1" a="1"/>
  <c r="W1197" i="1" s="1"/>
  <c r="W1198" i="1" a="1"/>
  <c r="W1198" i="1" s="1"/>
  <c r="W1199" i="1" a="1"/>
  <c r="W1199" i="1" s="1"/>
  <c r="W1200" i="1" a="1"/>
  <c r="W1200" i="1" s="1"/>
  <c r="W1201" i="1" a="1"/>
  <c r="W1201" i="1" s="1"/>
  <c r="W1202" i="1" a="1"/>
  <c r="W1202" i="1" s="1"/>
  <c r="W1203" i="1" a="1"/>
  <c r="W1203" i="1" s="1"/>
  <c r="W1204" i="1" a="1"/>
  <c r="W1204" i="1" s="1"/>
  <c r="W1205" i="1" a="1"/>
  <c r="W1205" i="1" s="1"/>
  <c r="W1206" i="1" a="1"/>
  <c r="W1206" i="1" s="1"/>
  <c r="W1207" i="1" a="1"/>
  <c r="W1207" i="1" s="1"/>
  <c r="W1208" i="1" a="1"/>
  <c r="W1208" i="1" s="1"/>
  <c r="W1209" i="1" a="1"/>
  <c r="W1209" i="1" s="1"/>
  <c r="W1210" i="1" a="1"/>
  <c r="W1210" i="1" s="1"/>
  <c r="W1211" i="1" a="1"/>
  <c r="W1211" i="1" s="1"/>
  <c r="W1212" i="1" a="1"/>
  <c r="W1212" i="1" s="1"/>
  <c r="W1213" i="1" a="1"/>
  <c r="W1213" i="1" s="1"/>
  <c r="W1214" i="1" a="1"/>
  <c r="W1214" i="1" s="1"/>
  <c r="W1215" i="1" a="1"/>
  <c r="W1215" i="1" s="1"/>
  <c r="W1216" i="1" a="1"/>
  <c r="W1216" i="1" s="1"/>
  <c r="W1217" i="1" a="1"/>
  <c r="W1217" i="1" s="1"/>
  <c r="W1218" i="1" a="1"/>
  <c r="W1218" i="1" s="1"/>
  <c r="W1219" i="1" a="1"/>
  <c r="W1219" i="1" s="1"/>
  <c r="W1220" i="1" a="1"/>
  <c r="W1220" i="1" s="1"/>
  <c r="W1221" i="1" a="1"/>
  <c r="W1221" i="1" s="1"/>
  <c r="W1222" i="1" a="1"/>
  <c r="W1222" i="1" s="1"/>
  <c r="W1223" i="1" a="1"/>
  <c r="W1223" i="1" s="1"/>
  <c r="W1224" i="1" a="1"/>
  <c r="W1224" i="1" s="1"/>
  <c r="W1225" i="1" a="1"/>
  <c r="W1225" i="1" s="1"/>
  <c r="W1226" i="1" a="1"/>
  <c r="W1226" i="1" s="1"/>
  <c r="W1227" i="1" a="1"/>
  <c r="W1227" i="1" s="1"/>
  <c r="W1228" i="1" a="1"/>
  <c r="W1228" i="1" s="1"/>
  <c r="W1229" i="1" a="1"/>
  <c r="W1229" i="1" s="1"/>
  <c r="W1230" i="1" a="1"/>
  <c r="W1230" i="1" s="1"/>
  <c r="W1231" i="1" a="1"/>
  <c r="W1231" i="1" s="1"/>
  <c r="W1232" i="1" a="1"/>
  <c r="W1232" i="1" s="1"/>
  <c r="W1233" i="1" a="1"/>
  <c r="W1233" i="1" s="1"/>
  <c r="W1234" i="1" a="1"/>
  <c r="W1234" i="1" s="1"/>
  <c r="W1235" i="1" a="1"/>
  <c r="W1235" i="1" s="1"/>
  <c r="W1236" i="1" a="1"/>
  <c r="W1236" i="1" s="1"/>
  <c r="W1237" i="1" a="1"/>
  <c r="W1237" i="1" s="1"/>
  <c r="W1238" i="1" a="1"/>
  <c r="W1238" i="1" s="1"/>
  <c r="W1239" i="1" a="1"/>
  <c r="W1239" i="1" s="1"/>
  <c r="W1240" i="1" a="1"/>
  <c r="W1240" i="1" s="1"/>
  <c r="W1241" i="1" a="1"/>
  <c r="W1241" i="1" s="1"/>
  <c r="W1242" i="1" a="1"/>
  <c r="W1242" i="1" s="1"/>
  <c r="W1243" i="1" a="1"/>
  <c r="W1243" i="1" s="1"/>
  <c r="W1244" i="1" a="1"/>
  <c r="W1244" i="1" s="1"/>
  <c r="W1245" i="1" a="1"/>
  <c r="W1245" i="1" s="1"/>
  <c r="W1246" i="1" a="1"/>
  <c r="W1246" i="1" s="1"/>
  <c r="W1247" i="1" a="1"/>
  <c r="W1247" i="1" s="1"/>
  <c r="W1248" i="1" a="1"/>
  <c r="W1248" i="1" s="1"/>
  <c r="W1249" i="1" a="1"/>
  <c r="W1249" i="1" s="1"/>
  <c r="W1250" i="1" a="1"/>
  <c r="W1250" i="1" s="1"/>
  <c r="W1251" i="1" a="1"/>
  <c r="W1251" i="1" s="1"/>
  <c r="W1252" i="1" a="1"/>
  <c r="W1252" i="1" s="1"/>
  <c r="W1253" i="1" a="1"/>
  <c r="W1253" i="1" s="1"/>
  <c r="W1254" i="1" a="1"/>
  <c r="W1254" i="1" s="1"/>
  <c r="W1255" i="1" a="1"/>
  <c r="W1255" i="1" s="1"/>
  <c r="W1256" i="1" a="1"/>
  <c r="W1256" i="1" s="1"/>
  <c r="W1257" i="1" a="1"/>
  <c r="W1257" i="1" s="1"/>
  <c r="W1258" i="1" a="1"/>
  <c r="W1258" i="1" s="1"/>
  <c r="W1259" i="1" a="1"/>
  <c r="W1259" i="1" s="1"/>
  <c r="W1260" i="1" a="1"/>
  <c r="W1260" i="1" s="1"/>
  <c r="W1261" i="1" a="1"/>
  <c r="W1261" i="1" s="1"/>
  <c r="W1262" i="1" a="1"/>
  <c r="W1262" i="1" s="1"/>
  <c r="W1263" i="1" a="1"/>
  <c r="W1263" i="1" s="1"/>
  <c r="W1264" i="1" a="1"/>
  <c r="W1264" i="1" s="1"/>
  <c r="W1265" i="1" a="1"/>
  <c r="W1265" i="1" s="1"/>
  <c r="W1266" i="1" a="1"/>
  <c r="W1266" i="1" s="1"/>
  <c r="W1267" i="1" a="1"/>
  <c r="W1267" i="1" s="1"/>
  <c r="W1268" i="1" a="1"/>
  <c r="W1268" i="1" s="1"/>
  <c r="W1269" i="1" a="1"/>
  <c r="W1269" i="1" s="1"/>
  <c r="W1270" i="1" a="1"/>
  <c r="W1270" i="1" s="1"/>
  <c r="W1271" i="1" a="1"/>
  <c r="W1271" i="1" s="1"/>
  <c r="W1272" i="1" a="1"/>
  <c r="W1272" i="1" s="1"/>
  <c r="W1273" i="1" a="1"/>
  <c r="W1273" i="1" s="1"/>
  <c r="W1274" i="1" a="1"/>
  <c r="W1274" i="1" s="1"/>
  <c r="W1275" i="1" a="1"/>
  <c r="W1275" i="1" s="1"/>
  <c r="W1276" i="1" a="1"/>
  <c r="W1276" i="1" s="1"/>
  <c r="W1277" i="1" a="1"/>
  <c r="W1277" i="1" s="1"/>
  <c r="W1278" i="1" a="1"/>
  <c r="W1278" i="1" s="1"/>
  <c r="W1279" i="1" a="1"/>
  <c r="W1279" i="1" s="1"/>
  <c r="W1280" i="1" a="1"/>
  <c r="W1280" i="1" s="1"/>
  <c r="W1281" i="1" a="1"/>
  <c r="W1281" i="1" s="1"/>
  <c r="W1282" i="1" a="1"/>
  <c r="W1282" i="1" s="1"/>
  <c r="W1283" i="1" a="1"/>
  <c r="W1283" i="1" s="1"/>
  <c r="W1284" i="1" a="1"/>
  <c r="W1284" i="1" s="1"/>
  <c r="W1285" i="1" a="1"/>
  <c r="W1285" i="1" s="1"/>
  <c r="W1286" i="1" a="1"/>
  <c r="W1286" i="1" s="1"/>
  <c r="W1287" i="1" a="1"/>
  <c r="W1287" i="1" s="1"/>
  <c r="W1288" i="1" a="1"/>
  <c r="W1288" i="1" s="1"/>
  <c r="W1289" i="1" a="1"/>
  <c r="W1289" i="1" s="1"/>
  <c r="W1290" i="1" a="1"/>
  <c r="W1290" i="1" s="1"/>
  <c r="W1291" i="1" a="1"/>
  <c r="W1291" i="1" s="1"/>
  <c r="W1292" i="1" a="1"/>
  <c r="W1292" i="1" s="1"/>
  <c r="W1293" i="1" a="1"/>
  <c r="W1293" i="1" s="1"/>
  <c r="W1294" i="1" a="1"/>
  <c r="W1294" i="1" s="1"/>
  <c r="W1295" i="1" a="1"/>
  <c r="W1295" i="1" s="1"/>
  <c r="W1296" i="1" a="1"/>
  <c r="W1296" i="1" s="1"/>
  <c r="W1297" i="1" a="1"/>
  <c r="W1297" i="1" s="1"/>
  <c r="W1298" i="1" a="1"/>
  <c r="W1298" i="1" s="1"/>
  <c r="W1299" i="1" a="1"/>
  <c r="W1299" i="1" s="1"/>
  <c r="W1300" i="1" a="1"/>
  <c r="W1300" i="1" s="1"/>
  <c r="W1301" i="1" a="1"/>
  <c r="W1301" i="1" s="1"/>
  <c r="W1302" i="1" a="1"/>
  <c r="W1302" i="1" s="1"/>
  <c r="W1303" i="1" a="1"/>
  <c r="W1303" i="1" s="1"/>
  <c r="W1304" i="1" a="1"/>
  <c r="W1304" i="1" s="1"/>
  <c r="W1305" i="1" a="1"/>
  <c r="W1305" i="1" s="1"/>
  <c r="W1306" i="1" a="1"/>
  <c r="W1306" i="1" s="1"/>
  <c r="W1307" i="1" a="1"/>
  <c r="W1307" i="1" s="1"/>
  <c r="W1308" i="1" a="1"/>
  <c r="W1308" i="1" s="1"/>
  <c r="W1309" i="1" a="1"/>
  <c r="W1309" i="1" s="1"/>
  <c r="W1310" i="1" a="1"/>
  <c r="W1310" i="1" s="1"/>
  <c r="W1311" i="1" a="1"/>
  <c r="W1311" i="1" s="1"/>
  <c r="W1312" i="1" a="1"/>
  <c r="W1312" i="1" s="1"/>
  <c r="W1313" i="1" a="1"/>
  <c r="W1313" i="1" s="1"/>
  <c r="W1314" i="1" a="1"/>
  <c r="W1314" i="1" s="1"/>
  <c r="W1315" i="1" a="1"/>
  <c r="W1315" i="1" s="1"/>
  <c r="W1316" i="1" a="1"/>
  <c r="W1316" i="1" s="1"/>
  <c r="W1317" i="1" a="1"/>
  <c r="W1317" i="1" s="1"/>
  <c r="W1318" i="1" a="1"/>
  <c r="W1318" i="1" s="1"/>
  <c r="W1319" i="1" a="1"/>
  <c r="W1319" i="1" s="1"/>
  <c r="W1320" i="1" a="1"/>
  <c r="W1320" i="1" s="1"/>
  <c r="W1321" i="1" a="1"/>
  <c r="W1321" i="1" s="1"/>
  <c r="W1322" i="1" a="1"/>
  <c r="W1322" i="1" s="1"/>
  <c r="W1323" i="1" a="1"/>
  <c r="W1323" i="1" s="1"/>
  <c r="W1324" i="1" a="1"/>
  <c r="W1324" i="1" s="1"/>
  <c r="W1325" i="1" a="1"/>
  <c r="W1325" i="1" s="1"/>
  <c r="W1326" i="1" a="1"/>
  <c r="W1326" i="1" s="1"/>
  <c r="W1327" i="1" a="1"/>
  <c r="W1327" i="1" s="1"/>
  <c r="W1328" i="1" a="1"/>
  <c r="W1328" i="1" s="1"/>
  <c r="W1329" i="1" a="1"/>
  <c r="W1329" i="1" s="1"/>
  <c r="W1330" i="1" a="1"/>
  <c r="W1330" i="1" s="1"/>
  <c r="W1331" i="1" a="1"/>
  <c r="W1331" i="1" s="1"/>
  <c r="W1332" i="1" a="1"/>
  <c r="W1332" i="1" s="1"/>
  <c r="W1333" i="1" a="1"/>
  <c r="W1333" i="1" s="1"/>
  <c r="W1334" i="1" a="1"/>
  <c r="W1334" i="1" s="1"/>
  <c r="W1335" i="1" a="1"/>
  <c r="W1335" i="1" s="1"/>
  <c r="W1336" i="1" a="1"/>
  <c r="W1336" i="1" s="1"/>
  <c r="W1337" i="1" a="1"/>
  <c r="W1337" i="1" s="1"/>
  <c r="W1338" i="1" a="1"/>
  <c r="W1338" i="1" s="1"/>
  <c r="W1339" i="1" a="1"/>
  <c r="W1339" i="1" s="1"/>
  <c r="W1340" i="1" a="1"/>
  <c r="W1340" i="1" s="1"/>
  <c r="W1341" i="1" a="1"/>
  <c r="W1341" i="1" s="1"/>
  <c r="W1342" i="1" a="1"/>
  <c r="W1342" i="1" s="1"/>
  <c r="W1343" i="1" a="1"/>
  <c r="W1343" i="1" s="1"/>
  <c r="W1344" i="1" a="1"/>
  <c r="W1344" i="1" s="1"/>
  <c r="W1345" i="1" a="1"/>
  <c r="W1345" i="1" s="1"/>
  <c r="W1346" i="1" a="1"/>
  <c r="W1346" i="1" s="1"/>
  <c r="W1347" i="1" a="1"/>
  <c r="W1347" i="1" s="1"/>
  <c r="W1348" i="1" a="1"/>
  <c r="W1348" i="1" s="1"/>
  <c r="W1349" i="1" a="1"/>
  <c r="W1349" i="1" s="1"/>
  <c r="W1350" i="1" a="1"/>
  <c r="W1350" i="1" s="1"/>
  <c r="W1351" i="1" a="1"/>
  <c r="W1351" i="1" s="1"/>
  <c r="W1352" i="1" a="1"/>
  <c r="W1352" i="1" s="1"/>
  <c r="W1353" i="1" a="1"/>
  <c r="W1353" i="1" s="1"/>
  <c r="W1354" i="1" a="1"/>
  <c r="W1354" i="1" s="1"/>
  <c r="W1355" i="1" a="1"/>
  <c r="W1355" i="1" s="1"/>
  <c r="W1356" i="1" a="1"/>
  <c r="W1356" i="1" s="1"/>
  <c r="W1357" i="1" a="1"/>
  <c r="W1357" i="1" s="1"/>
  <c r="W1358" i="1" a="1"/>
  <c r="W1358" i="1" s="1"/>
  <c r="W1359" i="1" a="1"/>
  <c r="W1359" i="1" s="1"/>
  <c r="W1360" i="1" a="1"/>
  <c r="W1360" i="1" s="1"/>
  <c r="W1361" i="1" a="1"/>
  <c r="W1361" i="1" s="1"/>
  <c r="W1362" i="1" a="1"/>
  <c r="W1362" i="1" s="1"/>
  <c r="W1363" i="1" a="1"/>
  <c r="W1363" i="1" s="1"/>
  <c r="W1364" i="1" a="1"/>
  <c r="W1364" i="1" s="1"/>
  <c r="W1365" i="1" a="1"/>
  <c r="W1365" i="1" s="1"/>
  <c r="W1366" i="1" a="1"/>
  <c r="W1366" i="1" s="1"/>
  <c r="W1367" i="1" a="1"/>
  <c r="W1367" i="1" s="1"/>
  <c r="W1368" i="1" a="1"/>
  <c r="W1368" i="1" s="1"/>
  <c r="W1369" i="1" a="1"/>
  <c r="W1369" i="1" s="1"/>
  <c r="W1370" i="1" a="1"/>
  <c r="W1370" i="1" s="1"/>
  <c r="W1371" i="1" a="1"/>
  <c r="W1371" i="1" s="1"/>
  <c r="W1372" i="1" a="1"/>
  <c r="W1372" i="1" s="1"/>
  <c r="W1373" i="1" a="1"/>
  <c r="W1373" i="1" s="1"/>
  <c r="W1374" i="1" a="1"/>
  <c r="W1374" i="1" s="1"/>
  <c r="W1375" i="1" a="1"/>
  <c r="W1375" i="1" s="1"/>
  <c r="W1376" i="1" a="1"/>
  <c r="W1376" i="1" s="1"/>
  <c r="W1377" i="1" a="1"/>
  <c r="W1377" i="1" s="1"/>
  <c r="W1378" i="1" a="1"/>
  <c r="W1378" i="1" s="1"/>
  <c r="W1379" i="1" a="1"/>
  <c r="W1379" i="1" s="1"/>
  <c r="W1380" i="1" a="1"/>
  <c r="W1380" i="1" s="1"/>
  <c r="W1381" i="1" a="1"/>
  <c r="W1381" i="1" s="1"/>
  <c r="W1382" i="1" a="1"/>
  <c r="W1382" i="1" s="1"/>
  <c r="W1383" i="1" a="1"/>
  <c r="W1383" i="1" s="1"/>
  <c r="W1384" i="1" a="1"/>
  <c r="W1384" i="1" s="1"/>
  <c r="W1385" i="1" a="1"/>
  <c r="W1385" i="1" s="1"/>
  <c r="W1386" i="1" a="1"/>
  <c r="W1386" i="1" s="1"/>
  <c r="W1387" i="1" a="1"/>
  <c r="W1387" i="1" s="1"/>
  <c r="W1388" i="1" a="1"/>
  <c r="W1388" i="1" s="1"/>
  <c r="W1389" i="1" a="1"/>
  <c r="W1389" i="1" s="1"/>
  <c r="W1390" i="1" a="1"/>
  <c r="W1390" i="1" s="1"/>
  <c r="W1391" i="1" a="1"/>
  <c r="W1391" i="1" s="1"/>
  <c r="W1392" i="1" a="1"/>
  <c r="W1392" i="1" s="1"/>
  <c r="W1393" i="1" a="1"/>
  <c r="W1393" i="1" s="1"/>
  <c r="W1394" i="1" a="1"/>
  <c r="W1394" i="1" s="1"/>
  <c r="W1395" i="1" a="1"/>
  <c r="W1395" i="1" s="1"/>
  <c r="W1396" i="1" a="1"/>
  <c r="W1396" i="1" s="1"/>
  <c r="W1397" i="1" a="1"/>
  <c r="W1397" i="1" s="1"/>
  <c r="W1398" i="1" a="1"/>
  <c r="W1398" i="1" s="1"/>
  <c r="W1399" i="1" a="1"/>
  <c r="W1399" i="1" s="1"/>
  <c r="W1400" i="1" a="1"/>
  <c r="W1400" i="1" s="1"/>
  <c r="W1401" i="1" a="1"/>
  <c r="W1401" i="1" s="1"/>
  <c r="W1402" i="1" a="1"/>
  <c r="W1402" i="1" s="1"/>
  <c r="W1403" i="1" a="1"/>
  <c r="W1403" i="1" s="1"/>
  <c r="W1404" i="1" a="1"/>
  <c r="W1404" i="1" s="1"/>
  <c r="W1405" i="1" a="1"/>
  <c r="W1405" i="1" s="1"/>
  <c r="W1406" i="1" a="1"/>
  <c r="W1406" i="1" s="1"/>
  <c r="W1407" i="1" a="1"/>
  <c r="W1407" i="1" s="1"/>
  <c r="W1408" i="1" a="1"/>
  <c r="W1408" i="1" s="1"/>
  <c r="W1409" i="1" a="1"/>
  <c r="W1409" i="1" s="1"/>
  <c r="W1410" i="1" a="1"/>
  <c r="W1410" i="1" s="1"/>
  <c r="W1411" i="1" a="1"/>
  <c r="W1411" i="1" s="1"/>
  <c r="W1412" i="1" a="1"/>
  <c r="W1412" i="1" s="1"/>
  <c r="W1413" i="1" a="1"/>
  <c r="W1413" i="1" s="1"/>
  <c r="W1414" i="1" a="1"/>
  <c r="W1414" i="1" s="1"/>
  <c r="W1415" i="1" a="1"/>
  <c r="W1415" i="1" s="1"/>
  <c r="W1416" i="1" a="1"/>
  <c r="W1416" i="1" s="1"/>
  <c r="W1417" i="1" a="1"/>
  <c r="W1417" i="1" s="1"/>
  <c r="W1418" i="1" a="1"/>
  <c r="W1418" i="1" s="1"/>
  <c r="W1419" i="1" a="1"/>
  <c r="W1419" i="1" s="1"/>
  <c r="W1420" i="1" a="1"/>
  <c r="W1420" i="1" s="1"/>
  <c r="W1421" i="1" a="1"/>
  <c r="W1421" i="1" s="1"/>
  <c r="W1422" i="1" a="1"/>
  <c r="W1422" i="1" s="1"/>
  <c r="W1423" i="1" a="1"/>
  <c r="W1423" i="1" s="1"/>
  <c r="W1424" i="1" a="1"/>
  <c r="W1424" i="1" s="1"/>
  <c r="W1425" i="1" a="1"/>
  <c r="W1425" i="1" s="1"/>
  <c r="W1426" i="1" a="1"/>
  <c r="W1426" i="1" s="1"/>
  <c r="W1427" i="1" a="1"/>
  <c r="W1427" i="1" s="1"/>
  <c r="W1428" i="1" a="1"/>
  <c r="W1428" i="1" s="1"/>
  <c r="W1429" i="1" a="1"/>
  <c r="W1429" i="1" s="1"/>
  <c r="W1430" i="1" a="1"/>
  <c r="W1430" i="1" s="1"/>
  <c r="W1431" i="1" a="1"/>
  <c r="W1431" i="1" s="1"/>
  <c r="W1432" i="1" a="1"/>
  <c r="W1432" i="1" s="1"/>
  <c r="W1433" i="1" a="1"/>
  <c r="W1433" i="1" s="1"/>
  <c r="W1434" i="1" a="1"/>
  <c r="W1434" i="1" s="1"/>
  <c r="W1435" i="1" a="1"/>
  <c r="W1435" i="1" s="1"/>
  <c r="W1436" i="1" a="1"/>
  <c r="W1436" i="1" s="1"/>
  <c r="W1437" i="1" a="1"/>
  <c r="W1437" i="1" s="1"/>
  <c r="W1438" i="1" a="1"/>
  <c r="W1438" i="1" s="1"/>
  <c r="W1439" i="1" a="1"/>
  <c r="W1439" i="1" s="1"/>
  <c r="W1440" i="1" a="1"/>
  <c r="W1440" i="1" s="1"/>
  <c r="W1441" i="1" a="1"/>
  <c r="W1441" i="1" s="1"/>
  <c r="W1442" i="1" a="1"/>
  <c r="W1442" i="1" s="1"/>
  <c r="W1443" i="1" a="1"/>
  <c r="W1443" i="1" s="1"/>
  <c r="W1444" i="1" a="1"/>
  <c r="W1444" i="1" s="1"/>
  <c r="W1445" i="1" a="1"/>
  <c r="W1445" i="1" s="1"/>
  <c r="W1446" i="1" a="1"/>
  <c r="W1446" i="1" s="1"/>
  <c r="W1447" i="1" a="1"/>
  <c r="W1447" i="1" s="1"/>
  <c r="W1448" i="1" a="1"/>
  <c r="W1448" i="1" s="1"/>
  <c r="W1449" i="1" a="1"/>
  <c r="W1449" i="1" s="1"/>
  <c r="W1450" i="1" a="1"/>
  <c r="W1450" i="1" s="1"/>
  <c r="W1451" i="1" a="1"/>
  <c r="W1451" i="1" s="1"/>
  <c r="W1452" i="1" a="1"/>
  <c r="W1452" i="1" s="1"/>
  <c r="W1453" i="1" a="1"/>
  <c r="W1453" i="1" s="1"/>
  <c r="W1454" i="1" a="1"/>
  <c r="W1454" i="1" s="1"/>
  <c r="W1455" i="1" a="1"/>
  <c r="W1455" i="1" s="1"/>
  <c r="W1456" i="1" a="1"/>
  <c r="W1456" i="1" s="1"/>
  <c r="W1457" i="1" a="1"/>
  <c r="W1457" i="1" s="1"/>
  <c r="W1458" i="1" a="1"/>
  <c r="W1458" i="1" s="1"/>
  <c r="W1459" i="1" a="1"/>
  <c r="W1459" i="1" s="1"/>
  <c r="W1460" i="1" a="1"/>
  <c r="W1460" i="1" s="1"/>
  <c r="W1461" i="1" a="1"/>
  <c r="W1461" i="1" s="1"/>
  <c r="W1462" i="1" a="1"/>
  <c r="W1462" i="1" s="1"/>
  <c r="W1463" i="1" a="1"/>
  <c r="W1463" i="1" s="1"/>
  <c r="W1464" i="1" a="1"/>
  <c r="W1464" i="1" s="1"/>
  <c r="W1465" i="1" a="1"/>
  <c r="W1465" i="1" s="1"/>
  <c r="W1466" i="1" a="1"/>
  <c r="W1466" i="1" s="1"/>
  <c r="W1467" i="1" a="1"/>
  <c r="W1467" i="1" s="1"/>
  <c r="W1468" i="1" a="1"/>
  <c r="W1468" i="1" s="1"/>
  <c r="W1469" i="1" a="1"/>
  <c r="W1469" i="1" s="1"/>
  <c r="W1470" i="1" a="1"/>
  <c r="W1470" i="1" s="1"/>
  <c r="W1471" i="1" a="1"/>
  <c r="W1471" i="1" s="1"/>
  <c r="W1472" i="1" a="1"/>
  <c r="W1472" i="1" s="1"/>
  <c r="W1473" i="1" a="1"/>
  <c r="W1473" i="1" s="1"/>
  <c r="W1474" i="1" a="1"/>
  <c r="W1474" i="1" s="1"/>
  <c r="W1475" i="1" a="1"/>
  <c r="W1475" i="1" s="1"/>
  <c r="W1476" i="1" a="1"/>
  <c r="W1476" i="1" s="1"/>
  <c r="W1477" i="1" a="1"/>
  <c r="W1477" i="1" s="1"/>
  <c r="W1478" i="1" a="1"/>
  <c r="W1478" i="1" s="1"/>
  <c r="W1479" i="1" a="1"/>
  <c r="W1479" i="1" s="1"/>
  <c r="W1480" i="1" a="1"/>
  <c r="W1480" i="1" s="1"/>
  <c r="W1481" i="1" a="1"/>
  <c r="W1481" i="1" s="1"/>
  <c r="W1482" i="1" a="1"/>
  <c r="W1482" i="1" s="1"/>
  <c r="W1483" i="1" a="1"/>
  <c r="W1483" i="1" s="1"/>
  <c r="W1484" i="1" a="1"/>
  <c r="W1484" i="1" s="1"/>
  <c r="W1485" i="1" a="1"/>
  <c r="W1485" i="1" s="1"/>
  <c r="W1486" i="1" a="1"/>
  <c r="W1486" i="1" s="1"/>
  <c r="W1487" i="1" a="1"/>
  <c r="W1487" i="1" s="1"/>
  <c r="W1488" i="1" a="1"/>
  <c r="W1488" i="1" s="1"/>
  <c r="W1489" i="1" a="1"/>
  <c r="W1489" i="1" s="1"/>
  <c r="W1490" i="1" a="1"/>
  <c r="W1490" i="1" s="1"/>
  <c r="W1491" i="1" a="1"/>
  <c r="W1491" i="1" s="1"/>
  <c r="W1492" i="1" a="1"/>
  <c r="W1492" i="1" s="1"/>
  <c r="W1493" i="1" a="1"/>
  <c r="W1493" i="1" s="1"/>
  <c r="W1494" i="1" a="1"/>
  <c r="W1494" i="1" s="1"/>
  <c r="W1495" i="1" a="1"/>
  <c r="W1495" i="1" s="1"/>
  <c r="W1496" i="1" a="1"/>
  <c r="W1496" i="1" s="1"/>
  <c r="W1497" i="1" a="1"/>
  <c r="W1497" i="1" s="1"/>
  <c r="W1498" i="1" a="1"/>
  <c r="W1498" i="1" s="1"/>
  <c r="W1499" i="1" a="1"/>
  <c r="W1499" i="1" s="1"/>
  <c r="W1500" i="1" a="1"/>
  <c r="W1500" i="1" s="1"/>
  <c r="W1501" i="1" a="1"/>
  <c r="W1501" i="1" s="1"/>
  <c r="W1502" i="1" a="1"/>
  <c r="W1502" i="1" s="1"/>
  <c r="W1503" i="1" a="1"/>
  <c r="W1503" i="1" s="1"/>
  <c r="W1504" i="1" a="1"/>
  <c r="W1504" i="1" s="1"/>
  <c r="W1505" i="1" a="1"/>
  <c r="W1505" i="1" s="1"/>
  <c r="W1506" i="1" a="1"/>
  <c r="W1506" i="1" s="1"/>
  <c r="W1507" i="1" a="1"/>
  <c r="W1507" i="1" s="1"/>
  <c r="W1508" i="1" a="1"/>
  <c r="W1508" i="1" s="1"/>
  <c r="W1509" i="1" a="1"/>
  <c r="W1509" i="1" s="1"/>
  <c r="W1510" i="1" a="1"/>
  <c r="W1510" i="1" s="1"/>
  <c r="W1511" i="1" a="1"/>
  <c r="W1511" i="1" s="1"/>
  <c r="W1512" i="1" a="1"/>
  <c r="W1512" i="1" s="1"/>
  <c r="W1513" i="1" a="1"/>
  <c r="W1513" i="1" s="1"/>
  <c r="W1514" i="1" a="1"/>
  <c r="W1514" i="1" s="1"/>
  <c r="W1515" i="1" a="1"/>
  <c r="W1515" i="1" s="1"/>
  <c r="W1516" i="1" a="1"/>
  <c r="W1516" i="1" s="1"/>
  <c r="W1517" i="1" a="1"/>
  <c r="W1517" i="1" s="1"/>
  <c r="W1518" i="1" a="1"/>
  <c r="W1518" i="1" s="1"/>
  <c r="W1519" i="1" a="1"/>
  <c r="W1519" i="1" s="1"/>
  <c r="W1520" i="1" a="1"/>
  <c r="W1520" i="1" s="1"/>
  <c r="W1521" i="1" a="1"/>
  <c r="W1521" i="1" s="1"/>
  <c r="W1522" i="1" a="1"/>
  <c r="W1522" i="1" s="1"/>
  <c r="W1523" i="1" a="1"/>
  <c r="W1523" i="1" s="1"/>
  <c r="W1524" i="1" a="1"/>
  <c r="W1524" i="1" s="1"/>
  <c r="W1525" i="1" a="1"/>
  <c r="W1525" i="1" s="1"/>
  <c r="W1526" i="1" a="1"/>
  <c r="W1526" i="1" s="1"/>
  <c r="W1527" i="1" a="1"/>
  <c r="W1527" i="1" s="1"/>
  <c r="W1528" i="1" a="1"/>
  <c r="W1528" i="1" s="1"/>
  <c r="W1529" i="1" a="1"/>
  <c r="W1529" i="1" s="1"/>
  <c r="W1530" i="1" a="1"/>
  <c r="W1530" i="1" s="1"/>
  <c r="W1531" i="1" a="1"/>
  <c r="W1531" i="1" s="1"/>
  <c r="W1532" i="1" a="1"/>
  <c r="W1532" i="1" s="1"/>
  <c r="W1533" i="1" a="1"/>
  <c r="W1533" i="1" s="1"/>
  <c r="W1534" i="1" a="1"/>
  <c r="W1534" i="1" s="1"/>
  <c r="W1535" i="1" a="1"/>
  <c r="W1535" i="1" s="1"/>
  <c r="W1536" i="1" a="1"/>
  <c r="W1536" i="1" s="1"/>
  <c r="W1537" i="1" a="1"/>
  <c r="W1537" i="1" s="1"/>
  <c r="W1538" i="1" a="1"/>
  <c r="W1538" i="1" s="1"/>
  <c r="W1539" i="1" a="1"/>
  <c r="W1539" i="1" s="1"/>
  <c r="W1540" i="1" a="1"/>
  <c r="W1540" i="1" s="1"/>
  <c r="W1541" i="1" a="1"/>
  <c r="W1541" i="1" s="1"/>
  <c r="W1542" i="1" a="1"/>
  <c r="W1542" i="1" s="1"/>
  <c r="W1543" i="1" a="1"/>
  <c r="W1543" i="1" s="1"/>
  <c r="W1544" i="1" a="1"/>
  <c r="W1544" i="1" s="1"/>
  <c r="W1545" i="1" a="1"/>
  <c r="W1545" i="1" s="1"/>
  <c r="W1546" i="1" a="1"/>
  <c r="W1546" i="1" s="1"/>
  <c r="W1547" i="1" a="1"/>
  <c r="W1547" i="1" s="1"/>
  <c r="W1548" i="1" a="1"/>
  <c r="W1548" i="1" s="1"/>
  <c r="W1549" i="1" a="1"/>
  <c r="W1549" i="1" s="1"/>
  <c r="W1550" i="1" a="1"/>
  <c r="W1550" i="1" s="1"/>
  <c r="W1551" i="1" a="1"/>
  <c r="W1551" i="1" s="1"/>
  <c r="W1552" i="1" a="1"/>
  <c r="W1552" i="1" s="1"/>
  <c r="W1553" i="1" a="1"/>
  <c r="W1553" i="1" s="1"/>
  <c r="W1554" i="1" a="1"/>
  <c r="W1554" i="1" s="1"/>
  <c r="W1555" i="1" a="1"/>
  <c r="W1555" i="1" s="1"/>
  <c r="W1556" i="1" a="1"/>
  <c r="W1556" i="1" s="1"/>
  <c r="W1557" i="1" a="1"/>
  <c r="W1557" i="1" s="1"/>
  <c r="W1558" i="1" a="1"/>
  <c r="W1558" i="1" s="1"/>
  <c r="W1559" i="1" a="1"/>
  <c r="W1559" i="1" s="1"/>
  <c r="W1560" i="1" a="1"/>
  <c r="W1560" i="1" s="1"/>
  <c r="W1561" i="1" a="1"/>
  <c r="W1561" i="1" s="1"/>
  <c r="W1562" i="1" a="1"/>
  <c r="W1562" i="1" s="1"/>
  <c r="W1563" i="1" a="1"/>
  <c r="W1563" i="1" s="1"/>
  <c r="W1564" i="1" a="1"/>
  <c r="W1564" i="1" s="1"/>
  <c r="W1565" i="1" a="1"/>
  <c r="W1565" i="1" s="1"/>
  <c r="W1566" i="1" a="1"/>
  <c r="W1566" i="1" s="1"/>
  <c r="W1567" i="1" a="1"/>
  <c r="W1567" i="1" s="1"/>
  <c r="W1568" i="1" a="1"/>
  <c r="W1568" i="1" s="1"/>
  <c r="W1569" i="1" a="1"/>
  <c r="W1569" i="1" s="1"/>
  <c r="W1570" i="1" a="1"/>
  <c r="W1570" i="1" s="1"/>
  <c r="W1571" i="1" a="1"/>
  <c r="W1571" i="1" s="1"/>
  <c r="W1572" i="1" a="1"/>
  <c r="W1572" i="1" s="1"/>
  <c r="W1573" i="1" a="1"/>
  <c r="W1573" i="1" s="1"/>
  <c r="W1574" i="1" a="1"/>
  <c r="W1574" i="1" s="1"/>
  <c r="W1575" i="1" a="1"/>
  <c r="W1575" i="1" s="1"/>
  <c r="W1576" i="1" a="1"/>
  <c r="W1576" i="1" s="1"/>
  <c r="W1577" i="1" a="1"/>
  <c r="W1577" i="1" s="1"/>
  <c r="W1578" i="1" a="1"/>
  <c r="W1578" i="1" s="1"/>
  <c r="W1579" i="1" a="1"/>
  <c r="W1579" i="1" s="1"/>
  <c r="W1580" i="1" a="1"/>
  <c r="W1580" i="1" s="1"/>
  <c r="W1581" i="1" a="1"/>
  <c r="W1581" i="1" s="1"/>
  <c r="W1582" i="1" a="1"/>
  <c r="W1582" i="1" s="1"/>
  <c r="W1583" i="1" a="1"/>
  <c r="W1583" i="1" s="1"/>
  <c r="W1584" i="1" a="1"/>
  <c r="W1584" i="1" s="1"/>
  <c r="W1585" i="1" a="1"/>
  <c r="W1585" i="1" s="1"/>
  <c r="W1586" i="1" a="1"/>
  <c r="W1586" i="1" s="1"/>
  <c r="W1587" i="1" a="1"/>
  <c r="W1587" i="1" s="1"/>
  <c r="W1588" i="1" a="1"/>
  <c r="W1588" i="1" s="1"/>
  <c r="W1589" i="1" a="1"/>
  <c r="W1589" i="1" s="1"/>
  <c r="W1590" i="1" a="1"/>
  <c r="W1590" i="1" s="1"/>
  <c r="W1591" i="1" a="1"/>
  <c r="W1591" i="1" s="1"/>
  <c r="W1592" i="1" a="1"/>
  <c r="W1592" i="1" s="1"/>
  <c r="W1593" i="1" a="1"/>
  <c r="W1593" i="1" s="1"/>
  <c r="W1594" i="1" a="1"/>
  <c r="W1594" i="1" s="1"/>
  <c r="W1595" i="1" a="1"/>
  <c r="W1595" i="1" s="1"/>
  <c r="W1596" i="1" a="1"/>
  <c r="W1596" i="1" s="1"/>
  <c r="W1597" i="1" a="1"/>
  <c r="W1597" i="1" s="1"/>
  <c r="W1598" i="1" a="1"/>
  <c r="W1598" i="1" s="1"/>
  <c r="W1599" i="1" a="1"/>
  <c r="W1599" i="1" s="1"/>
  <c r="W1600" i="1" a="1"/>
  <c r="W1600" i="1" s="1"/>
  <c r="W1601" i="1" a="1"/>
  <c r="W1601" i="1" s="1"/>
  <c r="W1602" i="1" a="1"/>
  <c r="W1602" i="1" s="1"/>
  <c r="W1603" i="1" a="1"/>
  <c r="W1603" i="1" s="1"/>
  <c r="W1604" i="1" a="1"/>
  <c r="W1604" i="1" s="1"/>
  <c r="W1605" i="1" a="1"/>
  <c r="W1605" i="1" s="1"/>
  <c r="W1606" i="1" a="1"/>
  <c r="W1606" i="1" s="1"/>
  <c r="W1607" i="1" a="1"/>
  <c r="W1607" i="1" s="1"/>
  <c r="W1608" i="1" a="1"/>
  <c r="W1608" i="1" s="1"/>
  <c r="W1609" i="1" a="1"/>
  <c r="W1609" i="1" s="1"/>
  <c r="W1610" i="1" a="1"/>
  <c r="W1610" i="1" s="1"/>
  <c r="W1611" i="1" a="1"/>
  <c r="W1611" i="1" s="1"/>
  <c r="W1612" i="1" a="1"/>
  <c r="W1612" i="1" s="1"/>
  <c r="W1613" i="1" a="1"/>
  <c r="W1613" i="1" s="1"/>
  <c r="W1614" i="1" a="1"/>
  <c r="W1614" i="1" s="1"/>
  <c r="W1615" i="1" a="1"/>
  <c r="W1615" i="1" s="1"/>
  <c r="W1616" i="1" a="1"/>
  <c r="W1616" i="1" s="1"/>
  <c r="W1617" i="1" a="1"/>
  <c r="W1617" i="1" s="1"/>
  <c r="W1618" i="1" a="1"/>
  <c r="W1618" i="1" s="1"/>
  <c r="W1619" i="1" a="1"/>
  <c r="W1619" i="1" s="1"/>
  <c r="W1620" i="1" a="1"/>
  <c r="W1620" i="1" s="1"/>
  <c r="W1621" i="1" a="1"/>
  <c r="W1621" i="1" s="1"/>
  <c r="W1622" i="1" a="1"/>
  <c r="W1622" i="1" s="1"/>
  <c r="W1623" i="1" a="1"/>
  <c r="W1623" i="1" s="1"/>
  <c r="W1624" i="1" a="1"/>
  <c r="W1624" i="1" s="1"/>
  <c r="W1625" i="1" a="1"/>
  <c r="W1625" i="1" s="1"/>
  <c r="W1626" i="1" a="1"/>
  <c r="W1626" i="1" s="1"/>
  <c r="W1627" i="1" a="1"/>
  <c r="W1627" i="1" s="1"/>
  <c r="W1628" i="1" a="1"/>
  <c r="W1628" i="1" s="1"/>
  <c r="W1629" i="1" a="1"/>
  <c r="W1629" i="1" s="1"/>
  <c r="W1630" i="1" a="1"/>
  <c r="W1630" i="1" s="1"/>
  <c r="W1631" i="1" a="1"/>
  <c r="W1631" i="1" s="1"/>
  <c r="W1632" i="1" a="1"/>
  <c r="W1632" i="1" s="1"/>
  <c r="W1633" i="1" a="1"/>
  <c r="W1633" i="1" s="1"/>
  <c r="W1634" i="1" a="1"/>
  <c r="W1634" i="1" s="1"/>
  <c r="W1635" i="1" a="1"/>
  <c r="W1635" i="1" s="1"/>
  <c r="W1636" i="1" a="1"/>
  <c r="W1636" i="1" s="1"/>
  <c r="W1637" i="1" a="1"/>
  <c r="W1637" i="1" s="1"/>
  <c r="W1638" i="1" a="1"/>
  <c r="W1638" i="1" s="1"/>
  <c r="W1639" i="1" a="1"/>
  <c r="W1639" i="1" s="1"/>
  <c r="W1640" i="1" a="1"/>
  <c r="W1640" i="1" s="1"/>
  <c r="W1641" i="1" a="1"/>
  <c r="W1641" i="1" s="1"/>
  <c r="W1642" i="1" a="1"/>
  <c r="W1642" i="1" s="1"/>
  <c r="W1643" i="1" a="1"/>
  <c r="W1643" i="1" s="1"/>
  <c r="W1644" i="1" a="1"/>
  <c r="W1644" i="1" s="1"/>
  <c r="W1645" i="1" a="1"/>
  <c r="W1645" i="1" s="1"/>
  <c r="W1646" i="1" a="1"/>
  <c r="W1646" i="1" s="1"/>
  <c r="W1647" i="1" a="1"/>
  <c r="W1647" i="1" s="1"/>
  <c r="W1648" i="1" a="1"/>
  <c r="W1648" i="1" s="1"/>
  <c r="W1649" i="1" a="1"/>
  <c r="W1649" i="1" s="1"/>
  <c r="W1650" i="1" a="1"/>
  <c r="W1650" i="1" s="1"/>
  <c r="W1651" i="1" a="1"/>
  <c r="W1651" i="1" s="1"/>
  <c r="W1652" i="1" a="1"/>
  <c r="W1652" i="1" s="1"/>
  <c r="W1653" i="1" a="1"/>
  <c r="W1653" i="1" s="1"/>
  <c r="W1654" i="1" a="1"/>
  <c r="W1654" i="1" s="1"/>
  <c r="W1655" i="1" a="1"/>
  <c r="W1655" i="1" s="1"/>
  <c r="W1656" i="1" a="1"/>
  <c r="W1656" i="1" s="1"/>
  <c r="W1657" i="1" a="1"/>
  <c r="W1657" i="1" s="1"/>
  <c r="W1658" i="1" a="1"/>
  <c r="W1658" i="1" s="1"/>
  <c r="W1659" i="1" a="1"/>
  <c r="W1659" i="1" s="1"/>
  <c r="W1660" i="1" a="1"/>
  <c r="W1660" i="1" s="1"/>
  <c r="W1661" i="1" a="1"/>
  <c r="W1661" i="1" s="1"/>
  <c r="W1662" i="1" a="1"/>
  <c r="W1662" i="1" s="1"/>
  <c r="W1663" i="1" a="1"/>
  <c r="W1663" i="1" s="1"/>
  <c r="W1664" i="1" a="1"/>
  <c r="W1664" i="1" s="1"/>
  <c r="W1665" i="1" a="1"/>
  <c r="W1665" i="1" s="1"/>
  <c r="W1666" i="1" a="1"/>
  <c r="W1666" i="1" s="1"/>
  <c r="W1667" i="1" a="1"/>
  <c r="W1667" i="1" s="1"/>
  <c r="W1668" i="1" a="1"/>
  <c r="W1668" i="1" s="1"/>
  <c r="W1669" i="1" a="1"/>
  <c r="W1669" i="1" s="1"/>
  <c r="W1670" i="1" a="1"/>
  <c r="W1670" i="1" s="1"/>
  <c r="W1671" i="1" a="1"/>
  <c r="W1671" i="1" s="1"/>
  <c r="W1672" i="1" a="1"/>
  <c r="W1672" i="1" s="1"/>
  <c r="W1673" i="1" a="1"/>
  <c r="W1673" i="1" s="1"/>
  <c r="W1674" i="1" a="1"/>
  <c r="W1674" i="1" s="1"/>
  <c r="W1675" i="1" a="1"/>
  <c r="W1675" i="1" s="1"/>
  <c r="W1676" i="1" a="1"/>
  <c r="W1676" i="1" s="1"/>
  <c r="W1677" i="1" a="1"/>
  <c r="W1677" i="1" s="1"/>
  <c r="W1678" i="1" a="1"/>
  <c r="W1678" i="1" s="1"/>
  <c r="W1679" i="1" a="1"/>
  <c r="W1679" i="1" s="1"/>
  <c r="W1680" i="1" a="1"/>
  <c r="W1680" i="1" s="1"/>
  <c r="W1681" i="1" a="1"/>
  <c r="W1681" i="1" s="1"/>
  <c r="W1682" i="1" a="1"/>
  <c r="W1682" i="1" s="1"/>
  <c r="W1683" i="1" a="1"/>
  <c r="W1683" i="1" s="1"/>
  <c r="W1684" i="1" a="1"/>
  <c r="W1684" i="1" s="1"/>
  <c r="W1685" i="1" a="1"/>
  <c r="W1685" i="1" s="1"/>
  <c r="W1686" i="1" a="1"/>
  <c r="W1686" i="1" s="1"/>
  <c r="W1687" i="1" a="1"/>
  <c r="W1687" i="1" s="1"/>
  <c r="W1688" i="1" a="1"/>
  <c r="W1688" i="1" s="1"/>
  <c r="W1689" i="1" a="1"/>
  <c r="W1689" i="1" s="1"/>
  <c r="W1690" i="1" a="1"/>
  <c r="W1690" i="1" s="1"/>
  <c r="W1691" i="1" a="1"/>
  <c r="W1691" i="1" s="1"/>
  <c r="W1692" i="1" a="1"/>
  <c r="W1692" i="1" s="1"/>
  <c r="W1693" i="1" a="1"/>
  <c r="W1693" i="1" s="1"/>
  <c r="W1694" i="1" a="1"/>
  <c r="W1694" i="1" s="1"/>
  <c r="W1695" i="1" a="1"/>
  <c r="W1695" i="1" s="1"/>
  <c r="W1696" i="1" a="1"/>
  <c r="W1696" i="1" s="1"/>
  <c r="W1697" i="1" a="1"/>
  <c r="W1697" i="1" s="1"/>
  <c r="W1698" i="1" a="1"/>
  <c r="W1698" i="1" s="1"/>
  <c r="W1699" i="1" a="1"/>
  <c r="W1699" i="1" s="1"/>
  <c r="W1700" i="1" a="1"/>
  <c r="W1700" i="1" s="1"/>
  <c r="W1701" i="1" a="1"/>
  <c r="W1701" i="1" s="1"/>
  <c r="W1702" i="1" a="1"/>
  <c r="W1702" i="1" s="1"/>
  <c r="W1703" i="1" a="1"/>
  <c r="W1703" i="1" s="1"/>
  <c r="W1704" i="1" a="1"/>
  <c r="W1704" i="1" s="1"/>
  <c r="W1705" i="1" a="1"/>
  <c r="W1705" i="1" s="1"/>
  <c r="W1706" i="1" a="1"/>
  <c r="W1706" i="1" s="1"/>
  <c r="W1707" i="1" a="1"/>
  <c r="W1707" i="1" s="1"/>
  <c r="W1708" i="1" a="1"/>
  <c r="W1708" i="1" s="1"/>
  <c r="W1709" i="1" a="1"/>
  <c r="W1709" i="1" s="1"/>
  <c r="W1710" i="1" a="1"/>
  <c r="W1710" i="1" s="1"/>
  <c r="W1711" i="1" a="1"/>
  <c r="W1711" i="1" s="1"/>
  <c r="W1712" i="1" a="1"/>
  <c r="W1712" i="1" s="1"/>
  <c r="W1713" i="1" a="1"/>
  <c r="W1713" i="1" s="1"/>
  <c r="W1714" i="1" a="1"/>
  <c r="W1714" i="1" s="1"/>
  <c r="W1715" i="1" a="1"/>
  <c r="W1715" i="1" s="1"/>
  <c r="W1716" i="1" a="1"/>
  <c r="W1716" i="1" s="1"/>
  <c r="W1717" i="1" a="1"/>
  <c r="W1717" i="1" s="1"/>
  <c r="W1718" i="1" a="1"/>
  <c r="W1718" i="1" s="1"/>
  <c r="W1719" i="1" a="1"/>
  <c r="W1719" i="1" s="1"/>
  <c r="W1720" i="1" a="1"/>
  <c r="W1720" i="1" s="1"/>
  <c r="W1721" i="1" a="1"/>
  <c r="W1721" i="1" s="1"/>
  <c r="W1722" i="1" a="1"/>
  <c r="W1722" i="1" s="1"/>
  <c r="W1723" i="1" a="1"/>
  <c r="W1723" i="1" s="1"/>
  <c r="W1724" i="1" a="1"/>
  <c r="W1724" i="1" s="1"/>
  <c r="W1725" i="1" a="1"/>
  <c r="W1725" i="1" s="1"/>
  <c r="W1726" i="1" a="1"/>
  <c r="W1726" i="1" s="1"/>
  <c r="W1727" i="1" a="1"/>
  <c r="W1727" i="1" s="1"/>
  <c r="W1728" i="1" a="1"/>
  <c r="W1728" i="1" s="1"/>
  <c r="W1729" i="1" a="1"/>
  <c r="W1729" i="1" s="1"/>
  <c r="W1730" i="1" a="1"/>
  <c r="W1730" i="1" s="1"/>
  <c r="W1731" i="1" a="1"/>
  <c r="W1731" i="1" s="1"/>
  <c r="W1732" i="1" a="1"/>
  <c r="W1732" i="1" s="1"/>
  <c r="W1733" i="1" a="1"/>
  <c r="W1733" i="1" s="1"/>
  <c r="W1734" i="1" a="1"/>
  <c r="W1734" i="1" s="1"/>
  <c r="W1735" i="1" a="1"/>
  <c r="W1735" i="1" s="1"/>
  <c r="W1736" i="1" a="1"/>
  <c r="W1736" i="1" s="1"/>
  <c r="W1737" i="1" a="1"/>
  <c r="W1737" i="1" s="1"/>
  <c r="W1738" i="1" a="1"/>
  <c r="W1738" i="1" s="1"/>
  <c r="W1739" i="1" a="1"/>
  <c r="W1739" i="1" s="1"/>
  <c r="W1740" i="1" a="1"/>
  <c r="W1740" i="1" s="1"/>
  <c r="W1741" i="1" a="1"/>
  <c r="W1741" i="1" s="1"/>
  <c r="W1742" i="1" a="1"/>
  <c r="W1742" i="1" s="1"/>
  <c r="W1743" i="1" a="1"/>
  <c r="W1743" i="1" s="1"/>
  <c r="W1744" i="1" a="1"/>
  <c r="W1744" i="1" s="1"/>
  <c r="W1745" i="1" a="1"/>
  <c r="W1745" i="1" s="1"/>
  <c r="W1746" i="1" a="1"/>
  <c r="W1746" i="1" s="1"/>
  <c r="W1747" i="1" a="1"/>
  <c r="W1747" i="1" s="1"/>
  <c r="W1748" i="1" a="1"/>
  <c r="W1748" i="1" s="1"/>
  <c r="W1749" i="1" a="1"/>
  <c r="W1749" i="1" s="1"/>
  <c r="W1750" i="1" a="1"/>
  <c r="W1750" i="1" s="1"/>
  <c r="W1751" i="1" a="1"/>
  <c r="W1751" i="1" s="1"/>
  <c r="W1752" i="1" a="1"/>
  <c r="W1752" i="1" s="1"/>
  <c r="W1753" i="1" a="1"/>
  <c r="W1753" i="1" s="1"/>
  <c r="W1754" i="1" a="1"/>
  <c r="W1754" i="1" s="1"/>
  <c r="W1755" i="1" a="1"/>
  <c r="W1755" i="1" s="1"/>
  <c r="W1756" i="1" a="1"/>
  <c r="W1756" i="1" s="1"/>
  <c r="W1757" i="1" a="1"/>
  <c r="W1757" i="1" s="1"/>
  <c r="W1758" i="1" a="1"/>
  <c r="W1758" i="1" s="1"/>
  <c r="W1759" i="1" a="1"/>
  <c r="W1759" i="1" s="1"/>
  <c r="W1760" i="1" a="1"/>
  <c r="W1760" i="1" s="1"/>
  <c r="W1761" i="1" a="1"/>
  <c r="W1761" i="1" s="1"/>
  <c r="W1762" i="1" a="1"/>
  <c r="W1762" i="1" s="1"/>
  <c r="W1763" i="1" a="1"/>
  <c r="W1763" i="1" s="1"/>
  <c r="W1764" i="1" a="1"/>
  <c r="W1764" i="1" s="1"/>
  <c r="W1765" i="1" a="1"/>
  <c r="W1765" i="1" s="1"/>
  <c r="W1766" i="1" a="1"/>
  <c r="W1766" i="1" s="1"/>
  <c r="W1767" i="1" a="1"/>
  <c r="W1767" i="1" s="1"/>
  <c r="W1768" i="1" a="1"/>
  <c r="W1768" i="1" s="1"/>
  <c r="W1769" i="1" a="1"/>
  <c r="W1769" i="1" s="1"/>
  <c r="W1770" i="1" a="1"/>
  <c r="W1770" i="1" s="1"/>
  <c r="W1771" i="1" a="1"/>
  <c r="W1771" i="1" s="1"/>
  <c r="W1772" i="1" a="1"/>
  <c r="W1772" i="1" s="1"/>
  <c r="W1773" i="1" a="1"/>
  <c r="W1773" i="1" s="1"/>
  <c r="W1774" i="1" a="1"/>
  <c r="W1774" i="1" s="1"/>
  <c r="W1775" i="1" a="1"/>
  <c r="W1775" i="1" s="1"/>
  <c r="W1776" i="1" a="1"/>
  <c r="W1776" i="1" s="1"/>
  <c r="W1777" i="1" a="1"/>
  <c r="W1777" i="1" s="1"/>
  <c r="W1778" i="1" a="1"/>
  <c r="W1778" i="1" s="1"/>
  <c r="W1779" i="1" a="1"/>
  <c r="W1779" i="1" s="1"/>
  <c r="W1780" i="1" a="1"/>
  <c r="W1780" i="1" s="1"/>
  <c r="W1781" i="1" a="1"/>
  <c r="W1781" i="1" s="1"/>
  <c r="W1782" i="1" a="1"/>
  <c r="W1782" i="1" s="1"/>
  <c r="W1783" i="1" a="1"/>
  <c r="W1783" i="1" s="1"/>
  <c r="W1784" i="1" a="1"/>
  <c r="W1784" i="1" s="1"/>
  <c r="W1785" i="1" a="1"/>
  <c r="W1785" i="1" s="1"/>
  <c r="W1786" i="1" a="1"/>
  <c r="W1786" i="1" s="1"/>
  <c r="W1787" i="1" a="1"/>
  <c r="W1787" i="1" s="1"/>
  <c r="W1788" i="1" a="1"/>
  <c r="W1788" i="1" s="1"/>
  <c r="W1789" i="1" a="1"/>
  <c r="W1789" i="1" s="1"/>
  <c r="W1790" i="1" a="1"/>
  <c r="W1790" i="1" s="1"/>
  <c r="W1791" i="1" a="1"/>
  <c r="W1791" i="1" s="1"/>
  <c r="W1792" i="1" a="1"/>
  <c r="W1792" i="1" s="1"/>
  <c r="W1793" i="1" a="1"/>
  <c r="W1793" i="1" s="1"/>
  <c r="W1794" i="1" a="1"/>
  <c r="W1794" i="1" s="1"/>
  <c r="W1795" i="1" a="1"/>
  <c r="W1795" i="1" s="1"/>
  <c r="W1796" i="1" a="1"/>
  <c r="W1796" i="1" s="1"/>
  <c r="W1797" i="1" a="1"/>
  <c r="W1797" i="1" s="1"/>
  <c r="W1798" i="1" a="1"/>
  <c r="W1798" i="1" s="1"/>
  <c r="W1799" i="1" a="1"/>
  <c r="W1799" i="1" s="1"/>
  <c r="W1800" i="1" a="1"/>
  <c r="W1800" i="1" s="1"/>
  <c r="W1801" i="1" a="1"/>
  <c r="W1801" i="1" s="1"/>
  <c r="W1802" i="1" a="1"/>
  <c r="W1802" i="1" s="1"/>
  <c r="W1803" i="1" a="1"/>
  <c r="W1803" i="1" s="1"/>
  <c r="W1804" i="1" a="1"/>
  <c r="W1804" i="1" s="1"/>
  <c r="W1805" i="1" a="1"/>
  <c r="W1805" i="1" s="1"/>
  <c r="W1806" i="1" a="1"/>
  <c r="W1806" i="1" s="1"/>
  <c r="W1807" i="1" a="1"/>
  <c r="W1807" i="1" s="1"/>
  <c r="W1808" i="1" a="1"/>
  <c r="W1808" i="1" s="1"/>
  <c r="W1809" i="1" a="1"/>
  <c r="W1809" i="1" s="1"/>
  <c r="W1810" i="1" a="1"/>
  <c r="W1810" i="1" s="1"/>
  <c r="W1811" i="1" a="1"/>
  <c r="W1811" i="1" s="1"/>
  <c r="W1812" i="1" a="1"/>
  <c r="W1812" i="1" s="1"/>
  <c r="W1813" i="1" a="1"/>
  <c r="W1813" i="1" s="1"/>
  <c r="W1814" i="1" a="1"/>
  <c r="W1814" i="1" s="1"/>
  <c r="W1815" i="1" a="1"/>
  <c r="W1815" i="1" s="1"/>
  <c r="W1816" i="1" a="1"/>
  <c r="W1816" i="1" s="1"/>
  <c r="W1817" i="1" a="1"/>
  <c r="W1817" i="1" s="1"/>
  <c r="W1818" i="1" a="1"/>
  <c r="W1818" i="1" s="1"/>
  <c r="W1819" i="1" a="1"/>
  <c r="W1819" i="1" s="1"/>
  <c r="W1820" i="1" a="1"/>
  <c r="W1820" i="1" s="1"/>
  <c r="W1821" i="1" a="1"/>
  <c r="W1821" i="1" s="1"/>
  <c r="W1822" i="1" a="1"/>
  <c r="W1822" i="1" s="1"/>
  <c r="W1823" i="1" a="1"/>
  <c r="W1823" i="1" s="1"/>
  <c r="W1824" i="1" a="1"/>
  <c r="W1824" i="1" s="1"/>
  <c r="W1825" i="1" a="1"/>
  <c r="W1825" i="1" s="1"/>
  <c r="W1826" i="1" a="1"/>
  <c r="W1826" i="1" s="1"/>
  <c r="W1827" i="1" a="1"/>
  <c r="W1827" i="1" s="1"/>
  <c r="W1828" i="1" a="1"/>
  <c r="W1828" i="1" s="1"/>
  <c r="W1829" i="1" a="1"/>
  <c r="W1829" i="1" s="1"/>
  <c r="W1830" i="1" a="1"/>
  <c r="W1830" i="1" s="1"/>
  <c r="W1831" i="1" a="1"/>
  <c r="W1831" i="1" s="1"/>
  <c r="W1832" i="1" a="1"/>
  <c r="W1832" i="1" s="1"/>
  <c r="W1833" i="1" a="1"/>
  <c r="W1833" i="1" s="1"/>
  <c r="W1834" i="1" a="1"/>
  <c r="W1834" i="1" s="1"/>
  <c r="W1835" i="1" a="1"/>
  <c r="W1835" i="1" s="1"/>
  <c r="W1836" i="1" a="1"/>
  <c r="W1836" i="1" s="1"/>
  <c r="W1837" i="1" a="1"/>
  <c r="W1837" i="1" s="1"/>
  <c r="W1838" i="1" a="1"/>
  <c r="W1838" i="1" s="1"/>
  <c r="W1839" i="1" a="1"/>
  <c r="W1839" i="1" s="1"/>
  <c r="W1840" i="1" a="1"/>
  <c r="W1840" i="1" s="1"/>
  <c r="W1841" i="1" a="1"/>
  <c r="W1841" i="1" s="1"/>
  <c r="W1842" i="1" a="1"/>
  <c r="W1842" i="1" s="1"/>
  <c r="W1843" i="1" a="1"/>
  <c r="W1843" i="1" s="1"/>
  <c r="W1844" i="1" a="1"/>
  <c r="W1844" i="1" s="1"/>
  <c r="W1845" i="1" a="1"/>
  <c r="W1845" i="1" s="1"/>
  <c r="W1846" i="1" a="1"/>
  <c r="W1846" i="1" s="1"/>
  <c r="W1847" i="1" a="1"/>
  <c r="W1847" i="1" s="1"/>
  <c r="W1848" i="1" a="1"/>
  <c r="W1848" i="1" s="1"/>
  <c r="W1849" i="1" a="1"/>
  <c r="W1849" i="1" s="1"/>
  <c r="W1850" i="1" a="1"/>
  <c r="W1850" i="1" s="1"/>
  <c r="W1851" i="1" a="1"/>
  <c r="W1851" i="1" s="1"/>
  <c r="W1852" i="1" a="1"/>
  <c r="W1852" i="1" s="1"/>
  <c r="W1853" i="1" a="1"/>
  <c r="W1853" i="1" s="1"/>
  <c r="W1854" i="1" a="1"/>
  <c r="W1854" i="1" s="1"/>
  <c r="W1855" i="1" a="1"/>
  <c r="W1855" i="1" s="1"/>
  <c r="W1856" i="1" a="1"/>
  <c r="W1856" i="1" s="1"/>
  <c r="W1857" i="1" a="1"/>
  <c r="W1857" i="1" s="1"/>
  <c r="W1858" i="1" a="1"/>
  <c r="W1858" i="1" s="1"/>
  <c r="W1859" i="1" a="1"/>
  <c r="W1859" i="1" s="1"/>
  <c r="W1860" i="1" a="1"/>
  <c r="W1860" i="1" s="1"/>
  <c r="W1861" i="1" a="1"/>
  <c r="W1861" i="1" s="1"/>
  <c r="W1862" i="1" a="1"/>
  <c r="W1862" i="1" s="1"/>
  <c r="W1863" i="1" a="1"/>
  <c r="W1863" i="1" s="1"/>
  <c r="W1864" i="1" a="1"/>
  <c r="W1864" i="1" s="1"/>
  <c r="W1865" i="1" a="1"/>
  <c r="W1865" i="1" s="1"/>
  <c r="W1866" i="1" a="1"/>
  <c r="W1866" i="1" s="1"/>
  <c r="W1867" i="1" a="1"/>
  <c r="W1867" i="1" s="1"/>
  <c r="W1868" i="1" a="1"/>
  <c r="W1868" i="1" s="1"/>
  <c r="W1869" i="1" a="1"/>
  <c r="W1869" i="1" s="1"/>
  <c r="W1870" i="1" a="1"/>
  <c r="W1870" i="1" s="1"/>
  <c r="W1871" i="1" a="1"/>
  <c r="W1871" i="1" s="1"/>
  <c r="W1872" i="1" a="1"/>
  <c r="W1872" i="1" s="1"/>
  <c r="W1873" i="1" a="1"/>
  <c r="W1873" i="1" s="1"/>
  <c r="W1874" i="1" a="1"/>
  <c r="W1874" i="1" s="1"/>
  <c r="W1875" i="1" a="1"/>
  <c r="W1875" i="1" s="1"/>
  <c r="W1876" i="1" a="1"/>
  <c r="W1876" i="1" s="1"/>
  <c r="W1877" i="1" a="1"/>
  <c r="W1877" i="1" s="1"/>
  <c r="W1878" i="1" a="1"/>
  <c r="W1878" i="1" s="1"/>
  <c r="W1879" i="1" a="1"/>
  <c r="W1879" i="1" s="1"/>
  <c r="W1880" i="1" a="1"/>
  <c r="W1880" i="1" s="1"/>
  <c r="W1881" i="1" a="1"/>
  <c r="W1881" i="1" s="1"/>
  <c r="W1882" i="1" a="1"/>
  <c r="W1882" i="1" s="1"/>
  <c r="W1883" i="1" a="1"/>
  <c r="W1883" i="1" s="1"/>
  <c r="W1884" i="1" a="1"/>
  <c r="W1884" i="1" s="1"/>
  <c r="W1885" i="1" a="1"/>
  <c r="W1885" i="1" s="1"/>
  <c r="W1886" i="1" a="1"/>
  <c r="W1886" i="1" s="1"/>
  <c r="W1887" i="1" a="1"/>
  <c r="W1887" i="1" s="1"/>
  <c r="W1888" i="1" a="1"/>
  <c r="W1888" i="1" s="1"/>
  <c r="W1889" i="1" a="1"/>
  <c r="W1889" i="1" s="1"/>
  <c r="W1890" i="1" a="1"/>
  <c r="W1890" i="1" s="1"/>
  <c r="W1891" i="1" a="1"/>
  <c r="W1891" i="1" s="1"/>
  <c r="W1892" i="1" a="1"/>
  <c r="W1892" i="1" s="1"/>
  <c r="W1893" i="1" a="1"/>
  <c r="W1893" i="1" s="1"/>
  <c r="W1894" i="1" a="1"/>
  <c r="W1894" i="1" s="1"/>
  <c r="W1895" i="1" a="1"/>
  <c r="W1895" i="1" s="1"/>
  <c r="W1896" i="1" a="1"/>
  <c r="W1896" i="1" s="1"/>
  <c r="W1897" i="1" a="1"/>
  <c r="W1897" i="1" s="1"/>
  <c r="W1898" i="1" a="1"/>
  <c r="W1898" i="1" s="1"/>
  <c r="W1899" i="1" a="1"/>
  <c r="W1899" i="1" s="1"/>
  <c r="W1900" i="1" a="1"/>
  <c r="W1900" i="1" s="1"/>
  <c r="W1901" i="1" a="1"/>
  <c r="W1901" i="1" s="1"/>
  <c r="W1902" i="1" a="1"/>
  <c r="W1902" i="1" s="1"/>
  <c r="W1903" i="1" a="1"/>
  <c r="W1903" i="1" s="1"/>
  <c r="W1904" i="1" a="1"/>
  <c r="W1904" i="1" s="1"/>
  <c r="W1905" i="1" a="1"/>
  <c r="W1905" i="1" s="1"/>
  <c r="W1906" i="1" a="1"/>
  <c r="W1906" i="1" s="1"/>
  <c r="W1907" i="1" a="1"/>
  <c r="W1907" i="1" s="1"/>
  <c r="W1908" i="1" a="1"/>
  <c r="W1908" i="1" s="1"/>
  <c r="W1909" i="1" a="1"/>
  <c r="W1909" i="1" s="1"/>
  <c r="W1910" i="1" a="1"/>
  <c r="W1910" i="1" s="1"/>
  <c r="W1911" i="1" a="1"/>
  <c r="W1911" i="1" s="1"/>
  <c r="W1912" i="1" a="1"/>
  <c r="W1912" i="1" s="1"/>
  <c r="W1913" i="1" a="1"/>
  <c r="W1913" i="1" s="1"/>
  <c r="W1914" i="1" a="1"/>
  <c r="W1914" i="1" s="1"/>
  <c r="W1915" i="1" a="1"/>
  <c r="W1915" i="1" s="1"/>
  <c r="W1916" i="1" a="1"/>
  <c r="W1916" i="1" s="1"/>
  <c r="W1917" i="1" a="1"/>
  <c r="W1917" i="1" s="1"/>
  <c r="W1918" i="1" a="1"/>
  <c r="W1918" i="1" s="1"/>
  <c r="W1919" i="1" a="1"/>
  <c r="W1919" i="1" s="1"/>
  <c r="W1920" i="1" a="1"/>
  <c r="W1920" i="1" s="1"/>
  <c r="W1921" i="1" a="1"/>
  <c r="W1921" i="1" s="1"/>
  <c r="W1922" i="1" a="1"/>
  <c r="W1922" i="1" s="1"/>
  <c r="W1923" i="1" a="1"/>
  <c r="W1923" i="1" s="1"/>
  <c r="W1924" i="1" a="1"/>
  <c r="W1924" i="1" s="1"/>
  <c r="W1925" i="1" a="1"/>
  <c r="W1925" i="1" s="1"/>
  <c r="W1926" i="1" a="1"/>
  <c r="W1926" i="1" s="1"/>
  <c r="W1927" i="1" a="1"/>
  <c r="W1927" i="1" s="1"/>
  <c r="W1928" i="1" a="1"/>
  <c r="W1928" i="1" s="1"/>
  <c r="W1929" i="1" a="1"/>
  <c r="W1929" i="1" s="1"/>
  <c r="W1930" i="1" a="1"/>
  <c r="W1930" i="1" s="1"/>
  <c r="W1931" i="1" a="1"/>
  <c r="W1931" i="1" s="1"/>
  <c r="W1932" i="1" a="1"/>
  <c r="W1932" i="1" s="1"/>
  <c r="W1933" i="1" a="1"/>
  <c r="W1933" i="1" s="1"/>
  <c r="W1934" i="1" a="1"/>
  <c r="W1934" i="1" s="1"/>
  <c r="W1935" i="1" a="1"/>
  <c r="W1935" i="1" s="1"/>
  <c r="W1936" i="1" a="1"/>
  <c r="W1936" i="1" s="1"/>
  <c r="W1937" i="1" a="1"/>
  <c r="W1937" i="1" s="1"/>
  <c r="W1938" i="1" a="1"/>
  <c r="W1938" i="1" s="1"/>
  <c r="W1939" i="1" a="1"/>
  <c r="W1939" i="1" s="1"/>
  <c r="W1940" i="1" a="1"/>
  <c r="W1940" i="1" s="1"/>
  <c r="W1941" i="1" a="1"/>
  <c r="W1941" i="1" s="1"/>
  <c r="W1942" i="1" a="1"/>
  <c r="W1942" i="1" s="1"/>
  <c r="W1943" i="1" a="1"/>
  <c r="W1943" i="1" s="1"/>
  <c r="W1944" i="1" a="1"/>
  <c r="W1944" i="1" s="1"/>
  <c r="W1945" i="1" a="1"/>
  <c r="W1945" i="1" s="1"/>
  <c r="W1946" i="1" a="1"/>
  <c r="W1946" i="1" s="1"/>
  <c r="W1947" i="1" a="1"/>
  <c r="W1947" i="1" s="1"/>
  <c r="W1948" i="1" a="1"/>
  <c r="W1948" i="1" s="1"/>
  <c r="W1949" i="1" a="1"/>
  <c r="W1949" i="1" s="1"/>
  <c r="W1950" i="1" a="1"/>
  <c r="W1950" i="1" s="1"/>
  <c r="W1951" i="1" a="1"/>
  <c r="W1951" i="1" s="1"/>
  <c r="W1952" i="1" a="1"/>
  <c r="W1952" i="1" s="1"/>
  <c r="W1953" i="1" a="1"/>
  <c r="W1953" i="1" s="1"/>
  <c r="W1954" i="1" a="1"/>
  <c r="W1954" i="1" s="1"/>
  <c r="W1955" i="1" a="1"/>
  <c r="W1955" i="1" s="1"/>
  <c r="W1956" i="1" a="1"/>
  <c r="W1956" i="1" s="1"/>
  <c r="W1957" i="1" a="1"/>
  <c r="W1957" i="1" s="1"/>
  <c r="W1958" i="1" a="1"/>
  <c r="W1958" i="1" s="1"/>
  <c r="W1959" i="1" a="1"/>
  <c r="W1959" i="1" s="1"/>
  <c r="W1960" i="1" a="1"/>
  <c r="W1960" i="1" s="1"/>
  <c r="W1961" i="1" a="1"/>
  <c r="W1961" i="1" s="1"/>
  <c r="W1962" i="1" a="1"/>
  <c r="W1962" i="1" s="1"/>
  <c r="W1963" i="1" a="1"/>
  <c r="W1963" i="1" s="1"/>
  <c r="W1964" i="1" a="1"/>
  <c r="W1964" i="1" s="1"/>
  <c r="W1965" i="1" a="1"/>
  <c r="W1965" i="1" s="1"/>
  <c r="W1966" i="1" a="1"/>
  <c r="W1966" i="1" s="1"/>
  <c r="W1967" i="1" a="1"/>
  <c r="W1967" i="1" s="1"/>
  <c r="W1968" i="1" a="1"/>
  <c r="W1968" i="1" s="1"/>
  <c r="W1969" i="1" a="1"/>
  <c r="W1969" i="1" s="1"/>
  <c r="W1970" i="1" a="1"/>
  <c r="W1970" i="1" s="1"/>
  <c r="W1971" i="1" a="1"/>
  <c r="W1971" i="1" s="1"/>
  <c r="W1972" i="1" a="1"/>
  <c r="W1972" i="1" s="1"/>
  <c r="W1973" i="1" a="1"/>
  <c r="W1973" i="1" s="1"/>
  <c r="W1974" i="1" a="1"/>
  <c r="W1974" i="1" s="1"/>
  <c r="W1975" i="1" a="1"/>
  <c r="W1975" i="1" s="1"/>
  <c r="W1976" i="1" a="1"/>
  <c r="W1976" i="1" s="1"/>
  <c r="W1977" i="1" a="1"/>
  <c r="W1977" i="1" s="1"/>
  <c r="W1978" i="1" a="1"/>
  <c r="W1978" i="1" s="1"/>
  <c r="W1979" i="1" a="1"/>
  <c r="W1979" i="1" s="1"/>
  <c r="W1980" i="1" a="1"/>
  <c r="W1980" i="1" s="1"/>
  <c r="W1981" i="1" a="1"/>
  <c r="W1981" i="1" s="1"/>
  <c r="W1982" i="1" a="1"/>
  <c r="W1982" i="1" s="1"/>
  <c r="W1983" i="1" a="1"/>
  <c r="W1983" i="1" s="1"/>
  <c r="W1984" i="1" a="1"/>
  <c r="W1984" i="1" s="1"/>
  <c r="W1985" i="1" a="1"/>
  <c r="W1985" i="1" s="1"/>
  <c r="W1986" i="1" a="1"/>
  <c r="W1986" i="1" s="1"/>
  <c r="W1987" i="1" a="1"/>
  <c r="W1987" i="1" s="1"/>
  <c r="W1988" i="1" a="1"/>
  <c r="W1988" i="1" s="1"/>
  <c r="W1989" i="1" a="1"/>
  <c r="W1989" i="1" s="1"/>
  <c r="W1990" i="1" a="1"/>
  <c r="W1990" i="1" s="1"/>
  <c r="W1991" i="1" a="1"/>
  <c r="W1991" i="1" s="1"/>
  <c r="W1992" i="1" a="1"/>
  <c r="W1992" i="1" s="1"/>
  <c r="W1993" i="1" a="1"/>
  <c r="W1993" i="1" s="1"/>
  <c r="W1994" i="1" a="1"/>
  <c r="W1994" i="1" s="1"/>
  <c r="W1995" i="1" a="1"/>
  <c r="W1995" i="1" s="1"/>
  <c r="W1996" i="1" a="1"/>
  <c r="W1996" i="1" s="1"/>
  <c r="W1997" i="1" a="1"/>
  <c r="W1997" i="1" s="1"/>
  <c r="W1998" i="1" a="1"/>
  <c r="W1998" i="1" s="1"/>
  <c r="W1999" i="1" a="1"/>
  <c r="W1999" i="1" s="1"/>
  <c r="W2000" i="1" a="1"/>
  <c r="W2000" i="1" s="1"/>
  <c r="W2001" i="1" a="1"/>
  <c r="W2001" i="1" s="1"/>
  <c r="U2001" i="1" a="1"/>
  <c r="U2001" i="1" s="1"/>
  <c r="U2000" i="1" a="1"/>
  <c r="U2000" i="1" s="1"/>
  <c r="U1999" i="1" a="1"/>
  <c r="U1999" i="1" s="1"/>
  <c r="U1998" i="1" a="1"/>
  <c r="U1998" i="1" s="1"/>
  <c r="U1997" i="1" a="1"/>
  <c r="U1997" i="1" s="1"/>
  <c r="U1996" i="1" a="1"/>
  <c r="U1996" i="1" s="1"/>
  <c r="U1995" i="1" a="1"/>
  <c r="U1995" i="1" s="1"/>
  <c r="U1994" i="1" a="1"/>
  <c r="U1994" i="1" s="1"/>
  <c r="U1993" i="1" a="1"/>
  <c r="U1993" i="1" s="1"/>
  <c r="U1992" i="1" a="1"/>
  <c r="U1992" i="1" s="1"/>
  <c r="U1991" i="1" a="1"/>
  <c r="U1991" i="1" s="1"/>
  <c r="U1990" i="1" a="1"/>
  <c r="U1990" i="1" s="1"/>
  <c r="U1989" i="1" a="1"/>
  <c r="U1989" i="1" s="1"/>
  <c r="U1988" i="1" a="1"/>
  <c r="U1988" i="1" s="1"/>
  <c r="U1987" i="1" a="1"/>
  <c r="U1987" i="1" s="1"/>
  <c r="U1986" i="1" a="1"/>
  <c r="U1986" i="1" s="1"/>
  <c r="U1985" i="1" a="1"/>
  <c r="U1985" i="1" s="1"/>
  <c r="U1984" i="1" a="1"/>
  <c r="U1984" i="1" s="1"/>
  <c r="U1983" i="1" a="1"/>
  <c r="U1983" i="1" s="1"/>
  <c r="U1982" i="1" a="1"/>
  <c r="U1982" i="1" s="1"/>
  <c r="U1981" i="1" a="1"/>
  <c r="U1981" i="1" s="1"/>
  <c r="U1980" i="1" a="1"/>
  <c r="U1980" i="1" s="1"/>
  <c r="U1979" i="1" a="1"/>
  <c r="U1979" i="1" s="1"/>
  <c r="U1978" i="1" a="1"/>
  <c r="U1978" i="1" s="1"/>
  <c r="U1977" i="1" a="1"/>
  <c r="U1977" i="1" s="1"/>
  <c r="U1976" i="1" a="1"/>
  <c r="U1976" i="1" s="1"/>
  <c r="U1975" i="1" a="1"/>
  <c r="U1975" i="1" s="1"/>
  <c r="U1974" i="1" a="1"/>
  <c r="U1974" i="1" s="1"/>
  <c r="U1973" i="1" a="1"/>
  <c r="U1973" i="1" s="1"/>
  <c r="U1972" i="1" a="1"/>
  <c r="U1972" i="1" s="1"/>
  <c r="U1971" i="1" a="1"/>
  <c r="U1971" i="1" s="1"/>
  <c r="U1970" i="1" a="1"/>
  <c r="U1970" i="1" s="1"/>
  <c r="U1969" i="1" a="1"/>
  <c r="U1969" i="1" s="1"/>
  <c r="U1968" i="1" a="1"/>
  <c r="U1968" i="1" s="1"/>
  <c r="U1967" i="1" a="1"/>
  <c r="U1967" i="1" s="1"/>
  <c r="U1966" i="1" a="1"/>
  <c r="U1966" i="1" s="1"/>
  <c r="U1965" i="1" a="1"/>
  <c r="U1965" i="1" s="1"/>
  <c r="U1964" i="1" a="1"/>
  <c r="U1964" i="1" s="1"/>
  <c r="U1963" i="1" a="1"/>
  <c r="U1963" i="1" s="1"/>
  <c r="U1962" i="1" a="1"/>
  <c r="U1962" i="1" s="1"/>
  <c r="U1961" i="1" a="1"/>
  <c r="U1961" i="1" s="1"/>
  <c r="U1960" i="1" a="1"/>
  <c r="U1960" i="1" s="1"/>
  <c r="U1959" i="1" a="1"/>
  <c r="U1959" i="1" s="1"/>
  <c r="U1958" i="1" a="1"/>
  <c r="U1958" i="1" s="1"/>
  <c r="U1957" i="1" a="1"/>
  <c r="U1957" i="1" s="1"/>
  <c r="U1956" i="1" a="1"/>
  <c r="U1956" i="1" s="1"/>
  <c r="U1955" i="1" a="1"/>
  <c r="U1955" i="1" s="1"/>
  <c r="U1954" i="1" a="1"/>
  <c r="U1954" i="1" s="1"/>
  <c r="U1953" i="1" a="1"/>
  <c r="U1953" i="1" s="1"/>
  <c r="U1952" i="1" a="1"/>
  <c r="U1952" i="1" s="1"/>
  <c r="U1951" i="1" a="1"/>
  <c r="U1951" i="1" s="1"/>
  <c r="U1950" i="1" a="1"/>
  <c r="U1950" i="1" s="1"/>
  <c r="U1949" i="1" a="1"/>
  <c r="U1949" i="1" s="1"/>
  <c r="U1948" i="1" a="1"/>
  <c r="U1948" i="1" s="1"/>
  <c r="U1947" i="1" a="1"/>
  <c r="U1947" i="1" s="1"/>
  <c r="U1946" i="1" a="1"/>
  <c r="U1946" i="1" s="1"/>
  <c r="U1945" i="1" a="1"/>
  <c r="U1945" i="1" s="1"/>
  <c r="U1944" i="1" a="1"/>
  <c r="U1944" i="1" s="1"/>
  <c r="U1943" i="1" a="1"/>
  <c r="U1943" i="1" s="1"/>
  <c r="U1942" i="1" a="1"/>
  <c r="U1942" i="1" s="1"/>
  <c r="U1941" i="1" a="1"/>
  <c r="U1941" i="1" s="1"/>
  <c r="U1940" i="1" a="1"/>
  <c r="U1940" i="1" s="1"/>
  <c r="U1939" i="1" a="1"/>
  <c r="U1939" i="1" s="1"/>
  <c r="U1938" i="1" a="1"/>
  <c r="U1938" i="1" s="1"/>
  <c r="U1937" i="1" a="1"/>
  <c r="U1937" i="1" s="1"/>
  <c r="U1936" i="1" a="1"/>
  <c r="U1936" i="1" s="1"/>
  <c r="U1935" i="1" a="1"/>
  <c r="U1935" i="1" s="1"/>
  <c r="U1934" i="1" a="1"/>
  <c r="U1934" i="1" s="1"/>
  <c r="U1933" i="1" a="1"/>
  <c r="U1933" i="1" s="1"/>
  <c r="U1932" i="1" a="1"/>
  <c r="U1932" i="1" s="1"/>
  <c r="U1931" i="1" a="1"/>
  <c r="U1931" i="1" s="1"/>
  <c r="U1930" i="1" a="1"/>
  <c r="U1930" i="1" s="1"/>
  <c r="U1929" i="1" a="1"/>
  <c r="U1929" i="1" s="1"/>
  <c r="U1928" i="1" a="1"/>
  <c r="U1928" i="1" s="1"/>
  <c r="U1927" i="1" a="1"/>
  <c r="U1927" i="1" s="1"/>
  <c r="U1926" i="1" a="1"/>
  <c r="U1926" i="1" s="1"/>
  <c r="U1925" i="1" a="1"/>
  <c r="U1925" i="1" s="1"/>
  <c r="U1924" i="1" a="1"/>
  <c r="U1924" i="1" s="1"/>
  <c r="U1923" i="1" a="1"/>
  <c r="U1923" i="1" s="1"/>
  <c r="U1922" i="1" a="1"/>
  <c r="U1922" i="1" s="1"/>
  <c r="U1921" i="1" a="1"/>
  <c r="U1921" i="1" s="1"/>
  <c r="U1920" i="1" a="1"/>
  <c r="U1920" i="1" s="1"/>
  <c r="U1919" i="1" a="1"/>
  <c r="U1919" i="1" s="1"/>
  <c r="U1918" i="1" a="1"/>
  <c r="U1918" i="1" s="1"/>
  <c r="U1917" i="1" a="1"/>
  <c r="U1917" i="1" s="1"/>
  <c r="U1916" i="1" a="1"/>
  <c r="U1916" i="1" s="1"/>
  <c r="U1915" i="1" a="1"/>
  <c r="U1915" i="1" s="1"/>
  <c r="U1914" i="1" a="1"/>
  <c r="U1914" i="1" s="1"/>
  <c r="U1913" i="1" a="1"/>
  <c r="U1913" i="1" s="1"/>
  <c r="U1912" i="1" a="1"/>
  <c r="U1912" i="1" s="1"/>
  <c r="U1911" i="1" a="1"/>
  <c r="U1911" i="1" s="1"/>
  <c r="U1910" i="1" a="1"/>
  <c r="U1910" i="1" s="1"/>
  <c r="U1909" i="1" a="1"/>
  <c r="U1909" i="1" s="1"/>
  <c r="U1908" i="1" a="1"/>
  <c r="U1908" i="1" s="1"/>
  <c r="U1907" i="1" a="1"/>
  <c r="U1907" i="1" s="1"/>
  <c r="U1906" i="1" a="1"/>
  <c r="U1906" i="1" s="1"/>
  <c r="U1905" i="1" a="1"/>
  <c r="U1905" i="1" s="1"/>
  <c r="U1904" i="1" a="1"/>
  <c r="U1904" i="1" s="1"/>
  <c r="U1903" i="1" a="1"/>
  <c r="U1903" i="1" s="1"/>
  <c r="U1902" i="1" a="1"/>
  <c r="U1902" i="1" s="1"/>
  <c r="U1901" i="1" a="1"/>
  <c r="U1901" i="1" s="1"/>
  <c r="U1900" i="1" a="1"/>
  <c r="U1900" i="1" s="1"/>
  <c r="U1899" i="1" a="1"/>
  <c r="U1899" i="1" s="1"/>
  <c r="U1898" i="1" a="1"/>
  <c r="U1898" i="1" s="1"/>
  <c r="U1897" i="1" a="1"/>
  <c r="U1897" i="1" s="1"/>
  <c r="U1896" i="1" a="1"/>
  <c r="U1896" i="1" s="1"/>
  <c r="U1895" i="1" a="1"/>
  <c r="U1895" i="1" s="1"/>
  <c r="U1894" i="1" a="1"/>
  <c r="U1894" i="1" s="1"/>
  <c r="U1893" i="1" a="1"/>
  <c r="U1893" i="1" s="1"/>
  <c r="U1892" i="1" a="1"/>
  <c r="U1892" i="1" s="1"/>
  <c r="U1891" i="1" a="1"/>
  <c r="U1891" i="1" s="1"/>
  <c r="U1890" i="1" a="1"/>
  <c r="U1890" i="1" s="1"/>
  <c r="U1889" i="1" a="1"/>
  <c r="U1889" i="1" s="1"/>
  <c r="U1888" i="1" a="1"/>
  <c r="U1888" i="1" s="1"/>
  <c r="U1887" i="1" a="1"/>
  <c r="U1887" i="1" s="1"/>
  <c r="U1886" i="1" a="1"/>
  <c r="U1886" i="1" s="1"/>
  <c r="U1885" i="1" a="1"/>
  <c r="U1885" i="1" s="1"/>
  <c r="U1884" i="1" a="1"/>
  <c r="U1884" i="1" s="1"/>
  <c r="U1883" i="1" a="1"/>
  <c r="U1883" i="1" s="1"/>
  <c r="U1882" i="1" a="1"/>
  <c r="U1882" i="1" s="1"/>
  <c r="U1881" i="1" a="1"/>
  <c r="U1881" i="1" s="1"/>
  <c r="U1880" i="1" a="1"/>
  <c r="U1880" i="1" s="1"/>
  <c r="U1879" i="1" a="1"/>
  <c r="U1879" i="1" s="1"/>
  <c r="U1878" i="1" a="1"/>
  <c r="U1878" i="1" s="1"/>
  <c r="U1877" i="1" a="1"/>
  <c r="U1877" i="1" s="1"/>
  <c r="U1876" i="1" a="1"/>
  <c r="U1876" i="1" s="1"/>
  <c r="U1875" i="1" a="1"/>
  <c r="U1875" i="1" s="1"/>
  <c r="U1874" i="1" a="1"/>
  <c r="U1874" i="1" s="1"/>
  <c r="U1873" i="1" a="1"/>
  <c r="U1873" i="1" s="1"/>
  <c r="U1872" i="1" a="1"/>
  <c r="U1872" i="1" s="1"/>
  <c r="U1871" i="1" a="1"/>
  <c r="U1871" i="1" s="1"/>
  <c r="U1870" i="1" a="1"/>
  <c r="U1870" i="1" s="1"/>
  <c r="U1869" i="1" a="1"/>
  <c r="U1869" i="1" s="1"/>
  <c r="U1868" i="1" a="1"/>
  <c r="U1868" i="1" s="1"/>
  <c r="U1867" i="1" a="1"/>
  <c r="U1867" i="1" s="1"/>
  <c r="U1866" i="1" a="1"/>
  <c r="U1866" i="1" s="1"/>
  <c r="U1865" i="1" a="1"/>
  <c r="U1865" i="1" s="1"/>
  <c r="U1864" i="1" a="1"/>
  <c r="U1864" i="1" s="1"/>
  <c r="U1863" i="1" a="1"/>
  <c r="U1863" i="1" s="1"/>
  <c r="U1862" i="1" a="1"/>
  <c r="U1862" i="1" s="1"/>
  <c r="U1861" i="1" a="1"/>
  <c r="U1861" i="1" s="1"/>
  <c r="U1860" i="1" a="1"/>
  <c r="U1860" i="1" s="1"/>
  <c r="U1859" i="1" a="1"/>
  <c r="U1859" i="1" s="1"/>
  <c r="U1858" i="1" a="1"/>
  <c r="U1858" i="1" s="1"/>
  <c r="U1857" i="1" a="1"/>
  <c r="U1857" i="1" s="1"/>
  <c r="U1856" i="1" a="1"/>
  <c r="U1856" i="1" s="1"/>
  <c r="U1855" i="1" a="1"/>
  <c r="U1855" i="1" s="1"/>
  <c r="U1854" i="1" a="1"/>
  <c r="U1854" i="1" s="1"/>
  <c r="U1853" i="1" a="1"/>
  <c r="U1853" i="1" s="1"/>
  <c r="U1852" i="1" a="1"/>
  <c r="U1852" i="1" s="1"/>
  <c r="U1851" i="1" a="1"/>
  <c r="U1851" i="1" s="1"/>
  <c r="U1850" i="1" a="1"/>
  <c r="U1850" i="1" s="1"/>
  <c r="U1849" i="1" a="1"/>
  <c r="U1849" i="1" s="1"/>
  <c r="U1848" i="1" a="1"/>
  <c r="U1848" i="1" s="1"/>
  <c r="U1847" i="1" a="1"/>
  <c r="U1847" i="1" s="1"/>
  <c r="U1846" i="1" a="1"/>
  <c r="U1846" i="1" s="1"/>
  <c r="U1845" i="1" a="1"/>
  <c r="U1845" i="1" s="1"/>
  <c r="U1844" i="1" a="1"/>
  <c r="U1844" i="1" s="1"/>
  <c r="U1843" i="1" a="1"/>
  <c r="U1843" i="1" s="1"/>
  <c r="U1842" i="1" a="1"/>
  <c r="U1842" i="1" s="1"/>
  <c r="U1841" i="1" a="1"/>
  <c r="U1841" i="1" s="1"/>
  <c r="U1840" i="1" a="1"/>
  <c r="U1840" i="1" s="1"/>
  <c r="U1839" i="1" a="1"/>
  <c r="U1839" i="1" s="1"/>
  <c r="U1838" i="1" a="1"/>
  <c r="U1838" i="1" s="1"/>
  <c r="U1837" i="1" a="1"/>
  <c r="U1837" i="1" s="1"/>
  <c r="U1836" i="1" a="1"/>
  <c r="U1836" i="1" s="1"/>
  <c r="U1835" i="1" a="1"/>
  <c r="U1835" i="1" s="1"/>
  <c r="U1834" i="1" a="1"/>
  <c r="U1834" i="1" s="1"/>
  <c r="U1833" i="1" a="1"/>
  <c r="U1833" i="1" s="1"/>
  <c r="U1832" i="1" a="1"/>
  <c r="U1832" i="1" s="1"/>
  <c r="U1831" i="1" a="1"/>
  <c r="U1831" i="1" s="1"/>
  <c r="U1830" i="1" a="1"/>
  <c r="U1830" i="1" s="1"/>
  <c r="U1829" i="1" a="1"/>
  <c r="U1829" i="1" s="1"/>
  <c r="U1828" i="1" a="1"/>
  <c r="U1828" i="1" s="1"/>
  <c r="U1827" i="1" a="1"/>
  <c r="U1827" i="1" s="1"/>
  <c r="U1826" i="1" a="1"/>
  <c r="U1826" i="1" s="1"/>
  <c r="U1825" i="1" a="1"/>
  <c r="U1825" i="1" s="1"/>
  <c r="U1824" i="1" a="1"/>
  <c r="U1824" i="1" s="1"/>
  <c r="U1823" i="1" a="1"/>
  <c r="U1823" i="1" s="1"/>
  <c r="U1822" i="1" a="1"/>
  <c r="U1822" i="1" s="1"/>
  <c r="U1821" i="1" a="1"/>
  <c r="U1821" i="1" s="1"/>
  <c r="U1820" i="1" a="1"/>
  <c r="U1820" i="1" s="1"/>
  <c r="U1819" i="1" a="1"/>
  <c r="U1819" i="1" s="1"/>
  <c r="U1818" i="1" a="1"/>
  <c r="U1818" i="1" s="1"/>
  <c r="U1817" i="1" a="1"/>
  <c r="U1817" i="1" s="1"/>
  <c r="U1816" i="1" a="1"/>
  <c r="U1816" i="1" s="1"/>
  <c r="U1815" i="1" a="1"/>
  <c r="U1815" i="1" s="1"/>
  <c r="U1814" i="1" a="1"/>
  <c r="U1814" i="1" s="1"/>
  <c r="U1813" i="1" a="1"/>
  <c r="U1813" i="1" s="1"/>
  <c r="U1812" i="1" a="1"/>
  <c r="U1812" i="1" s="1"/>
  <c r="U1811" i="1" a="1"/>
  <c r="U1811" i="1" s="1"/>
  <c r="U1810" i="1" a="1"/>
  <c r="U1810" i="1" s="1"/>
  <c r="U1809" i="1" a="1"/>
  <c r="U1809" i="1" s="1"/>
  <c r="U1808" i="1" a="1"/>
  <c r="U1808" i="1" s="1"/>
  <c r="U1807" i="1" a="1"/>
  <c r="U1807" i="1" s="1"/>
  <c r="U1806" i="1" a="1"/>
  <c r="U1806" i="1" s="1"/>
  <c r="U1805" i="1" a="1"/>
  <c r="U1805" i="1" s="1"/>
  <c r="U1804" i="1" a="1"/>
  <c r="U1804" i="1" s="1"/>
  <c r="U1803" i="1" a="1"/>
  <c r="U1803" i="1" s="1"/>
  <c r="U1802" i="1" a="1"/>
  <c r="U1802" i="1" s="1"/>
  <c r="U1801" i="1" a="1"/>
  <c r="U1801" i="1" s="1"/>
  <c r="U1800" i="1" a="1"/>
  <c r="U1800" i="1" s="1"/>
  <c r="U1799" i="1" a="1"/>
  <c r="U1799" i="1" s="1"/>
  <c r="U1798" i="1" a="1"/>
  <c r="U1798" i="1" s="1"/>
  <c r="U1797" i="1" a="1"/>
  <c r="U1797" i="1" s="1"/>
  <c r="U1796" i="1" a="1"/>
  <c r="U1796" i="1" s="1"/>
  <c r="U1795" i="1" a="1"/>
  <c r="U1795" i="1" s="1"/>
  <c r="U1794" i="1" a="1"/>
  <c r="U1794" i="1" s="1"/>
  <c r="U1793" i="1" a="1"/>
  <c r="U1793" i="1" s="1"/>
  <c r="U1792" i="1" a="1"/>
  <c r="U1792" i="1" s="1"/>
  <c r="U1791" i="1" a="1"/>
  <c r="U1791" i="1" s="1"/>
  <c r="U1790" i="1" a="1"/>
  <c r="U1790" i="1" s="1"/>
  <c r="U1789" i="1" a="1"/>
  <c r="U1789" i="1" s="1"/>
  <c r="U1788" i="1" a="1"/>
  <c r="U1788" i="1" s="1"/>
  <c r="U1787" i="1" a="1"/>
  <c r="U1787" i="1" s="1"/>
  <c r="U1786" i="1" a="1"/>
  <c r="U1786" i="1" s="1"/>
  <c r="U1785" i="1" a="1"/>
  <c r="U1785" i="1" s="1"/>
  <c r="U1784" i="1" a="1"/>
  <c r="U1784" i="1" s="1"/>
  <c r="U1783" i="1" a="1"/>
  <c r="U1783" i="1" s="1"/>
  <c r="U1782" i="1" a="1"/>
  <c r="U1782" i="1" s="1"/>
  <c r="U1781" i="1" a="1"/>
  <c r="U1781" i="1" s="1"/>
  <c r="U1780" i="1" a="1"/>
  <c r="U1780" i="1" s="1"/>
  <c r="U1779" i="1" a="1"/>
  <c r="U1779" i="1" s="1"/>
  <c r="U1778" i="1" a="1"/>
  <c r="U1778" i="1" s="1"/>
  <c r="U1777" i="1" a="1"/>
  <c r="U1777" i="1" s="1"/>
  <c r="U1776" i="1" a="1"/>
  <c r="U1776" i="1" s="1"/>
  <c r="U1775" i="1" a="1"/>
  <c r="U1775" i="1" s="1"/>
  <c r="U1774" i="1" a="1"/>
  <c r="U1774" i="1" s="1"/>
  <c r="U1773" i="1" a="1"/>
  <c r="U1773" i="1" s="1"/>
  <c r="U1772" i="1" a="1"/>
  <c r="U1772" i="1" s="1"/>
  <c r="U1771" i="1" a="1"/>
  <c r="U1771" i="1" s="1"/>
  <c r="U1770" i="1" a="1"/>
  <c r="U1770" i="1" s="1"/>
  <c r="U1769" i="1" a="1"/>
  <c r="U1769" i="1" s="1"/>
  <c r="U1768" i="1" a="1"/>
  <c r="U1768" i="1" s="1"/>
  <c r="U1767" i="1" a="1"/>
  <c r="U1767" i="1" s="1"/>
  <c r="U1766" i="1" a="1"/>
  <c r="U1766" i="1" s="1"/>
  <c r="U1765" i="1" a="1"/>
  <c r="U1765" i="1" s="1"/>
  <c r="U1764" i="1" a="1"/>
  <c r="U1764" i="1" s="1"/>
  <c r="U1763" i="1" a="1"/>
  <c r="U1763" i="1" s="1"/>
  <c r="U1762" i="1" a="1"/>
  <c r="U1762" i="1" s="1"/>
  <c r="U1761" i="1" a="1"/>
  <c r="U1761" i="1" s="1"/>
  <c r="U1760" i="1" a="1"/>
  <c r="U1760" i="1" s="1"/>
  <c r="U1759" i="1" a="1"/>
  <c r="U1759" i="1" s="1"/>
  <c r="U1758" i="1" a="1"/>
  <c r="U1758" i="1" s="1"/>
  <c r="U1757" i="1" a="1"/>
  <c r="U1757" i="1" s="1"/>
  <c r="U1756" i="1" a="1"/>
  <c r="U1756" i="1" s="1"/>
  <c r="U1755" i="1" a="1"/>
  <c r="U1755" i="1" s="1"/>
  <c r="U1754" i="1" a="1"/>
  <c r="U1754" i="1" s="1"/>
  <c r="U1753" i="1" a="1"/>
  <c r="U1753" i="1" s="1"/>
  <c r="U1752" i="1" a="1"/>
  <c r="U1752" i="1" s="1"/>
  <c r="U1751" i="1" a="1"/>
  <c r="U1751" i="1" s="1"/>
  <c r="U1750" i="1" a="1"/>
  <c r="U1750" i="1" s="1"/>
  <c r="U1749" i="1" a="1"/>
  <c r="U1749" i="1" s="1"/>
  <c r="U1748" i="1" a="1"/>
  <c r="U1748" i="1" s="1"/>
  <c r="U1747" i="1" a="1"/>
  <c r="U1747" i="1" s="1"/>
  <c r="U1746" i="1" a="1"/>
  <c r="U1746" i="1" s="1"/>
  <c r="U1745" i="1" a="1"/>
  <c r="U1745" i="1" s="1"/>
  <c r="U1744" i="1" a="1"/>
  <c r="U1744" i="1" s="1"/>
  <c r="U1743" i="1" a="1"/>
  <c r="U1743" i="1" s="1"/>
  <c r="U1742" i="1" a="1"/>
  <c r="U1742" i="1" s="1"/>
  <c r="U1741" i="1" a="1"/>
  <c r="U1741" i="1" s="1"/>
  <c r="U1740" i="1" a="1"/>
  <c r="U1740" i="1" s="1"/>
  <c r="U1739" i="1" a="1"/>
  <c r="U1739" i="1" s="1"/>
  <c r="U1738" i="1" a="1"/>
  <c r="U1738" i="1" s="1"/>
  <c r="U1737" i="1" a="1"/>
  <c r="U1737" i="1" s="1"/>
  <c r="U1736" i="1" a="1"/>
  <c r="U1736" i="1" s="1"/>
  <c r="U1735" i="1" a="1"/>
  <c r="U1735" i="1" s="1"/>
  <c r="U1734" i="1" a="1"/>
  <c r="U1734" i="1" s="1"/>
  <c r="U1733" i="1" a="1"/>
  <c r="U1733" i="1" s="1"/>
  <c r="U1732" i="1" a="1"/>
  <c r="U1732" i="1" s="1"/>
  <c r="U1731" i="1" a="1"/>
  <c r="U1731" i="1" s="1"/>
  <c r="U1730" i="1" a="1"/>
  <c r="U1730" i="1" s="1"/>
  <c r="U1729" i="1" a="1"/>
  <c r="U1729" i="1" s="1"/>
  <c r="U1728" i="1" a="1"/>
  <c r="U1728" i="1" s="1"/>
  <c r="U1727" i="1" a="1"/>
  <c r="U1727" i="1" s="1"/>
  <c r="U1726" i="1" a="1"/>
  <c r="U1726" i="1" s="1"/>
  <c r="U1725" i="1" a="1"/>
  <c r="U1725" i="1" s="1"/>
  <c r="U1724" i="1" a="1"/>
  <c r="U1724" i="1" s="1"/>
  <c r="U1723" i="1" a="1"/>
  <c r="U1723" i="1" s="1"/>
  <c r="U1722" i="1" a="1"/>
  <c r="U1722" i="1" s="1"/>
  <c r="U1721" i="1" a="1"/>
  <c r="U1721" i="1" s="1"/>
  <c r="U1720" i="1" a="1"/>
  <c r="U1720" i="1" s="1"/>
  <c r="U1719" i="1" a="1"/>
  <c r="U1719" i="1" s="1"/>
  <c r="U1718" i="1" a="1"/>
  <c r="U1718" i="1" s="1"/>
  <c r="U1717" i="1" a="1"/>
  <c r="U1717" i="1" s="1"/>
  <c r="U1716" i="1" a="1"/>
  <c r="U1716" i="1" s="1"/>
  <c r="U1715" i="1" a="1"/>
  <c r="U1715" i="1" s="1"/>
  <c r="U1714" i="1" a="1"/>
  <c r="U1714" i="1" s="1"/>
  <c r="U1713" i="1" a="1"/>
  <c r="U1713" i="1" s="1"/>
  <c r="U1712" i="1" a="1"/>
  <c r="U1712" i="1" s="1"/>
  <c r="U1711" i="1" a="1"/>
  <c r="U1711" i="1" s="1"/>
  <c r="U1710" i="1" a="1"/>
  <c r="U1710" i="1" s="1"/>
  <c r="U1709" i="1" a="1"/>
  <c r="U1709" i="1" s="1"/>
  <c r="U1708" i="1" a="1"/>
  <c r="U1708" i="1" s="1"/>
  <c r="U1707" i="1" a="1"/>
  <c r="U1707" i="1" s="1"/>
  <c r="U1706" i="1" a="1"/>
  <c r="U1706" i="1" s="1"/>
  <c r="U1705" i="1" a="1"/>
  <c r="U1705" i="1" s="1"/>
  <c r="U1704" i="1" a="1"/>
  <c r="U1704" i="1" s="1"/>
  <c r="U1703" i="1" a="1"/>
  <c r="U1703" i="1" s="1"/>
  <c r="U1702" i="1" a="1"/>
  <c r="U1702" i="1" s="1"/>
  <c r="U1701" i="1" a="1"/>
  <c r="U1701" i="1" s="1"/>
  <c r="U1700" i="1" a="1"/>
  <c r="U1700" i="1" s="1"/>
  <c r="U1699" i="1" a="1"/>
  <c r="U1699" i="1" s="1"/>
  <c r="U1698" i="1" a="1"/>
  <c r="U1698" i="1" s="1"/>
  <c r="U1697" i="1" a="1"/>
  <c r="U1697" i="1" s="1"/>
  <c r="U1696" i="1" a="1"/>
  <c r="U1696" i="1" s="1"/>
  <c r="U1695" i="1" a="1"/>
  <c r="U1695" i="1" s="1"/>
  <c r="U1694" i="1" a="1"/>
  <c r="U1694" i="1" s="1"/>
  <c r="U1693" i="1" a="1"/>
  <c r="U1693" i="1" s="1"/>
  <c r="U1692" i="1" a="1"/>
  <c r="U1692" i="1" s="1"/>
  <c r="U1691" i="1" a="1"/>
  <c r="U1691" i="1" s="1"/>
  <c r="U1690" i="1" a="1"/>
  <c r="U1690" i="1" s="1"/>
  <c r="U1689" i="1" a="1"/>
  <c r="U1689" i="1" s="1"/>
  <c r="U1688" i="1" a="1"/>
  <c r="U1688" i="1" s="1"/>
  <c r="U1687" i="1" a="1"/>
  <c r="U1687" i="1" s="1"/>
  <c r="U1686" i="1" a="1"/>
  <c r="U1686" i="1" s="1"/>
  <c r="U1685" i="1" a="1"/>
  <c r="U1685" i="1" s="1"/>
  <c r="U1684" i="1" a="1"/>
  <c r="U1684" i="1" s="1"/>
  <c r="U1683" i="1" a="1"/>
  <c r="U1683" i="1" s="1"/>
  <c r="U1682" i="1" a="1"/>
  <c r="U1682" i="1" s="1"/>
  <c r="U1681" i="1" a="1"/>
  <c r="U1681" i="1" s="1"/>
  <c r="U1680" i="1" a="1"/>
  <c r="U1680" i="1" s="1"/>
  <c r="U1679" i="1" a="1"/>
  <c r="U1679" i="1" s="1"/>
  <c r="U1678" i="1" a="1"/>
  <c r="U1678" i="1" s="1"/>
  <c r="U1677" i="1" a="1"/>
  <c r="U1677" i="1" s="1"/>
  <c r="U1676" i="1" a="1"/>
  <c r="U1676" i="1" s="1"/>
  <c r="U1675" i="1" a="1"/>
  <c r="U1675" i="1" s="1"/>
  <c r="U1674" i="1" a="1"/>
  <c r="U1674" i="1" s="1"/>
  <c r="U1673" i="1" a="1"/>
  <c r="U1673" i="1" s="1"/>
  <c r="U1672" i="1" a="1"/>
  <c r="U1672" i="1" s="1"/>
  <c r="U1671" i="1" a="1"/>
  <c r="U1671" i="1" s="1"/>
  <c r="U1670" i="1" a="1"/>
  <c r="U1670" i="1" s="1"/>
  <c r="U1669" i="1" a="1"/>
  <c r="U1669" i="1" s="1"/>
  <c r="U1668" i="1" a="1"/>
  <c r="U1668" i="1" s="1"/>
  <c r="U1667" i="1" a="1"/>
  <c r="U1667" i="1" s="1"/>
  <c r="U1666" i="1" a="1"/>
  <c r="U1666" i="1" s="1"/>
  <c r="U1665" i="1" a="1"/>
  <c r="U1665" i="1" s="1"/>
  <c r="U1664" i="1" a="1"/>
  <c r="U1664" i="1" s="1"/>
  <c r="U1663" i="1" a="1"/>
  <c r="U1663" i="1" s="1"/>
  <c r="U1662" i="1" a="1"/>
  <c r="U1662" i="1" s="1"/>
  <c r="U1661" i="1" a="1"/>
  <c r="U1661" i="1" s="1"/>
  <c r="U1660" i="1" a="1"/>
  <c r="U1660" i="1" s="1"/>
  <c r="U1659" i="1" a="1"/>
  <c r="U1659" i="1" s="1"/>
  <c r="U1658" i="1" a="1"/>
  <c r="U1658" i="1" s="1"/>
  <c r="U1657" i="1" a="1"/>
  <c r="U1657" i="1" s="1"/>
  <c r="U1656" i="1" a="1"/>
  <c r="U1656" i="1" s="1"/>
  <c r="U1655" i="1" a="1"/>
  <c r="U1655" i="1" s="1"/>
  <c r="U1654" i="1" a="1"/>
  <c r="U1654" i="1" s="1"/>
  <c r="U1653" i="1" a="1"/>
  <c r="U1653" i="1" s="1"/>
  <c r="U1652" i="1" a="1"/>
  <c r="U1652" i="1" s="1"/>
  <c r="U1651" i="1" a="1"/>
  <c r="U1651" i="1" s="1"/>
  <c r="U1650" i="1" a="1"/>
  <c r="U1650" i="1" s="1"/>
  <c r="U1649" i="1" a="1"/>
  <c r="U1649" i="1" s="1"/>
  <c r="U1648" i="1" a="1"/>
  <c r="U1648" i="1" s="1"/>
  <c r="U1647" i="1" a="1"/>
  <c r="U1647" i="1" s="1"/>
  <c r="U1646" i="1" a="1"/>
  <c r="U1646" i="1" s="1"/>
  <c r="U1645" i="1" a="1"/>
  <c r="U1645" i="1" s="1"/>
  <c r="U1644" i="1" a="1"/>
  <c r="U1644" i="1" s="1"/>
  <c r="U1643" i="1" a="1"/>
  <c r="U1643" i="1" s="1"/>
  <c r="U1642" i="1" a="1"/>
  <c r="U1642" i="1" s="1"/>
  <c r="U1641" i="1" a="1"/>
  <c r="U1641" i="1" s="1"/>
  <c r="U1640" i="1" a="1"/>
  <c r="U1640" i="1" s="1"/>
  <c r="U1639" i="1" a="1"/>
  <c r="U1639" i="1" s="1"/>
  <c r="U1638" i="1" a="1"/>
  <c r="U1638" i="1" s="1"/>
  <c r="U1637" i="1" a="1"/>
  <c r="U1637" i="1" s="1"/>
  <c r="U1636" i="1" a="1"/>
  <c r="U1636" i="1" s="1"/>
  <c r="U1635" i="1" a="1"/>
  <c r="U1635" i="1" s="1"/>
  <c r="U1634" i="1" a="1"/>
  <c r="U1634" i="1" s="1"/>
  <c r="U1633" i="1" a="1"/>
  <c r="U1633" i="1" s="1"/>
  <c r="U1632" i="1" a="1"/>
  <c r="U1632" i="1" s="1"/>
  <c r="U1631" i="1" a="1"/>
  <c r="U1631" i="1" s="1"/>
  <c r="U1630" i="1" a="1"/>
  <c r="U1630" i="1" s="1"/>
  <c r="U1629" i="1" a="1"/>
  <c r="U1629" i="1" s="1"/>
  <c r="U1628" i="1" a="1"/>
  <c r="U1628" i="1" s="1"/>
  <c r="U1627" i="1" a="1"/>
  <c r="U1627" i="1" s="1"/>
  <c r="U1626" i="1" a="1"/>
  <c r="U1626" i="1" s="1"/>
  <c r="U1625" i="1" a="1"/>
  <c r="U1625" i="1" s="1"/>
  <c r="U1624" i="1" a="1"/>
  <c r="U1624" i="1" s="1"/>
  <c r="U1623" i="1" a="1"/>
  <c r="U1623" i="1" s="1"/>
  <c r="U1622" i="1" a="1"/>
  <c r="U1622" i="1" s="1"/>
  <c r="U1621" i="1" a="1"/>
  <c r="U1621" i="1" s="1"/>
  <c r="U1620" i="1" a="1"/>
  <c r="U1620" i="1" s="1"/>
  <c r="U1619" i="1" a="1"/>
  <c r="U1619" i="1" s="1"/>
  <c r="U1618" i="1" a="1"/>
  <c r="U1618" i="1" s="1"/>
  <c r="U1617" i="1" a="1"/>
  <c r="U1617" i="1" s="1"/>
  <c r="U1616" i="1" a="1"/>
  <c r="U1616" i="1" s="1"/>
  <c r="U1615" i="1" a="1"/>
  <c r="U1615" i="1" s="1"/>
  <c r="U1614" i="1" a="1"/>
  <c r="U1614" i="1" s="1"/>
  <c r="U1613" i="1" a="1"/>
  <c r="U1613" i="1" s="1"/>
  <c r="U1612" i="1" a="1"/>
  <c r="U1612" i="1" s="1"/>
  <c r="U1611" i="1" a="1"/>
  <c r="U1611" i="1" s="1"/>
  <c r="U1610" i="1" a="1"/>
  <c r="U1610" i="1" s="1"/>
  <c r="U1609" i="1" a="1"/>
  <c r="U1609" i="1" s="1"/>
  <c r="U1608" i="1" a="1"/>
  <c r="U1608" i="1" s="1"/>
  <c r="U1607" i="1" a="1"/>
  <c r="U1607" i="1" s="1"/>
  <c r="U1606" i="1" a="1"/>
  <c r="U1606" i="1" s="1"/>
  <c r="U1605" i="1" a="1"/>
  <c r="U1605" i="1" s="1"/>
  <c r="U1604" i="1" a="1"/>
  <c r="U1604" i="1" s="1"/>
  <c r="U1603" i="1" a="1"/>
  <c r="U1603" i="1" s="1"/>
  <c r="U1602" i="1" a="1"/>
  <c r="U1602" i="1" s="1"/>
  <c r="U1601" i="1" a="1"/>
  <c r="U1601" i="1" s="1"/>
  <c r="U1600" i="1" a="1"/>
  <c r="U1600" i="1" s="1"/>
  <c r="U1599" i="1" a="1"/>
  <c r="U1599" i="1" s="1"/>
  <c r="U1598" i="1" a="1"/>
  <c r="U1598" i="1" s="1"/>
  <c r="U1597" i="1" a="1"/>
  <c r="U1597" i="1" s="1"/>
  <c r="U1596" i="1" a="1"/>
  <c r="U1596" i="1" s="1"/>
  <c r="U1595" i="1" a="1"/>
  <c r="U1595" i="1" s="1"/>
  <c r="U1594" i="1" a="1"/>
  <c r="U1594" i="1" s="1"/>
  <c r="U1593" i="1" a="1"/>
  <c r="U1593" i="1" s="1"/>
  <c r="U1592" i="1" a="1"/>
  <c r="U1592" i="1" s="1"/>
  <c r="U1591" i="1" a="1"/>
  <c r="U1591" i="1" s="1"/>
  <c r="U1590" i="1" a="1"/>
  <c r="U1590" i="1" s="1"/>
  <c r="U1589" i="1" a="1"/>
  <c r="U1589" i="1" s="1"/>
  <c r="U1588" i="1" a="1"/>
  <c r="U1588" i="1" s="1"/>
  <c r="U1587" i="1" a="1"/>
  <c r="U1587" i="1" s="1"/>
  <c r="U1586" i="1" a="1"/>
  <c r="U1586" i="1" s="1"/>
  <c r="U1585" i="1" a="1"/>
  <c r="U1585" i="1" s="1"/>
  <c r="U1584" i="1" a="1"/>
  <c r="U1584" i="1" s="1"/>
  <c r="U1583" i="1" a="1"/>
  <c r="U1583" i="1" s="1"/>
  <c r="U1582" i="1" a="1"/>
  <c r="U1582" i="1" s="1"/>
  <c r="U1581" i="1" a="1"/>
  <c r="U1581" i="1" s="1"/>
  <c r="U1580" i="1" a="1"/>
  <c r="U1580" i="1" s="1"/>
  <c r="U1579" i="1" a="1"/>
  <c r="U1579" i="1" s="1"/>
  <c r="U1578" i="1" a="1"/>
  <c r="U1578" i="1" s="1"/>
  <c r="U1577" i="1" a="1"/>
  <c r="U1577" i="1" s="1"/>
  <c r="U1576" i="1" a="1"/>
  <c r="U1576" i="1" s="1"/>
  <c r="U1575" i="1" a="1"/>
  <c r="U1575" i="1" s="1"/>
  <c r="U1574" i="1" a="1"/>
  <c r="U1574" i="1" s="1"/>
  <c r="U1573" i="1" a="1"/>
  <c r="U1573" i="1" s="1"/>
  <c r="U1572" i="1" a="1"/>
  <c r="U1572" i="1" s="1"/>
  <c r="U1571" i="1" a="1"/>
  <c r="U1571" i="1" s="1"/>
  <c r="U1570" i="1" a="1"/>
  <c r="U1570" i="1" s="1"/>
  <c r="U1569" i="1" a="1"/>
  <c r="U1569" i="1" s="1"/>
  <c r="U1568" i="1" a="1"/>
  <c r="U1568" i="1" s="1"/>
  <c r="U1567" i="1" a="1"/>
  <c r="U1567" i="1" s="1"/>
  <c r="U1566" i="1" a="1"/>
  <c r="U1566" i="1" s="1"/>
  <c r="U1565" i="1" a="1"/>
  <c r="U1565" i="1" s="1"/>
  <c r="U1564" i="1" a="1"/>
  <c r="U1564" i="1" s="1"/>
  <c r="U1563" i="1" a="1"/>
  <c r="U1563" i="1" s="1"/>
  <c r="U1562" i="1" a="1"/>
  <c r="U1562" i="1" s="1"/>
  <c r="U1561" i="1" a="1"/>
  <c r="U1561" i="1" s="1"/>
  <c r="U1560" i="1" a="1"/>
  <c r="U1560" i="1" s="1"/>
  <c r="U1559" i="1" a="1"/>
  <c r="U1559" i="1" s="1"/>
  <c r="U1558" i="1" a="1"/>
  <c r="U1558" i="1" s="1"/>
  <c r="U1557" i="1" a="1"/>
  <c r="U1557" i="1" s="1"/>
  <c r="U1556" i="1" a="1"/>
  <c r="U1556" i="1" s="1"/>
  <c r="U1555" i="1" a="1"/>
  <c r="U1555" i="1" s="1"/>
  <c r="U1554" i="1" a="1"/>
  <c r="U1554" i="1" s="1"/>
  <c r="U1553" i="1" a="1"/>
  <c r="U1553" i="1" s="1"/>
  <c r="U1552" i="1" a="1"/>
  <c r="U1552" i="1" s="1"/>
  <c r="U1551" i="1" a="1"/>
  <c r="U1551" i="1" s="1"/>
  <c r="U1550" i="1" a="1"/>
  <c r="U1550" i="1" s="1"/>
  <c r="U1549" i="1" a="1"/>
  <c r="U1549" i="1" s="1"/>
  <c r="U1548" i="1" a="1"/>
  <c r="U1548" i="1" s="1"/>
  <c r="U1547" i="1" a="1"/>
  <c r="U1547" i="1" s="1"/>
  <c r="U1546" i="1" a="1"/>
  <c r="U1546" i="1" s="1"/>
  <c r="U1545" i="1" a="1"/>
  <c r="U1545" i="1" s="1"/>
  <c r="U1544" i="1" a="1"/>
  <c r="U1544" i="1" s="1"/>
  <c r="U1543" i="1" a="1"/>
  <c r="U1543" i="1" s="1"/>
  <c r="U1542" i="1" a="1"/>
  <c r="U1542" i="1" s="1"/>
  <c r="U1541" i="1" a="1"/>
  <c r="U1541" i="1" s="1"/>
  <c r="U1540" i="1" a="1"/>
  <c r="U1540" i="1" s="1"/>
  <c r="U1539" i="1" a="1"/>
  <c r="U1539" i="1" s="1"/>
  <c r="U1538" i="1" a="1"/>
  <c r="U1538" i="1" s="1"/>
  <c r="U1537" i="1" a="1"/>
  <c r="U1537" i="1" s="1"/>
  <c r="U1536" i="1" a="1"/>
  <c r="U1536" i="1" s="1"/>
  <c r="U1535" i="1" a="1"/>
  <c r="U1535" i="1" s="1"/>
  <c r="U1534" i="1" a="1"/>
  <c r="U1534" i="1" s="1"/>
  <c r="U1533" i="1" a="1"/>
  <c r="U1533" i="1" s="1"/>
  <c r="U1532" i="1" a="1"/>
  <c r="U1532" i="1" s="1"/>
  <c r="U1531" i="1" a="1"/>
  <c r="U1531" i="1" s="1"/>
  <c r="U1530" i="1" a="1"/>
  <c r="U1530" i="1" s="1"/>
  <c r="U1529" i="1" a="1"/>
  <c r="U1529" i="1" s="1"/>
  <c r="U1528" i="1" a="1"/>
  <c r="U1528" i="1" s="1"/>
  <c r="U1527" i="1" a="1"/>
  <c r="U1527" i="1" s="1"/>
  <c r="U1526" i="1" a="1"/>
  <c r="U1526" i="1" s="1"/>
  <c r="U1525" i="1" a="1"/>
  <c r="U1525" i="1" s="1"/>
  <c r="U1524" i="1" a="1"/>
  <c r="U1524" i="1" s="1"/>
  <c r="U1523" i="1" a="1"/>
  <c r="U1523" i="1" s="1"/>
  <c r="U1522" i="1" a="1"/>
  <c r="U1522" i="1" s="1"/>
  <c r="U1521" i="1" a="1"/>
  <c r="U1521" i="1" s="1"/>
  <c r="U1520" i="1" a="1"/>
  <c r="U1520" i="1" s="1"/>
  <c r="U1519" i="1" a="1"/>
  <c r="U1519" i="1" s="1"/>
  <c r="U1518" i="1" a="1"/>
  <c r="U1518" i="1" s="1"/>
  <c r="U1517" i="1" a="1"/>
  <c r="U1517" i="1" s="1"/>
  <c r="U1516" i="1" a="1"/>
  <c r="U1516" i="1" s="1"/>
  <c r="U1515" i="1" a="1"/>
  <c r="U1515" i="1" s="1"/>
  <c r="U1514" i="1" a="1"/>
  <c r="U1514" i="1" s="1"/>
  <c r="U1513" i="1" a="1"/>
  <c r="U1513" i="1" s="1"/>
  <c r="U1512" i="1" a="1"/>
  <c r="U1512" i="1" s="1"/>
  <c r="U1511" i="1" a="1"/>
  <c r="U1511" i="1" s="1"/>
  <c r="U1510" i="1" a="1"/>
  <c r="U1510" i="1" s="1"/>
  <c r="U1509" i="1" a="1"/>
  <c r="U1509" i="1" s="1"/>
  <c r="U1508" i="1" a="1"/>
  <c r="U1508" i="1" s="1"/>
  <c r="U1507" i="1" a="1"/>
  <c r="U1507" i="1" s="1"/>
  <c r="U1506" i="1" a="1"/>
  <c r="U1506" i="1" s="1"/>
  <c r="U1505" i="1" a="1"/>
  <c r="U1505" i="1" s="1"/>
  <c r="U1504" i="1" a="1"/>
  <c r="U1504" i="1" s="1"/>
  <c r="U1503" i="1" a="1"/>
  <c r="U1503" i="1" s="1"/>
  <c r="U1502" i="1" a="1"/>
  <c r="U1502" i="1" s="1"/>
  <c r="U1501" i="1" a="1"/>
  <c r="U1501" i="1" s="1"/>
  <c r="U1500" i="1" a="1"/>
  <c r="U1500" i="1" s="1"/>
  <c r="U1499" i="1" a="1"/>
  <c r="U1499" i="1" s="1"/>
  <c r="U1498" i="1" a="1"/>
  <c r="U1498" i="1" s="1"/>
  <c r="U1497" i="1" a="1"/>
  <c r="U1497" i="1" s="1"/>
  <c r="U1496" i="1" a="1"/>
  <c r="U1496" i="1" s="1"/>
  <c r="U1495" i="1" a="1"/>
  <c r="U1495" i="1" s="1"/>
  <c r="U1494" i="1" a="1"/>
  <c r="U1494" i="1" s="1"/>
  <c r="U1493" i="1" a="1"/>
  <c r="U1493" i="1" s="1"/>
  <c r="U1492" i="1" a="1"/>
  <c r="U1492" i="1" s="1"/>
  <c r="U1491" i="1" a="1"/>
  <c r="U1491" i="1" s="1"/>
  <c r="U1490" i="1" a="1"/>
  <c r="U1490" i="1" s="1"/>
  <c r="U1489" i="1" a="1"/>
  <c r="U1489" i="1" s="1"/>
  <c r="U1488" i="1" a="1"/>
  <c r="U1488" i="1" s="1"/>
  <c r="U1487" i="1" a="1"/>
  <c r="U1487" i="1" s="1"/>
  <c r="U1486" i="1" a="1"/>
  <c r="U1486" i="1" s="1"/>
  <c r="U1485" i="1" a="1"/>
  <c r="U1485" i="1" s="1"/>
  <c r="U1484" i="1" a="1"/>
  <c r="U1484" i="1" s="1"/>
  <c r="U1483" i="1" a="1"/>
  <c r="U1483" i="1" s="1"/>
  <c r="U1482" i="1" a="1"/>
  <c r="U1482" i="1" s="1"/>
  <c r="U1481" i="1" a="1"/>
  <c r="U1481" i="1" s="1"/>
  <c r="U1480" i="1" a="1"/>
  <c r="U1480" i="1" s="1"/>
  <c r="U1479" i="1" a="1"/>
  <c r="U1479" i="1" s="1"/>
  <c r="U1478" i="1" a="1"/>
  <c r="U1478" i="1" s="1"/>
  <c r="U1477" i="1" a="1"/>
  <c r="U1477" i="1" s="1"/>
  <c r="U1476" i="1" a="1"/>
  <c r="U1476" i="1" s="1"/>
  <c r="U1475" i="1" a="1"/>
  <c r="U1475" i="1" s="1"/>
  <c r="U1474" i="1" a="1"/>
  <c r="U1474" i="1" s="1"/>
  <c r="U1473" i="1" a="1"/>
  <c r="U1473" i="1" s="1"/>
  <c r="U1472" i="1" a="1"/>
  <c r="U1472" i="1" s="1"/>
  <c r="U1471" i="1" a="1"/>
  <c r="U1471" i="1" s="1"/>
  <c r="U1470" i="1" a="1"/>
  <c r="U1470" i="1" s="1"/>
  <c r="U1469" i="1" a="1"/>
  <c r="U1469" i="1" s="1"/>
  <c r="U1468" i="1" a="1"/>
  <c r="U1468" i="1" s="1"/>
  <c r="U1467" i="1" a="1"/>
  <c r="U1467" i="1" s="1"/>
  <c r="U1466" i="1" a="1"/>
  <c r="U1466" i="1" s="1"/>
  <c r="U1465" i="1" a="1"/>
  <c r="U1465" i="1" s="1"/>
  <c r="U1464" i="1" a="1"/>
  <c r="U1464" i="1" s="1"/>
  <c r="U1463" i="1" a="1"/>
  <c r="U1463" i="1" s="1"/>
  <c r="U1462" i="1" a="1"/>
  <c r="U1462" i="1" s="1"/>
  <c r="U1461" i="1" a="1"/>
  <c r="U1461" i="1" s="1"/>
  <c r="U1460" i="1" a="1"/>
  <c r="U1460" i="1" s="1"/>
  <c r="U1459" i="1" a="1"/>
  <c r="U1459" i="1" s="1"/>
  <c r="U1458" i="1" a="1"/>
  <c r="U1458" i="1" s="1"/>
  <c r="U1457" i="1" a="1"/>
  <c r="U1457" i="1" s="1"/>
  <c r="U1456" i="1" a="1"/>
  <c r="U1456" i="1" s="1"/>
  <c r="U1455" i="1" a="1"/>
  <c r="U1455" i="1" s="1"/>
  <c r="U1454" i="1" a="1"/>
  <c r="U1454" i="1" s="1"/>
  <c r="U1453" i="1" a="1"/>
  <c r="U1453" i="1" s="1"/>
  <c r="U1452" i="1" a="1"/>
  <c r="U1452" i="1" s="1"/>
  <c r="U1451" i="1" a="1"/>
  <c r="U1451" i="1" s="1"/>
  <c r="U1450" i="1" a="1"/>
  <c r="U1450" i="1" s="1"/>
  <c r="U1449" i="1" a="1"/>
  <c r="U1449" i="1" s="1"/>
  <c r="U1448" i="1" a="1"/>
  <c r="U1448" i="1" s="1"/>
  <c r="U1447" i="1" a="1"/>
  <c r="U1447" i="1" s="1"/>
  <c r="U1446" i="1" a="1"/>
  <c r="U1446" i="1" s="1"/>
  <c r="U1445" i="1" a="1"/>
  <c r="U1445" i="1" s="1"/>
  <c r="U1444" i="1" a="1"/>
  <c r="U1444" i="1" s="1"/>
  <c r="U1443" i="1" a="1"/>
  <c r="U1443" i="1" s="1"/>
  <c r="U1442" i="1" a="1"/>
  <c r="U1442" i="1" s="1"/>
  <c r="U1441" i="1" a="1"/>
  <c r="U1441" i="1" s="1"/>
  <c r="U1440" i="1" a="1"/>
  <c r="U1440" i="1" s="1"/>
  <c r="U1439" i="1" a="1"/>
  <c r="U1439" i="1" s="1"/>
  <c r="U1438" i="1" a="1"/>
  <c r="U1438" i="1" s="1"/>
  <c r="U1437" i="1" a="1"/>
  <c r="U1437" i="1" s="1"/>
  <c r="U1436" i="1" a="1"/>
  <c r="U1436" i="1" s="1"/>
  <c r="U1435" i="1" a="1"/>
  <c r="U1435" i="1" s="1"/>
  <c r="U1434" i="1" a="1"/>
  <c r="U1434" i="1" s="1"/>
  <c r="U1433" i="1" a="1"/>
  <c r="U1433" i="1" s="1"/>
  <c r="U1432" i="1" a="1"/>
  <c r="U1432" i="1" s="1"/>
  <c r="U1431" i="1" a="1"/>
  <c r="U1431" i="1" s="1"/>
  <c r="U1430" i="1" a="1"/>
  <c r="U1430" i="1" s="1"/>
  <c r="U1429" i="1" a="1"/>
  <c r="U1429" i="1" s="1"/>
  <c r="U1428" i="1" a="1"/>
  <c r="U1428" i="1" s="1"/>
  <c r="U1427" i="1" a="1"/>
  <c r="U1427" i="1" s="1"/>
  <c r="U1426" i="1" a="1"/>
  <c r="U1426" i="1" s="1"/>
  <c r="U1425" i="1" a="1"/>
  <c r="U1425" i="1" s="1"/>
  <c r="U1424" i="1" a="1"/>
  <c r="U1424" i="1" s="1"/>
  <c r="U1423" i="1" a="1"/>
  <c r="U1423" i="1" s="1"/>
  <c r="U1422" i="1" a="1"/>
  <c r="U1422" i="1" s="1"/>
  <c r="U1421" i="1" a="1"/>
  <c r="U1421" i="1" s="1"/>
  <c r="U1420" i="1" a="1"/>
  <c r="U1420" i="1" s="1"/>
  <c r="U1419" i="1" a="1"/>
  <c r="U1419" i="1" s="1"/>
  <c r="U1418" i="1" a="1"/>
  <c r="U1418" i="1" s="1"/>
  <c r="U1417" i="1" a="1"/>
  <c r="U1417" i="1" s="1"/>
  <c r="U1416" i="1" a="1"/>
  <c r="U1416" i="1" s="1"/>
  <c r="U1415" i="1" a="1"/>
  <c r="U1415" i="1" s="1"/>
  <c r="U1414" i="1" a="1"/>
  <c r="U1414" i="1" s="1"/>
  <c r="U1413" i="1" a="1"/>
  <c r="U1413" i="1" s="1"/>
  <c r="U1412" i="1" a="1"/>
  <c r="U1412" i="1" s="1"/>
  <c r="U1411" i="1" a="1"/>
  <c r="U1411" i="1" s="1"/>
  <c r="U1410" i="1" a="1"/>
  <c r="U1410" i="1" s="1"/>
  <c r="U1409" i="1" a="1"/>
  <c r="U1409" i="1" s="1"/>
  <c r="U1408" i="1" a="1"/>
  <c r="U1408" i="1" s="1"/>
  <c r="U1407" i="1" a="1"/>
  <c r="U1407" i="1" s="1"/>
  <c r="U1406" i="1" a="1"/>
  <c r="U1406" i="1" s="1"/>
  <c r="U1405" i="1" a="1"/>
  <c r="U1405" i="1" s="1"/>
  <c r="U1404" i="1" a="1"/>
  <c r="U1404" i="1" s="1"/>
  <c r="U1403" i="1" a="1"/>
  <c r="U1403" i="1" s="1"/>
  <c r="U1402" i="1" a="1"/>
  <c r="U1402" i="1" s="1"/>
  <c r="U1401" i="1" a="1"/>
  <c r="U1401" i="1" s="1"/>
  <c r="U1400" i="1" a="1"/>
  <c r="U1400" i="1" s="1"/>
  <c r="U1399" i="1" a="1"/>
  <c r="U1399" i="1" s="1"/>
  <c r="U1398" i="1" a="1"/>
  <c r="U1398" i="1" s="1"/>
  <c r="U1397" i="1" a="1"/>
  <c r="U1397" i="1" s="1"/>
  <c r="U1396" i="1" a="1"/>
  <c r="U1396" i="1" s="1"/>
  <c r="U1395" i="1" a="1"/>
  <c r="U1395" i="1" s="1"/>
  <c r="U1394" i="1" a="1"/>
  <c r="U1394" i="1" s="1"/>
  <c r="U1393" i="1" a="1"/>
  <c r="U1393" i="1" s="1"/>
  <c r="U1392" i="1" a="1"/>
  <c r="U1392" i="1" s="1"/>
  <c r="U1391" i="1" a="1"/>
  <c r="U1391" i="1" s="1"/>
  <c r="U1390" i="1" a="1"/>
  <c r="U1390" i="1" s="1"/>
  <c r="U1389" i="1" a="1"/>
  <c r="U1389" i="1" s="1"/>
  <c r="U1388" i="1" a="1"/>
  <c r="U1388" i="1" s="1"/>
  <c r="U1387" i="1" a="1"/>
  <c r="U1387" i="1" s="1"/>
  <c r="U1386" i="1" a="1"/>
  <c r="U1386" i="1" s="1"/>
  <c r="U1385" i="1" a="1"/>
  <c r="U1385" i="1" s="1"/>
  <c r="U1384" i="1" a="1"/>
  <c r="U1384" i="1" s="1"/>
  <c r="U1383" i="1" a="1"/>
  <c r="U1383" i="1" s="1"/>
  <c r="U1382" i="1" a="1"/>
  <c r="U1382" i="1" s="1"/>
  <c r="U1381" i="1" a="1"/>
  <c r="U1381" i="1" s="1"/>
  <c r="U1380" i="1" a="1"/>
  <c r="U1380" i="1" s="1"/>
  <c r="U1379" i="1" a="1"/>
  <c r="U1379" i="1" s="1"/>
  <c r="U1378" i="1" a="1"/>
  <c r="U1378" i="1" s="1"/>
  <c r="U1377" i="1" a="1"/>
  <c r="U1377" i="1" s="1"/>
  <c r="U1376" i="1" a="1"/>
  <c r="U1376" i="1" s="1"/>
  <c r="U1375" i="1" a="1"/>
  <c r="U1375" i="1" s="1"/>
  <c r="U1374" i="1" a="1"/>
  <c r="U1374" i="1" s="1"/>
  <c r="U1373" i="1" a="1"/>
  <c r="U1373" i="1" s="1"/>
  <c r="U1372" i="1" a="1"/>
  <c r="U1372" i="1" s="1"/>
  <c r="U1371" i="1" a="1"/>
  <c r="U1371" i="1" s="1"/>
  <c r="U1370" i="1" a="1"/>
  <c r="U1370" i="1" s="1"/>
  <c r="U1369" i="1" a="1"/>
  <c r="U1369" i="1" s="1"/>
  <c r="U1368" i="1" a="1"/>
  <c r="U1368" i="1" s="1"/>
  <c r="U1367" i="1" a="1"/>
  <c r="U1367" i="1" s="1"/>
  <c r="U1366" i="1" a="1"/>
  <c r="U1366" i="1" s="1"/>
  <c r="U1365" i="1" a="1"/>
  <c r="U1365" i="1" s="1"/>
  <c r="U1364" i="1" a="1"/>
  <c r="U1364" i="1" s="1"/>
  <c r="U1363" i="1" a="1"/>
  <c r="U1363" i="1" s="1"/>
  <c r="U1362" i="1" a="1"/>
  <c r="U1362" i="1" s="1"/>
  <c r="U1361" i="1" a="1"/>
  <c r="U1361" i="1" s="1"/>
  <c r="U1360" i="1" a="1"/>
  <c r="U1360" i="1" s="1"/>
  <c r="U1359" i="1" a="1"/>
  <c r="U1359" i="1" s="1"/>
  <c r="U1358" i="1" a="1"/>
  <c r="U1358" i="1" s="1"/>
  <c r="U1357" i="1" a="1"/>
  <c r="U1357" i="1" s="1"/>
  <c r="U1356" i="1" a="1"/>
  <c r="U1356" i="1" s="1"/>
  <c r="U1355" i="1" a="1"/>
  <c r="U1355" i="1" s="1"/>
  <c r="U1354" i="1" a="1"/>
  <c r="U1354" i="1" s="1"/>
  <c r="U1353" i="1" a="1"/>
  <c r="U1353" i="1" s="1"/>
  <c r="U1352" i="1" a="1"/>
  <c r="U1352" i="1" s="1"/>
  <c r="U1351" i="1" a="1"/>
  <c r="U1351" i="1" s="1"/>
  <c r="U1350" i="1" a="1"/>
  <c r="U1350" i="1" s="1"/>
  <c r="U1349" i="1" a="1"/>
  <c r="U1349" i="1" s="1"/>
  <c r="U1348" i="1" a="1"/>
  <c r="U1348" i="1" s="1"/>
  <c r="U1347" i="1" a="1"/>
  <c r="U1347" i="1" s="1"/>
  <c r="U1346" i="1" a="1"/>
  <c r="U1346" i="1" s="1"/>
  <c r="U1345" i="1" a="1"/>
  <c r="U1345" i="1" s="1"/>
  <c r="U1344" i="1" a="1"/>
  <c r="U1344" i="1" s="1"/>
  <c r="U1343" i="1" a="1"/>
  <c r="U1343" i="1" s="1"/>
  <c r="U1342" i="1" a="1"/>
  <c r="U1342" i="1" s="1"/>
  <c r="U1341" i="1" a="1"/>
  <c r="U1341" i="1" s="1"/>
  <c r="U1340" i="1" a="1"/>
  <c r="U1340" i="1" s="1"/>
  <c r="U1339" i="1" a="1"/>
  <c r="U1339" i="1" s="1"/>
  <c r="U1338" i="1" a="1"/>
  <c r="U1338" i="1" s="1"/>
  <c r="U1337" i="1" a="1"/>
  <c r="U1337" i="1" s="1"/>
  <c r="U1336" i="1" a="1"/>
  <c r="U1336" i="1" s="1"/>
  <c r="U1335" i="1" a="1"/>
  <c r="U1335" i="1" s="1"/>
  <c r="U1334" i="1" a="1"/>
  <c r="U1334" i="1" s="1"/>
  <c r="U1333" i="1" a="1"/>
  <c r="U1333" i="1" s="1"/>
  <c r="U1332" i="1" a="1"/>
  <c r="U1332" i="1" s="1"/>
  <c r="U1331" i="1" a="1"/>
  <c r="U1331" i="1" s="1"/>
  <c r="U1330" i="1" a="1"/>
  <c r="U1330" i="1" s="1"/>
  <c r="U1329" i="1" a="1"/>
  <c r="U1329" i="1" s="1"/>
  <c r="U1328" i="1" a="1"/>
  <c r="U1328" i="1" s="1"/>
  <c r="U1327" i="1" a="1"/>
  <c r="U1327" i="1" s="1"/>
  <c r="U1326" i="1" a="1"/>
  <c r="U1326" i="1" s="1"/>
  <c r="U1325" i="1" a="1"/>
  <c r="U1325" i="1" s="1"/>
  <c r="U1324" i="1" a="1"/>
  <c r="U1324" i="1" s="1"/>
  <c r="U1323" i="1" a="1"/>
  <c r="U1323" i="1" s="1"/>
  <c r="U1322" i="1" a="1"/>
  <c r="U1322" i="1" s="1"/>
  <c r="U1321" i="1" a="1"/>
  <c r="U1321" i="1" s="1"/>
  <c r="U1320" i="1" a="1"/>
  <c r="U1320" i="1" s="1"/>
  <c r="U1319" i="1" a="1"/>
  <c r="U1319" i="1" s="1"/>
  <c r="U1318" i="1" a="1"/>
  <c r="U1318" i="1" s="1"/>
  <c r="U1317" i="1" a="1"/>
  <c r="U1317" i="1" s="1"/>
  <c r="U1316" i="1" a="1"/>
  <c r="U1316" i="1" s="1"/>
  <c r="U1315" i="1" a="1"/>
  <c r="U1315" i="1" s="1"/>
  <c r="U1314" i="1" a="1"/>
  <c r="U1314" i="1" s="1"/>
  <c r="U1313" i="1" a="1"/>
  <c r="U1313" i="1" s="1"/>
  <c r="U1312" i="1" a="1"/>
  <c r="U1312" i="1" s="1"/>
  <c r="U1311" i="1" a="1"/>
  <c r="U1311" i="1" s="1"/>
  <c r="U1310" i="1" a="1"/>
  <c r="U1310" i="1" s="1"/>
  <c r="U1309" i="1" a="1"/>
  <c r="U1309" i="1" s="1"/>
  <c r="U1308" i="1" a="1"/>
  <c r="U1308" i="1" s="1"/>
  <c r="U1307" i="1" a="1"/>
  <c r="U1307" i="1" s="1"/>
  <c r="U1306" i="1" a="1"/>
  <c r="U1306" i="1" s="1"/>
  <c r="U1305" i="1" a="1"/>
  <c r="U1305" i="1" s="1"/>
  <c r="U1304" i="1" a="1"/>
  <c r="U1304" i="1" s="1"/>
  <c r="U1303" i="1" a="1"/>
  <c r="U1303" i="1" s="1"/>
  <c r="U1302" i="1" a="1"/>
  <c r="U1302" i="1" s="1"/>
  <c r="U1301" i="1" a="1"/>
  <c r="U1301" i="1" s="1"/>
  <c r="U1300" i="1" a="1"/>
  <c r="U1300" i="1" s="1"/>
  <c r="U1299" i="1" a="1"/>
  <c r="U1299" i="1" s="1"/>
  <c r="U1298" i="1" a="1"/>
  <c r="U1298" i="1" s="1"/>
  <c r="U1297" i="1" a="1"/>
  <c r="U1297" i="1" s="1"/>
  <c r="U1296" i="1" a="1"/>
  <c r="U1296" i="1" s="1"/>
  <c r="U1295" i="1" a="1"/>
  <c r="U1295" i="1" s="1"/>
  <c r="U1294" i="1" a="1"/>
  <c r="U1294" i="1" s="1"/>
  <c r="U1293" i="1" a="1"/>
  <c r="U1293" i="1" s="1"/>
  <c r="U1292" i="1" a="1"/>
  <c r="U1292" i="1" s="1"/>
  <c r="U1291" i="1" a="1"/>
  <c r="U1291" i="1" s="1"/>
  <c r="U1290" i="1" a="1"/>
  <c r="U1290" i="1" s="1"/>
  <c r="U1289" i="1" a="1"/>
  <c r="U1289" i="1" s="1"/>
  <c r="U1288" i="1" a="1"/>
  <c r="U1288" i="1" s="1"/>
  <c r="U1287" i="1" a="1"/>
  <c r="U1287" i="1" s="1"/>
  <c r="U1286" i="1" a="1"/>
  <c r="U1286" i="1" s="1"/>
  <c r="U1285" i="1" a="1"/>
  <c r="U1285" i="1" s="1"/>
  <c r="U1284" i="1" a="1"/>
  <c r="U1284" i="1" s="1"/>
  <c r="U1283" i="1" a="1"/>
  <c r="U1283" i="1" s="1"/>
  <c r="U1282" i="1" a="1"/>
  <c r="U1282" i="1" s="1"/>
  <c r="U1281" i="1" a="1"/>
  <c r="U1281" i="1" s="1"/>
  <c r="U1280" i="1" a="1"/>
  <c r="U1280" i="1" s="1"/>
  <c r="U1279" i="1" a="1"/>
  <c r="U1279" i="1" s="1"/>
  <c r="U1278" i="1" a="1"/>
  <c r="U1278" i="1" s="1"/>
  <c r="U1277" i="1" a="1"/>
  <c r="U1277" i="1" s="1"/>
  <c r="U1276" i="1" a="1"/>
  <c r="U1276" i="1" s="1"/>
  <c r="U1275" i="1" a="1"/>
  <c r="U1275" i="1" s="1"/>
  <c r="U1274" i="1" a="1"/>
  <c r="U1274" i="1" s="1"/>
  <c r="U1273" i="1" a="1"/>
  <c r="U1273" i="1" s="1"/>
  <c r="U1272" i="1" a="1"/>
  <c r="U1272" i="1" s="1"/>
  <c r="U1271" i="1" a="1"/>
  <c r="U1271" i="1" s="1"/>
  <c r="U1270" i="1" a="1"/>
  <c r="U1270" i="1" s="1"/>
  <c r="U1269" i="1" a="1"/>
  <c r="U1269" i="1" s="1"/>
  <c r="U1268" i="1" a="1"/>
  <c r="U1268" i="1" s="1"/>
  <c r="U1267" i="1" a="1"/>
  <c r="U1267" i="1" s="1"/>
  <c r="U1266" i="1" a="1"/>
  <c r="U1266" i="1" s="1"/>
  <c r="U1265" i="1" a="1"/>
  <c r="U1265" i="1" s="1"/>
  <c r="U1264" i="1" a="1"/>
  <c r="U1264" i="1" s="1"/>
  <c r="U1263" i="1" a="1"/>
  <c r="U1263" i="1" s="1"/>
  <c r="U1262" i="1" a="1"/>
  <c r="U1262" i="1" s="1"/>
  <c r="U1261" i="1" a="1"/>
  <c r="U1261" i="1" s="1"/>
  <c r="U1260" i="1" a="1"/>
  <c r="U1260" i="1" s="1"/>
  <c r="U1259" i="1" a="1"/>
  <c r="U1259" i="1" s="1"/>
  <c r="U1258" i="1" a="1"/>
  <c r="U1258" i="1" s="1"/>
  <c r="U1257" i="1" a="1"/>
  <c r="U1257" i="1" s="1"/>
  <c r="U1256" i="1" a="1"/>
  <c r="U1256" i="1" s="1"/>
  <c r="U1255" i="1" a="1"/>
  <c r="U1255" i="1" s="1"/>
  <c r="U1254" i="1" a="1"/>
  <c r="U1254" i="1" s="1"/>
  <c r="U1253" i="1" a="1"/>
  <c r="U1253" i="1" s="1"/>
  <c r="U1252" i="1" a="1"/>
  <c r="U1252" i="1" s="1"/>
  <c r="U1251" i="1" a="1"/>
  <c r="U1251" i="1" s="1"/>
  <c r="U1250" i="1" a="1"/>
  <c r="U1250" i="1" s="1"/>
  <c r="U1249" i="1" a="1"/>
  <c r="U1249" i="1" s="1"/>
  <c r="U1248" i="1" a="1"/>
  <c r="U1248" i="1" s="1"/>
  <c r="U1247" i="1" a="1"/>
  <c r="U1247" i="1" s="1"/>
  <c r="U1246" i="1" a="1"/>
  <c r="U1246" i="1" s="1"/>
  <c r="U1245" i="1" a="1"/>
  <c r="U1245" i="1" s="1"/>
  <c r="U1244" i="1" a="1"/>
  <c r="U1244" i="1" s="1"/>
  <c r="U1243" i="1" a="1"/>
  <c r="U1243" i="1" s="1"/>
  <c r="U1242" i="1" a="1"/>
  <c r="U1242" i="1" s="1"/>
  <c r="U1241" i="1" a="1"/>
  <c r="U1241" i="1" s="1"/>
  <c r="U1240" i="1" a="1"/>
  <c r="U1240" i="1" s="1"/>
  <c r="U1239" i="1" a="1"/>
  <c r="U1239" i="1" s="1"/>
  <c r="U1238" i="1" a="1"/>
  <c r="U1238" i="1" s="1"/>
  <c r="U1237" i="1" a="1"/>
  <c r="U1237" i="1" s="1"/>
  <c r="U1236" i="1" a="1"/>
  <c r="U1236" i="1" s="1"/>
  <c r="U1235" i="1" a="1"/>
  <c r="U1235" i="1" s="1"/>
  <c r="U1234" i="1" a="1"/>
  <c r="U1234" i="1" s="1"/>
  <c r="U1233" i="1" a="1"/>
  <c r="U1233" i="1" s="1"/>
  <c r="U1232" i="1" a="1"/>
  <c r="U1232" i="1" s="1"/>
  <c r="U1231" i="1" a="1"/>
  <c r="U1231" i="1" s="1"/>
  <c r="U1230" i="1" a="1"/>
  <c r="U1230" i="1" s="1"/>
  <c r="U1229" i="1" a="1"/>
  <c r="U1229" i="1" s="1"/>
  <c r="U1228" i="1" a="1"/>
  <c r="U1228" i="1" s="1"/>
  <c r="U1227" i="1" a="1"/>
  <c r="U1227" i="1" s="1"/>
  <c r="U1226" i="1" a="1"/>
  <c r="U1226" i="1" s="1"/>
  <c r="U1225" i="1" a="1"/>
  <c r="U1225" i="1" s="1"/>
  <c r="U1224" i="1" a="1"/>
  <c r="U1224" i="1" s="1"/>
  <c r="U1223" i="1" a="1"/>
  <c r="U1223" i="1" s="1"/>
  <c r="U1222" i="1" a="1"/>
  <c r="U1222" i="1" s="1"/>
  <c r="U1221" i="1" a="1"/>
  <c r="U1221" i="1" s="1"/>
  <c r="U1220" i="1" a="1"/>
  <c r="U1220" i="1" s="1"/>
  <c r="U1219" i="1" a="1"/>
  <c r="U1219" i="1" s="1"/>
  <c r="U1218" i="1" a="1"/>
  <c r="U1218" i="1" s="1"/>
  <c r="U1217" i="1" a="1"/>
  <c r="U1217" i="1" s="1"/>
  <c r="U1216" i="1" a="1"/>
  <c r="U1216" i="1" s="1"/>
  <c r="U1215" i="1" a="1"/>
  <c r="U1215" i="1" s="1"/>
  <c r="U1214" i="1" a="1"/>
  <c r="U1214" i="1" s="1"/>
  <c r="U1213" i="1" a="1"/>
  <c r="U1213" i="1" s="1"/>
  <c r="U1212" i="1" a="1"/>
  <c r="U1212" i="1" s="1"/>
  <c r="U1211" i="1" a="1"/>
  <c r="U1211" i="1" s="1"/>
  <c r="U1210" i="1" a="1"/>
  <c r="U1210" i="1" s="1"/>
  <c r="U1209" i="1" a="1"/>
  <c r="U1209" i="1" s="1"/>
  <c r="U1208" i="1" a="1"/>
  <c r="U1208" i="1" s="1"/>
  <c r="U1207" i="1" a="1"/>
  <c r="U1207" i="1" s="1"/>
  <c r="U1206" i="1" a="1"/>
  <c r="U1206" i="1" s="1"/>
  <c r="U1205" i="1" a="1"/>
  <c r="U1205" i="1" s="1"/>
  <c r="U1204" i="1" a="1"/>
  <c r="U1204" i="1" s="1"/>
  <c r="U1203" i="1" a="1"/>
  <c r="U1203" i="1" s="1"/>
  <c r="U1202" i="1" a="1"/>
  <c r="U1202" i="1" s="1"/>
  <c r="U1201" i="1" a="1"/>
  <c r="U1201" i="1" s="1"/>
  <c r="U1200" i="1" a="1"/>
  <c r="U1200" i="1" s="1"/>
  <c r="U1199" i="1" a="1"/>
  <c r="U1199" i="1" s="1"/>
  <c r="U1198" i="1" a="1"/>
  <c r="U1198" i="1" s="1"/>
  <c r="U1197" i="1" a="1"/>
  <c r="U1197" i="1" s="1"/>
  <c r="U1196" i="1" a="1"/>
  <c r="U1196" i="1" s="1"/>
  <c r="U1195" i="1" a="1"/>
  <c r="U1195" i="1" s="1"/>
  <c r="U1194" i="1" a="1"/>
  <c r="U1194" i="1" s="1"/>
  <c r="U1193" i="1" a="1"/>
  <c r="U1193" i="1" s="1"/>
  <c r="U1192" i="1" a="1"/>
  <c r="U1192" i="1" s="1"/>
  <c r="U1191" i="1" a="1"/>
  <c r="U1191" i="1" s="1"/>
  <c r="U1190" i="1" a="1"/>
  <c r="U1190" i="1" s="1"/>
  <c r="U1189" i="1" a="1"/>
  <c r="U1189" i="1" s="1"/>
  <c r="U1188" i="1" a="1"/>
  <c r="U1188" i="1" s="1"/>
  <c r="U1187" i="1" a="1"/>
  <c r="U1187" i="1" s="1"/>
  <c r="U1186" i="1" a="1"/>
  <c r="U1186" i="1" s="1"/>
  <c r="U1185" i="1" a="1"/>
  <c r="U1185" i="1" s="1"/>
  <c r="U1184" i="1" a="1"/>
  <c r="U1184" i="1" s="1"/>
  <c r="U1183" i="1" a="1"/>
  <c r="U1183" i="1" s="1"/>
  <c r="U1182" i="1" a="1"/>
  <c r="U1182" i="1" s="1"/>
  <c r="U1181" i="1" a="1"/>
  <c r="U1181" i="1" s="1"/>
  <c r="U1180" i="1" a="1"/>
  <c r="U1180" i="1" s="1"/>
  <c r="U1179" i="1" a="1"/>
  <c r="U1179" i="1" s="1"/>
  <c r="U1178" i="1" a="1"/>
  <c r="U1178" i="1" s="1"/>
  <c r="U1177" i="1" a="1"/>
  <c r="U1177" i="1" s="1"/>
  <c r="U1176" i="1" a="1"/>
  <c r="U1176" i="1" s="1"/>
  <c r="U1175" i="1" a="1"/>
  <c r="U1175" i="1" s="1"/>
  <c r="U1174" i="1" a="1"/>
  <c r="U1174" i="1" s="1"/>
  <c r="U1173" i="1" a="1"/>
  <c r="U1173" i="1" s="1"/>
  <c r="U1172" i="1" a="1"/>
  <c r="U1172" i="1" s="1"/>
  <c r="U1171" i="1" a="1"/>
  <c r="U1171" i="1" s="1"/>
  <c r="U1170" i="1" a="1"/>
  <c r="U1170" i="1" s="1"/>
  <c r="U1169" i="1" a="1"/>
  <c r="U1169" i="1" s="1"/>
  <c r="U1168" i="1" a="1"/>
  <c r="U1168" i="1" s="1"/>
  <c r="U1167" i="1" a="1"/>
  <c r="U1167" i="1" s="1"/>
  <c r="U1166" i="1" a="1"/>
  <c r="U1166" i="1" s="1"/>
  <c r="U1165" i="1" a="1"/>
  <c r="U1165" i="1" s="1"/>
  <c r="U1164" i="1" a="1"/>
  <c r="U1164" i="1" s="1"/>
  <c r="U1163" i="1" a="1"/>
  <c r="U1163" i="1" s="1"/>
  <c r="U1162" i="1" a="1"/>
  <c r="U1162" i="1" s="1"/>
  <c r="U1161" i="1" a="1"/>
  <c r="U1161" i="1" s="1"/>
  <c r="U1160" i="1" a="1"/>
  <c r="U1160" i="1" s="1"/>
  <c r="U1159" i="1" a="1"/>
  <c r="U1159" i="1" s="1"/>
  <c r="U1158" i="1" a="1"/>
  <c r="U1158" i="1" s="1"/>
  <c r="U1157" i="1" a="1"/>
  <c r="U1157" i="1" s="1"/>
  <c r="U1156" i="1" a="1"/>
  <c r="U1156" i="1" s="1"/>
  <c r="U1155" i="1" a="1"/>
  <c r="U1155" i="1" s="1"/>
  <c r="U1154" i="1" a="1"/>
  <c r="U1154" i="1" s="1"/>
  <c r="U1153" i="1" a="1"/>
  <c r="U1153" i="1" s="1"/>
  <c r="U1152" i="1" a="1"/>
  <c r="U1152" i="1" s="1"/>
  <c r="U1151" i="1" a="1"/>
  <c r="U1151" i="1" s="1"/>
  <c r="U1150" i="1" a="1"/>
  <c r="U1150" i="1" s="1"/>
  <c r="U1149" i="1" a="1"/>
  <c r="U1149" i="1" s="1"/>
  <c r="U1148" i="1" a="1"/>
  <c r="U1148" i="1" s="1"/>
  <c r="U1147" i="1" a="1"/>
  <c r="U1147" i="1" s="1"/>
  <c r="U1146" i="1" a="1"/>
  <c r="U1146" i="1" s="1"/>
  <c r="U1145" i="1" a="1"/>
  <c r="U1145" i="1" s="1"/>
  <c r="U1144" i="1" a="1"/>
  <c r="U1144" i="1" s="1"/>
  <c r="U1143" i="1" a="1"/>
  <c r="U1143" i="1" s="1"/>
  <c r="U1142" i="1" a="1"/>
  <c r="U1142" i="1" s="1"/>
  <c r="U1141" i="1" a="1"/>
  <c r="U1141" i="1" s="1"/>
  <c r="U1140" i="1" a="1"/>
  <c r="U1140" i="1" s="1"/>
  <c r="U1139" i="1" a="1"/>
  <c r="U1139" i="1" s="1"/>
  <c r="U1138" i="1" a="1"/>
  <c r="U1138" i="1" s="1"/>
  <c r="U1137" i="1" a="1"/>
  <c r="U1137" i="1" s="1"/>
  <c r="U1136" i="1" a="1"/>
  <c r="U1136" i="1" s="1"/>
  <c r="U1135" i="1" a="1"/>
  <c r="U1135" i="1" s="1"/>
  <c r="U1134" i="1" a="1"/>
  <c r="U1134" i="1" s="1"/>
  <c r="U1133" i="1" a="1"/>
  <c r="U1133" i="1" s="1"/>
  <c r="U1132" i="1" a="1"/>
  <c r="U1132" i="1" s="1"/>
  <c r="U1131" i="1" a="1"/>
  <c r="U1131" i="1" s="1"/>
  <c r="U1130" i="1" a="1"/>
  <c r="U1130" i="1" s="1"/>
  <c r="U1129" i="1" a="1"/>
  <c r="U1129" i="1" s="1"/>
  <c r="U1128" i="1" a="1"/>
  <c r="U1128" i="1" s="1"/>
  <c r="U1127" i="1" a="1"/>
  <c r="U1127" i="1" s="1"/>
  <c r="U1126" i="1" a="1"/>
  <c r="U1126" i="1" s="1"/>
  <c r="U1125" i="1" a="1"/>
  <c r="U1125" i="1" s="1"/>
  <c r="U1124" i="1" a="1"/>
  <c r="U1124" i="1" s="1"/>
  <c r="U1123" i="1" a="1"/>
  <c r="U1123" i="1" s="1"/>
  <c r="U1122" i="1" a="1"/>
  <c r="U1122" i="1" s="1"/>
  <c r="U1121" i="1" a="1"/>
  <c r="U1121" i="1" s="1"/>
  <c r="U1120" i="1" a="1"/>
  <c r="U1120" i="1" s="1"/>
  <c r="U1119" i="1" a="1"/>
  <c r="U1119" i="1" s="1"/>
  <c r="U1118" i="1" a="1"/>
  <c r="U1118" i="1" s="1"/>
  <c r="U1117" i="1" a="1"/>
  <c r="U1117" i="1" s="1"/>
  <c r="U1116" i="1" a="1"/>
  <c r="U1116" i="1" s="1"/>
  <c r="U1115" i="1" a="1"/>
  <c r="U1115" i="1" s="1"/>
  <c r="U1114" i="1" a="1"/>
  <c r="U1114" i="1" s="1"/>
  <c r="U1113" i="1" a="1"/>
  <c r="U1113" i="1" s="1"/>
  <c r="U1112" i="1" a="1"/>
  <c r="U1112" i="1" s="1"/>
  <c r="U1111" i="1" a="1"/>
  <c r="U1111" i="1" s="1"/>
  <c r="U1110" i="1" a="1"/>
  <c r="U1110" i="1" s="1"/>
  <c r="U1109" i="1" a="1"/>
  <c r="U1109" i="1" s="1"/>
  <c r="U1108" i="1" a="1"/>
  <c r="U1108" i="1" s="1"/>
  <c r="U1107" i="1" a="1"/>
  <c r="U1107" i="1" s="1"/>
  <c r="U1106" i="1" a="1"/>
  <c r="U1106" i="1" s="1"/>
  <c r="U1105" i="1" a="1"/>
  <c r="U1105" i="1" s="1"/>
  <c r="U1104" i="1" a="1"/>
  <c r="U1104" i="1" s="1"/>
  <c r="U1103" i="1" a="1"/>
  <c r="U1103" i="1" s="1"/>
  <c r="U1102" i="1" a="1"/>
  <c r="U1102" i="1" s="1"/>
  <c r="U1101" i="1" a="1"/>
  <c r="U1101" i="1" s="1"/>
  <c r="U1100" i="1" a="1"/>
  <c r="U1100" i="1" s="1"/>
  <c r="U1099" i="1" a="1"/>
  <c r="U1099" i="1" s="1"/>
  <c r="U1098" i="1" a="1"/>
  <c r="U1098" i="1" s="1"/>
  <c r="U1097" i="1" a="1"/>
  <c r="U1097" i="1" s="1"/>
  <c r="U1096" i="1" a="1"/>
  <c r="U1096" i="1" s="1"/>
  <c r="U1095" i="1" a="1"/>
  <c r="U1095" i="1" s="1"/>
  <c r="U1094" i="1" a="1"/>
  <c r="U1094" i="1" s="1"/>
  <c r="U1093" i="1" a="1"/>
  <c r="U1093" i="1" s="1"/>
  <c r="U1092" i="1" a="1"/>
  <c r="U1092" i="1" s="1"/>
  <c r="U1091" i="1" a="1"/>
  <c r="U1091" i="1" s="1"/>
  <c r="U1090" i="1" a="1"/>
  <c r="U1090" i="1" s="1"/>
  <c r="U1089" i="1" a="1"/>
  <c r="U1089" i="1" s="1"/>
  <c r="U1088" i="1" a="1"/>
  <c r="U1088" i="1" s="1"/>
  <c r="U1087" i="1" a="1"/>
  <c r="U1087" i="1" s="1"/>
  <c r="U1086" i="1" a="1"/>
  <c r="U1086" i="1" s="1"/>
  <c r="U1085" i="1" a="1"/>
  <c r="U1085" i="1" s="1"/>
  <c r="U1084" i="1" a="1"/>
  <c r="U1084" i="1" s="1"/>
  <c r="U1083" i="1" a="1"/>
  <c r="U1083" i="1" s="1"/>
  <c r="U1082" i="1" a="1"/>
  <c r="U1082" i="1" s="1"/>
  <c r="U1081" i="1" a="1"/>
  <c r="U1081" i="1" s="1"/>
  <c r="U1080" i="1" a="1"/>
  <c r="U1080" i="1" s="1"/>
  <c r="U1079" i="1" a="1"/>
  <c r="U1079" i="1" s="1"/>
  <c r="U1078" i="1" a="1"/>
  <c r="U1078" i="1" s="1"/>
  <c r="U1077" i="1" a="1"/>
  <c r="U1077" i="1" s="1"/>
  <c r="U1076" i="1" a="1"/>
  <c r="U1076" i="1" s="1"/>
  <c r="U1075" i="1" a="1"/>
  <c r="U1075" i="1" s="1"/>
  <c r="U1074" i="1" a="1"/>
  <c r="U1074" i="1" s="1"/>
  <c r="U1073" i="1" a="1"/>
  <c r="U1073" i="1" s="1"/>
  <c r="U1072" i="1" a="1"/>
  <c r="U1072" i="1" s="1"/>
  <c r="U1071" i="1" a="1"/>
  <c r="U1071" i="1" s="1"/>
  <c r="U1070" i="1" a="1"/>
  <c r="U1070" i="1" s="1"/>
  <c r="U1069" i="1" a="1"/>
  <c r="U1069" i="1" s="1"/>
  <c r="U1068" i="1" a="1"/>
  <c r="U1068" i="1" s="1"/>
  <c r="U1067" i="1" a="1"/>
  <c r="U1067" i="1" s="1"/>
  <c r="U1066" i="1" a="1"/>
  <c r="U1066" i="1" s="1"/>
  <c r="U1065" i="1" a="1"/>
  <c r="U1065" i="1" s="1"/>
  <c r="U1064" i="1" a="1"/>
  <c r="U1064" i="1" s="1"/>
  <c r="U1063" i="1" a="1"/>
  <c r="U1063" i="1" s="1"/>
  <c r="U1062" i="1" a="1"/>
  <c r="U1062" i="1" s="1"/>
  <c r="U1061" i="1" a="1"/>
  <c r="U1061" i="1" s="1"/>
  <c r="U1060" i="1" a="1"/>
  <c r="U1060" i="1" s="1"/>
  <c r="U1059" i="1" a="1"/>
  <c r="U1059" i="1" s="1"/>
  <c r="U1058" i="1" a="1"/>
  <c r="U1058" i="1" s="1"/>
  <c r="U1057" i="1" a="1"/>
  <c r="U1057" i="1" s="1"/>
  <c r="U1056" i="1" a="1"/>
  <c r="U1056" i="1" s="1"/>
  <c r="U1055" i="1" a="1"/>
  <c r="U1055" i="1" s="1"/>
  <c r="U1054" i="1" a="1"/>
  <c r="U1054" i="1" s="1"/>
  <c r="U1053" i="1" a="1"/>
  <c r="U1053" i="1" s="1"/>
  <c r="U1052" i="1" a="1"/>
  <c r="U1052" i="1" s="1"/>
  <c r="U1051" i="1" a="1"/>
  <c r="U1051" i="1" s="1"/>
  <c r="U1050" i="1" a="1"/>
  <c r="U1050" i="1" s="1"/>
  <c r="U1049" i="1" a="1"/>
  <c r="U1049" i="1" s="1"/>
  <c r="U1048" i="1" a="1"/>
  <c r="U1048" i="1" s="1"/>
  <c r="U1047" i="1" a="1"/>
  <c r="U1047" i="1" s="1"/>
  <c r="U1046" i="1" a="1"/>
  <c r="U1046" i="1" s="1"/>
  <c r="U1045" i="1" a="1"/>
  <c r="U1045" i="1" s="1"/>
  <c r="U1044" i="1" a="1"/>
  <c r="U1044" i="1" s="1"/>
  <c r="U1043" i="1" a="1"/>
  <c r="U1043" i="1" s="1"/>
  <c r="U1042" i="1" a="1"/>
  <c r="U1042" i="1" s="1"/>
  <c r="U1041" i="1" a="1"/>
  <c r="U1041" i="1" s="1"/>
  <c r="U1040" i="1" a="1"/>
  <c r="U1040" i="1" s="1"/>
  <c r="U1039" i="1" a="1"/>
  <c r="U1039" i="1" s="1"/>
  <c r="U1038" i="1" a="1"/>
  <c r="U1038" i="1" s="1"/>
  <c r="U1037" i="1" a="1"/>
  <c r="U1037" i="1" s="1"/>
  <c r="U1036" i="1" a="1"/>
  <c r="U1036" i="1" s="1"/>
  <c r="U1035" i="1" a="1"/>
  <c r="U1035" i="1" s="1"/>
  <c r="U1034" i="1" a="1"/>
  <c r="U1034" i="1" s="1"/>
  <c r="U1033" i="1" a="1"/>
  <c r="U1033" i="1" s="1"/>
  <c r="U1032" i="1" a="1"/>
  <c r="U1032" i="1" s="1"/>
  <c r="U1031" i="1" a="1"/>
  <c r="U1031" i="1" s="1"/>
  <c r="U1030" i="1" a="1"/>
  <c r="U1030" i="1" s="1"/>
  <c r="U1029" i="1" a="1"/>
  <c r="U1029" i="1" s="1"/>
  <c r="U1028" i="1" a="1"/>
  <c r="U1028" i="1" s="1"/>
  <c r="U1027" i="1" a="1"/>
  <c r="U1027" i="1" s="1"/>
  <c r="U1026" i="1" a="1"/>
  <c r="U1026" i="1" s="1"/>
  <c r="U1025" i="1" a="1"/>
  <c r="U1025" i="1" s="1"/>
  <c r="U1024" i="1" a="1"/>
  <c r="U1024" i="1" s="1"/>
  <c r="U1023" i="1" a="1"/>
  <c r="U1023" i="1" s="1"/>
  <c r="U1022" i="1" a="1"/>
  <c r="U1022" i="1" s="1"/>
  <c r="U1021" i="1" a="1"/>
  <c r="U1021" i="1" s="1"/>
  <c r="U1020" i="1" a="1"/>
  <c r="U1020" i="1" s="1"/>
  <c r="U1019" i="1" a="1"/>
  <c r="U1019" i="1" s="1"/>
  <c r="U1018" i="1" a="1"/>
  <c r="U1018" i="1" s="1"/>
  <c r="U1017" i="1" a="1"/>
  <c r="U1017" i="1" s="1"/>
  <c r="U1016" i="1" a="1"/>
  <c r="U1016" i="1" s="1"/>
  <c r="U1015" i="1" a="1"/>
  <c r="U1015" i="1" s="1"/>
  <c r="U1014" i="1" a="1"/>
  <c r="U1014" i="1" s="1"/>
  <c r="U1013" i="1" a="1"/>
  <c r="U1013" i="1" s="1"/>
  <c r="U1012" i="1" a="1"/>
  <c r="U1012" i="1" s="1"/>
  <c r="U1011" i="1" a="1"/>
  <c r="U1011" i="1" s="1"/>
  <c r="U1010" i="1" a="1"/>
  <c r="U1010" i="1" s="1"/>
  <c r="U1009" i="1" a="1"/>
  <c r="U1009" i="1" s="1"/>
  <c r="U1008" i="1" a="1"/>
  <c r="U1008" i="1" s="1"/>
  <c r="U1007" i="1" a="1"/>
  <c r="U1007" i="1" s="1"/>
  <c r="U1006" i="1" a="1"/>
  <c r="U1006" i="1" s="1"/>
  <c r="U1005" i="1" a="1"/>
  <c r="U1005" i="1" s="1"/>
  <c r="U1004" i="1" a="1"/>
  <c r="U1004" i="1" s="1"/>
  <c r="U1003" i="1" a="1"/>
  <c r="U1003" i="1" s="1"/>
  <c r="U1002" i="1" a="1"/>
  <c r="U1002" i="1" s="1"/>
  <c r="U1001" i="1" a="1"/>
  <c r="U1001" i="1" s="1"/>
  <c r="U1000" i="1" a="1"/>
  <c r="U1000" i="1" s="1"/>
  <c r="U999" i="1" a="1"/>
  <c r="U999" i="1" s="1"/>
  <c r="U998" i="1" a="1"/>
  <c r="U998" i="1" s="1"/>
  <c r="U997" i="1" a="1"/>
  <c r="U997" i="1" s="1"/>
  <c r="U996" i="1" a="1"/>
  <c r="U996" i="1" s="1"/>
  <c r="U995" i="1" a="1"/>
  <c r="U995" i="1" s="1"/>
  <c r="U994" i="1" a="1"/>
  <c r="U994" i="1" s="1"/>
  <c r="U993" i="1" a="1"/>
  <c r="U993" i="1" s="1"/>
  <c r="U992" i="1" a="1"/>
  <c r="U992" i="1" s="1"/>
  <c r="U991" i="1" a="1"/>
  <c r="U991" i="1" s="1"/>
  <c r="U990" i="1" a="1"/>
  <c r="U990" i="1" s="1"/>
  <c r="U989" i="1" a="1"/>
  <c r="U989" i="1" s="1"/>
  <c r="U988" i="1" a="1"/>
  <c r="U988" i="1" s="1"/>
  <c r="U987" i="1" a="1"/>
  <c r="U987" i="1" s="1"/>
  <c r="U986" i="1" a="1"/>
  <c r="U986" i="1" s="1"/>
  <c r="U985" i="1" a="1"/>
  <c r="U985" i="1" s="1"/>
  <c r="U984" i="1" a="1"/>
  <c r="U984" i="1" s="1"/>
  <c r="U983" i="1" a="1"/>
  <c r="U983" i="1" s="1"/>
  <c r="U982" i="1" a="1"/>
  <c r="U982" i="1" s="1"/>
  <c r="U981" i="1" a="1"/>
  <c r="U981" i="1" s="1"/>
  <c r="U980" i="1" a="1"/>
  <c r="U980" i="1" s="1"/>
  <c r="U979" i="1" a="1"/>
  <c r="U979" i="1" s="1"/>
  <c r="U978" i="1" a="1"/>
  <c r="U978" i="1" s="1"/>
  <c r="U977" i="1" a="1"/>
  <c r="U977" i="1" s="1"/>
  <c r="U976" i="1" a="1"/>
  <c r="U976" i="1" s="1"/>
  <c r="U975" i="1" a="1"/>
  <c r="U975" i="1" s="1"/>
  <c r="U974" i="1" a="1"/>
  <c r="U974" i="1" s="1"/>
  <c r="U973" i="1" a="1"/>
  <c r="U973" i="1" s="1"/>
  <c r="U972" i="1" a="1"/>
  <c r="U972" i="1" s="1"/>
  <c r="U971" i="1" a="1"/>
  <c r="U971" i="1" s="1"/>
  <c r="U970" i="1" a="1"/>
  <c r="U970" i="1" s="1"/>
  <c r="U969" i="1" a="1"/>
  <c r="U969" i="1" s="1"/>
  <c r="U968" i="1" a="1"/>
  <c r="U968" i="1" s="1"/>
  <c r="U967" i="1" a="1"/>
  <c r="U967" i="1" s="1"/>
  <c r="U966" i="1" a="1"/>
  <c r="U966" i="1" s="1"/>
  <c r="U965" i="1" a="1"/>
  <c r="U965" i="1" s="1"/>
  <c r="U964" i="1" a="1"/>
  <c r="U964" i="1" s="1"/>
  <c r="U963" i="1" a="1"/>
  <c r="U963" i="1" s="1"/>
  <c r="U962" i="1" a="1"/>
  <c r="U962" i="1" s="1"/>
  <c r="U961" i="1" a="1"/>
  <c r="U961" i="1" s="1"/>
  <c r="U960" i="1" a="1"/>
  <c r="U960" i="1" s="1"/>
  <c r="U959" i="1" a="1"/>
  <c r="U959" i="1" s="1"/>
  <c r="U958" i="1" a="1"/>
  <c r="U958" i="1" s="1"/>
  <c r="U957" i="1" a="1"/>
  <c r="U957" i="1" s="1"/>
  <c r="U956" i="1" a="1"/>
  <c r="U956" i="1" s="1"/>
  <c r="U955" i="1" a="1"/>
  <c r="U955" i="1" s="1"/>
  <c r="U954" i="1" a="1"/>
  <c r="U954" i="1" s="1"/>
  <c r="U953" i="1" a="1"/>
  <c r="U953" i="1" s="1"/>
  <c r="U952" i="1" a="1"/>
  <c r="U952" i="1" s="1"/>
  <c r="U951" i="1" a="1"/>
  <c r="U951" i="1" s="1"/>
  <c r="U950" i="1" a="1"/>
  <c r="U950" i="1" s="1"/>
  <c r="U949" i="1" a="1"/>
  <c r="U949" i="1" s="1"/>
  <c r="U948" i="1" a="1"/>
  <c r="U948" i="1" s="1"/>
  <c r="U947" i="1" a="1"/>
  <c r="U947" i="1" s="1"/>
  <c r="U946" i="1" a="1"/>
  <c r="U946" i="1" s="1"/>
  <c r="U945" i="1" a="1"/>
  <c r="U945" i="1" s="1"/>
  <c r="U944" i="1" a="1"/>
  <c r="U944" i="1" s="1"/>
  <c r="U943" i="1" a="1"/>
  <c r="U943" i="1" s="1"/>
  <c r="U942" i="1" a="1"/>
  <c r="U942" i="1" s="1"/>
  <c r="U941" i="1" a="1"/>
  <c r="U941" i="1" s="1"/>
  <c r="U940" i="1" a="1"/>
  <c r="U940" i="1" s="1"/>
  <c r="U939" i="1" a="1"/>
  <c r="U939" i="1" s="1"/>
  <c r="U938" i="1" a="1"/>
  <c r="U938" i="1" s="1"/>
  <c r="U937" i="1" a="1"/>
  <c r="U937" i="1" s="1"/>
  <c r="U936" i="1" a="1"/>
  <c r="U936" i="1" s="1"/>
  <c r="U935" i="1" a="1"/>
  <c r="U935" i="1" s="1"/>
  <c r="U934" i="1" a="1"/>
  <c r="U934" i="1" s="1"/>
  <c r="U933" i="1" a="1"/>
  <c r="U933" i="1" s="1"/>
  <c r="U932" i="1" a="1"/>
  <c r="U932" i="1" s="1"/>
  <c r="U931" i="1" a="1"/>
  <c r="U931" i="1" s="1"/>
  <c r="U930" i="1" a="1"/>
  <c r="U930" i="1" s="1"/>
  <c r="U929" i="1" a="1"/>
  <c r="U929" i="1" s="1"/>
  <c r="U928" i="1" a="1"/>
  <c r="U928" i="1" s="1"/>
  <c r="U927" i="1" a="1"/>
  <c r="U927" i="1" s="1"/>
  <c r="U926" i="1" a="1"/>
  <c r="U926" i="1" s="1"/>
  <c r="U925" i="1" a="1"/>
  <c r="U925" i="1" s="1"/>
  <c r="U924" i="1" a="1"/>
  <c r="U924" i="1" s="1"/>
  <c r="U923" i="1" a="1"/>
  <c r="U923" i="1" s="1"/>
  <c r="U922" i="1" a="1"/>
  <c r="U922" i="1" s="1"/>
  <c r="U921" i="1" a="1"/>
  <c r="U921" i="1" s="1"/>
  <c r="U920" i="1" a="1"/>
  <c r="U920" i="1" s="1"/>
  <c r="U919" i="1" a="1"/>
  <c r="U919" i="1" s="1"/>
  <c r="U918" i="1" a="1"/>
  <c r="U918" i="1" s="1"/>
  <c r="U917" i="1" a="1"/>
  <c r="U917" i="1" s="1"/>
  <c r="U916" i="1" a="1"/>
  <c r="U916" i="1" s="1"/>
  <c r="U915" i="1" a="1"/>
  <c r="U915" i="1" s="1"/>
  <c r="U914" i="1" a="1"/>
  <c r="U914" i="1" s="1"/>
  <c r="U913" i="1" a="1"/>
  <c r="U913" i="1" s="1"/>
  <c r="U912" i="1" a="1"/>
  <c r="U912" i="1" s="1"/>
  <c r="U911" i="1" a="1"/>
  <c r="U911" i="1" s="1"/>
  <c r="U910" i="1" a="1"/>
  <c r="U910" i="1" s="1"/>
  <c r="U909" i="1" a="1"/>
  <c r="U909" i="1" s="1"/>
  <c r="U908" i="1" a="1"/>
  <c r="U908" i="1" s="1"/>
  <c r="U907" i="1" a="1"/>
  <c r="U907" i="1" s="1"/>
  <c r="U906" i="1" a="1"/>
  <c r="U906" i="1" s="1"/>
  <c r="U905" i="1" a="1"/>
  <c r="U905" i="1" s="1"/>
  <c r="U904" i="1" a="1"/>
  <c r="U904" i="1" s="1"/>
  <c r="U903" i="1" a="1"/>
  <c r="U903" i="1" s="1"/>
  <c r="U902" i="1" a="1"/>
  <c r="U902" i="1" s="1"/>
  <c r="U901" i="1" a="1"/>
  <c r="U901" i="1" s="1"/>
  <c r="U900" i="1" a="1"/>
  <c r="U900" i="1" s="1"/>
  <c r="U899" i="1" a="1"/>
  <c r="U899" i="1" s="1"/>
  <c r="U898" i="1" a="1"/>
  <c r="U898" i="1" s="1"/>
  <c r="U897" i="1" a="1"/>
  <c r="U897" i="1" s="1"/>
  <c r="U896" i="1" a="1"/>
  <c r="U896" i="1" s="1"/>
  <c r="U895" i="1" a="1"/>
  <c r="U895" i="1" s="1"/>
  <c r="U894" i="1" a="1"/>
  <c r="U894" i="1" s="1"/>
  <c r="U893" i="1" a="1"/>
  <c r="U893" i="1" s="1"/>
  <c r="U892" i="1" a="1"/>
  <c r="U892" i="1" s="1"/>
  <c r="U891" i="1" a="1"/>
  <c r="U891" i="1" s="1"/>
  <c r="U890" i="1" a="1"/>
  <c r="U890" i="1" s="1"/>
  <c r="U889" i="1" a="1"/>
  <c r="U889" i="1" s="1"/>
  <c r="U888" i="1" a="1"/>
  <c r="U888" i="1" s="1"/>
  <c r="U887" i="1" a="1"/>
  <c r="U887" i="1" s="1"/>
  <c r="U886" i="1" a="1"/>
  <c r="U886" i="1" s="1"/>
  <c r="U885" i="1" a="1"/>
  <c r="U885" i="1" s="1"/>
  <c r="U884" i="1" a="1"/>
  <c r="U884" i="1" s="1"/>
  <c r="U883" i="1" a="1"/>
  <c r="U883" i="1" s="1"/>
  <c r="U882" i="1" a="1"/>
  <c r="U882" i="1" s="1"/>
  <c r="U881" i="1" a="1"/>
  <c r="U881" i="1" s="1"/>
  <c r="U880" i="1" a="1"/>
  <c r="U880" i="1" s="1"/>
  <c r="U879" i="1" a="1"/>
  <c r="U879" i="1" s="1"/>
  <c r="U878" i="1" a="1"/>
  <c r="U878" i="1" s="1"/>
  <c r="U877" i="1" a="1"/>
  <c r="U877" i="1" s="1"/>
  <c r="U876" i="1" a="1"/>
  <c r="U876" i="1" s="1"/>
  <c r="U875" i="1" a="1"/>
  <c r="U875" i="1" s="1"/>
  <c r="U874" i="1" a="1"/>
  <c r="U874" i="1" s="1"/>
  <c r="U873" i="1" a="1"/>
  <c r="U873" i="1" s="1"/>
  <c r="U872" i="1" a="1"/>
  <c r="U872" i="1" s="1"/>
  <c r="U871" i="1" a="1"/>
  <c r="U871" i="1" s="1"/>
  <c r="U870" i="1" a="1"/>
  <c r="U870" i="1" s="1"/>
  <c r="U869" i="1" a="1"/>
  <c r="U869" i="1" s="1"/>
  <c r="U868" i="1" a="1"/>
  <c r="U868" i="1" s="1"/>
  <c r="U867" i="1" a="1"/>
  <c r="U867" i="1" s="1"/>
  <c r="U866" i="1" a="1"/>
  <c r="U866" i="1" s="1"/>
  <c r="U865" i="1" a="1"/>
  <c r="U865" i="1" s="1"/>
  <c r="U864" i="1" a="1"/>
  <c r="U864" i="1" s="1"/>
  <c r="U863" i="1" a="1"/>
  <c r="U863" i="1" s="1"/>
  <c r="U862" i="1" a="1"/>
  <c r="U862" i="1" s="1"/>
  <c r="U861" i="1" a="1"/>
  <c r="U861" i="1" s="1"/>
  <c r="U860" i="1" a="1"/>
  <c r="U860" i="1" s="1"/>
  <c r="U859" i="1" a="1"/>
  <c r="U859" i="1" s="1"/>
  <c r="U858" i="1" a="1"/>
  <c r="U858" i="1" s="1"/>
  <c r="U857" i="1" a="1"/>
  <c r="U857" i="1" s="1"/>
  <c r="U856" i="1" a="1"/>
  <c r="U856" i="1" s="1"/>
  <c r="U855" i="1" a="1"/>
  <c r="U855" i="1" s="1"/>
  <c r="U854" i="1" a="1"/>
  <c r="U854" i="1" s="1"/>
  <c r="U853" i="1" a="1"/>
  <c r="U853" i="1" s="1"/>
  <c r="U852" i="1" a="1"/>
  <c r="U852" i="1" s="1"/>
  <c r="U851" i="1" a="1"/>
  <c r="U851" i="1" s="1"/>
  <c r="U850" i="1" a="1"/>
  <c r="U850" i="1" s="1"/>
  <c r="U849" i="1" a="1"/>
  <c r="U849" i="1" s="1"/>
  <c r="U848" i="1" a="1"/>
  <c r="U848" i="1" s="1"/>
  <c r="U847" i="1" a="1"/>
  <c r="U847" i="1" s="1"/>
  <c r="U846" i="1" a="1"/>
  <c r="U846" i="1" s="1"/>
  <c r="U845" i="1" a="1"/>
  <c r="U845" i="1" s="1"/>
  <c r="U844" i="1" a="1"/>
  <c r="U844" i="1" s="1"/>
  <c r="U843" i="1" a="1"/>
  <c r="U843" i="1" s="1"/>
  <c r="U842" i="1" a="1"/>
  <c r="U842" i="1" s="1"/>
  <c r="U841" i="1" a="1"/>
  <c r="U841" i="1" s="1"/>
  <c r="U840" i="1" a="1"/>
  <c r="U840" i="1" s="1"/>
  <c r="U839" i="1" a="1"/>
  <c r="U839" i="1" s="1"/>
  <c r="U838" i="1" a="1"/>
  <c r="U838" i="1" s="1"/>
  <c r="U837" i="1" a="1"/>
  <c r="U837" i="1" s="1"/>
  <c r="U836" i="1" a="1"/>
  <c r="U836" i="1" s="1"/>
  <c r="U835" i="1" a="1"/>
  <c r="U835" i="1" s="1"/>
  <c r="U834" i="1" a="1"/>
  <c r="U834" i="1" s="1"/>
  <c r="U833" i="1" a="1"/>
  <c r="U833" i="1" s="1"/>
  <c r="U832" i="1" a="1"/>
  <c r="U832" i="1" s="1"/>
  <c r="U831" i="1" a="1"/>
  <c r="U831" i="1" s="1"/>
  <c r="U830" i="1" a="1"/>
  <c r="U830" i="1" s="1"/>
  <c r="U829" i="1" a="1"/>
  <c r="U829" i="1" s="1"/>
  <c r="U828" i="1" a="1"/>
  <c r="U828" i="1" s="1"/>
  <c r="U827" i="1" a="1"/>
  <c r="U827" i="1" s="1"/>
  <c r="U826" i="1" a="1"/>
  <c r="U826" i="1" s="1"/>
  <c r="U825" i="1" a="1"/>
  <c r="U825" i="1" s="1"/>
  <c r="U824" i="1" a="1"/>
  <c r="U824" i="1" s="1"/>
  <c r="U823" i="1" a="1"/>
  <c r="U823" i="1" s="1"/>
  <c r="U822" i="1" a="1"/>
  <c r="U822" i="1" s="1"/>
  <c r="U821" i="1" a="1"/>
  <c r="U821" i="1" s="1"/>
  <c r="U820" i="1" a="1"/>
  <c r="U820" i="1" s="1"/>
  <c r="U819" i="1" a="1"/>
  <c r="U819" i="1" s="1"/>
  <c r="U818" i="1" a="1"/>
  <c r="U818" i="1" s="1"/>
  <c r="U817" i="1" a="1"/>
  <c r="U817" i="1" s="1"/>
  <c r="U816" i="1" a="1"/>
  <c r="U816" i="1" s="1"/>
  <c r="U815" i="1" a="1"/>
  <c r="U815" i="1" s="1"/>
  <c r="U814" i="1" a="1"/>
  <c r="U814" i="1" s="1"/>
  <c r="U813" i="1" a="1"/>
  <c r="U813" i="1" s="1"/>
  <c r="U812" i="1" a="1"/>
  <c r="U812" i="1" s="1"/>
  <c r="U811" i="1" a="1"/>
  <c r="U811" i="1" s="1"/>
  <c r="U810" i="1" a="1"/>
  <c r="U810" i="1" s="1"/>
  <c r="U809" i="1" a="1"/>
  <c r="U809" i="1" s="1"/>
  <c r="U808" i="1" a="1"/>
  <c r="U808" i="1" s="1"/>
  <c r="U807" i="1" a="1"/>
  <c r="U807" i="1" s="1"/>
  <c r="U806" i="1" a="1"/>
  <c r="U806" i="1" s="1"/>
  <c r="U805" i="1" a="1"/>
  <c r="U805" i="1" s="1"/>
  <c r="U804" i="1" a="1"/>
  <c r="U804" i="1" s="1"/>
  <c r="U803" i="1" a="1"/>
  <c r="U803" i="1" s="1"/>
  <c r="U802" i="1" a="1"/>
  <c r="U802" i="1" s="1"/>
  <c r="U801" i="1" a="1"/>
  <c r="U801" i="1" s="1"/>
  <c r="U800" i="1" a="1"/>
  <c r="U800" i="1" s="1"/>
  <c r="U799" i="1" a="1"/>
  <c r="U799" i="1" s="1"/>
  <c r="U798" i="1" a="1"/>
  <c r="U798" i="1" s="1"/>
  <c r="U797" i="1" a="1"/>
  <c r="U797" i="1" s="1"/>
  <c r="U796" i="1" a="1"/>
  <c r="U796" i="1" s="1"/>
  <c r="U795" i="1" a="1"/>
  <c r="U795" i="1" s="1"/>
  <c r="U794" i="1" a="1"/>
  <c r="U794" i="1" s="1"/>
  <c r="U793" i="1" a="1"/>
  <c r="U793" i="1" s="1"/>
  <c r="U792" i="1" a="1"/>
  <c r="U792" i="1" s="1"/>
  <c r="U791" i="1" a="1"/>
  <c r="U791" i="1" s="1"/>
  <c r="U790" i="1" a="1"/>
  <c r="U790" i="1" s="1"/>
  <c r="U789" i="1" a="1"/>
  <c r="U789" i="1" s="1"/>
  <c r="U788" i="1" a="1"/>
  <c r="U788" i="1" s="1"/>
  <c r="U787" i="1" a="1"/>
  <c r="U787" i="1" s="1"/>
  <c r="U786" i="1" a="1"/>
  <c r="U786" i="1" s="1"/>
  <c r="U785" i="1" a="1"/>
  <c r="U785" i="1" s="1"/>
  <c r="U784" i="1" a="1"/>
  <c r="U784" i="1" s="1"/>
  <c r="U783" i="1" a="1"/>
  <c r="U783" i="1" s="1"/>
  <c r="U782" i="1" a="1"/>
  <c r="U782" i="1" s="1"/>
  <c r="U781" i="1" a="1"/>
  <c r="U781" i="1" s="1"/>
  <c r="U780" i="1" a="1"/>
  <c r="U780" i="1" s="1"/>
  <c r="U779" i="1" a="1"/>
  <c r="U779" i="1" s="1"/>
  <c r="U778" i="1" a="1"/>
  <c r="U778" i="1" s="1"/>
  <c r="U777" i="1" a="1"/>
  <c r="U777" i="1" s="1"/>
  <c r="U776" i="1" a="1"/>
  <c r="U776" i="1" s="1"/>
  <c r="U775" i="1" a="1"/>
  <c r="U775" i="1" s="1"/>
  <c r="U774" i="1" a="1"/>
  <c r="U774" i="1" s="1"/>
  <c r="U773" i="1" a="1"/>
  <c r="U773" i="1" s="1"/>
  <c r="U772" i="1" a="1"/>
  <c r="U772" i="1" s="1"/>
  <c r="U771" i="1" a="1"/>
  <c r="U771" i="1" s="1"/>
  <c r="U770" i="1" a="1"/>
  <c r="U770" i="1" s="1"/>
  <c r="U769" i="1" a="1"/>
  <c r="U769" i="1" s="1"/>
  <c r="U768" i="1" a="1"/>
  <c r="U768" i="1" s="1"/>
  <c r="U767" i="1" a="1"/>
  <c r="U767" i="1" s="1"/>
  <c r="U766" i="1" a="1"/>
  <c r="U766" i="1" s="1"/>
  <c r="U765" i="1" a="1"/>
  <c r="U765" i="1" s="1"/>
  <c r="U764" i="1" a="1"/>
  <c r="U764" i="1" s="1"/>
  <c r="U763" i="1" a="1"/>
  <c r="U763" i="1" s="1"/>
  <c r="U762" i="1" a="1"/>
  <c r="U762" i="1" s="1"/>
  <c r="U761" i="1" a="1"/>
  <c r="U761" i="1" s="1"/>
  <c r="U760" i="1" a="1"/>
  <c r="U760" i="1" s="1"/>
  <c r="U759" i="1" a="1"/>
  <c r="U759" i="1" s="1"/>
  <c r="U758" i="1" a="1"/>
  <c r="U758" i="1" s="1"/>
  <c r="U757" i="1" a="1"/>
  <c r="U757" i="1" s="1"/>
  <c r="U756" i="1" a="1"/>
  <c r="U756" i="1" s="1"/>
  <c r="U755" i="1" a="1"/>
  <c r="U755" i="1" s="1"/>
  <c r="U754" i="1" a="1"/>
  <c r="U754" i="1" s="1"/>
  <c r="U753" i="1" a="1"/>
  <c r="U753" i="1" s="1"/>
  <c r="U752" i="1" a="1"/>
  <c r="U752" i="1" s="1"/>
  <c r="U751" i="1" a="1"/>
  <c r="U751" i="1" s="1"/>
  <c r="U750" i="1" a="1"/>
  <c r="U750" i="1" s="1"/>
  <c r="U749" i="1" a="1"/>
  <c r="U749" i="1" s="1"/>
  <c r="U748" i="1" a="1"/>
  <c r="U748" i="1" s="1"/>
  <c r="U747" i="1" a="1"/>
  <c r="U747" i="1" s="1"/>
  <c r="U746" i="1" a="1"/>
  <c r="U746" i="1" s="1"/>
  <c r="U745" i="1" a="1"/>
  <c r="U745" i="1" s="1"/>
  <c r="U744" i="1" a="1"/>
  <c r="U744" i="1" s="1"/>
  <c r="U743" i="1" a="1"/>
  <c r="U743" i="1" s="1"/>
  <c r="U742" i="1" a="1"/>
  <c r="U742" i="1" s="1"/>
  <c r="U741" i="1" a="1"/>
  <c r="U741" i="1" s="1"/>
  <c r="U740" i="1" a="1"/>
  <c r="U740" i="1" s="1"/>
  <c r="U739" i="1" a="1"/>
  <c r="U739" i="1" s="1"/>
  <c r="U738" i="1" a="1"/>
  <c r="U738" i="1" s="1"/>
  <c r="U737" i="1" a="1"/>
  <c r="U737" i="1" s="1"/>
  <c r="U736" i="1" a="1"/>
  <c r="U736" i="1" s="1"/>
  <c r="U735" i="1" a="1"/>
  <c r="U735" i="1" s="1"/>
  <c r="U734" i="1" a="1"/>
  <c r="U734" i="1" s="1"/>
  <c r="U733" i="1" a="1"/>
  <c r="U733" i="1" s="1"/>
  <c r="U732" i="1" a="1"/>
  <c r="U732" i="1" s="1"/>
  <c r="U731" i="1" a="1"/>
  <c r="U731" i="1" s="1"/>
  <c r="U730" i="1" a="1"/>
  <c r="U730" i="1" s="1"/>
  <c r="U729" i="1" a="1"/>
  <c r="U729" i="1" s="1"/>
  <c r="U728" i="1" a="1"/>
  <c r="U728" i="1" s="1"/>
  <c r="U727" i="1" a="1"/>
  <c r="U727" i="1" s="1"/>
  <c r="U726" i="1" a="1"/>
  <c r="U726" i="1" s="1"/>
  <c r="U725" i="1" a="1"/>
  <c r="U725" i="1" s="1"/>
  <c r="U724" i="1" a="1"/>
  <c r="U724" i="1" s="1"/>
  <c r="U723" i="1" a="1"/>
  <c r="U723" i="1" s="1"/>
  <c r="U722" i="1" a="1"/>
  <c r="U722" i="1" s="1"/>
  <c r="U721" i="1" a="1"/>
  <c r="U721" i="1" s="1"/>
  <c r="U720" i="1" a="1"/>
  <c r="U720" i="1" s="1"/>
  <c r="U719" i="1" a="1"/>
  <c r="U719" i="1" s="1"/>
  <c r="U718" i="1" a="1"/>
  <c r="U718" i="1" s="1"/>
  <c r="U717" i="1" a="1"/>
  <c r="U717" i="1" s="1"/>
  <c r="U716" i="1" a="1"/>
  <c r="U716" i="1" s="1"/>
  <c r="U715" i="1" a="1"/>
  <c r="U715" i="1" s="1"/>
  <c r="U714" i="1" a="1"/>
  <c r="U714" i="1" s="1"/>
  <c r="U713" i="1" a="1"/>
  <c r="U713" i="1" s="1"/>
  <c r="U712" i="1" a="1"/>
  <c r="U712" i="1" s="1"/>
  <c r="U711" i="1" a="1"/>
  <c r="U711" i="1" s="1"/>
  <c r="U710" i="1" a="1"/>
  <c r="U710" i="1" s="1"/>
  <c r="U709" i="1" a="1"/>
  <c r="U709" i="1" s="1"/>
  <c r="U708" i="1" a="1"/>
  <c r="U708" i="1" s="1"/>
  <c r="U707" i="1" a="1"/>
  <c r="U707" i="1" s="1"/>
  <c r="U706" i="1" a="1"/>
  <c r="U706" i="1" s="1"/>
  <c r="U705" i="1" a="1"/>
  <c r="U705" i="1" s="1"/>
  <c r="U704" i="1" a="1"/>
  <c r="U704" i="1" s="1"/>
  <c r="U703" i="1" a="1"/>
  <c r="U703" i="1" s="1"/>
  <c r="U702" i="1" a="1"/>
  <c r="U702" i="1" s="1"/>
  <c r="U701" i="1" a="1"/>
  <c r="U701" i="1" s="1"/>
  <c r="U700" i="1" a="1"/>
  <c r="U700" i="1" s="1"/>
  <c r="U699" i="1" a="1"/>
  <c r="U699" i="1" s="1"/>
  <c r="U698" i="1" a="1"/>
  <c r="U698" i="1" s="1"/>
  <c r="U697" i="1" a="1"/>
  <c r="U697" i="1" s="1"/>
  <c r="U696" i="1" a="1"/>
  <c r="U696" i="1" s="1"/>
  <c r="U695" i="1" a="1"/>
  <c r="U695" i="1" s="1"/>
  <c r="U694" i="1" a="1"/>
  <c r="U694" i="1" s="1"/>
  <c r="U693" i="1" a="1"/>
  <c r="U693" i="1" s="1"/>
  <c r="U692" i="1" a="1"/>
  <c r="U692" i="1" s="1"/>
  <c r="U691" i="1" a="1"/>
  <c r="U691" i="1" s="1"/>
  <c r="U690" i="1" a="1"/>
  <c r="U690" i="1" s="1"/>
  <c r="U689" i="1" a="1"/>
  <c r="U689" i="1" s="1"/>
  <c r="U688" i="1" a="1"/>
  <c r="U688" i="1" s="1"/>
  <c r="U687" i="1" a="1"/>
  <c r="U687" i="1" s="1"/>
  <c r="U686" i="1" a="1"/>
  <c r="U686" i="1" s="1"/>
  <c r="U685" i="1" a="1"/>
  <c r="U685" i="1" s="1"/>
  <c r="U684" i="1" a="1"/>
  <c r="U684" i="1" s="1"/>
  <c r="U683" i="1" a="1"/>
  <c r="U683" i="1" s="1"/>
  <c r="U682" i="1" a="1"/>
  <c r="U682" i="1" s="1"/>
  <c r="U681" i="1" a="1"/>
  <c r="U681" i="1" s="1"/>
  <c r="U680" i="1" a="1"/>
  <c r="U680" i="1" s="1"/>
  <c r="U679" i="1" a="1"/>
  <c r="U679" i="1" s="1"/>
  <c r="U678" i="1" a="1"/>
  <c r="U678" i="1" s="1"/>
  <c r="U677" i="1" a="1"/>
  <c r="U677" i="1" s="1"/>
  <c r="U676" i="1" a="1"/>
  <c r="U676" i="1" s="1"/>
  <c r="U675" i="1" a="1"/>
  <c r="U675" i="1" s="1"/>
  <c r="U674" i="1" a="1"/>
  <c r="U674" i="1" s="1"/>
  <c r="U673" i="1" a="1"/>
  <c r="U673" i="1" s="1"/>
  <c r="U672" i="1" a="1"/>
  <c r="U672" i="1" s="1"/>
  <c r="U671" i="1" a="1"/>
  <c r="U671" i="1" s="1"/>
  <c r="U670" i="1" a="1"/>
  <c r="U670" i="1" s="1"/>
  <c r="U669" i="1" a="1"/>
  <c r="U669" i="1" s="1"/>
  <c r="U668" i="1" a="1"/>
  <c r="U668" i="1" s="1"/>
  <c r="U667" i="1" a="1"/>
  <c r="U667" i="1" s="1"/>
  <c r="U666" i="1" a="1"/>
  <c r="U666" i="1" s="1"/>
  <c r="U665" i="1" a="1"/>
  <c r="U665" i="1" s="1"/>
  <c r="U664" i="1" a="1"/>
  <c r="U664" i="1" s="1"/>
  <c r="U663" i="1" a="1"/>
  <c r="U663" i="1" s="1"/>
  <c r="U662" i="1" a="1"/>
  <c r="U662" i="1" s="1"/>
  <c r="U661" i="1" a="1"/>
  <c r="U661" i="1" s="1"/>
  <c r="U660" i="1" a="1"/>
  <c r="U660" i="1" s="1"/>
  <c r="U659" i="1" a="1"/>
  <c r="U659" i="1" s="1"/>
  <c r="U658" i="1" a="1"/>
  <c r="U658" i="1" s="1"/>
  <c r="U657" i="1" a="1"/>
  <c r="U657" i="1" s="1"/>
  <c r="U656" i="1" a="1"/>
  <c r="U656" i="1" s="1"/>
  <c r="U655" i="1" a="1"/>
  <c r="U655" i="1" s="1"/>
  <c r="U654" i="1" a="1"/>
  <c r="U654" i="1" s="1"/>
  <c r="U653" i="1" a="1"/>
  <c r="U653" i="1" s="1"/>
  <c r="U652" i="1" a="1"/>
  <c r="U652" i="1" s="1"/>
  <c r="U651" i="1" a="1"/>
  <c r="U651" i="1" s="1"/>
  <c r="U650" i="1" a="1"/>
  <c r="U650" i="1" s="1"/>
  <c r="U649" i="1" a="1"/>
  <c r="U649" i="1" s="1"/>
  <c r="U648" i="1" a="1"/>
  <c r="U648" i="1" s="1"/>
  <c r="U647" i="1" a="1"/>
  <c r="U647" i="1" s="1"/>
  <c r="U646" i="1" a="1"/>
  <c r="U646" i="1" s="1"/>
  <c r="U645" i="1" a="1"/>
  <c r="U645" i="1" s="1"/>
  <c r="U644" i="1" a="1"/>
  <c r="U644" i="1" s="1"/>
  <c r="U643" i="1" a="1"/>
  <c r="U643" i="1" s="1"/>
  <c r="U642" i="1" a="1"/>
  <c r="U642" i="1" s="1"/>
  <c r="U641" i="1" a="1"/>
  <c r="U641" i="1" s="1"/>
  <c r="U640" i="1" a="1"/>
  <c r="U640" i="1" s="1"/>
  <c r="U639" i="1" a="1"/>
  <c r="U639" i="1" s="1"/>
  <c r="U638" i="1" a="1"/>
  <c r="U638" i="1" s="1"/>
  <c r="U637" i="1" a="1"/>
  <c r="U637" i="1" s="1"/>
  <c r="U636" i="1" a="1"/>
  <c r="U636" i="1" s="1"/>
  <c r="U635" i="1" a="1"/>
  <c r="U635" i="1" s="1"/>
  <c r="U634" i="1" a="1"/>
  <c r="U634" i="1" s="1"/>
  <c r="U633" i="1" a="1"/>
  <c r="U633" i="1" s="1"/>
  <c r="U632" i="1" a="1"/>
  <c r="U632" i="1" s="1"/>
  <c r="U631" i="1" a="1"/>
  <c r="U631" i="1" s="1"/>
  <c r="U630" i="1" a="1"/>
  <c r="U630" i="1" s="1"/>
  <c r="U629" i="1" a="1"/>
  <c r="U629" i="1" s="1"/>
  <c r="U628" i="1" a="1"/>
  <c r="U628" i="1" s="1"/>
  <c r="U627" i="1" a="1"/>
  <c r="U627" i="1" s="1"/>
  <c r="U626" i="1" a="1"/>
  <c r="U626" i="1" s="1"/>
  <c r="U625" i="1" a="1"/>
  <c r="U625" i="1" s="1"/>
  <c r="U624" i="1" a="1"/>
  <c r="U624" i="1" s="1"/>
  <c r="U623" i="1" a="1"/>
  <c r="U623" i="1" s="1"/>
  <c r="U622" i="1" a="1"/>
  <c r="U622" i="1" s="1"/>
  <c r="U621" i="1" a="1"/>
  <c r="U621" i="1" s="1"/>
  <c r="U620" i="1" a="1"/>
  <c r="U620" i="1" s="1"/>
  <c r="U619" i="1" a="1"/>
  <c r="U619" i="1" s="1"/>
  <c r="U618" i="1" a="1"/>
  <c r="U618" i="1" s="1"/>
  <c r="U617" i="1" a="1"/>
  <c r="U617" i="1" s="1"/>
  <c r="U616" i="1" a="1"/>
  <c r="U616" i="1" s="1"/>
  <c r="U615" i="1" a="1"/>
  <c r="U615" i="1" s="1"/>
  <c r="U614" i="1" a="1"/>
  <c r="U614" i="1" s="1"/>
  <c r="U613" i="1" a="1"/>
  <c r="U613" i="1" s="1"/>
  <c r="U612" i="1" a="1"/>
  <c r="U612" i="1" s="1"/>
  <c r="U611" i="1" a="1"/>
  <c r="U611" i="1" s="1"/>
  <c r="U610" i="1" a="1"/>
  <c r="U610" i="1" s="1"/>
  <c r="U609" i="1" a="1"/>
  <c r="U609" i="1" s="1"/>
  <c r="U608" i="1" a="1"/>
  <c r="U608" i="1" s="1"/>
  <c r="U607" i="1" a="1"/>
  <c r="U607" i="1" s="1"/>
  <c r="U606" i="1" a="1"/>
  <c r="U606" i="1" s="1"/>
  <c r="U605" i="1" a="1"/>
  <c r="U605" i="1" s="1"/>
  <c r="U604" i="1" a="1"/>
  <c r="U604" i="1" s="1"/>
  <c r="U603" i="1" a="1"/>
  <c r="U603" i="1" s="1"/>
  <c r="U602" i="1" a="1"/>
  <c r="U602" i="1" s="1"/>
  <c r="U601" i="1" a="1"/>
  <c r="U601" i="1" s="1"/>
  <c r="U600" i="1" a="1"/>
  <c r="U600" i="1" s="1"/>
  <c r="U599" i="1" a="1"/>
  <c r="U599" i="1" s="1"/>
  <c r="U598" i="1" a="1"/>
  <c r="U598" i="1" s="1"/>
  <c r="U597" i="1" a="1"/>
  <c r="U597" i="1" s="1"/>
  <c r="U596" i="1" a="1"/>
  <c r="U596" i="1" s="1"/>
  <c r="U595" i="1" a="1"/>
  <c r="U595" i="1" s="1"/>
  <c r="U594" i="1" a="1"/>
  <c r="U594" i="1" s="1"/>
  <c r="U593" i="1" a="1"/>
  <c r="U593" i="1" s="1"/>
  <c r="U592" i="1" a="1"/>
  <c r="U592" i="1" s="1"/>
  <c r="U591" i="1" a="1"/>
  <c r="U591" i="1" s="1"/>
  <c r="U590" i="1" a="1"/>
  <c r="U590" i="1" s="1"/>
  <c r="U589" i="1" a="1"/>
  <c r="U589" i="1" s="1"/>
  <c r="U588" i="1" a="1"/>
  <c r="U588" i="1" s="1"/>
  <c r="U587" i="1" a="1"/>
  <c r="U587" i="1" s="1"/>
  <c r="U586" i="1" a="1"/>
  <c r="U586" i="1" s="1"/>
  <c r="U585" i="1" a="1"/>
  <c r="U585" i="1" s="1"/>
  <c r="U584" i="1" a="1"/>
  <c r="U584" i="1" s="1"/>
  <c r="U583" i="1" a="1"/>
  <c r="U583" i="1" s="1"/>
  <c r="U582" i="1" a="1"/>
  <c r="U582" i="1" s="1"/>
  <c r="U581" i="1" a="1"/>
  <c r="U581" i="1" s="1"/>
  <c r="U580" i="1" a="1"/>
  <c r="U580" i="1" s="1"/>
  <c r="U579" i="1" a="1"/>
  <c r="U579" i="1" s="1"/>
  <c r="U578" i="1" a="1"/>
  <c r="U578" i="1" s="1"/>
  <c r="U577" i="1" a="1"/>
  <c r="U577" i="1" s="1"/>
  <c r="U576" i="1" a="1"/>
  <c r="U576" i="1" s="1"/>
  <c r="U575" i="1" a="1"/>
  <c r="U575" i="1" s="1"/>
  <c r="U574" i="1" a="1"/>
  <c r="U574" i="1" s="1"/>
  <c r="U573" i="1" a="1"/>
  <c r="U573" i="1" s="1"/>
  <c r="U572" i="1" a="1"/>
  <c r="U572" i="1" s="1"/>
  <c r="U571" i="1" a="1"/>
  <c r="U571" i="1" s="1"/>
  <c r="U570" i="1" a="1"/>
  <c r="U570" i="1" s="1"/>
  <c r="U569" i="1" a="1"/>
  <c r="U569" i="1" s="1"/>
  <c r="U568" i="1" a="1"/>
  <c r="U568" i="1" s="1"/>
  <c r="U567" i="1" a="1"/>
  <c r="U567" i="1" s="1"/>
  <c r="U566" i="1" a="1"/>
  <c r="U566" i="1" s="1"/>
  <c r="U565" i="1" a="1"/>
  <c r="U565" i="1" s="1"/>
  <c r="U564" i="1" a="1"/>
  <c r="U564" i="1" s="1"/>
  <c r="U563" i="1" a="1"/>
  <c r="U563" i="1" s="1"/>
  <c r="U562" i="1" a="1"/>
  <c r="U562" i="1" s="1"/>
  <c r="U561" i="1" a="1"/>
  <c r="U561" i="1" s="1"/>
  <c r="U560" i="1" a="1"/>
  <c r="U560" i="1" s="1"/>
  <c r="U559" i="1" a="1"/>
  <c r="U559" i="1" s="1"/>
  <c r="U558" i="1" a="1"/>
  <c r="U558" i="1" s="1"/>
  <c r="U557" i="1" a="1"/>
  <c r="U557" i="1" s="1"/>
  <c r="U556" i="1" a="1"/>
  <c r="U556" i="1" s="1"/>
  <c r="U555" i="1" a="1"/>
  <c r="U555" i="1" s="1"/>
  <c r="U554" i="1" a="1"/>
  <c r="U554" i="1" s="1"/>
  <c r="U553" i="1" a="1"/>
  <c r="U553" i="1" s="1"/>
  <c r="U552" i="1" a="1"/>
  <c r="U552" i="1" s="1"/>
  <c r="U551" i="1" a="1"/>
  <c r="U551" i="1" s="1"/>
  <c r="U550" i="1" a="1"/>
  <c r="U550" i="1" s="1"/>
  <c r="U549" i="1" a="1"/>
  <c r="U549" i="1" s="1"/>
  <c r="U548" i="1" a="1"/>
  <c r="U548" i="1" s="1"/>
  <c r="U547" i="1" a="1"/>
  <c r="U547" i="1" s="1"/>
  <c r="U546" i="1" a="1"/>
  <c r="U546" i="1" s="1"/>
  <c r="U545" i="1" a="1"/>
  <c r="U545" i="1" s="1"/>
  <c r="U544" i="1" a="1"/>
  <c r="U544" i="1" s="1"/>
  <c r="U543" i="1" a="1"/>
  <c r="U543" i="1" s="1"/>
  <c r="U542" i="1" a="1"/>
  <c r="U542" i="1" s="1"/>
  <c r="U541" i="1" a="1"/>
  <c r="U541" i="1" s="1"/>
  <c r="U540" i="1" a="1"/>
  <c r="U540" i="1" s="1"/>
  <c r="U539" i="1" a="1"/>
  <c r="U539" i="1" s="1"/>
  <c r="U538" i="1" a="1"/>
  <c r="U538" i="1" s="1"/>
  <c r="U537" i="1" a="1"/>
  <c r="U537" i="1" s="1"/>
  <c r="U536" i="1" a="1"/>
  <c r="U536" i="1" s="1"/>
  <c r="U535" i="1" a="1"/>
  <c r="U535" i="1" s="1"/>
  <c r="U534" i="1" a="1"/>
  <c r="U534" i="1" s="1"/>
  <c r="U533" i="1" a="1"/>
  <c r="U533" i="1" s="1"/>
  <c r="U532" i="1" a="1"/>
  <c r="U532" i="1" s="1"/>
  <c r="U531" i="1" a="1"/>
  <c r="U531" i="1" s="1"/>
  <c r="U530" i="1" a="1"/>
  <c r="U530" i="1" s="1"/>
  <c r="U529" i="1" a="1"/>
  <c r="U529" i="1" s="1"/>
  <c r="U528" i="1" a="1"/>
  <c r="U528" i="1" s="1"/>
  <c r="U527" i="1" a="1"/>
  <c r="U527" i="1" s="1"/>
  <c r="U526" i="1" a="1"/>
  <c r="U526" i="1" s="1"/>
  <c r="U525" i="1" a="1"/>
  <c r="U525" i="1" s="1"/>
  <c r="U524" i="1" a="1"/>
  <c r="U524" i="1" s="1"/>
  <c r="U523" i="1" a="1"/>
  <c r="U523" i="1" s="1"/>
  <c r="U522" i="1" a="1"/>
  <c r="U522" i="1" s="1"/>
  <c r="U521" i="1" a="1"/>
  <c r="U521" i="1" s="1"/>
  <c r="U520" i="1" a="1"/>
  <c r="U520" i="1" s="1"/>
  <c r="U519" i="1" a="1"/>
  <c r="U519" i="1" s="1"/>
  <c r="U518" i="1" a="1"/>
  <c r="U518" i="1" s="1"/>
  <c r="U517" i="1" a="1"/>
  <c r="U517" i="1" s="1"/>
  <c r="U516" i="1" a="1"/>
  <c r="U516" i="1" s="1"/>
  <c r="U515" i="1" a="1"/>
  <c r="U515" i="1" s="1"/>
  <c r="U514" i="1" a="1"/>
  <c r="U514" i="1" s="1"/>
  <c r="U513" i="1" a="1"/>
  <c r="U513" i="1" s="1"/>
  <c r="U512" i="1" a="1"/>
  <c r="U512" i="1" s="1"/>
  <c r="U511" i="1" a="1"/>
  <c r="U511" i="1" s="1"/>
  <c r="U510" i="1" a="1"/>
  <c r="U510" i="1" s="1"/>
  <c r="U509" i="1" a="1"/>
  <c r="U509" i="1" s="1"/>
  <c r="U508" i="1" a="1"/>
  <c r="U508" i="1" s="1"/>
  <c r="U507" i="1" a="1"/>
  <c r="U507" i="1" s="1"/>
  <c r="U506" i="1" a="1"/>
  <c r="U506" i="1" s="1"/>
  <c r="U505" i="1" a="1"/>
  <c r="U505" i="1" s="1"/>
  <c r="U504" i="1" a="1"/>
  <c r="U504" i="1" s="1"/>
  <c r="U503" i="1" a="1"/>
  <c r="U503" i="1" s="1"/>
  <c r="U502" i="1" a="1"/>
  <c r="U502" i="1" s="1"/>
  <c r="U501" i="1" a="1"/>
  <c r="U501" i="1" s="1"/>
  <c r="U500" i="1" a="1"/>
  <c r="U500" i="1" s="1"/>
  <c r="U499" i="1" a="1"/>
  <c r="U499" i="1" s="1"/>
  <c r="U498" i="1" a="1"/>
  <c r="U498" i="1" s="1"/>
  <c r="U497" i="1" a="1"/>
  <c r="U497" i="1" s="1"/>
  <c r="U496" i="1" a="1"/>
  <c r="U496" i="1" s="1"/>
  <c r="U495" i="1" a="1"/>
  <c r="U495" i="1" s="1"/>
  <c r="U494" i="1" a="1"/>
  <c r="U494" i="1" s="1"/>
  <c r="U493" i="1" a="1"/>
  <c r="U493" i="1" s="1"/>
  <c r="U492" i="1" a="1"/>
  <c r="U492" i="1" s="1"/>
  <c r="U491" i="1" a="1"/>
  <c r="U491" i="1" s="1"/>
  <c r="U490" i="1" a="1"/>
  <c r="U490" i="1" s="1"/>
  <c r="U489" i="1" a="1"/>
  <c r="U489" i="1" s="1"/>
  <c r="U488" i="1" a="1"/>
  <c r="U488" i="1" s="1"/>
  <c r="U487" i="1" a="1"/>
  <c r="U487" i="1" s="1"/>
  <c r="U486" i="1" a="1"/>
  <c r="U486" i="1" s="1"/>
  <c r="U485" i="1" a="1"/>
  <c r="U485" i="1" s="1"/>
  <c r="U484" i="1" a="1"/>
  <c r="U484" i="1" s="1"/>
  <c r="U483" i="1" a="1"/>
  <c r="U483" i="1" s="1"/>
  <c r="U482" i="1" a="1"/>
  <c r="U482" i="1" s="1"/>
  <c r="U481" i="1" a="1"/>
  <c r="U481" i="1" s="1"/>
  <c r="U480" i="1" a="1"/>
  <c r="U480" i="1" s="1"/>
  <c r="U479" i="1" a="1"/>
  <c r="U479" i="1" s="1"/>
  <c r="U478" i="1" a="1"/>
  <c r="U478" i="1" s="1"/>
  <c r="U477" i="1" a="1"/>
  <c r="U477" i="1" s="1"/>
  <c r="U476" i="1" a="1"/>
  <c r="U476" i="1" s="1"/>
  <c r="U475" i="1" a="1"/>
  <c r="U475" i="1" s="1"/>
  <c r="U474" i="1" a="1"/>
  <c r="U474" i="1" s="1"/>
  <c r="U473" i="1" a="1"/>
  <c r="U473" i="1" s="1"/>
  <c r="U472" i="1" a="1"/>
  <c r="U472" i="1" s="1"/>
  <c r="U471" i="1" a="1"/>
  <c r="U471" i="1" s="1"/>
  <c r="U470" i="1" a="1"/>
  <c r="U470" i="1" s="1"/>
  <c r="U469" i="1" a="1"/>
  <c r="U469" i="1" s="1"/>
  <c r="U468" i="1" a="1"/>
  <c r="U468" i="1" s="1"/>
  <c r="U467" i="1" a="1"/>
  <c r="U467" i="1" s="1"/>
  <c r="U466" i="1" a="1"/>
  <c r="U466" i="1" s="1"/>
  <c r="U465" i="1" a="1"/>
  <c r="U465" i="1" s="1"/>
  <c r="U464" i="1" a="1"/>
  <c r="U464" i="1" s="1"/>
  <c r="U463" i="1" a="1"/>
  <c r="U463" i="1" s="1"/>
  <c r="U462" i="1" a="1"/>
  <c r="U462" i="1" s="1"/>
  <c r="U461" i="1" a="1"/>
  <c r="U461" i="1" s="1"/>
  <c r="U460" i="1" a="1"/>
  <c r="U460" i="1" s="1"/>
  <c r="U459" i="1" a="1"/>
  <c r="U459" i="1" s="1"/>
  <c r="U458" i="1" a="1"/>
  <c r="U458" i="1" s="1"/>
  <c r="U457" i="1" a="1"/>
  <c r="U457" i="1" s="1"/>
  <c r="U456" i="1" a="1"/>
  <c r="U456" i="1" s="1"/>
  <c r="U455" i="1" a="1"/>
  <c r="U455" i="1" s="1"/>
  <c r="U454" i="1" a="1"/>
  <c r="U454" i="1" s="1"/>
  <c r="U453" i="1" a="1"/>
  <c r="U453" i="1" s="1"/>
  <c r="U452" i="1" a="1"/>
  <c r="U452" i="1" s="1"/>
  <c r="U451" i="1" a="1"/>
  <c r="U451" i="1" s="1"/>
  <c r="U450" i="1" a="1"/>
  <c r="U450" i="1" s="1"/>
  <c r="U449" i="1" a="1"/>
  <c r="U449" i="1" s="1"/>
  <c r="U448" i="1" a="1"/>
  <c r="U448" i="1" s="1"/>
  <c r="U447" i="1" a="1"/>
  <c r="U447" i="1" s="1"/>
  <c r="U446" i="1" a="1"/>
  <c r="U446" i="1" s="1"/>
  <c r="U445" i="1" a="1"/>
  <c r="U445" i="1" s="1"/>
  <c r="U444" i="1" a="1"/>
  <c r="U444" i="1" s="1"/>
  <c r="U443" i="1" a="1"/>
  <c r="U443" i="1" s="1"/>
  <c r="U442" i="1" a="1"/>
  <c r="U442" i="1" s="1"/>
  <c r="U441" i="1" a="1"/>
  <c r="U441" i="1" s="1"/>
  <c r="U440" i="1" a="1"/>
  <c r="U440" i="1" s="1"/>
  <c r="U439" i="1" a="1"/>
  <c r="U439" i="1" s="1"/>
  <c r="U438" i="1" a="1"/>
  <c r="U438" i="1" s="1"/>
  <c r="U437" i="1" a="1"/>
  <c r="U437" i="1" s="1"/>
  <c r="U436" i="1" a="1"/>
  <c r="U436" i="1" s="1"/>
  <c r="U435" i="1" a="1"/>
  <c r="U435" i="1" s="1"/>
  <c r="U434" i="1" a="1"/>
  <c r="U434" i="1" s="1"/>
  <c r="U433" i="1" a="1"/>
  <c r="U433" i="1" s="1"/>
  <c r="U432" i="1" a="1"/>
  <c r="U432" i="1" s="1"/>
  <c r="U431" i="1" a="1"/>
  <c r="U431" i="1" s="1"/>
  <c r="U430" i="1" a="1"/>
  <c r="U430" i="1" s="1"/>
  <c r="U429" i="1" a="1"/>
  <c r="U429" i="1" s="1"/>
  <c r="U428" i="1" a="1"/>
  <c r="U428" i="1" s="1"/>
  <c r="U427" i="1" a="1"/>
  <c r="U427" i="1" s="1"/>
  <c r="U426" i="1" a="1"/>
  <c r="U426" i="1" s="1"/>
  <c r="U425" i="1" a="1"/>
  <c r="U425" i="1" s="1"/>
  <c r="U424" i="1" a="1"/>
  <c r="U424" i="1" s="1"/>
  <c r="U423" i="1" a="1"/>
  <c r="U423" i="1" s="1"/>
  <c r="U422" i="1" a="1"/>
  <c r="U422" i="1" s="1"/>
  <c r="U421" i="1" a="1"/>
  <c r="U421" i="1" s="1"/>
  <c r="U420" i="1" a="1"/>
  <c r="U420" i="1" s="1"/>
  <c r="U419" i="1" a="1"/>
  <c r="U419" i="1" s="1"/>
  <c r="U418" i="1" a="1"/>
  <c r="U418" i="1" s="1"/>
  <c r="U417" i="1" a="1"/>
  <c r="U417" i="1" s="1"/>
  <c r="U416" i="1" a="1"/>
  <c r="U416" i="1" s="1"/>
  <c r="U415" i="1" a="1"/>
  <c r="U415" i="1" s="1"/>
  <c r="U414" i="1" a="1"/>
  <c r="U414" i="1" s="1"/>
  <c r="U413" i="1" a="1"/>
  <c r="U413" i="1" s="1"/>
  <c r="U412" i="1" a="1"/>
  <c r="U412" i="1" s="1"/>
  <c r="U411" i="1" a="1"/>
  <c r="U411" i="1" s="1"/>
  <c r="U410" i="1" a="1"/>
  <c r="U410" i="1" s="1"/>
  <c r="U409" i="1" a="1"/>
  <c r="U409" i="1" s="1"/>
  <c r="U408" i="1" a="1"/>
  <c r="U408" i="1" s="1"/>
  <c r="U407" i="1" a="1"/>
  <c r="U407" i="1" s="1"/>
  <c r="U406" i="1" a="1"/>
  <c r="U406" i="1" s="1"/>
  <c r="U405" i="1" a="1"/>
  <c r="U405" i="1" s="1"/>
  <c r="U404" i="1" a="1"/>
  <c r="U404" i="1" s="1"/>
  <c r="U403" i="1" a="1"/>
  <c r="U403" i="1" s="1"/>
  <c r="U402" i="1" a="1"/>
  <c r="U402" i="1" s="1"/>
  <c r="U401" i="1" a="1"/>
  <c r="U401" i="1" s="1"/>
  <c r="U400" i="1" a="1"/>
  <c r="U400" i="1" s="1"/>
  <c r="U399" i="1" a="1"/>
  <c r="U399" i="1" s="1"/>
  <c r="U398" i="1" a="1"/>
  <c r="U398" i="1" s="1"/>
  <c r="U397" i="1" a="1"/>
  <c r="U397" i="1" s="1"/>
  <c r="U396" i="1" a="1"/>
  <c r="U396" i="1" s="1"/>
  <c r="U395" i="1" a="1"/>
  <c r="U395" i="1" s="1"/>
  <c r="U394" i="1" a="1"/>
  <c r="U394" i="1" s="1"/>
  <c r="U393" i="1" a="1"/>
  <c r="U393" i="1" s="1"/>
  <c r="U392" i="1" a="1"/>
  <c r="U392" i="1" s="1"/>
  <c r="U391" i="1" a="1"/>
  <c r="U391" i="1" s="1"/>
  <c r="U390" i="1" a="1"/>
  <c r="U390" i="1" s="1"/>
  <c r="U389" i="1" a="1"/>
  <c r="U389" i="1" s="1"/>
  <c r="U388" i="1" a="1"/>
  <c r="U388" i="1" s="1"/>
  <c r="U387" i="1" a="1"/>
  <c r="U387" i="1" s="1"/>
  <c r="U386" i="1" a="1"/>
  <c r="U386" i="1" s="1"/>
  <c r="U385" i="1" a="1"/>
  <c r="U385" i="1" s="1"/>
  <c r="U384" i="1" a="1"/>
  <c r="U384" i="1" s="1"/>
  <c r="U383" i="1" a="1"/>
  <c r="U383" i="1" s="1"/>
  <c r="U382" i="1" a="1"/>
  <c r="U382" i="1" s="1"/>
  <c r="U381" i="1" a="1"/>
  <c r="U381" i="1" s="1"/>
  <c r="U380" i="1" a="1"/>
  <c r="U380" i="1" s="1"/>
  <c r="U379" i="1" a="1"/>
  <c r="U379" i="1" s="1"/>
  <c r="U378" i="1" a="1"/>
  <c r="U378" i="1" s="1"/>
  <c r="U377" i="1" a="1"/>
  <c r="U377" i="1" s="1"/>
  <c r="U376" i="1" a="1"/>
  <c r="U376" i="1" s="1"/>
  <c r="U375" i="1" a="1"/>
  <c r="U375" i="1" s="1"/>
  <c r="U374" i="1" a="1"/>
  <c r="U374" i="1" s="1"/>
  <c r="U373" i="1" a="1"/>
  <c r="U373" i="1" s="1"/>
  <c r="U372" i="1" a="1"/>
  <c r="U372" i="1" s="1"/>
  <c r="U371" i="1" a="1"/>
  <c r="U371" i="1" s="1"/>
  <c r="U370" i="1" a="1"/>
  <c r="U370" i="1" s="1"/>
  <c r="U369" i="1" a="1"/>
  <c r="U369" i="1" s="1"/>
  <c r="U368" i="1" a="1"/>
  <c r="U368" i="1" s="1"/>
  <c r="U367" i="1" a="1"/>
  <c r="U367" i="1" s="1"/>
  <c r="U366" i="1" a="1"/>
  <c r="U366" i="1" s="1"/>
  <c r="U365" i="1" a="1"/>
  <c r="U365" i="1" s="1"/>
  <c r="U364" i="1" a="1"/>
  <c r="U364" i="1" s="1"/>
  <c r="U363" i="1" a="1"/>
  <c r="U363" i="1" s="1"/>
  <c r="U362" i="1" a="1"/>
  <c r="U362" i="1" s="1"/>
  <c r="U361" i="1" a="1"/>
  <c r="U361" i="1" s="1"/>
  <c r="U360" i="1" a="1"/>
  <c r="U360" i="1" s="1"/>
  <c r="U359" i="1" a="1"/>
  <c r="U359" i="1" s="1"/>
  <c r="U358" i="1" a="1"/>
  <c r="U358" i="1" s="1"/>
  <c r="U357" i="1" a="1"/>
  <c r="U357" i="1" s="1"/>
  <c r="U356" i="1" a="1"/>
  <c r="U356" i="1" s="1"/>
  <c r="U355" i="1" a="1"/>
  <c r="U355" i="1" s="1"/>
  <c r="U354" i="1" a="1"/>
  <c r="U354" i="1" s="1"/>
  <c r="U353" i="1" a="1"/>
  <c r="U353" i="1" s="1"/>
  <c r="U352" i="1" a="1"/>
  <c r="U352" i="1" s="1"/>
  <c r="U351" i="1" a="1"/>
  <c r="U351" i="1" s="1"/>
  <c r="U350" i="1" a="1"/>
  <c r="U350" i="1" s="1"/>
  <c r="U349" i="1" a="1"/>
  <c r="U349" i="1" s="1"/>
  <c r="U348" i="1" a="1"/>
  <c r="U348" i="1" s="1"/>
  <c r="U347" i="1" a="1"/>
  <c r="U347" i="1" s="1"/>
  <c r="U346" i="1" a="1"/>
  <c r="U346" i="1" s="1"/>
  <c r="U345" i="1" a="1"/>
  <c r="U345" i="1" s="1"/>
  <c r="U344" i="1" a="1"/>
  <c r="U344" i="1" s="1"/>
  <c r="U343" i="1" a="1"/>
  <c r="U343" i="1" s="1"/>
  <c r="U342" i="1" a="1"/>
  <c r="U342" i="1" s="1"/>
  <c r="U341" i="1" a="1"/>
  <c r="U341" i="1" s="1"/>
  <c r="U340" i="1" a="1"/>
  <c r="U340" i="1" s="1"/>
  <c r="U339" i="1" a="1"/>
  <c r="U339" i="1" s="1"/>
  <c r="U338" i="1" a="1"/>
  <c r="U338" i="1" s="1"/>
  <c r="U337" i="1" a="1"/>
  <c r="U337" i="1" s="1"/>
  <c r="U336" i="1" a="1"/>
  <c r="U336" i="1" s="1"/>
  <c r="U335" i="1" a="1"/>
  <c r="U335" i="1" s="1"/>
  <c r="U334" i="1" a="1"/>
  <c r="U334" i="1" s="1"/>
  <c r="U333" i="1" a="1"/>
  <c r="U333" i="1" s="1"/>
  <c r="U332" i="1" a="1"/>
  <c r="U332" i="1" s="1"/>
  <c r="U331" i="1" a="1"/>
  <c r="U331" i="1" s="1"/>
  <c r="U330" i="1" a="1"/>
  <c r="U330" i="1" s="1"/>
  <c r="U329" i="1" a="1"/>
  <c r="U329" i="1" s="1"/>
  <c r="U328" i="1" a="1"/>
  <c r="U328" i="1" s="1"/>
  <c r="U327" i="1" a="1"/>
  <c r="U327" i="1" s="1"/>
  <c r="U326" i="1" a="1"/>
  <c r="U326" i="1" s="1"/>
  <c r="U325" i="1" a="1"/>
  <c r="U325" i="1" s="1"/>
  <c r="U324" i="1" a="1"/>
  <c r="U324" i="1" s="1"/>
  <c r="U323" i="1" a="1"/>
  <c r="U323" i="1" s="1"/>
  <c r="U322" i="1" a="1"/>
  <c r="U322" i="1" s="1"/>
  <c r="U321" i="1" a="1"/>
  <c r="U321" i="1" s="1"/>
  <c r="U320" i="1" a="1"/>
  <c r="U320" i="1" s="1"/>
  <c r="U319" i="1" a="1"/>
  <c r="U319" i="1" s="1"/>
  <c r="U318" i="1" a="1"/>
  <c r="U318" i="1" s="1"/>
  <c r="U317" i="1" a="1"/>
  <c r="U317" i="1" s="1"/>
  <c r="U316" i="1" a="1"/>
  <c r="U316" i="1" s="1"/>
  <c r="U315" i="1" a="1"/>
  <c r="U315" i="1" s="1"/>
  <c r="U314" i="1" a="1"/>
  <c r="U314" i="1" s="1"/>
  <c r="U313" i="1" a="1"/>
  <c r="U313" i="1" s="1"/>
  <c r="U312" i="1" a="1"/>
  <c r="U312" i="1" s="1"/>
  <c r="U311" i="1" a="1"/>
  <c r="U311" i="1" s="1"/>
  <c r="U310" i="1" a="1"/>
  <c r="U310" i="1" s="1"/>
  <c r="U309" i="1" a="1"/>
  <c r="U309" i="1" s="1"/>
  <c r="U308" i="1" a="1"/>
  <c r="U308" i="1" s="1"/>
  <c r="U307" i="1" a="1"/>
  <c r="U307" i="1" s="1"/>
  <c r="U306" i="1" a="1"/>
  <c r="U306" i="1" s="1"/>
  <c r="U305" i="1" a="1"/>
  <c r="U305" i="1" s="1"/>
  <c r="U304" i="1" a="1"/>
  <c r="U304" i="1" s="1"/>
  <c r="U303" i="1" a="1"/>
  <c r="U303" i="1" s="1"/>
  <c r="U302" i="1" a="1"/>
  <c r="U302" i="1" s="1"/>
  <c r="U301" i="1" a="1"/>
  <c r="U301" i="1" s="1"/>
  <c r="U300" i="1" a="1"/>
  <c r="U300" i="1" s="1"/>
  <c r="U299" i="1" a="1"/>
  <c r="U299" i="1" s="1"/>
  <c r="U298" i="1" a="1"/>
  <c r="U298" i="1" s="1"/>
  <c r="U297" i="1" a="1"/>
  <c r="U297" i="1" s="1"/>
  <c r="U296" i="1" a="1"/>
  <c r="U296" i="1" s="1"/>
  <c r="U295" i="1" a="1"/>
  <c r="U295" i="1" s="1"/>
  <c r="U294" i="1" a="1"/>
  <c r="U294" i="1" s="1"/>
  <c r="U293" i="1" a="1"/>
  <c r="U293" i="1" s="1"/>
  <c r="U292" i="1" a="1"/>
  <c r="U292" i="1" s="1"/>
  <c r="U291" i="1" a="1"/>
  <c r="U291" i="1" s="1"/>
  <c r="U290" i="1" a="1"/>
  <c r="U290" i="1" s="1"/>
  <c r="U289" i="1" a="1"/>
  <c r="U289" i="1" s="1"/>
  <c r="U288" i="1" a="1"/>
  <c r="U288" i="1" s="1"/>
  <c r="U287" i="1" a="1"/>
  <c r="U287" i="1" s="1"/>
  <c r="U286" i="1" a="1"/>
  <c r="U286" i="1" s="1"/>
  <c r="U285" i="1" a="1"/>
  <c r="U285" i="1" s="1"/>
  <c r="U284" i="1" a="1"/>
  <c r="U284" i="1" s="1"/>
  <c r="U283" i="1" a="1"/>
  <c r="U283" i="1" s="1"/>
  <c r="U282" i="1" a="1"/>
  <c r="U282" i="1" s="1"/>
  <c r="U281" i="1" a="1"/>
  <c r="U281" i="1" s="1"/>
  <c r="U280" i="1" a="1"/>
  <c r="U280" i="1" s="1"/>
  <c r="U279" i="1" a="1"/>
  <c r="U279" i="1" s="1"/>
  <c r="U278" i="1" a="1"/>
  <c r="U278" i="1" s="1"/>
  <c r="U277" i="1" a="1"/>
  <c r="U277" i="1" s="1"/>
  <c r="U276" i="1" a="1"/>
  <c r="U276" i="1" s="1"/>
  <c r="U275" i="1" a="1"/>
  <c r="U275" i="1" s="1"/>
  <c r="U274" i="1" a="1"/>
  <c r="U274" i="1" s="1"/>
  <c r="U273" i="1" a="1"/>
  <c r="U273" i="1" s="1"/>
  <c r="U272" i="1" a="1"/>
  <c r="U272" i="1" s="1"/>
  <c r="U271" i="1" a="1"/>
  <c r="U271" i="1" s="1"/>
  <c r="U270" i="1" a="1"/>
  <c r="U270" i="1" s="1"/>
  <c r="U269" i="1" a="1"/>
  <c r="U269" i="1" s="1"/>
  <c r="U268" i="1" a="1"/>
  <c r="U268" i="1" s="1"/>
  <c r="U267" i="1" a="1"/>
  <c r="U267" i="1" s="1"/>
  <c r="U266" i="1" a="1"/>
  <c r="U266" i="1" s="1"/>
  <c r="U265" i="1" a="1"/>
  <c r="U265" i="1" s="1"/>
  <c r="U264" i="1" a="1"/>
  <c r="U264" i="1" s="1"/>
  <c r="U263" i="1" a="1"/>
  <c r="U263" i="1" s="1"/>
  <c r="U262" i="1" a="1"/>
  <c r="U262" i="1" s="1"/>
  <c r="U261" i="1" a="1"/>
  <c r="U261" i="1" s="1"/>
  <c r="U260" i="1" a="1"/>
  <c r="U260" i="1" s="1"/>
  <c r="U259" i="1" a="1"/>
  <c r="U259" i="1" s="1"/>
  <c r="U258" i="1" a="1"/>
  <c r="U258" i="1" s="1"/>
  <c r="U257" i="1" a="1"/>
  <c r="U257" i="1" s="1"/>
  <c r="U256" i="1" a="1"/>
  <c r="U256" i="1" s="1"/>
  <c r="U255" i="1" a="1"/>
  <c r="U255" i="1" s="1"/>
  <c r="U254" i="1" a="1"/>
  <c r="U254" i="1" s="1"/>
  <c r="U253" i="1" a="1"/>
  <c r="U253" i="1" s="1"/>
  <c r="U252" i="1" a="1"/>
  <c r="U252" i="1" s="1"/>
  <c r="U251" i="1" a="1"/>
  <c r="U251" i="1" s="1"/>
  <c r="U250" i="1" a="1"/>
  <c r="U250" i="1" s="1"/>
  <c r="U249" i="1" a="1"/>
  <c r="U249" i="1" s="1"/>
  <c r="U248" i="1" a="1"/>
  <c r="U248" i="1" s="1"/>
  <c r="U247" i="1" a="1"/>
  <c r="U247" i="1" s="1"/>
  <c r="U246" i="1" a="1"/>
  <c r="U246" i="1" s="1"/>
  <c r="U245" i="1" a="1"/>
  <c r="U245" i="1" s="1"/>
  <c r="U244" i="1" a="1"/>
  <c r="U244" i="1" s="1"/>
  <c r="U243" i="1" a="1"/>
  <c r="U243" i="1" s="1"/>
  <c r="U242" i="1" a="1"/>
  <c r="U242" i="1" s="1"/>
  <c r="U241" i="1" a="1"/>
  <c r="U241" i="1" s="1"/>
  <c r="U240" i="1" a="1"/>
  <c r="U240" i="1" s="1"/>
  <c r="U239" i="1" a="1"/>
  <c r="U239" i="1" s="1"/>
  <c r="U238" i="1" a="1"/>
  <c r="U238" i="1" s="1"/>
  <c r="U237" i="1" a="1"/>
  <c r="U237" i="1" s="1"/>
  <c r="U236" i="1" a="1"/>
  <c r="U236" i="1" s="1"/>
  <c r="U235" i="1" a="1"/>
  <c r="U235" i="1" s="1"/>
  <c r="U234" i="1" a="1"/>
  <c r="U234" i="1" s="1"/>
  <c r="U233" i="1" a="1"/>
  <c r="U233" i="1" s="1"/>
  <c r="U232" i="1" a="1"/>
  <c r="U232" i="1" s="1"/>
  <c r="U231" i="1" a="1"/>
  <c r="U231" i="1" s="1"/>
  <c r="U230" i="1" a="1"/>
  <c r="U230" i="1" s="1"/>
  <c r="U229" i="1" a="1"/>
  <c r="U229" i="1" s="1"/>
  <c r="U228" i="1" a="1"/>
  <c r="U228" i="1" s="1"/>
  <c r="U227" i="1" a="1"/>
  <c r="U227" i="1" s="1"/>
  <c r="U226" i="1" a="1"/>
  <c r="U226" i="1" s="1"/>
  <c r="U225" i="1" a="1"/>
  <c r="U225" i="1" s="1"/>
  <c r="U224" i="1" a="1"/>
  <c r="U224" i="1" s="1"/>
  <c r="U223" i="1" a="1"/>
  <c r="U223" i="1" s="1"/>
  <c r="U222" i="1" a="1"/>
  <c r="U222" i="1" s="1"/>
  <c r="U221" i="1" a="1"/>
  <c r="U221" i="1" s="1"/>
  <c r="U220" i="1" a="1"/>
  <c r="U220" i="1" s="1"/>
  <c r="U219" i="1" a="1"/>
  <c r="U219" i="1" s="1"/>
  <c r="U218" i="1" a="1"/>
  <c r="U218" i="1" s="1"/>
  <c r="U217" i="1" a="1"/>
  <c r="U217" i="1" s="1"/>
  <c r="U216" i="1" a="1"/>
  <c r="U216" i="1" s="1"/>
  <c r="U215" i="1" a="1"/>
  <c r="U215" i="1" s="1"/>
  <c r="U214" i="1" a="1"/>
  <c r="U214" i="1" s="1"/>
  <c r="U213" i="1" a="1"/>
  <c r="U213" i="1" s="1"/>
  <c r="U212" i="1" a="1"/>
  <c r="U212" i="1" s="1"/>
  <c r="U211" i="1" a="1"/>
  <c r="U211" i="1" s="1"/>
  <c r="U210" i="1" a="1"/>
  <c r="U210" i="1" s="1"/>
  <c r="U209" i="1" a="1"/>
  <c r="U209" i="1" s="1"/>
  <c r="U208" i="1" a="1"/>
  <c r="U208" i="1" s="1"/>
  <c r="U207" i="1" a="1"/>
  <c r="U207" i="1" s="1"/>
  <c r="U206" i="1" a="1"/>
  <c r="U206" i="1" s="1"/>
  <c r="U205" i="1" a="1"/>
  <c r="U205" i="1" s="1"/>
  <c r="U204" i="1" a="1"/>
  <c r="U204" i="1" s="1"/>
  <c r="U203" i="1" a="1"/>
  <c r="U203" i="1" s="1"/>
  <c r="U202" i="1" a="1"/>
  <c r="U202" i="1" s="1"/>
  <c r="U201" i="1" a="1"/>
  <c r="U201" i="1" s="1"/>
  <c r="U200" i="1" a="1"/>
  <c r="U200" i="1" s="1"/>
  <c r="U199" i="1" a="1"/>
  <c r="U199" i="1" s="1"/>
  <c r="U198" i="1" a="1"/>
  <c r="U198" i="1" s="1"/>
  <c r="U197" i="1" a="1"/>
  <c r="U197" i="1" s="1"/>
  <c r="U196" i="1" a="1"/>
  <c r="U196" i="1" s="1"/>
  <c r="U195" i="1" a="1"/>
  <c r="U195" i="1" s="1"/>
  <c r="U194" i="1" a="1"/>
  <c r="U194" i="1" s="1"/>
  <c r="U193" i="1" a="1"/>
  <c r="U193" i="1" s="1"/>
  <c r="U192" i="1" a="1"/>
  <c r="U192" i="1" s="1"/>
  <c r="U191" i="1" a="1"/>
  <c r="U191" i="1" s="1"/>
  <c r="U190" i="1" a="1"/>
  <c r="U190" i="1" s="1"/>
  <c r="U189" i="1" a="1"/>
  <c r="U189" i="1" s="1"/>
  <c r="U188" i="1" a="1"/>
  <c r="U188" i="1" s="1"/>
  <c r="U187" i="1" a="1"/>
  <c r="U187" i="1" s="1"/>
  <c r="U186" i="1" a="1"/>
  <c r="U186" i="1" s="1"/>
  <c r="U185" i="1" a="1"/>
  <c r="U185" i="1" s="1"/>
  <c r="U184" i="1" a="1"/>
  <c r="U184" i="1" s="1"/>
  <c r="U183" i="1" a="1"/>
  <c r="U183" i="1" s="1"/>
  <c r="U182" i="1" a="1"/>
  <c r="U182" i="1" s="1"/>
  <c r="U181" i="1" a="1"/>
  <c r="U181" i="1" s="1"/>
  <c r="U180" i="1" a="1"/>
  <c r="U180" i="1" s="1"/>
  <c r="U179" i="1" a="1"/>
  <c r="U179" i="1" s="1"/>
  <c r="U178" i="1" a="1"/>
  <c r="U178" i="1" s="1"/>
  <c r="U177" i="1" a="1"/>
  <c r="U177" i="1" s="1"/>
  <c r="U176" i="1" a="1"/>
  <c r="U176" i="1" s="1"/>
  <c r="U175" i="1" a="1"/>
  <c r="U175" i="1" s="1"/>
  <c r="U174" i="1" a="1"/>
  <c r="U174" i="1" s="1"/>
  <c r="U173" i="1" a="1"/>
  <c r="U173" i="1" s="1"/>
  <c r="U172" i="1" a="1"/>
  <c r="U172" i="1" s="1"/>
  <c r="U171" i="1" a="1"/>
  <c r="U171" i="1" s="1"/>
  <c r="U170" i="1" a="1"/>
  <c r="U170" i="1" s="1"/>
  <c r="U169" i="1" a="1"/>
  <c r="U169" i="1" s="1"/>
  <c r="U168" i="1" a="1"/>
  <c r="U168" i="1" s="1"/>
  <c r="U167" i="1" a="1"/>
  <c r="U167" i="1" s="1"/>
  <c r="U166" i="1" a="1"/>
  <c r="U166" i="1" s="1"/>
  <c r="U165" i="1" a="1"/>
  <c r="U165" i="1" s="1"/>
  <c r="U164" i="1" a="1"/>
  <c r="U164" i="1" s="1"/>
  <c r="U163" i="1" a="1"/>
  <c r="U163" i="1" s="1"/>
  <c r="U162" i="1" a="1"/>
  <c r="U162" i="1" s="1"/>
  <c r="U161" i="1" a="1"/>
  <c r="U161" i="1" s="1"/>
  <c r="U160" i="1" a="1"/>
  <c r="U160" i="1" s="1"/>
  <c r="U159" i="1" a="1"/>
  <c r="U159" i="1" s="1"/>
  <c r="U158" i="1" a="1"/>
  <c r="U158" i="1" s="1"/>
  <c r="U157" i="1" a="1"/>
  <c r="U157" i="1" s="1"/>
  <c r="U156" i="1" a="1"/>
  <c r="U156" i="1" s="1"/>
  <c r="U155" i="1" a="1"/>
  <c r="U155" i="1" s="1"/>
  <c r="U154" i="1" a="1"/>
  <c r="U154" i="1" s="1"/>
  <c r="U153" i="1" a="1"/>
  <c r="U153" i="1" s="1"/>
  <c r="U152" i="1" a="1"/>
  <c r="U152" i="1" s="1"/>
  <c r="U151" i="1" a="1"/>
  <c r="U151" i="1" s="1"/>
  <c r="U150" i="1" a="1"/>
  <c r="U150" i="1" s="1"/>
  <c r="U149" i="1" a="1"/>
  <c r="U149" i="1" s="1"/>
  <c r="U148" i="1" a="1"/>
  <c r="U148" i="1" s="1"/>
  <c r="U147" i="1" a="1"/>
  <c r="U147" i="1" s="1"/>
  <c r="U146" i="1" a="1"/>
  <c r="U146" i="1" s="1"/>
  <c r="U145" i="1" a="1"/>
  <c r="U145" i="1" s="1"/>
  <c r="U144" i="1" a="1"/>
  <c r="U144" i="1" s="1"/>
  <c r="U143" i="1" a="1"/>
  <c r="U143" i="1" s="1"/>
  <c r="U142" i="1" a="1"/>
  <c r="U142" i="1" s="1"/>
  <c r="U141" i="1" a="1"/>
  <c r="U141" i="1" s="1"/>
  <c r="U140" i="1" a="1"/>
  <c r="U140" i="1" s="1"/>
  <c r="U139" i="1" a="1"/>
  <c r="U139" i="1" s="1"/>
  <c r="U138" i="1" a="1"/>
  <c r="U138" i="1" s="1"/>
  <c r="U137" i="1" a="1"/>
  <c r="U137" i="1" s="1"/>
  <c r="U136" i="1" a="1"/>
  <c r="U136" i="1" s="1"/>
  <c r="U135" i="1" a="1"/>
  <c r="U135" i="1" s="1"/>
  <c r="U134" i="1" a="1"/>
  <c r="U134" i="1" s="1"/>
  <c r="U133" i="1" a="1"/>
  <c r="U133" i="1" s="1"/>
  <c r="U132" i="1" a="1"/>
  <c r="U132" i="1" s="1"/>
  <c r="U131" i="1" a="1"/>
  <c r="U131" i="1" s="1"/>
  <c r="U130" i="1" a="1"/>
  <c r="U130" i="1" s="1"/>
  <c r="U129" i="1" a="1"/>
  <c r="U129" i="1" s="1"/>
  <c r="U128" i="1" a="1"/>
  <c r="U128" i="1" s="1"/>
  <c r="U127" i="1" a="1"/>
  <c r="U127" i="1" s="1"/>
  <c r="U126" i="1" a="1"/>
  <c r="U126" i="1" s="1"/>
  <c r="U125" i="1" a="1"/>
  <c r="U125" i="1" s="1"/>
  <c r="U124" i="1" a="1"/>
  <c r="U124" i="1" s="1"/>
  <c r="U123" i="1" a="1"/>
  <c r="U123" i="1" s="1"/>
  <c r="U122" i="1" a="1"/>
  <c r="U122" i="1" s="1"/>
  <c r="U121" i="1" a="1"/>
  <c r="U121" i="1" s="1"/>
  <c r="U120" i="1" a="1"/>
  <c r="U120" i="1" s="1"/>
  <c r="U119" i="1" a="1"/>
  <c r="U119" i="1" s="1"/>
  <c r="U118" i="1" a="1"/>
  <c r="U118" i="1" s="1"/>
  <c r="U117" i="1" a="1"/>
  <c r="U117" i="1" s="1"/>
  <c r="U116" i="1" a="1"/>
  <c r="U116" i="1" s="1"/>
  <c r="U115" i="1" a="1"/>
  <c r="U115" i="1" s="1"/>
  <c r="U114" i="1" a="1"/>
  <c r="U114" i="1" s="1"/>
  <c r="U113" i="1" a="1"/>
  <c r="U113" i="1" s="1"/>
  <c r="U112" i="1" a="1"/>
  <c r="U112" i="1" s="1"/>
  <c r="U111" i="1" a="1"/>
  <c r="U111" i="1" s="1"/>
  <c r="U110" i="1" a="1"/>
  <c r="U110" i="1" s="1"/>
  <c r="U109" i="1" a="1"/>
  <c r="U109" i="1" s="1"/>
  <c r="U108" i="1" a="1"/>
  <c r="U108" i="1" s="1"/>
  <c r="U107" i="1" a="1"/>
  <c r="U107" i="1" s="1"/>
  <c r="U106" i="1" a="1"/>
  <c r="U106" i="1" s="1"/>
  <c r="U105" i="1" a="1"/>
  <c r="U105" i="1" s="1"/>
  <c r="U104" i="1" a="1"/>
  <c r="U104" i="1" s="1"/>
  <c r="U103" i="1" a="1"/>
  <c r="U103" i="1" s="1"/>
  <c r="U102" i="1" a="1"/>
  <c r="U102" i="1" s="1"/>
  <c r="U101" i="1" a="1"/>
  <c r="U101" i="1" s="1"/>
  <c r="U100" i="1" a="1"/>
  <c r="U100" i="1" s="1"/>
  <c r="U99" i="1" a="1"/>
  <c r="U99" i="1" s="1"/>
  <c r="U98" i="1" a="1"/>
  <c r="U98" i="1" s="1"/>
  <c r="U97" i="1" a="1"/>
  <c r="U97" i="1" s="1"/>
  <c r="U96" i="1" a="1"/>
  <c r="U96" i="1" s="1"/>
  <c r="U95" i="1" a="1"/>
  <c r="U95" i="1" s="1"/>
  <c r="U94" i="1" a="1"/>
  <c r="U94" i="1" s="1"/>
  <c r="U93" i="1" a="1"/>
  <c r="U93" i="1" s="1"/>
  <c r="U92" i="1" a="1"/>
  <c r="U92" i="1" s="1"/>
  <c r="U91" i="1" a="1"/>
  <c r="U91" i="1" s="1"/>
  <c r="U90" i="1" a="1"/>
  <c r="U90" i="1" s="1"/>
  <c r="U89" i="1" a="1"/>
  <c r="U89" i="1" s="1"/>
  <c r="U88" i="1" a="1"/>
  <c r="U88" i="1" s="1"/>
  <c r="U87" i="1" a="1"/>
  <c r="U87" i="1" s="1"/>
  <c r="U86" i="1" a="1"/>
  <c r="U86" i="1" s="1"/>
  <c r="U85" i="1" a="1"/>
  <c r="U85" i="1" s="1"/>
  <c r="U84" i="1" a="1"/>
  <c r="U84" i="1" s="1"/>
  <c r="U83" i="1" a="1"/>
  <c r="U83" i="1" s="1"/>
  <c r="U82" i="1" a="1"/>
  <c r="U82" i="1" s="1"/>
  <c r="U81" i="1" a="1"/>
  <c r="U81" i="1" s="1"/>
  <c r="U80" i="1" a="1"/>
  <c r="U80" i="1" s="1"/>
  <c r="U79" i="1" a="1"/>
  <c r="U79" i="1" s="1"/>
  <c r="U78" i="1" a="1"/>
  <c r="U78" i="1" s="1"/>
  <c r="U77" i="1" a="1"/>
  <c r="U77" i="1" s="1"/>
  <c r="U76" i="1" a="1"/>
  <c r="U76" i="1" s="1"/>
  <c r="U75" i="1" a="1"/>
  <c r="U75" i="1" s="1"/>
  <c r="U74" i="1" a="1"/>
  <c r="U74" i="1" s="1"/>
  <c r="U73" i="1" a="1"/>
  <c r="U73" i="1" s="1"/>
  <c r="U72" i="1" a="1"/>
  <c r="U72" i="1" s="1"/>
  <c r="U71" i="1" a="1"/>
  <c r="U71" i="1" s="1"/>
  <c r="U70" i="1" a="1"/>
  <c r="U70" i="1" s="1"/>
  <c r="U69" i="1" a="1"/>
  <c r="U69" i="1" s="1"/>
  <c r="U68" i="1" a="1"/>
  <c r="U68" i="1" s="1"/>
  <c r="U67" i="1" a="1"/>
  <c r="U67" i="1" s="1"/>
  <c r="U66" i="1" a="1"/>
  <c r="U66" i="1" s="1"/>
  <c r="U65" i="1" a="1"/>
  <c r="U65" i="1" s="1"/>
  <c r="U64" i="1" a="1"/>
  <c r="U64" i="1" s="1"/>
  <c r="U63" i="1" a="1"/>
  <c r="U63" i="1" s="1"/>
  <c r="U62" i="1" a="1"/>
  <c r="U62" i="1" s="1"/>
  <c r="U61" i="1" a="1"/>
  <c r="U61" i="1" s="1"/>
  <c r="U60" i="1" a="1"/>
  <c r="U60" i="1" s="1"/>
  <c r="U59" i="1" a="1"/>
  <c r="U59" i="1" s="1"/>
  <c r="U58" i="1" a="1"/>
  <c r="U58" i="1" s="1"/>
  <c r="U57" i="1" a="1"/>
  <c r="U57" i="1" s="1"/>
  <c r="U56" i="1" a="1"/>
  <c r="U56" i="1" s="1"/>
  <c r="U55" i="1" a="1"/>
  <c r="U55" i="1" s="1"/>
  <c r="U54" i="1" a="1"/>
  <c r="U54" i="1" s="1"/>
  <c r="U53" i="1" a="1"/>
  <c r="U53" i="1" s="1"/>
  <c r="U52" i="1" a="1"/>
  <c r="U52" i="1" s="1"/>
  <c r="U51" i="1" a="1"/>
  <c r="U51" i="1" s="1"/>
  <c r="U50" i="1" a="1"/>
  <c r="U50" i="1" s="1"/>
  <c r="U49" i="1" a="1"/>
  <c r="U49" i="1" s="1"/>
  <c r="U48" i="1" a="1"/>
  <c r="U48" i="1" s="1"/>
  <c r="U47" i="1" a="1"/>
  <c r="U47" i="1" s="1"/>
  <c r="U46" i="1" a="1"/>
  <c r="U46" i="1" s="1"/>
  <c r="U45" i="1" a="1"/>
  <c r="U45" i="1" s="1"/>
  <c r="U44" i="1" a="1"/>
  <c r="U44" i="1" s="1"/>
  <c r="U43" i="1" a="1"/>
  <c r="U43" i="1" s="1"/>
  <c r="U42" i="1" a="1"/>
  <c r="U42" i="1" s="1"/>
  <c r="U41" i="1" a="1"/>
  <c r="U41" i="1" s="1"/>
  <c r="U40" i="1" a="1"/>
  <c r="U40" i="1" s="1"/>
  <c r="U39" i="1" a="1"/>
  <c r="U39" i="1" s="1"/>
  <c r="U38" i="1" a="1"/>
  <c r="U38" i="1" s="1"/>
  <c r="U37" i="1" a="1"/>
  <c r="U37" i="1" s="1"/>
  <c r="U36" i="1" a="1"/>
  <c r="U36" i="1" s="1"/>
  <c r="U35" i="1" a="1"/>
  <c r="U35" i="1" s="1"/>
  <c r="U34" i="1" a="1"/>
  <c r="U34" i="1" s="1"/>
  <c r="U33" i="1" a="1"/>
  <c r="U33" i="1" s="1"/>
  <c r="U32" i="1" a="1"/>
  <c r="U32" i="1" s="1"/>
  <c r="U31" i="1" a="1"/>
  <c r="U31" i="1" s="1"/>
  <c r="U30" i="1" a="1"/>
  <c r="U30" i="1" s="1"/>
  <c r="U29" i="1" a="1"/>
  <c r="U29" i="1" s="1"/>
  <c r="U28" i="1" a="1"/>
  <c r="U28" i="1" s="1"/>
  <c r="U27" i="1" a="1"/>
  <c r="U27" i="1" s="1"/>
  <c r="U26" i="1" a="1"/>
  <c r="U26" i="1" s="1"/>
  <c r="U25" i="1" a="1"/>
  <c r="U25" i="1" s="1"/>
  <c r="U24" i="1" a="1"/>
  <c r="U24" i="1" s="1"/>
  <c r="U23" i="1" a="1"/>
  <c r="U23" i="1" s="1"/>
  <c r="U22" i="1" a="1"/>
  <c r="U22" i="1" s="1"/>
  <c r="U21" i="1" a="1"/>
  <c r="U21" i="1" s="1"/>
  <c r="U20" i="1" a="1"/>
  <c r="U20" i="1" s="1"/>
  <c r="U19" i="1" a="1"/>
  <c r="U19" i="1" s="1"/>
  <c r="U18" i="1" a="1"/>
  <c r="U18" i="1" s="1"/>
  <c r="U17" i="1" a="1"/>
  <c r="U17" i="1" s="1"/>
  <c r="U16" i="1" a="1"/>
  <c r="U16" i="1" s="1"/>
  <c r="U15" i="1" a="1"/>
  <c r="U15" i="1" s="1"/>
  <c r="U14" i="1" a="1"/>
  <c r="U14" i="1" s="1"/>
  <c r="U13" i="1" a="1"/>
  <c r="U13" i="1" s="1"/>
  <c r="U12" i="1" a="1"/>
  <c r="U12" i="1" s="1"/>
  <c r="U11" i="1" a="1"/>
  <c r="U11" i="1" s="1"/>
  <c r="U10" i="1" a="1"/>
  <c r="U10" i="1" s="1"/>
  <c r="U9" i="1" a="1"/>
  <c r="U9" i="1" s="1"/>
  <c r="U8" i="1" a="1"/>
  <c r="U8" i="1" s="1"/>
  <c r="U7" i="1" a="1"/>
  <c r="U7" i="1" s="1"/>
  <c r="U6" i="1" a="1"/>
  <c r="U6" i="1" s="1"/>
  <c r="U5" i="1" a="1"/>
  <c r="U5" i="1" s="1"/>
  <c r="U4" i="1" a="1"/>
  <c r="U4" i="1" s="1"/>
  <c r="U3" i="1" a="1"/>
  <c r="U3" i="1" s="1"/>
  <c r="U2" i="1" a="1"/>
  <c r="U2" i="1" s="1"/>
  <c r="S2" i="1" a="1"/>
  <c r="S2" i="1" s="1"/>
  <c r="S3" i="1" a="1"/>
  <c r="S3" i="1" s="1"/>
  <c r="S4" i="1" a="1"/>
  <c r="S4" i="1" s="1"/>
  <c r="S5" i="1" a="1"/>
  <c r="S5" i="1" s="1"/>
  <c r="S6" i="1" a="1"/>
  <c r="S6" i="1" s="1"/>
  <c r="S7" i="1" a="1"/>
  <c r="S7" i="1" s="1"/>
  <c r="S8" i="1" a="1"/>
  <c r="S8" i="1" s="1"/>
  <c r="S9" i="1" a="1"/>
  <c r="S9" i="1" s="1"/>
  <c r="S10" i="1" a="1"/>
  <c r="S10" i="1" s="1"/>
  <c r="S11" i="1" a="1"/>
  <c r="S11" i="1" s="1"/>
  <c r="S12" i="1" a="1"/>
  <c r="S12" i="1" s="1"/>
  <c r="S13" i="1" a="1"/>
  <c r="S13" i="1" s="1"/>
  <c r="S14" i="1" a="1"/>
  <c r="S14" i="1" s="1"/>
  <c r="S15" i="1" a="1"/>
  <c r="S15" i="1" s="1"/>
  <c r="S16" i="1" a="1"/>
  <c r="S16" i="1" s="1"/>
  <c r="S17" i="1" a="1"/>
  <c r="S17" i="1" s="1"/>
  <c r="S18" i="1" a="1"/>
  <c r="S18" i="1" s="1"/>
  <c r="S19" i="1" a="1"/>
  <c r="S19" i="1" s="1"/>
  <c r="S20" i="1" a="1"/>
  <c r="S20" i="1" s="1"/>
  <c r="S21" i="1" a="1"/>
  <c r="S21" i="1" s="1"/>
  <c r="S22" i="1" a="1"/>
  <c r="S22" i="1" s="1"/>
  <c r="S23" i="1" a="1"/>
  <c r="S23" i="1" s="1"/>
  <c r="S24" i="1" a="1"/>
  <c r="S24" i="1" s="1"/>
  <c r="S25" i="1" a="1"/>
  <c r="S25" i="1" s="1"/>
  <c r="S26" i="1" a="1"/>
  <c r="S26" i="1" s="1"/>
  <c r="S27" i="1" a="1"/>
  <c r="S27" i="1" s="1"/>
  <c r="S28" i="1" a="1"/>
  <c r="S28" i="1" s="1"/>
  <c r="S29" i="1" a="1"/>
  <c r="S29" i="1" s="1"/>
  <c r="S30" i="1" a="1"/>
  <c r="S30" i="1" s="1"/>
  <c r="S31" i="1" a="1"/>
  <c r="S31" i="1" s="1"/>
  <c r="S32" i="1" a="1"/>
  <c r="S32" i="1" s="1"/>
  <c r="S33" i="1" a="1"/>
  <c r="S33" i="1" s="1"/>
  <c r="S34" i="1" a="1"/>
  <c r="S34" i="1" s="1"/>
  <c r="S35" i="1" a="1"/>
  <c r="S35" i="1" s="1"/>
  <c r="S36" i="1" a="1"/>
  <c r="S36" i="1" s="1"/>
  <c r="S37" i="1" a="1"/>
  <c r="S37" i="1" s="1"/>
  <c r="S38" i="1" a="1"/>
  <c r="S38" i="1" s="1"/>
  <c r="S39" i="1" a="1"/>
  <c r="S39" i="1" s="1"/>
  <c r="S40" i="1" a="1"/>
  <c r="S40" i="1" s="1"/>
  <c r="S41" i="1" a="1"/>
  <c r="S41" i="1" s="1"/>
  <c r="S42" i="1" a="1"/>
  <c r="S42" i="1" s="1"/>
  <c r="S43" i="1" a="1"/>
  <c r="S43" i="1" s="1"/>
  <c r="S44" i="1" a="1"/>
  <c r="S44" i="1" s="1"/>
  <c r="S45" i="1" a="1"/>
  <c r="S45" i="1" s="1"/>
  <c r="S46" i="1" a="1"/>
  <c r="S46" i="1" s="1"/>
  <c r="S47" i="1" a="1"/>
  <c r="S47" i="1" s="1"/>
  <c r="S48" i="1" a="1"/>
  <c r="S48" i="1" s="1"/>
  <c r="S49" i="1" a="1"/>
  <c r="S49" i="1" s="1"/>
  <c r="S50" i="1" a="1"/>
  <c r="S50" i="1" s="1"/>
  <c r="S51" i="1" a="1"/>
  <c r="S51" i="1" s="1"/>
  <c r="S52" i="1" a="1"/>
  <c r="S52" i="1" s="1"/>
  <c r="S53" i="1" a="1"/>
  <c r="S53" i="1" s="1"/>
  <c r="S54" i="1" a="1"/>
  <c r="S54" i="1" s="1"/>
  <c r="S55" i="1" a="1"/>
  <c r="S55" i="1" s="1"/>
  <c r="S56" i="1" a="1"/>
  <c r="S56" i="1" s="1"/>
  <c r="S57" i="1" a="1"/>
  <c r="S57" i="1" s="1"/>
  <c r="S58" i="1" a="1"/>
  <c r="S58" i="1" s="1"/>
  <c r="S59" i="1" a="1"/>
  <c r="S59" i="1" s="1"/>
  <c r="S60" i="1" a="1"/>
  <c r="S60" i="1" s="1"/>
  <c r="S61" i="1" a="1"/>
  <c r="S61" i="1" s="1"/>
  <c r="S62" i="1" a="1"/>
  <c r="S62" i="1" s="1"/>
  <c r="S63" i="1" a="1"/>
  <c r="S63" i="1" s="1"/>
  <c r="S64" i="1" a="1"/>
  <c r="S64" i="1" s="1"/>
  <c r="S65" i="1" a="1"/>
  <c r="S65" i="1" s="1"/>
  <c r="S66" i="1" a="1"/>
  <c r="S66" i="1" s="1"/>
  <c r="S67" i="1" a="1"/>
  <c r="S67" i="1" s="1"/>
  <c r="S68" i="1" a="1"/>
  <c r="S68" i="1" s="1"/>
  <c r="S69" i="1" a="1"/>
  <c r="S69" i="1" s="1"/>
  <c r="S70" i="1" a="1"/>
  <c r="S70" i="1" s="1"/>
  <c r="S71" i="1" a="1"/>
  <c r="S71" i="1" s="1"/>
  <c r="S72" i="1" a="1"/>
  <c r="S72" i="1" s="1"/>
  <c r="S73" i="1" a="1"/>
  <c r="S73" i="1" s="1"/>
  <c r="S74" i="1" a="1"/>
  <c r="S74" i="1" s="1"/>
  <c r="S75" i="1" a="1"/>
  <c r="S75" i="1" s="1"/>
  <c r="S76" i="1" a="1"/>
  <c r="S76" i="1" s="1"/>
  <c r="S77" i="1" a="1"/>
  <c r="S77" i="1" s="1"/>
  <c r="S78" i="1" a="1"/>
  <c r="S78" i="1" s="1"/>
  <c r="S79" i="1" a="1"/>
  <c r="S79" i="1" s="1"/>
  <c r="S80" i="1" a="1"/>
  <c r="S80" i="1" s="1"/>
  <c r="S81" i="1" a="1"/>
  <c r="S81" i="1" s="1"/>
  <c r="S82" i="1" a="1"/>
  <c r="S82" i="1" s="1"/>
  <c r="S83" i="1" a="1"/>
  <c r="S83" i="1" s="1"/>
  <c r="S84" i="1" a="1"/>
  <c r="S84" i="1" s="1"/>
  <c r="S85" i="1" a="1"/>
  <c r="S85" i="1" s="1"/>
  <c r="S86" i="1" a="1"/>
  <c r="S86" i="1" s="1"/>
  <c r="S87" i="1" a="1"/>
  <c r="S87" i="1" s="1"/>
  <c r="S88" i="1" a="1"/>
  <c r="S88" i="1" s="1"/>
  <c r="S89" i="1" a="1"/>
  <c r="S89" i="1" s="1"/>
  <c r="S90" i="1" a="1"/>
  <c r="S90" i="1" s="1"/>
  <c r="S91" i="1" a="1"/>
  <c r="S91" i="1" s="1"/>
  <c r="S92" i="1" a="1"/>
  <c r="S92" i="1" s="1"/>
  <c r="S93" i="1" a="1"/>
  <c r="S93" i="1" s="1"/>
  <c r="S94" i="1" a="1"/>
  <c r="S94" i="1" s="1"/>
  <c r="S95" i="1" a="1"/>
  <c r="S95" i="1" s="1"/>
  <c r="S96" i="1" a="1"/>
  <c r="S96" i="1" s="1"/>
  <c r="S97" i="1" a="1"/>
  <c r="S97" i="1" s="1"/>
  <c r="S98" i="1" a="1"/>
  <c r="S98" i="1" s="1"/>
  <c r="S99" i="1" a="1"/>
  <c r="S99" i="1" s="1"/>
  <c r="S100" i="1" a="1"/>
  <c r="S100" i="1" s="1"/>
  <c r="S101" i="1" a="1"/>
  <c r="S101" i="1" s="1"/>
  <c r="S102" i="1" a="1"/>
  <c r="S102" i="1" s="1"/>
  <c r="S103" i="1" a="1"/>
  <c r="S103" i="1" s="1"/>
  <c r="S104" i="1" a="1"/>
  <c r="S104" i="1" s="1"/>
  <c r="S105" i="1" a="1"/>
  <c r="S105" i="1" s="1"/>
  <c r="S106" i="1" a="1"/>
  <c r="S106" i="1" s="1"/>
  <c r="S107" i="1" a="1"/>
  <c r="S107" i="1" s="1"/>
  <c r="S108" i="1" a="1"/>
  <c r="S108" i="1" s="1"/>
  <c r="S109" i="1" a="1"/>
  <c r="S109" i="1" s="1"/>
  <c r="S110" i="1" a="1"/>
  <c r="S110" i="1" s="1"/>
  <c r="S111" i="1" a="1"/>
  <c r="S111" i="1" s="1"/>
  <c r="S112" i="1" a="1"/>
  <c r="S112" i="1" s="1"/>
  <c r="S113" i="1" a="1"/>
  <c r="S113" i="1" s="1"/>
  <c r="S114" i="1" a="1"/>
  <c r="S114" i="1" s="1"/>
  <c r="S115" i="1" a="1"/>
  <c r="S115" i="1" s="1"/>
  <c r="S116" i="1" a="1"/>
  <c r="S116" i="1" s="1"/>
  <c r="S117" i="1" a="1"/>
  <c r="S117" i="1" s="1"/>
  <c r="S118" i="1" a="1"/>
  <c r="S118" i="1" s="1"/>
  <c r="S119" i="1" a="1"/>
  <c r="S119" i="1" s="1"/>
  <c r="S120" i="1" a="1"/>
  <c r="S120" i="1" s="1"/>
  <c r="S121" i="1" a="1"/>
  <c r="S121" i="1" s="1"/>
  <c r="S122" i="1" a="1"/>
  <c r="S122" i="1" s="1"/>
  <c r="S123" i="1" a="1"/>
  <c r="S123" i="1" s="1"/>
  <c r="S124" i="1" a="1"/>
  <c r="S124" i="1" s="1"/>
  <c r="S125" i="1" a="1"/>
  <c r="S125" i="1" s="1"/>
  <c r="S126" i="1" a="1"/>
  <c r="S126" i="1" s="1"/>
  <c r="S127" i="1" a="1"/>
  <c r="S127" i="1" s="1"/>
  <c r="S128" i="1" a="1"/>
  <c r="S128" i="1" s="1"/>
  <c r="S129" i="1" a="1"/>
  <c r="S129" i="1" s="1"/>
  <c r="S130" i="1" a="1"/>
  <c r="S130" i="1" s="1"/>
  <c r="S131" i="1" a="1"/>
  <c r="S131" i="1" s="1"/>
  <c r="S132" i="1" a="1"/>
  <c r="S132" i="1" s="1"/>
  <c r="S133" i="1" a="1"/>
  <c r="S133" i="1" s="1"/>
  <c r="S134" i="1" a="1"/>
  <c r="S134" i="1" s="1"/>
  <c r="S135" i="1" a="1"/>
  <c r="S135" i="1" s="1"/>
  <c r="S136" i="1" a="1"/>
  <c r="S136" i="1" s="1"/>
  <c r="S137" i="1" a="1"/>
  <c r="S137" i="1" s="1"/>
  <c r="S138" i="1" a="1"/>
  <c r="S138" i="1" s="1"/>
  <c r="S139" i="1" a="1"/>
  <c r="S139" i="1" s="1"/>
  <c r="S140" i="1" a="1"/>
  <c r="S140" i="1" s="1"/>
  <c r="S141" i="1" a="1"/>
  <c r="S141" i="1" s="1"/>
  <c r="S142" i="1" a="1"/>
  <c r="S142" i="1" s="1"/>
  <c r="S143" i="1" a="1"/>
  <c r="S143" i="1" s="1"/>
  <c r="S144" i="1" a="1"/>
  <c r="S144" i="1" s="1"/>
  <c r="S145" i="1" a="1"/>
  <c r="S145" i="1" s="1"/>
  <c r="S146" i="1" a="1"/>
  <c r="S146" i="1" s="1"/>
  <c r="S147" i="1" a="1"/>
  <c r="S147" i="1" s="1"/>
  <c r="S148" i="1" a="1"/>
  <c r="S148" i="1" s="1"/>
  <c r="S149" i="1" a="1"/>
  <c r="S149" i="1" s="1"/>
  <c r="S150" i="1" a="1"/>
  <c r="S150" i="1" s="1"/>
  <c r="S151" i="1" a="1"/>
  <c r="S151" i="1" s="1"/>
  <c r="S152" i="1" a="1"/>
  <c r="S152" i="1" s="1"/>
  <c r="S153" i="1" a="1"/>
  <c r="S153" i="1" s="1"/>
  <c r="S154" i="1" a="1"/>
  <c r="S154" i="1" s="1"/>
  <c r="S155" i="1" a="1"/>
  <c r="S155" i="1" s="1"/>
  <c r="S156" i="1" a="1"/>
  <c r="S156" i="1" s="1"/>
  <c r="S157" i="1" a="1"/>
  <c r="S157" i="1" s="1"/>
  <c r="S158" i="1" a="1"/>
  <c r="S158" i="1" s="1"/>
  <c r="S159" i="1" a="1"/>
  <c r="S159" i="1" s="1"/>
  <c r="S160" i="1" a="1"/>
  <c r="S160" i="1" s="1"/>
  <c r="S161" i="1" a="1"/>
  <c r="S161" i="1" s="1"/>
  <c r="S162" i="1" a="1"/>
  <c r="S162" i="1" s="1"/>
  <c r="S163" i="1" a="1"/>
  <c r="S163" i="1" s="1"/>
  <c r="S164" i="1" a="1"/>
  <c r="S164" i="1" s="1"/>
  <c r="S165" i="1" a="1"/>
  <c r="S165" i="1" s="1"/>
  <c r="S166" i="1" a="1"/>
  <c r="S166" i="1" s="1"/>
  <c r="S167" i="1" a="1"/>
  <c r="S167" i="1" s="1"/>
  <c r="S168" i="1" a="1"/>
  <c r="S168" i="1" s="1"/>
  <c r="S169" i="1" a="1"/>
  <c r="S169" i="1" s="1"/>
  <c r="S170" i="1" a="1"/>
  <c r="S170" i="1" s="1"/>
  <c r="S171" i="1" a="1"/>
  <c r="S171" i="1" s="1"/>
  <c r="S172" i="1" a="1"/>
  <c r="S172" i="1" s="1"/>
  <c r="S173" i="1" a="1"/>
  <c r="S173" i="1" s="1"/>
  <c r="S174" i="1" a="1"/>
  <c r="S174" i="1" s="1"/>
  <c r="S175" i="1" a="1"/>
  <c r="S175" i="1" s="1"/>
  <c r="S176" i="1" a="1"/>
  <c r="S176" i="1" s="1"/>
  <c r="S177" i="1" a="1"/>
  <c r="S177" i="1" s="1"/>
  <c r="S178" i="1" a="1"/>
  <c r="S178" i="1" s="1"/>
  <c r="S179" i="1" a="1"/>
  <c r="S179" i="1" s="1"/>
  <c r="S180" i="1" a="1"/>
  <c r="S180" i="1" s="1"/>
  <c r="S181" i="1" a="1"/>
  <c r="S181" i="1" s="1"/>
  <c r="S182" i="1" a="1"/>
  <c r="S182" i="1" s="1"/>
  <c r="S183" i="1" a="1"/>
  <c r="S183" i="1" s="1"/>
  <c r="S184" i="1" a="1"/>
  <c r="S184" i="1" s="1"/>
  <c r="S185" i="1" a="1"/>
  <c r="S185" i="1" s="1"/>
  <c r="S186" i="1" a="1"/>
  <c r="S186" i="1" s="1"/>
  <c r="S187" i="1" a="1"/>
  <c r="S187" i="1" s="1"/>
  <c r="S188" i="1" a="1"/>
  <c r="S188" i="1" s="1"/>
  <c r="S189" i="1" a="1"/>
  <c r="S189" i="1" s="1"/>
  <c r="S190" i="1" a="1"/>
  <c r="S190" i="1" s="1"/>
  <c r="S191" i="1" a="1"/>
  <c r="S191" i="1" s="1"/>
  <c r="S192" i="1" a="1"/>
  <c r="S192" i="1" s="1"/>
  <c r="S193" i="1" a="1"/>
  <c r="S193" i="1" s="1"/>
  <c r="S194" i="1" a="1"/>
  <c r="S194" i="1" s="1"/>
  <c r="S195" i="1" a="1"/>
  <c r="S195" i="1" s="1"/>
  <c r="S196" i="1" a="1"/>
  <c r="S196" i="1" s="1"/>
  <c r="S197" i="1" a="1"/>
  <c r="S197" i="1" s="1"/>
  <c r="S198" i="1" a="1"/>
  <c r="S198" i="1" s="1"/>
  <c r="S199" i="1" a="1"/>
  <c r="S199" i="1" s="1"/>
  <c r="S200" i="1" a="1"/>
  <c r="S200" i="1" s="1"/>
  <c r="S201" i="1" a="1"/>
  <c r="S201" i="1" s="1"/>
  <c r="S202" i="1" a="1"/>
  <c r="S202" i="1" s="1"/>
  <c r="S203" i="1" a="1"/>
  <c r="S203" i="1" s="1"/>
  <c r="S204" i="1" a="1"/>
  <c r="S204" i="1" s="1"/>
  <c r="S205" i="1" a="1"/>
  <c r="S205" i="1" s="1"/>
  <c r="S206" i="1" a="1"/>
  <c r="S206" i="1" s="1"/>
  <c r="S207" i="1" a="1"/>
  <c r="S207" i="1" s="1"/>
  <c r="S208" i="1" a="1"/>
  <c r="S208" i="1" s="1"/>
  <c r="S209" i="1" a="1"/>
  <c r="S209" i="1" s="1"/>
  <c r="S210" i="1" a="1"/>
  <c r="S210" i="1" s="1"/>
  <c r="S211" i="1" a="1"/>
  <c r="S211" i="1" s="1"/>
  <c r="S212" i="1" a="1"/>
  <c r="S212" i="1" s="1"/>
  <c r="S213" i="1" a="1"/>
  <c r="S213" i="1" s="1"/>
  <c r="S214" i="1" a="1"/>
  <c r="S214" i="1" s="1"/>
  <c r="S215" i="1" a="1"/>
  <c r="S215" i="1" s="1"/>
  <c r="S216" i="1" a="1"/>
  <c r="S216" i="1" s="1"/>
  <c r="S217" i="1" a="1"/>
  <c r="S217" i="1" s="1"/>
  <c r="S218" i="1" a="1"/>
  <c r="S218" i="1" s="1"/>
  <c r="S219" i="1" a="1"/>
  <c r="S219" i="1" s="1"/>
  <c r="S220" i="1" a="1"/>
  <c r="S220" i="1" s="1"/>
  <c r="S221" i="1" a="1"/>
  <c r="S221" i="1" s="1"/>
  <c r="S222" i="1" a="1"/>
  <c r="S222" i="1" s="1"/>
  <c r="S223" i="1" a="1"/>
  <c r="S223" i="1" s="1"/>
  <c r="S224" i="1" a="1"/>
  <c r="S224" i="1" s="1"/>
  <c r="S225" i="1" a="1"/>
  <c r="S225" i="1" s="1"/>
  <c r="S226" i="1" a="1"/>
  <c r="S226" i="1" s="1"/>
  <c r="S227" i="1" a="1"/>
  <c r="S227" i="1" s="1"/>
  <c r="S228" i="1" a="1"/>
  <c r="S228" i="1" s="1"/>
  <c r="S229" i="1" a="1"/>
  <c r="S229" i="1" s="1"/>
  <c r="S230" i="1" a="1"/>
  <c r="S230" i="1" s="1"/>
  <c r="S231" i="1" a="1"/>
  <c r="S231" i="1" s="1"/>
  <c r="S232" i="1" a="1"/>
  <c r="S232" i="1" s="1"/>
  <c r="S233" i="1" a="1"/>
  <c r="S233" i="1" s="1"/>
  <c r="S234" i="1" a="1"/>
  <c r="S234" i="1" s="1"/>
  <c r="S235" i="1" a="1"/>
  <c r="S235" i="1" s="1"/>
  <c r="S236" i="1" a="1"/>
  <c r="S236" i="1" s="1"/>
  <c r="S237" i="1" a="1"/>
  <c r="S237" i="1" s="1"/>
  <c r="S238" i="1" a="1"/>
  <c r="S238" i="1" s="1"/>
  <c r="S239" i="1" a="1"/>
  <c r="S239" i="1" s="1"/>
  <c r="S240" i="1" a="1"/>
  <c r="S240" i="1" s="1"/>
  <c r="S241" i="1" a="1"/>
  <c r="S241" i="1" s="1"/>
  <c r="S242" i="1" a="1"/>
  <c r="S242" i="1" s="1"/>
  <c r="S243" i="1" a="1"/>
  <c r="S243" i="1" s="1"/>
  <c r="S244" i="1" a="1"/>
  <c r="S244" i="1" s="1"/>
  <c r="S245" i="1" a="1"/>
  <c r="S245" i="1" s="1"/>
  <c r="S246" i="1" a="1"/>
  <c r="S246" i="1" s="1"/>
  <c r="S247" i="1" a="1"/>
  <c r="S247" i="1" s="1"/>
  <c r="S248" i="1" a="1"/>
  <c r="S248" i="1" s="1"/>
  <c r="S249" i="1" a="1"/>
  <c r="S249" i="1" s="1"/>
  <c r="S250" i="1" a="1"/>
  <c r="S250" i="1" s="1"/>
  <c r="S251" i="1" a="1"/>
  <c r="S251" i="1" s="1"/>
  <c r="S252" i="1" a="1"/>
  <c r="S252" i="1" s="1"/>
  <c r="S253" i="1" a="1"/>
  <c r="S253" i="1" s="1"/>
  <c r="S254" i="1" a="1"/>
  <c r="S254" i="1" s="1"/>
  <c r="S255" i="1" a="1"/>
  <c r="S255" i="1" s="1"/>
  <c r="S256" i="1" a="1"/>
  <c r="S256" i="1" s="1"/>
  <c r="S257" i="1" a="1"/>
  <c r="S257" i="1" s="1"/>
  <c r="S258" i="1" a="1"/>
  <c r="S258" i="1" s="1"/>
  <c r="S259" i="1" a="1"/>
  <c r="S259" i="1" s="1"/>
  <c r="S260" i="1" a="1"/>
  <c r="S260" i="1" s="1"/>
  <c r="S261" i="1" a="1"/>
  <c r="S261" i="1" s="1"/>
  <c r="S262" i="1" a="1"/>
  <c r="S262" i="1" s="1"/>
  <c r="S263" i="1" a="1"/>
  <c r="S263" i="1" s="1"/>
  <c r="S264" i="1" a="1"/>
  <c r="S264" i="1" s="1"/>
  <c r="S265" i="1" a="1"/>
  <c r="S265" i="1" s="1"/>
  <c r="S266" i="1" a="1"/>
  <c r="S266" i="1" s="1"/>
  <c r="S267" i="1" a="1"/>
  <c r="S267" i="1" s="1"/>
  <c r="S268" i="1" a="1"/>
  <c r="S268" i="1" s="1"/>
  <c r="S269" i="1" a="1"/>
  <c r="S269" i="1" s="1"/>
  <c r="S270" i="1" a="1"/>
  <c r="S270" i="1" s="1"/>
  <c r="S271" i="1" a="1"/>
  <c r="S271" i="1" s="1"/>
  <c r="S272" i="1" a="1"/>
  <c r="S272" i="1" s="1"/>
  <c r="S273" i="1" a="1"/>
  <c r="S273" i="1" s="1"/>
  <c r="S274" i="1" a="1"/>
  <c r="S274" i="1" s="1"/>
  <c r="S275" i="1" a="1"/>
  <c r="S275" i="1" s="1"/>
  <c r="S276" i="1" a="1"/>
  <c r="S276" i="1" s="1"/>
  <c r="S277" i="1" a="1"/>
  <c r="S277" i="1" s="1"/>
  <c r="S278" i="1" a="1"/>
  <c r="S278" i="1" s="1"/>
  <c r="S279" i="1" a="1"/>
  <c r="S279" i="1" s="1"/>
  <c r="S280" i="1" a="1"/>
  <c r="S280" i="1" s="1"/>
  <c r="S281" i="1" a="1"/>
  <c r="S281" i="1" s="1"/>
  <c r="S282" i="1" a="1"/>
  <c r="S282" i="1" s="1"/>
  <c r="S283" i="1" a="1"/>
  <c r="S283" i="1" s="1"/>
  <c r="S284" i="1" a="1"/>
  <c r="S284" i="1" s="1"/>
  <c r="S285" i="1" a="1"/>
  <c r="S285" i="1" s="1"/>
  <c r="S286" i="1" a="1"/>
  <c r="S286" i="1" s="1"/>
  <c r="S287" i="1" a="1"/>
  <c r="S287" i="1" s="1"/>
  <c r="S288" i="1" a="1"/>
  <c r="S288" i="1" s="1"/>
  <c r="S289" i="1" a="1"/>
  <c r="S289" i="1" s="1"/>
  <c r="S290" i="1" a="1"/>
  <c r="S290" i="1" s="1"/>
  <c r="S291" i="1" a="1"/>
  <c r="S291" i="1" s="1"/>
  <c r="S292" i="1" a="1"/>
  <c r="S292" i="1" s="1"/>
  <c r="S293" i="1" a="1"/>
  <c r="S293" i="1" s="1"/>
  <c r="S294" i="1" a="1"/>
  <c r="S294" i="1" s="1"/>
  <c r="S295" i="1" a="1"/>
  <c r="S295" i="1" s="1"/>
  <c r="S296" i="1" a="1"/>
  <c r="S296" i="1" s="1"/>
  <c r="S297" i="1" a="1"/>
  <c r="S297" i="1" s="1"/>
  <c r="S298" i="1" a="1"/>
  <c r="S298" i="1" s="1"/>
  <c r="S299" i="1" a="1"/>
  <c r="S299" i="1" s="1"/>
  <c r="S300" i="1" a="1"/>
  <c r="S300" i="1" s="1"/>
  <c r="S301" i="1" a="1"/>
  <c r="S301" i="1" s="1"/>
  <c r="S302" i="1" a="1"/>
  <c r="S302" i="1" s="1"/>
  <c r="S303" i="1" a="1"/>
  <c r="S303" i="1" s="1"/>
  <c r="S304" i="1" a="1"/>
  <c r="S304" i="1" s="1"/>
  <c r="S305" i="1" a="1"/>
  <c r="S305" i="1" s="1"/>
  <c r="S306" i="1" a="1"/>
  <c r="S306" i="1" s="1"/>
  <c r="S307" i="1" a="1"/>
  <c r="S307" i="1" s="1"/>
  <c r="S308" i="1" a="1"/>
  <c r="S308" i="1" s="1"/>
  <c r="S309" i="1" a="1"/>
  <c r="S309" i="1" s="1"/>
  <c r="S310" i="1" a="1"/>
  <c r="S310" i="1" s="1"/>
  <c r="S311" i="1" a="1"/>
  <c r="S311" i="1" s="1"/>
  <c r="S312" i="1" a="1"/>
  <c r="S312" i="1" s="1"/>
  <c r="S313" i="1" a="1"/>
  <c r="S313" i="1" s="1"/>
  <c r="S314" i="1" a="1"/>
  <c r="S314" i="1" s="1"/>
  <c r="S315" i="1" a="1"/>
  <c r="S315" i="1" s="1"/>
  <c r="S316" i="1" a="1"/>
  <c r="S316" i="1" s="1"/>
  <c r="S317" i="1" a="1"/>
  <c r="S317" i="1" s="1"/>
  <c r="S318" i="1" a="1"/>
  <c r="S318" i="1" s="1"/>
  <c r="S319" i="1" a="1"/>
  <c r="S319" i="1" s="1"/>
  <c r="S320" i="1" a="1"/>
  <c r="S320" i="1" s="1"/>
  <c r="S321" i="1" a="1"/>
  <c r="S321" i="1" s="1"/>
  <c r="S322" i="1" a="1"/>
  <c r="S322" i="1" s="1"/>
  <c r="S323" i="1" a="1"/>
  <c r="S323" i="1" s="1"/>
  <c r="S324" i="1" a="1"/>
  <c r="S324" i="1" s="1"/>
  <c r="S325" i="1" a="1"/>
  <c r="S325" i="1" s="1"/>
  <c r="S326" i="1" a="1"/>
  <c r="S326" i="1" s="1"/>
  <c r="S327" i="1" a="1"/>
  <c r="S327" i="1" s="1"/>
  <c r="S328" i="1" a="1"/>
  <c r="S328" i="1" s="1"/>
  <c r="S329" i="1" a="1"/>
  <c r="S329" i="1" s="1"/>
  <c r="S330" i="1" a="1"/>
  <c r="S330" i="1" s="1"/>
  <c r="S331" i="1" a="1"/>
  <c r="S331" i="1" s="1"/>
  <c r="S332" i="1" a="1"/>
  <c r="S332" i="1" s="1"/>
  <c r="S333" i="1" a="1"/>
  <c r="S333" i="1" s="1"/>
  <c r="S334" i="1" a="1"/>
  <c r="S334" i="1" s="1"/>
  <c r="S335" i="1" a="1"/>
  <c r="S335" i="1" s="1"/>
  <c r="S336" i="1" a="1"/>
  <c r="S336" i="1" s="1"/>
  <c r="S337" i="1" a="1"/>
  <c r="S337" i="1" s="1"/>
  <c r="S338" i="1" a="1"/>
  <c r="S338" i="1" s="1"/>
  <c r="S339" i="1" a="1"/>
  <c r="S339" i="1" s="1"/>
  <c r="S340" i="1" a="1"/>
  <c r="S340" i="1" s="1"/>
  <c r="S341" i="1" a="1"/>
  <c r="S341" i="1" s="1"/>
  <c r="S342" i="1" a="1"/>
  <c r="S342" i="1" s="1"/>
  <c r="S343" i="1" a="1"/>
  <c r="S343" i="1" s="1"/>
  <c r="S344" i="1" a="1"/>
  <c r="S344" i="1" s="1"/>
  <c r="S345" i="1" a="1"/>
  <c r="S345" i="1" s="1"/>
  <c r="S346" i="1" a="1"/>
  <c r="S346" i="1" s="1"/>
  <c r="S347" i="1" a="1"/>
  <c r="S347" i="1" s="1"/>
  <c r="S348" i="1" a="1"/>
  <c r="S348" i="1" s="1"/>
  <c r="S349" i="1" a="1"/>
  <c r="S349" i="1" s="1"/>
  <c r="S350" i="1" a="1"/>
  <c r="S350" i="1" s="1"/>
  <c r="S351" i="1" a="1"/>
  <c r="S351" i="1" s="1"/>
  <c r="S352" i="1" a="1"/>
  <c r="S352" i="1" s="1"/>
  <c r="S353" i="1" a="1"/>
  <c r="S353" i="1" s="1"/>
  <c r="S354" i="1" a="1"/>
  <c r="S354" i="1" s="1"/>
  <c r="S355" i="1" a="1"/>
  <c r="S355" i="1" s="1"/>
  <c r="S356" i="1" a="1"/>
  <c r="S356" i="1" s="1"/>
  <c r="S357" i="1" a="1"/>
  <c r="S357" i="1" s="1"/>
  <c r="S358" i="1" a="1"/>
  <c r="S358" i="1" s="1"/>
  <c r="S359" i="1" a="1"/>
  <c r="S359" i="1" s="1"/>
  <c r="S360" i="1" a="1"/>
  <c r="S360" i="1" s="1"/>
  <c r="S361" i="1" a="1"/>
  <c r="S361" i="1" s="1"/>
  <c r="S362" i="1" a="1"/>
  <c r="S362" i="1" s="1"/>
  <c r="S363" i="1" a="1"/>
  <c r="S363" i="1" s="1"/>
  <c r="S364" i="1" a="1"/>
  <c r="S364" i="1" s="1"/>
  <c r="S365" i="1" a="1"/>
  <c r="S365" i="1" s="1"/>
  <c r="S366" i="1" a="1"/>
  <c r="S366" i="1" s="1"/>
  <c r="S367" i="1" a="1"/>
  <c r="S367" i="1" s="1"/>
  <c r="S368" i="1" a="1"/>
  <c r="S368" i="1" s="1"/>
  <c r="S369" i="1" a="1"/>
  <c r="S369" i="1" s="1"/>
  <c r="S370" i="1" a="1"/>
  <c r="S370" i="1" s="1"/>
  <c r="S371" i="1" a="1"/>
  <c r="S371" i="1" s="1"/>
  <c r="S372" i="1" a="1"/>
  <c r="S372" i="1" s="1"/>
  <c r="S373" i="1" a="1"/>
  <c r="S373" i="1" s="1"/>
  <c r="S374" i="1" a="1"/>
  <c r="S374" i="1" s="1"/>
  <c r="S375" i="1" a="1"/>
  <c r="S375" i="1" s="1"/>
  <c r="S376" i="1" a="1"/>
  <c r="S376" i="1" s="1"/>
  <c r="S377" i="1" a="1"/>
  <c r="S377" i="1" s="1"/>
  <c r="S378" i="1" a="1"/>
  <c r="S378" i="1" s="1"/>
  <c r="S379" i="1" a="1"/>
  <c r="S379" i="1" s="1"/>
  <c r="S380" i="1" a="1"/>
  <c r="S380" i="1" s="1"/>
  <c r="S381" i="1" a="1"/>
  <c r="S381" i="1" s="1"/>
  <c r="S382" i="1" a="1"/>
  <c r="S382" i="1" s="1"/>
  <c r="S383" i="1" a="1"/>
  <c r="S383" i="1" s="1"/>
  <c r="S384" i="1" a="1"/>
  <c r="S384" i="1" s="1"/>
  <c r="S385" i="1" a="1"/>
  <c r="S385" i="1" s="1"/>
  <c r="S386" i="1" a="1"/>
  <c r="S386" i="1" s="1"/>
  <c r="S387" i="1" a="1"/>
  <c r="S387" i="1" s="1"/>
  <c r="S388" i="1" a="1"/>
  <c r="S388" i="1" s="1"/>
  <c r="S389" i="1" a="1"/>
  <c r="S389" i="1" s="1"/>
  <c r="S390" i="1" a="1"/>
  <c r="S390" i="1" s="1"/>
  <c r="S391" i="1" a="1"/>
  <c r="S391" i="1" s="1"/>
  <c r="S392" i="1" a="1"/>
  <c r="S392" i="1" s="1"/>
  <c r="S393" i="1" a="1"/>
  <c r="S393" i="1" s="1"/>
  <c r="S394" i="1" a="1"/>
  <c r="S394" i="1" s="1"/>
  <c r="S395" i="1" a="1"/>
  <c r="S395" i="1" s="1"/>
  <c r="S396" i="1" a="1"/>
  <c r="S396" i="1" s="1"/>
  <c r="S397" i="1" a="1"/>
  <c r="S397" i="1" s="1"/>
  <c r="S398" i="1" a="1"/>
  <c r="S398" i="1" s="1"/>
  <c r="S399" i="1" a="1"/>
  <c r="S399" i="1" s="1"/>
  <c r="S400" i="1" a="1"/>
  <c r="S400" i="1" s="1"/>
  <c r="S401" i="1" a="1"/>
  <c r="S401" i="1" s="1"/>
  <c r="S402" i="1" a="1"/>
  <c r="S402" i="1" s="1"/>
  <c r="S403" i="1" a="1"/>
  <c r="S403" i="1" s="1"/>
  <c r="S404" i="1" a="1"/>
  <c r="S404" i="1" s="1"/>
  <c r="S405" i="1" a="1"/>
  <c r="S405" i="1" s="1"/>
  <c r="S406" i="1" a="1"/>
  <c r="S406" i="1" s="1"/>
  <c r="S407" i="1" a="1"/>
  <c r="S407" i="1" s="1"/>
  <c r="S408" i="1" a="1"/>
  <c r="S408" i="1" s="1"/>
  <c r="S409" i="1" a="1"/>
  <c r="S409" i="1" s="1"/>
  <c r="S410" i="1" a="1"/>
  <c r="S410" i="1" s="1"/>
  <c r="S411" i="1" a="1"/>
  <c r="S411" i="1" s="1"/>
  <c r="S412" i="1" a="1"/>
  <c r="S412" i="1" s="1"/>
  <c r="S413" i="1" a="1"/>
  <c r="S413" i="1" s="1"/>
  <c r="S414" i="1" a="1"/>
  <c r="S414" i="1" s="1"/>
  <c r="S415" i="1" a="1"/>
  <c r="S415" i="1" s="1"/>
  <c r="S416" i="1" a="1"/>
  <c r="S416" i="1" s="1"/>
  <c r="S417" i="1" a="1"/>
  <c r="S417" i="1" s="1"/>
  <c r="S418" i="1" a="1"/>
  <c r="S418" i="1" s="1"/>
  <c r="S419" i="1" a="1"/>
  <c r="S419" i="1" s="1"/>
  <c r="S420" i="1" a="1"/>
  <c r="S420" i="1" s="1"/>
  <c r="S421" i="1" a="1"/>
  <c r="S421" i="1" s="1"/>
  <c r="S422" i="1" a="1"/>
  <c r="S422" i="1" s="1"/>
  <c r="S423" i="1" a="1"/>
  <c r="S423" i="1" s="1"/>
  <c r="S424" i="1" a="1"/>
  <c r="S424" i="1" s="1"/>
  <c r="S425" i="1" a="1"/>
  <c r="S425" i="1" s="1"/>
  <c r="S426" i="1" a="1"/>
  <c r="S426" i="1" s="1"/>
  <c r="S427" i="1" a="1"/>
  <c r="S427" i="1" s="1"/>
  <c r="S428" i="1" a="1"/>
  <c r="S428" i="1" s="1"/>
  <c r="S429" i="1" a="1"/>
  <c r="S429" i="1" s="1"/>
  <c r="S430" i="1" a="1"/>
  <c r="S430" i="1" s="1"/>
  <c r="S431" i="1" a="1"/>
  <c r="S431" i="1" s="1"/>
  <c r="S432" i="1" a="1"/>
  <c r="S432" i="1" s="1"/>
  <c r="S433" i="1" a="1"/>
  <c r="S433" i="1" s="1"/>
  <c r="S434" i="1" a="1"/>
  <c r="S434" i="1" s="1"/>
  <c r="S435" i="1" a="1"/>
  <c r="S435" i="1" s="1"/>
  <c r="S436" i="1" a="1"/>
  <c r="S436" i="1" s="1"/>
  <c r="S437" i="1" a="1"/>
  <c r="S437" i="1" s="1"/>
  <c r="S438" i="1" a="1"/>
  <c r="S438" i="1" s="1"/>
  <c r="S439" i="1" a="1"/>
  <c r="S439" i="1" s="1"/>
  <c r="S440" i="1" a="1"/>
  <c r="S440" i="1" s="1"/>
  <c r="S441" i="1" a="1"/>
  <c r="S441" i="1" s="1"/>
  <c r="S442" i="1" a="1"/>
  <c r="S442" i="1" s="1"/>
  <c r="S443" i="1" a="1"/>
  <c r="S443" i="1" s="1"/>
  <c r="S444" i="1" a="1"/>
  <c r="S444" i="1" s="1"/>
  <c r="S445" i="1" a="1"/>
  <c r="S445" i="1" s="1"/>
  <c r="S446" i="1" a="1"/>
  <c r="S446" i="1" s="1"/>
  <c r="S447" i="1" a="1"/>
  <c r="S447" i="1" s="1"/>
  <c r="S448" i="1" a="1"/>
  <c r="S448" i="1" s="1"/>
  <c r="S449" i="1" a="1"/>
  <c r="S449" i="1" s="1"/>
  <c r="S450" i="1" a="1"/>
  <c r="S450" i="1" s="1"/>
  <c r="S451" i="1" a="1"/>
  <c r="S451" i="1" s="1"/>
  <c r="S452" i="1" a="1"/>
  <c r="S452" i="1" s="1"/>
  <c r="S453" i="1" a="1"/>
  <c r="S453" i="1" s="1"/>
  <c r="S454" i="1" a="1"/>
  <c r="S454" i="1" s="1"/>
  <c r="S455" i="1" a="1"/>
  <c r="S455" i="1" s="1"/>
  <c r="S456" i="1" a="1"/>
  <c r="S456" i="1" s="1"/>
  <c r="S457" i="1" a="1"/>
  <c r="S457" i="1" s="1"/>
  <c r="S458" i="1" a="1"/>
  <c r="S458" i="1" s="1"/>
  <c r="S459" i="1" a="1"/>
  <c r="S459" i="1" s="1"/>
  <c r="S460" i="1" a="1"/>
  <c r="S460" i="1" s="1"/>
  <c r="S461" i="1" a="1"/>
  <c r="S461" i="1" s="1"/>
  <c r="S462" i="1" a="1"/>
  <c r="S462" i="1" s="1"/>
  <c r="S463" i="1" a="1"/>
  <c r="S463" i="1" s="1"/>
  <c r="S464" i="1" a="1"/>
  <c r="S464" i="1" s="1"/>
  <c r="S465" i="1" a="1"/>
  <c r="S465" i="1" s="1"/>
  <c r="S466" i="1" a="1"/>
  <c r="S466" i="1" s="1"/>
  <c r="S467" i="1" a="1"/>
  <c r="S467" i="1" s="1"/>
  <c r="S468" i="1" a="1"/>
  <c r="S468" i="1" s="1"/>
  <c r="S469" i="1" a="1"/>
  <c r="S469" i="1" s="1"/>
  <c r="S470" i="1" a="1"/>
  <c r="S470" i="1" s="1"/>
  <c r="S471" i="1" a="1"/>
  <c r="S471" i="1" s="1"/>
  <c r="S472" i="1" a="1"/>
  <c r="S472" i="1" s="1"/>
  <c r="S473" i="1" a="1"/>
  <c r="S473" i="1" s="1"/>
  <c r="S474" i="1" a="1"/>
  <c r="S474" i="1" s="1"/>
  <c r="S475" i="1" a="1"/>
  <c r="S475" i="1" s="1"/>
  <c r="S476" i="1" a="1"/>
  <c r="S476" i="1" s="1"/>
  <c r="S477" i="1" a="1"/>
  <c r="S477" i="1" s="1"/>
  <c r="S478" i="1" a="1"/>
  <c r="S478" i="1" s="1"/>
  <c r="S479" i="1" a="1"/>
  <c r="S479" i="1" s="1"/>
  <c r="S480" i="1" a="1"/>
  <c r="S480" i="1" s="1"/>
  <c r="S481" i="1" a="1"/>
  <c r="S481" i="1" s="1"/>
  <c r="S482" i="1" a="1"/>
  <c r="S482" i="1" s="1"/>
  <c r="S483" i="1" a="1"/>
  <c r="S483" i="1" s="1"/>
  <c r="S484" i="1" a="1"/>
  <c r="S484" i="1" s="1"/>
  <c r="S485" i="1" a="1"/>
  <c r="S485" i="1" s="1"/>
  <c r="S486" i="1" a="1"/>
  <c r="S486" i="1" s="1"/>
  <c r="S487" i="1" a="1"/>
  <c r="S487" i="1" s="1"/>
  <c r="S488" i="1" a="1"/>
  <c r="S488" i="1" s="1"/>
  <c r="S489" i="1" a="1"/>
  <c r="S489" i="1" s="1"/>
  <c r="S490" i="1" a="1"/>
  <c r="S490" i="1" s="1"/>
  <c r="S491" i="1" a="1"/>
  <c r="S491" i="1" s="1"/>
  <c r="S492" i="1" a="1"/>
  <c r="S492" i="1" s="1"/>
  <c r="S493" i="1" a="1"/>
  <c r="S493" i="1" s="1"/>
  <c r="S494" i="1" a="1"/>
  <c r="S494" i="1" s="1"/>
  <c r="S495" i="1" a="1"/>
  <c r="S495" i="1" s="1"/>
  <c r="S496" i="1" a="1"/>
  <c r="S496" i="1" s="1"/>
  <c r="S497" i="1" a="1"/>
  <c r="S497" i="1" s="1"/>
  <c r="S498" i="1" a="1"/>
  <c r="S498" i="1" s="1"/>
  <c r="S499" i="1" a="1"/>
  <c r="S499" i="1" s="1"/>
  <c r="S500" i="1" a="1"/>
  <c r="S500" i="1" s="1"/>
  <c r="S501" i="1" a="1"/>
  <c r="S501" i="1" s="1"/>
  <c r="S502" i="1" a="1"/>
  <c r="S502" i="1" s="1"/>
  <c r="S503" i="1" a="1"/>
  <c r="S503" i="1" s="1"/>
  <c r="S504" i="1" a="1"/>
  <c r="S504" i="1" s="1"/>
  <c r="S505" i="1" a="1"/>
  <c r="S505" i="1" s="1"/>
  <c r="S506" i="1" a="1"/>
  <c r="S506" i="1" s="1"/>
  <c r="S507" i="1" a="1"/>
  <c r="S507" i="1" s="1"/>
  <c r="S508" i="1" a="1"/>
  <c r="S508" i="1" s="1"/>
  <c r="S509" i="1" a="1"/>
  <c r="S509" i="1" s="1"/>
  <c r="S510" i="1" a="1"/>
  <c r="S510" i="1" s="1"/>
  <c r="S511" i="1" a="1"/>
  <c r="S511" i="1" s="1"/>
  <c r="S512" i="1" a="1"/>
  <c r="S512" i="1" s="1"/>
  <c r="S513" i="1" a="1"/>
  <c r="S513" i="1" s="1"/>
  <c r="S514" i="1" a="1"/>
  <c r="S514" i="1" s="1"/>
  <c r="S515" i="1" a="1"/>
  <c r="S515" i="1" s="1"/>
  <c r="S516" i="1" a="1"/>
  <c r="S516" i="1" s="1"/>
  <c r="S517" i="1" a="1"/>
  <c r="S517" i="1" s="1"/>
  <c r="S518" i="1" a="1"/>
  <c r="S518" i="1" s="1"/>
  <c r="S519" i="1" a="1"/>
  <c r="S519" i="1" s="1"/>
  <c r="S520" i="1" a="1"/>
  <c r="S520" i="1" s="1"/>
  <c r="S521" i="1" a="1"/>
  <c r="S521" i="1" s="1"/>
  <c r="S522" i="1" a="1"/>
  <c r="S522" i="1" s="1"/>
  <c r="S523" i="1" a="1"/>
  <c r="S523" i="1" s="1"/>
  <c r="S524" i="1" a="1"/>
  <c r="S524" i="1" s="1"/>
  <c r="S525" i="1" a="1"/>
  <c r="S525" i="1" s="1"/>
  <c r="S526" i="1" a="1"/>
  <c r="S526" i="1" s="1"/>
  <c r="S527" i="1" a="1"/>
  <c r="S527" i="1" s="1"/>
  <c r="S528" i="1" a="1"/>
  <c r="S528" i="1" s="1"/>
  <c r="S529" i="1" a="1"/>
  <c r="S529" i="1" s="1"/>
  <c r="S530" i="1" a="1"/>
  <c r="S530" i="1" s="1"/>
  <c r="S531" i="1" a="1"/>
  <c r="S531" i="1" s="1"/>
  <c r="S532" i="1" a="1"/>
  <c r="S532" i="1" s="1"/>
  <c r="S533" i="1" a="1"/>
  <c r="S533" i="1" s="1"/>
  <c r="S534" i="1" a="1"/>
  <c r="S534" i="1" s="1"/>
  <c r="S535" i="1" a="1"/>
  <c r="S535" i="1" s="1"/>
  <c r="S536" i="1" a="1"/>
  <c r="S536" i="1" s="1"/>
  <c r="S537" i="1" a="1"/>
  <c r="S537" i="1" s="1"/>
  <c r="S538" i="1" a="1"/>
  <c r="S538" i="1" s="1"/>
  <c r="S539" i="1" a="1"/>
  <c r="S539" i="1" s="1"/>
  <c r="S540" i="1" a="1"/>
  <c r="S540" i="1" s="1"/>
  <c r="S541" i="1" a="1"/>
  <c r="S541" i="1" s="1"/>
  <c r="S542" i="1" a="1"/>
  <c r="S542" i="1" s="1"/>
  <c r="S543" i="1" a="1"/>
  <c r="S543" i="1" s="1"/>
  <c r="S544" i="1" a="1"/>
  <c r="S544" i="1" s="1"/>
  <c r="S545" i="1" a="1"/>
  <c r="S545" i="1" s="1"/>
  <c r="S546" i="1" a="1"/>
  <c r="S546" i="1" s="1"/>
  <c r="S547" i="1" a="1"/>
  <c r="S547" i="1" s="1"/>
  <c r="S548" i="1" a="1"/>
  <c r="S548" i="1" s="1"/>
  <c r="S549" i="1" a="1"/>
  <c r="S549" i="1" s="1"/>
  <c r="S550" i="1" a="1"/>
  <c r="S550" i="1" s="1"/>
  <c r="S551" i="1" a="1"/>
  <c r="S551" i="1" s="1"/>
  <c r="S552" i="1" a="1"/>
  <c r="S552" i="1" s="1"/>
  <c r="S553" i="1" a="1"/>
  <c r="S553" i="1" s="1"/>
  <c r="S554" i="1" a="1"/>
  <c r="S554" i="1" s="1"/>
  <c r="S555" i="1" a="1"/>
  <c r="S555" i="1" s="1"/>
  <c r="S556" i="1" a="1"/>
  <c r="S556" i="1" s="1"/>
  <c r="S557" i="1" a="1"/>
  <c r="S557" i="1" s="1"/>
  <c r="S558" i="1" a="1"/>
  <c r="S558" i="1" s="1"/>
  <c r="S559" i="1" a="1"/>
  <c r="S559" i="1" s="1"/>
  <c r="S560" i="1" a="1"/>
  <c r="S560" i="1" s="1"/>
  <c r="S561" i="1" a="1"/>
  <c r="S561" i="1" s="1"/>
  <c r="S562" i="1" a="1"/>
  <c r="S562" i="1" s="1"/>
  <c r="S563" i="1" a="1"/>
  <c r="S563" i="1" s="1"/>
  <c r="S564" i="1" a="1"/>
  <c r="S564" i="1" s="1"/>
  <c r="S565" i="1" a="1"/>
  <c r="S565" i="1" s="1"/>
  <c r="S566" i="1" a="1"/>
  <c r="S566" i="1" s="1"/>
  <c r="S567" i="1" a="1"/>
  <c r="S567" i="1" s="1"/>
  <c r="S568" i="1" a="1"/>
  <c r="S568" i="1" s="1"/>
  <c r="S569" i="1" a="1"/>
  <c r="S569" i="1" s="1"/>
  <c r="S570" i="1" a="1"/>
  <c r="S570" i="1" s="1"/>
  <c r="S571" i="1" a="1"/>
  <c r="S571" i="1" s="1"/>
  <c r="S572" i="1" a="1"/>
  <c r="S572" i="1" s="1"/>
  <c r="S573" i="1" a="1"/>
  <c r="S573" i="1" s="1"/>
  <c r="S574" i="1" a="1"/>
  <c r="S574" i="1" s="1"/>
  <c r="S575" i="1" a="1"/>
  <c r="S575" i="1" s="1"/>
  <c r="S576" i="1" a="1"/>
  <c r="S576" i="1" s="1"/>
  <c r="S577" i="1" a="1"/>
  <c r="S577" i="1" s="1"/>
  <c r="S578" i="1" a="1"/>
  <c r="S578" i="1" s="1"/>
  <c r="S579" i="1" a="1"/>
  <c r="S579" i="1" s="1"/>
  <c r="S580" i="1" a="1"/>
  <c r="S580" i="1" s="1"/>
  <c r="S581" i="1" a="1"/>
  <c r="S581" i="1" s="1"/>
  <c r="S582" i="1" a="1"/>
  <c r="S582" i="1" s="1"/>
  <c r="S583" i="1" a="1"/>
  <c r="S583" i="1" s="1"/>
  <c r="S584" i="1" a="1"/>
  <c r="S584" i="1" s="1"/>
  <c r="S585" i="1" a="1"/>
  <c r="S585" i="1" s="1"/>
  <c r="S586" i="1" a="1"/>
  <c r="S586" i="1" s="1"/>
  <c r="S587" i="1" a="1"/>
  <c r="S587" i="1" s="1"/>
  <c r="S588" i="1" a="1"/>
  <c r="S588" i="1" s="1"/>
  <c r="S589" i="1" a="1"/>
  <c r="S589" i="1" s="1"/>
  <c r="S590" i="1" a="1"/>
  <c r="S590" i="1" s="1"/>
  <c r="S591" i="1" a="1"/>
  <c r="S591" i="1" s="1"/>
  <c r="S592" i="1" a="1"/>
  <c r="S592" i="1" s="1"/>
  <c r="S593" i="1" a="1"/>
  <c r="S593" i="1" s="1"/>
  <c r="S594" i="1" a="1"/>
  <c r="S594" i="1" s="1"/>
  <c r="S595" i="1" a="1"/>
  <c r="S595" i="1" s="1"/>
  <c r="S596" i="1" a="1"/>
  <c r="S596" i="1" s="1"/>
  <c r="S597" i="1" a="1"/>
  <c r="S597" i="1" s="1"/>
  <c r="S598" i="1" a="1"/>
  <c r="S598" i="1" s="1"/>
  <c r="S599" i="1" a="1"/>
  <c r="S599" i="1" s="1"/>
  <c r="S600" i="1" a="1"/>
  <c r="S600" i="1" s="1"/>
  <c r="S601" i="1" a="1"/>
  <c r="S601" i="1" s="1"/>
  <c r="S602" i="1" a="1"/>
  <c r="S602" i="1" s="1"/>
  <c r="S603" i="1" a="1"/>
  <c r="S603" i="1" s="1"/>
  <c r="S604" i="1" a="1"/>
  <c r="S604" i="1" s="1"/>
  <c r="S605" i="1" a="1"/>
  <c r="S605" i="1" s="1"/>
  <c r="S606" i="1" a="1"/>
  <c r="S606" i="1" s="1"/>
  <c r="S607" i="1" a="1"/>
  <c r="S607" i="1" s="1"/>
  <c r="S608" i="1" a="1"/>
  <c r="S608" i="1" s="1"/>
  <c r="S609" i="1" a="1"/>
  <c r="S609" i="1" s="1"/>
  <c r="S610" i="1" a="1"/>
  <c r="S610" i="1" s="1"/>
  <c r="S611" i="1" a="1"/>
  <c r="S611" i="1" s="1"/>
  <c r="S612" i="1" a="1"/>
  <c r="S612" i="1" s="1"/>
  <c r="S613" i="1" a="1"/>
  <c r="S613" i="1" s="1"/>
  <c r="S614" i="1" a="1"/>
  <c r="S614" i="1" s="1"/>
  <c r="S615" i="1" a="1"/>
  <c r="S615" i="1" s="1"/>
  <c r="S616" i="1" a="1"/>
  <c r="S616" i="1" s="1"/>
  <c r="S617" i="1" a="1"/>
  <c r="S617" i="1" s="1"/>
  <c r="S618" i="1" a="1"/>
  <c r="S618" i="1" s="1"/>
  <c r="S619" i="1" a="1"/>
  <c r="S619" i="1" s="1"/>
  <c r="S620" i="1" a="1"/>
  <c r="S620" i="1" s="1"/>
  <c r="S621" i="1" a="1"/>
  <c r="S621" i="1" s="1"/>
  <c r="S622" i="1" a="1"/>
  <c r="S622" i="1" s="1"/>
  <c r="S623" i="1" a="1"/>
  <c r="S623" i="1" s="1"/>
  <c r="S624" i="1" a="1"/>
  <c r="S624" i="1" s="1"/>
  <c r="S625" i="1" a="1"/>
  <c r="S625" i="1" s="1"/>
  <c r="S626" i="1" a="1"/>
  <c r="S626" i="1" s="1"/>
  <c r="S627" i="1" a="1"/>
  <c r="S627" i="1" s="1"/>
  <c r="S628" i="1" a="1"/>
  <c r="S628" i="1" s="1"/>
  <c r="S629" i="1" a="1"/>
  <c r="S629" i="1" s="1"/>
  <c r="S630" i="1" a="1"/>
  <c r="S630" i="1" s="1"/>
  <c r="S631" i="1" a="1"/>
  <c r="S631" i="1" s="1"/>
  <c r="S632" i="1" a="1"/>
  <c r="S632" i="1" s="1"/>
  <c r="S633" i="1" a="1"/>
  <c r="S633" i="1" s="1"/>
  <c r="S634" i="1" a="1"/>
  <c r="S634" i="1" s="1"/>
  <c r="S635" i="1" a="1"/>
  <c r="S635" i="1" s="1"/>
  <c r="S636" i="1" a="1"/>
  <c r="S636" i="1" s="1"/>
  <c r="S637" i="1" a="1"/>
  <c r="S637" i="1" s="1"/>
  <c r="S638" i="1" a="1"/>
  <c r="S638" i="1" s="1"/>
  <c r="S639" i="1" a="1"/>
  <c r="S639" i="1" s="1"/>
  <c r="S640" i="1" a="1"/>
  <c r="S640" i="1" s="1"/>
  <c r="S641" i="1" a="1"/>
  <c r="S641" i="1" s="1"/>
  <c r="S642" i="1" a="1"/>
  <c r="S642" i="1" s="1"/>
  <c r="S643" i="1" a="1"/>
  <c r="S643" i="1" s="1"/>
  <c r="S644" i="1" a="1"/>
  <c r="S644" i="1" s="1"/>
  <c r="S645" i="1" a="1"/>
  <c r="S645" i="1" s="1"/>
  <c r="S646" i="1" a="1"/>
  <c r="S646" i="1" s="1"/>
  <c r="S647" i="1" a="1"/>
  <c r="S647" i="1" s="1"/>
  <c r="S648" i="1" a="1"/>
  <c r="S648" i="1" s="1"/>
  <c r="S649" i="1" a="1"/>
  <c r="S649" i="1" s="1"/>
  <c r="S650" i="1" a="1"/>
  <c r="S650" i="1" s="1"/>
  <c r="S651" i="1" a="1"/>
  <c r="S651" i="1" s="1"/>
  <c r="S652" i="1" a="1"/>
  <c r="S652" i="1" s="1"/>
  <c r="S653" i="1" a="1"/>
  <c r="S653" i="1" s="1"/>
  <c r="S654" i="1" a="1"/>
  <c r="S654" i="1" s="1"/>
  <c r="S655" i="1" a="1"/>
  <c r="S655" i="1" s="1"/>
  <c r="S656" i="1" a="1"/>
  <c r="S656" i="1" s="1"/>
  <c r="S657" i="1" a="1"/>
  <c r="S657" i="1" s="1"/>
  <c r="S658" i="1" a="1"/>
  <c r="S658" i="1" s="1"/>
  <c r="S659" i="1" a="1"/>
  <c r="S659" i="1" s="1"/>
  <c r="S660" i="1" a="1"/>
  <c r="S660" i="1" s="1"/>
  <c r="S661" i="1" a="1"/>
  <c r="S661" i="1" s="1"/>
  <c r="S662" i="1" a="1"/>
  <c r="S662" i="1" s="1"/>
  <c r="S663" i="1" a="1"/>
  <c r="S663" i="1" s="1"/>
  <c r="S664" i="1" a="1"/>
  <c r="S664" i="1" s="1"/>
  <c r="S665" i="1" a="1"/>
  <c r="S665" i="1" s="1"/>
  <c r="S666" i="1" a="1"/>
  <c r="S666" i="1" s="1"/>
  <c r="S667" i="1" a="1"/>
  <c r="S667" i="1" s="1"/>
  <c r="S668" i="1" a="1"/>
  <c r="S668" i="1" s="1"/>
  <c r="S669" i="1" a="1"/>
  <c r="S669" i="1" s="1"/>
  <c r="S670" i="1" a="1"/>
  <c r="S670" i="1" s="1"/>
  <c r="S671" i="1" a="1"/>
  <c r="S671" i="1" s="1"/>
  <c r="S672" i="1" a="1"/>
  <c r="S672" i="1" s="1"/>
  <c r="S673" i="1" a="1"/>
  <c r="S673" i="1" s="1"/>
  <c r="S674" i="1" a="1"/>
  <c r="S674" i="1" s="1"/>
  <c r="S675" i="1" a="1"/>
  <c r="S675" i="1" s="1"/>
  <c r="S676" i="1" a="1"/>
  <c r="S676" i="1" s="1"/>
  <c r="S677" i="1" a="1"/>
  <c r="S677" i="1" s="1"/>
  <c r="S678" i="1" a="1"/>
  <c r="S678" i="1" s="1"/>
  <c r="S679" i="1" a="1"/>
  <c r="S679" i="1" s="1"/>
  <c r="S680" i="1" a="1"/>
  <c r="S680" i="1" s="1"/>
  <c r="S681" i="1" a="1"/>
  <c r="S681" i="1" s="1"/>
  <c r="S682" i="1" a="1"/>
  <c r="S682" i="1" s="1"/>
  <c r="S683" i="1" a="1"/>
  <c r="S683" i="1" s="1"/>
  <c r="S684" i="1" a="1"/>
  <c r="S684" i="1" s="1"/>
  <c r="S685" i="1" a="1"/>
  <c r="S685" i="1" s="1"/>
  <c r="S686" i="1" a="1"/>
  <c r="S686" i="1" s="1"/>
  <c r="S687" i="1" a="1"/>
  <c r="S687" i="1" s="1"/>
  <c r="S688" i="1" a="1"/>
  <c r="S688" i="1" s="1"/>
  <c r="S689" i="1" a="1"/>
  <c r="S689" i="1" s="1"/>
  <c r="S690" i="1" a="1"/>
  <c r="S690" i="1" s="1"/>
  <c r="S691" i="1" a="1"/>
  <c r="S691" i="1" s="1"/>
  <c r="S692" i="1" a="1"/>
  <c r="S692" i="1" s="1"/>
  <c r="S693" i="1" a="1"/>
  <c r="S693" i="1" s="1"/>
  <c r="S694" i="1" a="1"/>
  <c r="S694" i="1" s="1"/>
  <c r="S695" i="1" a="1"/>
  <c r="S695" i="1" s="1"/>
  <c r="S696" i="1" a="1"/>
  <c r="S696" i="1" s="1"/>
  <c r="S697" i="1" a="1"/>
  <c r="S697" i="1" s="1"/>
  <c r="S698" i="1" a="1"/>
  <c r="S698" i="1" s="1"/>
  <c r="S699" i="1" a="1"/>
  <c r="S699" i="1" s="1"/>
  <c r="S700" i="1" a="1"/>
  <c r="S700" i="1" s="1"/>
  <c r="S701" i="1" a="1"/>
  <c r="S701" i="1" s="1"/>
  <c r="S702" i="1" a="1"/>
  <c r="S702" i="1" s="1"/>
  <c r="S703" i="1" a="1"/>
  <c r="S703" i="1" s="1"/>
  <c r="S704" i="1" a="1"/>
  <c r="S704" i="1" s="1"/>
  <c r="S705" i="1" a="1"/>
  <c r="S705" i="1" s="1"/>
  <c r="S706" i="1" a="1"/>
  <c r="S706" i="1" s="1"/>
  <c r="S707" i="1" a="1"/>
  <c r="S707" i="1" s="1"/>
  <c r="S708" i="1" a="1"/>
  <c r="S708" i="1" s="1"/>
  <c r="S709" i="1" a="1"/>
  <c r="S709" i="1" s="1"/>
  <c r="S710" i="1" a="1"/>
  <c r="S710" i="1" s="1"/>
  <c r="S711" i="1" a="1"/>
  <c r="S711" i="1" s="1"/>
  <c r="S712" i="1" a="1"/>
  <c r="S712" i="1" s="1"/>
  <c r="S713" i="1" a="1"/>
  <c r="S713" i="1" s="1"/>
  <c r="S714" i="1" a="1"/>
  <c r="S714" i="1" s="1"/>
  <c r="S715" i="1" a="1"/>
  <c r="S715" i="1" s="1"/>
  <c r="S716" i="1" a="1"/>
  <c r="S716" i="1" s="1"/>
  <c r="S717" i="1" a="1"/>
  <c r="S717" i="1" s="1"/>
  <c r="S718" i="1" a="1"/>
  <c r="S718" i="1" s="1"/>
  <c r="S719" i="1" a="1"/>
  <c r="S719" i="1" s="1"/>
  <c r="S720" i="1" a="1"/>
  <c r="S720" i="1" s="1"/>
  <c r="S721" i="1" a="1"/>
  <c r="S721" i="1" s="1"/>
  <c r="S722" i="1" a="1"/>
  <c r="S722" i="1" s="1"/>
  <c r="S723" i="1" a="1"/>
  <c r="S723" i="1" s="1"/>
  <c r="S724" i="1" a="1"/>
  <c r="S724" i="1" s="1"/>
  <c r="S725" i="1" a="1"/>
  <c r="S725" i="1" s="1"/>
  <c r="S726" i="1" a="1"/>
  <c r="S726" i="1" s="1"/>
  <c r="S727" i="1" a="1"/>
  <c r="S727" i="1" s="1"/>
  <c r="S728" i="1" a="1"/>
  <c r="S728" i="1" s="1"/>
  <c r="S729" i="1" a="1"/>
  <c r="S729" i="1" s="1"/>
  <c r="S730" i="1" a="1"/>
  <c r="S730" i="1" s="1"/>
  <c r="S731" i="1" a="1"/>
  <c r="S731" i="1" s="1"/>
  <c r="S732" i="1" a="1"/>
  <c r="S732" i="1" s="1"/>
  <c r="S733" i="1" a="1"/>
  <c r="S733" i="1" s="1"/>
  <c r="S734" i="1" a="1"/>
  <c r="S734" i="1" s="1"/>
  <c r="S735" i="1" a="1"/>
  <c r="S735" i="1" s="1"/>
  <c r="S736" i="1" a="1"/>
  <c r="S736" i="1" s="1"/>
  <c r="S737" i="1" a="1"/>
  <c r="S737" i="1" s="1"/>
  <c r="S738" i="1" a="1"/>
  <c r="S738" i="1" s="1"/>
  <c r="S739" i="1" a="1"/>
  <c r="S739" i="1" s="1"/>
  <c r="S740" i="1" a="1"/>
  <c r="S740" i="1" s="1"/>
  <c r="S741" i="1" a="1"/>
  <c r="S741" i="1" s="1"/>
  <c r="S742" i="1" a="1"/>
  <c r="S742" i="1" s="1"/>
  <c r="S743" i="1" a="1"/>
  <c r="S743" i="1" s="1"/>
  <c r="S744" i="1" a="1"/>
  <c r="S744" i="1" s="1"/>
  <c r="S745" i="1" a="1"/>
  <c r="S745" i="1" s="1"/>
  <c r="S746" i="1" a="1"/>
  <c r="S746" i="1" s="1"/>
  <c r="S747" i="1" a="1"/>
  <c r="S747" i="1" s="1"/>
  <c r="S748" i="1" a="1"/>
  <c r="S748" i="1" s="1"/>
  <c r="S749" i="1" a="1"/>
  <c r="S749" i="1" s="1"/>
  <c r="S750" i="1" a="1"/>
  <c r="S750" i="1" s="1"/>
  <c r="S751" i="1" a="1"/>
  <c r="S751" i="1" s="1"/>
  <c r="S752" i="1" a="1"/>
  <c r="S752" i="1" s="1"/>
  <c r="S753" i="1" a="1"/>
  <c r="S753" i="1" s="1"/>
  <c r="S754" i="1" a="1"/>
  <c r="S754" i="1" s="1"/>
  <c r="S755" i="1" a="1"/>
  <c r="S755" i="1" s="1"/>
  <c r="S756" i="1" a="1"/>
  <c r="S756" i="1" s="1"/>
  <c r="S757" i="1" a="1"/>
  <c r="S757" i="1" s="1"/>
  <c r="S758" i="1" a="1"/>
  <c r="S758" i="1" s="1"/>
  <c r="S759" i="1" a="1"/>
  <c r="S759" i="1" s="1"/>
  <c r="S760" i="1" a="1"/>
  <c r="S760" i="1" s="1"/>
  <c r="S761" i="1" a="1"/>
  <c r="S761" i="1" s="1"/>
  <c r="S762" i="1" a="1"/>
  <c r="S762" i="1" s="1"/>
  <c r="S763" i="1" a="1"/>
  <c r="S763" i="1" s="1"/>
  <c r="S764" i="1" a="1"/>
  <c r="S764" i="1" s="1"/>
  <c r="S765" i="1" a="1"/>
  <c r="S765" i="1" s="1"/>
  <c r="S766" i="1" a="1"/>
  <c r="S766" i="1" s="1"/>
  <c r="S767" i="1" a="1"/>
  <c r="S767" i="1" s="1"/>
  <c r="S768" i="1" a="1"/>
  <c r="S768" i="1" s="1"/>
  <c r="S769" i="1" a="1"/>
  <c r="S769" i="1" s="1"/>
  <c r="S770" i="1" a="1"/>
  <c r="S770" i="1" s="1"/>
  <c r="S771" i="1" a="1"/>
  <c r="S771" i="1" s="1"/>
  <c r="S772" i="1" a="1"/>
  <c r="S772" i="1" s="1"/>
  <c r="S773" i="1" a="1"/>
  <c r="S773" i="1" s="1"/>
  <c r="S774" i="1" a="1"/>
  <c r="S774" i="1" s="1"/>
  <c r="S775" i="1" a="1"/>
  <c r="S775" i="1" s="1"/>
  <c r="S776" i="1" a="1"/>
  <c r="S776" i="1" s="1"/>
  <c r="S777" i="1" a="1"/>
  <c r="S777" i="1" s="1"/>
  <c r="S778" i="1" a="1"/>
  <c r="S778" i="1" s="1"/>
  <c r="S779" i="1" a="1"/>
  <c r="S779" i="1" s="1"/>
  <c r="S780" i="1" a="1"/>
  <c r="S780" i="1" s="1"/>
  <c r="S781" i="1" a="1"/>
  <c r="S781" i="1" s="1"/>
  <c r="S782" i="1" a="1"/>
  <c r="S782" i="1" s="1"/>
  <c r="S783" i="1" a="1"/>
  <c r="S783" i="1" s="1"/>
  <c r="S784" i="1" a="1"/>
  <c r="S784" i="1" s="1"/>
  <c r="S785" i="1" a="1"/>
  <c r="S785" i="1" s="1"/>
  <c r="S786" i="1" a="1"/>
  <c r="S786" i="1" s="1"/>
  <c r="S787" i="1" a="1"/>
  <c r="S787" i="1" s="1"/>
  <c r="S788" i="1" a="1"/>
  <c r="S788" i="1" s="1"/>
  <c r="S789" i="1" a="1"/>
  <c r="S789" i="1" s="1"/>
  <c r="S790" i="1" a="1"/>
  <c r="S790" i="1" s="1"/>
  <c r="S791" i="1" a="1"/>
  <c r="S791" i="1" s="1"/>
  <c r="S792" i="1" a="1"/>
  <c r="S792" i="1" s="1"/>
  <c r="S793" i="1" a="1"/>
  <c r="S793" i="1" s="1"/>
  <c r="S794" i="1" a="1"/>
  <c r="S794" i="1" s="1"/>
  <c r="S795" i="1" a="1"/>
  <c r="S795" i="1" s="1"/>
  <c r="S796" i="1" a="1"/>
  <c r="S796" i="1" s="1"/>
  <c r="S797" i="1" a="1"/>
  <c r="S797" i="1" s="1"/>
  <c r="S798" i="1" a="1"/>
  <c r="S798" i="1" s="1"/>
  <c r="S799" i="1" a="1"/>
  <c r="S799" i="1" s="1"/>
  <c r="S800" i="1" a="1"/>
  <c r="S800" i="1" s="1"/>
  <c r="S801" i="1" a="1"/>
  <c r="S801" i="1" s="1"/>
  <c r="S802" i="1" a="1"/>
  <c r="S802" i="1" s="1"/>
  <c r="S803" i="1" a="1"/>
  <c r="S803" i="1" s="1"/>
  <c r="S804" i="1" a="1"/>
  <c r="S804" i="1" s="1"/>
  <c r="S805" i="1" a="1"/>
  <c r="S805" i="1" s="1"/>
  <c r="S806" i="1" a="1"/>
  <c r="S806" i="1" s="1"/>
  <c r="S807" i="1" a="1"/>
  <c r="S807" i="1" s="1"/>
  <c r="S808" i="1" a="1"/>
  <c r="S808" i="1" s="1"/>
  <c r="S809" i="1" a="1"/>
  <c r="S809" i="1" s="1"/>
  <c r="S810" i="1" a="1"/>
  <c r="S810" i="1" s="1"/>
  <c r="S811" i="1" a="1"/>
  <c r="S811" i="1" s="1"/>
  <c r="S812" i="1" a="1"/>
  <c r="S812" i="1" s="1"/>
  <c r="S813" i="1" a="1"/>
  <c r="S813" i="1" s="1"/>
  <c r="S814" i="1" a="1"/>
  <c r="S814" i="1" s="1"/>
  <c r="S815" i="1" a="1"/>
  <c r="S815" i="1" s="1"/>
  <c r="S816" i="1" a="1"/>
  <c r="S816" i="1" s="1"/>
  <c r="S817" i="1" a="1"/>
  <c r="S817" i="1" s="1"/>
  <c r="S818" i="1" a="1"/>
  <c r="S818" i="1" s="1"/>
  <c r="S819" i="1" a="1"/>
  <c r="S819" i="1" s="1"/>
  <c r="S820" i="1" a="1"/>
  <c r="S820" i="1" s="1"/>
  <c r="S821" i="1" a="1"/>
  <c r="S821" i="1" s="1"/>
  <c r="S822" i="1" a="1"/>
  <c r="S822" i="1" s="1"/>
  <c r="S823" i="1" a="1"/>
  <c r="S823" i="1" s="1"/>
  <c r="S824" i="1" a="1"/>
  <c r="S824" i="1" s="1"/>
  <c r="S825" i="1" a="1"/>
  <c r="S825" i="1" s="1"/>
  <c r="S826" i="1" a="1"/>
  <c r="S826" i="1" s="1"/>
  <c r="S827" i="1" a="1"/>
  <c r="S827" i="1" s="1"/>
  <c r="S828" i="1" a="1"/>
  <c r="S828" i="1" s="1"/>
  <c r="S829" i="1" a="1"/>
  <c r="S829" i="1" s="1"/>
  <c r="S830" i="1" a="1"/>
  <c r="S830" i="1" s="1"/>
  <c r="S831" i="1" a="1"/>
  <c r="S831" i="1" s="1"/>
  <c r="S832" i="1" a="1"/>
  <c r="S832" i="1" s="1"/>
  <c r="S833" i="1" a="1"/>
  <c r="S833" i="1" s="1"/>
  <c r="S834" i="1" a="1"/>
  <c r="S834" i="1" s="1"/>
  <c r="S835" i="1" a="1"/>
  <c r="S835" i="1" s="1"/>
  <c r="S836" i="1" a="1"/>
  <c r="S836" i="1" s="1"/>
  <c r="S837" i="1" a="1"/>
  <c r="S837" i="1" s="1"/>
  <c r="S838" i="1" a="1"/>
  <c r="S838" i="1" s="1"/>
  <c r="S839" i="1" a="1"/>
  <c r="S839" i="1" s="1"/>
  <c r="S840" i="1" a="1"/>
  <c r="S840" i="1" s="1"/>
  <c r="S841" i="1" a="1"/>
  <c r="S841" i="1" s="1"/>
  <c r="S842" i="1" a="1"/>
  <c r="S842" i="1" s="1"/>
  <c r="S843" i="1" a="1"/>
  <c r="S843" i="1" s="1"/>
  <c r="S844" i="1" a="1"/>
  <c r="S844" i="1" s="1"/>
  <c r="S845" i="1" a="1"/>
  <c r="S845" i="1" s="1"/>
  <c r="S846" i="1" a="1"/>
  <c r="S846" i="1" s="1"/>
  <c r="S847" i="1" a="1"/>
  <c r="S847" i="1" s="1"/>
  <c r="S848" i="1" a="1"/>
  <c r="S848" i="1" s="1"/>
  <c r="S849" i="1" a="1"/>
  <c r="S849" i="1" s="1"/>
  <c r="S850" i="1" a="1"/>
  <c r="S850" i="1" s="1"/>
  <c r="S851" i="1" a="1"/>
  <c r="S851" i="1" s="1"/>
  <c r="S852" i="1" a="1"/>
  <c r="S852" i="1" s="1"/>
  <c r="S853" i="1" a="1"/>
  <c r="S853" i="1" s="1"/>
  <c r="S854" i="1" a="1"/>
  <c r="S854" i="1" s="1"/>
  <c r="S855" i="1" a="1"/>
  <c r="S855" i="1" s="1"/>
  <c r="S856" i="1" a="1"/>
  <c r="S856" i="1" s="1"/>
  <c r="S857" i="1" a="1"/>
  <c r="S857" i="1" s="1"/>
  <c r="S858" i="1" a="1"/>
  <c r="S858" i="1" s="1"/>
  <c r="S859" i="1" a="1"/>
  <c r="S859" i="1" s="1"/>
  <c r="S860" i="1" a="1"/>
  <c r="S860" i="1" s="1"/>
  <c r="S861" i="1" a="1"/>
  <c r="S861" i="1" s="1"/>
  <c r="S862" i="1" a="1"/>
  <c r="S862" i="1" s="1"/>
  <c r="S863" i="1" a="1"/>
  <c r="S863" i="1" s="1"/>
  <c r="S864" i="1" a="1"/>
  <c r="S864" i="1" s="1"/>
  <c r="S865" i="1" a="1"/>
  <c r="S865" i="1" s="1"/>
  <c r="S866" i="1" a="1"/>
  <c r="S866" i="1" s="1"/>
  <c r="S867" i="1" a="1"/>
  <c r="S867" i="1" s="1"/>
  <c r="S868" i="1" a="1"/>
  <c r="S868" i="1" s="1"/>
  <c r="S869" i="1" a="1"/>
  <c r="S869" i="1" s="1"/>
  <c r="S870" i="1" a="1"/>
  <c r="S870" i="1" s="1"/>
  <c r="S871" i="1" a="1"/>
  <c r="S871" i="1" s="1"/>
  <c r="S872" i="1" a="1"/>
  <c r="S872" i="1" s="1"/>
  <c r="S873" i="1" a="1"/>
  <c r="S873" i="1" s="1"/>
  <c r="S874" i="1" a="1"/>
  <c r="S874" i="1" s="1"/>
  <c r="S875" i="1" a="1"/>
  <c r="S875" i="1" s="1"/>
  <c r="S876" i="1" a="1"/>
  <c r="S876" i="1" s="1"/>
  <c r="S877" i="1" a="1"/>
  <c r="S877" i="1" s="1"/>
  <c r="S878" i="1" a="1"/>
  <c r="S878" i="1" s="1"/>
  <c r="S879" i="1" a="1"/>
  <c r="S879" i="1" s="1"/>
  <c r="S880" i="1" a="1"/>
  <c r="S880" i="1" s="1"/>
  <c r="S881" i="1" a="1"/>
  <c r="S881" i="1" s="1"/>
  <c r="S882" i="1" a="1"/>
  <c r="S882" i="1" s="1"/>
  <c r="S883" i="1" a="1"/>
  <c r="S883" i="1" s="1"/>
  <c r="S884" i="1" a="1"/>
  <c r="S884" i="1" s="1"/>
  <c r="S885" i="1" a="1"/>
  <c r="S885" i="1" s="1"/>
  <c r="S886" i="1" a="1"/>
  <c r="S886" i="1" s="1"/>
  <c r="S887" i="1" a="1"/>
  <c r="S887" i="1" s="1"/>
  <c r="S888" i="1" a="1"/>
  <c r="S888" i="1" s="1"/>
  <c r="S889" i="1" a="1"/>
  <c r="S889" i="1" s="1"/>
  <c r="S890" i="1" a="1"/>
  <c r="S890" i="1" s="1"/>
  <c r="S891" i="1" a="1"/>
  <c r="S891" i="1" s="1"/>
  <c r="S892" i="1" a="1"/>
  <c r="S892" i="1" s="1"/>
  <c r="S893" i="1" a="1"/>
  <c r="S893" i="1" s="1"/>
  <c r="S894" i="1" a="1"/>
  <c r="S894" i="1" s="1"/>
  <c r="S895" i="1" a="1"/>
  <c r="S895" i="1" s="1"/>
  <c r="S896" i="1" a="1"/>
  <c r="S896" i="1" s="1"/>
  <c r="S897" i="1" a="1"/>
  <c r="S897" i="1" s="1"/>
  <c r="S898" i="1" a="1"/>
  <c r="S898" i="1" s="1"/>
  <c r="S899" i="1" a="1"/>
  <c r="S899" i="1" s="1"/>
  <c r="S900" i="1" a="1"/>
  <c r="S900" i="1" s="1"/>
  <c r="S901" i="1" a="1"/>
  <c r="S901" i="1" s="1"/>
  <c r="S902" i="1" a="1"/>
  <c r="S902" i="1" s="1"/>
  <c r="S903" i="1" a="1"/>
  <c r="S903" i="1" s="1"/>
  <c r="S904" i="1" a="1"/>
  <c r="S904" i="1" s="1"/>
  <c r="S905" i="1" a="1"/>
  <c r="S905" i="1" s="1"/>
  <c r="S906" i="1" a="1"/>
  <c r="S906" i="1" s="1"/>
  <c r="S907" i="1" a="1"/>
  <c r="S907" i="1" s="1"/>
  <c r="S908" i="1" a="1"/>
  <c r="S908" i="1" s="1"/>
  <c r="S909" i="1" a="1"/>
  <c r="S909" i="1" s="1"/>
  <c r="S910" i="1" a="1"/>
  <c r="S910" i="1" s="1"/>
  <c r="S911" i="1" a="1"/>
  <c r="S911" i="1" s="1"/>
  <c r="S912" i="1" a="1"/>
  <c r="S912" i="1" s="1"/>
  <c r="S913" i="1" a="1"/>
  <c r="S913" i="1" s="1"/>
  <c r="S914" i="1" a="1"/>
  <c r="S914" i="1" s="1"/>
  <c r="S915" i="1" a="1"/>
  <c r="S915" i="1" s="1"/>
  <c r="S916" i="1" a="1"/>
  <c r="S916" i="1" s="1"/>
  <c r="S917" i="1" a="1"/>
  <c r="S917" i="1" s="1"/>
  <c r="S918" i="1" a="1"/>
  <c r="S918" i="1" s="1"/>
  <c r="S919" i="1" a="1"/>
  <c r="S919" i="1" s="1"/>
  <c r="S920" i="1" a="1"/>
  <c r="S920" i="1" s="1"/>
  <c r="S921" i="1" a="1"/>
  <c r="S921" i="1" s="1"/>
  <c r="S922" i="1" a="1"/>
  <c r="S922" i="1" s="1"/>
  <c r="S923" i="1" a="1"/>
  <c r="S923" i="1" s="1"/>
  <c r="S924" i="1" a="1"/>
  <c r="S924" i="1" s="1"/>
  <c r="S925" i="1" a="1"/>
  <c r="S925" i="1" s="1"/>
  <c r="S926" i="1" a="1"/>
  <c r="S926" i="1" s="1"/>
  <c r="S927" i="1" a="1"/>
  <c r="S927" i="1" s="1"/>
  <c r="S928" i="1" a="1"/>
  <c r="S928" i="1" s="1"/>
  <c r="S929" i="1" a="1"/>
  <c r="S929" i="1" s="1"/>
  <c r="S930" i="1" a="1"/>
  <c r="S930" i="1" s="1"/>
  <c r="S931" i="1" a="1"/>
  <c r="S931" i="1" s="1"/>
  <c r="S932" i="1" a="1"/>
  <c r="S932" i="1" s="1"/>
  <c r="S933" i="1" a="1"/>
  <c r="S933" i="1" s="1"/>
  <c r="S934" i="1" a="1"/>
  <c r="S934" i="1" s="1"/>
  <c r="S935" i="1" a="1"/>
  <c r="S935" i="1" s="1"/>
  <c r="S936" i="1" a="1"/>
  <c r="S936" i="1" s="1"/>
  <c r="S937" i="1" a="1"/>
  <c r="S937" i="1" s="1"/>
  <c r="S938" i="1" a="1"/>
  <c r="S938" i="1" s="1"/>
  <c r="S939" i="1" a="1"/>
  <c r="S939" i="1" s="1"/>
  <c r="S940" i="1" a="1"/>
  <c r="S940" i="1" s="1"/>
  <c r="S941" i="1" a="1"/>
  <c r="S941" i="1" s="1"/>
  <c r="S942" i="1" a="1"/>
  <c r="S942" i="1" s="1"/>
  <c r="S943" i="1" a="1"/>
  <c r="S943" i="1" s="1"/>
  <c r="S944" i="1" a="1"/>
  <c r="S944" i="1" s="1"/>
  <c r="S945" i="1" a="1"/>
  <c r="S945" i="1" s="1"/>
  <c r="S946" i="1" a="1"/>
  <c r="S946" i="1" s="1"/>
  <c r="S947" i="1" a="1"/>
  <c r="S947" i="1" s="1"/>
  <c r="S948" i="1" a="1"/>
  <c r="S948" i="1" s="1"/>
  <c r="S949" i="1" a="1"/>
  <c r="S949" i="1" s="1"/>
  <c r="S950" i="1" a="1"/>
  <c r="S950" i="1" s="1"/>
  <c r="S951" i="1" a="1"/>
  <c r="S951" i="1" s="1"/>
  <c r="S952" i="1" a="1"/>
  <c r="S952" i="1" s="1"/>
  <c r="S953" i="1" a="1"/>
  <c r="S953" i="1" s="1"/>
  <c r="S954" i="1" a="1"/>
  <c r="S954" i="1" s="1"/>
  <c r="S955" i="1" a="1"/>
  <c r="S955" i="1" s="1"/>
  <c r="S956" i="1" a="1"/>
  <c r="S956" i="1" s="1"/>
  <c r="S957" i="1" a="1"/>
  <c r="S957" i="1" s="1"/>
  <c r="S958" i="1" a="1"/>
  <c r="S958" i="1" s="1"/>
  <c r="S959" i="1" a="1"/>
  <c r="S959" i="1" s="1"/>
  <c r="S960" i="1" a="1"/>
  <c r="S960" i="1" s="1"/>
  <c r="S961" i="1" a="1"/>
  <c r="S961" i="1" s="1"/>
  <c r="S962" i="1" a="1"/>
  <c r="S962" i="1" s="1"/>
  <c r="S963" i="1" a="1"/>
  <c r="S963" i="1" s="1"/>
  <c r="S964" i="1" a="1"/>
  <c r="S964" i="1" s="1"/>
  <c r="S965" i="1" a="1"/>
  <c r="S965" i="1" s="1"/>
  <c r="S966" i="1" a="1"/>
  <c r="S966" i="1" s="1"/>
  <c r="S967" i="1" a="1"/>
  <c r="S967" i="1" s="1"/>
  <c r="S968" i="1" a="1"/>
  <c r="S968" i="1" s="1"/>
  <c r="S969" i="1" a="1"/>
  <c r="S969" i="1" s="1"/>
  <c r="S970" i="1" a="1"/>
  <c r="S970" i="1" s="1"/>
  <c r="S971" i="1" a="1"/>
  <c r="S971" i="1" s="1"/>
  <c r="S972" i="1" a="1"/>
  <c r="S972" i="1" s="1"/>
  <c r="S973" i="1" a="1"/>
  <c r="S973" i="1" s="1"/>
  <c r="S974" i="1" a="1"/>
  <c r="S974" i="1" s="1"/>
  <c r="S975" i="1" a="1"/>
  <c r="S975" i="1" s="1"/>
  <c r="S976" i="1" a="1"/>
  <c r="S976" i="1" s="1"/>
  <c r="S977" i="1" a="1"/>
  <c r="S977" i="1" s="1"/>
  <c r="S978" i="1" a="1"/>
  <c r="S978" i="1" s="1"/>
  <c r="S979" i="1" a="1"/>
  <c r="S979" i="1" s="1"/>
  <c r="S980" i="1" a="1"/>
  <c r="S980" i="1" s="1"/>
  <c r="S981" i="1" a="1"/>
  <c r="S981" i="1" s="1"/>
  <c r="S982" i="1" a="1"/>
  <c r="S982" i="1" s="1"/>
  <c r="S983" i="1" a="1"/>
  <c r="S983" i="1" s="1"/>
  <c r="S984" i="1" a="1"/>
  <c r="S984" i="1" s="1"/>
  <c r="S985" i="1" a="1"/>
  <c r="S985" i="1" s="1"/>
  <c r="S986" i="1" a="1"/>
  <c r="S986" i="1" s="1"/>
  <c r="S987" i="1" a="1"/>
  <c r="S987" i="1" s="1"/>
  <c r="S988" i="1" a="1"/>
  <c r="S988" i="1" s="1"/>
  <c r="S989" i="1" a="1"/>
  <c r="S989" i="1" s="1"/>
  <c r="S990" i="1" a="1"/>
  <c r="S990" i="1" s="1"/>
  <c r="S991" i="1" a="1"/>
  <c r="S991" i="1" s="1"/>
  <c r="S992" i="1" a="1"/>
  <c r="S992" i="1" s="1"/>
  <c r="S993" i="1" a="1"/>
  <c r="S993" i="1" s="1"/>
  <c r="S994" i="1" a="1"/>
  <c r="S994" i="1" s="1"/>
  <c r="S995" i="1" a="1"/>
  <c r="S995" i="1" s="1"/>
  <c r="S996" i="1" a="1"/>
  <c r="S996" i="1" s="1"/>
  <c r="S997" i="1" a="1"/>
  <c r="S997" i="1" s="1"/>
  <c r="S998" i="1" a="1"/>
  <c r="S998" i="1" s="1"/>
  <c r="S999" i="1" a="1"/>
  <c r="S999" i="1" s="1"/>
  <c r="S1000" i="1" a="1"/>
  <c r="S1000" i="1" s="1"/>
  <c r="S1001" i="1" a="1"/>
  <c r="S1001" i="1" s="1"/>
  <c r="S1002" i="1" a="1"/>
  <c r="S1002" i="1" s="1"/>
  <c r="S1003" i="1" a="1"/>
  <c r="S1003" i="1" s="1"/>
  <c r="S1004" i="1" a="1"/>
  <c r="S1004" i="1" s="1"/>
  <c r="S1005" i="1" a="1"/>
  <c r="S1005" i="1" s="1"/>
  <c r="S1006" i="1" a="1"/>
  <c r="S1006" i="1" s="1"/>
  <c r="S1007" i="1" a="1"/>
  <c r="S1007" i="1" s="1"/>
  <c r="S1008" i="1" a="1"/>
  <c r="S1008" i="1" s="1"/>
  <c r="S1009" i="1" a="1"/>
  <c r="S1009" i="1" s="1"/>
  <c r="S1010" i="1" a="1"/>
  <c r="S1010" i="1" s="1"/>
  <c r="S1011" i="1" a="1"/>
  <c r="S1011" i="1" s="1"/>
  <c r="S1012" i="1" a="1"/>
  <c r="S1012" i="1" s="1"/>
  <c r="S1013" i="1" a="1"/>
  <c r="S1013" i="1" s="1"/>
  <c r="S1014" i="1" a="1"/>
  <c r="S1014" i="1" s="1"/>
  <c r="S1015" i="1" a="1"/>
  <c r="S1015" i="1" s="1"/>
  <c r="S1016" i="1" a="1"/>
  <c r="S1016" i="1" s="1"/>
  <c r="S1017" i="1" a="1"/>
  <c r="S1017" i="1" s="1"/>
  <c r="S1018" i="1" a="1"/>
  <c r="S1018" i="1" s="1"/>
  <c r="S1019" i="1" a="1"/>
  <c r="S1019" i="1" s="1"/>
  <c r="S1020" i="1" a="1"/>
  <c r="S1020" i="1" s="1"/>
  <c r="S1021" i="1" a="1"/>
  <c r="S1021" i="1" s="1"/>
  <c r="S1022" i="1" a="1"/>
  <c r="S1022" i="1" s="1"/>
  <c r="S1023" i="1" a="1"/>
  <c r="S1023" i="1" s="1"/>
  <c r="S1024" i="1" a="1"/>
  <c r="S1024" i="1" s="1"/>
  <c r="S1025" i="1" a="1"/>
  <c r="S1025" i="1" s="1"/>
  <c r="S1026" i="1" a="1"/>
  <c r="S1026" i="1" s="1"/>
  <c r="S1027" i="1" a="1"/>
  <c r="S1027" i="1" s="1"/>
  <c r="S1028" i="1" a="1"/>
  <c r="S1028" i="1" s="1"/>
  <c r="S1029" i="1" a="1"/>
  <c r="S1029" i="1" s="1"/>
  <c r="S1030" i="1" a="1"/>
  <c r="S1030" i="1" s="1"/>
  <c r="S1031" i="1" a="1"/>
  <c r="S1031" i="1" s="1"/>
  <c r="S1032" i="1" a="1"/>
  <c r="S1032" i="1" s="1"/>
  <c r="S1033" i="1" a="1"/>
  <c r="S1033" i="1" s="1"/>
  <c r="S1034" i="1" a="1"/>
  <c r="S1034" i="1" s="1"/>
  <c r="S1035" i="1" a="1"/>
  <c r="S1035" i="1" s="1"/>
  <c r="S1036" i="1" a="1"/>
  <c r="S1036" i="1" s="1"/>
  <c r="S1037" i="1" a="1"/>
  <c r="S1037" i="1" s="1"/>
  <c r="S1038" i="1" a="1"/>
  <c r="S1038" i="1" s="1"/>
  <c r="S1039" i="1" a="1"/>
  <c r="S1039" i="1" s="1"/>
  <c r="S1040" i="1" a="1"/>
  <c r="S1040" i="1" s="1"/>
  <c r="S1041" i="1" a="1"/>
  <c r="S1041" i="1" s="1"/>
  <c r="S1042" i="1" a="1"/>
  <c r="S1042" i="1" s="1"/>
  <c r="S1043" i="1" a="1"/>
  <c r="S1043" i="1" s="1"/>
  <c r="S1044" i="1" a="1"/>
  <c r="S1044" i="1" s="1"/>
  <c r="S1045" i="1" a="1"/>
  <c r="S1045" i="1" s="1"/>
  <c r="S1046" i="1" a="1"/>
  <c r="S1046" i="1" s="1"/>
  <c r="S1047" i="1" a="1"/>
  <c r="S1047" i="1" s="1"/>
  <c r="S1048" i="1" a="1"/>
  <c r="S1048" i="1" s="1"/>
  <c r="S1049" i="1" a="1"/>
  <c r="S1049" i="1" s="1"/>
  <c r="S1050" i="1" a="1"/>
  <c r="S1050" i="1" s="1"/>
  <c r="S1051" i="1" a="1"/>
  <c r="S1051" i="1" s="1"/>
  <c r="S1052" i="1" a="1"/>
  <c r="S1052" i="1" s="1"/>
  <c r="S1053" i="1" a="1"/>
  <c r="S1053" i="1" s="1"/>
  <c r="S1054" i="1" a="1"/>
  <c r="S1054" i="1" s="1"/>
  <c r="S1055" i="1" a="1"/>
  <c r="S1055" i="1" s="1"/>
  <c r="S1056" i="1" a="1"/>
  <c r="S1056" i="1" s="1"/>
  <c r="S1057" i="1" a="1"/>
  <c r="S1057" i="1" s="1"/>
  <c r="S1058" i="1" a="1"/>
  <c r="S1058" i="1" s="1"/>
  <c r="S1059" i="1" a="1"/>
  <c r="S1059" i="1" s="1"/>
  <c r="S1060" i="1" a="1"/>
  <c r="S1060" i="1" s="1"/>
  <c r="S1061" i="1" a="1"/>
  <c r="S1061" i="1" s="1"/>
  <c r="S1062" i="1" a="1"/>
  <c r="S1062" i="1" s="1"/>
  <c r="S1063" i="1" a="1"/>
  <c r="S1063" i="1" s="1"/>
  <c r="S1064" i="1" a="1"/>
  <c r="S1064" i="1" s="1"/>
  <c r="S1065" i="1" a="1"/>
  <c r="S1065" i="1" s="1"/>
  <c r="S1066" i="1" a="1"/>
  <c r="S1066" i="1" s="1"/>
  <c r="S1067" i="1" a="1"/>
  <c r="S1067" i="1" s="1"/>
  <c r="S1068" i="1" a="1"/>
  <c r="S1068" i="1" s="1"/>
  <c r="S1069" i="1" a="1"/>
  <c r="S1069" i="1" s="1"/>
  <c r="S1070" i="1" a="1"/>
  <c r="S1070" i="1" s="1"/>
  <c r="S1071" i="1" a="1"/>
  <c r="S1071" i="1" s="1"/>
  <c r="S1072" i="1" a="1"/>
  <c r="S1072" i="1" s="1"/>
  <c r="S1073" i="1" a="1"/>
  <c r="S1073" i="1" s="1"/>
  <c r="S1074" i="1" a="1"/>
  <c r="S1074" i="1" s="1"/>
  <c r="S1075" i="1" a="1"/>
  <c r="S1075" i="1" s="1"/>
  <c r="S1076" i="1" a="1"/>
  <c r="S1076" i="1" s="1"/>
  <c r="S1077" i="1" a="1"/>
  <c r="S1077" i="1" s="1"/>
  <c r="S1078" i="1" a="1"/>
  <c r="S1078" i="1" s="1"/>
  <c r="S1079" i="1" a="1"/>
  <c r="S1079" i="1" s="1"/>
  <c r="S1080" i="1" a="1"/>
  <c r="S1080" i="1" s="1"/>
  <c r="S1081" i="1" a="1"/>
  <c r="S1081" i="1" s="1"/>
  <c r="S1082" i="1" a="1"/>
  <c r="S1082" i="1" s="1"/>
  <c r="S1083" i="1" a="1"/>
  <c r="S1083" i="1" s="1"/>
  <c r="S1084" i="1" a="1"/>
  <c r="S1084" i="1" s="1"/>
  <c r="S1085" i="1" a="1"/>
  <c r="S1085" i="1" s="1"/>
  <c r="S1086" i="1" a="1"/>
  <c r="S1086" i="1" s="1"/>
  <c r="S1087" i="1" a="1"/>
  <c r="S1087" i="1" s="1"/>
  <c r="S1088" i="1" a="1"/>
  <c r="S1088" i="1" s="1"/>
  <c r="S1089" i="1" a="1"/>
  <c r="S1089" i="1" s="1"/>
  <c r="S1090" i="1" a="1"/>
  <c r="S1090" i="1" s="1"/>
  <c r="S1091" i="1" a="1"/>
  <c r="S1091" i="1" s="1"/>
  <c r="S1092" i="1" a="1"/>
  <c r="S1092" i="1" s="1"/>
  <c r="S1093" i="1" a="1"/>
  <c r="S1093" i="1" s="1"/>
  <c r="S1094" i="1" a="1"/>
  <c r="S1094" i="1" s="1"/>
  <c r="S1095" i="1" a="1"/>
  <c r="S1095" i="1" s="1"/>
  <c r="S1096" i="1" a="1"/>
  <c r="S1096" i="1" s="1"/>
  <c r="S1097" i="1" a="1"/>
  <c r="S1097" i="1" s="1"/>
  <c r="S1098" i="1" a="1"/>
  <c r="S1098" i="1" s="1"/>
  <c r="S1099" i="1" a="1"/>
  <c r="S1099" i="1" s="1"/>
  <c r="S1100" i="1" a="1"/>
  <c r="S1100" i="1" s="1"/>
  <c r="S1101" i="1" a="1"/>
  <c r="S1101" i="1" s="1"/>
  <c r="S1102" i="1" a="1"/>
  <c r="S1102" i="1" s="1"/>
  <c r="S1103" i="1" a="1"/>
  <c r="S1103" i="1" s="1"/>
  <c r="S1104" i="1" a="1"/>
  <c r="S1104" i="1" s="1"/>
  <c r="S1105" i="1" a="1"/>
  <c r="S1105" i="1" s="1"/>
  <c r="S1106" i="1" a="1"/>
  <c r="S1106" i="1" s="1"/>
  <c r="S1107" i="1" a="1"/>
  <c r="S1107" i="1" s="1"/>
  <c r="S1108" i="1" a="1"/>
  <c r="S1108" i="1" s="1"/>
  <c r="S1109" i="1" a="1"/>
  <c r="S1109" i="1" s="1"/>
  <c r="S1110" i="1" a="1"/>
  <c r="S1110" i="1" s="1"/>
  <c r="S1111" i="1" a="1"/>
  <c r="S1111" i="1" s="1"/>
  <c r="S1112" i="1" a="1"/>
  <c r="S1112" i="1" s="1"/>
  <c r="S1113" i="1" a="1"/>
  <c r="S1113" i="1" s="1"/>
  <c r="S1114" i="1" a="1"/>
  <c r="S1114" i="1" s="1"/>
  <c r="S1115" i="1" a="1"/>
  <c r="S1115" i="1" s="1"/>
  <c r="S1116" i="1" a="1"/>
  <c r="S1116" i="1" s="1"/>
  <c r="S1117" i="1" a="1"/>
  <c r="S1117" i="1" s="1"/>
  <c r="S1118" i="1" a="1"/>
  <c r="S1118" i="1" s="1"/>
  <c r="S1119" i="1" a="1"/>
  <c r="S1119" i="1" s="1"/>
  <c r="S1120" i="1" a="1"/>
  <c r="S1120" i="1" s="1"/>
  <c r="S1121" i="1" a="1"/>
  <c r="S1121" i="1" s="1"/>
  <c r="S1122" i="1" a="1"/>
  <c r="S1122" i="1" s="1"/>
  <c r="S1123" i="1" a="1"/>
  <c r="S1123" i="1" s="1"/>
  <c r="S1124" i="1" a="1"/>
  <c r="S1124" i="1" s="1"/>
  <c r="S1125" i="1" a="1"/>
  <c r="S1125" i="1" s="1"/>
  <c r="S1126" i="1" a="1"/>
  <c r="S1126" i="1" s="1"/>
  <c r="S1127" i="1" a="1"/>
  <c r="S1127" i="1" s="1"/>
  <c r="S1128" i="1" a="1"/>
  <c r="S1128" i="1" s="1"/>
  <c r="S1129" i="1" a="1"/>
  <c r="S1129" i="1" s="1"/>
  <c r="S1130" i="1" a="1"/>
  <c r="S1130" i="1" s="1"/>
  <c r="S1131" i="1" a="1"/>
  <c r="S1131" i="1" s="1"/>
  <c r="S1132" i="1" a="1"/>
  <c r="S1132" i="1" s="1"/>
  <c r="S1133" i="1" a="1"/>
  <c r="S1133" i="1" s="1"/>
  <c r="S1134" i="1" a="1"/>
  <c r="S1134" i="1" s="1"/>
  <c r="S1135" i="1" a="1"/>
  <c r="S1135" i="1" s="1"/>
  <c r="S1136" i="1" a="1"/>
  <c r="S1136" i="1" s="1"/>
  <c r="S1137" i="1" a="1"/>
  <c r="S1137" i="1" s="1"/>
  <c r="S1138" i="1" a="1"/>
  <c r="S1138" i="1" s="1"/>
  <c r="S1139" i="1" a="1"/>
  <c r="S1139" i="1" s="1"/>
  <c r="S1140" i="1" a="1"/>
  <c r="S1140" i="1" s="1"/>
  <c r="S1141" i="1" a="1"/>
  <c r="S1141" i="1" s="1"/>
  <c r="S1142" i="1" a="1"/>
  <c r="S1142" i="1" s="1"/>
  <c r="S1143" i="1" a="1"/>
  <c r="S1143" i="1" s="1"/>
  <c r="S1144" i="1" a="1"/>
  <c r="S1144" i="1" s="1"/>
  <c r="S1145" i="1" a="1"/>
  <c r="S1145" i="1" s="1"/>
  <c r="S1146" i="1" a="1"/>
  <c r="S1146" i="1" s="1"/>
  <c r="S1147" i="1" a="1"/>
  <c r="S1147" i="1" s="1"/>
  <c r="S1148" i="1" a="1"/>
  <c r="S1148" i="1" s="1"/>
  <c r="S1149" i="1" a="1"/>
  <c r="S1149" i="1" s="1"/>
  <c r="S1150" i="1" a="1"/>
  <c r="S1150" i="1" s="1"/>
  <c r="S1151" i="1" a="1"/>
  <c r="S1151" i="1" s="1"/>
  <c r="S1152" i="1" a="1"/>
  <c r="S1152" i="1" s="1"/>
  <c r="S1153" i="1" a="1"/>
  <c r="S1153" i="1" s="1"/>
  <c r="S1154" i="1" a="1"/>
  <c r="S1154" i="1" s="1"/>
  <c r="S1155" i="1" a="1"/>
  <c r="S1155" i="1" s="1"/>
  <c r="S1156" i="1" a="1"/>
  <c r="S1156" i="1" s="1"/>
  <c r="S1157" i="1" a="1"/>
  <c r="S1157" i="1" s="1"/>
  <c r="S1158" i="1" a="1"/>
  <c r="S1158" i="1" s="1"/>
  <c r="S1159" i="1" a="1"/>
  <c r="S1159" i="1" s="1"/>
  <c r="S1160" i="1" a="1"/>
  <c r="S1160" i="1" s="1"/>
  <c r="S1161" i="1" a="1"/>
  <c r="S1161" i="1" s="1"/>
  <c r="S1162" i="1" a="1"/>
  <c r="S1162" i="1" s="1"/>
  <c r="S1163" i="1" a="1"/>
  <c r="S1163" i="1" s="1"/>
  <c r="S1164" i="1" a="1"/>
  <c r="S1164" i="1" s="1"/>
  <c r="S1165" i="1" a="1"/>
  <c r="S1165" i="1" s="1"/>
  <c r="S1166" i="1" a="1"/>
  <c r="S1166" i="1" s="1"/>
  <c r="S1167" i="1" a="1"/>
  <c r="S1167" i="1" s="1"/>
  <c r="S1168" i="1" a="1"/>
  <c r="S1168" i="1" s="1"/>
  <c r="S1169" i="1" a="1"/>
  <c r="S1169" i="1" s="1"/>
  <c r="S1170" i="1" a="1"/>
  <c r="S1170" i="1" s="1"/>
  <c r="S1171" i="1" a="1"/>
  <c r="S1171" i="1" s="1"/>
  <c r="S1172" i="1" a="1"/>
  <c r="S1172" i="1" s="1"/>
  <c r="S1173" i="1" a="1"/>
  <c r="S1173" i="1" s="1"/>
  <c r="S1174" i="1" a="1"/>
  <c r="S1174" i="1" s="1"/>
  <c r="S1175" i="1" a="1"/>
  <c r="S1175" i="1" s="1"/>
  <c r="S1176" i="1" a="1"/>
  <c r="S1176" i="1" s="1"/>
  <c r="S1177" i="1" a="1"/>
  <c r="S1177" i="1" s="1"/>
  <c r="S1178" i="1" a="1"/>
  <c r="S1178" i="1" s="1"/>
  <c r="S1179" i="1" a="1"/>
  <c r="S1179" i="1" s="1"/>
  <c r="S1180" i="1" a="1"/>
  <c r="S1180" i="1" s="1"/>
  <c r="S1181" i="1" a="1"/>
  <c r="S1181" i="1" s="1"/>
  <c r="S1182" i="1" a="1"/>
  <c r="S1182" i="1" s="1"/>
  <c r="S1183" i="1" a="1"/>
  <c r="S1183" i="1" s="1"/>
  <c r="S1184" i="1" a="1"/>
  <c r="S1184" i="1" s="1"/>
  <c r="S1185" i="1" a="1"/>
  <c r="S1185" i="1" s="1"/>
  <c r="S1186" i="1" a="1"/>
  <c r="S1186" i="1" s="1"/>
  <c r="S1187" i="1" a="1"/>
  <c r="S1187" i="1" s="1"/>
  <c r="S1188" i="1" a="1"/>
  <c r="S1188" i="1" s="1"/>
  <c r="S1189" i="1" a="1"/>
  <c r="S1189" i="1" s="1"/>
  <c r="S1190" i="1" a="1"/>
  <c r="S1190" i="1" s="1"/>
  <c r="S1191" i="1" a="1"/>
  <c r="S1191" i="1" s="1"/>
  <c r="S1192" i="1" a="1"/>
  <c r="S1192" i="1" s="1"/>
  <c r="S1193" i="1" a="1"/>
  <c r="S1193" i="1" s="1"/>
  <c r="S1194" i="1" a="1"/>
  <c r="S1194" i="1" s="1"/>
  <c r="S1195" i="1" a="1"/>
  <c r="S1195" i="1" s="1"/>
  <c r="S1196" i="1" a="1"/>
  <c r="S1196" i="1" s="1"/>
  <c r="S1197" i="1" a="1"/>
  <c r="S1197" i="1" s="1"/>
  <c r="S1198" i="1" a="1"/>
  <c r="S1198" i="1" s="1"/>
  <c r="S1199" i="1" a="1"/>
  <c r="S1199" i="1" s="1"/>
  <c r="S1200" i="1" a="1"/>
  <c r="S1200" i="1" s="1"/>
  <c r="S1201" i="1" a="1"/>
  <c r="S1201" i="1" s="1"/>
  <c r="S1202" i="1" a="1"/>
  <c r="S1202" i="1" s="1"/>
  <c r="S1203" i="1" a="1"/>
  <c r="S1203" i="1" s="1"/>
  <c r="S1204" i="1" a="1"/>
  <c r="S1204" i="1" s="1"/>
  <c r="S1205" i="1" a="1"/>
  <c r="S1205" i="1" s="1"/>
  <c r="S1206" i="1" a="1"/>
  <c r="S1206" i="1" s="1"/>
  <c r="S1207" i="1" a="1"/>
  <c r="S1207" i="1" s="1"/>
  <c r="S1208" i="1" a="1"/>
  <c r="S1208" i="1" s="1"/>
  <c r="S1209" i="1" a="1"/>
  <c r="S1209" i="1" s="1"/>
  <c r="S1210" i="1" a="1"/>
  <c r="S1210" i="1" s="1"/>
  <c r="S1211" i="1" a="1"/>
  <c r="S1211" i="1" s="1"/>
  <c r="S1212" i="1" a="1"/>
  <c r="S1212" i="1" s="1"/>
  <c r="S1213" i="1" a="1"/>
  <c r="S1213" i="1" s="1"/>
  <c r="S1214" i="1" a="1"/>
  <c r="S1214" i="1" s="1"/>
  <c r="S1215" i="1" a="1"/>
  <c r="S1215" i="1" s="1"/>
  <c r="S1216" i="1" a="1"/>
  <c r="S1216" i="1" s="1"/>
  <c r="S1217" i="1" a="1"/>
  <c r="S1217" i="1" s="1"/>
  <c r="S1218" i="1" a="1"/>
  <c r="S1218" i="1" s="1"/>
  <c r="S1219" i="1" a="1"/>
  <c r="S1219" i="1" s="1"/>
  <c r="S1220" i="1" a="1"/>
  <c r="S1220" i="1" s="1"/>
  <c r="S1221" i="1" a="1"/>
  <c r="S1221" i="1" s="1"/>
  <c r="S1222" i="1" a="1"/>
  <c r="S1222" i="1" s="1"/>
  <c r="S1223" i="1" a="1"/>
  <c r="S1223" i="1" s="1"/>
  <c r="S1224" i="1" a="1"/>
  <c r="S1224" i="1" s="1"/>
  <c r="S1225" i="1" a="1"/>
  <c r="S1225" i="1" s="1"/>
  <c r="S1226" i="1" a="1"/>
  <c r="S1226" i="1" s="1"/>
  <c r="S1227" i="1" a="1"/>
  <c r="S1227" i="1" s="1"/>
  <c r="S1228" i="1" a="1"/>
  <c r="S1228" i="1" s="1"/>
  <c r="S1229" i="1" a="1"/>
  <c r="S1229" i="1" s="1"/>
  <c r="S1230" i="1" a="1"/>
  <c r="S1230" i="1" s="1"/>
  <c r="S1231" i="1" a="1"/>
  <c r="S1231" i="1" s="1"/>
  <c r="S1232" i="1" a="1"/>
  <c r="S1232" i="1" s="1"/>
  <c r="S1233" i="1" a="1"/>
  <c r="S1233" i="1" s="1"/>
  <c r="S1234" i="1" a="1"/>
  <c r="S1234" i="1" s="1"/>
  <c r="S1235" i="1" a="1"/>
  <c r="S1235" i="1" s="1"/>
  <c r="S1236" i="1" a="1"/>
  <c r="S1236" i="1" s="1"/>
  <c r="S1237" i="1" a="1"/>
  <c r="S1237" i="1" s="1"/>
  <c r="S1238" i="1" a="1"/>
  <c r="S1238" i="1" s="1"/>
  <c r="S1239" i="1" a="1"/>
  <c r="S1239" i="1" s="1"/>
  <c r="S1240" i="1" a="1"/>
  <c r="S1240" i="1" s="1"/>
  <c r="S1241" i="1" a="1"/>
  <c r="S1241" i="1" s="1"/>
  <c r="S1242" i="1" a="1"/>
  <c r="S1242" i="1" s="1"/>
  <c r="S1243" i="1" a="1"/>
  <c r="S1243" i="1" s="1"/>
  <c r="S1244" i="1" a="1"/>
  <c r="S1244" i="1" s="1"/>
  <c r="S1245" i="1" a="1"/>
  <c r="S1245" i="1" s="1"/>
  <c r="S1246" i="1" a="1"/>
  <c r="S1246" i="1" s="1"/>
  <c r="S1247" i="1" a="1"/>
  <c r="S1247" i="1" s="1"/>
  <c r="S1248" i="1" a="1"/>
  <c r="S1248" i="1" s="1"/>
  <c r="S1249" i="1" a="1"/>
  <c r="S1249" i="1" s="1"/>
  <c r="S1250" i="1" a="1"/>
  <c r="S1250" i="1" s="1"/>
  <c r="S1251" i="1" a="1"/>
  <c r="S1251" i="1" s="1"/>
  <c r="S1252" i="1" a="1"/>
  <c r="S1252" i="1" s="1"/>
  <c r="S1253" i="1" a="1"/>
  <c r="S1253" i="1" s="1"/>
  <c r="S1254" i="1" a="1"/>
  <c r="S1254" i="1" s="1"/>
  <c r="S1255" i="1" a="1"/>
  <c r="S1255" i="1" s="1"/>
  <c r="S1256" i="1" a="1"/>
  <c r="S1256" i="1" s="1"/>
  <c r="S1257" i="1" a="1"/>
  <c r="S1257" i="1" s="1"/>
  <c r="S1258" i="1" a="1"/>
  <c r="S1258" i="1" s="1"/>
  <c r="S1259" i="1" a="1"/>
  <c r="S1259" i="1" s="1"/>
  <c r="S1260" i="1" a="1"/>
  <c r="S1260" i="1" s="1"/>
  <c r="S1261" i="1" a="1"/>
  <c r="S1261" i="1" s="1"/>
  <c r="S1262" i="1" a="1"/>
  <c r="S1262" i="1" s="1"/>
  <c r="S1263" i="1" a="1"/>
  <c r="S1263" i="1" s="1"/>
  <c r="S1264" i="1" a="1"/>
  <c r="S1264" i="1" s="1"/>
  <c r="S1265" i="1" a="1"/>
  <c r="S1265" i="1" s="1"/>
  <c r="S1266" i="1" a="1"/>
  <c r="S1266" i="1" s="1"/>
  <c r="S1267" i="1" a="1"/>
  <c r="S1267" i="1" s="1"/>
  <c r="S1268" i="1" a="1"/>
  <c r="S1268" i="1" s="1"/>
  <c r="S1269" i="1" a="1"/>
  <c r="S1269" i="1" s="1"/>
  <c r="S1270" i="1" a="1"/>
  <c r="S1270" i="1" s="1"/>
  <c r="S1271" i="1" a="1"/>
  <c r="S1271" i="1" s="1"/>
  <c r="S1272" i="1" a="1"/>
  <c r="S1272" i="1" s="1"/>
  <c r="S1273" i="1" a="1"/>
  <c r="S1273" i="1" s="1"/>
  <c r="S1274" i="1" a="1"/>
  <c r="S1274" i="1" s="1"/>
  <c r="S1275" i="1" a="1"/>
  <c r="S1275" i="1" s="1"/>
  <c r="S1276" i="1" a="1"/>
  <c r="S1276" i="1" s="1"/>
  <c r="S1277" i="1" a="1"/>
  <c r="S1277" i="1" s="1"/>
  <c r="S1278" i="1" a="1"/>
  <c r="S1278" i="1" s="1"/>
  <c r="S1279" i="1" a="1"/>
  <c r="S1279" i="1" s="1"/>
  <c r="S1280" i="1" a="1"/>
  <c r="S1280" i="1" s="1"/>
  <c r="S1281" i="1" a="1"/>
  <c r="S1281" i="1" s="1"/>
  <c r="S1282" i="1" a="1"/>
  <c r="S1282" i="1" s="1"/>
  <c r="S1283" i="1" a="1"/>
  <c r="S1283" i="1" s="1"/>
  <c r="S1284" i="1" a="1"/>
  <c r="S1284" i="1" s="1"/>
  <c r="S1285" i="1" a="1"/>
  <c r="S1285" i="1" s="1"/>
  <c r="S1286" i="1" a="1"/>
  <c r="S1286" i="1" s="1"/>
  <c r="S1287" i="1" a="1"/>
  <c r="S1287" i="1" s="1"/>
  <c r="S1288" i="1" a="1"/>
  <c r="S1288" i="1" s="1"/>
  <c r="S1289" i="1" a="1"/>
  <c r="S1289" i="1" s="1"/>
  <c r="S1290" i="1" a="1"/>
  <c r="S1290" i="1" s="1"/>
  <c r="S1291" i="1" a="1"/>
  <c r="S1291" i="1" s="1"/>
  <c r="S1292" i="1" a="1"/>
  <c r="S1292" i="1" s="1"/>
  <c r="S1293" i="1" a="1"/>
  <c r="S1293" i="1" s="1"/>
  <c r="S1294" i="1" a="1"/>
  <c r="S1294" i="1" s="1"/>
  <c r="S1295" i="1" a="1"/>
  <c r="S1295" i="1" s="1"/>
  <c r="S1296" i="1" a="1"/>
  <c r="S1296" i="1" s="1"/>
  <c r="S1297" i="1" a="1"/>
  <c r="S1297" i="1" s="1"/>
  <c r="S1298" i="1" a="1"/>
  <c r="S1298" i="1" s="1"/>
  <c r="S1299" i="1" a="1"/>
  <c r="S1299" i="1" s="1"/>
  <c r="S1300" i="1" a="1"/>
  <c r="S1300" i="1" s="1"/>
  <c r="S1301" i="1" a="1"/>
  <c r="S1301" i="1" s="1"/>
  <c r="S1302" i="1" a="1"/>
  <c r="S1302" i="1" s="1"/>
  <c r="S1303" i="1" a="1"/>
  <c r="S1303" i="1" s="1"/>
  <c r="S1304" i="1" a="1"/>
  <c r="S1304" i="1" s="1"/>
  <c r="S1305" i="1" a="1"/>
  <c r="S1305" i="1" s="1"/>
  <c r="S1306" i="1" a="1"/>
  <c r="S1306" i="1" s="1"/>
  <c r="S1307" i="1" a="1"/>
  <c r="S1307" i="1" s="1"/>
  <c r="S1308" i="1" a="1"/>
  <c r="S1308" i="1" s="1"/>
  <c r="S1309" i="1" a="1"/>
  <c r="S1309" i="1" s="1"/>
  <c r="S1310" i="1" a="1"/>
  <c r="S1310" i="1" s="1"/>
  <c r="S1311" i="1" a="1"/>
  <c r="S1311" i="1" s="1"/>
  <c r="S1312" i="1" a="1"/>
  <c r="S1312" i="1" s="1"/>
  <c r="S1313" i="1" a="1"/>
  <c r="S1313" i="1" s="1"/>
  <c r="S1314" i="1" a="1"/>
  <c r="S1314" i="1" s="1"/>
  <c r="S1315" i="1" a="1"/>
  <c r="S1315" i="1" s="1"/>
  <c r="S1316" i="1" a="1"/>
  <c r="S1316" i="1" s="1"/>
  <c r="S1317" i="1" a="1"/>
  <c r="S1317" i="1" s="1"/>
  <c r="S1318" i="1" a="1"/>
  <c r="S1318" i="1" s="1"/>
  <c r="S1319" i="1" a="1"/>
  <c r="S1319" i="1" s="1"/>
  <c r="S1320" i="1" a="1"/>
  <c r="S1320" i="1" s="1"/>
  <c r="S1321" i="1" a="1"/>
  <c r="S1321" i="1" s="1"/>
  <c r="S1322" i="1" a="1"/>
  <c r="S1322" i="1" s="1"/>
  <c r="S1323" i="1" a="1"/>
  <c r="S1323" i="1" s="1"/>
  <c r="S1324" i="1" a="1"/>
  <c r="S1324" i="1" s="1"/>
  <c r="S1325" i="1" a="1"/>
  <c r="S1325" i="1" s="1"/>
  <c r="S1326" i="1" a="1"/>
  <c r="S1326" i="1" s="1"/>
  <c r="S1327" i="1" a="1"/>
  <c r="S1327" i="1" s="1"/>
  <c r="S1328" i="1" a="1"/>
  <c r="S1328" i="1" s="1"/>
  <c r="S1329" i="1" a="1"/>
  <c r="S1329" i="1" s="1"/>
  <c r="S1330" i="1" a="1"/>
  <c r="S1330" i="1" s="1"/>
  <c r="S1331" i="1" a="1"/>
  <c r="S1331" i="1" s="1"/>
  <c r="S1332" i="1" a="1"/>
  <c r="S1332" i="1" s="1"/>
  <c r="S1333" i="1" a="1"/>
  <c r="S1333" i="1" s="1"/>
  <c r="S1334" i="1" a="1"/>
  <c r="S1334" i="1" s="1"/>
  <c r="S1335" i="1" a="1"/>
  <c r="S1335" i="1" s="1"/>
  <c r="S1336" i="1" a="1"/>
  <c r="S1336" i="1" s="1"/>
  <c r="S1337" i="1" a="1"/>
  <c r="S1337" i="1" s="1"/>
  <c r="S1338" i="1" a="1"/>
  <c r="S1338" i="1" s="1"/>
  <c r="S1339" i="1" a="1"/>
  <c r="S1339" i="1" s="1"/>
  <c r="S1340" i="1" a="1"/>
  <c r="S1340" i="1" s="1"/>
  <c r="S1341" i="1" a="1"/>
  <c r="S1341" i="1" s="1"/>
  <c r="S1342" i="1" a="1"/>
  <c r="S1342" i="1" s="1"/>
  <c r="S1343" i="1" a="1"/>
  <c r="S1343" i="1" s="1"/>
  <c r="S1344" i="1" a="1"/>
  <c r="S1344" i="1" s="1"/>
  <c r="S1345" i="1" a="1"/>
  <c r="S1345" i="1" s="1"/>
  <c r="S1346" i="1" a="1"/>
  <c r="S1346" i="1" s="1"/>
  <c r="S1347" i="1" a="1"/>
  <c r="S1347" i="1" s="1"/>
  <c r="S1348" i="1" a="1"/>
  <c r="S1348" i="1" s="1"/>
  <c r="S1349" i="1" a="1"/>
  <c r="S1349" i="1" s="1"/>
  <c r="S1350" i="1" a="1"/>
  <c r="S1350" i="1" s="1"/>
  <c r="S1351" i="1" a="1"/>
  <c r="S1351" i="1" s="1"/>
  <c r="S1352" i="1" a="1"/>
  <c r="S1352" i="1" s="1"/>
  <c r="S1353" i="1" a="1"/>
  <c r="S1353" i="1" s="1"/>
  <c r="S1354" i="1" a="1"/>
  <c r="S1354" i="1" s="1"/>
  <c r="S1355" i="1" a="1"/>
  <c r="S1355" i="1" s="1"/>
  <c r="S1356" i="1" a="1"/>
  <c r="S1356" i="1" s="1"/>
  <c r="S1357" i="1" a="1"/>
  <c r="S1357" i="1" s="1"/>
  <c r="S1358" i="1" a="1"/>
  <c r="S1358" i="1" s="1"/>
  <c r="S1359" i="1" a="1"/>
  <c r="S1359" i="1" s="1"/>
  <c r="S1360" i="1" a="1"/>
  <c r="S1360" i="1" s="1"/>
  <c r="S1361" i="1" a="1"/>
  <c r="S1361" i="1" s="1"/>
  <c r="S1362" i="1" a="1"/>
  <c r="S1362" i="1" s="1"/>
  <c r="S1363" i="1" a="1"/>
  <c r="S1363" i="1" s="1"/>
  <c r="S1364" i="1" a="1"/>
  <c r="S1364" i="1" s="1"/>
  <c r="S1365" i="1" a="1"/>
  <c r="S1365" i="1" s="1"/>
  <c r="S1366" i="1" a="1"/>
  <c r="S1366" i="1" s="1"/>
  <c r="S1367" i="1" a="1"/>
  <c r="S1367" i="1" s="1"/>
  <c r="S1368" i="1" a="1"/>
  <c r="S1368" i="1" s="1"/>
  <c r="S1369" i="1" a="1"/>
  <c r="S1369" i="1" s="1"/>
  <c r="S1370" i="1" a="1"/>
  <c r="S1370" i="1" s="1"/>
  <c r="S1371" i="1" a="1"/>
  <c r="S1371" i="1" s="1"/>
  <c r="S1372" i="1" a="1"/>
  <c r="S1372" i="1" s="1"/>
  <c r="S1373" i="1" a="1"/>
  <c r="S1373" i="1" s="1"/>
  <c r="S1374" i="1" a="1"/>
  <c r="S1374" i="1" s="1"/>
  <c r="S1375" i="1" a="1"/>
  <c r="S1375" i="1" s="1"/>
  <c r="S1376" i="1" a="1"/>
  <c r="S1376" i="1" s="1"/>
  <c r="S1377" i="1" a="1"/>
  <c r="S1377" i="1" s="1"/>
  <c r="S1378" i="1" a="1"/>
  <c r="S1378" i="1" s="1"/>
  <c r="S1379" i="1" a="1"/>
  <c r="S1379" i="1" s="1"/>
  <c r="S1380" i="1" a="1"/>
  <c r="S1380" i="1" s="1"/>
  <c r="S1381" i="1" a="1"/>
  <c r="S1381" i="1" s="1"/>
  <c r="S1382" i="1" a="1"/>
  <c r="S1382" i="1" s="1"/>
  <c r="S1383" i="1" a="1"/>
  <c r="S1383" i="1" s="1"/>
  <c r="S1384" i="1" a="1"/>
  <c r="S1384" i="1" s="1"/>
  <c r="S1385" i="1" a="1"/>
  <c r="S1385" i="1" s="1"/>
  <c r="S1386" i="1" a="1"/>
  <c r="S1386" i="1" s="1"/>
  <c r="S1387" i="1" a="1"/>
  <c r="S1387" i="1" s="1"/>
  <c r="S1388" i="1" a="1"/>
  <c r="S1388" i="1" s="1"/>
  <c r="S1389" i="1" a="1"/>
  <c r="S1389" i="1" s="1"/>
  <c r="S1390" i="1" a="1"/>
  <c r="S1390" i="1" s="1"/>
  <c r="S1391" i="1" a="1"/>
  <c r="S1391" i="1" s="1"/>
  <c r="S1392" i="1" a="1"/>
  <c r="S1392" i="1" s="1"/>
  <c r="S1393" i="1" a="1"/>
  <c r="S1393" i="1" s="1"/>
  <c r="S1394" i="1" a="1"/>
  <c r="S1394" i="1" s="1"/>
  <c r="S1395" i="1" a="1"/>
  <c r="S1395" i="1" s="1"/>
  <c r="S1396" i="1" a="1"/>
  <c r="S1396" i="1" s="1"/>
  <c r="S1397" i="1" a="1"/>
  <c r="S1397" i="1" s="1"/>
  <c r="S1398" i="1" a="1"/>
  <c r="S1398" i="1" s="1"/>
  <c r="S1399" i="1" a="1"/>
  <c r="S1399" i="1" s="1"/>
  <c r="S1400" i="1" a="1"/>
  <c r="S1400" i="1" s="1"/>
  <c r="S1401" i="1" a="1"/>
  <c r="S1401" i="1" s="1"/>
  <c r="S1402" i="1" a="1"/>
  <c r="S1402" i="1" s="1"/>
  <c r="S1403" i="1" a="1"/>
  <c r="S1403" i="1" s="1"/>
  <c r="S1404" i="1" a="1"/>
  <c r="S1404" i="1" s="1"/>
  <c r="S1405" i="1" a="1"/>
  <c r="S1405" i="1" s="1"/>
  <c r="S1406" i="1" a="1"/>
  <c r="S1406" i="1" s="1"/>
  <c r="S1407" i="1" a="1"/>
  <c r="S1407" i="1" s="1"/>
  <c r="S1408" i="1" a="1"/>
  <c r="S1408" i="1" s="1"/>
  <c r="S1409" i="1" a="1"/>
  <c r="S1409" i="1" s="1"/>
  <c r="S1410" i="1" a="1"/>
  <c r="S1410" i="1" s="1"/>
  <c r="S1411" i="1" a="1"/>
  <c r="S1411" i="1" s="1"/>
  <c r="S1412" i="1" a="1"/>
  <c r="S1412" i="1" s="1"/>
  <c r="S1413" i="1" a="1"/>
  <c r="S1413" i="1" s="1"/>
  <c r="S1414" i="1" a="1"/>
  <c r="S1414" i="1" s="1"/>
  <c r="S1415" i="1" a="1"/>
  <c r="S1415" i="1" s="1"/>
  <c r="S1416" i="1" a="1"/>
  <c r="S1416" i="1" s="1"/>
  <c r="S1417" i="1" a="1"/>
  <c r="S1417" i="1" s="1"/>
  <c r="S1418" i="1" a="1"/>
  <c r="S1418" i="1" s="1"/>
  <c r="S1419" i="1" a="1"/>
  <c r="S1419" i="1" s="1"/>
  <c r="S1420" i="1" a="1"/>
  <c r="S1420" i="1" s="1"/>
  <c r="S1421" i="1" a="1"/>
  <c r="S1421" i="1" s="1"/>
  <c r="S1422" i="1" a="1"/>
  <c r="S1422" i="1" s="1"/>
  <c r="S1423" i="1" a="1"/>
  <c r="S1423" i="1" s="1"/>
  <c r="S1424" i="1" a="1"/>
  <c r="S1424" i="1" s="1"/>
  <c r="S1425" i="1" a="1"/>
  <c r="S1425" i="1" s="1"/>
  <c r="S1426" i="1" a="1"/>
  <c r="S1426" i="1" s="1"/>
  <c r="S1427" i="1" a="1"/>
  <c r="S1427" i="1" s="1"/>
  <c r="S1428" i="1" a="1"/>
  <c r="S1428" i="1" s="1"/>
  <c r="S1429" i="1" a="1"/>
  <c r="S1429" i="1" s="1"/>
  <c r="S1430" i="1" a="1"/>
  <c r="S1430" i="1" s="1"/>
  <c r="S1431" i="1" a="1"/>
  <c r="S1431" i="1" s="1"/>
  <c r="S1432" i="1" a="1"/>
  <c r="S1432" i="1" s="1"/>
  <c r="S1433" i="1" a="1"/>
  <c r="S1433" i="1" s="1"/>
  <c r="S1434" i="1" a="1"/>
  <c r="S1434" i="1" s="1"/>
  <c r="S1435" i="1" a="1"/>
  <c r="S1435" i="1" s="1"/>
  <c r="S1436" i="1" a="1"/>
  <c r="S1436" i="1" s="1"/>
  <c r="S1437" i="1" a="1"/>
  <c r="S1437" i="1" s="1"/>
  <c r="S1438" i="1" a="1"/>
  <c r="S1438" i="1" s="1"/>
  <c r="S1439" i="1" a="1"/>
  <c r="S1439" i="1" s="1"/>
  <c r="S1440" i="1" a="1"/>
  <c r="S1440" i="1" s="1"/>
  <c r="S1441" i="1" a="1"/>
  <c r="S1441" i="1" s="1"/>
  <c r="S1442" i="1" a="1"/>
  <c r="S1442" i="1" s="1"/>
  <c r="S1443" i="1" a="1"/>
  <c r="S1443" i="1" s="1"/>
  <c r="S1444" i="1" a="1"/>
  <c r="S1444" i="1" s="1"/>
  <c r="S1445" i="1" a="1"/>
  <c r="S1445" i="1" s="1"/>
  <c r="S1446" i="1" a="1"/>
  <c r="S1446" i="1" s="1"/>
  <c r="S1447" i="1" a="1"/>
  <c r="S1447" i="1" s="1"/>
  <c r="S1448" i="1" a="1"/>
  <c r="S1448" i="1" s="1"/>
  <c r="S1449" i="1" a="1"/>
  <c r="S1449" i="1" s="1"/>
  <c r="S1450" i="1" a="1"/>
  <c r="S1450" i="1" s="1"/>
  <c r="S1451" i="1" a="1"/>
  <c r="S1451" i="1" s="1"/>
  <c r="S1452" i="1" a="1"/>
  <c r="S1452" i="1" s="1"/>
  <c r="S1453" i="1" a="1"/>
  <c r="S1453" i="1" s="1"/>
  <c r="S1454" i="1" a="1"/>
  <c r="S1454" i="1" s="1"/>
  <c r="S1455" i="1" a="1"/>
  <c r="S1455" i="1" s="1"/>
  <c r="S1456" i="1" a="1"/>
  <c r="S1456" i="1" s="1"/>
  <c r="S1457" i="1" a="1"/>
  <c r="S1457" i="1" s="1"/>
  <c r="S1458" i="1" a="1"/>
  <c r="S1458" i="1" s="1"/>
  <c r="S1459" i="1" a="1"/>
  <c r="S1459" i="1" s="1"/>
  <c r="S1460" i="1" a="1"/>
  <c r="S1460" i="1" s="1"/>
  <c r="S1461" i="1" a="1"/>
  <c r="S1461" i="1" s="1"/>
  <c r="S1462" i="1" a="1"/>
  <c r="S1462" i="1" s="1"/>
  <c r="S1463" i="1" a="1"/>
  <c r="S1463" i="1" s="1"/>
  <c r="S1464" i="1" a="1"/>
  <c r="S1464" i="1" s="1"/>
  <c r="S1465" i="1" a="1"/>
  <c r="S1465" i="1" s="1"/>
  <c r="S1466" i="1" a="1"/>
  <c r="S1466" i="1" s="1"/>
  <c r="S1467" i="1" a="1"/>
  <c r="S1467" i="1" s="1"/>
  <c r="S1468" i="1" a="1"/>
  <c r="S1468" i="1" s="1"/>
  <c r="S1469" i="1" a="1"/>
  <c r="S1469" i="1" s="1"/>
  <c r="S1470" i="1" a="1"/>
  <c r="S1470" i="1" s="1"/>
  <c r="S1471" i="1" a="1"/>
  <c r="S1471" i="1" s="1"/>
  <c r="S1472" i="1" a="1"/>
  <c r="S1472" i="1" s="1"/>
  <c r="S1473" i="1" a="1"/>
  <c r="S1473" i="1" s="1"/>
  <c r="S1474" i="1" a="1"/>
  <c r="S1474" i="1" s="1"/>
  <c r="S1475" i="1" a="1"/>
  <c r="S1475" i="1" s="1"/>
  <c r="S1476" i="1" a="1"/>
  <c r="S1476" i="1" s="1"/>
  <c r="S1477" i="1" a="1"/>
  <c r="S1477" i="1" s="1"/>
  <c r="S1478" i="1" a="1"/>
  <c r="S1478" i="1" s="1"/>
  <c r="S1479" i="1" a="1"/>
  <c r="S1479" i="1" s="1"/>
  <c r="S1480" i="1" a="1"/>
  <c r="S1480" i="1" s="1"/>
  <c r="S1481" i="1" a="1"/>
  <c r="S1481" i="1" s="1"/>
  <c r="S1482" i="1" a="1"/>
  <c r="S1482" i="1" s="1"/>
  <c r="S1483" i="1" a="1"/>
  <c r="S1483" i="1" s="1"/>
  <c r="S1484" i="1" a="1"/>
  <c r="S1484" i="1" s="1"/>
  <c r="S1485" i="1" a="1"/>
  <c r="S1485" i="1" s="1"/>
  <c r="S1486" i="1" a="1"/>
  <c r="S1486" i="1" s="1"/>
  <c r="S1487" i="1" a="1"/>
  <c r="S1487" i="1" s="1"/>
  <c r="S1488" i="1" a="1"/>
  <c r="S1488" i="1" s="1"/>
  <c r="S1489" i="1" a="1"/>
  <c r="S1489" i="1" s="1"/>
  <c r="S1490" i="1" a="1"/>
  <c r="S1490" i="1" s="1"/>
  <c r="S1491" i="1" a="1"/>
  <c r="S1491" i="1" s="1"/>
  <c r="S1492" i="1" a="1"/>
  <c r="S1492" i="1" s="1"/>
  <c r="S1493" i="1" a="1"/>
  <c r="S1493" i="1" s="1"/>
  <c r="S1494" i="1" a="1"/>
  <c r="S1494" i="1" s="1"/>
  <c r="S1495" i="1" a="1"/>
  <c r="S1495" i="1" s="1"/>
  <c r="S1496" i="1" a="1"/>
  <c r="S1496" i="1" s="1"/>
  <c r="S1497" i="1" a="1"/>
  <c r="S1497" i="1" s="1"/>
  <c r="S1498" i="1" a="1"/>
  <c r="S1498" i="1" s="1"/>
  <c r="S1499" i="1" a="1"/>
  <c r="S1499" i="1" s="1"/>
  <c r="S1500" i="1" a="1"/>
  <c r="S1500" i="1" s="1"/>
  <c r="S1501" i="1" a="1"/>
  <c r="S1501" i="1" s="1"/>
  <c r="S1502" i="1" a="1"/>
  <c r="S1502" i="1" s="1"/>
  <c r="S1503" i="1" a="1"/>
  <c r="S1503" i="1" s="1"/>
  <c r="S1504" i="1" a="1"/>
  <c r="S1504" i="1" s="1"/>
  <c r="S1505" i="1" a="1"/>
  <c r="S1505" i="1" s="1"/>
  <c r="S1506" i="1" a="1"/>
  <c r="S1506" i="1" s="1"/>
  <c r="S1507" i="1" a="1"/>
  <c r="S1507" i="1" s="1"/>
  <c r="S1508" i="1" a="1"/>
  <c r="S1508" i="1" s="1"/>
  <c r="S1509" i="1" a="1"/>
  <c r="S1509" i="1" s="1"/>
  <c r="S1510" i="1" a="1"/>
  <c r="S1510" i="1" s="1"/>
  <c r="S1511" i="1" a="1"/>
  <c r="S1511" i="1" s="1"/>
  <c r="S1512" i="1" a="1"/>
  <c r="S1512" i="1" s="1"/>
  <c r="S1513" i="1" a="1"/>
  <c r="S1513" i="1" s="1"/>
  <c r="S1514" i="1" a="1"/>
  <c r="S1514" i="1" s="1"/>
  <c r="S1515" i="1" a="1"/>
  <c r="S1515" i="1" s="1"/>
  <c r="S1516" i="1" a="1"/>
  <c r="S1516" i="1" s="1"/>
  <c r="S1517" i="1" a="1"/>
  <c r="S1517" i="1" s="1"/>
  <c r="S1518" i="1" a="1"/>
  <c r="S1518" i="1" s="1"/>
  <c r="S1519" i="1" a="1"/>
  <c r="S1519" i="1" s="1"/>
  <c r="S1520" i="1" a="1"/>
  <c r="S1520" i="1" s="1"/>
  <c r="S1521" i="1" a="1"/>
  <c r="S1521" i="1" s="1"/>
  <c r="S1522" i="1" a="1"/>
  <c r="S1522" i="1" s="1"/>
  <c r="S1523" i="1" a="1"/>
  <c r="S1523" i="1" s="1"/>
  <c r="S1524" i="1" a="1"/>
  <c r="S1524" i="1" s="1"/>
  <c r="S1525" i="1" a="1"/>
  <c r="S1525" i="1" s="1"/>
  <c r="S1526" i="1" a="1"/>
  <c r="S1526" i="1" s="1"/>
  <c r="S1527" i="1" a="1"/>
  <c r="S1527" i="1" s="1"/>
  <c r="S1528" i="1" a="1"/>
  <c r="S1528" i="1" s="1"/>
  <c r="S1529" i="1" a="1"/>
  <c r="S1529" i="1" s="1"/>
  <c r="S1530" i="1" a="1"/>
  <c r="S1530" i="1" s="1"/>
  <c r="S1531" i="1" a="1"/>
  <c r="S1531" i="1" s="1"/>
  <c r="S1532" i="1" a="1"/>
  <c r="S1532" i="1" s="1"/>
  <c r="S1533" i="1" a="1"/>
  <c r="S1533" i="1" s="1"/>
  <c r="S1534" i="1" a="1"/>
  <c r="S1534" i="1" s="1"/>
  <c r="S1535" i="1" a="1"/>
  <c r="S1535" i="1" s="1"/>
  <c r="S1536" i="1" a="1"/>
  <c r="S1536" i="1" s="1"/>
  <c r="S1537" i="1" a="1"/>
  <c r="S1537" i="1" s="1"/>
  <c r="S1538" i="1" a="1"/>
  <c r="S1538" i="1" s="1"/>
  <c r="S1539" i="1" a="1"/>
  <c r="S1539" i="1" s="1"/>
  <c r="S1540" i="1" a="1"/>
  <c r="S1540" i="1" s="1"/>
  <c r="S1541" i="1" a="1"/>
  <c r="S1541" i="1" s="1"/>
  <c r="S1542" i="1" a="1"/>
  <c r="S1542" i="1" s="1"/>
  <c r="S1543" i="1" a="1"/>
  <c r="S1543" i="1" s="1"/>
  <c r="S1544" i="1" a="1"/>
  <c r="S1544" i="1" s="1"/>
  <c r="S1545" i="1" a="1"/>
  <c r="S1545" i="1" s="1"/>
  <c r="S1546" i="1" a="1"/>
  <c r="S1546" i="1" s="1"/>
  <c r="S1547" i="1" a="1"/>
  <c r="S1547" i="1" s="1"/>
  <c r="S1548" i="1" a="1"/>
  <c r="S1548" i="1" s="1"/>
  <c r="S1549" i="1" a="1"/>
  <c r="S1549" i="1" s="1"/>
  <c r="S1550" i="1" a="1"/>
  <c r="S1550" i="1" s="1"/>
  <c r="S1551" i="1" a="1"/>
  <c r="S1551" i="1" s="1"/>
  <c r="S1552" i="1" a="1"/>
  <c r="S1552" i="1" s="1"/>
  <c r="S1553" i="1" a="1"/>
  <c r="S1553" i="1" s="1"/>
  <c r="S1554" i="1" a="1"/>
  <c r="S1554" i="1" s="1"/>
  <c r="S1555" i="1" a="1"/>
  <c r="S1555" i="1" s="1"/>
  <c r="S1556" i="1" a="1"/>
  <c r="S1556" i="1" s="1"/>
  <c r="S1557" i="1" a="1"/>
  <c r="S1557" i="1" s="1"/>
  <c r="S1558" i="1" a="1"/>
  <c r="S1558" i="1" s="1"/>
  <c r="S1559" i="1" a="1"/>
  <c r="S1559" i="1" s="1"/>
  <c r="S1560" i="1" a="1"/>
  <c r="S1560" i="1" s="1"/>
  <c r="S1561" i="1" a="1"/>
  <c r="S1561" i="1" s="1"/>
  <c r="S1562" i="1" a="1"/>
  <c r="S1562" i="1" s="1"/>
  <c r="S1563" i="1" a="1"/>
  <c r="S1563" i="1" s="1"/>
  <c r="S1564" i="1" a="1"/>
  <c r="S1564" i="1" s="1"/>
  <c r="S1565" i="1" a="1"/>
  <c r="S1565" i="1" s="1"/>
  <c r="S1566" i="1" a="1"/>
  <c r="S1566" i="1" s="1"/>
  <c r="S1567" i="1" a="1"/>
  <c r="S1567" i="1" s="1"/>
  <c r="S1568" i="1" a="1"/>
  <c r="S1568" i="1" s="1"/>
  <c r="S1569" i="1" a="1"/>
  <c r="S1569" i="1" s="1"/>
  <c r="S1570" i="1" a="1"/>
  <c r="S1570" i="1" s="1"/>
  <c r="S1571" i="1" a="1"/>
  <c r="S1571" i="1" s="1"/>
  <c r="S1572" i="1" a="1"/>
  <c r="S1572" i="1" s="1"/>
  <c r="S1573" i="1" a="1"/>
  <c r="S1573" i="1" s="1"/>
  <c r="S1574" i="1" a="1"/>
  <c r="S1574" i="1" s="1"/>
  <c r="S1575" i="1" a="1"/>
  <c r="S1575" i="1" s="1"/>
  <c r="S1576" i="1" a="1"/>
  <c r="S1576" i="1" s="1"/>
  <c r="S1577" i="1" a="1"/>
  <c r="S1577" i="1" s="1"/>
  <c r="S1578" i="1" a="1"/>
  <c r="S1578" i="1" s="1"/>
  <c r="S1579" i="1" a="1"/>
  <c r="S1579" i="1" s="1"/>
  <c r="S1580" i="1" a="1"/>
  <c r="S1580" i="1" s="1"/>
  <c r="S1581" i="1" a="1"/>
  <c r="S1581" i="1" s="1"/>
  <c r="S1582" i="1" a="1"/>
  <c r="S1582" i="1" s="1"/>
  <c r="S1583" i="1" a="1"/>
  <c r="S1583" i="1" s="1"/>
  <c r="S1584" i="1" a="1"/>
  <c r="S1584" i="1" s="1"/>
  <c r="S1585" i="1" a="1"/>
  <c r="S1585" i="1" s="1"/>
  <c r="S1586" i="1" a="1"/>
  <c r="S1586" i="1" s="1"/>
  <c r="S1587" i="1" a="1"/>
  <c r="S1587" i="1" s="1"/>
  <c r="S1588" i="1" a="1"/>
  <c r="S1588" i="1" s="1"/>
  <c r="S1589" i="1" a="1"/>
  <c r="S1589" i="1" s="1"/>
  <c r="S1590" i="1" a="1"/>
  <c r="S1590" i="1" s="1"/>
  <c r="S1591" i="1" a="1"/>
  <c r="S1591" i="1" s="1"/>
  <c r="S1592" i="1" a="1"/>
  <c r="S1592" i="1" s="1"/>
  <c r="S1593" i="1" a="1"/>
  <c r="S1593" i="1" s="1"/>
  <c r="S1594" i="1" a="1"/>
  <c r="S1594" i="1" s="1"/>
  <c r="S1595" i="1" a="1"/>
  <c r="S1595" i="1" s="1"/>
  <c r="S1596" i="1" a="1"/>
  <c r="S1596" i="1" s="1"/>
  <c r="S1597" i="1" a="1"/>
  <c r="S1597" i="1" s="1"/>
  <c r="S1598" i="1" a="1"/>
  <c r="S1598" i="1" s="1"/>
  <c r="S1599" i="1" a="1"/>
  <c r="S1599" i="1" s="1"/>
  <c r="S1600" i="1" a="1"/>
  <c r="S1600" i="1" s="1"/>
  <c r="S1601" i="1" a="1"/>
  <c r="S1601" i="1" s="1"/>
  <c r="S1602" i="1" a="1"/>
  <c r="S1602" i="1" s="1"/>
  <c r="S1603" i="1" a="1"/>
  <c r="S1603" i="1" s="1"/>
  <c r="S1604" i="1" a="1"/>
  <c r="S1604" i="1" s="1"/>
  <c r="S1605" i="1" a="1"/>
  <c r="S1605" i="1" s="1"/>
  <c r="S1606" i="1" a="1"/>
  <c r="S1606" i="1" s="1"/>
  <c r="S1607" i="1" a="1"/>
  <c r="S1607" i="1" s="1"/>
  <c r="S1608" i="1" a="1"/>
  <c r="S1608" i="1" s="1"/>
  <c r="S1609" i="1" a="1"/>
  <c r="S1609" i="1" s="1"/>
  <c r="S1610" i="1" a="1"/>
  <c r="S1610" i="1" s="1"/>
  <c r="S1611" i="1" a="1"/>
  <c r="S1611" i="1" s="1"/>
  <c r="S1612" i="1" a="1"/>
  <c r="S1612" i="1" s="1"/>
  <c r="S1613" i="1" a="1"/>
  <c r="S1613" i="1" s="1"/>
  <c r="S1614" i="1" a="1"/>
  <c r="S1614" i="1" s="1"/>
  <c r="S1615" i="1" a="1"/>
  <c r="S1615" i="1" s="1"/>
  <c r="S1616" i="1" a="1"/>
  <c r="S1616" i="1" s="1"/>
  <c r="S1617" i="1" a="1"/>
  <c r="S1617" i="1" s="1"/>
  <c r="S1618" i="1" a="1"/>
  <c r="S1618" i="1" s="1"/>
  <c r="S1619" i="1" a="1"/>
  <c r="S1619" i="1" s="1"/>
  <c r="S1620" i="1" a="1"/>
  <c r="S1620" i="1" s="1"/>
  <c r="S1621" i="1" a="1"/>
  <c r="S1621" i="1" s="1"/>
  <c r="S1622" i="1" a="1"/>
  <c r="S1622" i="1" s="1"/>
  <c r="S1623" i="1" a="1"/>
  <c r="S1623" i="1" s="1"/>
  <c r="S1624" i="1" a="1"/>
  <c r="S1624" i="1" s="1"/>
  <c r="S1625" i="1" a="1"/>
  <c r="S1625" i="1" s="1"/>
  <c r="S1626" i="1" a="1"/>
  <c r="S1626" i="1" s="1"/>
  <c r="S1627" i="1" a="1"/>
  <c r="S1627" i="1" s="1"/>
  <c r="S1628" i="1" a="1"/>
  <c r="S1628" i="1" s="1"/>
  <c r="S1629" i="1" a="1"/>
  <c r="S1629" i="1" s="1"/>
  <c r="S1630" i="1" a="1"/>
  <c r="S1630" i="1" s="1"/>
  <c r="S1631" i="1" a="1"/>
  <c r="S1631" i="1" s="1"/>
  <c r="S1632" i="1" a="1"/>
  <c r="S1632" i="1" s="1"/>
  <c r="S1633" i="1" a="1"/>
  <c r="S1633" i="1" s="1"/>
  <c r="S1634" i="1" a="1"/>
  <c r="S1634" i="1" s="1"/>
  <c r="S1635" i="1" a="1"/>
  <c r="S1635" i="1" s="1"/>
  <c r="S1636" i="1" a="1"/>
  <c r="S1636" i="1" s="1"/>
  <c r="S1637" i="1" a="1"/>
  <c r="S1637" i="1" s="1"/>
  <c r="S1638" i="1" a="1"/>
  <c r="S1638" i="1" s="1"/>
  <c r="S1639" i="1" a="1"/>
  <c r="S1639" i="1" s="1"/>
  <c r="S1640" i="1" a="1"/>
  <c r="S1640" i="1" s="1"/>
  <c r="S1641" i="1" a="1"/>
  <c r="S1641" i="1" s="1"/>
  <c r="S1642" i="1" a="1"/>
  <c r="S1642" i="1" s="1"/>
  <c r="S1643" i="1" a="1"/>
  <c r="S1643" i="1" s="1"/>
  <c r="S1644" i="1" a="1"/>
  <c r="S1644" i="1" s="1"/>
  <c r="S1645" i="1" a="1"/>
  <c r="S1645" i="1" s="1"/>
  <c r="S1646" i="1" a="1"/>
  <c r="S1646" i="1" s="1"/>
  <c r="S1647" i="1" a="1"/>
  <c r="S1647" i="1" s="1"/>
  <c r="S1648" i="1" a="1"/>
  <c r="S1648" i="1" s="1"/>
  <c r="S1649" i="1" a="1"/>
  <c r="S1649" i="1" s="1"/>
  <c r="S1650" i="1" a="1"/>
  <c r="S1650" i="1" s="1"/>
  <c r="S1651" i="1" a="1"/>
  <c r="S1651" i="1" s="1"/>
  <c r="S1652" i="1" a="1"/>
  <c r="S1652" i="1" s="1"/>
  <c r="S1653" i="1" a="1"/>
  <c r="S1653" i="1" s="1"/>
  <c r="S1654" i="1" a="1"/>
  <c r="S1654" i="1" s="1"/>
  <c r="S1655" i="1" a="1"/>
  <c r="S1655" i="1" s="1"/>
  <c r="S1656" i="1" a="1"/>
  <c r="S1656" i="1" s="1"/>
  <c r="S1657" i="1" a="1"/>
  <c r="S1657" i="1" s="1"/>
  <c r="S1658" i="1" a="1"/>
  <c r="S1658" i="1" s="1"/>
  <c r="S1659" i="1" a="1"/>
  <c r="S1659" i="1" s="1"/>
  <c r="S1660" i="1" a="1"/>
  <c r="S1660" i="1" s="1"/>
  <c r="S1661" i="1" a="1"/>
  <c r="S1661" i="1" s="1"/>
  <c r="S1662" i="1" a="1"/>
  <c r="S1662" i="1" s="1"/>
  <c r="S1663" i="1" a="1"/>
  <c r="S1663" i="1" s="1"/>
  <c r="S1664" i="1" a="1"/>
  <c r="S1664" i="1" s="1"/>
  <c r="S1665" i="1" a="1"/>
  <c r="S1665" i="1" s="1"/>
  <c r="S1666" i="1" a="1"/>
  <c r="S1666" i="1" s="1"/>
  <c r="S1667" i="1" a="1"/>
  <c r="S1667" i="1" s="1"/>
  <c r="S1668" i="1" a="1"/>
  <c r="S1668" i="1" s="1"/>
  <c r="S1669" i="1" a="1"/>
  <c r="S1669" i="1" s="1"/>
  <c r="S1670" i="1" a="1"/>
  <c r="S1670" i="1" s="1"/>
  <c r="S1671" i="1" a="1"/>
  <c r="S1671" i="1" s="1"/>
  <c r="S1672" i="1" a="1"/>
  <c r="S1672" i="1" s="1"/>
  <c r="S1673" i="1" a="1"/>
  <c r="S1673" i="1" s="1"/>
  <c r="S1674" i="1" a="1"/>
  <c r="S1674" i="1" s="1"/>
  <c r="S1675" i="1" a="1"/>
  <c r="S1675" i="1" s="1"/>
  <c r="S1676" i="1" a="1"/>
  <c r="S1676" i="1" s="1"/>
  <c r="S1677" i="1" a="1"/>
  <c r="S1677" i="1" s="1"/>
  <c r="S1678" i="1" a="1"/>
  <c r="S1678" i="1" s="1"/>
  <c r="S1679" i="1" a="1"/>
  <c r="S1679" i="1" s="1"/>
  <c r="S1680" i="1" a="1"/>
  <c r="S1680" i="1" s="1"/>
  <c r="S1681" i="1" a="1"/>
  <c r="S1681" i="1" s="1"/>
  <c r="S1682" i="1" a="1"/>
  <c r="S1682" i="1" s="1"/>
  <c r="S1683" i="1" a="1"/>
  <c r="S1683" i="1" s="1"/>
  <c r="S1684" i="1" a="1"/>
  <c r="S1684" i="1" s="1"/>
  <c r="S1685" i="1" a="1"/>
  <c r="S1685" i="1" s="1"/>
  <c r="S1686" i="1" a="1"/>
  <c r="S1686" i="1" s="1"/>
  <c r="S1687" i="1" a="1"/>
  <c r="S1687" i="1" s="1"/>
  <c r="S1688" i="1" a="1"/>
  <c r="S1688" i="1" s="1"/>
  <c r="S1689" i="1" a="1"/>
  <c r="S1689" i="1" s="1"/>
  <c r="S1690" i="1" a="1"/>
  <c r="S1690" i="1" s="1"/>
  <c r="S1691" i="1" a="1"/>
  <c r="S1691" i="1" s="1"/>
  <c r="S1692" i="1" a="1"/>
  <c r="S1692" i="1" s="1"/>
  <c r="S1693" i="1" a="1"/>
  <c r="S1693" i="1" s="1"/>
  <c r="S1694" i="1" a="1"/>
  <c r="S1694" i="1" s="1"/>
  <c r="S1695" i="1" a="1"/>
  <c r="S1695" i="1" s="1"/>
  <c r="S1696" i="1" a="1"/>
  <c r="S1696" i="1" s="1"/>
  <c r="S1697" i="1" a="1"/>
  <c r="S1697" i="1" s="1"/>
  <c r="S1698" i="1" a="1"/>
  <c r="S1698" i="1" s="1"/>
  <c r="S1699" i="1" a="1"/>
  <c r="S1699" i="1" s="1"/>
  <c r="S1700" i="1" a="1"/>
  <c r="S1700" i="1" s="1"/>
  <c r="S1701" i="1" a="1"/>
  <c r="S1701" i="1" s="1"/>
  <c r="S1702" i="1" a="1"/>
  <c r="S1702" i="1" s="1"/>
  <c r="S1703" i="1" a="1"/>
  <c r="S1703" i="1" s="1"/>
  <c r="S1704" i="1" a="1"/>
  <c r="S1704" i="1" s="1"/>
  <c r="S1705" i="1" a="1"/>
  <c r="S1705" i="1" s="1"/>
  <c r="S1706" i="1" a="1"/>
  <c r="S1706" i="1" s="1"/>
  <c r="S1707" i="1" a="1"/>
  <c r="S1707" i="1" s="1"/>
  <c r="S1708" i="1" a="1"/>
  <c r="S1708" i="1" s="1"/>
  <c r="S1709" i="1" a="1"/>
  <c r="S1709" i="1" s="1"/>
  <c r="S1710" i="1" a="1"/>
  <c r="S1710" i="1" s="1"/>
  <c r="S1711" i="1" a="1"/>
  <c r="S1711" i="1" s="1"/>
  <c r="S1712" i="1" a="1"/>
  <c r="S1712" i="1" s="1"/>
  <c r="S1713" i="1" a="1"/>
  <c r="S1713" i="1" s="1"/>
  <c r="S1714" i="1" a="1"/>
  <c r="S1714" i="1" s="1"/>
  <c r="S1715" i="1" a="1"/>
  <c r="S1715" i="1" s="1"/>
  <c r="S1716" i="1" a="1"/>
  <c r="S1716" i="1" s="1"/>
  <c r="S1717" i="1" a="1"/>
  <c r="S1717" i="1" s="1"/>
  <c r="S1718" i="1" a="1"/>
  <c r="S1718" i="1" s="1"/>
  <c r="S1719" i="1" a="1"/>
  <c r="S1719" i="1" s="1"/>
  <c r="S1720" i="1" a="1"/>
  <c r="S1720" i="1" s="1"/>
  <c r="S1721" i="1" a="1"/>
  <c r="S1721" i="1" s="1"/>
  <c r="S1722" i="1" a="1"/>
  <c r="S1722" i="1" s="1"/>
  <c r="S1723" i="1" a="1"/>
  <c r="S1723" i="1" s="1"/>
  <c r="S1724" i="1" a="1"/>
  <c r="S1724" i="1" s="1"/>
  <c r="S1725" i="1" a="1"/>
  <c r="S1725" i="1" s="1"/>
  <c r="S1726" i="1" a="1"/>
  <c r="S1726" i="1" s="1"/>
  <c r="S1727" i="1" a="1"/>
  <c r="S1727" i="1" s="1"/>
  <c r="S1728" i="1" a="1"/>
  <c r="S1728" i="1" s="1"/>
  <c r="S1729" i="1" a="1"/>
  <c r="S1729" i="1" s="1"/>
  <c r="S1730" i="1" a="1"/>
  <c r="S1730" i="1" s="1"/>
  <c r="S1731" i="1" a="1"/>
  <c r="S1731" i="1" s="1"/>
  <c r="S1732" i="1" a="1"/>
  <c r="S1732" i="1" s="1"/>
  <c r="S1733" i="1" a="1"/>
  <c r="S1733" i="1" s="1"/>
  <c r="S1734" i="1" a="1"/>
  <c r="S1734" i="1" s="1"/>
  <c r="S1735" i="1" a="1"/>
  <c r="S1735" i="1" s="1"/>
  <c r="S1736" i="1" a="1"/>
  <c r="S1736" i="1" s="1"/>
  <c r="S1737" i="1" a="1"/>
  <c r="S1737" i="1" s="1"/>
  <c r="S1738" i="1" a="1"/>
  <c r="S1738" i="1" s="1"/>
  <c r="S1739" i="1" a="1"/>
  <c r="S1739" i="1" s="1"/>
  <c r="S1740" i="1" a="1"/>
  <c r="S1740" i="1" s="1"/>
  <c r="S1741" i="1" a="1"/>
  <c r="S1741" i="1" s="1"/>
  <c r="S1742" i="1" a="1"/>
  <c r="S1742" i="1" s="1"/>
  <c r="S1743" i="1" a="1"/>
  <c r="S1743" i="1" s="1"/>
  <c r="S1744" i="1" a="1"/>
  <c r="S1744" i="1" s="1"/>
  <c r="S1745" i="1" a="1"/>
  <c r="S1745" i="1" s="1"/>
  <c r="S1746" i="1" a="1"/>
  <c r="S1746" i="1" s="1"/>
  <c r="S1747" i="1" a="1"/>
  <c r="S1747" i="1" s="1"/>
  <c r="S1748" i="1" a="1"/>
  <c r="S1748" i="1" s="1"/>
  <c r="S1749" i="1" a="1"/>
  <c r="S1749" i="1" s="1"/>
  <c r="S1750" i="1" a="1"/>
  <c r="S1750" i="1" s="1"/>
  <c r="S1751" i="1" a="1"/>
  <c r="S1751" i="1" s="1"/>
  <c r="S1752" i="1" a="1"/>
  <c r="S1752" i="1" s="1"/>
  <c r="S1753" i="1" a="1"/>
  <c r="S1753" i="1" s="1"/>
  <c r="S1754" i="1" a="1"/>
  <c r="S1754" i="1" s="1"/>
  <c r="S1755" i="1" a="1"/>
  <c r="S1755" i="1" s="1"/>
  <c r="S1756" i="1" a="1"/>
  <c r="S1756" i="1" s="1"/>
  <c r="S1757" i="1" a="1"/>
  <c r="S1757" i="1" s="1"/>
  <c r="S1758" i="1" a="1"/>
  <c r="S1758" i="1" s="1"/>
  <c r="S1759" i="1" a="1"/>
  <c r="S1759" i="1" s="1"/>
  <c r="S1760" i="1" a="1"/>
  <c r="S1760" i="1" s="1"/>
  <c r="S1761" i="1" a="1"/>
  <c r="S1761" i="1" s="1"/>
  <c r="S1762" i="1" a="1"/>
  <c r="S1762" i="1" s="1"/>
  <c r="S1763" i="1" a="1"/>
  <c r="S1763" i="1" s="1"/>
  <c r="S1764" i="1" a="1"/>
  <c r="S1764" i="1" s="1"/>
  <c r="S1765" i="1" a="1"/>
  <c r="S1765" i="1" s="1"/>
  <c r="S1766" i="1" a="1"/>
  <c r="S1766" i="1" s="1"/>
  <c r="S1767" i="1" a="1"/>
  <c r="S1767" i="1" s="1"/>
  <c r="S1768" i="1" a="1"/>
  <c r="S1768" i="1" s="1"/>
  <c r="S1769" i="1" a="1"/>
  <c r="S1769" i="1" s="1"/>
  <c r="S1770" i="1" a="1"/>
  <c r="S1770" i="1" s="1"/>
  <c r="S1771" i="1" a="1"/>
  <c r="S1771" i="1" s="1"/>
  <c r="S1772" i="1" a="1"/>
  <c r="S1772" i="1" s="1"/>
  <c r="S1773" i="1" a="1"/>
  <c r="S1773" i="1" s="1"/>
  <c r="S1774" i="1" a="1"/>
  <c r="S1774" i="1" s="1"/>
  <c r="S1775" i="1" a="1"/>
  <c r="S1775" i="1" s="1"/>
  <c r="S1776" i="1" a="1"/>
  <c r="S1776" i="1" s="1"/>
  <c r="S1777" i="1" a="1"/>
  <c r="S1777" i="1" s="1"/>
  <c r="S1778" i="1" a="1"/>
  <c r="S1778" i="1" s="1"/>
  <c r="S1779" i="1" a="1"/>
  <c r="S1779" i="1" s="1"/>
  <c r="S1780" i="1" a="1"/>
  <c r="S1780" i="1" s="1"/>
  <c r="S1781" i="1" a="1"/>
  <c r="S1781" i="1" s="1"/>
  <c r="S1782" i="1" a="1"/>
  <c r="S1782" i="1" s="1"/>
  <c r="S1783" i="1" a="1"/>
  <c r="S1783" i="1" s="1"/>
  <c r="S1784" i="1" a="1"/>
  <c r="S1784" i="1" s="1"/>
  <c r="S1785" i="1" a="1"/>
  <c r="S1785" i="1" s="1"/>
  <c r="S1786" i="1" a="1"/>
  <c r="S1786" i="1" s="1"/>
  <c r="S1787" i="1" a="1"/>
  <c r="S1787" i="1" s="1"/>
  <c r="S1788" i="1" a="1"/>
  <c r="S1788" i="1" s="1"/>
  <c r="S1789" i="1" a="1"/>
  <c r="S1789" i="1" s="1"/>
  <c r="S1790" i="1" a="1"/>
  <c r="S1790" i="1" s="1"/>
  <c r="S1791" i="1" a="1"/>
  <c r="S1791" i="1" s="1"/>
  <c r="S1792" i="1" a="1"/>
  <c r="S1792" i="1" s="1"/>
  <c r="S1793" i="1" a="1"/>
  <c r="S1793" i="1" s="1"/>
  <c r="S1794" i="1" a="1"/>
  <c r="S1794" i="1" s="1"/>
  <c r="S1795" i="1" a="1"/>
  <c r="S1795" i="1" s="1"/>
  <c r="S1796" i="1" a="1"/>
  <c r="S1796" i="1" s="1"/>
  <c r="S1797" i="1" a="1"/>
  <c r="S1797" i="1" s="1"/>
  <c r="S1798" i="1" a="1"/>
  <c r="S1798" i="1" s="1"/>
  <c r="S1799" i="1" a="1"/>
  <c r="S1799" i="1" s="1"/>
  <c r="S1800" i="1" a="1"/>
  <c r="S1800" i="1" s="1"/>
  <c r="S1801" i="1" a="1"/>
  <c r="S1801" i="1" s="1"/>
  <c r="S1802" i="1" a="1"/>
  <c r="S1802" i="1" s="1"/>
  <c r="S1803" i="1" a="1"/>
  <c r="S1803" i="1" s="1"/>
  <c r="S1804" i="1" a="1"/>
  <c r="S1804" i="1" s="1"/>
  <c r="S1805" i="1" a="1"/>
  <c r="S1805" i="1" s="1"/>
  <c r="S1806" i="1" a="1"/>
  <c r="S1806" i="1" s="1"/>
  <c r="S1807" i="1" a="1"/>
  <c r="S1807" i="1" s="1"/>
  <c r="S1808" i="1" a="1"/>
  <c r="S1808" i="1" s="1"/>
  <c r="S1809" i="1" a="1"/>
  <c r="S1809" i="1" s="1"/>
  <c r="S1810" i="1" a="1"/>
  <c r="S1810" i="1" s="1"/>
  <c r="S1811" i="1" a="1"/>
  <c r="S1811" i="1" s="1"/>
  <c r="S1812" i="1" a="1"/>
  <c r="S1812" i="1" s="1"/>
  <c r="S1813" i="1" a="1"/>
  <c r="S1813" i="1" s="1"/>
  <c r="S1814" i="1" a="1"/>
  <c r="S1814" i="1" s="1"/>
  <c r="S1815" i="1" a="1"/>
  <c r="S1815" i="1" s="1"/>
  <c r="S1816" i="1" a="1"/>
  <c r="S1816" i="1" s="1"/>
  <c r="S1817" i="1" a="1"/>
  <c r="S1817" i="1" s="1"/>
  <c r="S1818" i="1" a="1"/>
  <c r="S1818" i="1" s="1"/>
  <c r="S1819" i="1" a="1"/>
  <c r="S1819" i="1" s="1"/>
  <c r="S1820" i="1" a="1"/>
  <c r="S1820" i="1" s="1"/>
  <c r="S1821" i="1" a="1"/>
  <c r="S1821" i="1" s="1"/>
  <c r="S1822" i="1" a="1"/>
  <c r="S1822" i="1" s="1"/>
  <c r="S1823" i="1" a="1"/>
  <c r="S1823" i="1" s="1"/>
  <c r="S1824" i="1" a="1"/>
  <c r="S1824" i="1" s="1"/>
  <c r="S1825" i="1" a="1"/>
  <c r="S1825" i="1" s="1"/>
  <c r="S1826" i="1" a="1"/>
  <c r="S1826" i="1" s="1"/>
  <c r="S1827" i="1" a="1"/>
  <c r="S1827" i="1" s="1"/>
  <c r="S1828" i="1" a="1"/>
  <c r="S1828" i="1" s="1"/>
  <c r="S1829" i="1" a="1"/>
  <c r="S1829" i="1" s="1"/>
  <c r="S1830" i="1" a="1"/>
  <c r="S1830" i="1" s="1"/>
  <c r="S1831" i="1" a="1"/>
  <c r="S1831" i="1" s="1"/>
  <c r="S1832" i="1" a="1"/>
  <c r="S1832" i="1" s="1"/>
  <c r="S1833" i="1" a="1"/>
  <c r="S1833" i="1" s="1"/>
  <c r="S1834" i="1" a="1"/>
  <c r="S1834" i="1" s="1"/>
  <c r="S1835" i="1" a="1"/>
  <c r="S1835" i="1" s="1"/>
  <c r="S1836" i="1" a="1"/>
  <c r="S1836" i="1" s="1"/>
  <c r="S1837" i="1" a="1"/>
  <c r="S1837" i="1" s="1"/>
  <c r="S1838" i="1" a="1"/>
  <c r="S1838" i="1" s="1"/>
  <c r="S1839" i="1" a="1"/>
  <c r="S1839" i="1" s="1"/>
  <c r="S1840" i="1" a="1"/>
  <c r="S1840" i="1" s="1"/>
  <c r="S1841" i="1" a="1"/>
  <c r="S1841" i="1" s="1"/>
  <c r="S1842" i="1" a="1"/>
  <c r="S1842" i="1" s="1"/>
  <c r="S1843" i="1" a="1"/>
  <c r="S1843" i="1" s="1"/>
  <c r="S1844" i="1" a="1"/>
  <c r="S1844" i="1" s="1"/>
  <c r="S1845" i="1" a="1"/>
  <c r="S1845" i="1" s="1"/>
  <c r="S1846" i="1" a="1"/>
  <c r="S1846" i="1" s="1"/>
  <c r="S1847" i="1" a="1"/>
  <c r="S1847" i="1" s="1"/>
  <c r="S1848" i="1" a="1"/>
  <c r="S1848" i="1" s="1"/>
  <c r="S1849" i="1" a="1"/>
  <c r="S1849" i="1" s="1"/>
  <c r="S1850" i="1" a="1"/>
  <c r="S1850" i="1" s="1"/>
  <c r="S1851" i="1" a="1"/>
  <c r="S1851" i="1" s="1"/>
  <c r="S1852" i="1" a="1"/>
  <c r="S1852" i="1" s="1"/>
  <c r="S1853" i="1" a="1"/>
  <c r="S1853" i="1" s="1"/>
  <c r="S1854" i="1" a="1"/>
  <c r="S1854" i="1" s="1"/>
  <c r="S1855" i="1" a="1"/>
  <c r="S1855" i="1" s="1"/>
  <c r="S1856" i="1" a="1"/>
  <c r="S1856" i="1" s="1"/>
  <c r="S1857" i="1" a="1"/>
  <c r="S1857" i="1" s="1"/>
  <c r="S1858" i="1" a="1"/>
  <c r="S1858" i="1" s="1"/>
  <c r="S1859" i="1" a="1"/>
  <c r="S1859" i="1" s="1"/>
  <c r="S1860" i="1" a="1"/>
  <c r="S1860" i="1" s="1"/>
  <c r="S1861" i="1" a="1"/>
  <c r="S1861" i="1" s="1"/>
  <c r="S1862" i="1" a="1"/>
  <c r="S1862" i="1" s="1"/>
  <c r="S1863" i="1" a="1"/>
  <c r="S1863" i="1" s="1"/>
  <c r="S1864" i="1" a="1"/>
  <c r="S1864" i="1" s="1"/>
  <c r="S1865" i="1" a="1"/>
  <c r="S1865" i="1" s="1"/>
  <c r="S1866" i="1" a="1"/>
  <c r="S1866" i="1" s="1"/>
  <c r="S1867" i="1" a="1"/>
  <c r="S1867" i="1" s="1"/>
  <c r="S1868" i="1" a="1"/>
  <c r="S1868" i="1" s="1"/>
  <c r="S1869" i="1" a="1"/>
  <c r="S1869" i="1" s="1"/>
  <c r="S1870" i="1" a="1"/>
  <c r="S1870" i="1" s="1"/>
  <c r="S1871" i="1" a="1"/>
  <c r="S1871" i="1" s="1"/>
  <c r="S1872" i="1" a="1"/>
  <c r="S1872" i="1" s="1"/>
  <c r="S1873" i="1" a="1"/>
  <c r="S1873" i="1" s="1"/>
  <c r="S1874" i="1" a="1"/>
  <c r="S1874" i="1" s="1"/>
  <c r="S1875" i="1" a="1"/>
  <c r="S1875" i="1" s="1"/>
  <c r="S1876" i="1" a="1"/>
  <c r="S1876" i="1" s="1"/>
  <c r="S1877" i="1" a="1"/>
  <c r="S1877" i="1" s="1"/>
  <c r="S1878" i="1" a="1"/>
  <c r="S1878" i="1" s="1"/>
  <c r="S1879" i="1" a="1"/>
  <c r="S1879" i="1" s="1"/>
  <c r="S1880" i="1" a="1"/>
  <c r="S1880" i="1" s="1"/>
  <c r="S1881" i="1" a="1"/>
  <c r="S1881" i="1" s="1"/>
  <c r="S1882" i="1" a="1"/>
  <c r="S1882" i="1" s="1"/>
  <c r="S1883" i="1" a="1"/>
  <c r="S1883" i="1" s="1"/>
  <c r="S1884" i="1" a="1"/>
  <c r="S1884" i="1" s="1"/>
  <c r="S1885" i="1" a="1"/>
  <c r="S1885" i="1" s="1"/>
  <c r="S1886" i="1" a="1"/>
  <c r="S1886" i="1" s="1"/>
  <c r="S1887" i="1" a="1"/>
  <c r="S1887" i="1" s="1"/>
  <c r="S1888" i="1" a="1"/>
  <c r="S1888" i="1" s="1"/>
  <c r="S1889" i="1" a="1"/>
  <c r="S1889" i="1" s="1"/>
  <c r="S1890" i="1" a="1"/>
  <c r="S1890" i="1" s="1"/>
  <c r="S1891" i="1" a="1"/>
  <c r="S1891" i="1" s="1"/>
  <c r="S1892" i="1" a="1"/>
  <c r="S1892" i="1" s="1"/>
  <c r="S1893" i="1" a="1"/>
  <c r="S1893" i="1" s="1"/>
  <c r="S1894" i="1" a="1"/>
  <c r="S1894" i="1" s="1"/>
  <c r="S1895" i="1" a="1"/>
  <c r="S1895" i="1" s="1"/>
  <c r="S1896" i="1" a="1"/>
  <c r="S1896" i="1" s="1"/>
  <c r="S1897" i="1" a="1"/>
  <c r="S1897" i="1" s="1"/>
  <c r="S1898" i="1" a="1"/>
  <c r="S1898" i="1" s="1"/>
  <c r="S1899" i="1" a="1"/>
  <c r="S1899" i="1" s="1"/>
  <c r="S1900" i="1" a="1"/>
  <c r="S1900" i="1" s="1"/>
  <c r="S1901" i="1" a="1"/>
  <c r="S1901" i="1" s="1"/>
  <c r="S1902" i="1" a="1"/>
  <c r="S1902" i="1" s="1"/>
  <c r="S1903" i="1" a="1"/>
  <c r="S1903" i="1" s="1"/>
  <c r="S1904" i="1" a="1"/>
  <c r="S1904" i="1" s="1"/>
  <c r="S1905" i="1" a="1"/>
  <c r="S1905" i="1" s="1"/>
  <c r="S1906" i="1" a="1"/>
  <c r="S1906" i="1" s="1"/>
  <c r="S1907" i="1" a="1"/>
  <c r="S1907" i="1" s="1"/>
  <c r="S1908" i="1" a="1"/>
  <c r="S1908" i="1" s="1"/>
  <c r="S1909" i="1" a="1"/>
  <c r="S1909" i="1" s="1"/>
  <c r="S1910" i="1" a="1"/>
  <c r="S1910" i="1" s="1"/>
  <c r="S1911" i="1" a="1"/>
  <c r="S1911" i="1" s="1"/>
  <c r="S1912" i="1" a="1"/>
  <c r="S1912" i="1" s="1"/>
  <c r="S1913" i="1" a="1"/>
  <c r="S1913" i="1" s="1"/>
  <c r="S1914" i="1" a="1"/>
  <c r="S1914" i="1" s="1"/>
  <c r="S1915" i="1" a="1"/>
  <c r="S1915" i="1" s="1"/>
  <c r="S1916" i="1" a="1"/>
  <c r="S1916" i="1" s="1"/>
  <c r="S1917" i="1" a="1"/>
  <c r="S1917" i="1" s="1"/>
  <c r="S1918" i="1" a="1"/>
  <c r="S1918" i="1" s="1"/>
  <c r="S1919" i="1" a="1"/>
  <c r="S1919" i="1" s="1"/>
  <c r="S1920" i="1" a="1"/>
  <c r="S1920" i="1" s="1"/>
  <c r="S1921" i="1" a="1"/>
  <c r="S1921" i="1" s="1"/>
  <c r="S1922" i="1" a="1"/>
  <c r="S1922" i="1" s="1"/>
  <c r="S1923" i="1" a="1"/>
  <c r="S1923" i="1" s="1"/>
  <c r="S1924" i="1" a="1"/>
  <c r="S1924" i="1" s="1"/>
  <c r="S1925" i="1" a="1"/>
  <c r="S1925" i="1" s="1"/>
  <c r="S1926" i="1" a="1"/>
  <c r="S1926" i="1" s="1"/>
  <c r="S1927" i="1" a="1"/>
  <c r="S1927" i="1" s="1"/>
  <c r="S1928" i="1" a="1"/>
  <c r="S1928" i="1" s="1"/>
  <c r="S1929" i="1" a="1"/>
  <c r="S1929" i="1" s="1"/>
  <c r="S1930" i="1" a="1"/>
  <c r="S1930" i="1" s="1"/>
  <c r="S1931" i="1" a="1"/>
  <c r="S1931" i="1" s="1"/>
  <c r="S1932" i="1" a="1"/>
  <c r="S1932" i="1" s="1"/>
  <c r="S1933" i="1" a="1"/>
  <c r="S1933" i="1" s="1"/>
  <c r="S1934" i="1" a="1"/>
  <c r="S1934" i="1" s="1"/>
  <c r="S1935" i="1" a="1"/>
  <c r="S1935" i="1" s="1"/>
  <c r="S1936" i="1" a="1"/>
  <c r="S1936" i="1" s="1"/>
  <c r="S1937" i="1" a="1"/>
  <c r="S1937" i="1" s="1"/>
  <c r="S1938" i="1" a="1"/>
  <c r="S1938" i="1" s="1"/>
  <c r="S1939" i="1" a="1"/>
  <c r="S1939" i="1" s="1"/>
  <c r="S1940" i="1" a="1"/>
  <c r="S1940" i="1" s="1"/>
  <c r="S1941" i="1" a="1"/>
  <c r="S1941" i="1" s="1"/>
  <c r="S1942" i="1" a="1"/>
  <c r="S1942" i="1" s="1"/>
  <c r="S1943" i="1" a="1"/>
  <c r="S1943" i="1" s="1"/>
  <c r="S1944" i="1" a="1"/>
  <c r="S1944" i="1" s="1"/>
  <c r="S1945" i="1" a="1"/>
  <c r="S1945" i="1" s="1"/>
  <c r="S1946" i="1" a="1"/>
  <c r="S1946" i="1" s="1"/>
  <c r="S1947" i="1" a="1"/>
  <c r="S1947" i="1" s="1"/>
  <c r="S1948" i="1" a="1"/>
  <c r="S1948" i="1" s="1"/>
  <c r="S1949" i="1" a="1"/>
  <c r="S1949" i="1" s="1"/>
  <c r="S1950" i="1" a="1"/>
  <c r="S1950" i="1" s="1"/>
  <c r="S1951" i="1" a="1"/>
  <c r="S1951" i="1" s="1"/>
  <c r="S1952" i="1" a="1"/>
  <c r="S1952" i="1" s="1"/>
  <c r="S1953" i="1" a="1"/>
  <c r="S1953" i="1" s="1"/>
  <c r="S1954" i="1" a="1"/>
  <c r="S1954" i="1" s="1"/>
  <c r="S1955" i="1" a="1"/>
  <c r="S1955" i="1" s="1"/>
  <c r="S1956" i="1" a="1"/>
  <c r="S1956" i="1" s="1"/>
  <c r="S1957" i="1" a="1"/>
  <c r="S1957" i="1" s="1"/>
  <c r="S1958" i="1" a="1"/>
  <c r="S1958" i="1" s="1"/>
  <c r="S1959" i="1" a="1"/>
  <c r="S1959" i="1" s="1"/>
  <c r="S1960" i="1" a="1"/>
  <c r="S1960" i="1" s="1"/>
  <c r="S1961" i="1" a="1"/>
  <c r="S1961" i="1" s="1"/>
  <c r="S1962" i="1" a="1"/>
  <c r="S1962" i="1" s="1"/>
  <c r="S1963" i="1" a="1"/>
  <c r="S1963" i="1" s="1"/>
  <c r="S1964" i="1" a="1"/>
  <c r="S1964" i="1" s="1"/>
  <c r="S1965" i="1" a="1"/>
  <c r="S1965" i="1" s="1"/>
  <c r="S1966" i="1" a="1"/>
  <c r="S1966" i="1" s="1"/>
  <c r="S1967" i="1" a="1"/>
  <c r="S1967" i="1" s="1"/>
  <c r="S1968" i="1" a="1"/>
  <c r="S1968" i="1" s="1"/>
  <c r="S1969" i="1" a="1"/>
  <c r="S1969" i="1" s="1"/>
  <c r="S1970" i="1" a="1"/>
  <c r="S1970" i="1" s="1"/>
  <c r="S1971" i="1" a="1"/>
  <c r="S1971" i="1" s="1"/>
  <c r="S1972" i="1" a="1"/>
  <c r="S1972" i="1" s="1"/>
  <c r="S1973" i="1" a="1"/>
  <c r="S1973" i="1" s="1"/>
  <c r="S1974" i="1" a="1"/>
  <c r="S1974" i="1" s="1"/>
  <c r="S1975" i="1" a="1"/>
  <c r="S1975" i="1" s="1"/>
  <c r="S1976" i="1" a="1"/>
  <c r="S1976" i="1" s="1"/>
  <c r="S1977" i="1" a="1"/>
  <c r="S1977" i="1" s="1"/>
  <c r="S1978" i="1" a="1"/>
  <c r="S1978" i="1" s="1"/>
  <c r="S1979" i="1" a="1"/>
  <c r="S1979" i="1" s="1"/>
  <c r="S1980" i="1" a="1"/>
  <c r="S1980" i="1" s="1"/>
  <c r="S1981" i="1" a="1"/>
  <c r="S1981" i="1" s="1"/>
  <c r="S1982" i="1" a="1"/>
  <c r="S1982" i="1" s="1"/>
  <c r="S1983" i="1" a="1"/>
  <c r="S1983" i="1" s="1"/>
  <c r="S1984" i="1" a="1"/>
  <c r="S1984" i="1" s="1"/>
  <c r="S1985" i="1" a="1"/>
  <c r="S1985" i="1" s="1"/>
  <c r="S1986" i="1" a="1"/>
  <c r="S1986" i="1" s="1"/>
  <c r="S1987" i="1" a="1"/>
  <c r="S1987" i="1" s="1"/>
  <c r="S1988" i="1" a="1"/>
  <c r="S1988" i="1" s="1"/>
  <c r="S1989" i="1" a="1"/>
  <c r="S1989" i="1" s="1"/>
  <c r="S1990" i="1" a="1"/>
  <c r="S1990" i="1" s="1"/>
  <c r="S1991" i="1" a="1"/>
  <c r="S1991" i="1" s="1"/>
  <c r="S1992" i="1" a="1"/>
  <c r="S1992" i="1" s="1"/>
  <c r="S1993" i="1" a="1"/>
  <c r="S1993" i="1" s="1"/>
  <c r="S1994" i="1" a="1"/>
  <c r="S1994" i="1" s="1"/>
  <c r="S1995" i="1" a="1"/>
  <c r="S1995" i="1" s="1"/>
  <c r="S1996" i="1" a="1"/>
  <c r="S1996" i="1" s="1"/>
  <c r="S1997" i="1" a="1"/>
  <c r="S1997" i="1" s="1"/>
  <c r="S1998" i="1" a="1"/>
  <c r="S1998" i="1" s="1"/>
  <c r="S1999" i="1" a="1"/>
  <c r="S1999" i="1" s="1"/>
  <c r="S2000" i="1" a="1"/>
  <c r="S2000" i="1" s="1"/>
  <c r="S2001" i="1" a="1"/>
  <c r="S2001" i="1" s="1"/>
  <c r="M3" i="1" a="1"/>
  <c r="M3" i="1" s="1"/>
  <c r="M2" i="1" a="1"/>
  <c r="M2" i="1" s="1"/>
  <c r="D36" i="6" s="1"/>
  <c r="O2" i="1" a="1"/>
  <c r="O2" i="1" s="1"/>
  <c r="D38" i="6" s="1"/>
  <c r="O3" i="1" a="1"/>
  <c r="O3" i="1" s="1"/>
  <c r="O4" i="1" a="1"/>
  <c r="O4" i="1" s="1"/>
  <c r="O5" i="1" a="1"/>
  <c r="O5" i="1" s="1"/>
  <c r="O6" i="1" a="1"/>
  <c r="O6" i="1" s="1"/>
  <c r="O7" i="1" a="1"/>
  <c r="O7" i="1" s="1"/>
  <c r="O8" i="1" a="1"/>
  <c r="O8" i="1" s="1"/>
  <c r="O9" i="1" a="1"/>
  <c r="O9" i="1" s="1"/>
  <c r="O10" i="1" a="1"/>
  <c r="O10" i="1" s="1"/>
  <c r="O11" i="1" a="1"/>
  <c r="O11" i="1" s="1"/>
  <c r="O12" i="1" a="1"/>
  <c r="O12" i="1" s="1"/>
  <c r="O13" i="1" a="1"/>
  <c r="O13" i="1" s="1"/>
  <c r="O14" i="1" a="1"/>
  <c r="O14" i="1" s="1"/>
  <c r="O15" i="1" a="1"/>
  <c r="O15" i="1" s="1"/>
  <c r="O16" i="1" a="1"/>
  <c r="O16" i="1" s="1"/>
  <c r="O17" i="1" a="1"/>
  <c r="O17" i="1" s="1"/>
  <c r="O18" i="1" a="1"/>
  <c r="O18" i="1" s="1"/>
  <c r="O19" i="1" a="1"/>
  <c r="O19" i="1" s="1"/>
  <c r="O20" i="1" a="1"/>
  <c r="O20" i="1" s="1"/>
  <c r="O21" i="1" a="1"/>
  <c r="O21" i="1" s="1"/>
  <c r="O22" i="1" a="1"/>
  <c r="O22" i="1" s="1"/>
  <c r="O23" i="1" a="1"/>
  <c r="O23" i="1" s="1"/>
  <c r="O24" i="1" a="1"/>
  <c r="O24" i="1" s="1"/>
  <c r="O25" i="1" a="1"/>
  <c r="O25" i="1" s="1"/>
  <c r="O26" i="1" a="1"/>
  <c r="O26" i="1" s="1"/>
  <c r="O27" i="1" a="1"/>
  <c r="O27" i="1" s="1"/>
  <c r="O28" i="1" a="1"/>
  <c r="O28" i="1" s="1"/>
  <c r="O29" i="1" a="1"/>
  <c r="O29" i="1" s="1"/>
  <c r="O30" i="1" a="1"/>
  <c r="O30" i="1" s="1"/>
  <c r="O31" i="1" a="1"/>
  <c r="O31" i="1" s="1"/>
  <c r="O32" i="1" a="1"/>
  <c r="O32" i="1" s="1"/>
  <c r="O33" i="1" a="1"/>
  <c r="O33" i="1" s="1"/>
  <c r="O34" i="1" a="1"/>
  <c r="O34" i="1" s="1"/>
  <c r="O35" i="1" a="1"/>
  <c r="O35" i="1" s="1"/>
  <c r="O36" i="1" a="1"/>
  <c r="O36" i="1" s="1"/>
  <c r="O37" i="1" a="1"/>
  <c r="O37" i="1" s="1"/>
  <c r="O38" i="1" a="1"/>
  <c r="O38" i="1" s="1"/>
  <c r="O39" i="1" a="1"/>
  <c r="O39" i="1" s="1"/>
  <c r="O40" i="1" a="1"/>
  <c r="O40" i="1" s="1"/>
  <c r="O41" i="1" a="1"/>
  <c r="O41" i="1" s="1"/>
  <c r="O42" i="1" a="1"/>
  <c r="O42" i="1" s="1"/>
  <c r="O43" i="1" a="1"/>
  <c r="O43" i="1" s="1"/>
  <c r="O44" i="1" a="1"/>
  <c r="O44" i="1" s="1"/>
  <c r="O45" i="1" a="1"/>
  <c r="O45" i="1" s="1"/>
  <c r="O46" i="1" a="1"/>
  <c r="O46" i="1" s="1"/>
  <c r="O47" i="1" a="1"/>
  <c r="O47" i="1" s="1"/>
  <c r="O48" i="1" a="1"/>
  <c r="O48" i="1" s="1"/>
  <c r="O49" i="1" a="1"/>
  <c r="O49" i="1" s="1"/>
  <c r="O50" i="1" a="1"/>
  <c r="O50" i="1" s="1"/>
  <c r="O51" i="1" a="1"/>
  <c r="O51" i="1" s="1"/>
  <c r="O52" i="1" a="1"/>
  <c r="O52" i="1" s="1"/>
  <c r="O53" i="1" a="1"/>
  <c r="O53" i="1" s="1"/>
  <c r="O54" i="1" a="1"/>
  <c r="O54" i="1" s="1"/>
  <c r="O55" i="1" a="1"/>
  <c r="O55" i="1" s="1"/>
  <c r="O56" i="1" a="1"/>
  <c r="O56" i="1" s="1"/>
  <c r="O57" i="1" a="1"/>
  <c r="O57" i="1" s="1"/>
  <c r="O58" i="1" a="1"/>
  <c r="O58" i="1" s="1"/>
  <c r="O59" i="1" a="1"/>
  <c r="O59" i="1" s="1"/>
  <c r="O60" i="1" a="1"/>
  <c r="O60" i="1" s="1"/>
  <c r="O61" i="1" a="1"/>
  <c r="O61" i="1" s="1"/>
  <c r="O62" i="1" a="1"/>
  <c r="O62" i="1" s="1"/>
  <c r="O63" i="1" a="1"/>
  <c r="O63" i="1" s="1"/>
  <c r="O64" i="1" a="1"/>
  <c r="O64" i="1" s="1"/>
  <c r="O65" i="1" a="1"/>
  <c r="O65" i="1" s="1"/>
  <c r="O66" i="1" a="1"/>
  <c r="O66" i="1" s="1"/>
  <c r="O67" i="1" a="1"/>
  <c r="O67" i="1" s="1"/>
  <c r="O68" i="1" a="1"/>
  <c r="O68" i="1" s="1"/>
  <c r="O69" i="1" a="1"/>
  <c r="O69" i="1" s="1"/>
  <c r="O70" i="1" a="1"/>
  <c r="O70" i="1" s="1"/>
  <c r="O71" i="1" a="1"/>
  <c r="O71" i="1" s="1"/>
  <c r="O72" i="1" a="1"/>
  <c r="O72" i="1" s="1"/>
  <c r="O73" i="1" a="1"/>
  <c r="O73" i="1" s="1"/>
  <c r="O74" i="1" a="1"/>
  <c r="O74" i="1" s="1"/>
  <c r="O75" i="1" a="1"/>
  <c r="O75" i="1" s="1"/>
  <c r="O76" i="1" a="1"/>
  <c r="O76" i="1" s="1"/>
  <c r="O77" i="1" a="1"/>
  <c r="O77" i="1" s="1"/>
  <c r="O78" i="1" a="1"/>
  <c r="O78" i="1" s="1"/>
  <c r="O79" i="1" a="1"/>
  <c r="O79" i="1" s="1"/>
  <c r="O80" i="1" a="1"/>
  <c r="O80" i="1" s="1"/>
  <c r="O81" i="1" a="1"/>
  <c r="O81" i="1" s="1"/>
  <c r="O82" i="1" a="1"/>
  <c r="O82" i="1" s="1"/>
  <c r="O83" i="1" a="1"/>
  <c r="O83" i="1" s="1"/>
  <c r="O84" i="1" a="1"/>
  <c r="O84" i="1" s="1"/>
  <c r="O85" i="1" a="1"/>
  <c r="O85" i="1" s="1"/>
  <c r="O86" i="1" a="1"/>
  <c r="O86" i="1" s="1"/>
  <c r="O87" i="1" a="1"/>
  <c r="O87" i="1" s="1"/>
  <c r="O88" i="1" a="1"/>
  <c r="O88" i="1" s="1"/>
  <c r="O89" i="1" a="1"/>
  <c r="O89" i="1" s="1"/>
  <c r="O90" i="1" a="1"/>
  <c r="O90" i="1" s="1"/>
  <c r="O91" i="1" a="1"/>
  <c r="O91" i="1" s="1"/>
  <c r="O92" i="1" a="1"/>
  <c r="O92" i="1" s="1"/>
  <c r="O93" i="1" a="1"/>
  <c r="O93" i="1" s="1"/>
  <c r="O94" i="1" a="1"/>
  <c r="O94" i="1" s="1"/>
  <c r="O95" i="1" a="1"/>
  <c r="O95" i="1" s="1"/>
  <c r="O96" i="1" a="1"/>
  <c r="O96" i="1" s="1"/>
  <c r="O97" i="1" a="1"/>
  <c r="O97" i="1" s="1"/>
  <c r="O98" i="1" a="1"/>
  <c r="O98" i="1" s="1"/>
  <c r="O99" i="1" a="1"/>
  <c r="O99" i="1" s="1"/>
  <c r="O100" i="1" a="1"/>
  <c r="O100" i="1" s="1"/>
  <c r="O101" i="1" a="1"/>
  <c r="O101" i="1" s="1"/>
  <c r="O102" i="1" a="1"/>
  <c r="O102" i="1" s="1"/>
  <c r="O103" i="1" a="1"/>
  <c r="O103" i="1" s="1"/>
  <c r="O104" i="1" a="1"/>
  <c r="O104" i="1" s="1"/>
  <c r="O105" i="1" a="1"/>
  <c r="O105" i="1" s="1"/>
  <c r="O106" i="1" a="1"/>
  <c r="O106" i="1" s="1"/>
  <c r="O107" i="1" a="1"/>
  <c r="O107" i="1" s="1"/>
  <c r="O108" i="1" a="1"/>
  <c r="O108" i="1" s="1"/>
  <c r="O109" i="1" a="1"/>
  <c r="O109" i="1" s="1"/>
  <c r="O110" i="1" a="1"/>
  <c r="O110" i="1" s="1"/>
  <c r="O111" i="1" a="1"/>
  <c r="O111" i="1" s="1"/>
  <c r="O112" i="1" a="1"/>
  <c r="O112" i="1" s="1"/>
  <c r="O113" i="1" a="1"/>
  <c r="O113" i="1" s="1"/>
  <c r="O114" i="1" a="1"/>
  <c r="O114" i="1" s="1"/>
  <c r="O115" i="1" a="1"/>
  <c r="O115" i="1" s="1"/>
  <c r="O116" i="1" a="1"/>
  <c r="O116" i="1" s="1"/>
  <c r="O117" i="1" a="1"/>
  <c r="O117" i="1" s="1"/>
  <c r="O118" i="1" a="1"/>
  <c r="O118" i="1" s="1"/>
  <c r="O119" i="1" a="1"/>
  <c r="O119" i="1" s="1"/>
  <c r="O120" i="1" a="1"/>
  <c r="O120" i="1" s="1"/>
  <c r="O121" i="1" a="1"/>
  <c r="O121" i="1" s="1"/>
  <c r="O122" i="1" a="1"/>
  <c r="O122" i="1" s="1"/>
  <c r="O123" i="1" a="1"/>
  <c r="O123" i="1" s="1"/>
  <c r="O124" i="1" a="1"/>
  <c r="O124" i="1" s="1"/>
  <c r="O125" i="1" a="1"/>
  <c r="O125" i="1" s="1"/>
  <c r="O126" i="1" a="1"/>
  <c r="O126" i="1" s="1"/>
  <c r="O127" i="1" a="1"/>
  <c r="O127" i="1" s="1"/>
  <c r="O128" i="1" a="1"/>
  <c r="O128" i="1" s="1"/>
  <c r="O129" i="1" a="1"/>
  <c r="O129" i="1" s="1"/>
  <c r="O130" i="1" a="1"/>
  <c r="O130" i="1" s="1"/>
  <c r="O131" i="1" a="1"/>
  <c r="O131" i="1" s="1"/>
  <c r="O132" i="1" a="1"/>
  <c r="O132" i="1" s="1"/>
  <c r="O133" i="1" a="1"/>
  <c r="O133" i="1" s="1"/>
  <c r="O134" i="1" a="1"/>
  <c r="O134" i="1" s="1"/>
  <c r="O135" i="1" a="1"/>
  <c r="O135" i="1" s="1"/>
  <c r="O136" i="1" a="1"/>
  <c r="O136" i="1" s="1"/>
  <c r="O137" i="1" a="1"/>
  <c r="O137" i="1" s="1"/>
  <c r="O138" i="1" a="1"/>
  <c r="O138" i="1" s="1"/>
  <c r="O139" i="1" a="1"/>
  <c r="O139" i="1" s="1"/>
  <c r="O140" i="1" a="1"/>
  <c r="O140" i="1" s="1"/>
  <c r="O141" i="1" a="1"/>
  <c r="O141" i="1" s="1"/>
  <c r="O142" i="1" a="1"/>
  <c r="O142" i="1" s="1"/>
  <c r="O143" i="1" a="1"/>
  <c r="O143" i="1" s="1"/>
  <c r="O144" i="1" a="1"/>
  <c r="O144" i="1" s="1"/>
  <c r="O145" i="1" a="1"/>
  <c r="O145" i="1" s="1"/>
  <c r="O146" i="1" a="1"/>
  <c r="O146" i="1" s="1"/>
  <c r="O147" i="1" a="1"/>
  <c r="O147" i="1" s="1"/>
  <c r="O148" i="1" a="1"/>
  <c r="O148" i="1" s="1"/>
  <c r="O149" i="1" a="1"/>
  <c r="O149" i="1" s="1"/>
  <c r="O150" i="1" a="1"/>
  <c r="O150" i="1" s="1"/>
  <c r="O151" i="1" a="1"/>
  <c r="O151" i="1" s="1"/>
  <c r="O152" i="1" a="1"/>
  <c r="O152" i="1" s="1"/>
  <c r="O153" i="1" a="1"/>
  <c r="O153" i="1" s="1"/>
  <c r="O154" i="1" a="1"/>
  <c r="O154" i="1" s="1"/>
  <c r="O155" i="1" a="1"/>
  <c r="O155" i="1" s="1"/>
  <c r="O156" i="1" a="1"/>
  <c r="O156" i="1" s="1"/>
  <c r="O157" i="1" a="1"/>
  <c r="O157" i="1" s="1"/>
  <c r="O158" i="1" a="1"/>
  <c r="O158" i="1" s="1"/>
  <c r="O159" i="1" a="1"/>
  <c r="O159" i="1" s="1"/>
  <c r="O160" i="1" a="1"/>
  <c r="O160" i="1" s="1"/>
  <c r="O161" i="1" a="1"/>
  <c r="O161" i="1" s="1"/>
  <c r="O162" i="1" a="1"/>
  <c r="O162" i="1" s="1"/>
  <c r="O163" i="1" a="1"/>
  <c r="O163" i="1" s="1"/>
  <c r="O164" i="1" a="1"/>
  <c r="O164" i="1" s="1"/>
  <c r="O165" i="1" a="1"/>
  <c r="O165" i="1" s="1"/>
  <c r="O166" i="1" a="1"/>
  <c r="O166" i="1" s="1"/>
  <c r="O167" i="1" a="1"/>
  <c r="O167" i="1" s="1"/>
  <c r="O168" i="1" a="1"/>
  <c r="O168" i="1" s="1"/>
  <c r="O169" i="1" a="1"/>
  <c r="O169" i="1" s="1"/>
  <c r="O170" i="1" a="1"/>
  <c r="O170" i="1" s="1"/>
  <c r="O171" i="1" a="1"/>
  <c r="O171" i="1" s="1"/>
  <c r="O172" i="1" a="1"/>
  <c r="O172" i="1" s="1"/>
  <c r="O173" i="1" a="1"/>
  <c r="O173" i="1" s="1"/>
  <c r="O174" i="1" a="1"/>
  <c r="O174" i="1" s="1"/>
  <c r="O175" i="1" a="1"/>
  <c r="O175" i="1" s="1"/>
  <c r="O176" i="1" a="1"/>
  <c r="O176" i="1" s="1"/>
  <c r="O177" i="1" a="1"/>
  <c r="O177" i="1" s="1"/>
  <c r="O178" i="1" a="1"/>
  <c r="O178" i="1" s="1"/>
  <c r="O179" i="1" a="1"/>
  <c r="O179" i="1" s="1"/>
  <c r="O180" i="1" a="1"/>
  <c r="O180" i="1" s="1"/>
  <c r="O181" i="1" a="1"/>
  <c r="O181" i="1" s="1"/>
  <c r="O182" i="1" a="1"/>
  <c r="O182" i="1" s="1"/>
  <c r="O183" i="1" a="1"/>
  <c r="O183" i="1" s="1"/>
  <c r="O184" i="1" a="1"/>
  <c r="O184" i="1" s="1"/>
  <c r="O185" i="1" a="1"/>
  <c r="O185" i="1" s="1"/>
  <c r="O186" i="1" a="1"/>
  <c r="O186" i="1" s="1"/>
  <c r="O187" i="1" a="1"/>
  <c r="O187" i="1" s="1"/>
  <c r="O188" i="1" a="1"/>
  <c r="O188" i="1" s="1"/>
  <c r="O189" i="1" a="1"/>
  <c r="O189" i="1" s="1"/>
  <c r="O190" i="1" a="1"/>
  <c r="O190" i="1" s="1"/>
  <c r="O191" i="1" a="1"/>
  <c r="O191" i="1" s="1"/>
  <c r="O192" i="1" a="1"/>
  <c r="O192" i="1" s="1"/>
  <c r="O193" i="1" a="1"/>
  <c r="O193" i="1" s="1"/>
  <c r="O194" i="1" a="1"/>
  <c r="O194" i="1" s="1"/>
  <c r="O195" i="1" a="1"/>
  <c r="O195" i="1" s="1"/>
  <c r="O196" i="1" a="1"/>
  <c r="O196" i="1" s="1"/>
  <c r="O197" i="1" a="1"/>
  <c r="O197" i="1" s="1"/>
  <c r="O198" i="1" a="1"/>
  <c r="O198" i="1" s="1"/>
  <c r="O199" i="1" a="1"/>
  <c r="O199" i="1" s="1"/>
  <c r="O200" i="1" a="1"/>
  <c r="O200" i="1" s="1"/>
  <c r="O201" i="1" a="1"/>
  <c r="O201" i="1" s="1"/>
  <c r="O202" i="1" a="1"/>
  <c r="O202" i="1" s="1"/>
  <c r="O203" i="1" a="1"/>
  <c r="O203" i="1" s="1"/>
  <c r="O204" i="1" a="1"/>
  <c r="O204" i="1" s="1"/>
  <c r="O205" i="1" a="1"/>
  <c r="O205" i="1" s="1"/>
  <c r="O206" i="1" a="1"/>
  <c r="O206" i="1" s="1"/>
  <c r="O207" i="1" a="1"/>
  <c r="O207" i="1" s="1"/>
  <c r="O208" i="1" a="1"/>
  <c r="O208" i="1" s="1"/>
  <c r="O209" i="1" a="1"/>
  <c r="O209" i="1" s="1"/>
  <c r="O210" i="1" a="1"/>
  <c r="O210" i="1" s="1"/>
  <c r="O211" i="1" a="1"/>
  <c r="O211" i="1" s="1"/>
  <c r="O212" i="1" a="1"/>
  <c r="O212" i="1" s="1"/>
  <c r="O213" i="1" a="1"/>
  <c r="O213" i="1" s="1"/>
  <c r="O214" i="1" a="1"/>
  <c r="O214" i="1" s="1"/>
  <c r="O215" i="1" a="1"/>
  <c r="O215" i="1" s="1"/>
  <c r="O216" i="1" a="1"/>
  <c r="O216" i="1" s="1"/>
  <c r="O217" i="1" a="1"/>
  <c r="O217" i="1" s="1"/>
  <c r="O218" i="1" a="1"/>
  <c r="O218" i="1" s="1"/>
  <c r="O219" i="1" a="1"/>
  <c r="O219" i="1" s="1"/>
  <c r="O220" i="1" a="1"/>
  <c r="O220" i="1" s="1"/>
  <c r="O221" i="1" a="1"/>
  <c r="O221" i="1" s="1"/>
  <c r="O222" i="1" a="1"/>
  <c r="O222" i="1" s="1"/>
  <c r="O223" i="1" a="1"/>
  <c r="O223" i="1" s="1"/>
  <c r="O224" i="1" a="1"/>
  <c r="O224" i="1" s="1"/>
  <c r="O225" i="1" a="1"/>
  <c r="O225" i="1" s="1"/>
  <c r="O226" i="1" a="1"/>
  <c r="O226" i="1" s="1"/>
  <c r="O227" i="1" a="1"/>
  <c r="O227" i="1" s="1"/>
  <c r="O228" i="1" a="1"/>
  <c r="O228" i="1" s="1"/>
  <c r="O229" i="1" a="1"/>
  <c r="O229" i="1" s="1"/>
  <c r="O230" i="1" a="1"/>
  <c r="O230" i="1" s="1"/>
  <c r="O231" i="1" a="1"/>
  <c r="O231" i="1" s="1"/>
  <c r="O232" i="1" a="1"/>
  <c r="O232" i="1" s="1"/>
  <c r="O233" i="1" a="1"/>
  <c r="O233" i="1" s="1"/>
  <c r="O234" i="1" a="1"/>
  <c r="O234" i="1" s="1"/>
  <c r="O235" i="1" a="1"/>
  <c r="O235" i="1" s="1"/>
  <c r="O236" i="1" a="1"/>
  <c r="O236" i="1" s="1"/>
  <c r="O237" i="1" a="1"/>
  <c r="O237" i="1" s="1"/>
  <c r="O238" i="1" a="1"/>
  <c r="O238" i="1" s="1"/>
  <c r="O239" i="1" a="1"/>
  <c r="O239" i="1" s="1"/>
  <c r="O240" i="1" a="1"/>
  <c r="O240" i="1" s="1"/>
  <c r="O241" i="1" a="1"/>
  <c r="O241" i="1" s="1"/>
  <c r="O242" i="1" a="1"/>
  <c r="O242" i="1" s="1"/>
  <c r="O243" i="1" a="1"/>
  <c r="O243" i="1" s="1"/>
  <c r="O244" i="1" a="1"/>
  <c r="O244" i="1" s="1"/>
  <c r="O245" i="1" a="1"/>
  <c r="O245" i="1" s="1"/>
  <c r="O246" i="1" a="1"/>
  <c r="O246" i="1" s="1"/>
  <c r="O247" i="1" a="1"/>
  <c r="O247" i="1" s="1"/>
  <c r="O248" i="1" a="1"/>
  <c r="O248" i="1" s="1"/>
  <c r="O249" i="1" a="1"/>
  <c r="O249" i="1" s="1"/>
  <c r="O250" i="1" a="1"/>
  <c r="O250" i="1" s="1"/>
  <c r="O251" i="1" a="1"/>
  <c r="O251" i="1" s="1"/>
  <c r="O252" i="1" a="1"/>
  <c r="O252" i="1" s="1"/>
  <c r="O253" i="1" a="1"/>
  <c r="O253" i="1" s="1"/>
  <c r="O254" i="1" a="1"/>
  <c r="O254" i="1" s="1"/>
  <c r="O255" i="1" a="1"/>
  <c r="O255" i="1" s="1"/>
  <c r="O256" i="1" a="1"/>
  <c r="O256" i="1" s="1"/>
  <c r="O257" i="1" a="1"/>
  <c r="O257" i="1" s="1"/>
  <c r="O258" i="1" a="1"/>
  <c r="O258" i="1" s="1"/>
  <c r="O259" i="1" a="1"/>
  <c r="O259" i="1" s="1"/>
  <c r="O260" i="1" a="1"/>
  <c r="O260" i="1" s="1"/>
  <c r="O261" i="1" a="1"/>
  <c r="O261" i="1" s="1"/>
  <c r="O262" i="1" a="1"/>
  <c r="O262" i="1" s="1"/>
  <c r="O263" i="1" a="1"/>
  <c r="O263" i="1" s="1"/>
  <c r="O264" i="1" a="1"/>
  <c r="O264" i="1" s="1"/>
  <c r="O265" i="1" a="1"/>
  <c r="O265" i="1" s="1"/>
  <c r="O266" i="1" a="1"/>
  <c r="O266" i="1" s="1"/>
  <c r="O267" i="1" a="1"/>
  <c r="O267" i="1" s="1"/>
  <c r="O268" i="1" a="1"/>
  <c r="O268" i="1" s="1"/>
  <c r="O269" i="1" a="1"/>
  <c r="O269" i="1" s="1"/>
  <c r="O270" i="1" a="1"/>
  <c r="O270" i="1" s="1"/>
  <c r="O271" i="1" a="1"/>
  <c r="O271" i="1" s="1"/>
  <c r="O272" i="1" a="1"/>
  <c r="O272" i="1" s="1"/>
  <c r="O273" i="1" a="1"/>
  <c r="O273" i="1" s="1"/>
  <c r="O274" i="1" a="1"/>
  <c r="O274" i="1" s="1"/>
  <c r="O275" i="1" a="1"/>
  <c r="O275" i="1" s="1"/>
  <c r="O276" i="1" a="1"/>
  <c r="O276" i="1" s="1"/>
  <c r="O277" i="1" a="1"/>
  <c r="O277" i="1" s="1"/>
  <c r="O278" i="1" a="1"/>
  <c r="O278" i="1" s="1"/>
  <c r="O279" i="1" a="1"/>
  <c r="O279" i="1" s="1"/>
  <c r="O280" i="1" a="1"/>
  <c r="O280" i="1" s="1"/>
  <c r="O281" i="1" a="1"/>
  <c r="O281" i="1" s="1"/>
  <c r="O282" i="1" a="1"/>
  <c r="O282" i="1" s="1"/>
  <c r="O283" i="1" a="1"/>
  <c r="O283" i="1" s="1"/>
  <c r="O284" i="1" a="1"/>
  <c r="O284" i="1" s="1"/>
  <c r="O285" i="1" a="1"/>
  <c r="O285" i="1" s="1"/>
  <c r="O286" i="1" a="1"/>
  <c r="O286" i="1" s="1"/>
  <c r="O287" i="1" a="1"/>
  <c r="O287" i="1" s="1"/>
  <c r="O288" i="1" a="1"/>
  <c r="O288" i="1" s="1"/>
  <c r="O289" i="1" a="1"/>
  <c r="O289" i="1" s="1"/>
  <c r="O290" i="1" a="1"/>
  <c r="O290" i="1" s="1"/>
  <c r="O291" i="1" a="1"/>
  <c r="O291" i="1" s="1"/>
  <c r="O292" i="1" a="1"/>
  <c r="O292" i="1" s="1"/>
  <c r="O293" i="1" a="1"/>
  <c r="O293" i="1" s="1"/>
  <c r="O294" i="1" a="1"/>
  <c r="O294" i="1" s="1"/>
  <c r="O295" i="1" a="1"/>
  <c r="O295" i="1" s="1"/>
  <c r="O296" i="1" a="1"/>
  <c r="O296" i="1" s="1"/>
  <c r="O297" i="1" a="1"/>
  <c r="O297" i="1" s="1"/>
  <c r="O298" i="1" a="1"/>
  <c r="O298" i="1" s="1"/>
  <c r="O299" i="1" a="1"/>
  <c r="O299" i="1" s="1"/>
  <c r="O300" i="1" a="1"/>
  <c r="O300" i="1" s="1"/>
  <c r="O301" i="1" a="1"/>
  <c r="O301" i="1" s="1"/>
  <c r="O302" i="1" a="1"/>
  <c r="O302" i="1" s="1"/>
  <c r="O303" i="1" a="1"/>
  <c r="O303" i="1" s="1"/>
  <c r="O304" i="1" a="1"/>
  <c r="O304" i="1" s="1"/>
  <c r="O305" i="1" a="1"/>
  <c r="O305" i="1" s="1"/>
  <c r="O306" i="1" a="1"/>
  <c r="O306" i="1" s="1"/>
  <c r="O307" i="1" a="1"/>
  <c r="O307" i="1" s="1"/>
  <c r="O308" i="1" a="1"/>
  <c r="O308" i="1" s="1"/>
  <c r="O309" i="1" a="1"/>
  <c r="O309" i="1" s="1"/>
  <c r="O310" i="1" a="1"/>
  <c r="O310" i="1" s="1"/>
  <c r="O311" i="1" a="1"/>
  <c r="O311" i="1" s="1"/>
  <c r="O312" i="1" a="1"/>
  <c r="O312" i="1" s="1"/>
  <c r="O313" i="1" a="1"/>
  <c r="O313" i="1" s="1"/>
  <c r="O314" i="1" a="1"/>
  <c r="O314" i="1" s="1"/>
  <c r="O315" i="1" a="1"/>
  <c r="O315" i="1" s="1"/>
  <c r="O316" i="1" a="1"/>
  <c r="O316" i="1" s="1"/>
  <c r="O317" i="1" a="1"/>
  <c r="O317" i="1" s="1"/>
  <c r="O318" i="1" a="1"/>
  <c r="O318" i="1" s="1"/>
  <c r="O319" i="1" a="1"/>
  <c r="O319" i="1" s="1"/>
  <c r="O320" i="1" a="1"/>
  <c r="O320" i="1" s="1"/>
  <c r="O321" i="1" a="1"/>
  <c r="O321" i="1" s="1"/>
  <c r="O322" i="1" a="1"/>
  <c r="O322" i="1" s="1"/>
  <c r="O323" i="1" a="1"/>
  <c r="O323" i="1" s="1"/>
  <c r="O324" i="1" a="1"/>
  <c r="O324" i="1" s="1"/>
  <c r="O325" i="1" a="1"/>
  <c r="O325" i="1" s="1"/>
  <c r="O326" i="1" a="1"/>
  <c r="O326" i="1" s="1"/>
  <c r="O327" i="1" a="1"/>
  <c r="O327" i="1" s="1"/>
  <c r="O328" i="1" a="1"/>
  <c r="O328" i="1" s="1"/>
  <c r="O329" i="1" a="1"/>
  <c r="O329" i="1" s="1"/>
  <c r="O330" i="1" a="1"/>
  <c r="O330" i="1" s="1"/>
  <c r="O331" i="1" a="1"/>
  <c r="O331" i="1" s="1"/>
  <c r="O332" i="1" a="1"/>
  <c r="O332" i="1" s="1"/>
  <c r="O333" i="1" a="1"/>
  <c r="O333" i="1" s="1"/>
  <c r="O334" i="1" a="1"/>
  <c r="O334" i="1" s="1"/>
  <c r="O335" i="1" a="1"/>
  <c r="O335" i="1" s="1"/>
  <c r="O336" i="1" a="1"/>
  <c r="O336" i="1" s="1"/>
  <c r="O337" i="1" a="1"/>
  <c r="O337" i="1" s="1"/>
  <c r="O338" i="1" a="1"/>
  <c r="O338" i="1" s="1"/>
  <c r="O339" i="1" a="1"/>
  <c r="O339" i="1" s="1"/>
  <c r="O340" i="1" a="1"/>
  <c r="O340" i="1" s="1"/>
  <c r="O341" i="1" a="1"/>
  <c r="O341" i="1" s="1"/>
  <c r="O342" i="1" a="1"/>
  <c r="O342" i="1" s="1"/>
  <c r="O343" i="1" a="1"/>
  <c r="O343" i="1" s="1"/>
  <c r="O344" i="1" a="1"/>
  <c r="O344" i="1" s="1"/>
  <c r="O345" i="1" a="1"/>
  <c r="O345" i="1" s="1"/>
  <c r="O346" i="1" a="1"/>
  <c r="O346" i="1" s="1"/>
  <c r="O347" i="1" a="1"/>
  <c r="O347" i="1" s="1"/>
  <c r="O348" i="1" a="1"/>
  <c r="O348" i="1" s="1"/>
  <c r="O349" i="1" a="1"/>
  <c r="O349" i="1" s="1"/>
  <c r="O350" i="1" a="1"/>
  <c r="O350" i="1" s="1"/>
  <c r="O351" i="1" a="1"/>
  <c r="O351" i="1" s="1"/>
  <c r="O352" i="1" a="1"/>
  <c r="O352" i="1" s="1"/>
  <c r="O353" i="1" a="1"/>
  <c r="O353" i="1" s="1"/>
  <c r="O354" i="1" a="1"/>
  <c r="O354" i="1" s="1"/>
  <c r="O355" i="1" a="1"/>
  <c r="O355" i="1" s="1"/>
  <c r="O356" i="1" a="1"/>
  <c r="O356" i="1" s="1"/>
  <c r="O357" i="1" a="1"/>
  <c r="O357" i="1" s="1"/>
  <c r="O358" i="1" a="1"/>
  <c r="O358" i="1" s="1"/>
  <c r="O359" i="1" a="1"/>
  <c r="O359" i="1" s="1"/>
  <c r="O360" i="1" a="1"/>
  <c r="O360" i="1" s="1"/>
  <c r="O361" i="1" a="1"/>
  <c r="O361" i="1" s="1"/>
  <c r="O362" i="1" a="1"/>
  <c r="O362" i="1" s="1"/>
  <c r="O363" i="1" a="1"/>
  <c r="O363" i="1" s="1"/>
  <c r="O364" i="1" a="1"/>
  <c r="O364" i="1" s="1"/>
  <c r="O365" i="1" a="1"/>
  <c r="O365" i="1" s="1"/>
  <c r="O366" i="1" a="1"/>
  <c r="O366" i="1" s="1"/>
  <c r="O367" i="1" a="1"/>
  <c r="O367" i="1" s="1"/>
  <c r="O368" i="1" a="1"/>
  <c r="O368" i="1" s="1"/>
  <c r="O369" i="1" a="1"/>
  <c r="O369" i="1" s="1"/>
  <c r="O370" i="1" a="1"/>
  <c r="O370" i="1" s="1"/>
  <c r="O371" i="1" a="1"/>
  <c r="O371" i="1" s="1"/>
  <c r="O372" i="1" a="1"/>
  <c r="O372" i="1" s="1"/>
  <c r="O373" i="1" a="1"/>
  <c r="O373" i="1" s="1"/>
  <c r="O374" i="1" a="1"/>
  <c r="O374" i="1" s="1"/>
  <c r="O375" i="1" a="1"/>
  <c r="O375" i="1" s="1"/>
  <c r="O376" i="1" a="1"/>
  <c r="O376" i="1" s="1"/>
  <c r="O377" i="1" a="1"/>
  <c r="O377" i="1" s="1"/>
  <c r="O378" i="1" a="1"/>
  <c r="O378" i="1" s="1"/>
  <c r="O379" i="1" a="1"/>
  <c r="O379" i="1" s="1"/>
  <c r="O380" i="1" a="1"/>
  <c r="O380" i="1" s="1"/>
  <c r="O381" i="1" a="1"/>
  <c r="O381" i="1" s="1"/>
  <c r="O382" i="1" a="1"/>
  <c r="O382" i="1" s="1"/>
  <c r="O383" i="1" a="1"/>
  <c r="O383" i="1" s="1"/>
  <c r="O384" i="1" a="1"/>
  <c r="O384" i="1" s="1"/>
  <c r="O385" i="1" a="1"/>
  <c r="O385" i="1" s="1"/>
  <c r="O386" i="1" a="1"/>
  <c r="O386" i="1" s="1"/>
  <c r="O387" i="1" a="1"/>
  <c r="O387" i="1" s="1"/>
  <c r="O388" i="1" a="1"/>
  <c r="O388" i="1" s="1"/>
  <c r="O389" i="1" a="1"/>
  <c r="O389" i="1" s="1"/>
  <c r="O390" i="1" a="1"/>
  <c r="O390" i="1" s="1"/>
  <c r="O391" i="1" a="1"/>
  <c r="O391" i="1" s="1"/>
  <c r="O392" i="1" a="1"/>
  <c r="O392" i="1" s="1"/>
  <c r="O393" i="1" a="1"/>
  <c r="O393" i="1" s="1"/>
  <c r="O394" i="1" a="1"/>
  <c r="O394" i="1" s="1"/>
  <c r="O395" i="1" a="1"/>
  <c r="O395" i="1" s="1"/>
  <c r="O396" i="1" a="1"/>
  <c r="O396" i="1" s="1"/>
  <c r="O397" i="1" a="1"/>
  <c r="O397" i="1" s="1"/>
  <c r="O398" i="1" a="1"/>
  <c r="O398" i="1" s="1"/>
  <c r="O399" i="1" a="1"/>
  <c r="O399" i="1" s="1"/>
  <c r="O400" i="1" a="1"/>
  <c r="O400" i="1" s="1"/>
  <c r="O401" i="1" a="1"/>
  <c r="O401" i="1" s="1"/>
  <c r="O402" i="1" a="1"/>
  <c r="O402" i="1" s="1"/>
  <c r="O403" i="1" a="1"/>
  <c r="O403" i="1" s="1"/>
  <c r="O404" i="1" a="1"/>
  <c r="O404" i="1" s="1"/>
  <c r="O405" i="1" a="1"/>
  <c r="O405" i="1" s="1"/>
  <c r="O406" i="1" a="1"/>
  <c r="O406" i="1" s="1"/>
  <c r="O407" i="1" a="1"/>
  <c r="O407" i="1" s="1"/>
  <c r="O408" i="1" a="1"/>
  <c r="O408" i="1" s="1"/>
  <c r="O409" i="1" a="1"/>
  <c r="O409" i="1" s="1"/>
  <c r="O410" i="1" a="1"/>
  <c r="O410" i="1" s="1"/>
  <c r="O411" i="1" a="1"/>
  <c r="O411" i="1" s="1"/>
  <c r="O412" i="1" a="1"/>
  <c r="O412" i="1" s="1"/>
  <c r="O413" i="1" a="1"/>
  <c r="O413" i="1" s="1"/>
  <c r="O414" i="1" a="1"/>
  <c r="O414" i="1" s="1"/>
  <c r="O415" i="1" a="1"/>
  <c r="O415" i="1" s="1"/>
  <c r="O416" i="1" a="1"/>
  <c r="O416" i="1" s="1"/>
  <c r="O417" i="1" a="1"/>
  <c r="O417" i="1" s="1"/>
  <c r="O418" i="1" a="1"/>
  <c r="O418" i="1" s="1"/>
  <c r="O419" i="1" a="1"/>
  <c r="O419" i="1" s="1"/>
  <c r="O420" i="1" a="1"/>
  <c r="O420" i="1" s="1"/>
  <c r="O421" i="1" a="1"/>
  <c r="O421" i="1" s="1"/>
  <c r="O422" i="1" a="1"/>
  <c r="O422" i="1" s="1"/>
  <c r="O423" i="1" a="1"/>
  <c r="O423" i="1" s="1"/>
  <c r="O424" i="1" a="1"/>
  <c r="O424" i="1" s="1"/>
  <c r="O425" i="1" a="1"/>
  <c r="O425" i="1" s="1"/>
  <c r="O426" i="1" a="1"/>
  <c r="O426" i="1" s="1"/>
  <c r="O427" i="1" a="1"/>
  <c r="O427" i="1" s="1"/>
  <c r="O428" i="1" a="1"/>
  <c r="O428" i="1" s="1"/>
  <c r="O429" i="1" a="1"/>
  <c r="O429" i="1" s="1"/>
  <c r="O430" i="1" a="1"/>
  <c r="O430" i="1" s="1"/>
  <c r="O431" i="1" a="1"/>
  <c r="O431" i="1" s="1"/>
  <c r="O432" i="1" a="1"/>
  <c r="O432" i="1" s="1"/>
  <c r="O433" i="1" a="1"/>
  <c r="O433" i="1" s="1"/>
  <c r="O434" i="1" a="1"/>
  <c r="O434" i="1" s="1"/>
  <c r="O435" i="1" a="1"/>
  <c r="O435" i="1" s="1"/>
  <c r="O436" i="1" a="1"/>
  <c r="O436" i="1" s="1"/>
  <c r="O437" i="1" a="1"/>
  <c r="O437" i="1" s="1"/>
  <c r="O438" i="1" a="1"/>
  <c r="O438" i="1" s="1"/>
  <c r="O439" i="1" a="1"/>
  <c r="O439" i="1" s="1"/>
  <c r="O440" i="1" a="1"/>
  <c r="O440" i="1" s="1"/>
  <c r="O441" i="1" a="1"/>
  <c r="O441" i="1" s="1"/>
  <c r="O442" i="1" a="1"/>
  <c r="O442" i="1" s="1"/>
  <c r="O443" i="1" a="1"/>
  <c r="O443" i="1" s="1"/>
  <c r="O444" i="1" a="1"/>
  <c r="O444" i="1" s="1"/>
  <c r="O445" i="1" a="1"/>
  <c r="O445" i="1" s="1"/>
  <c r="O446" i="1" a="1"/>
  <c r="O446" i="1" s="1"/>
  <c r="O447" i="1" a="1"/>
  <c r="O447" i="1" s="1"/>
  <c r="O448" i="1" a="1"/>
  <c r="O448" i="1" s="1"/>
  <c r="O449" i="1" a="1"/>
  <c r="O449" i="1" s="1"/>
  <c r="O450" i="1" a="1"/>
  <c r="O450" i="1" s="1"/>
  <c r="O451" i="1" a="1"/>
  <c r="O451" i="1" s="1"/>
  <c r="O452" i="1" a="1"/>
  <c r="O452" i="1" s="1"/>
  <c r="O453" i="1" a="1"/>
  <c r="O453" i="1" s="1"/>
  <c r="O454" i="1" a="1"/>
  <c r="O454" i="1" s="1"/>
  <c r="O455" i="1" a="1"/>
  <c r="O455" i="1" s="1"/>
  <c r="O456" i="1" a="1"/>
  <c r="O456" i="1" s="1"/>
  <c r="O457" i="1" a="1"/>
  <c r="O457" i="1" s="1"/>
  <c r="O458" i="1" a="1"/>
  <c r="O458" i="1" s="1"/>
  <c r="O459" i="1" a="1"/>
  <c r="O459" i="1" s="1"/>
  <c r="O460" i="1" a="1"/>
  <c r="O460" i="1" s="1"/>
  <c r="O461" i="1" a="1"/>
  <c r="O461" i="1" s="1"/>
  <c r="O462" i="1" a="1"/>
  <c r="O462" i="1" s="1"/>
  <c r="O463" i="1" a="1"/>
  <c r="O463" i="1" s="1"/>
  <c r="O464" i="1" a="1"/>
  <c r="O464" i="1" s="1"/>
  <c r="O465" i="1" a="1"/>
  <c r="O465" i="1" s="1"/>
  <c r="O466" i="1" a="1"/>
  <c r="O466" i="1" s="1"/>
  <c r="O467" i="1" a="1"/>
  <c r="O467" i="1" s="1"/>
  <c r="O468" i="1" a="1"/>
  <c r="O468" i="1" s="1"/>
  <c r="O469" i="1" a="1"/>
  <c r="O469" i="1" s="1"/>
  <c r="O470" i="1" a="1"/>
  <c r="O470" i="1" s="1"/>
  <c r="O471" i="1" a="1"/>
  <c r="O471" i="1" s="1"/>
  <c r="O472" i="1" a="1"/>
  <c r="O472" i="1" s="1"/>
  <c r="O473" i="1" a="1"/>
  <c r="O473" i="1" s="1"/>
  <c r="O474" i="1" a="1"/>
  <c r="O474" i="1" s="1"/>
  <c r="O475" i="1" a="1"/>
  <c r="O475" i="1" s="1"/>
  <c r="O476" i="1" a="1"/>
  <c r="O476" i="1" s="1"/>
  <c r="O477" i="1" a="1"/>
  <c r="O477" i="1" s="1"/>
  <c r="O478" i="1" a="1"/>
  <c r="O478" i="1" s="1"/>
  <c r="O479" i="1" a="1"/>
  <c r="O479" i="1" s="1"/>
  <c r="O480" i="1" a="1"/>
  <c r="O480" i="1" s="1"/>
  <c r="O481" i="1" a="1"/>
  <c r="O481" i="1" s="1"/>
  <c r="O482" i="1" a="1"/>
  <c r="O482" i="1" s="1"/>
  <c r="O483" i="1" a="1"/>
  <c r="O483" i="1" s="1"/>
  <c r="O484" i="1" a="1"/>
  <c r="O484" i="1" s="1"/>
  <c r="O485" i="1" a="1"/>
  <c r="O485" i="1" s="1"/>
  <c r="O486" i="1" a="1"/>
  <c r="O486" i="1" s="1"/>
  <c r="O487" i="1" a="1"/>
  <c r="O487" i="1" s="1"/>
  <c r="O488" i="1" a="1"/>
  <c r="O488" i="1" s="1"/>
  <c r="O489" i="1" a="1"/>
  <c r="O489" i="1" s="1"/>
  <c r="O490" i="1" a="1"/>
  <c r="O490" i="1" s="1"/>
  <c r="O491" i="1" a="1"/>
  <c r="O491" i="1" s="1"/>
  <c r="O492" i="1" a="1"/>
  <c r="O492" i="1" s="1"/>
  <c r="O493" i="1" a="1"/>
  <c r="O493" i="1" s="1"/>
  <c r="O494" i="1" a="1"/>
  <c r="O494" i="1" s="1"/>
  <c r="O495" i="1" a="1"/>
  <c r="O495" i="1" s="1"/>
  <c r="O496" i="1" a="1"/>
  <c r="O496" i="1" s="1"/>
  <c r="O497" i="1" a="1"/>
  <c r="O497" i="1" s="1"/>
  <c r="O498" i="1" a="1"/>
  <c r="O498" i="1" s="1"/>
  <c r="O499" i="1" a="1"/>
  <c r="O499" i="1" s="1"/>
  <c r="O500" i="1" a="1"/>
  <c r="O500" i="1" s="1"/>
  <c r="O501" i="1" a="1"/>
  <c r="O501" i="1" s="1"/>
  <c r="O502" i="1" a="1"/>
  <c r="O502" i="1" s="1"/>
  <c r="O503" i="1" a="1"/>
  <c r="O503" i="1" s="1"/>
  <c r="O504" i="1" a="1"/>
  <c r="O504" i="1" s="1"/>
  <c r="O505" i="1" a="1"/>
  <c r="O505" i="1" s="1"/>
  <c r="O506" i="1" a="1"/>
  <c r="O506" i="1" s="1"/>
  <c r="O507" i="1" a="1"/>
  <c r="O507" i="1" s="1"/>
  <c r="O508" i="1" a="1"/>
  <c r="O508" i="1" s="1"/>
  <c r="O509" i="1" a="1"/>
  <c r="O509" i="1" s="1"/>
  <c r="O510" i="1" a="1"/>
  <c r="O510" i="1" s="1"/>
  <c r="O511" i="1" a="1"/>
  <c r="O511" i="1" s="1"/>
  <c r="O512" i="1" a="1"/>
  <c r="O512" i="1" s="1"/>
  <c r="O513" i="1" a="1"/>
  <c r="O513" i="1" s="1"/>
  <c r="O514" i="1" a="1"/>
  <c r="O514" i="1" s="1"/>
  <c r="O515" i="1" a="1"/>
  <c r="O515" i="1" s="1"/>
  <c r="O516" i="1" a="1"/>
  <c r="O516" i="1" s="1"/>
  <c r="O517" i="1" a="1"/>
  <c r="O517" i="1" s="1"/>
  <c r="O518" i="1" a="1"/>
  <c r="O518" i="1" s="1"/>
  <c r="O519" i="1" a="1"/>
  <c r="O519" i="1" s="1"/>
  <c r="O520" i="1" a="1"/>
  <c r="O520" i="1" s="1"/>
  <c r="O521" i="1" a="1"/>
  <c r="O521" i="1" s="1"/>
  <c r="O522" i="1" a="1"/>
  <c r="O522" i="1" s="1"/>
  <c r="O523" i="1" a="1"/>
  <c r="O523" i="1" s="1"/>
  <c r="O524" i="1" a="1"/>
  <c r="O524" i="1" s="1"/>
  <c r="O525" i="1" a="1"/>
  <c r="O525" i="1" s="1"/>
  <c r="O526" i="1" a="1"/>
  <c r="O526" i="1" s="1"/>
  <c r="O527" i="1" a="1"/>
  <c r="O527" i="1" s="1"/>
  <c r="O528" i="1" a="1"/>
  <c r="O528" i="1" s="1"/>
  <c r="O529" i="1" a="1"/>
  <c r="O529" i="1" s="1"/>
  <c r="O530" i="1" a="1"/>
  <c r="O530" i="1" s="1"/>
  <c r="O531" i="1" a="1"/>
  <c r="O531" i="1" s="1"/>
  <c r="O532" i="1" a="1"/>
  <c r="O532" i="1" s="1"/>
  <c r="O533" i="1" a="1"/>
  <c r="O533" i="1" s="1"/>
  <c r="O534" i="1" a="1"/>
  <c r="O534" i="1" s="1"/>
  <c r="O535" i="1" a="1"/>
  <c r="O535" i="1" s="1"/>
  <c r="O536" i="1" a="1"/>
  <c r="O536" i="1" s="1"/>
  <c r="O537" i="1" a="1"/>
  <c r="O537" i="1" s="1"/>
  <c r="O538" i="1" a="1"/>
  <c r="O538" i="1" s="1"/>
  <c r="O539" i="1" a="1"/>
  <c r="O539" i="1" s="1"/>
  <c r="O540" i="1" a="1"/>
  <c r="O540" i="1" s="1"/>
  <c r="O541" i="1" a="1"/>
  <c r="O541" i="1" s="1"/>
  <c r="O542" i="1" a="1"/>
  <c r="O542" i="1" s="1"/>
  <c r="O543" i="1" a="1"/>
  <c r="O543" i="1" s="1"/>
  <c r="O544" i="1" a="1"/>
  <c r="O544" i="1" s="1"/>
  <c r="O545" i="1" a="1"/>
  <c r="O545" i="1" s="1"/>
  <c r="O546" i="1" a="1"/>
  <c r="O546" i="1" s="1"/>
  <c r="O547" i="1" a="1"/>
  <c r="O547" i="1" s="1"/>
  <c r="O548" i="1" a="1"/>
  <c r="O548" i="1" s="1"/>
  <c r="O549" i="1" a="1"/>
  <c r="O549" i="1" s="1"/>
  <c r="O550" i="1" a="1"/>
  <c r="O550" i="1" s="1"/>
  <c r="O551" i="1" a="1"/>
  <c r="O551" i="1" s="1"/>
  <c r="O552" i="1" a="1"/>
  <c r="O552" i="1" s="1"/>
  <c r="O553" i="1" a="1"/>
  <c r="O553" i="1" s="1"/>
  <c r="O554" i="1" a="1"/>
  <c r="O554" i="1" s="1"/>
  <c r="O555" i="1" a="1"/>
  <c r="O555" i="1" s="1"/>
  <c r="O556" i="1" a="1"/>
  <c r="O556" i="1" s="1"/>
  <c r="O557" i="1" a="1"/>
  <c r="O557" i="1" s="1"/>
  <c r="O558" i="1" a="1"/>
  <c r="O558" i="1" s="1"/>
  <c r="O559" i="1" a="1"/>
  <c r="O559" i="1" s="1"/>
  <c r="O560" i="1" a="1"/>
  <c r="O560" i="1" s="1"/>
  <c r="O561" i="1" a="1"/>
  <c r="O561" i="1" s="1"/>
  <c r="O562" i="1" a="1"/>
  <c r="O562" i="1" s="1"/>
  <c r="O563" i="1" a="1"/>
  <c r="O563" i="1" s="1"/>
  <c r="O564" i="1" a="1"/>
  <c r="O564" i="1" s="1"/>
  <c r="O565" i="1" a="1"/>
  <c r="O565" i="1" s="1"/>
  <c r="O566" i="1" a="1"/>
  <c r="O566" i="1" s="1"/>
  <c r="O567" i="1" a="1"/>
  <c r="O567" i="1" s="1"/>
  <c r="O568" i="1" a="1"/>
  <c r="O568" i="1" s="1"/>
  <c r="O569" i="1" a="1"/>
  <c r="O569" i="1" s="1"/>
  <c r="O570" i="1" a="1"/>
  <c r="O570" i="1" s="1"/>
  <c r="O571" i="1" a="1"/>
  <c r="O571" i="1" s="1"/>
  <c r="O572" i="1" a="1"/>
  <c r="O572" i="1" s="1"/>
  <c r="O573" i="1" a="1"/>
  <c r="O573" i="1" s="1"/>
  <c r="O574" i="1" a="1"/>
  <c r="O574" i="1" s="1"/>
  <c r="O575" i="1" a="1"/>
  <c r="O575" i="1" s="1"/>
  <c r="O576" i="1" a="1"/>
  <c r="O576" i="1" s="1"/>
  <c r="O577" i="1" a="1"/>
  <c r="O577" i="1" s="1"/>
  <c r="O578" i="1" a="1"/>
  <c r="O578" i="1" s="1"/>
  <c r="O579" i="1" a="1"/>
  <c r="O579" i="1" s="1"/>
  <c r="O580" i="1" a="1"/>
  <c r="O580" i="1" s="1"/>
  <c r="O581" i="1" a="1"/>
  <c r="O581" i="1" s="1"/>
  <c r="O582" i="1" a="1"/>
  <c r="O582" i="1" s="1"/>
  <c r="O583" i="1" a="1"/>
  <c r="O583" i="1" s="1"/>
  <c r="O584" i="1" a="1"/>
  <c r="O584" i="1" s="1"/>
  <c r="O585" i="1" a="1"/>
  <c r="O585" i="1" s="1"/>
  <c r="O586" i="1" a="1"/>
  <c r="O586" i="1" s="1"/>
  <c r="O587" i="1" a="1"/>
  <c r="O587" i="1" s="1"/>
  <c r="O588" i="1" a="1"/>
  <c r="O588" i="1" s="1"/>
  <c r="O589" i="1" a="1"/>
  <c r="O589" i="1" s="1"/>
  <c r="O590" i="1" a="1"/>
  <c r="O590" i="1" s="1"/>
  <c r="O591" i="1" a="1"/>
  <c r="O591" i="1" s="1"/>
  <c r="O592" i="1" a="1"/>
  <c r="O592" i="1" s="1"/>
  <c r="O593" i="1" a="1"/>
  <c r="O593" i="1" s="1"/>
  <c r="O594" i="1" a="1"/>
  <c r="O594" i="1" s="1"/>
  <c r="O595" i="1" a="1"/>
  <c r="O595" i="1" s="1"/>
  <c r="O596" i="1" a="1"/>
  <c r="O596" i="1" s="1"/>
  <c r="O597" i="1" a="1"/>
  <c r="O597" i="1" s="1"/>
  <c r="O598" i="1" a="1"/>
  <c r="O598" i="1" s="1"/>
  <c r="O599" i="1" a="1"/>
  <c r="O599" i="1" s="1"/>
  <c r="O600" i="1" a="1"/>
  <c r="O600" i="1" s="1"/>
  <c r="O601" i="1" a="1"/>
  <c r="O601" i="1" s="1"/>
  <c r="O602" i="1" a="1"/>
  <c r="O602" i="1" s="1"/>
  <c r="O603" i="1" a="1"/>
  <c r="O603" i="1" s="1"/>
  <c r="O604" i="1" a="1"/>
  <c r="O604" i="1" s="1"/>
  <c r="O605" i="1" a="1"/>
  <c r="O605" i="1" s="1"/>
  <c r="O606" i="1" a="1"/>
  <c r="O606" i="1" s="1"/>
  <c r="O607" i="1" a="1"/>
  <c r="O607" i="1" s="1"/>
  <c r="O608" i="1" a="1"/>
  <c r="O608" i="1" s="1"/>
  <c r="O609" i="1" a="1"/>
  <c r="O609" i="1" s="1"/>
  <c r="O610" i="1" a="1"/>
  <c r="O610" i="1" s="1"/>
  <c r="O611" i="1" a="1"/>
  <c r="O611" i="1" s="1"/>
  <c r="O612" i="1" a="1"/>
  <c r="O612" i="1" s="1"/>
  <c r="O613" i="1" a="1"/>
  <c r="O613" i="1" s="1"/>
  <c r="O614" i="1" a="1"/>
  <c r="O614" i="1" s="1"/>
  <c r="O615" i="1" a="1"/>
  <c r="O615" i="1" s="1"/>
  <c r="O616" i="1" a="1"/>
  <c r="O616" i="1" s="1"/>
  <c r="O617" i="1" a="1"/>
  <c r="O617" i="1" s="1"/>
  <c r="O618" i="1" a="1"/>
  <c r="O618" i="1" s="1"/>
  <c r="O619" i="1" a="1"/>
  <c r="O619" i="1" s="1"/>
  <c r="O620" i="1" a="1"/>
  <c r="O620" i="1" s="1"/>
  <c r="O621" i="1" a="1"/>
  <c r="O621" i="1" s="1"/>
  <c r="O622" i="1" a="1"/>
  <c r="O622" i="1" s="1"/>
  <c r="O623" i="1" a="1"/>
  <c r="O623" i="1" s="1"/>
  <c r="O624" i="1" a="1"/>
  <c r="O624" i="1" s="1"/>
  <c r="O625" i="1" a="1"/>
  <c r="O625" i="1" s="1"/>
  <c r="O626" i="1" a="1"/>
  <c r="O626" i="1" s="1"/>
  <c r="O627" i="1" a="1"/>
  <c r="O627" i="1" s="1"/>
  <c r="O628" i="1" a="1"/>
  <c r="O628" i="1" s="1"/>
  <c r="O629" i="1" a="1"/>
  <c r="O629" i="1" s="1"/>
  <c r="O630" i="1" a="1"/>
  <c r="O630" i="1" s="1"/>
  <c r="O631" i="1" a="1"/>
  <c r="O631" i="1" s="1"/>
  <c r="O632" i="1" a="1"/>
  <c r="O632" i="1" s="1"/>
  <c r="O633" i="1" a="1"/>
  <c r="O633" i="1" s="1"/>
  <c r="O634" i="1" a="1"/>
  <c r="O634" i="1" s="1"/>
  <c r="O635" i="1" a="1"/>
  <c r="O635" i="1" s="1"/>
  <c r="O636" i="1" a="1"/>
  <c r="O636" i="1" s="1"/>
  <c r="O637" i="1" a="1"/>
  <c r="O637" i="1" s="1"/>
  <c r="O638" i="1" a="1"/>
  <c r="O638" i="1" s="1"/>
  <c r="O639" i="1" a="1"/>
  <c r="O639" i="1" s="1"/>
  <c r="O640" i="1" a="1"/>
  <c r="O640" i="1" s="1"/>
  <c r="O641" i="1" a="1"/>
  <c r="O641" i="1" s="1"/>
  <c r="O642" i="1" a="1"/>
  <c r="O642" i="1" s="1"/>
  <c r="O643" i="1" a="1"/>
  <c r="O643" i="1" s="1"/>
  <c r="O644" i="1" a="1"/>
  <c r="O644" i="1" s="1"/>
  <c r="O645" i="1" a="1"/>
  <c r="O645" i="1" s="1"/>
  <c r="O646" i="1" a="1"/>
  <c r="O646" i="1" s="1"/>
  <c r="O647" i="1" a="1"/>
  <c r="O647" i="1" s="1"/>
  <c r="O648" i="1" a="1"/>
  <c r="O648" i="1" s="1"/>
  <c r="O649" i="1" a="1"/>
  <c r="O649" i="1" s="1"/>
  <c r="O650" i="1" a="1"/>
  <c r="O650" i="1" s="1"/>
  <c r="O651" i="1" a="1"/>
  <c r="O651" i="1" s="1"/>
  <c r="O652" i="1" a="1"/>
  <c r="O652" i="1" s="1"/>
  <c r="O653" i="1" a="1"/>
  <c r="O653" i="1" s="1"/>
  <c r="O654" i="1" a="1"/>
  <c r="O654" i="1" s="1"/>
  <c r="O655" i="1" a="1"/>
  <c r="O655" i="1" s="1"/>
  <c r="O656" i="1" a="1"/>
  <c r="O656" i="1" s="1"/>
  <c r="O657" i="1" a="1"/>
  <c r="O657" i="1" s="1"/>
  <c r="O658" i="1" a="1"/>
  <c r="O658" i="1" s="1"/>
  <c r="O659" i="1" a="1"/>
  <c r="O659" i="1" s="1"/>
  <c r="O660" i="1" a="1"/>
  <c r="O660" i="1" s="1"/>
  <c r="O661" i="1" a="1"/>
  <c r="O661" i="1" s="1"/>
  <c r="O662" i="1" a="1"/>
  <c r="O662" i="1" s="1"/>
  <c r="O663" i="1" a="1"/>
  <c r="O663" i="1" s="1"/>
  <c r="O664" i="1" a="1"/>
  <c r="O664" i="1" s="1"/>
  <c r="O665" i="1" a="1"/>
  <c r="O665" i="1" s="1"/>
  <c r="O666" i="1" a="1"/>
  <c r="O666" i="1" s="1"/>
  <c r="O667" i="1" a="1"/>
  <c r="O667" i="1" s="1"/>
  <c r="O668" i="1" a="1"/>
  <c r="O668" i="1" s="1"/>
  <c r="O669" i="1" a="1"/>
  <c r="O669" i="1" s="1"/>
  <c r="O670" i="1" a="1"/>
  <c r="O670" i="1" s="1"/>
  <c r="O671" i="1" a="1"/>
  <c r="O671" i="1" s="1"/>
  <c r="O672" i="1" a="1"/>
  <c r="O672" i="1" s="1"/>
  <c r="O673" i="1" a="1"/>
  <c r="O673" i="1" s="1"/>
  <c r="O674" i="1" a="1"/>
  <c r="O674" i="1" s="1"/>
  <c r="O675" i="1" a="1"/>
  <c r="O675" i="1" s="1"/>
  <c r="O676" i="1" a="1"/>
  <c r="O676" i="1" s="1"/>
  <c r="O677" i="1" a="1"/>
  <c r="O677" i="1" s="1"/>
  <c r="O678" i="1" a="1"/>
  <c r="O678" i="1" s="1"/>
  <c r="O679" i="1" a="1"/>
  <c r="O679" i="1" s="1"/>
  <c r="O680" i="1" a="1"/>
  <c r="O680" i="1" s="1"/>
  <c r="O681" i="1" a="1"/>
  <c r="O681" i="1" s="1"/>
  <c r="O682" i="1" a="1"/>
  <c r="O682" i="1" s="1"/>
  <c r="O683" i="1" a="1"/>
  <c r="O683" i="1" s="1"/>
  <c r="O684" i="1" a="1"/>
  <c r="O684" i="1" s="1"/>
  <c r="O685" i="1" a="1"/>
  <c r="O685" i="1" s="1"/>
  <c r="O686" i="1" a="1"/>
  <c r="O686" i="1" s="1"/>
  <c r="O687" i="1" a="1"/>
  <c r="O687" i="1" s="1"/>
  <c r="O688" i="1" a="1"/>
  <c r="O688" i="1" s="1"/>
  <c r="O689" i="1" a="1"/>
  <c r="O689" i="1" s="1"/>
  <c r="O690" i="1" a="1"/>
  <c r="O690" i="1" s="1"/>
  <c r="O691" i="1" a="1"/>
  <c r="O691" i="1" s="1"/>
  <c r="O692" i="1" a="1"/>
  <c r="O692" i="1" s="1"/>
  <c r="O693" i="1" a="1"/>
  <c r="O693" i="1" s="1"/>
  <c r="O694" i="1" a="1"/>
  <c r="O694" i="1" s="1"/>
  <c r="O695" i="1" a="1"/>
  <c r="O695" i="1" s="1"/>
  <c r="O696" i="1" a="1"/>
  <c r="O696" i="1" s="1"/>
  <c r="O697" i="1" a="1"/>
  <c r="O697" i="1" s="1"/>
  <c r="O698" i="1" a="1"/>
  <c r="O698" i="1" s="1"/>
  <c r="O699" i="1" a="1"/>
  <c r="O699" i="1" s="1"/>
  <c r="O700" i="1" a="1"/>
  <c r="O700" i="1" s="1"/>
  <c r="O701" i="1" a="1"/>
  <c r="O701" i="1" s="1"/>
  <c r="O702" i="1" a="1"/>
  <c r="O702" i="1" s="1"/>
  <c r="O703" i="1" a="1"/>
  <c r="O703" i="1" s="1"/>
  <c r="O704" i="1" a="1"/>
  <c r="O704" i="1" s="1"/>
  <c r="O705" i="1" a="1"/>
  <c r="O705" i="1" s="1"/>
  <c r="O706" i="1" a="1"/>
  <c r="O706" i="1" s="1"/>
  <c r="O707" i="1" a="1"/>
  <c r="O707" i="1" s="1"/>
  <c r="O708" i="1" a="1"/>
  <c r="O708" i="1" s="1"/>
  <c r="O709" i="1" a="1"/>
  <c r="O709" i="1" s="1"/>
  <c r="O710" i="1" a="1"/>
  <c r="O710" i="1" s="1"/>
  <c r="O711" i="1" a="1"/>
  <c r="O711" i="1" s="1"/>
  <c r="O712" i="1" a="1"/>
  <c r="O712" i="1" s="1"/>
  <c r="O713" i="1" a="1"/>
  <c r="O713" i="1" s="1"/>
  <c r="O714" i="1" a="1"/>
  <c r="O714" i="1" s="1"/>
  <c r="O715" i="1" a="1"/>
  <c r="O715" i="1" s="1"/>
  <c r="O716" i="1" a="1"/>
  <c r="O716" i="1" s="1"/>
  <c r="O717" i="1" a="1"/>
  <c r="O717" i="1" s="1"/>
  <c r="O718" i="1" a="1"/>
  <c r="O718" i="1" s="1"/>
  <c r="O719" i="1" a="1"/>
  <c r="O719" i="1" s="1"/>
  <c r="O720" i="1" a="1"/>
  <c r="O720" i="1" s="1"/>
  <c r="O721" i="1" a="1"/>
  <c r="O721" i="1" s="1"/>
  <c r="O722" i="1" a="1"/>
  <c r="O722" i="1" s="1"/>
  <c r="O723" i="1" a="1"/>
  <c r="O723" i="1" s="1"/>
  <c r="O724" i="1" a="1"/>
  <c r="O724" i="1" s="1"/>
  <c r="O725" i="1" a="1"/>
  <c r="O725" i="1" s="1"/>
  <c r="O726" i="1" a="1"/>
  <c r="O726" i="1" s="1"/>
  <c r="O727" i="1" a="1"/>
  <c r="O727" i="1" s="1"/>
  <c r="O728" i="1" a="1"/>
  <c r="O728" i="1" s="1"/>
  <c r="O729" i="1" a="1"/>
  <c r="O729" i="1" s="1"/>
  <c r="O730" i="1" a="1"/>
  <c r="O730" i="1" s="1"/>
  <c r="O731" i="1" a="1"/>
  <c r="O731" i="1" s="1"/>
  <c r="O732" i="1" a="1"/>
  <c r="O732" i="1" s="1"/>
  <c r="O733" i="1" a="1"/>
  <c r="O733" i="1" s="1"/>
  <c r="O734" i="1" a="1"/>
  <c r="O734" i="1" s="1"/>
  <c r="O735" i="1" a="1"/>
  <c r="O735" i="1" s="1"/>
  <c r="O736" i="1" a="1"/>
  <c r="O736" i="1" s="1"/>
  <c r="O737" i="1" a="1"/>
  <c r="O737" i="1" s="1"/>
  <c r="O738" i="1" a="1"/>
  <c r="O738" i="1" s="1"/>
  <c r="O739" i="1" a="1"/>
  <c r="O739" i="1" s="1"/>
  <c r="O740" i="1" a="1"/>
  <c r="O740" i="1" s="1"/>
  <c r="O741" i="1" a="1"/>
  <c r="O741" i="1" s="1"/>
  <c r="O742" i="1" a="1"/>
  <c r="O742" i="1" s="1"/>
  <c r="O743" i="1" a="1"/>
  <c r="O743" i="1" s="1"/>
  <c r="O744" i="1" a="1"/>
  <c r="O744" i="1" s="1"/>
  <c r="O745" i="1" a="1"/>
  <c r="O745" i="1" s="1"/>
  <c r="O746" i="1" a="1"/>
  <c r="O746" i="1" s="1"/>
  <c r="O747" i="1" a="1"/>
  <c r="O747" i="1" s="1"/>
  <c r="O748" i="1" a="1"/>
  <c r="O748" i="1" s="1"/>
  <c r="O749" i="1" a="1"/>
  <c r="O749" i="1" s="1"/>
  <c r="O750" i="1" a="1"/>
  <c r="O750" i="1" s="1"/>
  <c r="O751" i="1" a="1"/>
  <c r="O751" i="1" s="1"/>
  <c r="O752" i="1" a="1"/>
  <c r="O752" i="1" s="1"/>
  <c r="O753" i="1" a="1"/>
  <c r="O753" i="1" s="1"/>
  <c r="O754" i="1" a="1"/>
  <c r="O754" i="1" s="1"/>
  <c r="O755" i="1" a="1"/>
  <c r="O755" i="1" s="1"/>
  <c r="O756" i="1" a="1"/>
  <c r="O756" i="1" s="1"/>
  <c r="O757" i="1" a="1"/>
  <c r="O757" i="1" s="1"/>
  <c r="O758" i="1" a="1"/>
  <c r="O758" i="1" s="1"/>
  <c r="O759" i="1" a="1"/>
  <c r="O759" i="1" s="1"/>
  <c r="O760" i="1" a="1"/>
  <c r="O760" i="1" s="1"/>
  <c r="O761" i="1" a="1"/>
  <c r="O761" i="1" s="1"/>
  <c r="O762" i="1" a="1"/>
  <c r="O762" i="1" s="1"/>
  <c r="O763" i="1" a="1"/>
  <c r="O763" i="1" s="1"/>
  <c r="O764" i="1" a="1"/>
  <c r="O764" i="1" s="1"/>
  <c r="O765" i="1" a="1"/>
  <c r="O765" i="1" s="1"/>
  <c r="O766" i="1" a="1"/>
  <c r="O766" i="1" s="1"/>
  <c r="O767" i="1" a="1"/>
  <c r="O767" i="1" s="1"/>
  <c r="O768" i="1" a="1"/>
  <c r="O768" i="1" s="1"/>
  <c r="O769" i="1" a="1"/>
  <c r="O769" i="1" s="1"/>
  <c r="O770" i="1" a="1"/>
  <c r="O770" i="1" s="1"/>
  <c r="O771" i="1" a="1"/>
  <c r="O771" i="1" s="1"/>
  <c r="O772" i="1" a="1"/>
  <c r="O772" i="1" s="1"/>
  <c r="O773" i="1" a="1"/>
  <c r="O773" i="1" s="1"/>
  <c r="O774" i="1" a="1"/>
  <c r="O774" i="1" s="1"/>
  <c r="O775" i="1" a="1"/>
  <c r="O775" i="1" s="1"/>
  <c r="O776" i="1" a="1"/>
  <c r="O776" i="1" s="1"/>
  <c r="O777" i="1" a="1"/>
  <c r="O777" i="1" s="1"/>
  <c r="O778" i="1" a="1"/>
  <c r="O778" i="1" s="1"/>
  <c r="O779" i="1" a="1"/>
  <c r="O779" i="1" s="1"/>
  <c r="O780" i="1" a="1"/>
  <c r="O780" i="1" s="1"/>
  <c r="O781" i="1" a="1"/>
  <c r="O781" i="1" s="1"/>
  <c r="O782" i="1" a="1"/>
  <c r="O782" i="1" s="1"/>
  <c r="O783" i="1" a="1"/>
  <c r="O783" i="1" s="1"/>
  <c r="O784" i="1" a="1"/>
  <c r="O784" i="1" s="1"/>
  <c r="O785" i="1" a="1"/>
  <c r="O785" i="1" s="1"/>
  <c r="O786" i="1" a="1"/>
  <c r="O786" i="1" s="1"/>
  <c r="O787" i="1" a="1"/>
  <c r="O787" i="1" s="1"/>
  <c r="O788" i="1" a="1"/>
  <c r="O788" i="1" s="1"/>
  <c r="O789" i="1" a="1"/>
  <c r="O789" i="1" s="1"/>
  <c r="O790" i="1" a="1"/>
  <c r="O790" i="1" s="1"/>
  <c r="O791" i="1" a="1"/>
  <c r="O791" i="1" s="1"/>
  <c r="O792" i="1" a="1"/>
  <c r="O792" i="1" s="1"/>
  <c r="O793" i="1" a="1"/>
  <c r="O793" i="1" s="1"/>
  <c r="O794" i="1" a="1"/>
  <c r="O794" i="1" s="1"/>
  <c r="O795" i="1" a="1"/>
  <c r="O795" i="1" s="1"/>
  <c r="O796" i="1" a="1"/>
  <c r="O796" i="1" s="1"/>
  <c r="O797" i="1" a="1"/>
  <c r="O797" i="1" s="1"/>
  <c r="O798" i="1" a="1"/>
  <c r="O798" i="1" s="1"/>
  <c r="O799" i="1" a="1"/>
  <c r="O799" i="1" s="1"/>
  <c r="O800" i="1" a="1"/>
  <c r="O800" i="1" s="1"/>
  <c r="O801" i="1" a="1"/>
  <c r="O801" i="1" s="1"/>
  <c r="O802" i="1" a="1"/>
  <c r="O802" i="1" s="1"/>
  <c r="O803" i="1" a="1"/>
  <c r="O803" i="1" s="1"/>
  <c r="O804" i="1" a="1"/>
  <c r="O804" i="1" s="1"/>
  <c r="O805" i="1" a="1"/>
  <c r="O805" i="1" s="1"/>
  <c r="O806" i="1" a="1"/>
  <c r="O806" i="1" s="1"/>
  <c r="O807" i="1" a="1"/>
  <c r="O807" i="1" s="1"/>
  <c r="O808" i="1" a="1"/>
  <c r="O808" i="1" s="1"/>
  <c r="O809" i="1" a="1"/>
  <c r="O809" i="1" s="1"/>
  <c r="O810" i="1" a="1"/>
  <c r="O810" i="1" s="1"/>
  <c r="O811" i="1" a="1"/>
  <c r="O811" i="1" s="1"/>
  <c r="O812" i="1" a="1"/>
  <c r="O812" i="1" s="1"/>
  <c r="O813" i="1" a="1"/>
  <c r="O813" i="1" s="1"/>
  <c r="O814" i="1" a="1"/>
  <c r="O814" i="1" s="1"/>
  <c r="O815" i="1" a="1"/>
  <c r="O815" i="1" s="1"/>
  <c r="O816" i="1" a="1"/>
  <c r="O816" i="1" s="1"/>
  <c r="O817" i="1" a="1"/>
  <c r="O817" i="1" s="1"/>
  <c r="O818" i="1" a="1"/>
  <c r="O818" i="1" s="1"/>
  <c r="O819" i="1" a="1"/>
  <c r="O819" i="1" s="1"/>
  <c r="O820" i="1" a="1"/>
  <c r="O820" i="1" s="1"/>
  <c r="O821" i="1" a="1"/>
  <c r="O821" i="1" s="1"/>
  <c r="O822" i="1" a="1"/>
  <c r="O822" i="1" s="1"/>
  <c r="O823" i="1" a="1"/>
  <c r="O823" i="1" s="1"/>
  <c r="O824" i="1" a="1"/>
  <c r="O824" i="1" s="1"/>
  <c r="O825" i="1" a="1"/>
  <c r="O825" i="1" s="1"/>
  <c r="O826" i="1" a="1"/>
  <c r="O826" i="1" s="1"/>
  <c r="O827" i="1" a="1"/>
  <c r="O827" i="1" s="1"/>
  <c r="O828" i="1" a="1"/>
  <c r="O828" i="1" s="1"/>
  <c r="O829" i="1" a="1"/>
  <c r="O829" i="1" s="1"/>
  <c r="O830" i="1" a="1"/>
  <c r="O830" i="1" s="1"/>
  <c r="O831" i="1" a="1"/>
  <c r="O831" i="1" s="1"/>
  <c r="O832" i="1" a="1"/>
  <c r="O832" i="1" s="1"/>
  <c r="O833" i="1" a="1"/>
  <c r="O833" i="1" s="1"/>
  <c r="O834" i="1" a="1"/>
  <c r="O834" i="1" s="1"/>
  <c r="O835" i="1" a="1"/>
  <c r="O835" i="1" s="1"/>
  <c r="O836" i="1" a="1"/>
  <c r="O836" i="1" s="1"/>
  <c r="O837" i="1" a="1"/>
  <c r="O837" i="1" s="1"/>
  <c r="O838" i="1" a="1"/>
  <c r="O838" i="1" s="1"/>
  <c r="O839" i="1" a="1"/>
  <c r="O839" i="1" s="1"/>
  <c r="O840" i="1" a="1"/>
  <c r="O840" i="1" s="1"/>
  <c r="O841" i="1" a="1"/>
  <c r="O841" i="1" s="1"/>
  <c r="O842" i="1" a="1"/>
  <c r="O842" i="1" s="1"/>
  <c r="O843" i="1" a="1"/>
  <c r="O843" i="1" s="1"/>
  <c r="O844" i="1" a="1"/>
  <c r="O844" i="1" s="1"/>
  <c r="O845" i="1" a="1"/>
  <c r="O845" i="1" s="1"/>
  <c r="O846" i="1" a="1"/>
  <c r="O846" i="1" s="1"/>
  <c r="O847" i="1" a="1"/>
  <c r="O847" i="1" s="1"/>
  <c r="O848" i="1" a="1"/>
  <c r="O848" i="1" s="1"/>
  <c r="O849" i="1" a="1"/>
  <c r="O849" i="1" s="1"/>
  <c r="O850" i="1" a="1"/>
  <c r="O850" i="1" s="1"/>
  <c r="O851" i="1" a="1"/>
  <c r="O851" i="1" s="1"/>
  <c r="O852" i="1" a="1"/>
  <c r="O852" i="1" s="1"/>
  <c r="O853" i="1" a="1"/>
  <c r="O853" i="1" s="1"/>
  <c r="O854" i="1" a="1"/>
  <c r="O854" i="1" s="1"/>
  <c r="O855" i="1" a="1"/>
  <c r="O855" i="1" s="1"/>
  <c r="O856" i="1" a="1"/>
  <c r="O856" i="1" s="1"/>
  <c r="O857" i="1" a="1"/>
  <c r="O857" i="1" s="1"/>
  <c r="O858" i="1" a="1"/>
  <c r="O858" i="1" s="1"/>
  <c r="O859" i="1" a="1"/>
  <c r="O859" i="1" s="1"/>
  <c r="O860" i="1" a="1"/>
  <c r="O860" i="1" s="1"/>
  <c r="O861" i="1" a="1"/>
  <c r="O861" i="1" s="1"/>
  <c r="O862" i="1" a="1"/>
  <c r="O862" i="1" s="1"/>
  <c r="O863" i="1" a="1"/>
  <c r="O863" i="1" s="1"/>
  <c r="O864" i="1" a="1"/>
  <c r="O864" i="1" s="1"/>
  <c r="O865" i="1" a="1"/>
  <c r="O865" i="1" s="1"/>
  <c r="O866" i="1" a="1"/>
  <c r="O866" i="1" s="1"/>
  <c r="O867" i="1" a="1"/>
  <c r="O867" i="1" s="1"/>
  <c r="O868" i="1" a="1"/>
  <c r="O868" i="1" s="1"/>
  <c r="O869" i="1" a="1"/>
  <c r="O869" i="1" s="1"/>
  <c r="O870" i="1" a="1"/>
  <c r="O870" i="1" s="1"/>
  <c r="O871" i="1" a="1"/>
  <c r="O871" i="1" s="1"/>
  <c r="O872" i="1" a="1"/>
  <c r="O872" i="1" s="1"/>
  <c r="O873" i="1" a="1"/>
  <c r="O873" i="1" s="1"/>
  <c r="O874" i="1" a="1"/>
  <c r="O874" i="1" s="1"/>
  <c r="O875" i="1" a="1"/>
  <c r="O875" i="1" s="1"/>
  <c r="O876" i="1" a="1"/>
  <c r="O876" i="1" s="1"/>
  <c r="O877" i="1" a="1"/>
  <c r="O877" i="1" s="1"/>
  <c r="O878" i="1" a="1"/>
  <c r="O878" i="1" s="1"/>
  <c r="O879" i="1" a="1"/>
  <c r="O879" i="1" s="1"/>
  <c r="O880" i="1" a="1"/>
  <c r="O880" i="1" s="1"/>
  <c r="O881" i="1" a="1"/>
  <c r="O881" i="1" s="1"/>
  <c r="O882" i="1" a="1"/>
  <c r="O882" i="1" s="1"/>
  <c r="O883" i="1" a="1"/>
  <c r="O883" i="1" s="1"/>
  <c r="O884" i="1" a="1"/>
  <c r="O884" i="1" s="1"/>
  <c r="O885" i="1" a="1"/>
  <c r="O885" i="1" s="1"/>
  <c r="O886" i="1" a="1"/>
  <c r="O886" i="1" s="1"/>
  <c r="O887" i="1" a="1"/>
  <c r="O887" i="1" s="1"/>
  <c r="O888" i="1" a="1"/>
  <c r="O888" i="1" s="1"/>
  <c r="O889" i="1" a="1"/>
  <c r="O889" i="1" s="1"/>
  <c r="O890" i="1" a="1"/>
  <c r="O890" i="1" s="1"/>
  <c r="O891" i="1" a="1"/>
  <c r="O891" i="1" s="1"/>
  <c r="O892" i="1" a="1"/>
  <c r="O892" i="1" s="1"/>
  <c r="O893" i="1" a="1"/>
  <c r="O893" i="1" s="1"/>
  <c r="O894" i="1" a="1"/>
  <c r="O894" i="1" s="1"/>
  <c r="O895" i="1" a="1"/>
  <c r="O895" i="1" s="1"/>
  <c r="O896" i="1" a="1"/>
  <c r="O896" i="1" s="1"/>
  <c r="O897" i="1" a="1"/>
  <c r="O897" i="1" s="1"/>
  <c r="O898" i="1" a="1"/>
  <c r="O898" i="1" s="1"/>
  <c r="O899" i="1" a="1"/>
  <c r="O899" i="1" s="1"/>
  <c r="O900" i="1" a="1"/>
  <c r="O900" i="1" s="1"/>
  <c r="O901" i="1" a="1"/>
  <c r="O901" i="1" s="1"/>
  <c r="O902" i="1" a="1"/>
  <c r="O902" i="1" s="1"/>
  <c r="O903" i="1" a="1"/>
  <c r="O903" i="1" s="1"/>
  <c r="O904" i="1" a="1"/>
  <c r="O904" i="1" s="1"/>
  <c r="O905" i="1" a="1"/>
  <c r="O905" i="1" s="1"/>
  <c r="O906" i="1" a="1"/>
  <c r="O906" i="1" s="1"/>
  <c r="O907" i="1" a="1"/>
  <c r="O907" i="1" s="1"/>
  <c r="O908" i="1" a="1"/>
  <c r="O908" i="1" s="1"/>
  <c r="O909" i="1" a="1"/>
  <c r="O909" i="1" s="1"/>
  <c r="O910" i="1" a="1"/>
  <c r="O910" i="1" s="1"/>
  <c r="O911" i="1" a="1"/>
  <c r="O911" i="1" s="1"/>
  <c r="O912" i="1" a="1"/>
  <c r="O912" i="1" s="1"/>
  <c r="O913" i="1" a="1"/>
  <c r="O913" i="1" s="1"/>
  <c r="O914" i="1" a="1"/>
  <c r="O914" i="1" s="1"/>
  <c r="O915" i="1" a="1"/>
  <c r="O915" i="1" s="1"/>
  <c r="O916" i="1" a="1"/>
  <c r="O916" i="1" s="1"/>
  <c r="O917" i="1" a="1"/>
  <c r="O917" i="1" s="1"/>
  <c r="O918" i="1" a="1"/>
  <c r="O918" i="1" s="1"/>
  <c r="O919" i="1" a="1"/>
  <c r="O919" i="1" s="1"/>
  <c r="O920" i="1" a="1"/>
  <c r="O920" i="1" s="1"/>
  <c r="O921" i="1" a="1"/>
  <c r="O921" i="1" s="1"/>
  <c r="O922" i="1" a="1"/>
  <c r="O922" i="1" s="1"/>
  <c r="O923" i="1" a="1"/>
  <c r="O923" i="1" s="1"/>
  <c r="O924" i="1" a="1"/>
  <c r="O924" i="1" s="1"/>
  <c r="O925" i="1" a="1"/>
  <c r="O925" i="1" s="1"/>
  <c r="O926" i="1" a="1"/>
  <c r="O926" i="1" s="1"/>
  <c r="O927" i="1" a="1"/>
  <c r="O927" i="1" s="1"/>
  <c r="O928" i="1" a="1"/>
  <c r="O928" i="1" s="1"/>
  <c r="O929" i="1" a="1"/>
  <c r="O929" i="1" s="1"/>
  <c r="O930" i="1" a="1"/>
  <c r="O930" i="1" s="1"/>
  <c r="O931" i="1" a="1"/>
  <c r="O931" i="1" s="1"/>
  <c r="O932" i="1" a="1"/>
  <c r="O932" i="1" s="1"/>
  <c r="O933" i="1" a="1"/>
  <c r="O933" i="1" s="1"/>
  <c r="O934" i="1" a="1"/>
  <c r="O934" i="1" s="1"/>
  <c r="O935" i="1" a="1"/>
  <c r="O935" i="1" s="1"/>
  <c r="O936" i="1" a="1"/>
  <c r="O936" i="1" s="1"/>
  <c r="O937" i="1" a="1"/>
  <c r="O937" i="1" s="1"/>
  <c r="O938" i="1" a="1"/>
  <c r="O938" i="1" s="1"/>
  <c r="O939" i="1" a="1"/>
  <c r="O939" i="1" s="1"/>
  <c r="O940" i="1" a="1"/>
  <c r="O940" i="1" s="1"/>
  <c r="O941" i="1" a="1"/>
  <c r="O941" i="1" s="1"/>
  <c r="O942" i="1" a="1"/>
  <c r="O942" i="1" s="1"/>
  <c r="O943" i="1" a="1"/>
  <c r="O943" i="1" s="1"/>
  <c r="O944" i="1" a="1"/>
  <c r="O944" i="1" s="1"/>
  <c r="O945" i="1" a="1"/>
  <c r="O945" i="1" s="1"/>
  <c r="O946" i="1" a="1"/>
  <c r="O946" i="1" s="1"/>
  <c r="O947" i="1" a="1"/>
  <c r="O947" i="1" s="1"/>
  <c r="O948" i="1" a="1"/>
  <c r="O948" i="1" s="1"/>
  <c r="O949" i="1" a="1"/>
  <c r="O949" i="1" s="1"/>
  <c r="O950" i="1" a="1"/>
  <c r="O950" i="1" s="1"/>
  <c r="O951" i="1" a="1"/>
  <c r="O951" i="1" s="1"/>
  <c r="O952" i="1" a="1"/>
  <c r="O952" i="1" s="1"/>
  <c r="O953" i="1" a="1"/>
  <c r="O953" i="1" s="1"/>
  <c r="O954" i="1" a="1"/>
  <c r="O954" i="1" s="1"/>
  <c r="O955" i="1" a="1"/>
  <c r="O955" i="1" s="1"/>
  <c r="O956" i="1" a="1"/>
  <c r="O956" i="1" s="1"/>
  <c r="O957" i="1" a="1"/>
  <c r="O957" i="1" s="1"/>
  <c r="O958" i="1" a="1"/>
  <c r="O958" i="1" s="1"/>
  <c r="O959" i="1" a="1"/>
  <c r="O959" i="1" s="1"/>
  <c r="O960" i="1" a="1"/>
  <c r="O960" i="1" s="1"/>
  <c r="O961" i="1" a="1"/>
  <c r="O961" i="1" s="1"/>
  <c r="O962" i="1" a="1"/>
  <c r="O962" i="1" s="1"/>
  <c r="O963" i="1" a="1"/>
  <c r="O963" i="1" s="1"/>
  <c r="O964" i="1" a="1"/>
  <c r="O964" i="1" s="1"/>
  <c r="O965" i="1" a="1"/>
  <c r="O965" i="1" s="1"/>
  <c r="O966" i="1" a="1"/>
  <c r="O966" i="1" s="1"/>
  <c r="O967" i="1" a="1"/>
  <c r="O967" i="1" s="1"/>
  <c r="O968" i="1" a="1"/>
  <c r="O968" i="1" s="1"/>
  <c r="O969" i="1" a="1"/>
  <c r="O969" i="1" s="1"/>
  <c r="O970" i="1" a="1"/>
  <c r="O970" i="1" s="1"/>
  <c r="O971" i="1" a="1"/>
  <c r="O971" i="1" s="1"/>
  <c r="O972" i="1" a="1"/>
  <c r="O972" i="1" s="1"/>
  <c r="O973" i="1" a="1"/>
  <c r="O973" i="1" s="1"/>
  <c r="O974" i="1" a="1"/>
  <c r="O974" i="1" s="1"/>
  <c r="O975" i="1" a="1"/>
  <c r="O975" i="1" s="1"/>
  <c r="O976" i="1" a="1"/>
  <c r="O976" i="1" s="1"/>
  <c r="O977" i="1" a="1"/>
  <c r="O977" i="1" s="1"/>
  <c r="O978" i="1" a="1"/>
  <c r="O978" i="1" s="1"/>
  <c r="O979" i="1" a="1"/>
  <c r="O979" i="1" s="1"/>
  <c r="O980" i="1" a="1"/>
  <c r="O980" i="1" s="1"/>
  <c r="O981" i="1" a="1"/>
  <c r="O981" i="1" s="1"/>
  <c r="O982" i="1" a="1"/>
  <c r="O982" i="1" s="1"/>
  <c r="O983" i="1" a="1"/>
  <c r="O983" i="1" s="1"/>
  <c r="O984" i="1" a="1"/>
  <c r="O984" i="1" s="1"/>
  <c r="O985" i="1" a="1"/>
  <c r="O985" i="1" s="1"/>
  <c r="O986" i="1" a="1"/>
  <c r="O986" i="1" s="1"/>
  <c r="O987" i="1" a="1"/>
  <c r="O987" i="1" s="1"/>
  <c r="O988" i="1" a="1"/>
  <c r="O988" i="1" s="1"/>
  <c r="O989" i="1" a="1"/>
  <c r="O989" i="1" s="1"/>
  <c r="O990" i="1" a="1"/>
  <c r="O990" i="1" s="1"/>
  <c r="O991" i="1" a="1"/>
  <c r="O991" i="1" s="1"/>
  <c r="O992" i="1" a="1"/>
  <c r="O992" i="1" s="1"/>
  <c r="O993" i="1" a="1"/>
  <c r="O993" i="1" s="1"/>
  <c r="O994" i="1" a="1"/>
  <c r="O994" i="1" s="1"/>
  <c r="O995" i="1" a="1"/>
  <c r="O995" i="1" s="1"/>
  <c r="O996" i="1" a="1"/>
  <c r="O996" i="1" s="1"/>
  <c r="O997" i="1" a="1"/>
  <c r="O997" i="1" s="1"/>
  <c r="O998" i="1" a="1"/>
  <c r="O998" i="1" s="1"/>
  <c r="O999" i="1" a="1"/>
  <c r="O999" i="1" s="1"/>
  <c r="O1000" i="1" a="1"/>
  <c r="O1000" i="1" s="1"/>
  <c r="O1001" i="1" a="1"/>
  <c r="O1001" i="1" s="1"/>
  <c r="O1002" i="1" a="1"/>
  <c r="O1002" i="1" s="1"/>
  <c r="O1003" i="1" a="1"/>
  <c r="O1003" i="1" s="1"/>
  <c r="O1004" i="1" a="1"/>
  <c r="O1004" i="1" s="1"/>
  <c r="O1005" i="1" a="1"/>
  <c r="O1005" i="1" s="1"/>
  <c r="O1006" i="1" a="1"/>
  <c r="O1006" i="1" s="1"/>
  <c r="O1007" i="1" a="1"/>
  <c r="O1007" i="1" s="1"/>
  <c r="O1008" i="1" a="1"/>
  <c r="O1008" i="1" s="1"/>
  <c r="O1009" i="1" a="1"/>
  <c r="O1009" i="1" s="1"/>
  <c r="O1010" i="1" a="1"/>
  <c r="O1010" i="1" s="1"/>
  <c r="O1011" i="1" a="1"/>
  <c r="O1011" i="1" s="1"/>
  <c r="O1012" i="1" a="1"/>
  <c r="O1012" i="1" s="1"/>
  <c r="O1013" i="1" a="1"/>
  <c r="O1013" i="1" s="1"/>
  <c r="O1014" i="1" a="1"/>
  <c r="O1014" i="1" s="1"/>
  <c r="O1015" i="1" a="1"/>
  <c r="O1015" i="1" s="1"/>
  <c r="O1016" i="1" a="1"/>
  <c r="O1016" i="1" s="1"/>
  <c r="O1017" i="1" a="1"/>
  <c r="O1017" i="1" s="1"/>
  <c r="O1018" i="1" a="1"/>
  <c r="O1018" i="1" s="1"/>
  <c r="O1019" i="1" a="1"/>
  <c r="O1019" i="1" s="1"/>
  <c r="O1020" i="1" a="1"/>
  <c r="O1020" i="1" s="1"/>
  <c r="O1021" i="1" a="1"/>
  <c r="O1021" i="1" s="1"/>
  <c r="O1022" i="1" a="1"/>
  <c r="O1022" i="1" s="1"/>
  <c r="O1023" i="1" a="1"/>
  <c r="O1023" i="1" s="1"/>
  <c r="O1024" i="1" a="1"/>
  <c r="O1024" i="1" s="1"/>
  <c r="O1025" i="1" a="1"/>
  <c r="O1025" i="1" s="1"/>
  <c r="O1026" i="1" a="1"/>
  <c r="O1026" i="1" s="1"/>
  <c r="O1027" i="1" a="1"/>
  <c r="O1027" i="1" s="1"/>
  <c r="O1028" i="1" a="1"/>
  <c r="O1028" i="1" s="1"/>
  <c r="O1029" i="1" a="1"/>
  <c r="O1029" i="1" s="1"/>
  <c r="O1030" i="1" a="1"/>
  <c r="O1030" i="1" s="1"/>
  <c r="O1031" i="1" a="1"/>
  <c r="O1031" i="1" s="1"/>
  <c r="O1032" i="1" a="1"/>
  <c r="O1032" i="1" s="1"/>
  <c r="O1033" i="1" a="1"/>
  <c r="O1033" i="1" s="1"/>
  <c r="O1034" i="1" a="1"/>
  <c r="O1034" i="1" s="1"/>
  <c r="O1035" i="1" a="1"/>
  <c r="O1035" i="1" s="1"/>
  <c r="O1036" i="1" a="1"/>
  <c r="O1036" i="1" s="1"/>
  <c r="O1037" i="1" a="1"/>
  <c r="O1037" i="1" s="1"/>
  <c r="O1038" i="1" a="1"/>
  <c r="O1038" i="1" s="1"/>
  <c r="O1039" i="1" a="1"/>
  <c r="O1039" i="1" s="1"/>
  <c r="O1040" i="1" a="1"/>
  <c r="O1040" i="1" s="1"/>
  <c r="O1041" i="1" a="1"/>
  <c r="O1041" i="1" s="1"/>
  <c r="O1042" i="1" a="1"/>
  <c r="O1042" i="1" s="1"/>
  <c r="O1043" i="1" a="1"/>
  <c r="O1043" i="1" s="1"/>
  <c r="O1044" i="1" a="1"/>
  <c r="O1044" i="1" s="1"/>
  <c r="O1045" i="1" a="1"/>
  <c r="O1045" i="1" s="1"/>
  <c r="O1046" i="1" a="1"/>
  <c r="O1046" i="1" s="1"/>
  <c r="O1047" i="1" a="1"/>
  <c r="O1047" i="1" s="1"/>
  <c r="O1048" i="1" a="1"/>
  <c r="O1048" i="1" s="1"/>
  <c r="O1049" i="1" a="1"/>
  <c r="O1049" i="1" s="1"/>
  <c r="O1050" i="1" a="1"/>
  <c r="O1050" i="1" s="1"/>
  <c r="O1051" i="1" a="1"/>
  <c r="O1051" i="1" s="1"/>
  <c r="O1052" i="1" a="1"/>
  <c r="O1052" i="1" s="1"/>
  <c r="O1053" i="1" a="1"/>
  <c r="O1053" i="1" s="1"/>
  <c r="O1054" i="1" a="1"/>
  <c r="O1054" i="1" s="1"/>
  <c r="O1055" i="1" a="1"/>
  <c r="O1055" i="1" s="1"/>
  <c r="O1056" i="1" a="1"/>
  <c r="O1056" i="1" s="1"/>
  <c r="O1057" i="1" a="1"/>
  <c r="O1057" i="1" s="1"/>
  <c r="O1058" i="1" a="1"/>
  <c r="O1058" i="1" s="1"/>
  <c r="O1059" i="1" a="1"/>
  <c r="O1059" i="1" s="1"/>
  <c r="O1060" i="1" a="1"/>
  <c r="O1060" i="1" s="1"/>
  <c r="O1061" i="1" a="1"/>
  <c r="O1061" i="1" s="1"/>
  <c r="O1062" i="1" a="1"/>
  <c r="O1062" i="1" s="1"/>
  <c r="O1063" i="1" a="1"/>
  <c r="O1063" i="1" s="1"/>
  <c r="O1064" i="1" a="1"/>
  <c r="O1064" i="1" s="1"/>
  <c r="O1065" i="1" a="1"/>
  <c r="O1065" i="1" s="1"/>
  <c r="O1066" i="1" a="1"/>
  <c r="O1066" i="1" s="1"/>
  <c r="O1067" i="1" a="1"/>
  <c r="O1067" i="1" s="1"/>
  <c r="O1068" i="1" a="1"/>
  <c r="O1068" i="1" s="1"/>
  <c r="O1069" i="1" a="1"/>
  <c r="O1069" i="1" s="1"/>
  <c r="O1070" i="1" a="1"/>
  <c r="O1070" i="1" s="1"/>
  <c r="O1071" i="1" a="1"/>
  <c r="O1071" i="1" s="1"/>
  <c r="O1072" i="1" a="1"/>
  <c r="O1072" i="1" s="1"/>
  <c r="O1073" i="1" a="1"/>
  <c r="O1073" i="1" s="1"/>
  <c r="O1074" i="1" a="1"/>
  <c r="O1074" i="1" s="1"/>
  <c r="O1075" i="1" a="1"/>
  <c r="O1075" i="1" s="1"/>
  <c r="O1076" i="1" a="1"/>
  <c r="O1076" i="1" s="1"/>
  <c r="O1077" i="1" a="1"/>
  <c r="O1077" i="1" s="1"/>
  <c r="O1078" i="1" a="1"/>
  <c r="O1078" i="1" s="1"/>
  <c r="O1079" i="1" a="1"/>
  <c r="O1079" i="1" s="1"/>
  <c r="O1080" i="1" a="1"/>
  <c r="O1080" i="1" s="1"/>
  <c r="O1081" i="1" a="1"/>
  <c r="O1081" i="1" s="1"/>
  <c r="O1082" i="1" a="1"/>
  <c r="O1082" i="1" s="1"/>
  <c r="O1083" i="1" a="1"/>
  <c r="O1083" i="1" s="1"/>
  <c r="O1084" i="1" a="1"/>
  <c r="O1084" i="1" s="1"/>
  <c r="O1085" i="1" a="1"/>
  <c r="O1085" i="1" s="1"/>
  <c r="O1086" i="1" a="1"/>
  <c r="O1086" i="1" s="1"/>
  <c r="O1087" i="1" a="1"/>
  <c r="O1087" i="1" s="1"/>
  <c r="O1088" i="1" a="1"/>
  <c r="O1088" i="1" s="1"/>
  <c r="O1089" i="1" a="1"/>
  <c r="O1089" i="1" s="1"/>
  <c r="O1090" i="1" a="1"/>
  <c r="O1090" i="1" s="1"/>
  <c r="O1091" i="1" a="1"/>
  <c r="O1091" i="1" s="1"/>
  <c r="O1092" i="1" a="1"/>
  <c r="O1092" i="1" s="1"/>
  <c r="O1093" i="1" a="1"/>
  <c r="O1093" i="1" s="1"/>
  <c r="O1094" i="1" a="1"/>
  <c r="O1094" i="1" s="1"/>
  <c r="O1095" i="1" a="1"/>
  <c r="O1095" i="1" s="1"/>
  <c r="O1096" i="1" a="1"/>
  <c r="O1096" i="1" s="1"/>
  <c r="O1097" i="1" a="1"/>
  <c r="O1097" i="1" s="1"/>
  <c r="O1098" i="1" a="1"/>
  <c r="O1098" i="1" s="1"/>
  <c r="O1099" i="1" a="1"/>
  <c r="O1099" i="1" s="1"/>
  <c r="O1100" i="1" a="1"/>
  <c r="O1100" i="1" s="1"/>
  <c r="O1101" i="1" a="1"/>
  <c r="O1101" i="1" s="1"/>
  <c r="O1102" i="1" a="1"/>
  <c r="O1102" i="1" s="1"/>
  <c r="O1103" i="1" a="1"/>
  <c r="O1103" i="1" s="1"/>
  <c r="O1104" i="1" a="1"/>
  <c r="O1104" i="1" s="1"/>
  <c r="O1105" i="1" a="1"/>
  <c r="O1105" i="1" s="1"/>
  <c r="O1106" i="1" a="1"/>
  <c r="O1106" i="1" s="1"/>
  <c r="O1107" i="1" a="1"/>
  <c r="O1107" i="1" s="1"/>
  <c r="O1108" i="1" a="1"/>
  <c r="O1108" i="1" s="1"/>
  <c r="O1109" i="1" a="1"/>
  <c r="O1109" i="1" s="1"/>
  <c r="O1110" i="1" a="1"/>
  <c r="O1110" i="1" s="1"/>
  <c r="O1111" i="1" a="1"/>
  <c r="O1111" i="1" s="1"/>
  <c r="O1112" i="1" a="1"/>
  <c r="O1112" i="1" s="1"/>
  <c r="O1113" i="1" a="1"/>
  <c r="O1113" i="1" s="1"/>
  <c r="O1114" i="1" a="1"/>
  <c r="O1114" i="1" s="1"/>
  <c r="O1115" i="1" a="1"/>
  <c r="O1115" i="1" s="1"/>
  <c r="O1116" i="1" a="1"/>
  <c r="O1116" i="1" s="1"/>
  <c r="O1117" i="1" a="1"/>
  <c r="O1117" i="1" s="1"/>
  <c r="O1118" i="1" a="1"/>
  <c r="O1118" i="1" s="1"/>
  <c r="O1119" i="1" a="1"/>
  <c r="O1119" i="1" s="1"/>
  <c r="O1120" i="1" a="1"/>
  <c r="O1120" i="1" s="1"/>
  <c r="O1121" i="1" a="1"/>
  <c r="O1121" i="1" s="1"/>
  <c r="O1122" i="1" a="1"/>
  <c r="O1122" i="1" s="1"/>
  <c r="O1123" i="1" a="1"/>
  <c r="O1123" i="1" s="1"/>
  <c r="O1124" i="1" a="1"/>
  <c r="O1124" i="1" s="1"/>
  <c r="O1125" i="1" a="1"/>
  <c r="O1125" i="1" s="1"/>
  <c r="O1126" i="1" a="1"/>
  <c r="O1126" i="1" s="1"/>
  <c r="O1127" i="1" a="1"/>
  <c r="O1127" i="1" s="1"/>
  <c r="O1128" i="1" a="1"/>
  <c r="O1128" i="1" s="1"/>
  <c r="O1129" i="1" a="1"/>
  <c r="O1129" i="1" s="1"/>
  <c r="O1130" i="1" a="1"/>
  <c r="O1130" i="1" s="1"/>
  <c r="O1131" i="1" a="1"/>
  <c r="O1131" i="1" s="1"/>
  <c r="O1132" i="1" a="1"/>
  <c r="O1132" i="1" s="1"/>
  <c r="O1133" i="1" a="1"/>
  <c r="O1133" i="1" s="1"/>
  <c r="O1134" i="1" a="1"/>
  <c r="O1134" i="1" s="1"/>
  <c r="O1135" i="1" a="1"/>
  <c r="O1135" i="1" s="1"/>
  <c r="O1136" i="1" a="1"/>
  <c r="O1136" i="1" s="1"/>
  <c r="O1137" i="1" a="1"/>
  <c r="O1137" i="1" s="1"/>
  <c r="O1138" i="1" a="1"/>
  <c r="O1138" i="1" s="1"/>
  <c r="O1139" i="1" a="1"/>
  <c r="O1139" i="1" s="1"/>
  <c r="O1140" i="1" a="1"/>
  <c r="O1140" i="1" s="1"/>
  <c r="O1141" i="1" a="1"/>
  <c r="O1141" i="1" s="1"/>
  <c r="O1142" i="1" a="1"/>
  <c r="O1142" i="1" s="1"/>
  <c r="O1143" i="1" a="1"/>
  <c r="O1143" i="1" s="1"/>
  <c r="O1144" i="1" a="1"/>
  <c r="O1144" i="1" s="1"/>
  <c r="O1145" i="1" a="1"/>
  <c r="O1145" i="1" s="1"/>
  <c r="O1146" i="1" a="1"/>
  <c r="O1146" i="1" s="1"/>
  <c r="O1147" i="1" a="1"/>
  <c r="O1147" i="1" s="1"/>
  <c r="O1148" i="1" a="1"/>
  <c r="O1148" i="1" s="1"/>
  <c r="O1149" i="1" a="1"/>
  <c r="O1149" i="1" s="1"/>
  <c r="O1150" i="1" a="1"/>
  <c r="O1150" i="1" s="1"/>
  <c r="O1151" i="1" a="1"/>
  <c r="O1151" i="1" s="1"/>
  <c r="O1152" i="1" a="1"/>
  <c r="O1152" i="1" s="1"/>
  <c r="O1153" i="1" a="1"/>
  <c r="O1153" i="1" s="1"/>
  <c r="O1154" i="1" a="1"/>
  <c r="O1154" i="1" s="1"/>
  <c r="O1155" i="1" a="1"/>
  <c r="O1155" i="1" s="1"/>
  <c r="O1156" i="1" a="1"/>
  <c r="O1156" i="1" s="1"/>
  <c r="O1157" i="1" a="1"/>
  <c r="O1157" i="1" s="1"/>
  <c r="O1158" i="1" a="1"/>
  <c r="O1158" i="1" s="1"/>
  <c r="O1159" i="1" a="1"/>
  <c r="O1159" i="1" s="1"/>
  <c r="O1160" i="1" a="1"/>
  <c r="O1160" i="1" s="1"/>
  <c r="O1161" i="1" a="1"/>
  <c r="O1161" i="1" s="1"/>
  <c r="O1162" i="1" a="1"/>
  <c r="O1162" i="1" s="1"/>
  <c r="O1163" i="1" a="1"/>
  <c r="O1163" i="1" s="1"/>
  <c r="O1164" i="1" a="1"/>
  <c r="O1164" i="1" s="1"/>
  <c r="O1165" i="1" a="1"/>
  <c r="O1165" i="1" s="1"/>
  <c r="O1166" i="1" a="1"/>
  <c r="O1166" i="1" s="1"/>
  <c r="O1167" i="1" a="1"/>
  <c r="O1167" i="1" s="1"/>
  <c r="O1168" i="1" a="1"/>
  <c r="O1168" i="1" s="1"/>
  <c r="O1169" i="1" a="1"/>
  <c r="O1169" i="1" s="1"/>
  <c r="O1170" i="1" a="1"/>
  <c r="O1170" i="1" s="1"/>
  <c r="O1171" i="1" a="1"/>
  <c r="O1171" i="1" s="1"/>
  <c r="O1172" i="1" a="1"/>
  <c r="O1172" i="1" s="1"/>
  <c r="O1173" i="1" a="1"/>
  <c r="O1173" i="1" s="1"/>
  <c r="O1174" i="1" a="1"/>
  <c r="O1174" i="1" s="1"/>
  <c r="O1175" i="1" a="1"/>
  <c r="O1175" i="1" s="1"/>
  <c r="O1176" i="1" a="1"/>
  <c r="O1176" i="1" s="1"/>
  <c r="O1177" i="1" a="1"/>
  <c r="O1177" i="1" s="1"/>
  <c r="O1178" i="1" a="1"/>
  <c r="O1178" i="1" s="1"/>
  <c r="O1179" i="1" a="1"/>
  <c r="O1179" i="1" s="1"/>
  <c r="O1180" i="1" a="1"/>
  <c r="O1180" i="1" s="1"/>
  <c r="O1181" i="1" a="1"/>
  <c r="O1181" i="1" s="1"/>
  <c r="O1182" i="1" a="1"/>
  <c r="O1182" i="1" s="1"/>
  <c r="O1183" i="1" a="1"/>
  <c r="O1183" i="1" s="1"/>
  <c r="O1184" i="1" a="1"/>
  <c r="O1184" i="1" s="1"/>
  <c r="O1185" i="1" a="1"/>
  <c r="O1185" i="1" s="1"/>
  <c r="O1186" i="1" a="1"/>
  <c r="O1186" i="1" s="1"/>
  <c r="O1187" i="1" a="1"/>
  <c r="O1187" i="1" s="1"/>
  <c r="O1188" i="1" a="1"/>
  <c r="O1188" i="1" s="1"/>
  <c r="O1189" i="1" a="1"/>
  <c r="O1189" i="1" s="1"/>
  <c r="O1190" i="1" a="1"/>
  <c r="O1190" i="1" s="1"/>
  <c r="O1191" i="1" a="1"/>
  <c r="O1191" i="1" s="1"/>
  <c r="O1192" i="1" a="1"/>
  <c r="O1192" i="1" s="1"/>
  <c r="O1193" i="1" a="1"/>
  <c r="O1193" i="1" s="1"/>
  <c r="O1194" i="1" a="1"/>
  <c r="O1194" i="1" s="1"/>
  <c r="O1195" i="1" a="1"/>
  <c r="O1195" i="1" s="1"/>
  <c r="O1196" i="1" a="1"/>
  <c r="O1196" i="1" s="1"/>
  <c r="O1197" i="1" a="1"/>
  <c r="O1197" i="1" s="1"/>
  <c r="O1198" i="1" a="1"/>
  <c r="O1198" i="1" s="1"/>
  <c r="O1199" i="1" a="1"/>
  <c r="O1199" i="1" s="1"/>
  <c r="O1200" i="1" a="1"/>
  <c r="O1200" i="1" s="1"/>
  <c r="O1201" i="1" a="1"/>
  <c r="O1201" i="1" s="1"/>
  <c r="O1202" i="1" a="1"/>
  <c r="O1202" i="1" s="1"/>
  <c r="O1203" i="1" a="1"/>
  <c r="O1203" i="1" s="1"/>
  <c r="O1204" i="1" a="1"/>
  <c r="O1204" i="1" s="1"/>
  <c r="O1205" i="1" a="1"/>
  <c r="O1205" i="1" s="1"/>
  <c r="O1206" i="1" a="1"/>
  <c r="O1206" i="1" s="1"/>
  <c r="O1207" i="1" a="1"/>
  <c r="O1207" i="1" s="1"/>
  <c r="O1208" i="1" a="1"/>
  <c r="O1208" i="1" s="1"/>
  <c r="O1209" i="1" a="1"/>
  <c r="O1209" i="1" s="1"/>
  <c r="O1210" i="1" a="1"/>
  <c r="O1210" i="1" s="1"/>
  <c r="O1211" i="1" a="1"/>
  <c r="O1211" i="1" s="1"/>
  <c r="O1212" i="1" a="1"/>
  <c r="O1212" i="1" s="1"/>
  <c r="O1213" i="1" a="1"/>
  <c r="O1213" i="1" s="1"/>
  <c r="O1214" i="1" a="1"/>
  <c r="O1214" i="1" s="1"/>
  <c r="O1215" i="1" a="1"/>
  <c r="O1215" i="1" s="1"/>
  <c r="O1216" i="1" a="1"/>
  <c r="O1216" i="1" s="1"/>
  <c r="O1217" i="1" a="1"/>
  <c r="O1217" i="1" s="1"/>
  <c r="O1218" i="1" a="1"/>
  <c r="O1218" i="1" s="1"/>
  <c r="O1219" i="1" a="1"/>
  <c r="O1219" i="1" s="1"/>
  <c r="O1220" i="1" a="1"/>
  <c r="O1220" i="1" s="1"/>
  <c r="O1221" i="1" a="1"/>
  <c r="O1221" i="1" s="1"/>
  <c r="O1222" i="1" a="1"/>
  <c r="O1222" i="1" s="1"/>
  <c r="O1223" i="1" a="1"/>
  <c r="O1223" i="1" s="1"/>
  <c r="O1224" i="1" a="1"/>
  <c r="O1224" i="1" s="1"/>
  <c r="O1225" i="1" a="1"/>
  <c r="O1225" i="1" s="1"/>
  <c r="O1226" i="1" a="1"/>
  <c r="O1226" i="1" s="1"/>
  <c r="O1227" i="1" a="1"/>
  <c r="O1227" i="1" s="1"/>
  <c r="O1228" i="1" a="1"/>
  <c r="O1228" i="1" s="1"/>
  <c r="O1229" i="1" a="1"/>
  <c r="O1229" i="1" s="1"/>
  <c r="O1230" i="1" a="1"/>
  <c r="O1230" i="1" s="1"/>
  <c r="O1231" i="1" a="1"/>
  <c r="O1231" i="1" s="1"/>
  <c r="O1232" i="1" a="1"/>
  <c r="O1232" i="1" s="1"/>
  <c r="O1233" i="1" a="1"/>
  <c r="O1233" i="1" s="1"/>
  <c r="O1234" i="1" a="1"/>
  <c r="O1234" i="1" s="1"/>
  <c r="O1235" i="1" a="1"/>
  <c r="O1235" i="1" s="1"/>
  <c r="O1236" i="1" a="1"/>
  <c r="O1236" i="1" s="1"/>
  <c r="O1237" i="1" a="1"/>
  <c r="O1237" i="1" s="1"/>
  <c r="O1238" i="1" a="1"/>
  <c r="O1238" i="1" s="1"/>
  <c r="O1239" i="1" a="1"/>
  <c r="O1239" i="1" s="1"/>
  <c r="O1240" i="1" a="1"/>
  <c r="O1240" i="1" s="1"/>
  <c r="O1241" i="1" a="1"/>
  <c r="O1241" i="1" s="1"/>
  <c r="O1242" i="1" a="1"/>
  <c r="O1242" i="1" s="1"/>
  <c r="O1243" i="1" a="1"/>
  <c r="O1243" i="1" s="1"/>
  <c r="O1244" i="1" a="1"/>
  <c r="O1244" i="1" s="1"/>
  <c r="O1245" i="1" a="1"/>
  <c r="O1245" i="1" s="1"/>
  <c r="O1246" i="1" a="1"/>
  <c r="O1246" i="1" s="1"/>
  <c r="O1247" i="1" a="1"/>
  <c r="O1247" i="1" s="1"/>
  <c r="O1248" i="1" a="1"/>
  <c r="O1248" i="1" s="1"/>
  <c r="O1249" i="1" a="1"/>
  <c r="O1249" i="1" s="1"/>
  <c r="O1250" i="1" a="1"/>
  <c r="O1250" i="1" s="1"/>
  <c r="O1251" i="1" a="1"/>
  <c r="O1251" i="1" s="1"/>
  <c r="O1252" i="1" a="1"/>
  <c r="O1252" i="1" s="1"/>
  <c r="O1253" i="1" a="1"/>
  <c r="O1253" i="1" s="1"/>
  <c r="O1254" i="1" a="1"/>
  <c r="O1254" i="1" s="1"/>
  <c r="O1255" i="1" a="1"/>
  <c r="O1255" i="1" s="1"/>
  <c r="O1256" i="1" a="1"/>
  <c r="O1256" i="1" s="1"/>
  <c r="O1257" i="1" a="1"/>
  <c r="O1257" i="1" s="1"/>
  <c r="O1258" i="1" a="1"/>
  <c r="O1258" i="1" s="1"/>
  <c r="O1259" i="1" a="1"/>
  <c r="O1259" i="1" s="1"/>
  <c r="O1260" i="1" a="1"/>
  <c r="O1260" i="1" s="1"/>
  <c r="O1261" i="1" a="1"/>
  <c r="O1261" i="1" s="1"/>
  <c r="O1262" i="1" a="1"/>
  <c r="O1262" i="1" s="1"/>
  <c r="O1263" i="1" a="1"/>
  <c r="O1263" i="1" s="1"/>
  <c r="O1264" i="1" a="1"/>
  <c r="O1264" i="1" s="1"/>
  <c r="O1265" i="1" a="1"/>
  <c r="O1265" i="1" s="1"/>
  <c r="O1266" i="1" a="1"/>
  <c r="O1266" i="1" s="1"/>
  <c r="O1267" i="1" a="1"/>
  <c r="O1267" i="1" s="1"/>
  <c r="O1268" i="1" a="1"/>
  <c r="O1268" i="1" s="1"/>
  <c r="O1269" i="1" a="1"/>
  <c r="O1269" i="1" s="1"/>
  <c r="O1270" i="1" a="1"/>
  <c r="O1270" i="1" s="1"/>
  <c r="O1271" i="1" a="1"/>
  <c r="O1271" i="1" s="1"/>
  <c r="O1272" i="1" a="1"/>
  <c r="O1272" i="1" s="1"/>
  <c r="O1273" i="1" a="1"/>
  <c r="O1273" i="1" s="1"/>
  <c r="O1274" i="1" a="1"/>
  <c r="O1274" i="1" s="1"/>
  <c r="O1275" i="1" a="1"/>
  <c r="O1275" i="1" s="1"/>
  <c r="O1276" i="1" a="1"/>
  <c r="O1276" i="1" s="1"/>
  <c r="O1277" i="1" a="1"/>
  <c r="O1277" i="1" s="1"/>
  <c r="O1278" i="1" a="1"/>
  <c r="O1278" i="1" s="1"/>
  <c r="O1279" i="1" a="1"/>
  <c r="O1279" i="1" s="1"/>
  <c r="O1280" i="1" a="1"/>
  <c r="O1280" i="1" s="1"/>
  <c r="O1281" i="1" a="1"/>
  <c r="O1281" i="1" s="1"/>
  <c r="O1282" i="1" a="1"/>
  <c r="O1282" i="1" s="1"/>
  <c r="O1283" i="1" a="1"/>
  <c r="O1283" i="1" s="1"/>
  <c r="O1284" i="1" a="1"/>
  <c r="O1284" i="1" s="1"/>
  <c r="O1285" i="1" a="1"/>
  <c r="O1285" i="1" s="1"/>
  <c r="O1286" i="1" a="1"/>
  <c r="O1286" i="1" s="1"/>
  <c r="O1287" i="1" a="1"/>
  <c r="O1287" i="1" s="1"/>
  <c r="O1288" i="1" a="1"/>
  <c r="O1288" i="1" s="1"/>
  <c r="O1289" i="1" a="1"/>
  <c r="O1289" i="1" s="1"/>
  <c r="O1290" i="1" a="1"/>
  <c r="O1290" i="1" s="1"/>
  <c r="O1291" i="1" a="1"/>
  <c r="O1291" i="1" s="1"/>
  <c r="O1292" i="1" a="1"/>
  <c r="O1292" i="1" s="1"/>
  <c r="O1293" i="1" a="1"/>
  <c r="O1293" i="1" s="1"/>
  <c r="O1294" i="1" a="1"/>
  <c r="O1294" i="1" s="1"/>
  <c r="O1295" i="1" a="1"/>
  <c r="O1295" i="1" s="1"/>
  <c r="O1296" i="1" a="1"/>
  <c r="O1296" i="1" s="1"/>
  <c r="O1297" i="1" a="1"/>
  <c r="O1297" i="1" s="1"/>
  <c r="O1298" i="1" a="1"/>
  <c r="O1298" i="1" s="1"/>
  <c r="O1299" i="1" a="1"/>
  <c r="O1299" i="1" s="1"/>
  <c r="O1300" i="1" a="1"/>
  <c r="O1300" i="1" s="1"/>
  <c r="O1301" i="1" a="1"/>
  <c r="O1301" i="1" s="1"/>
  <c r="O1302" i="1" a="1"/>
  <c r="O1302" i="1" s="1"/>
  <c r="O1303" i="1" a="1"/>
  <c r="O1303" i="1" s="1"/>
  <c r="O1304" i="1" a="1"/>
  <c r="O1304" i="1" s="1"/>
  <c r="O1305" i="1" a="1"/>
  <c r="O1305" i="1" s="1"/>
  <c r="O1306" i="1" a="1"/>
  <c r="O1306" i="1" s="1"/>
  <c r="O1307" i="1" a="1"/>
  <c r="O1307" i="1" s="1"/>
  <c r="O1308" i="1" a="1"/>
  <c r="O1308" i="1" s="1"/>
  <c r="O1309" i="1" a="1"/>
  <c r="O1309" i="1" s="1"/>
  <c r="O1310" i="1" a="1"/>
  <c r="O1310" i="1" s="1"/>
  <c r="O1311" i="1" a="1"/>
  <c r="O1311" i="1" s="1"/>
  <c r="O1312" i="1" a="1"/>
  <c r="O1312" i="1" s="1"/>
  <c r="O1313" i="1" a="1"/>
  <c r="O1313" i="1" s="1"/>
  <c r="O1314" i="1" a="1"/>
  <c r="O1314" i="1" s="1"/>
  <c r="O1315" i="1" a="1"/>
  <c r="O1315" i="1" s="1"/>
  <c r="O1316" i="1" a="1"/>
  <c r="O1316" i="1" s="1"/>
  <c r="O1317" i="1" a="1"/>
  <c r="O1317" i="1" s="1"/>
  <c r="O1318" i="1" a="1"/>
  <c r="O1318" i="1" s="1"/>
  <c r="O1319" i="1" a="1"/>
  <c r="O1319" i="1" s="1"/>
  <c r="O1320" i="1" a="1"/>
  <c r="O1320" i="1" s="1"/>
  <c r="O1321" i="1" a="1"/>
  <c r="O1321" i="1" s="1"/>
  <c r="O1322" i="1" a="1"/>
  <c r="O1322" i="1" s="1"/>
  <c r="O1323" i="1" a="1"/>
  <c r="O1323" i="1" s="1"/>
  <c r="O1324" i="1" a="1"/>
  <c r="O1324" i="1" s="1"/>
  <c r="O1325" i="1" a="1"/>
  <c r="O1325" i="1" s="1"/>
  <c r="O1326" i="1" a="1"/>
  <c r="O1326" i="1" s="1"/>
  <c r="O1327" i="1" a="1"/>
  <c r="O1327" i="1" s="1"/>
  <c r="O1328" i="1" a="1"/>
  <c r="O1328" i="1" s="1"/>
  <c r="O1329" i="1" a="1"/>
  <c r="O1329" i="1" s="1"/>
  <c r="O1330" i="1" a="1"/>
  <c r="O1330" i="1" s="1"/>
  <c r="O1331" i="1" a="1"/>
  <c r="O1331" i="1" s="1"/>
  <c r="O1332" i="1" a="1"/>
  <c r="O1332" i="1" s="1"/>
  <c r="O1333" i="1" a="1"/>
  <c r="O1333" i="1" s="1"/>
  <c r="O1334" i="1" a="1"/>
  <c r="O1334" i="1" s="1"/>
  <c r="O1335" i="1" a="1"/>
  <c r="O1335" i="1" s="1"/>
  <c r="O1336" i="1" a="1"/>
  <c r="O1336" i="1" s="1"/>
  <c r="O1337" i="1" a="1"/>
  <c r="O1337" i="1" s="1"/>
  <c r="O1338" i="1" a="1"/>
  <c r="O1338" i="1" s="1"/>
  <c r="O1339" i="1" a="1"/>
  <c r="O1339" i="1" s="1"/>
  <c r="O1340" i="1" a="1"/>
  <c r="O1340" i="1" s="1"/>
  <c r="O1341" i="1" a="1"/>
  <c r="O1341" i="1" s="1"/>
  <c r="O1342" i="1" a="1"/>
  <c r="O1342" i="1" s="1"/>
  <c r="O1343" i="1" a="1"/>
  <c r="O1343" i="1" s="1"/>
  <c r="O1344" i="1" a="1"/>
  <c r="O1344" i="1" s="1"/>
  <c r="O1345" i="1" a="1"/>
  <c r="O1345" i="1" s="1"/>
  <c r="O1346" i="1" a="1"/>
  <c r="O1346" i="1" s="1"/>
  <c r="O1347" i="1" a="1"/>
  <c r="O1347" i="1" s="1"/>
  <c r="O1348" i="1" a="1"/>
  <c r="O1348" i="1" s="1"/>
  <c r="O1349" i="1" a="1"/>
  <c r="O1349" i="1" s="1"/>
  <c r="O1350" i="1" a="1"/>
  <c r="O1350" i="1" s="1"/>
  <c r="O1351" i="1" a="1"/>
  <c r="O1351" i="1" s="1"/>
  <c r="O1352" i="1" a="1"/>
  <c r="O1352" i="1" s="1"/>
  <c r="O1353" i="1" a="1"/>
  <c r="O1353" i="1" s="1"/>
  <c r="O1354" i="1" a="1"/>
  <c r="O1354" i="1" s="1"/>
  <c r="O1355" i="1" a="1"/>
  <c r="O1355" i="1" s="1"/>
  <c r="O1356" i="1" a="1"/>
  <c r="O1356" i="1" s="1"/>
  <c r="O1357" i="1" a="1"/>
  <c r="O1357" i="1" s="1"/>
  <c r="O1358" i="1" a="1"/>
  <c r="O1358" i="1" s="1"/>
  <c r="O1359" i="1" a="1"/>
  <c r="O1359" i="1" s="1"/>
  <c r="O1360" i="1" a="1"/>
  <c r="O1360" i="1" s="1"/>
  <c r="O1361" i="1" a="1"/>
  <c r="O1361" i="1" s="1"/>
  <c r="O1362" i="1" a="1"/>
  <c r="O1362" i="1" s="1"/>
  <c r="O1363" i="1" a="1"/>
  <c r="O1363" i="1" s="1"/>
  <c r="O1364" i="1" a="1"/>
  <c r="O1364" i="1" s="1"/>
  <c r="O1365" i="1" a="1"/>
  <c r="O1365" i="1" s="1"/>
  <c r="O1366" i="1" a="1"/>
  <c r="O1366" i="1" s="1"/>
  <c r="O1367" i="1" a="1"/>
  <c r="O1367" i="1" s="1"/>
  <c r="O1368" i="1" a="1"/>
  <c r="O1368" i="1" s="1"/>
  <c r="O1369" i="1" a="1"/>
  <c r="O1369" i="1" s="1"/>
  <c r="O1370" i="1" a="1"/>
  <c r="O1370" i="1" s="1"/>
  <c r="O1371" i="1" a="1"/>
  <c r="O1371" i="1" s="1"/>
  <c r="O1372" i="1" a="1"/>
  <c r="O1372" i="1" s="1"/>
  <c r="O1373" i="1" a="1"/>
  <c r="O1373" i="1" s="1"/>
  <c r="O1374" i="1" a="1"/>
  <c r="O1374" i="1" s="1"/>
  <c r="O1375" i="1" a="1"/>
  <c r="O1375" i="1" s="1"/>
  <c r="O1376" i="1" a="1"/>
  <c r="O1376" i="1" s="1"/>
  <c r="O1377" i="1" a="1"/>
  <c r="O1377" i="1" s="1"/>
  <c r="O1378" i="1" a="1"/>
  <c r="O1378" i="1" s="1"/>
  <c r="O1379" i="1" a="1"/>
  <c r="O1379" i="1" s="1"/>
  <c r="O1380" i="1" a="1"/>
  <c r="O1380" i="1" s="1"/>
  <c r="O1381" i="1" a="1"/>
  <c r="O1381" i="1" s="1"/>
  <c r="O1382" i="1" a="1"/>
  <c r="O1382" i="1" s="1"/>
  <c r="O1383" i="1" a="1"/>
  <c r="O1383" i="1" s="1"/>
  <c r="O1384" i="1" a="1"/>
  <c r="O1384" i="1" s="1"/>
  <c r="O1385" i="1" a="1"/>
  <c r="O1385" i="1" s="1"/>
  <c r="O1386" i="1" a="1"/>
  <c r="O1386" i="1" s="1"/>
  <c r="O1387" i="1" a="1"/>
  <c r="O1387" i="1" s="1"/>
  <c r="O1388" i="1" a="1"/>
  <c r="O1388" i="1" s="1"/>
  <c r="O1389" i="1" a="1"/>
  <c r="O1389" i="1" s="1"/>
  <c r="O1390" i="1" a="1"/>
  <c r="O1390" i="1" s="1"/>
  <c r="O1391" i="1" a="1"/>
  <c r="O1391" i="1" s="1"/>
  <c r="O1392" i="1" a="1"/>
  <c r="O1392" i="1" s="1"/>
  <c r="O1393" i="1" a="1"/>
  <c r="O1393" i="1" s="1"/>
  <c r="O1394" i="1" a="1"/>
  <c r="O1394" i="1" s="1"/>
  <c r="O1395" i="1" a="1"/>
  <c r="O1395" i="1" s="1"/>
  <c r="O1396" i="1" a="1"/>
  <c r="O1396" i="1" s="1"/>
  <c r="O1397" i="1" a="1"/>
  <c r="O1397" i="1" s="1"/>
  <c r="O1398" i="1" a="1"/>
  <c r="O1398" i="1" s="1"/>
  <c r="O1399" i="1" a="1"/>
  <c r="O1399" i="1" s="1"/>
  <c r="O1400" i="1" a="1"/>
  <c r="O1400" i="1" s="1"/>
  <c r="O1401" i="1" a="1"/>
  <c r="O1401" i="1" s="1"/>
  <c r="O1402" i="1" a="1"/>
  <c r="O1402" i="1" s="1"/>
  <c r="O1403" i="1" a="1"/>
  <c r="O1403" i="1" s="1"/>
  <c r="O1404" i="1" a="1"/>
  <c r="O1404" i="1" s="1"/>
  <c r="O1405" i="1" a="1"/>
  <c r="O1405" i="1" s="1"/>
  <c r="O1406" i="1" a="1"/>
  <c r="O1406" i="1" s="1"/>
  <c r="O1407" i="1" a="1"/>
  <c r="O1407" i="1" s="1"/>
  <c r="O1408" i="1" a="1"/>
  <c r="O1408" i="1" s="1"/>
  <c r="O1409" i="1" a="1"/>
  <c r="O1409" i="1" s="1"/>
  <c r="O1410" i="1" a="1"/>
  <c r="O1410" i="1" s="1"/>
  <c r="O1411" i="1" a="1"/>
  <c r="O1411" i="1" s="1"/>
  <c r="O1412" i="1" a="1"/>
  <c r="O1412" i="1" s="1"/>
  <c r="O1413" i="1" a="1"/>
  <c r="O1413" i="1" s="1"/>
  <c r="O1414" i="1" a="1"/>
  <c r="O1414" i="1" s="1"/>
  <c r="O1415" i="1" a="1"/>
  <c r="O1415" i="1" s="1"/>
  <c r="O1416" i="1" a="1"/>
  <c r="O1416" i="1" s="1"/>
  <c r="O1417" i="1" a="1"/>
  <c r="O1417" i="1" s="1"/>
  <c r="O1418" i="1" a="1"/>
  <c r="O1418" i="1" s="1"/>
  <c r="O1419" i="1" a="1"/>
  <c r="O1419" i="1" s="1"/>
  <c r="O1420" i="1" a="1"/>
  <c r="O1420" i="1" s="1"/>
  <c r="O1421" i="1" a="1"/>
  <c r="O1421" i="1" s="1"/>
  <c r="O1422" i="1" a="1"/>
  <c r="O1422" i="1" s="1"/>
  <c r="O1423" i="1" a="1"/>
  <c r="O1423" i="1" s="1"/>
  <c r="O1424" i="1" a="1"/>
  <c r="O1424" i="1" s="1"/>
  <c r="O1425" i="1" a="1"/>
  <c r="O1425" i="1" s="1"/>
  <c r="O1426" i="1" a="1"/>
  <c r="O1426" i="1" s="1"/>
  <c r="O1427" i="1" a="1"/>
  <c r="O1427" i="1" s="1"/>
  <c r="O1428" i="1" a="1"/>
  <c r="O1428" i="1" s="1"/>
  <c r="O1429" i="1" a="1"/>
  <c r="O1429" i="1" s="1"/>
  <c r="O1430" i="1" a="1"/>
  <c r="O1430" i="1" s="1"/>
  <c r="O1431" i="1" a="1"/>
  <c r="O1431" i="1" s="1"/>
  <c r="O1432" i="1" a="1"/>
  <c r="O1432" i="1" s="1"/>
  <c r="O1433" i="1" a="1"/>
  <c r="O1433" i="1" s="1"/>
  <c r="O1434" i="1" a="1"/>
  <c r="O1434" i="1" s="1"/>
  <c r="O1435" i="1" a="1"/>
  <c r="O1435" i="1" s="1"/>
  <c r="O1436" i="1" a="1"/>
  <c r="O1436" i="1" s="1"/>
  <c r="O1437" i="1" a="1"/>
  <c r="O1437" i="1" s="1"/>
  <c r="O1438" i="1" a="1"/>
  <c r="O1438" i="1" s="1"/>
  <c r="O1439" i="1" a="1"/>
  <c r="O1439" i="1" s="1"/>
  <c r="O1440" i="1" a="1"/>
  <c r="O1440" i="1" s="1"/>
  <c r="O1441" i="1" a="1"/>
  <c r="O1441" i="1" s="1"/>
  <c r="O1442" i="1" a="1"/>
  <c r="O1442" i="1" s="1"/>
  <c r="O1443" i="1" a="1"/>
  <c r="O1443" i="1" s="1"/>
  <c r="O1444" i="1" a="1"/>
  <c r="O1444" i="1" s="1"/>
  <c r="O1445" i="1" a="1"/>
  <c r="O1445" i="1" s="1"/>
  <c r="O1446" i="1" a="1"/>
  <c r="O1446" i="1" s="1"/>
  <c r="O1447" i="1" a="1"/>
  <c r="O1447" i="1" s="1"/>
  <c r="O1448" i="1" a="1"/>
  <c r="O1448" i="1" s="1"/>
  <c r="O1449" i="1" a="1"/>
  <c r="O1449" i="1" s="1"/>
  <c r="O1450" i="1" a="1"/>
  <c r="O1450" i="1" s="1"/>
  <c r="O1451" i="1" a="1"/>
  <c r="O1451" i="1" s="1"/>
  <c r="O1452" i="1" a="1"/>
  <c r="O1452" i="1" s="1"/>
  <c r="O1453" i="1" a="1"/>
  <c r="O1453" i="1" s="1"/>
  <c r="O1454" i="1" a="1"/>
  <c r="O1454" i="1" s="1"/>
  <c r="O1455" i="1" a="1"/>
  <c r="O1455" i="1" s="1"/>
  <c r="O1456" i="1" a="1"/>
  <c r="O1456" i="1" s="1"/>
  <c r="O1457" i="1" a="1"/>
  <c r="O1457" i="1" s="1"/>
  <c r="O1458" i="1" a="1"/>
  <c r="O1458" i="1" s="1"/>
  <c r="O1459" i="1" a="1"/>
  <c r="O1459" i="1" s="1"/>
  <c r="O1460" i="1" a="1"/>
  <c r="O1460" i="1" s="1"/>
  <c r="O1461" i="1" a="1"/>
  <c r="O1461" i="1" s="1"/>
  <c r="O1462" i="1" a="1"/>
  <c r="O1462" i="1" s="1"/>
  <c r="O1463" i="1" a="1"/>
  <c r="O1463" i="1" s="1"/>
  <c r="O1464" i="1" a="1"/>
  <c r="O1464" i="1" s="1"/>
  <c r="O1465" i="1" a="1"/>
  <c r="O1465" i="1" s="1"/>
  <c r="O1466" i="1" a="1"/>
  <c r="O1466" i="1" s="1"/>
  <c r="O1467" i="1" a="1"/>
  <c r="O1467" i="1" s="1"/>
  <c r="O1468" i="1" a="1"/>
  <c r="O1468" i="1" s="1"/>
  <c r="O1469" i="1" a="1"/>
  <c r="O1469" i="1" s="1"/>
  <c r="O1470" i="1" a="1"/>
  <c r="O1470" i="1" s="1"/>
  <c r="O1471" i="1" a="1"/>
  <c r="O1471" i="1" s="1"/>
  <c r="O1472" i="1" a="1"/>
  <c r="O1472" i="1" s="1"/>
  <c r="O1473" i="1" a="1"/>
  <c r="O1473" i="1" s="1"/>
  <c r="O1474" i="1" a="1"/>
  <c r="O1474" i="1" s="1"/>
  <c r="O1475" i="1" a="1"/>
  <c r="O1475" i="1" s="1"/>
  <c r="O1476" i="1" a="1"/>
  <c r="O1476" i="1" s="1"/>
  <c r="O1477" i="1" a="1"/>
  <c r="O1477" i="1" s="1"/>
  <c r="O1478" i="1" a="1"/>
  <c r="O1478" i="1" s="1"/>
  <c r="O1479" i="1" a="1"/>
  <c r="O1479" i="1" s="1"/>
  <c r="O1480" i="1" a="1"/>
  <c r="O1480" i="1" s="1"/>
  <c r="O1481" i="1" a="1"/>
  <c r="O1481" i="1" s="1"/>
  <c r="O1482" i="1" a="1"/>
  <c r="O1482" i="1" s="1"/>
  <c r="O1483" i="1" a="1"/>
  <c r="O1483" i="1" s="1"/>
  <c r="O1484" i="1" a="1"/>
  <c r="O1484" i="1" s="1"/>
  <c r="O1485" i="1" a="1"/>
  <c r="O1485" i="1" s="1"/>
  <c r="O1486" i="1" a="1"/>
  <c r="O1486" i="1" s="1"/>
  <c r="O1487" i="1" a="1"/>
  <c r="O1487" i="1" s="1"/>
  <c r="O1488" i="1" a="1"/>
  <c r="O1488" i="1" s="1"/>
  <c r="O1489" i="1" a="1"/>
  <c r="O1489" i="1" s="1"/>
  <c r="O1490" i="1" a="1"/>
  <c r="O1490" i="1" s="1"/>
  <c r="O1491" i="1" a="1"/>
  <c r="O1491" i="1" s="1"/>
  <c r="O1492" i="1" a="1"/>
  <c r="O1492" i="1" s="1"/>
  <c r="O1493" i="1" a="1"/>
  <c r="O1493" i="1" s="1"/>
  <c r="O1494" i="1" a="1"/>
  <c r="O1494" i="1" s="1"/>
  <c r="O1495" i="1" a="1"/>
  <c r="O1495" i="1" s="1"/>
  <c r="O1496" i="1" a="1"/>
  <c r="O1496" i="1" s="1"/>
  <c r="O1497" i="1" a="1"/>
  <c r="O1497" i="1" s="1"/>
  <c r="O1498" i="1" a="1"/>
  <c r="O1498" i="1" s="1"/>
  <c r="O1499" i="1" a="1"/>
  <c r="O1499" i="1" s="1"/>
  <c r="O1500" i="1" a="1"/>
  <c r="O1500" i="1" s="1"/>
  <c r="O1501" i="1" a="1"/>
  <c r="O1501" i="1" s="1"/>
  <c r="O1502" i="1" a="1"/>
  <c r="O1502" i="1" s="1"/>
  <c r="O1503" i="1" a="1"/>
  <c r="O1503" i="1" s="1"/>
  <c r="O1504" i="1" a="1"/>
  <c r="O1504" i="1" s="1"/>
  <c r="O1505" i="1" a="1"/>
  <c r="O1505" i="1" s="1"/>
  <c r="O1506" i="1" a="1"/>
  <c r="O1506" i="1" s="1"/>
  <c r="O1507" i="1" a="1"/>
  <c r="O1507" i="1" s="1"/>
  <c r="O1508" i="1" a="1"/>
  <c r="O1508" i="1" s="1"/>
  <c r="O1509" i="1" a="1"/>
  <c r="O1509" i="1" s="1"/>
  <c r="O1510" i="1" a="1"/>
  <c r="O1510" i="1" s="1"/>
  <c r="O1511" i="1" a="1"/>
  <c r="O1511" i="1" s="1"/>
  <c r="O1512" i="1" a="1"/>
  <c r="O1512" i="1" s="1"/>
  <c r="O1513" i="1" a="1"/>
  <c r="O1513" i="1" s="1"/>
  <c r="O1514" i="1" a="1"/>
  <c r="O1514" i="1" s="1"/>
  <c r="O1515" i="1" a="1"/>
  <c r="O1515" i="1" s="1"/>
  <c r="O1516" i="1" a="1"/>
  <c r="O1516" i="1" s="1"/>
  <c r="O1517" i="1" a="1"/>
  <c r="O1517" i="1" s="1"/>
  <c r="O1518" i="1" a="1"/>
  <c r="O1518" i="1" s="1"/>
  <c r="O1519" i="1" a="1"/>
  <c r="O1519" i="1" s="1"/>
  <c r="O1520" i="1" a="1"/>
  <c r="O1520" i="1" s="1"/>
  <c r="O1521" i="1" a="1"/>
  <c r="O1521" i="1" s="1"/>
  <c r="O1522" i="1" a="1"/>
  <c r="O1522" i="1" s="1"/>
  <c r="O1523" i="1" a="1"/>
  <c r="O1523" i="1" s="1"/>
  <c r="O1524" i="1" a="1"/>
  <c r="O1524" i="1" s="1"/>
  <c r="O1525" i="1" a="1"/>
  <c r="O1525" i="1" s="1"/>
  <c r="O1526" i="1" a="1"/>
  <c r="O1526" i="1" s="1"/>
  <c r="O1527" i="1" a="1"/>
  <c r="O1527" i="1" s="1"/>
  <c r="O1528" i="1" a="1"/>
  <c r="O1528" i="1" s="1"/>
  <c r="O1529" i="1" a="1"/>
  <c r="O1529" i="1" s="1"/>
  <c r="O1530" i="1" a="1"/>
  <c r="O1530" i="1" s="1"/>
  <c r="O1531" i="1" a="1"/>
  <c r="O1531" i="1" s="1"/>
  <c r="O1532" i="1" a="1"/>
  <c r="O1532" i="1" s="1"/>
  <c r="O1533" i="1" a="1"/>
  <c r="O1533" i="1" s="1"/>
  <c r="O1534" i="1" a="1"/>
  <c r="O1534" i="1" s="1"/>
  <c r="O1535" i="1" a="1"/>
  <c r="O1535" i="1" s="1"/>
  <c r="O1536" i="1" a="1"/>
  <c r="O1536" i="1" s="1"/>
  <c r="O1537" i="1" a="1"/>
  <c r="O1537" i="1" s="1"/>
  <c r="O1538" i="1" a="1"/>
  <c r="O1538" i="1" s="1"/>
  <c r="O1539" i="1" a="1"/>
  <c r="O1539" i="1" s="1"/>
  <c r="O1540" i="1" a="1"/>
  <c r="O1540" i="1" s="1"/>
  <c r="O1541" i="1" a="1"/>
  <c r="O1541" i="1" s="1"/>
  <c r="O1542" i="1" a="1"/>
  <c r="O1542" i="1" s="1"/>
  <c r="O1543" i="1" a="1"/>
  <c r="O1543" i="1" s="1"/>
  <c r="O1544" i="1" a="1"/>
  <c r="O1544" i="1" s="1"/>
  <c r="O1545" i="1" a="1"/>
  <c r="O1545" i="1" s="1"/>
  <c r="O1546" i="1" a="1"/>
  <c r="O1546" i="1" s="1"/>
  <c r="O1547" i="1" a="1"/>
  <c r="O1547" i="1" s="1"/>
  <c r="O1548" i="1" a="1"/>
  <c r="O1548" i="1" s="1"/>
  <c r="O1549" i="1" a="1"/>
  <c r="O1549" i="1" s="1"/>
  <c r="O1550" i="1" a="1"/>
  <c r="O1550" i="1" s="1"/>
  <c r="O1551" i="1" a="1"/>
  <c r="O1551" i="1" s="1"/>
  <c r="O1552" i="1" a="1"/>
  <c r="O1552" i="1" s="1"/>
  <c r="O1553" i="1" a="1"/>
  <c r="O1553" i="1" s="1"/>
  <c r="O1554" i="1" a="1"/>
  <c r="O1554" i="1" s="1"/>
  <c r="O1555" i="1" a="1"/>
  <c r="O1555" i="1" s="1"/>
  <c r="O1556" i="1" a="1"/>
  <c r="O1556" i="1" s="1"/>
  <c r="O1557" i="1" a="1"/>
  <c r="O1557" i="1" s="1"/>
  <c r="O1558" i="1" a="1"/>
  <c r="O1558" i="1" s="1"/>
  <c r="O1559" i="1" a="1"/>
  <c r="O1559" i="1" s="1"/>
  <c r="O1560" i="1" a="1"/>
  <c r="O1560" i="1" s="1"/>
  <c r="O1561" i="1" a="1"/>
  <c r="O1561" i="1" s="1"/>
  <c r="O1562" i="1" a="1"/>
  <c r="O1562" i="1" s="1"/>
  <c r="O1563" i="1" a="1"/>
  <c r="O1563" i="1" s="1"/>
  <c r="O1564" i="1" a="1"/>
  <c r="O1564" i="1" s="1"/>
  <c r="O1565" i="1" a="1"/>
  <c r="O1565" i="1" s="1"/>
  <c r="O1566" i="1" a="1"/>
  <c r="O1566" i="1" s="1"/>
  <c r="O1567" i="1" a="1"/>
  <c r="O1567" i="1" s="1"/>
  <c r="O1568" i="1" a="1"/>
  <c r="O1568" i="1" s="1"/>
  <c r="O1569" i="1" a="1"/>
  <c r="O1569" i="1" s="1"/>
  <c r="O1570" i="1" a="1"/>
  <c r="O1570" i="1" s="1"/>
  <c r="O1571" i="1" a="1"/>
  <c r="O1571" i="1" s="1"/>
  <c r="O1572" i="1" a="1"/>
  <c r="O1572" i="1" s="1"/>
  <c r="O1573" i="1" a="1"/>
  <c r="O1573" i="1" s="1"/>
  <c r="O1574" i="1" a="1"/>
  <c r="O1574" i="1" s="1"/>
  <c r="O1575" i="1" a="1"/>
  <c r="O1575" i="1" s="1"/>
  <c r="O1576" i="1" a="1"/>
  <c r="O1576" i="1" s="1"/>
  <c r="O1577" i="1" a="1"/>
  <c r="O1577" i="1" s="1"/>
  <c r="O1578" i="1" a="1"/>
  <c r="O1578" i="1" s="1"/>
  <c r="O1579" i="1" a="1"/>
  <c r="O1579" i="1" s="1"/>
  <c r="O1580" i="1" a="1"/>
  <c r="O1580" i="1" s="1"/>
  <c r="O1581" i="1" a="1"/>
  <c r="O1581" i="1" s="1"/>
  <c r="O1582" i="1" a="1"/>
  <c r="O1582" i="1" s="1"/>
  <c r="O1583" i="1" a="1"/>
  <c r="O1583" i="1" s="1"/>
  <c r="O1584" i="1" a="1"/>
  <c r="O1584" i="1" s="1"/>
  <c r="O1585" i="1" a="1"/>
  <c r="O1585" i="1" s="1"/>
  <c r="O1586" i="1" a="1"/>
  <c r="O1586" i="1" s="1"/>
  <c r="O1587" i="1" a="1"/>
  <c r="O1587" i="1" s="1"/>
  <c r="O1588" i="1" a="1"/>
  <c r="O1588" i="1" s="1"/>
  <c r="O1589" i="1" a="1"/>
  <c r="O1589" i="1" s="1"/>
  <c r="O1590" i="1" a="1"/>
  <c r="O1590" i="1" s="1"/>
  <c r="O1591" i="1" a="1"/>
  <c r="O1591" i="1" s="1"/>
  <c r="O1592" i="1" a="1"/>
  <c r="O1592" i="1" s="1"/>
  <c r="O1593" i="1" a="1"/>
  <c r="O1593" i="1" s="1"/>
  <c r="O1594" i="1" a="1"/>
  <c r="O1594" i="1" s="1"/>
  <c r="O1595" i="1" a="1"/>
  <c r="O1595" i="1" s="1"/>
  <c r="O1596" i="1" a="1"/>
  <c r="O1596" i="1" s="1"/>
  <c r="O1597" i="1" a="1"/>
  <c r="O1597" i="1" s="1"/>
  <c r="O1598" i="1" a="1"/>
  <c r="O1598" i="1" s="1"/>
  <c r="O1599" i="1" a="1"/>
  <c r="O1599" i="1" s="1"/>
  <c r="O1600" i="1" a="1"/>
  <c r="O1600" i="1" s="1"/>
  <c r="O1601" i="1" a="1"/>
  <c r="O1601" i="1" s="1"/>
  <c r="O1602" i="1" a="1"/>
  <c r="O1602" i="1" s="1"/>
  <c r="O1603" i="1" a="1"/>
  <c r="O1603" i="1" s="1"/>
  <c r="O1604" i="1" a="1"/>
  <c r="O1604" i="1" s="1"/>
  <c r="O1605" i="1" a="1"/>
  <c r="O1605" i="1" s="1"/>
  <c r="O1606" i="1" a="1"/>
  <c r="O1606" i="1" s="1"/>
  <c r="O1607" i="1" a="1"/>
  <c r="O1607" i="1" s="1"/>
  <c r="O1608" i="1" a="1"/>
  <c r="O1608" i="1" s="1"/>
  <c r="O1609" i="1" a="1"/>
  <c r="O1609" i="1" s="1"/>
  <c r="O1610" i="1" a="1"/>
  <c r="O1610" i="1" s="1"/>
  <c r="O1611" i="1" a="1"/>
  <c r="O1611" i="1" s="1"/>
  <c r="O1612" i="1" a="1"/>
  <c r="O1612" i="1" s="1"/>
  <c r="O1613" i="1" a="1"/>
  <c r="O1613" i="1" s="1"/>
  <c r="O1614" i="1" a="1"/>
  <c r="O1614" i="1" s="1"/>
  <c r="O1615" i="1" a="1"/>
  <c r="O1615" i="1" s="1"/>
  <c r="O1616" i="1" a="1"/>
  <c r="O1616" i="1" s="1"/>
  <c r="O1617" i="1" a="1"/>
  <c r="O1617" i="1" s="1"/>
  <c r="O1618" i="1" a="1"/>
  <c r="O1618" i="1" s="1"/>
  <c r="O1619" i="1" a="1"/>
  <c r="O1619" i="1" s="1"/>
  <c r="O1620" i="1" a="1"/>
  <c r="O1620" i="1" s="1"/>
  <c r="O1621" i="1" a="1"/>
  <c r="O1621" i="1" s="1"/>
  <c r="O1622" i="1" a="1"/>
  <c r="O1622" i="1" s="1"/>
  <c r="O1623" i="1" a="1"/>
  <c r="O1623" i="1" s="1"/>
  <c r="O1624" i="1" a="1"/>
  <c r="O1624" i="1" s="1"/>
  <c r="O1625" i="1" a="1"/>
  <c r="O1625" i="1" s="1"/>
  <c r="O1626" i="1" a="1"/>
  <c r="O1626" i="1" s="1"/>
  <c r="O1627" i="1" a="1"/>
  <c r="O1627" i="1" s="1"/>
  <c r="O1628" i="1" a="1"/>
  <c r="O1628" i="1" s="1"/>
  <c r="O1629" i="1" a="1"/>
  <c r="O1629" i="1" s="1"/>
  <c r="O1630" i="1" a="1"/>
  <c r="O1630" i="1" s="1"/>
  <c r="O1631" i="1" a="1"/>
  <c r="O1631" i="1" s="1"/>
  <c r="O1632" i="1" a="1"/>
  <c r="O1632" i="1" s="1"/>
  <c r="O1633" i="1" a="1"/>
  <c r="O1633" i="1" s="1"/>
  <c r="O1634" i="1" a="1"/>
  <c r="O1634" i="1" s="1"/>
  <c r="O1635" i="1" a="1"/>
  <c r="O1635" i="1" s="1"/>
  <c r="O1636" i="1" a="1"/>
  <c r="O1636" i="1" s="1"/>
  <c r="O1637" i="1" a="1"/>
  <c r="O1637" i="1" s="1"/>
  <c r="O1638" i="1" a="1"/>
  <c r="O1638" i="1" s="1"/>
  <c r="O1639" i="1" a="1"/>
  <c r="O1639" i="1" s="1"/>
  <c r="O1640" i="1" a="1"/>
  <c r="O1640" i="1" s="1"/>
  <c r="O1641" i="1" a="1"/>
  <c r="O1641" i="1" s="1"/>
  <c r="O1642" i="1" a="1"/>
  <c r="O1642" i="1" s="1"/>
  <c r="O1643" i="1" a="1"/>
  <c r="O1643" i="1" s="1"/>
  <c r="O1644" i="1" a="1"/>
  <c r="O1644" i="1" s="1"/>
  <c r="O1645" i="1" a="1"/>
  <c r="O1645" i="1" s="1"/>
  <c r="O1646" i="1" a="1"/>
  <c r="O1646" i="1" s="1"/>
  <c r="O1647" i="1" a="1"/>
  <c r="O1647" i="1" s="1"/>
  <c r="O1648" i="1" a="1"/>
  <c r="O1648" i="1" s="1"/>
  <c r="O1649" i="1" a="1"/>
  <c r="O1649" i="1" s="1"/>
  <c r="O1650" i="1" a="1"/>
  <c r="O1650" i="1" s="1"/>
  <c r="O1651" i="1" a="1"/>
  <c r="O1651" i="1" s="1"/>
  <c r="O1652" i="1" a="1"/>
  <c r="O1652" i="1" s="1"/>
  <c r="O1653" i="1" a="1"/>
  <c r="O1653" i="1" s="1"/>
  <c r="O1654" i="1" a="1"/>
  <c r="O1654" i="1" s="1"/>
  <c r="O1655" i="1" a="1"/>
  <c r="O1655" i="1" s="1"/>
  <c r="O1656" i="1" a="1"/>
  <c r="O1656" i="1" s="1"/>
  <c r="O1657" i="1" a="1"/>
  <c r="O1657" i="1" s="1"/>
  <c r="O1658" i="1" a="1"/>
  <c r="O1658" i="1" s="1"/>
  <c r="O1659" i="1" a="1"/>
  <c r="O1659" i="1" s="1"/>
  <c r="O1660" i="1" a="1"/>
  <c r="O1660" i="1" s="1"/>
  <c r="O1661" i="1" a="1"/>
  <c r="O1661" i="1" s="1"/>
  <c r="O1662" i="1" a="1"/>
  <c r="O1662" i="1" s="1"/>
  <c r="O1663" i="1" a="1"/>
  <c r="O1663" i="1" s="1"/>
  <c r="O1664" i="1" a="1"/>
  <c r="O1664" i="1" s="1"/>
  <c r="O1665" i="1" a="1"/>
  <c r="O1665" i="1" s="1"/>
  <c r="O1666" i="1" a="1"/>
  <c r="O1666" i="1" s="1"/>
  <c r="O1667" i="1" a="1"/>
  <c r="O1667" i="1" s="1"/>
  <c r="O1668" i="1" a="1"/>
  <c r="O1668" i="1" s="1"/>
  <c r="O1669" i="1" a="1"/>
  <c r="O1669" i="1" s="1"/>
  <c r="O1670" i="1" a="1"/>
  <c r="O1670" i="1" s="1"/>
  <c r="O1671" i="1" a="1"/>
  <c r="O1671" i="1" s="1"/>
  <c r="O1672" i="1" a="1"/>
  <c r="O1672" i="1" s="1"/>
  <c r="O1673" i="1" a="1"/>
  <c r="O1673" i="1" s="1"/>
  <c r="O1674" i="1" a="1"/>
  <c r="O1674" i="1" s="1"/>
  <c r="O1675" i="1" a="1"/>
  <c r="O1675" i="1" s="1"/>
  <c r="O1676" i="1" a="1"/>
  <c r="O1676" i="1" s="1"/>
  <c r="O1677" i="1" a="1"/>
  <c r="O1677" i="1" s="1"/>
  <c r="O1678" i="1" a="1"/>
  <c r="O1678" i="1" s="1"/>
  <c r="O1679" i="1" a="1"/>
  <c r="O1679" i="1" s="1"/>
  <c r="O1680" i="1" a="1"/>
  <c r="O1680" i="1" s="1"/>
  <c r="O1681" i="1" a="1"/>
  <c r="O1681" i="1" s="1"/>
  <c r="O1682" i="1" a="1"/>
  <c r="O1682" i="1" s="1"/>
  <c r="O1683" i="1" a="1"/>
  <c r="O1683" i="1" s="1"/>
  <c r="O1684" i="1" a="1"/>
  <c r="O1684" i="1" s="1"/>
  <c r="O1685" i="1" a="1"/>
  <c r="O1685" i="1" s="1"/>
  <c r="O1686" i="1" a="1"/>
  <c r="O1686" i="1" s="1"/>
  <c r="O1687" i="1" a="1"/>
  <c r="O1687" i="1" s="1"/>
  <c r="O1688" i="1" a="1"/>
  <c r="O1688" i="1" s="1"/>
  <c r="O1689" i="1" a="1"/>
  <c r="O1689" i="1" s="1"/>
  <c r="O1690" i="1" a="1"/>
  <c r="O1690" i="1" s="1"/>
  <c r="O1691" i="1" a="1"/>
  <c r="O1691" i="1" s="1"/>
  <c r="O1692" i="1" a="1"/>
  <c r="O1692" i="1" s="1"/>
  <c r="O1693" i="1" a="1"/>
  <c r="O1693" i="1" s="1"/>
  <c r="O1694" i="1" a="1"/>
  <c r="O1694" i="1" s="1"/>
  <c r="O1695" i="1" a="1"/>
  <c r="O1695" i="1" s="1"/>
  <c r="O1696" i="1" a="1"/>
  <c r="O1696" i="1" s="1"/>
  <c r="O1697" i="1" a="1"/>
  <c r="O1697" i="1" s="1"/>
  <c r="O1698" i="1" a="1"/>
  <c r="O1698" i="1" s="1"/>
  <c r="O1699" i="1" a="1"/>
  <c r="O1699" i="1" s="1"/>
  <c r="O1700" i="1" a="1"/>
  <c r="O1700" i="1" s="1"/>
  <c r="O1701" i="1" a="1"/>
  <c r="O1701" i="1" s="1"/>
  <c r="O1702" i="1" a="1"/>
  <c r="O1702" i="1" s="1"/>
  <c r="O1703" i="1" a="1"/>
  <c r="O1703" i="1" s="1"/>
  <c r="O1704" i="1" a="1"/>
  <c r="O1704" i="1" s="1"/>
  <c r="O1705" i="1" a="1"/>
  <c r="O1705" i="1" s="1"/>
  <c r="O1706" i="1" a="1"/>
  <c r="O1706" i="1" s="1"/>
  <c r="O1707" i="1" a="1"/>
  <c r="O1707" i="1" s="1"/>
  <c r="O1708" i="1" a="1"/>
  <c r="O1708" i="1" s="1"/>
  <c r="O1709" i="1" a="1"/>
  <c r="O1709" i="1" s="1"/>
  <c r="O1710" i="1" a="1"/>
  <c r="O1710" i="1" s="1"/>
  <c r="O1711" i="1" a="1"/>
  <c r="O1711" i="1" s="1"/>
  <c r="O1712" i="1" a="1"/>
  <c r="O1712" i="1" s="1"/>
  <c r="O1713" i="1" a="1"/>
  <c r="O1713" i="1" s="1"/>
  <c r="O1714" i="1" a="1"/>
  <c r="O1714" i="1" s="1"/>
  <c r="O1715" i="1" a="1"/>
  <c r="O1715" i="1" s="1"/>
  <c r="O1716" i="1" a="1"/>
  <c r="O1716" i="1" s="1"/>
  <c r="O1717" i="1" a="1"/>
  <c r="O1717" i="1" s="1"/>
  <c r="O1718" i="1" a="1"/>
  <c r="O1718" i="1" s="1"/>
  <c r="O1719" i="1" a="1"/>
  <c r="O1719" i="1" s="1"/>
  <c r="O1720" i="1" a="1"/>
  <c r="O1720" i="1" s="1"/>
  <c r="O1721" i="1" a="1"/>
  <c r="O1721" i="1" s="1"/>
  <c r="O1722" i="1" a="1"/>
  <c r="O1722" i="1" s="1"/>
  <c r="O1723" i="1" a="1"/>
  <c r="O1723" i="1" s="1"/>
  <c r="O1724" i="1" a="1"/>
  <c r="O1724" i="1" s="1"/>
  <c r="O1725" i="1" a="1"/>
  <c r="O1725" i="1" s="1"/>
  <c r="O1726" i="1" a="1"/>
  <c r="O1726" i="1" s="1"/>
  <c r="O1727" i="1" a="1"/>
  <c r="O1727" i="1" s="1"/>
  <c r="O1728" i="1" a="1"/>
  <c r="O1728" i="1" s="1"/>
  <c r="O1729" i="1" a="1"/>
  <c r="O1729" i="1" s="1"/>
  <c r="O1730" i="1" a="1"/>
  <c r="O1730" i="1" s="1"/>
  <c r="O1731" i="1" a="1"/>
  <c r="O1731" i="1" s="1"/>
  <c r="O1732" i="1" a="1"/>
  <c r="O1732" i="1" s="1"/>
  <c r="O1733" i="1" a="1"/>
  <c r="O1733" i="1" s="1"/>
  <c r="O1734" i="1" a="1"/>
  <c r="O1734" i="1" s="1"/>
  <c r="O1735" i="1" a="1"/>
  <c r="O1735" i="1" s="1"/>
  <c r="O1736" i="1" a="1"/>
  <c r="O1736" i="1" s="1"/>
  <c r="O1737" i="1" a="1"/>
  <c r="O1737" i="1" s="1"/>
  <c r="O1738" i="1" a="1"/>
  <c r="O1738" i="1" s="1"/>
  <c r="O1739" i="1" a="1"/>
  <c r="O1739" i="1" s="1"/>
  <c r="O1740" i="1" a="1"/>
  <c r="O1740" i="1" s="1"/>
  <c r="O1741" i="1" a="1"/>
  <c r="O1741" i="1" s="1"/>
  <c r="O1742" i="1" a="1"/>
  <c r="O1742" i="1" s="1"/>
  <c r="O1743" i="1" a="1"/>
  <c r="O1743" i="1" s="1"/>
  <c r="O1744" i="1" a="1"/>
  <c r="O1744" i="1" s="1"/>
  <c r="O1745" i="1" a="1"/>
  <c r="O1745" i="1" s="1"/>
  <c r="O1746" i="1" a="1"/>
  <c r="O1746" i="1" s="1"/>
  <c r="O1747" i="1" a="1"/>
  <c r="O1747" i="1" s="1"/>
  <c r="O1748" i="1" a="1"/>
  <c r="O1748" i="1" s="1"/>
  <c r="O1749" i="1" a="1"/>
  <c r="O1749" i="1" s="1"/>
  <c r="O1750" i="1" a="1"/>
  <c r="O1750" i="1" s="1"/>
  <c r="O1751" i="1" a="1"/>
  <c r="O1751" i="1" s="1"/>
  <c r="O1752" i="1" a="1"/>
  <c r="O1752" i="1" s="1"/>
  <c r="O1753" i="1" a="1"/>
  <c r="O1753" i="1" s="1"/>
  <c r="O1754" i="1" a="1"/>
  <c r="O1754" i="1" s="1"/>
  <c r="O1755" i="1" a="1"/>
  <c r="O1755" i="1" s="1"/>
  <c r="O1756" i="1" a="1"/>
  <c r="O1756" i="1" s="1"/>
  <c r="O1757" i="1" a="1"/>
  <c r="O1757" i="1" s="1"/>
  <c r="O1758" i="1" a="1"/>
  <c r="O1758" i="1" s="1"/>
  <c r="O1759" i="1" a="1"/>
  <c r="O1759" i="1" s="1"/>
  <c r="O1760" i="1" a="1"/>
  <c r="O1760" i="1" s="1"/>
  <c r="O1761" i="1" a="1"/>
  <c r="O1761" i="1" s="1"/>
  <c r="O1762" i="1" a="1"/>
  <c r="O1762" i="1" s="1"/>
  <c r="O1763" i="1" a="1"/>
  <c r="O1763" i="1" s="1"/>
  <c r="O1764" i="1" a="1"/>
  <c r="O1764" i="1" s="1"/>
  <c r="O1765" i="1" a="1"/>
  <c r="O1765" i="1" s="1"/>
  <c r="O1766" i="1" a="1"/>
  <c r="O1766" i="1" s="1"/>
  <c r="O1767" i="1" a="1"/>
  <c r="O1767" i="1" s="1"/>
  <c r="O1768" i="1" a="1"/>
  <c r="O1768" i="1" s="1"/>
  <c r="O1769" i="1" a="1"/>
  <c r="O1769" i="1" s="1"/>
  <c r="O1770" i="1" a="1"/>
  <c r="O1770" i="1" s="1"/>
  <c r="O1771" i="1" a="1"/>
  <c r="O1771" i="1" s="1"/>
  <c r="O1772" i="1" a="1"/>
  <c r="O1772" i="1" s="1"/>
  <c r="O1773" i="1" a="1"/>
  <c r="O1773" i="1" s="1"/>
  <c r="O1774" i="1" a="1"/>
  <c r="O1774" i="1" s="1"/>
  <c r="O1775" i="1" a="1"/>
  <c r="O1775" i="1" s="1"/>
  <c r="O1776" i="1" a="1"/>
  <c r="O1776" i="1" s="1"/>
  <c r="O1777" i="1" a="1"/>
  <c r="O1777" i="1" s="1"/>
  <c r="O1778" i="1" a="1"/>
  <c r="O1778" i="1" s="1"/>
  <c r="O1779" i="1" a="1"/>
  <c r="O1779" i="1" s="1"/>
  <c r="O1780" i="1" a="1"/>
  <c r="O1780" i="1" s="1"/>
  <c r="O1781" i="1" a="1"/>
  <c r="O1781" i="1" s="1"/>
  <c r="O1782" i="1" a="1"/>
  <c r="O1782" i="1" s="1"/>
  <c r="O1783" i="1" a="1"/>
  <c r="O1783" i="1" s="1"/>
  <c r="O1784" i="1" a="1"/>
  <c r="O1784" i="1" s="1"/>
  <c r="O1785" i="1" a="1"/>
  <c r="O1785" i="1" s="1"/>
  <c r="O1786" i="1" a="1"/>
  <c r="O1786" i="1" s="1"/>
  <c r="O1787" i="1" a="1"/>
  <c r="O1787" i="1" s="1"/>
  <c r="O1788" i="1" a="1"/>
  <c r="O1788" i="1" s="1"/>
  <c r="O1789" i="1" a="1"/>
  <c r="O1789" i="1" s="1"/>
  <c r="O1790" i="1" a="1"/>
  <c r="O1790" i="1" s="1"/>
  <c r="O1791" i="1" a="1"/>
  <c r="O1791" i="1" s="1"/>
  <c r="O1792" i="1" a="1"/>
  <c r="O1792" i="1" s="1"/>
  <c r="O1793" i="1" a="1"/>
  <c r="O1793" i="1" s="1"/>
  <c r="O1794" i="1" a="1"/>
  <c r="O1794" i="1" s="1"/>
  <c r="O1795" i="1" a="1"/>
  <c r="O1795" i="1" s="1"/>
  <c r="O1796" i="1" a="1"/>
  <c r="O1796" i="1" s="1"/>
  <c r="O1797" i="1" a="1"/>
  <c r="O1797" i="1" s="1"/>
  <c r="O1798" i="1" a="1"/>
  <c r="O1798" i="1" s="1"/>
  <c r="O1799" i="1" a="1"/>
  <c r="O1799" i="1" s="1"/>
  <c r="O1800" i="1" a="1"/>
  <c r="O1800" i="1" s="1"/>
  <c r="O1801" i="1" a="1"/>
  <c r="O1801" i="1" s="1"/>
  <c r="O1802" i="1" a="1"/>
  <c r="O1802" i="1" s="1"/>
  <c r="O1803" i="1" a="1"/>
  <c r="O1803" i="1" s="1"/>
  <c r="O1804" i="1" a="1"/>
  <c r="O1804" i="1" s="1"/>
  <c r="O1805" i="1" a="1"/>
  <c r="O1805" i="1" s="1"/>
  <c r="O1806" i="1" a="1"/>
  <c r="O1806" i="1" s="1"/>
  <c r="O1807" i="1" a="1"/>
  <c r="O1807" i="1" s="1"/>
  <c r="O1808" i="1" a="1"/>
  <c r="O1808" i="1" s="1"/>
  <c r="O1809" i="1" a="1"/>
  <c r="O1809" i="1" s="1"/>
  <c r="O1810" i="1" a="1"/>
  <c r="O1810" i="1" s="1"/>
  <c r="O1811" i="1" a="1"/>
  <c r="O1811" i="1" s="1"/>
  <c r="O1812" i="1" a="1"/>
  <c r="O1812" i="1" s="1"/>
  <c r="O1813" i="1" a="1"/>
  <c r="O1813" i="1" s="1"/>
  <c r="O1814" i="1" a="1"/>
  <c r="O1814" i="1" s="1"/>
  <c r="O1815" i="1" a="1"/>
  <c r="O1815" i="1" s="1"/>
  <c r="O1816" i="1" a="1"/>
  <c r="O1816" i="1" s="1"/>
  <c r="O1817" i="1" a="1"/>
  <c r="O1817" i="1" s="1"/>
  <c r="O1818" i="1" a="1"/>
  <c r="O1818" i="1" s="1"/>
  <c r="O1819" i="1" a="1"/>
  <c r="O1819" i="1" s="1"/>
  <c r="O1820" i="1" a="1"/>
  <c r="O1820" i="1" s="1"/>
  <c r="O1821" i="1" a="1"/>
  <c r="O1821" i="1" s="1"/>
  <c r="O1822" i="1" a="1"/>
  <c r="O1822" i="1" s="1"/>
  <c r="O1823" i="1" a="1"/>
  <c r="O1823" i="1" s="1"/>
  <c r="O1824" i="1" a="1"/>
  <c r="O1824" i="1" s="1"/>
  <c r="O1825" i="1" a="1"/>
  <c r="O1825" i="1" s="1"/>
  <c r="O1826" i="1" a="1"/>
  <c r="O1826" i="1" s="1"/>
  <c r="O1827" i="1" a="1"/>
  <c r="O1827" i="1" s="1"/>
  <c r="O1828" i="1" a="1"/>
  <c r="O1828" i="1" s="1"/>
  <c r="O1829" i="1" a="1"/>
  <c r="O1829" i="1" s="1"/>
  <c r="O1830" i="1" a="1"/>
  <c r="O1830" i="1" s="1"/>
  <c r="O1831" i="1" a="1"/>
  <c r="O1831" i="1" s="1"/>
  <c r="O1832" i="1" a="1"/>
  <c r="O1832" i="1" s="1"/>
  <c r="O1833" i="1" a="1"/>
  <c r="O1833" i="1" s="1"/>
  <c r="O1834" i="1" a="1"/>
  <c r="O1834" i="1" s="1"/>
  <c r="O1835" i="1" a="1"/>
  <c r="O1835" i="1" s="1"/>
  <c r="O1836" i="1" a="1"/>
  <c r="O1836" i="1" s="1"/>
  <c r="O1837" i="1" a="1"/>
  <c r="O1837" i="1" s="1"/>
  <c r="O1838" i="1" a="1"/>
  <c r="O1838" i="1" s="1"/>
  <c r="O1839" i="1" a="1"/>
  <c r="O1839" i="1" s="1"/>
  <c r="O1840" i="1" a="1"/>
  <c r="O1840" i="1" s="1"/>
  <c r="O1841" i="1" a="1"/>
  <c r="O1841" i="1" s="1"/>
  <c r="O1842" i="1" a="1"/>
  <c r="O1842" i="1" s="1"/>
  <c r="O1843" i="1" a="1"/>
  <c r="O1843" i="1" s="1"/>
  <c r="O1844" i="1" a="1"/>
  <c r="O1844" i="1" s="1"/>
  <c r="O1845" i="1" a="1"/>
  <c r="O1845" i="1" s="1"/>
  <c r="O1846" i="1" a="1"/>
  <c r="O1846" i="1" s="1"/>
  <c r="O1847" i="1" a="1"/>
  <c r="O1847" i="1" s="1"/>
  <c r="O1848" i="1" a="1"/>
  <c r="O1848" i="1" s="1"/>
  <c r="O1849" i="1" a="1"/>
  <c r="O1849" i="1" s="1"/>
  <c r="O1850" i="1" a="1"/>
  <c r="O1850" i="1" s="1"/>
  <c r="O1851" i="1" a="1"/>
  <c r="O1851" i="1" s="1"/>
  <c r="O1852" i="1" a="1"/>
  <c r="O1852" i="1" s="1"/>
  <c r="O1853" i="1" a="1"/>
  <c r="O1853" i="1" s="1"/>
  <c r="O1854" i="1" a="1"/>
  <c r="O1854" i="1" s="1"/>
  <c r="O1855" i="1" a="1"/>
  <c r="O1855" i="1" s="1"/>
  <c r="O1856" i="1" a="1"/>
  <c r="O1856" i="1" s="1"/>
  <c r="O1857" i="1" a="1"/>
  <c r="O1857" i="1" s="1"/>
  <c r="O1858" i="1" a="1"/>
  <c r="O1858" i="1" s="1"/>
  <c r="O1859" i="1" a="1"/>
  <c r="O1859" i="1" s="1"/>
  <c r="O1860" i="1" a="1"/>
  <c r="O1860" i="1" s="1"/>
  <c r="O1861" i="1" a="1"/>
  <c r="O1861" i="1" s="1"/>
  <c r="O1862" i="1" a="1"/>
  <c r="O1862" i="1" s="1"/>
  <c r="O1863" i="1" a="1"/>
  <c r="O1863" i="1" s="1"/>
  <c r="O1864" i="1" a="1"/>
  <c r="O1864" i="1" s="1"/>
  <c r="O1865" i="1" a="1"/>
  <c r="O1865" i="1" s="1"/>
  <c r="O1866" i="1" a="1"/>
  <c r="O1866" i="1" s="1"/>
  <c r="O1867" i="1" a="1"/>
  <c r="O1867" i="1" s="1"/>
  <c r="O1868" i="1" a="1"/>
  <c r="O1868" i="1" s="1"/>
  <c r="O1869" i="1" a="1"/>
  <c r="O1869" i="1" s="1"/>
  <c r="O1870" i="1" a="1"/>
  <c r="O1870" i="1" s="1"/>
  <c r="O1871" i="1" a="1"/>
  <c r="O1871" i="1" s="1"/>
  <c r="O1872" i="1" a="1"/>
  <c r="O1872" i="1" s="1"/>
  <c r="O1873" i="1" a="1"/>
  <c r="O1873" i="1" s="1"/>
  <c r="O1874" i="1" a="1"/>
  <c r="O1874" i="1" s="1"/>
  <c r="O1875" i="1" a="1"/>
  <c r="O1875" i="1" s="1"/>
  <c r="O1876" i="1" a="1"/>
  <c r="O1876" i="1" s="1"/>
  <c r="O1877" i="1" a="1"/>
  <c r="O1877" i="1" s="1"/>
  <c r="O1878" i="1" a="1"/>
  <c r="O1878" i="1" s="1"/>
  <c r="O1879" i="1" a="1"/>
  <c r="O1879" i="1" s="1"/>
  <c r="O1880" i="1" a="1"/>
  <c r="O1880" i="1" s="1"/>
  <c r="O1881" i="1" a="1"/>
  <c r="O1881" i="1" s="1"/>
  <c r="O1882" i="1" a="1"/>
  <c r="O1882" i="1" s="1"/>
  <c r="O1883" i="1" a="1"/>
  <c r="O1883" i="1" s="1"/>
  <c r="O1884" i="1" a="1"/>
  <c r="O1884" i="1" s="1"/>
  <c r="O1885" i="1" a="1"/>
  <c r="O1885" i="1" s="1"/>
  <c r="O1886" i="1" a="1"/>
  <c r="O1886" i="1" s="1"/>
  <c r="O1887" i="1" a="1"/>
  <c r="O1887" i="1" s="1"/>
  <c r="O1888" i="1" a="1"/>
  <c r="O1888" i="1" s="1"/>
  <c r="O1889" i="1" a="1"/>
  <c r="O1889" i="1" s="1"/>
  <c r="O1890" i="1" a="1"/>
  <c r="O1890" i="1" s="1"/>
  <c r="O1891" i="1" a="1"/>
  <c r="O1891" i="1" s="1"/>
  <c r="O1892" i="1" a="1"/>
  <c r="O1892" i="1" s="1"/>
  <c r="O1893" i="1" a="1"/>
  <c r="O1893" i="1" s="1"/>
  <c r="O1894" i="1" a="1"/>
  <c r="O1894" i="1" s="1"/>
  <c r="O1895" i="1" a="1"/>
  <c r="O1895" i="1" s="1"/>
  <c r="O1896" i="1" a="1"/>
  <c r="O1896" i="1" s="1"/>
  <c r="O1897" i="1" a="1"/>
  <c r="O1897" i="1" s="1"/>
  <c r="O1898" i="1" a="1"/>
  <c r="O1898" i="1" s="1"/>
  <c r="O1899" i="1" a="1"/>
  <c r="O1899" i="1" s="1"/>
  <c r="O1900" i="1" a="1"/>
  <c r="O1900" i="1" s="1"/>
  <c r="O1901" i="1" a="1"/>
  <c r="O1901" i="1" s="1"/>
  <c r="O1902" i="1" a="1"/>
  <c r="O1902" i="1" s="1"/>
  <c r="O1903" i="1" a="1"/>
  <c r="O1903" i="1" s="1"/>
  <c r="O1904" i="1" a="1"/>
  <c r="O1904" i="1" s="1"/>
  <c r="O1905" i="1" a="1"/>
  <c r="O1905" i="1" s="1"/>
  <c r="O1906" i="1" a="1"/>
  <c r="O1906" i="1" s="1"/>
  <c r="O1907" i="1" a="1"/>
  <c r="O1907" i="1" s="1"/>
  <c r="O1908" i="1" a="1"/>
  <c r="O1908" i="1" s="1"/>
  <c r="O1909" i="1" a="1"/>
  <c r="O1909" i="1" s="1"/>
  <c r="O1910" i="1" a="1"/>
  <c r="O1910" i="1" s="1"/>
  <c r="O1911" i="1" a="1"/>
  <c r="O1911" i="1" s="1"/>
  <c r="O1912" i="1" a="1"/>
  <c r="O1912" i="1" s="1"/>
  <c r="O1913" i="1" a="1"/>
  <c r="O1913" i="1" s="1"/>
  <c r="O1914" i="1" a="1"/>
  <c r="O1914" i="1" s="1"/>
  <c r="O1915" i="1" a="1"/>
  <c r="O1915" i="1" s="1"/>
  <c r="O1916" i="1" a="1"/>
  <c r="O1916" i="1" s="1"/>
  <c r="O1917" i="1" a="1"/>
  <c r="O1917" i="1" s="1"/>
  <c r="O1918" i="1" a="1"/>
  <c r="O1918" i="1" s="1"/>
  <c r="O1919" i="1" a="1"/>
  <c r="O1919" i="1" s="1"/>
  <c r="O1920" i="1" a="1"/>
  <c r="O1920" i="1" s="1"/>
  <c r="O1921" i="1" a="1"/>
  <c r="O1921" i="1" s="1"/>
  <c r="O1922" i="1" a="1"/>
  <c r="O1922" i="1" s="1"/>
  <c r="O1923" i="1" a="1"/>
  <c r="O1923" i="1" s="1"/>
  <c r="O1924" i="1" a="1"/>
  <c r="O1924" i="1" s="1"/>
  <c r="O1925" i="1" a="1"/>
  <c r="O1925" i="1" s="1"/>
  <c r="O1926" i="1" a="1"/>
  <c r="O1926" i="1" s="1"/>
  <c r="O1927" i="1" a="1"/>
  <c r="O1927" i="1" s="1"/>
  <c r="O1928" i="1" a="1"/>
  <c r="O1928" i="1" s="1"/>
  <c r="O1929" i="1" a="1"/>
  <c r="O1929" i="1" s="1"/>
  <c r="O1930" i="1" a="1"/>
  <c r="O1930" i="1" s="1"/>
  <c r="O1931" i="1" a="1"/>
  <c r="O1931" i="1" s="1"/>
  <c r="O1932" i="1" a="1"/>
  <c r="O1932" i="1" s="1"/>
  <c r="O1933" i="1" a="1"/>
  <c r="O1933" i="1" s="1"/>
  <c r="O1934" i="1" a="1"/>
  <c r="O1934" i="1" s="1"/>
  <c r="O1935" i="1" a="1"/>
  <c r="O1935" i="1" s="1"/>
  <c r="O1936" i="1" a="1"/>
  <c r="O1936" i="1" s="1"/>
  <c r="O1937" i="1" a="1"/>
  <c r="O1937" i="1" s="1"/>
  <c r="O1938" i="1" a="1"/>
  <c r="O1938" i="1" s="1"/>
  <c r="O1939" i="1" a="1"/>
  <c r="O1939" i="1" s="1"/>
  <c r="O1940" i="1" a="1"/>
  <c r="O1940" i="1" s="1"/>
  <c r="O1941" i="1" a="1"/>
  <c r="O1941" i="1" s="1"/>
  <c r="O1942" i="1" a="1"/>
  <c r="O1942" i="1" s="1"/>
  <c r="O1943" i="1" a="1"/>
  <c r="O1943" i="1" s="1"/>
  <c r="O1944" i="1" a="1"/>
  <c r="O1944" i="1" s="1"/>
  <c r="O1945" i="1" a="1"/>
  <c r="O1945" i="1" s="1"/>
  <c r="O1946" i="1" a="1"/>
  <c r="O1946" i="1" s="1"/>
  <c r="O1947" i="1" a="1"/>
  <c r="O1947" i="1" s="1"/>
  <c r="O1948" i="1" a="1"/>
  <c r="O1948" i="1" s="1"/>
  <c r="O1949" i="1" a="1"/>
  <c r="O1949" i="1" s="1"/>
  <c r="O1950" i="1" a="1"/>
  <c r="O1950" i="1" s="1"/>
  <c r="O1951" i="1" a="1"/>
  <c r="O1951" i="1" s="1"/>
  <c r="O1952" i="1" a="1"/>
  <c r="O1952" i="1" s="1"/>
  <c r="O1953" i="1" a="1"/>
  <c r="O1953" i="1" s="1"/>
  <c r="O1954" i="1" a="1"/>
  <c r="O1954" i="1" s="1"/>
  <c r="O1955" i="1" a="1"/>
  <c r="O1955" i="1" s="1"/>
  <c r="O1956" i="1" a="1"/>
  <c r="O1956" i="1" s="1"/>
  <c r="O1957" i="1" a="1"/>
  <c r="O1957" i="1" s="1"/>
  <c r="O1958" i="1" a="1"/>
  <c r="O1958" i="1" s="1"/>
  <c r="O1959" i="1" a="1"/>
  <c r="O1959" i="1" s="1"/>
  <c r="O1960" i="1" a="1"/>
  <c r="O1960" i="1" s="1"/>
  <c r="O1961" i="1" a="1"/>
  <c r="O1961" i="1" s="1"/>
  <c r="O1962" i="1" a="1"/>
  <c r="O1962" i="1" s="1"/>
  <c r="O1963" i="1" a="1"/>
  <c r="O1963" i="1" s="1"/>
  <c r="O1964" i="1" a="1"/>
  <c r="O1964" i="1" s="1"/>
  <c r="O1965" i="1" a="1"/>
  <c r="O1965" i="1" s="1"/>
  <c r="O1966" i="1" a="1"/>
  <c r="O1966" i="1" s="1"/>
  <c r="O1967" i="1" a="1"/>
  <c r="O1967" i="1" s="1"/>
  <c r="O1968" i="1" a="1"/>
  <c r="O1968" i="1" s="1"/>
  <c r="O1969" i="1" a="1"/>
  <c r="O1969" i="1" s="1"/>
  <c r="O1970" i="1" a="1"/>
  <c r="O1970" i="1" s="1"/>
  <c r="O1971" i="1" a="1"/>
  <c r="O1971" i="1" s="1"/>
  <c r="O1972" i="1" a="1"/>
  <c r="O1972" i="1" s="1"/>
  <c r="O1973" i="1" a="1"/>
  <c r="O1973" i="1" s="1"/>
  <c r="O1974" i="1" a="1"/>
  <c r="O1974" i="1" s="1"/>
  <c r="O1975" i="1" a="1"/>
  <c r="O1975" i="1" s="1"/>
  <c r="O1976" i="1" a="1"/>
  <c r="O1976" i="1" s="1"/>
  <c r="O1977" i="1" a="1"/>
  <c r="O1977" i="1" s="1"/>
  <c r="O1978" i="1" a="1"/>
  <c r="O1978" i="1" s="1"/>
  <c r="O1979" i="1" a="1"/>
  <c r="O1979" i="1" s="1"/>
  <c r="O1980" i="1" a="1"/>
  <c r="O1980" i="1" s="1"/>
  <c r="O1981" i="1" a="1"/>
  <c r="O1981" i="1" s="1"/>
  <c r="O1982" i="1" a="1"/>
  <c r="O1982" i="1" s="1"/>
  <c r="O1983" i="1" a="1"/>
  <c r="O1983" i="1" s="1"/>
  <c r="O1984" i="1" a="1"/>
  <c r="O1984" i="1" s="1"/>
  <c r="O1985" i="1" a="1"/>
  <c r="O1985" i="1" s="1"/>
  <c r="O1986" i="1" a="1"/>
  <c r="O1986" i="1" s="1"/>
  <c r="O1987" i="1" a="1"/>
  <c r="O1987" i="1" s="1"/>
  <c r="O1988" i="1" a="1"/>
  <c r="O1988" i="1" s="1"/>
  <c r="O1989" i="1" a="1"/>
  <c r="O1989" i="1" s="1"/>
  <c r="O1990" i="1" a="1"/>
  <c r="O1990" i="1" s="1"/>
  <c r="O1991" i="1" a="1"/>
  <c r="O1991" i="1" s="1"/>
  <c r="O1992" i="1" a="1"/>
  <c r="O1992" i="1" s="1"/>
  <c r="O1993" i="1" a="1"/>
  <c r="O1993" i="1" s="1"/>
  <c r="O1994" i="1" a="1"/>
  <c r="O1994" i="1" s="1"/>
  <c r="O1995" i="1" a="1"/>
  <c r="O1995" i="1" s="1"/>
  <c r="O1996" i="1" a="1"/>
  <c r="O1996" i="1" s="1"/>
  <c r="O1997" i="1" a="1"/>
  <c r="O1997" i="1" s="1"/>
  <c r="O1998" i="1" a="1"/>
  <c r="O1998" i="1" s="1"/>
  <c r="O1999" i="1" a="1"/>
  <c r="O1999" i="1" s="1"/>
  <c r="O2000" i="1" a="1"/>
  <c r="O2000" i="1" s="1"/>
  <c r="O2001" i="1" a="1"/>
  <c r="O2001" i="1" s="1"/>
  <c r="M4" i="1" a="1"/>
  <c r="M4" i="1" s="1"/>
  <c r="M5" i="1" a="1"/>
  <c r="M5" i="1" s="1"/>
  <c r="M6" i="1" a="1"/>
  <c r="M6" i="1" s="1"/>
  <c r="M7" i="1" a="1"/>
  <c r="M7" i="1" s="1"/>
  <c r="M8" i="1" a="1"/>
  <c r="M8" i="1" s="1"/>
  <c r="M9" i="1" a="1"/>
  <c r="M9" i="1" s="1"/>
  <c r="M10" i="1" a="1"/>
  <c r="M10" i="1" s="1"/>
  <c r="M11" i="1" a="1"/>
  <c r="M11" i="1" s="1"/>
  <c r="M12" i="1" a="1"/>
  <c r="M12" i="1" s="1"/>
  <c r="M13" i="1" a="1"/>
  <c r="M13" i="1" s="1"/>
  <c r="M14" i="1" a="1"/>
  <c r="M14" i="1" s="1"/>
  <c r="M15" i="1" a="1"/>
  <c r="M15" i="1" s="1"/>
  <c r="M16" i="1" a="1"/>
  <c r="M16" i="1" s="1"/>
  <c r="M17" i="1" a="1"/>
  <c r="M17" i="1" s="1"/>
  <c r="M18" i="1" a="1"/>
  <c r="M18" i="1" s="1"/>
  <c r="M19" i="1" a="1"/>
  <c r="M19" i="1" s="1"/>
  <c r="M20" i="1" a="1"/>
  <c r="M20" i="1" s="1"/>
  <c r="M21" i="1" a="1"/>
  <c r="M21" i="1" s="1"/>
  <c r="M22" i="1" a="1"/>
  <c r="M22" i="1" s="1"/>
  <c r="M23" i="1" a="1"/>
  <c r="M23" i="1" s="1"/>
  <c r="M24" i="1" a="1"/>
  <c r="M24" i="1" s="1"/>
  <c r="M25" i="1" a="1"/>
  <c r="M25" i="1" s="1"/>
  <c r="M26" i="1" a="1"/>
  <c r="M26" i="1" s="1"/>
  <c r="M27" i="1" a="1"/>
  <c r="M27" i="1" s="1"/>
  <c r="M28" i="1" a="1"/>
  <c r="M28" i="1" s="1"/>
  <c r="M29" i="1" a="1"/>
  <c r="M29" i="1" s="1"/>
  <c r="M30" i="1" a="1"/>
  <c r="M30" i="1" s="1"/>
  <c r="M31" i="1" a="1"/>
  <c r="M31" i="1" s="1"/>
  <c r="M32" i="1" a="1"/>
  <c r="M32" i="1" s="1"/>
  <c r="M33" i="1" a="1"/>
  <c r="M33" i="1" s="1"/>
  <c r="M34" i="1" a="1"/>
  <c r="M34" i="1" s="1"/>
  <c r="M35" i="1" a="1"/>
  <c r="M35" i="1" s="1"/>
  <c r="M36" i="1" a="1"/>
  <c r="M36" i="1" s="1"/>
  <c r="M37" i="1" a="1"/>
  <c r="M37" i="1" s="1"/>
  <c r="M38" i="1" a="1"/>
  <c r="M38" i="1" s="1"/>
  <c r="M39" i="1" a="1"/>
  <c r="M39" i="1" s="1"/>
  <c r="M40" i="1" a="1"/>
  <c r="M40" i="1" s="1"/>
  <c r="M41" i="1" a="1"/>
  <c r="M41" i="1" s="1"/>
  <c r="M42" i="1" a="1"/>
  <c r="M42" i="1" s="1"/>
  <c r="M43" i="1" a="1"/>
  <c r="M43" i="1" s="1"/>
  <c r="M44" i="1" a="1"/>
  <c r="M44" i="1" s="1"/>
  <c r="M45" i="1" a="1"/>
  <c r="M45" i="1" s="1"/>
  <c r="M46" i="1" a="1"/>
  <c r="M46" i="1" s="1"/>
  <c r="M47" i="1" a="1"/>
  <c r="M47" i="1" s="1"/>
  <c r="M48" i="1" a="1"/>
  <c r="M48" i="1" s="1"/>
  <c r="M49" i="1" a="1"/>
  <c r="M49" i="1" s="1"/>
  <c r="M50" i="1" a="1"/>
  <c r="M50" i="1" s="1"/>
  <c r="M51" i="1" a="1"/>
  <c r="M51" i="1" s="1"/>
  <c r="M52" i="1" a="1"/>
  <c r="M52" i="1" s="1"/>
  <c r="M53" i="1" a="1"/>
  <c r="M53" i="1" s="1"/>
  <c r="M54" i="1" a="1"/>
  <c r="M54" i="1" s="1"/>
  <c r="M55" i="1" a="1"/>
  <c r="M55" i="1" s="1"/>
  <c r="M56" i="1" a="1"/>
  <c r="M56" i="1" s="1"/>
  <c r="M57" i="1" a="1"/>
  <c r="M57" i="1" s="1"/>
  <c r="M58" i="1" a="1"/>
  <c r="M58" i="1" s="1"/>
  <c r="M59" i="1" a="1"/>
  <c r="M59" i="1" s="1"/>
  <c r="M60" i="1" a="1"/>
  <c r="M60" i="1" s="1"/>
  <c r="M61" i="1" a="1"/>
  <c r="M61" i="1" s="1"/>
  <c r="M62" i="1" a="1"/>
  <c r="M62" i="1" s="1"/>
  <c r="M63" i="1" a="1"/>
  <c r="M63" i="1" s="1"/>
  <c r="M64" i="1" a="1"/>
  <c r="M64" i="1" s="1"/>
  <c r="M65" i="1" a="1"/>
  <c r="M65" i="1" s="1"/>
  <c r="M66" i="1" a="1"/>
  <c r="M66" i="1" s="1"/>
  <c r="M67" i="1" a="1"/>
  <c r="M67" i="1" s="1"/>
  <c r="M68" i="1" a="1"/>
  <c r="M68" i="1" s="1"/>
  <c r="M69" i="1" a="1"/>
  <c r="M69" i="1" s="1"/>
  <c r="M70" i="1" a="1"/>
  <c r="M70" i="1" s="1"/>
  <c r="M71" i="1" a="1"/>
  <c r="M71" i="1" s="1"/>
  <c r="M72" i="1" a="1"/>
  <c r="M72" i="1" s="1"/>
  <c r="M73" i="1" a="1"/>
  <c r="M73" i="1" s="1"/>
  <c r="M74" i="1" a="1"/>
  <c r="M74" i="1" s="1"/>
  <c r="M75" i="1" a="1"/>
  <c r="M75" i="1" s="1"/>
  <c r="M76" i="1" a="1"/>
  <c r="M76" i="1" s="1"/>
  <c r="M77" i="1" a="1"/>
  <c r="M77" i="1" s="1"/>
  <c r="M78" i="1" a="1"/>
  <c r="M78" i="1" s="1"/>
  <c r="M79" i="1" a="1"/>
  <c r="M79" i="1" s="1"/>
  <c r="M80" i="1" a="1"/>
  <c r="M80" i="1" s="1"/>
  <c r="M81" i="1" a="1"/>
  <c r="M81" i="1" s="1"/>
  <c r="M82" i="1" a="1"/>
  <c r="M82" i="1" s="1"/>
  <c r="M83" i="1" a="1"/>
  <c r="M83" i="1" s="1"/>
  <c r="M84" i="1" a="1"/>
  <c r="M84" i="1" s="1"/>
  <c r="M85" i="1" a="1"/>
  <c r="M85" i="1" s="1"/>
  <c r="M86" i="1" a="1"/>
  <c r="M86" i="1" s="1"/>
  <c r="M87" i="1" a="1"/>
  <c r="M87" i="1" s="1"/>
  <c r="M88" i="1" a="1"/>
  <c r="M88" i="1" s="1"/>
  <c r="M89" i="1" a="1"/>
  <c r="M89" i="1" s="1"/>
  <c r="M90" i="1" a="1"/>
  <c r="M90" i="1" s="1"/>
  <c r="M91" i="1" a="1"/>
  <c r="M91" i="1" s="1"/>
  <c r="M92" i="1" a="1"/>
  <c r="M92" i="1" s="1"/>
  <c r="M93" i="1" a="1"/>
  <c r="M93" i="1" s="1"/>
  <c r="M94" i="1" a="1"/>
  <c r="M94" i="1" s="1"/>
  <c r="M95" i="1" a="1"/>
  <c r="M95" i="1" s="1"/>
  <c r="M96" i="1" a="1"/>
  <c r="M96" i="1" s="1"/>
  <c r="M97" i="1" a="1"/>
  <c r="M97" i="1" s="1"/>
  <c r="M98" i="1" a="1"/>
  <c r="M98" i="1" s="1"/>
  <c r="M99" i="1" a="1"/>
  <c r="M99" i="1" s="1"/>
  <c r="M100" i="1" a="1"/>
  <c r="M100" i="1" s="1"/>
  <c r="M101" i="1" a="1"/>
  <c r="M101" i="1" s="1"/>
  <c r="M102" i="1" a="1"/>
  <c r="M102" i="1" s="1"/>
  <c r="M103" i="1" a="1"/>
  <c r="M103" i="1" s="1"/>
  <c r="M104" i="1" a="1"/>
  <c r="M104" i="1" s="1"/>
  <c r="M105" i="1" a="1"/>
  <c r="M105" i="1" s="1"/>
  <c r="M106" i="1" a="1"/>
  <c r="M106" i="1" s="1"/>
  <c r="M107" i="1" a="1"/>
  <c r="M107" i="1" s="1"/>
  <c r="M108" i="1" a="1"/>
  <c r="M108" i="1" s="1"/>
  <c r="M109" i="1" a="1"/>
  <c r="M109" i="1" s="1"/>
  <c r="M110" i="1" a="1"/>
  <c r="M110" i="1" s="1"/>
  <c r="M111" i="1" a="1"/>
  <c r="M111" i="1" s="1"/>
  <c r="M112" i="1" a="1"/>
  <c r="M112" i="1" s="1"/>
  <c r="M113" i="1" a="1"/>
  <c r="M113" i="1" s="1"/>
  <c r="M114" i="1" a="1"/>
  <c r="M114" i="1" s="1"/>
  <c r="M115" i="1" a="1"/>
  <c r="M115" i="1" s="1"/>
  <c r="M116" i="1" a="1"/>
  <c r="M116" i="1" s="1"/>
  <c r="M117" i="1" a="1"/>
  <c r="M117" i="1" s="1"/>
  <c r="M118" i="1" a="1"/>
  <c r="M118" i="1" s="1"/>
  <c r="M119" i="1" a="1"/>
  <c r="M119" i="1" s="1"/>
  <c r="M120" i="1" a="1"/>
  <c r="M120" i="1" s="1"/>
  <c r="M121" i="1" a="1"/>
  <c r="M121" i="1" s="1"/>
  <c r="M122" i="1" a="1"/>
  <c r="M122" i="1" s="1"/>
  <c r="M123" i="1" a="1"/>
  <c r="M123" i="1" s="1"/>
  <c r="M124" i="1" a="1"/>
  <c r="M124" i="1" s="1"/>
  <c r="M125" i="1" a="1"/>
  <c r="M125" i="1" s="1"/>
  <c r="M126" i="1" a="1"/>
  <c r="M126" i="1" s="1"/>
  <c r="M127" i="1" a="1"/>
  <c r="M127" i="1" s="1"/>
  <c r="M128" i="1" a="1"/>
  <c r="M128" i="1" s="1"/>
  <c r="M129" i="1" a="1"/>
  <c r="M129" i="1" s="1"/>
  <c r="M130" i="1" a="1"/>
  <c r="M130" i="1" s="1"/>
  <c r="M131" i="1" a="1"/>
  <c r="M131" i="1" s="1"/>
  <c r="M132" i="1" a="1"/>
  <c r="M132" i="1" s="1"/>
  <c r="M133" i="1" a="1"/>
  <c r="M133" i="1" s="1"/>
  <c r="M134" i="1" a="1"/>
  <c r="M134" i="1" s="1"/>
  <c r="M135" i="1" a="1"/>
  <c r="M135" i="1" s="1"/>
  <c r="M136" i="1" a="1"/>
  <c r="M136" i="1" s="1"/>
  <c r="M137" i="1" a="1"/>
  <c r="M137" i="1" s="1"/>
  <c r="M138" i="1" a="1"/>
  <c r="M138" i="1" s="1"/>
  <c r="M139" i="1" a="1"/>
  <c r="M139" i="1" s="1"/>
  <c r="M140" i="1" a="1"/>
  <c r="M140" i="1" s="1"/>
  <c r="M141" i="1" a="1"/>
  <c r="M141" i="1" s="1"/>
  <c r="M142" i="1" a="1"/>
  <c r="M142" i="1" s="1"/>
  <c r="M143" i="1" a="1"/>
  <c r="M143" i="1" s="1"/>
  <c r="M144" i="1" a="1"/>
  <c r="M144" i="1" s="1"/>
  <c r="M145" i="1" a="1"/>
  <c r="M145" i="1" s="1"/>
  <c r="M146" i="1" a="1"/>
  <c r="M146" i="1" s="1"/>
  <c r="M147" i="1" a="1"/>
  <c r="M147" i="1" s="1"/>
  <c r="M148" i="1" a="1"/>
  <c r="M148" i="1" s="1"/>
  <c r="M149" i="1" a="1"/>
  <c r="M149" i="1" s="1"/>
  <c r="M150" i="1" a="1"/>
  <c r="M150" i="1" s="1"/>
  <c r="M151" i="1" a="1"/>
  <c r="M151" i="1" s="1"/>
  <c r="M152" i="1" a="1"/>
  <c r="M152" i="1" s="1"/>
  <c r="M153" i="1" a="1"/>
  <c r="M153" i="1" s="1"/>
  <c r="M154" i="1" a="1"/>
  <c r="M154" i="1" s="1"/>
  <c r="M155" i="1" a="1"/>
  <c r="M155" i="1" s="1"/>
  <c r="M156" i="1" a="1"/>
  <c r="M156" i="1" s="1"/>
  <c r="M157" i="1" a="1"/>
  <c r="M157" i="1" s="1"/>
  <c r="M158" i="1" a="1"/>
  <c r="M158" i="1" s="1"/>
  <c r="M159" i="1" a="1"/>
  <c r="M159" i="1" s="1"/>
  <c r="M160" i="1" a="1"/>
  <c r="M160" i="1" s="1"/>
  <c r="M161" i="1" a="1"/>
  <c r="M161" i="1" s="1"/>
  <c r="M162" i="1" a="1"/>
  <c r="M162" i="1" s="1"/>
  <c r="M163" i="1" a="1"/>
  <c r="M163" i="1" s="1"/>
  <c r="M164" i="1" a="1"/>
  <c r="M164" i="1" s="1"/>
  <c r="M165" i="1" a="1"/>
  <c r="M165" i="1" s="1"/>
  <c r="M166" i="1" a="1"/>
  <c r="M166" i="1" s="1"/>
  <c r="M167" i="1" a="1"/>
  <c r="M167" i="1" s="1"/>
  <c r="M168" i="1" a="1"/>
  <c r="M168" i="1" s="1"/>
  <c r="M169" i="1" a="1"/>
  <c r="M169" i="1" s="1"/>
  <c r="M170" i="1" a="1"/>
  <c r="M170" i="1" s="1"/>
  <c r="M171" i="1" a="1"/>
  <c r="M171" i="1" s="1"/>
  <c r="M172" i="1" a="1"/>
  <c r="M172" i="1" s="1"/>
  <c r="M173" i="1" a="1"/>
  <c r="M173" i="1" s="1"/>
  <c r="M174" i="1" a="1"/>
  <c r="M174" i="1" s="1"/>
  <c r="M175" i="1" a="1"/>
  <c r="M175" i="1" s="1"/>
  <c r="M176" i="1" a="1"/>
  <c r="M176" i="1" s="1"/>
  <c r="M177" i="1" a="1"/>
  <c r="M177" i="1" s="1"/>
  <c r="M178" i="1" a="1"/>
  <c r="M178" i="1" s="1"/>
  <c r="M179" i="1" a="1"/>
  <c r="M179" i="1" s="1"/>
  <c r="M180" i="1" a="1"/>
  <c r="M180" i="1" s="1"/>
  <c r="M181" i="1" a="1"/>
  <c r="M181" i="1" s="1"/>
  <c r="M182" i="1" a="1"/>
  <c r="M182" i="1" s="1"/>
  <c r="M183" i="1" a="1"/>
  <c r="M183" i="1" s="1"/>
  <c r="M184" i="1" a="1"/>
  <c r="M184" i="1" s="1"/>
  <c r="M185" i="1" a="1"/>
  <c r="M185" i="1" s="1"/>
  <c r="M186" i="1" a="1"/>
  <c r="M186" i="1" s="1"/>
  <c r="M187" i="1" a="1"/>
  <c r="M187" i="1" s="1"/>
  <c r="M188" i="1" a="1"/>
  <c r="M188" i="1" s="1"/>
  <c r="M189" i="1" a="1"/>
  <c r="M189" i="1" s="1"/>
  <c r="M190" i="1" a="1"/>
  <c r="M190" i="1" s="1"/>
  <c r="M191" i="1" a="1"/>
  <c r="M191" i="1" s="1"/>
  <c r="M192" i="1" a="1"/>
  <c r="M192" i="1" s="1"/>
  <c r="M193" i="1" a="1"/>
  <c r="M193" i="1" s="1"/>
  <c r="M194" i="1" a="1"/>
  <c r="M194" i="1" s="1"/>
  <c r="M195" i="1" a="1"/>
  <c r="M195" i="1" s="1"/>
  <c r="M196" i="1" a="1"/>
  <c r="M196" i="1" s="1"/>
  <c r="M197" i="1" a="1"/>
  <c r="M197" i="1" s="1"/>
  <c r="M198" i="1" a="1"/>
  <c r="M198" i="1" s="1"/>
  <c r="M199" i="1" a="1"/>
  <c r="M199" i="1" s="1"/>
  <c r="M200" i="1" a="1"/>
  <c r="M200" i="1" s="1"/>
  <c r="M201" i="1" a="1"/>
  <c r="M201" i="1" s="1"/>
  <c r="M202" i="1" a="1"/>
  <c r="M202" i="1" s="1"/>
  <c r="M203" i="1" a="1"/>
  <c r="M203" i="1" s="1"/>
  <c r="M204" i="1" a="1"/>
  <c r="M204" i="1" s="1"/>
  <c r="M205" i="1" a="1"/>
  <c r="M205" i="1" s="1"/>
  <c r="M206" i="1" a="1"/>
  <c r="M206" i="1" s="1"/>
  <c r="M207" i="1" a="1"/>
  <c r="M207" i="1" s="1"/>
  <c r="M208" i="1" a="1"/>
  <c r="M208" i="1" s="1"/>
  <c r="M209" i="1" a="1"/>
  <c r="M209" i="1" s="1"/>
  <c r="M210" i="1" a="1"/>
  <c r="M210" i="1" s="1"/>
  <c r="M211" i="1" a="1"/>
  <c r="M211" i="1" s="1"/>
  <c r="M212" i="1" a="1"/>
  <c r="M212" i="1" s="1"/>
  <c r="M213" i="1" a="1"/>
  <c r="M213" i="1" s="1"/>
  <c r="M214" i="1" a="1"/>
  <c r="M214" i="1" s="1"/>
  <c r="M215" i="1" a="1"/>
  <c r="M215" i="1" s="1"/>
  <c r="M216" i="1" a="1"/>
  <c r="M216" i="1" s="1"/>
  <c r="M217" i="1" a="1"/>
  <c r="M217" i="1" s="1"/>
  <c r="M218" i="1" a="1"/>
  <c r="M218" i="1" s="1"/>
  <c r="M219" i="1" a="1"/>
  <c r="M219" i="1" s="1"/>
  <c r="M220" i="1" a="1"/>
  <c r="M220" i="1" s="1"/>
  <c r="M221" i="1" a="1"/>
  <c r="M221" i="1" s="1"/>
  <c r="M222" i="1" a="1"/>
  <c r="M222" i="1" s="1"/>
  <c r="M223" i="1" a="1"/>
  <c r="M223" i="1" s="1"/>
  <c r="M224" i="1" a="1"/>
  <c r="M224" i="1" s="1"/>
  <c r="M225" i="1" a="1"/>
  <c r="M225" i="1" s="1"/>
  <c r="M226" i="1" a="1"/>
  <c r="M226" i="1" s="1"/>
  <c r="M227" i="1" a="1"/>
  <c r="M227" i="1" s="1"/>
  <c r="M228" i="1" a="1"/>
  <c r="M228" i="1" s="1"/>
  <c r="M229" i="1" a="1"/>
  <c r="M229" i="1" s="1"/>
  <c r="M230" i="1" a="1"/>
  <c r="M230" i="1" s="1"/>
  <c r="M231" i="1" a="1"/>
  <c r="M231" i="1" s="1"/>
  <c r="M232" i="1" a="1"/>
  <c r="M232" i="1" s="1"/>
  <c r="M233" i="1" a="1"/>
  <c r="M233" i="1" s="1"/>
  <c r="M234" i="1" a="1"/>
  <c r="M234" i="1" s="1"/>
  <c r="M235" i="1" a="1"/>
  <c r="M235" i="1" s="1"/>
  <c r="M236" i="1" a="1"/>
  <c r="M236" i="1" s="1"/>
  <c r="M237" i="1" a="1"/>
  <c r="M237" i="1" s="1"/>
  <c r="M238" i="1" a="1"/>
  <c r="M238" i="1" s="1"/>
  <c r="M239" i="1" a="1"/>
  <c r="M239" i="1" s="1"/>
  <c r="M240" i="1" a="1"/>
  <c r="M240" i="1" s="1"/>
  <c r="M241" i="1" a="1"/>
  <c r="M241" i="1" s="1"/>
  <c r="M242" i="1" a="1"/>
  <c r="M242" i="1" s="1"/>
  <c r="M243" i="1" a="1"/>
  <c r="M243" i="1" s="1"/>
  <c r="M244" i="1" a="1"/>
  <c r="M244" i="1" s="1"/>
  <c r="M245" i="1" a="1"/>
  <c r="M245" i="1" s="1"/>
  <c r="M246" i="1" a="1"/>
  <c r="M246" i="1" s="1"/>
  <c r="M247" i="1" a="1"/>
  <c r="M247" i="1" s="1"/>
  <c r="M248" i="1" a="1"/>
  <c r="M248" i="1" s="1"/>
  <c r="M249" i="1" a="1"/>
  <c r="M249" i="1" s="1"/>
  <c r="M250" i="1" a="1"/>
  <c r="M250" i="1" s="1"/>
  <c r="M251" i="1" a="1"/>
  <c r="M251" i="1" s="1"/>
  <c r="M252" i="1" a="1"/>
  <c r="M252" i="1" s="1"/>
  <c r="M253" i="1" a="1"/>
  <c r="M253" i="1" s="1"/>
  <c r="M254" i="1" a="1"/>
  <c r="M254" i="1" s="1"/>
  <c r="M255" i="1" a="1"/>
  <c r="M255" i="1" s="1"/>
  <c r="M256" i="1" a="1"/>
  <c r="M256" i="1" s="1"/>
  <c r="M257" i="1" a="1"/>
  <c r="M257" i="1" s="1"/>
  <c r="M258" i="1" a="1"/>
  <c r="M258" i="1" s="1"/>
  <c r="M259" i="1" a="1"/>
  <c r="M259" i="1" s="1"/>
  <c r="M260" i="1" a="1"/>
  <c r="M260" i="1" s="1"/>
  <c r="M261" i="1" a="1"/>
  <c r="M261" i="1" s="1"/>
  <c r="M262" i="1" a="1"/>
  <c r="M262" i="1" s="1"/>
  <c r="M263" i="1" a="1"/>
  <c r="M263" i="1" s="1"/>
  <c r="M264" i="1" a="1"/>
  <c r="M264" i="1" s="1"/>
  <c r="M265" i="1" a="1"/>
  <c r="M265" i="1" s="1"/>
  <c r="M266" i="1" a="1"/>
  <c r="M266" i="1" s="1"/>
  <c r="M267" i="1" a="1"/>
  <c r="M267" i="1" s="1"/>
  <c r="M268" i="1" a="1"/>
  <c r="M268" i="1" s="1"/>
  <c r="M269" i="1" a="1"/>
  <c r="M269" i="1" s="1"/>
  <c r="M270" i="1" a="1"/>
  <c r="M270" i="1" s="1"/>
  <c r="M271" i="1" a="1"/>
  <c r="M271" i="1" s="1"/>
  <c r="M272" i="1" a="1"/>
  <c r="M272" i="1" s="1"/>
  <c r="M273" i="1" a="1"/>
  <c r="M273" i="1" s="1"/>
  <c r="M274" i="1" a="1"/>
  <c r="M274" i="1" s="1"/>
  <c r="M275" i="1" a="1"/>
  <c r="M275" i="1" s="1"/>
  <c r="M276" i="1" a="1"/>
  <c r="M276" i="1" s="1"/>
  <c r="M277" i="1" a="1"/>
  <c r="M277" i="1" s="1"/>
  <c r="M278" i="1" a="1"/>
  <c r="M278" i="1" s="1"/>
  <c r="M279" i="1" a="1"/>
  <c r="M279" i="1" s="1"/>
  <c r="M280" i="1" a="1"/>
  <c r="M280" i="1" s="1"/>
  <c r="M281" i="1" a="1"/>
  <c r="M281" i="1" s="1"/>
  <c r="M282" i="1" a="1"/>
  <c r="M282" i="1" s="1"/>
  <c r="M283" i="1" a="1"/>
  <c r="M283" i="1" s="1"/>
  <c r="M284" i="1" a="1"/>
  <c r="M284" i="1" s="1"/>
  <c r="M285" i="1" a="1"/>
  <c r="M285" i="1" s="1"/>
  <c r="M286" i="1" a="1"/>
  <c r="M286" i="1" s="1"/>
  <c r="M287" i="1" a="1"/>
  <c r="M287" i="1" s="1"/>
  <c r="M288" i="1" a="1"/>
  <c r="M288" i="1" s="1"/>
  <c r="M289" i="1" a="1"/>
  <c r="M289" i="1" s="1"/>
  <c r="M290" i="1" a="1"/>
  <c r="M290" i="1" s="1"/>
  <c r="M291" i="1" a="1"/>
  <c r="M291" i="1" s="1"/>
  <c r="M292" i="1" a="1"/>
  <c r="M292" i="1" s="1"/>
  <c r="M293" i="1" a="1"/>
  <c r="M293" i="1" s="1"/>
  <c r="M294" i="1" a="1"/>
  <c r="M294" i="1" s="1"/>
  <c r="M295" i="1" a="1"/>
  <c r="M295" i="1" s="1"/>
  <c r="M296" i="1" a="1"/>
  <c r="M296" i="1" s="1"/>
  <c r="M297" i="1" a="1"/>
  <c r="M297" i="1" s="1"/>
  <c r="M298" i="1" a="1"/>
  <c r="M298" i="1" s="1"/>
  <c r="M299" i="1" a="1"/>
  <c r="M299" i="1" s="1"/>
  <c r="M300" i="1" a="1"/>
  <c r="M300" i="1" s="1"/>
  <c r="M301" i="1" a="1"/>
  <c r="M301" i="1" s="1"/>
  <c r="M302" i="1" a="1"/>
  <c r="M302" i="1" s="1"/>
  <c r="M303" i="1" a="1"/>
  <c r="M303" i="1" s="1"/>
  <c r="M304" i="1" a="1"/>
  <c r="M304" i="1" s="1"/>
  <c r="M305" i="1" a="1"/>
  <c r="M305" i="1" s="1"/>
  <c r="M306" i="1" a="1"/>
  <c r="M306" i="1" s="1"/>
  <c r="M307" i="1" a="1"/>
  <c r="M307" i="1" s="1"/>
  <c r="M308" i="1" a="1"/>
  <c r="M308" i="1" s="1"/>
  <c r="M309" i="1" a="1"/>
  <c r="M309" i="1" s="1"/>
  <c r="M310" i="1" a="1"/>
  <c r="M310" i="1" s="1"/>
  <c r="M311" i="1" a="1"/>
  <c r="M311" i="1" s="1"/>
  <c r="M312" i="1" a="1"/>
  <c r="M312" i="1" s="1"/>
  <c r="M313" i="1" a="1"/>
  <c r="M313" i="1" s="1"/>
  <c r="M314" i="1" a="1"/>
  <c r="M314" i="1" s="1"/>
  <c r="M315" i="1" a="1"/>
  <c r="M315" i="1" s="1"/>
  <c r="M316" i="1" a="1"/>
  <c r="M316" i="1" s="1"/>
  <c r="M317" i="1" a="1"/>
  <c r="M317" i="1" s="1"/>
  <c r="M318" i="1" a="1"/>
  <c r="M318" i="1" s="1"/>
  <c r="M319" i="1" a="1"/>
  <c r="M319" i="1" s="1"/>
  <c r="M320" i="1" a="1"/>
  <c r="M320" i="1" s="1"/>
  <c r="M321" i="1" a="1"/>
  <c r="M321" i="1" s="1"/>
  <c r="M322" i="1" a="1"/>
  <c r="M322" i="1" s="1"/>
  <c r="M323" i="1" a="1"/>
  <c r="M323" i="1" s="1"/>
  <c r="M324" i="1" a="1"/>
  <c r="M324" i="1" s="1"/>
  <c r="M325" i="1" a="1"/>
  <c r="M325" i="1" s="1"/>
  <c r="M326" i="1" a="1"/>
  <c r="M326" i="1" s="1"/>
  <c r="M327" i="1" a="1"/>
  <c r="M327" i="1" s="1"/>
  <c r="M328" i="1" a="1"/>
  <c r="M328" i="1" s="1"/>
  <c r="M329" i="1" a="1"/>
  <c r="M329" i="1" s="1"/>
  <c r="M330" i="1" a="1"/>
  <c r="M330" i="1" s="1"/>
  <c r="M331" i="1" a="1"/>
  <c r="M331" i="1" s="1"/>
  <c r="M332" i="1" a="1"/>
  <c r="M332" i="1" s="1"/>
  <c r="M333" i="1" a="1"/>
  <c r="M333" i="1" s="1"/>
  <c r="M334" i="1" a="1"/>
  <c r="M334" i="1" s="1"/>
  <c r="M335" i="1" a="1"/>
  <c r="M335" i="1" s="1"/>
  <c r="M336" i="1" a="1"/>
  <c r="M336" i="1" s="1"/>
  <c r="M337" i="1" a="1"/>
  <c r="M337" i="1" s="1"/>
  <c r="M338" i="1" a="1"/>
  <c r="M338" i="1" s="1"/>
  <c r="M339" i="1" a="1"/>
  <c r="M339" i="1" s="1"/>
  <c r="M340" i="1" a="1"/>
  <c r="M340" i="1" s="1"/>
  <c r="M341" i="1" a="1"/>
  <c r="M341" i="1" s="1"/>
  <c r="M342" i="1" a="1"/>
  <c r="M342" i="1" s="1"/>
  <c r="M343" i="1" a="1"/>
  <c r="M343" i="1" s="1"/>
  <c r="M344" i="1" a="1"/>
  <c r="M344" i="1" s="1"/>
  <c r="M345" i="1" a="1"/>
  <c r="M345" i="1" s="1"/>
  <c r="M346" i="1" a="1"/>
  <c r="M346" i="1" s="1"/>
  <c r="M347" i="1" a="1"/>
  <c r="M347" i="1" s="1"/>
  <c r="M348" i="1" a="1"/>
  <c r="M348" i="1" s="1"/>
  <c r="M349" i="1" a="1"/>
  <c r="M349" i="1" s="1"/>
  <c r="M350" i="1" a="1"/>
  <c r="M350" i="1" s="1"/>
  <c r="M351" i="1" a="1"/>
  <c r="M351" i="1" s="1"/>
  <c r="M352" i="1" a="1"/>
  <c r="M352" i="1" s="1"/>
  <c r="M353" i="1" a="1"/>
  <c r="M353" i="1" s="1"/>
  <c r="M354" i="1" a="1"/>
  <c r="M354" i="1" s="1"/>
  <c r="M355" i="1" a="1"/>
  <c r="M355" i="1" s="1"/>
  <c r="M356" i="1" a="1"/>
  <c r="M356" i="1" s="1"/>
  <c r="M357" i="1" a="1"/>
  <c r="M357" i="1" s="1"/>
  <c r="M358" i="1" a="1"/>
  <c r="M358" i="1" s="1"/>
  <c r="M359" i="1" a="1"/>
  <c r="M359" i="1" s="1"/>
  <c r="M360" i="1" a="1"/>
  <c r="M360" i="1" s="1"/>
  <c r="M361" i="1" a="1"/>
  <c r="M361" i="1" s="1"/>
  <c r="M362" i="1" a="1"/>
  <c r="M362" i="1" s="1"/>
  <c r="M363" i="1" a="1"/>
  <c r="M363" i="1" s="1"/>
  <c r="M364" i="1" a="1"/>
  <c r="M364" i="1" s="1"/>
  <c r="M365" i="1" a="1"/>
  <c r="M365" i="1" s="1"/>
  <c r="M366" i="1" a="1"/>
  <c r="M366" i="1" s="1"/>
  <c r="M367" i="1" a="1"/>
  <c r="M367" i="1" s="1"/>
  <c r="M368" i="1" a="1"/>
  <c r="M368" i="1" s="1"/>
  <c r="M369" i="1" a="1"/>
  <c r="M369" i="1" s="1"/>
  <c r="M370" i="1" a="1"/>
  <c r="M370" i="1" s="1"/>
  <c r="M371" i="1" a="1"/>
  <c r="M371" i="1" s="1"/>
  <c r="M372" i="1" a="1"/>
  <c r="M372" i="1" s="1"/>
  <c r="M373" i="1" a="1"/>
  <c r="M373" i="1" s="1"/>
  <c r="M374" i="1" a="1"/>
  <c r="M374" i="1" s="1"/>
  <c r="M375" i="1" a="1"/>
  <c r="M375" i="1" s="1"/>
  <c r="M376" i="1" a="1"/>
  <c r="M376" i="1" s="1"/>
  <c r="M377" i="1" a="1"/>
  <c r="M377" i="1" s="1"/>
  <c r="M378" i="1" a="1"/>
  <c r="M378" i="1" s="1"/>
  <c r="M379" i="1" a="1"/>
  <c r="M379" i="1" s="1"/>
  <c r="M380" i="1" a="1"/>
  <c r="M380" i="1" s="1"/>
  <c r="M381" i="1" a="1"/>
  <c r="M381" i="1" s="1"/>
  <c r="M382" i="1" a="1"/>
  <c r="M382" i="1" s="1"/>
  <c r="M383" i="1" a="1"/>
  <c r="M383" i="1" s="1"/>
  <c r="M384" i="1" a="1"/>
  <c r="M384" i="1" s="1"/>
  <c r="M385" i="1" a="1"/>
  <c r="M385" i="1" s="1"/>
  <c r="M386" i="1" a="1"/>
  <c r="M386" i="1" s="1"/>
  <c r="M387" i="1" a="1"/>
  <c r="M387" i="1" s="1"/>
  <c r="M388" i="1" a="1"/>
  <c r="M388" i="1" s="1"/>
  <c r="M389" i="1" a="1"/>
  <c r="M389" i="1" s="1"/>
  <c r="M390" i="1" a="1"/>
  <c r="M390" i="1" s="1"/>
  <c r="M391" i="1" a="1"/>
  <c r="M391" i="1" s="1"/>
  <c r="M392" i="1" a="1"/>
  <c r="M392" i="1" s="1"/>
  <c r="M393" i="1" a="1"/>
  <c r="M393" i="1" s="1"/>
  <c r="M394" i="1" a="1"/>
  <c r="M394" i="1" s="1"/>
  <c r="M395" i="1" a="1"/>
  <c r="M395" i="1" s="1"/>
  <c r="M396" i="1" a="1"/>
  <c r="M396" i="1" s="1"/>
  <c r="M397" i="1" a="1"/>
  <c r="M397" i="1" s="1"/>
  <c r="M398" i="1" a="1"/>
  <c r="M398" i="1" s="1"/>
  <c r="M399" i="1" a="1"/>
  <c r="M399" i="1" s="1"/>
  <c r="M400" i="1" a="1"/>
  <c r="M400" i="1" s="1"/>
  <c r="M401" i="1" a="1"/>
  <c r="M401" i="1" s="1"/>
  <c r="M402" i="1" a="1"/>
  <c r="M402" i="1" s="1"/>
  <c r="M403" i="1" a="1"/>
  <c r="M403" i="1" s="1"/>
  <c r="M404" i="1" a="1"/>
  <c r="M404" i="1" s="1"/>
  <c r="M405" i="1" a="1"/>
  <c r="M405" i="1" s="1"/>
  <c r="M406" i="1" a="1"/>
  <c r="M406" i="1" s="1"/>
  <c r="M407" i="1" a="1"/>
  <c r="M407" i="1" s="1"/>
  <c r="M408" i="1" a="1"/>
  <c r="M408" i="1" s="1"/>
  <c r="M409" i="1" a="1"/>
  <c r="M409" i="1" s="1"/>
  <c r="M410" i="1" a="1"/>
  <c r="M410" i="1" s="1"/>
  <c r="M411" i="1" a="1"/>
  <c r="M411" i="1" s="1"/>
  <c r="M412" i="1" a="1"/>
  <c r="M412" i="1" s="1"/>
  <c r="M413" i="1" a="1"/>
  <c r="M413" i="1" s="1"/>
  <c r="M414" i="1" a="1"/>
  <c r="M414" i="1" s="1"/>
  <c r="M415" i="1" a="1"/>
  <c r="M415" i="1" s="1"/>
  <c r="M416" i="1" a="1"/>
  <c r="M416" i="1" s="1"/>
  <c r="M417" i="1" a="1"/>
  <c r="M417" i="1" s="1"/>
  <c r="M418" i="1" a="1"/>
  <c r="M418" i="1" s="1"/>
  <c r="M419" i="1" a="1"/>
  <c r="M419" i="1" s="1"/>
  <c r="M420" i="1" a="1"/>
  <c r="M420" i="1" s="1"/>
  <c r="M421" i="1" a="1"/>
  <c r="M421" i="1" s="1"/>
  <c r="M422" i="1" a="1"/>
  <c r="M422" i="1" s="1"/>
  <c r="M423" i="1" a="1"/>
  <c r="M423" i="1" s="1"/>
  <c r="M424" i="1" a="1"/>
  <c r="M424" i="1" s="1"/>
  <c r="M425" i="1" a="1"/>
  <c r="M425" i="1" s="1"/>
  <c r="M426" i="1" a="1"/>
  <c r="M426" i="1" s="1"/>
  <c r="M427" i="1" a="1"/>
  <c r="M427" i="1" s="1"/>
  <c r="M428" i="1" a="1"/>
  <c r="M428" i="1" s="1"/>
  <c r="M429" i="1" a="1"/>
  <c r="M429" i="1" s="1"/>
  <c r="M430" i="1" a="1"/>
  <c r="M430" i="1" s="1"/>
  <c r="M431" i="1" a="1"/>
  <c r="M431" i="1" s="1"/>
  <c r="M432" i="1" a="1"/>
  <c r="M432" i="1" s="1"/>
  <c r="M433" i="1" a="1"/>
  <c r="M433" i="1" s="1"/>
  <c r="M434" i="1" a="1"/>
  <c r="M434" i="1" s="1"/>
  <c r="M435" i="1" a="1"/>
  <c r="M435" i="1" s="1"/>
  <c r="M436" i="1" a="1"/>
  <c r="M436" i="1" s="1"/>
  <c r="M437" i="1" a="1"/>
  <c r="M437" i="1" s="1"/>
  <c r="M438" i="1" a="1"/>
  <c r="M438" i="1" s="1"/>
  <c r="M439" i="1" a="1"/>
  <c r="M439" i="1" s="1"/>
  <c r="M440" i="1" a="1"/>
  <c r="M440" i="1" s="1"/>
  <c r="M441" i="1" a="1"/>
  <c r="M441" i="1" s="1"/>
  <c r="M442" i="1" a="1"/>
  <c r="M442" i="1" s="1"/>
  <c r="M443" i="1" a="1"/>
  <c r="M443" i="1" s="1"/>
  <c r="M444" i="1" a="1"/>
  <c r="M444" i="1" s="1"/>
  <c r="M445" i="1" a="1"/>
  <c r="M445" i="1" s="1"/>
  <c r="M446" i="1" a="1"/>
  <c r="M446" i="1" s="1"/>
  <c r="M447" i="1" a="1"/>
  <c r="M447" i="1" s="1"/>
  <c r="M448" i="1" a="1"/>
  <c r="M448" i="1" s="1"/>
  <c r="M449" i="1" a="1"/>
  <c r="M449" i="1" s="1"/>
  <c r="M450" i="1" a="1"/>
  <c r="M450" i="1" s="1"/>
  <c r="M451" i="1" a="1"/>
  <c r="M451" i="1" s="1"/>
  <c r="M452" i="1" a="1"/>
  <c r="M452" i="1" s="1"/>
  <c r="M453" i="1" a="1"/>
  <c r="M453" i="1" s="1"/>
  <c r="M454" i="1" a="1"/>
  <c r="M454" i="1" s="1"/>
  <c r="M455" i="1" a="1"/>
  <c r="M455" i="1" s="1"/>
  <c r="M456" i="1" a="1"/>
  <c r="M456" i="1" s="1"/>
  <c r="M457" i="1" a="1"/>
  <c r="M457" i="1" s="1"/>
  <c r="M458" i="1" a="1"/>
  <c r="M458" i="1" s="1"/>
  <c r="M459" i="1" a="1"/>
  <c r="M459" i="1" s="1"/>
  <c r="M460" i="1" a="1"/>
  <c r="M460" i="1" s="1"/>
  <c r="M461" i="1" a="1"/>
  <c r="M461" i="1" s="1"/>
  <c r="M462" i="1" a="1"/>
  <c r="M462" i="1" s="1"/>
  <c r="M463" i="1" a="1"/>
  <c r="M463" i="1" s="1"/>
  <c r="M464" i="1" a="1"/>
  <c r="M464" i="1" s="1"/>
  <c r="M465" i="1" a="1"/>
  <c r="M465" i="1" s="1"/>
  <c r="M466" i="1" a="1"/>
  <c r="M466" i="1" s="1"/>
  <c r="M467" i="1" a="1"/>
  <c r="M467" i="1" s="1"/>
  <c r="M468" i="1" a="1"/>
  <c r="M468" i="1" s="1"/>
  <c r="M469" i="1" a="1"/>
  <c r="M469" i="1" s="1"/>
  <c r="M470" i="1" a="1"/>
  <c r="M470" i="1" s="1"/>
  <c r="M471" i="1" a="1"/>
  <c r="M471" i="1" s="1"/>
  <c r="M472" i="1" a="1"/>
  <c r="M472" i="1" s="1"/>
  <c r="M473" i="1" a="1"/>
  <c r="M473" i="1" s="1"/>
  <c r="M474" i="1" a="1"/>
  <c r="M474" i="1" s="1"/>
  <c r="M475" i="1" a="1"/>
  <c r="M475" i="1" s="1"/>
  <c r="M476" i="1" a="1"/>
  <c r="M476" i="1" s="1"/>
  <c r="M477" i="1" a="1"/>
  <c r="M477" i="1" s="1"/>
  <c r="M478" i="1" a="1"/>
  <c r="M478" i="1" s="1"/>
  <c r="M479" i="1" a="1"/>
  <c r="M479" i="1" s="1"/>
  <c r="M480" i="1" a="1"/>
  <c r="M480" i="1" s="1"/>
  <c r="M481" i="1" a="1"/>
  <c r="M481" i="1" s="1"/>
  <c r="M482" i="1" a="1"/>
  <c r="M482" i="1" s="1"/>
  <c r="M483" i="1" a="1"/>
  <c r="M483" i="1" s="1"/>
  <c r="M484" i="1" a="1"/>
  <c r="M484" i="1" s="1"/>
  <c r="M485" i="1" a="1"/>
  <c r="M485" i="1" s="1"/>
  <c r="M486" i="1" a="1"/>
  <c r="M486" i="1" s="1"/>
  <c r="M487" i="1" a="1"/>
  <c r="M487" i="1" s="1"/>
  <c r="M488" i="1" a="1"/>
  <c r="M488" i="1" s="1"/>
  <c r="M489" i="1" a="1"/>
  <c r="M489" i="1" s="1"/>
  <c r="M490" i="1" a="1"/>
  <c r="M490" i="1" s="1"/>
  <c r="M491" i="1" a="1"/>
  <c r="M491" i="1" s="1"/>
  <c r="M492" i="1" a="1"/>
  <c r="M492" i="1" s="1"/>
  <c r="M493" i="1" a="1"/>
  <c r="M493" i="1" s="1"/>
  <c r="M494" i="1" a="1"/>
  <c r="M494" i="1" s="1"/>
  <c r="M495" i="1" a="1"/>
  <c r="M495" i="1" s="1"/>
  <c r="M496" i="1" a="1"/>
  <c r="M496" i="1" s="1"/>
  <c r="M497" i="1" a="1"/>
  <c r="M497" i="1" s="1"/>
  <c r="M498" i="1" a="1"/>
  <c r="M498" i="1" s="1"/>
  <c r="M499" i="1" a="1"/>
  <c r="M499" i="1" s="1"/>
  <c r="M500" i="1" a="1"/>
  <c r="M500" i="1" s="1"/>
  <c r="M501" i="1" a="1"/>
  <c r="M501" i="1" s="1"/>
  <c r="M502" i="1" a="1"/>
  <c r="M502" i="1" s="1"/>
  <c r="M503" i="1" a="1"/>
  <c r="M503" i="1" s="1"/>
  <c r="M504" i="1" a="1"/>
  <c r="M504" i="1" s="1"/>
  <c r="M505" i="1" a="1"/>
  <c r="M505" i="1" s="1"/>
  <c r="M506" i="1" a="1"/>
  <c r="M506" i="1" s="1"/>
  <c r="M507" i="1" a="1"/>
  <c r="M507" i="1" s="1"/>
  <c r="M508" i="1" a="1"/>
  <c r="M508" i="1" s="1"/>
  <c r="M509" i="1" a="1"/>
  <c r="M509" i="1" s="1"/>
  <c r="M510" i="1" a="1"/>
  <c r="M510" i="1" s="1"/>
  <c r="M511" i="1" a="1"/>
  <c r="M511" i="1" s="1"/>
  <c r="M512" i="1" a="1"/>
  <c r="M512" i="1" s="1"/>
  <c r="M513" i="1" a="1"/>
  <c r="M513" i="1" s="1"/>
  <c r="M514" i="1" a="1"/>
  <c r="M514" i="1" s="1"/>
  <c r="M515" i="1" a="1"/>
  <c r="M515" i="1" s="1"/>
  <c r="M516" i="1" a="1"/>
  <c r="M516" i="1" s="1"/>
  <c r="M517" i="1" a="1"/>
  <c r="M517" i="1" s="1"/>
  <c r="M518" i="1" a="1"/>
  <c r="M518" i="1" s="1"/>
  <c r="M519" i="1" a="1"/>
  <c r="M519" i="1" s="1"/>
  <c r="M520" i="1" a="1"/>
  <c r="M520" i="1" s="1"/>
  <c r="M521" i="1" a="1"/>
  <c r="M521" i="1" s="1"/>
  <c r="M522" i="1" a="1"/>
  <c r="M522" i="1" s="1"/>
  <c r="M523" i="1" a="1"/>
  <c r="M523" i="1" s="1"/>
  <c r="M524" i="1" a="1"/>
  <c r="M524" i="1" s="1"/>
  <c r="M525" i="1" a="1"/>
  <c r="M525" i="1" s="1"/>
  <c r="M526" i="1" a="1"/>
  <c r="M526" i="1" s="1"/>
  <c r="M527" i="1" a="1"/>
  <c r="M527" i="1" s="1"/>
  <c r="M528" i="1" a="1"/>
  <c r="M528" i="1" s="1"/>
  <c r="M529" i="1" a="1"/>
  <c r="M529" i="1" s="1"/>
  <c r="M530" i="1" a="1"/>
  <c r="M530" i="1" s="1"/>
  <c r="M531" i="1" a="1"/>
  <c r="M531" i="1" s="1"/>
  <c r="M532" i="1" a="1"/>
  <c r="M532" i="1" s="1"/>
  <c r="M533" i="1" a="1"/>
  <c r="M533" i="1" s="1"/>
  <c r="M534" i="1" a="1"/>
  <c r="M534" i="1" s="1"/>
  <c r="M535" i="1" a="1"/>
  <c r="M535" i="1" s="1"/>
  <c r="M536" i="1" a="1"/>
  <c r="M536" i="1" s="1"/>
  <c r="M537" i="1" a="1"/>
  <c r="M537" i="1" s="1"/>
  <c r="M538" i="1" a="1"/>
  <c r="M538" i="1" s="1"/>
  <c r="M539" i="1" a="1"/>
  <c r="M539" i="1" s="1"/>
  <c r="M540" i="1" a="1"/>
  <c r="M540" i="1" s="1"/>
  <c r="M541" i="1" a="1"/>
  <c r="M541" i="1" s="1"/>
  <c r="M542" i="1" a="1"/>
  <c r="M542" i="1" s="1"/>
  <c r="M543" i="1" a="1"/>
  <c r="M543" i="1" s="1"/>
  <c r="M544" i="1" a="1"/>
  <c r="M544" i="1" s="1"/>
  <c r="M545" i="1" a="1"/>
  <c r="M545" i="1" s="1"/>
  <c r="M546" i="1" a="1"/>
  <c r="M546" i="1" s="1"/>
  <c r="M547" i="1" a="1"/>
  <c r="M547" i="1" s="1"/>
  <c r="M548" i="1" a="1"/>
  <c r="M548" i="1" s="1"/>
  <c r="M549" i="1" a="1"/>
  <c r="M549" i="1" s="1"/>
  <c r="M550" i="1" a="1"/>
  <c r="M550" i="1" s="1"/>
  <c r="M551" i="1" a="1"/>
  <c r="M551" i="1" s="1"/>
  <c r="M552" i="1" a="1"/>
  <c r="M552" i="1" s="1"/>
  <c r="M553" i="1" a="1"/>
  <c r="M553" i="1" s="1"/>
  <c r="M554" i="1" a="1"/>
  <c r="M554" i="1" s="1"/>
  <c r="M555" i="1" a="1"/>
  <c r="M555" i="1" s="1"/>
  <c r="M556" i="1" a="1"/>
  <c r="M556" i="1" s="1"/>
  <c r="M557" i="1" a="1"/>
  <c r="M557" i="1" s="1"/>
  <c r="M558" i="1" a="1"/>
  <c r="M558" i="1" s="1"/>
  <c r="M559" i="1" a="1"/>
  <c r="M559" i="1" s="1"/>
  <c r="M560" i="1" a="1"/>
  <c r="M560" i="1" s="1"/>
  <c r="M561" i="1" a="1"/>
  <c r="M561" i="1" s="1"/>
  <c r="M562" i="1" a="1"/>
  <c r="M562" i="1" s="1"/>
  <c r="M563" i="1" a="1"/>
  <c r="M563" i="1" s="1"/>
  <c r="M564" i="1" a="1"/>
  <c r="M564" i="1" s="1"/>
  <c r="M565" i="1" a="1"/>
  <c r="M565" i="1" s="1"/>
  <c r="M566" i="1" a="1"/>
  <c r="M566" i="1" s="1"/>
  <c r="M567" i="1" a="1"/>
  <c r="M567" i="1" s="1"/>
  <c r="M568" i="1" a="1"/>
  <c r="M568" i="1" s="1"/>
  <c r="M569" i="1" a="1"/>
  <c r="M569" i="1" s="1"/>
  <c r="M570" i="1" a="1"/>
  <c r="M570" i="1" s="1"/>
  <c r="M571" i="1" a="1"/>
  <c r="M571" i="1" s="1"/>
  <c r="M572" i="1" a="1"/>
  <c r="M572" i="1" s="1"/>
  <c r="M573" i="1" a="1"/>
  <c r="M573" i="1" s="1"/>
  <c r="M574" i="1" a="1"/>
  <c r="M574" i="1" s="1"/>
  <c r="M575" i="1" a="1"/>
  <c r="M575" i="1" s="1"/>
  <c r="M576" i="1" a="1"/>
  <c r="M576" i="1" s="1"/>
  <c r="M577" i="1" a="1"/>
  <c r="M577" i="1" s="1"/>
  <c r="M578" i="1" a="1"/>
  <c r="M578" i="1" s="1"/>
  <c r="M579" i="1" a="1"/>
  <c r="M579" i="1" s="1"/>
  <c r="M580" i="1" a="1"/>
  <c r="M580" i="1" s="1"/>
  <c r="M581" i="1" a="1"/>
  <c r="M581" i="1" s="1"/>
  <c r="M582" i="1" a="1"/>
  <c r="M582" i="1" s="1"/>
  <c r="M583" i="1" a="1"/>
  <c r="M583" i="1" s="1"/>
  <c r="M584" i="1" a="1"/>
  <c r="M584" i="1" s="1"/>
  <c r="M585" i="1" a="1"/>
  <c r="M585" i="1" s="1"/>
  <c r="M586" i="1" a="1"/>
  <c r="M586" i="1" s="1"/>
  <c r="M587" i="1" a="1"/>
  <c r="M587" i="1" s="1"/>
  <c r="M588" i="1" a="1"/>
  <c r="M588" i="1" s="1"/>
  <c r="M589" i="1" a="1"/>
  <c r="M589" i="1" s="1"/>
  <c r="M590" i="1" a="1"/>
  <c r="M590" i="1" s="1"/>
  <c r="M591" i="1" a="1"/>
  <c r="M591" i="1" s="1"/>
  <c r="M592" i="1" a="1"/>
  <c r="M592" i="1" s="1"/>
  <c r="M593" i="1" a="1"/>
  <c r="M593" i="1" s="1"/>
  <c r="M594" i="1" a="1"/>
  <c r="M594" i="1" s="1"/>
  <c r="M595" i="1" a="1"/>
  <c r="M595" i="1" s="1"/>
  <c r="M596" i="1" a="1"/>
  <c r="M596" i="1" s="1"/>
  <c r="M597" i="1" a="1"/>
  <c r="M597" i="1" s="1"/>
  <c r="M598" i="1" a="1"/>
  <c r="M598" i="1" s="1"/>
  <c r="M599" i="1" a="1"/>
  <c r="M599" i="1" s="1"/>
  <c r="M600" i="1" a="1"/>
  <c r="M600" i="1" s="1"/>
  <c r="M601" i="1" a="1"/>
  <c r="M601" i="1" s="1"/>
  <c r="M602" i="1" a="1"/>
  <c r="M602" i="1" s="1"/>
  <c r="M603" i="1" a="1"/>
  <c r="M603" i="1" s="1"/>
  <c r="M604" i="1" a="1"/>
  <c r="M604" i="1" s="1"/>
  <c r="M605" i="1" a="1"/>
  <c r="M605" i="1" s="1"/>
  <c r="M606" i="1" a="1"/>
  <c r="M606" i="1" s="1"/>
  <c r="M607" i="1" a="1"/>
  <c r="M607" i="1" s="1"/>
  <c r="M608" i="1" a="1"/>
  <c r="M608" i="1" s="1"/>
  <c r="M609" i="1" a="1"/>
  <c r="M609" i="1" s="1"/>
  <c r="M610" i="1" a="1"/>
  <c r="M610" i="1" s="1"/>
  <c r="M611" i="1" a="1"/>
  <c r="M611" i="1" s="1"/>
  <c r="M612" i="1" a="1"/>
  <c r="M612" i="1" s="1"/>
  <c r="M613" i="1" a="1"/>
  <c r="M613" i="1" s="1"/>
  <c r="M614" i="1" a="1"/>
  <c r="M614" i="1" s="1"/>
  <c r="M615" i="1" a="1"/>
  <c r="M615" i="1" s="1"/>
  <c r="M616" i="1" a="1"/>
  <c r="M616" i="1" s="1"/>
  <c r="M617" i="1" a="1"/>
  <c r="M617" i="1" s="1"/>
  <c r="M618" i="1" a="1"/>
  <c r="M618" i="1" s="1"/>
  <c r="M619" i="1" a="1"/>
  <c r="M619" i="1" s="1"/>
  <c r="M620" i="1" a="1"/>
  <c r="M620" i="1" s="1"/>
  <c r="M621" i="1" a="1"/>
  <c r="M621" i="1" s="1"/>
  <c r="M622" i="1" a="1"/>
  <c r="M622" i="1" s="1"/>
  <c r="M623" i="1" a="1"/>
  <c r="M623" i="1" s="1"/>
  <c r="M624" i="1" a="1"/>
  <c r="M624" i="1" s="1"/>
  <c r="M625" i="1" a="1"/>
  <c r="M625" i="1" s="1"/>
  <c r="M626" i="1" a="1"/>
  <c r="M626" i="1" s="1"/>
  <c r="M627" i="1" a="1"/>
  <c r="M627" i="1" s="1"/>
  <c r="M628" i="1" a="1"/>
  <c r="M628" i="1" s="1"/>
  <c r="M629" i="1" a="1"/>
  <c r="M629" i="1" s="1"/>
  <c r="M630" i="1" a="1"/>
  <c r="M630" i="1" s="1"/>
  <c r="M631" i="1" a="1"/>
  <c r="M631" i="1" s="1"/>
  <c r="M632" i="1" a="1"/>
  <c r="M632" i="1" s="1"/>
  <c r="M633" i="1" a="1"/>
  <c r="M633" i="1" s="1"/>
  <c r="M634" i="1" a="1"/>
  <c r="M634" i="1" s="1"/>
  <c r="M635" i="1" a="1"/>
  <c r="M635" i="1" s="1"/>
  <c r="M636" i="1" a="1"/>
  <c r="M636" i="1" s="1"/>
  <c r="M637" i="1" a="1"/>
  <c r="M637" i="1" s="1"/>
  <c r="M638" i="1" a="1"/>
  <c r="M638" i="1" s="1"/>
  <c r="M639" i="1" a="1"/>
  <c r="M639" i="1" s="1"/>
  <c r="M640" i="1" a="1"/>
  <c r="M640" i="1" s="1"/>
  <c r="M641" i="1" a="1"/>
  <c r="M641" i="1" s="1"/>
  <c r="M642" i="1" a="1"/>
  <c r="M642" i="1" s="1"/>
  <c r="M643" i="1" a="1"/>
  <c r="M643" i="1" s="1"/>
  <c r="M644" i="1" a="1"/>
  <c r="M644" i="1" s="1"/>
  <c r="M645" i="1" a="1"/>
  <c r="M645" i="1" s="1"/>
  <c r="M646" i="1" a="1"/>
  <c r="M646" i="1" s="1"/>
  <c r="M647" i="1" a="1"/>
  <c r="M647" i="1" s="1"/>
  <c r="M648" i="1" a="1"/>
  <c r="M648" i="1" s="1"/>
  <c r="M649" i="1" a="1"/>
  <c r="M649" i="1" s="1"/>
  <c r="M650" i="1" a="1"/>
  <c r="M650" i="1" s="1"/>
  <c r="M651" i="1" a="1"/>
  <c r="M651" i="1" s="1"/>
  <c r="M652" i="1" a="1"/>
  <c r="M652" i="1" s="1"/>
  <c r="M653" i="1" a="1"/>
  <c r="M653" i="1" s="1"/>
  <c r="M654" i="1" a="1"/>
  <c r="M654" i="1" s="1"/>
  <c r="M655" i="1" a="1"/>
  <c r="M655" i="1" s="1"/>
  <c r="M656" i="1" a="1"/>
  <c r="M656" i="1" s="1"/>
  <c r="M657" i="1" a="1"/>
  <c r="M657" i="1" s="1"/>
  <c r="M658" i="1" a="1"/>
  <c r="M658" i="1" s="1"/>
  <c r="M659" i="1" a="1"/>
  <c r="M659" i="1" s="1"/>
  <c r="M660" i="1" a="1"/>
  <c r="M660" i="1" s="1"/>
  <c r="M661" i="1" a="1"/>
  <c r="M661" i="1" s="1"/>
  <c r="M662" i="1" a="1"/>
  <c r="M662" i="1" s="1"/>
  <c r="M663" i="1" a="1"/>
  <c r="M663" i="1" s="1"/>
  <c r="M664" i="1" a="1"/>
  <c r="M664" i="1" s="1"/>
  <c r="M665" i="1" a="1"/>
  <c r="M665" i="1" s="1"/>
  <c r="M666" i="1" a="1"/>
  <c r="M666" i="1" s="1"/>
  <c r="M667" i="1" a="1"/>
  <c r="M667" i="1" s="1"/>
  <c r="M668" i="1" a="1"/>
  <c r="M668" i="1" s="1"/>
  <c r="M669" i="1" a="1"/>
  <c r="M669" i="1" s="1"/>
  <c r="M670" i="1" a="1"/>
  <c r="M670" i="1" s="1"/>
  <c r="M671" i="1" a="1"/>
  <c r="M671" i="1" s="1"/>
  <c r="M672" i="1" a="1"/>
  <c r="M672" i="1" s="1"/>
  <c r="M673" i="1" a="1"/>
  <c r="M673" i="1" s="1"/>
  <c r="M674" i="1" a="1"/>
  <c r="M674" i="1" s="1"/>
  <c r="M675" i="1" a="1"/>
  <c r="M675" i="1" s="1"/>
  <c r="M676" i="1" a="1"/>
  <c r="M676" i="1" s="1"/>
  <c r="M677" i="1" a="1"/>
  <c r="M677" i="1" s="1"/>
  <c r="M678" i="1" a="1"/>
  <c r="M678" i="1" s="1"/>
  <c r="M679" i="1" a="1"/>
  <c r="M679" i="1" s="1"/>
  <c r="M680" i="1" a="1"/>
  <c r="M680" i="1" s="1"/>
  <c r="M681" i="1" a="1"/>
  <c r="M681" i="1" s="1"/>
  <c r="M682" i="1" a="1"/>
  <c r="M682" i="1" s="1"/>
  <c r="M683" i="1" a="1"/>
  <c r="M683" i="1" s="1"/>
  <c r="M684" i="1" a="1"/>
  <c r="M684" i="1" s="1"/>
  <c r="M685" i="1" a="1"/>
  <c r="M685" i="1" s="1"/>
  <c r="M686" i="1" a="1"/>
  <c r="M686" i="1" s="1"/>
  <c r="M687" i="1" a="1"/>
  <c r="M687" i="1" s="1"/>
  <c r="M688" i="1" a="1"/>
  <c r="M688" i="1" s="1"/>
  <c r="M689" i="1" a="1"/>
  <c r="M689" i="1" s="1"/>
  <c r="M690" i="1" a="1"/>
  <c r="M690" i="1" s="1"/>
  <c r="M691" i="1" a="1"/>
  <c r="M691" i="1" s="1"/>
  <c r="M692" i="1" a="1"/>
  <c r="M692" i="1" s="1"/>
  <c r="M693" i="1" a="1"/>
  <c r="M693" i="1" s="1"/>
  <c r="M694" i="1" a="1"/>
  <c r="M694" i="1" s="1"/>
  <c r="M695" i="1" a="1"/>
  <c r="M695" i="1" s="1"/>
  <c r="M696" i="1" a="1"/>
  <c r="M696" i="1" s="1"/>
  <c r="M697" i="1" a="1"/>
  <c r="M697" i="1" s="1"/>
  <c r="M698" i="1" a="1"/>
  <c r="M698" i="1" s="1"/>
  <c r="M699" i="1" a="1"/>
  <c r="M699" i="1" s="1"/>
  <c r="M700" i="1" a="1"/>
  <c r="M700" i="1" s="1"/>
  <c r="M701" i="1" a="1"/>
  <c r="M701" i="1" s="1"/>
  <c r="M702" i="1" a="1"/>
  <c r="M702" i="1" s="1"/>
  <c r="M703" i="1" a="1"/>
  <c r="M703" i="1" s="1"/>
  <c r="M704" i="1" a="1"/>
  <c r="M704" i="1" s="1"/>
  <c r="M705" i="1" a="1"/>
  <c r="M705" i="1" s="1"/>
  <c r="M706" i="1" a="1"/>
  <c r="M706" i="1" s="1"/>
  <c r="M707" i="1" a="1"/>
  <c r="M707" i="1" s="1"/>
  <c r="M708" i="1" a="1"/>
  <c r="M708" i="1" s="1"/>
  <c r="M709" i="1" a="1"/>
  <c r="M709" i="1" s="1"/>
  <c r="M710" i="1" a="1"/>
  <c r="M710" i="1" s="1"/>
  <c r="M711" i="1" a="1"/>
  <c r="M711" i="1" s="1"/>
  <c r="M712" i="1" a="1"/>
  <c r="M712" i="1" s="1"/>
  <c r="M713" i="1" a="1"/>
  <c r="M713" i="1" s="1"/>
  <c r="M714" i="1" a="1"/>
  <c r="M714" i="1" s="1"/>
  <c r="M715" i="1" a="1"/>
  <c r="M715" i="1" s="1"/>
  <c r="M716" i="1" a="1"/>
  <c r="M716" i="1" s="1"/>
  <c r="M717" i="1" a="1"/>
  <c r="M717" i="1" s="1"/>
  <c r="M718" i="1" a="1"/>
  <c r="M718" i="1" s="1"/>
  <c r="M719" i="1" a="1"/>
  <c r="M719" i="1" s="1"/>
  <c r="M720" i="1" a="1"/>
  <c r="M720" i="1" s="1"/>
  <c r="M721" i="1" a="1"/>
  <c r="M721" i="1" s="1"/>
  <c r="M722" i="1" a="1"/>
  <c r="M722" i="1" s="1"/>
  <c r="M723" i="1" a="1"/>
  <c r="M723" i="1" s="1"/>
  <c r="M724" i="1" a="1"/>
  <c r="M724" i="1" s="1"/>
  <c r="M725" i="1" a="1"/>
  <c r="M725" i="1" s="1"/>
  <c r="M726" i="1" a="1"/>
  <c r="M726" i="1" s="1"/>
  <c r="M727" i="1" a="1"/>
  <c r="M727" i="1" s="1"/>
  <c r="M728" i="1" a="1"/>
  <c r="M728" i="1" s="1"/>
  <c r="M729" i="1" a="1"/>
  <c r="M729" i="1" s="1"/>
  <c r="M730" i="1" a="1"/>
  <c r="M730" i="1" s="1"/>
  <c r="M731" i="1" a="1"/>
  <c r="M731" i="1" s="1"/>
  <c r="M732" i="1" a="1"/>
  <c r="M732" i="1" s="1"/>
  <c r="M733" i="1" a="1"/>
  <c r="M733" i="1" s="1"/>
  <c r="M734" i="1" a="1"/>
  <c r="M734" i="1" s="1"/>
  <c r="M735" i="1" a="1"/>
  <c r="M735" i="1" s="1"/>
  <c r="M736" i="1" a="1"/>
  <c r="M736" i="1" s="1"/>
  <c r="M737" i="1" a="1"/>
  <c r="M737" i="1" s="1"/>
  <c r="M738" i="1" a="1"/>
  <c r="M738" i="1" s="1"/>
  <c r="M739" i="1" a="1"/>
  <c r="M739" i="1" s="1"/>
  <c r="M740" i="1" a="1"/>
  <c r="M740" i="1" s="1"/>
  <c r="M741" i="1" a="1"/>
  <c r="M741" i="1" s="1"/>
  <c r="M742" i="1" a="1"/>
  <c r="M742" i="1" s="1"/>
  <c r="M743" i="1" a="1"/>
  <c r="M743" i="1" s="1"/>
  <c r="M744" i="1" a="1"/>
  <c r="M744" i="1" s="1"/>
  <c r="M745" i="1" a="1"/>
  <c r="M745" i="1" s="1"/>
  <c r="M746" i="1" a="1"/>
  <c r="M746" i="1" s="1"/>
  <c r="M747" i="1" a="1"/>
  <c r="M747" i="1" s="1"/>
  <c r="M748" i="1" a="1"/>
  <c r="M748" i="1" s="1"/>
  <c r="M749" i="1" a="1"/>
  <c r="M749" i="1" s="1"/>
  <c r="M750" i="1" a="1"/>
  <c r="M750" i="1" s="1"/>
  <c r="M751" i="1" a="1"/>
  <c r="M751" i="1" s="1"/>
  <c r="M752" i="1" a="1"/>
  <c r="M752" i="1" s="1"/>
  <c r="M753" i="1" a="1"/>
  <c r="M753" i="1" s="1"/>
  <c r="M754" i="1" a="1"/>
  <c r="M754" i="1" s="1"/>
  <c r="M755" i="1" a="1"/>
  <c r="M755" i="1" s="1"/>
  <c r="M756" i="1" a="1"/>
  <c r="M756" i="1" s="1"/>
  <c r="M757" i="1" a="1"/>
  <c r="M757" i="1" s="1"/>
  <c r="M758" i="1" a="1"/>
  <c r="M758" i="1" s="1"/>
  <c r="M759" i="1" a="1"/>
  <c r="M759" i="1" s="1"/>
  <c r="M760" i="1" a="1"/>
  <c r="M760" i="1" s="1"/>
  <c r="M761" i="1" a="1"/>
  <c r="M761" i="1" s="1"/>
  <c r="M762" i="1" a="1"/>
  <c r="M762" i="1" s="1"/>
  <c r="M763" i="1" a="1"/>
  <c r="M763" i="1" s="1"/>
  <c r="M764" i="1" a="1"/>
  <c r="M764" i="1" s="1"/>
  <c r="M765" i="1" a="1"/>
  <c r="M765" i="1" s="1"/>
  <c r="M766" i="1" a="1"/>
  <c r="M766" i="1" s="1"/>
  <c r="M767" i="1" a="1"/>
  <c r="M767" i="1" s="1"/>
  <c r="M768" i="1" a="1"/>
  <c r="M768" i="1" s="1"/>
  <c r="M769" i="1" a="1"/>
  <c r="M769" i="1" s="1"/>
  <c r="M770" i="1" a="1"/>
  <c r="M770" i="1" s="1"/>
  <c r="M771" i="1" a="1"/>
  <c r="M771" i="1" s="1"/>
  <c r="M772" i="1" a="1"/>
  <c r="M772" i="1" s="1"/>
  <c r="M773" i="1" a="1"/>
  <c r="M773" i="1" s="1"/>
  <c r="M774" i="1" a="1"/>
  <c r="M774" i="1" s="1"/>
  <c r="M775" i="1" a="1"/>
  <c r="M775" i="1" s="1"/>
  <c r="M776" i="1" a="1"/>
  <c r="M776" i="1" s="1"/>
  <c r="M777" i="1" a="1"/>
  <c r="M777" i="1" s="1"/>
  <c r="M778" i="1" a="1"/>
  <c r="M778" i="1" s="1"/>
  <c r="M779" i="1" a="1"/>
  <c r="M779" i="1" s="1"/>
  <c r="M780" i="1" a="1"/>
  <c r="M780" i="1" s="1"/>
  <c r="M781" i="1" a="1"/>
  <c r="M781" i="1" s="1"/>
  <c r="M782" i="1" a="1"/>
  <c r="M782" i="1" s="1"/>
  <c r="M783" i="1" a="1"/>
  <c r="M783" i="1" s="1"/>
  <c r="M784" i="1" a="1"/>
  <c r="M784" i="1" s="1"/>
  <c r="M785" i="1" a="1"/>
  <c r="M785" i="1" s="1"/>
  <c r="M786" i="1" a="1"/>
  <c r="M786" i="1" s="1"/>
  <c r="M787" i="1" a="1"/>
  <c r="M787" i="1" s="1"/>
  <c r="M788" i="1" a="1"/>
  <c r="M788" i="1" s="1"/>
  <c r="M789" i="1" a="1"/>
  <c r="M789" i="1" s="1"/>
  <c r="M790" i="1" a="1"/>
  <c r="M790" i="1" s="1"/>
  <c r="M791" i="1" a="1"/>
  <c r="M791" i="1" s="1"/>
  <c r="M792" i="1" a="1"/>
  <c r="M792" i="1" s="1"/>
  <c r="M793" i="1" a="1"/>
  <c r="M793" i="1" s="1"/>
  <c r="M794" i="1" a="1"/>
  <c r="M794" i="1" s="1"/>
  <c r="M795" i="1" a="1"/>
  <c r="M795" i="1" s="1"/>
  <c r="M796" i="1" a="1"/>
  <c r="M796" i="1" s="1"/>
  <c r="M797" i="1" a="1"/>
  <c r="M797" i="1" s="1"/>
  <c r="M798" i="1" a="1"/>
  <c r="M798" i="1" s="1"/>
  <c r="M799" i="1" a="1"/>
  <c r="M799" i="1" s="1"/>
  <c r="M800" i="1" a="1"/>
  <c r="M800" i="1" s="1"/>
  <c r="M801" i="1" a="1"/>
  <c r="M801" i="1" s="1"/>
  <c r="M802" i="1" a="1"/>
  <c r="M802" i="1" s="1"/>
  <c r="M803" i="1" a="1"/>
  <c r="M803" i="1" s="1"/>
  <c r="M804" i="1" a="1"/>
  <c r="M804" i="1" s="1"/>
  <c r="M805" i="1" a="1"/>
  <c r="M805" i="1" s="1"/>
  <c r="M806" i="1" a="1"/>
  <c r="M806" i="1" s="1"/>
  <c r="M807" i="1" a="1"/>
  <c r="M807" i="1" s="1"/>
  <c r="M808" i="1" a="1"/>
  <c r="M808" i="1" s="1"/>
  <c r="M809" i="1" a="1"/>
  <c r="M809" i="1" s="1"/>
  <c r="M810" i="1" a="1"/>
  <c r="M810" i="1" s="1"/>
  <c r="M811" i="1" a="1"/>
  <c r="M811" i="1" s="1"/>
  <c r="M812" i="1" a="1"/>
  <c r="M812" i="1" s="1"/>
  <c r="M813" i="1" a="1"/>
  <c r="M813" i="1" s="1"/>
  <c r="M814" i="1" a="1"/>
  <c r="M814" i="1" s="1"/>
  <c r="M815" i="1" a="1"/>
  <c r="M815" i="1" s="1"/>
  <c r="M816" i="1" a="1"/>
  <c r="M816" i="1" s="1"/>
  <c r="M817" i="1" a="1"/>
  <c r="M817" i="1" s="1"/>
  <c r="M818" i="1" a="1"/>
  <c r="M818" i="1" s="1"/>
  <c r="M819" i="1" a="1"/>
  <c r="M819" i="1" s="1"/>
  <c r="M820" i="1" a="1"/>
  <c r="M820" i="1" s="1"/>
  <c r="M821" i="1" a="1"/>
  <c r="M821" i="1" s="1"/>
  <c r="M822" i="1" a="1"/>
  <c r="M822" i="1" s="1"/>
  <c r="M823" i="1" a="1"/>
  <c r="M823" i="1" s="1"/>
  <c r="M824" i="1" a="1"/>
  <c r="M824" i="1" s="1"/>
  <c r="M825" i="1" a="1"/>
  <c r="M825" i="1" s="1"/>
  <c r="M826" i="1" a="1"/>
  <c r="M826" i="1" s="1"/>
  <c r="M827" i="1" a="1"/>
  <c r="M827" i="1" s="1"/>
  <c r="M828" i="1" a="1"/>
  <c r="M828" i="1" s="1"/>
  <c r="M829" i="1" a="1"/>
  <c r="M829" i="1" s="1"/>
  <c r="M830" i="1" a="1"/>
  <c r="M830" i="1" s="1"/>
  <c r="M831" i="1" a="1"/>
  <c r="M831" i="1" s="1"/>
  <c r="M832" i="1" a="1"/>
  <c r="M832" i="1" s="1"/>
  <c r="M833" i="1" a="1"/>
  <c r="M833" i="1" s="1"/>
  <c r="M834" i="1" a="1"/>
  <c r="M834" i="1" s="1"/>
  <c r="M835" i="1" a="1"/>
  <c r="M835" i="1" s="1"/>
  <c r="M836" i="1" a="1"/>
  <c r="M836" i="1" s="1"/>
  <c r="M837" i="1" a="1"/>
  <c r="M837" i="1" s="1"/>
  <c r="M838" i="1" a="1"/>
  <c r="M838" i="1" s="1"/>
  <c r="M839" i="1" a="1"/>
  <c r="M839" i="1" s="1"/>
  <c r="M840" i="1" a="1"/>
  <c r="M840" i="1" s="1"/>
  <c r="M841" i="1" a="1"/>
  <c r="M841" i="1" s="1"/>
  <c r="M842" i="1" a="1"/>
  <c r="M842" i="1" s="1"/>
  <c r="M843" i="1" a="1"/>
  <c r="M843" i="1" s="1"/>
  <c r="M844" i="1" a="1"/>
  <c r="M844" i="1" s="1"/>
  <c r="M845" i="1" a="1"/>
  <c r="M845" i="1" s="1"/>
  <c r="M846" i="1" a="1"/>
  <c r="M846" i="1" s="1"/>
  <c r="M847" i="1" a="1"/>
  <c r="M847" i="1" s="1"/>
  <c r="M848" i="1" a="1"/>
  <c r="M848" i="1" s="1"/>
  <c r="M849" i="1" a="1"/>
  <c r="M849" i="1" s="1"/>
  <c r="M850" i="1" a="1"/>
  <c r="M850" i="1" s="1"/>
  <c r="M851" i="1" a="1"/>
  <c r="M851" i="1" s="1"/>
  <c r="M852" i="1" a="1"/>
  <c r="M852" i="1" s="1"/>
  <c r="M853" i="1" a="1"/>
  <c r="M853" i="1" s="1"/>
  <c r="M854" i="1" a="1"/>
  <c r="M854" i="1" s="1"/>
  <c r="M855" i="1" a="1"/>
  <c r="M855" i="1" s="1"/>
  <c r="M856" i="1" a="1"/>
  <c r="M856" i="1" s="1"/>
  <c r="M857" i="1" a="1"/>
  <c r="M857" i="1" s="1"/>
  <c r="M858" i="1" a="1"/>
  <c r="M858" i="1" s="1"/>
  <c r="M859" i="1" a="1"/>
  <c r="M859" i="1" s="1"/>
  <c r="M860" i="1" a="1"/>
  <c r="M860" i="1" s="1"/>
  <c r="M861" i="1" a="1"/>
  <c r="M861" i="1" s="1"/>
  <c r="M862" i="1" a="1"/>
  <c r="M862" i="1" s="1"/>
  <c r="M863" i="1" a="1"/>
  <c r="M863" i="1" s="1"/>
  <c r="M864" i="1" a="1"/>
  <c r="M864" i="1" s="1"/>
  <c r="M865" i="1" a="1"/>
  <c r="M865" i="1" s="1"/>
  <c r="M866" i="1" a="1"/>
  <c r="M866" i="1" s="1"/>
  <c r="M867" i="1" a="1"/>
  <c r="M867" i="1" s="1"/>
  <c r="M868" i="1" a="1"/>
  <c r="M868" i="1" s="1"/>
  <c r="M869" i="1" a="1"/>
  <c r="M869" i="1" s="1"/>
  <c r="M870" i="1" a="1"/>
  <c r="M870" i="1" s="1"/>
  <c r="M871" i="1" a="1"/>
  <c r="M871" i="1" s="1"/>
  <c r="M872" i="1" a="1"/>
  <c r="M872" i="1" s="1"/>
  <c r="M873" i="1" a="1"/>
  <c r="M873" i="1" s="1"/>
  <c r="M874" i="1" a="1"/>
  <c r="M874" i="1" s="1"/>
  <c r="M875" i="1" a="1"/>
  <c r="M875" i="1" s="1"/>
  <c r="M876" i="1" a="1"/>
  <c r="M876" i="1" s="1"/>
  <c r="M877" i="1" a="1"/>
  <c r="M877" i="1" s="1"/>
  <c r="M878" i="1" a="1"/>
  <c r="M878" i="1" s="1"/>
  <c r="M879" i="1" a="1"/>
  <c r="M879" i="1" s="1"/>
  <c r="M880" i="1" a="1"/>
  <c r="M880" i="1" s="1"/>
  <c r="M881" i="1" a="1"/>
  <c r="M881" i="1" s="1"/>
  <c r="M882" i="1" a="1"/>
  <c r="M882" i="1" s="1"/>
  <c r="M883" i="1" a="1"/>
  <c r="M883" i="1" s="1"/>
  <c r="M884" i="1" a="1"/>
  <c r="M884" i="1" s="1"/>
  <c r="M885" i="1" a="1"/>
  <c r="M885" i="1" s="1"/>
  <c r="M886" i="1" a="1"/>
  <c r="M886" i="1" s="1"/>
  <c r="M887" i="1" a="1"/>
  <c r="M887" i="1" s="1"/>
  <c r="M888" i="1" a="1"/>
  <c r="M888" i="1" s="1"/>
  <c r="M889" i="1" a="1"/>
  <c r="M889" i="1" s="1"/>
  <c r="M890" i="1" a="1"/>
  <c r="M890" i="1" s="1"/>
  <c r="M891" i="1" a="1"/>
  <c r="M891" i="1" s="1"/>
  <c r="M892" i="1" a="1"/>
  <c r="M892" i="1" s="1"/>
  <c r="M893" i="1" a="1"/>
  <c r="M893" i="1" s="1"/>
  <c r="M894" i="1" a="1"/>
  <c r="M894" i="1" s="1"/>
  <c r="M895" i="1" a="1"/>
  <c r="M895" i="1" s="1"/>
  <c r="M896" i="1" a="1"/>
  <c r="M896" i="1" s="1"/>
  <c r="M897" i="1" a="1"/>
  <c r="M897" i="1" s="1"/>
  <c r="M898" i="1" a="1"/>
  <c r="M898" i="1" s="1"/>
  <c r="M899" i="1" a="1"/>
  <c r="M899" i="1" s="1"/>
  <c r="M900" i="1" a="1"/>
  <c r="M900" i="1" s="1"/>
  <c r="M901" i="1" a="1"/>
  <c r="M901" i="1" s="1"/>
  <c r="M902" i="1" a="1"/>
  <c r="M902" i="1" s="1"/>
  <c r="M903" i="1" a="1"/>
  <c r="M903" i="1" s="1"/>
  <c r="M904" i="1" a="1"/>
  <c r="M904" i="1" s="1"/>
  <c r="M905" i="1" a="1"/>
  <c r="M905" i="1" s="1"/>
  <c r="M906" i="1" a="1"/>
  <c r="M906" i="1" s="1"/>
  <c r="M907" i="1" a="1"/>
  <c r="M907" i="1" s="1"/>
  <c r="M908" i="1" a="1"/>
  <c r="M908" i="1" s="1"/>
  <c r="M909" i="1" a="1"/>
  <c r="M909" i="1" s="1"/>
  <c r="M910" i="1" a="1"/>
  <c r="M910" i="1" s="1"/>
  <c r="M911" i="1" a="1"/>
  <c r="M911" i="1" s="1"/>
  <c r="M912" i="1" a="1"/>
  <c r="M912" i="1" s="1"/>
  <c r="M913" i="1" a="1"/>
  <c r="M913" i="1" s="1"/>
  <c r="M914" i="1" a="1"/>
  <c r="M914" i="1" s="1"/>
  <c r="M915" i="1" a="1"/>
  <c r="M915" i="1" s="1"/>
  <c r="M916" i="1" a="1"/>
  <c r="M916" i="1" s="1"/>
  <c r="M917" i="1" a="1"/>
  <c r="M917" i="1" s="1"/>
  <c r="M918" i="1" a="1"/>
  <c r="M918" i="1" s="1"/>
  <c r="M919" i="1" a="1"/>
  <c r="M919" i="1" s="1"/>
  <c r="M920" i="1" a="1"/>
  <c r="M920" i="1" s="1"/>
  <c r="M921" i="1" a="1"/>
  <c r="M921" i="1" s="1"/>
  <c r="M922" i="1" a="1"/>
  <c r="M922" i="1" s="1"/>
  <c r="M923" i="1" a="1"/>
  <c r="M923" i="1" s="1"/>
  <c r="M924" i="1" a="1"/>
  <c r="M924" i="1" s="1"/>
  <c r="M925" i="1" a="1"/>
  <c r="M925" i="1" s="1"/>
  <c r="M926" i="1" a="1"/>
  <c r="M926" i="1" s="1"/>
  <c r="M927" i="1" a="1"/>
  <c r="M927" i="1" s="1"/>
  <c r="M928" i="1" a="1"/>
  <c r="M928" i="1" s="1"/>
  <c r="M929" i="1" a="1"/>
  <c r="M929" i="1" s="1"/>
  <c r="M930" i="1" a="1"/>
  <c r="M930" i="1" s="1"/>
  <c r="M931" i="1" a="1"/>
  <c r="M931" i="1" s="1"/>
  <c r="M932" i="1" a="1"/>
  <c r="M932" i="1" s="1"/>
  <c r="M933" i="1" a="1"/>
  <c r="M933" i="1" s="1"/>
  <c r="M934" i="1" a="1"/>
  <c r="M934" i="1" s="1"/>
  <c r="M935" i="1" a="1"/>
  <c r="M935" i="1" s="1"/>
  <c r="M936" i="1" a="1"/>
  <c r="M936" i="1" s="1"/>
  <c r="M937" i="1" a="1"/>
  <c r="M937" i="1" s="1"/>
  <c r="M938" i="1" a="1"/>
  <c r="M938" i="1" s="1"/>
  <c r="M939" i="1" a="1"/>
  <c r="M939" i="1" s="1"/>
  <c r="M940" i="1" a="1"/>
  <c r="M940" i="1" s="1"/>
  <c r="M941" i="1" a="1"/>
  <c r="M941" i="1" s="1"/>
  <c r="M942" i="1" a="1"/>
  <c r="M942" i="1" s="1"/>
  <c r="M943" i="1" a="1"/>
  <c r="M943" i="1" s="1"/>
  <c r="M944" i="1" a="1"/>
  <c r="M944" i="1" s="1"/>
  <c r="M945" i="1" a="1"/>
  <c r="M945" i="1" s="1"/>
  <c r="M946" i="1" a="1"/>
  <c r="M946" i="1" s="1"/>
  <c r="M947" i="1" a="1"/>
  <c r="M947" i="1" s="1"/>
  <c r="M948" i="1" a="1"/>
  <c r="M948" i="1" s="1"/>
  <c r="M949" i="1" a="1"/>
  <c r="M949" i="1" s="1"/>
  <c r="M950" i="1" a="1"/>
  <c r="M950" i="1" s="1"/>
  <c r="M951" i="1" a="1"/>
  <c r="M951" i="1" s="1"/>
  <c r="M952" i="1" a="1"/>
  <c r="M952" i="1" s="1"/>
  <c r="M953" i="1" a="1"/>
  <c r="M953" i="1" s="1"/>
  <c r="M954" i="1" a="1"/>
  <c r="M954" i="1" s="1"/>
  <c r="M955" i="1" a="1"/>
  <c r="M955" i="1" s="1"/>
  <c r="M956" i="1" a="1"/>
  <c r="M956" i="1" s="1"/>
  <c r="M957" i="1" a="1"/>
  <c r="M957" i="1" s="1"/>
  <c r="M958" i="1" a="1"/>
  <c r="M958" i="1" s="1"/>
  <c r="M959" i="1" a="1"/>
  <c r="M959" i="1" s="1"/>
  <c r="M960" i="1" a="1"/>
  <c r="M960" i="1" s="1"/>
  <c r="M961" i="1" a="1"/>
  <c r="M961" i="1" s="1"/>
  <c r="M962" i="1" a="1"/>
  <c r="M962" i="1" s="1"/>
  <c r="M963" i="1" a="1"/>
  <c r="M963" i="1" s="1"/>
  <c r="M964" i="1" a="1"/>
  <c r="M964" i="1" s="1"/>
  <c r="M965" i="1" a="1"/>
  <c r="M965" i="1" s="1"/>
  <c r="M966" i="1" a="1"/>
  <c r="M966" i="1" s="1"/>
  <c r="M967" i="1" a="1"/>
  <c r="M967" i="1" s="1"/>
  <c r="M968" i="1" a="1"/>
  <c r="M968" i="1" s="1"/>
  <c r="M969" i="1" a="1"/>
  <c r="M969" i="1" s="1"/>
  <c r="M970" i="1" a="1"/>
  <c r="M970" i="1" s="1"/>
  <c r="M971" i="1" a="1"/>
  <c r="M971" i="1" s="1"/>
  <c r="M972" i="1" a="1"/>
  <c r="M972" i="1" s="1"/>
  <c r="M973" i="1" a="1"/>
  <c r="M973" i="1" s="1"/>
  <c r="M974" i="1" a="1"/>
  <c r="M974" i="1" s="1"/>
  <c r="M975" i="1" a="1"/>
  <c r="M975" i="1" s="1"/>
  <c r="M976" i="1" a="1"/>
  <c r="M976" i="1" s="1"/>
  <c r="M977" i="1" a="1"/>
  <c r="M977" i="1" s="1"/>
  <c r="M978" i="1" a="1"/>
  <c r="M978" i="1" s="1"/>
  <c r="M979" i="1" a="1"/>
  <c r="M979" i="1" s="1"/>
  <c r="M980" i="1" a="1"/>
  <c r="M980" i="1" s="1"/>
  <c r="M981" i="1" a="1"/>
  <c r="M981" i="1" s="1"/>
  <c r="M982" i="1" a="1"/>
  <c r="M982" i="1" s="1"/>
  <c r="M983" i="1" a="1"/>
  <c r="M983" i="1" s="1"/>
  <c r="M984" i="1" a="1"/>
  <c r="M984" i="1" s="1"/>
  <c r="M985" i="1" a="1"/>
  <c r="M985" i="1" s="1"/>
  <c r="M986" i="1" a="1"/>
  <c r="M986" i="1" s="1"/>
  <c r="M987" i="1" a="1"/>
  <c r="M987" i="1" s="1"/>
  <c r="M988" i="1" a="1"/>
  <c r="M988" i="1" s="1"/>
  <c r="M989" i="1" a="1"/>
  <c r="M989" i="1" s="1"/>
  <c r="M990" i="1" a="1"/>
  <c r="M990" i="1" s="1"/>
  <c r="M991" i="1" a="1"/>
  <c r="M991" i="1" s="1"/>
  <c r="M992" i="1" a="1"/>
  <c r="M992" i="1" s="1"/>
  <c r="M993" i="1" a="1"/>
  <c r="M993" i="1" s="1"/>
  <c r="M994" i="1" a="1"/>
  <c r="M994" i="1" s="1"/>
  <c r="M995" i="1" a="1"/>
  <c r="M995" i="1" s="1"/>
  <c r="M996" i="1" a="1"/>
  <c r="M996" i="1" s="1"/>
  <c r="M997" i="1" a="1"/>
  <c r="M997" i="1" s="1"/>
  <c r="M998" i="1" a="1"/>
  <c r="M998" i="1" s="1"/>
  <c r="M999" i="1" a="1"/>
  <c r="M999" i="1" s="1"/>
  <c r="M1000" i="1" a="1"/>
  <c r="M1000" i="1" s="1"/>
  <c r="M1001" i="1" a="1"/>
  <c r="M1001" i="1" s="1"/>
  <c r="M1002" i="1" a="1"/>
  <c r="M1002" i="1" s="1"/>
  <c r="M1003" i="1" a="1"/>
  <c r="M1003" i="1" s="1"/>
  <c r="M1004" i="1" a="1"/>
  <c r="M1004" i="1" s="1"/>
  <c r="M1005" i="1" a="1"/>
  <c r="M1005" i="1" s="1"/>
  <c r="M1006" i="1" a="1"/>
  <c r="M1006" i="1" s="1"/>
  <c r="M1007" i="1" a="1"/>
  <c r="M1007" i="1" s="1"/>
  <c r="M1008" i="1" a="1"/>
  <c r="M1008" i="1" s="1"/>
  <c r="M1009" i="1" a="1"/>
  <c r="M1009" i="1" s="1"/>
  <c r="M1010" i="1" a="1"/>
  <c r="M1010" i="1" s="1"/>
  <c r="M1011" i="1" a="1"/>
  <c r="M1011" i="1" s="1"/>
  <c r="M1012" i="1" a="1"/>
  <c r="M1012" i="1" s="1"/>
  <c r="M1013" i="1" a="1"/>
  <c r="M1013" i="1" s="1"/>
  <c r="M1014" i="1" a="1"/>
  <c r="M1014" i="1" s="1"/>
  <c r="M1015" i="1" a="1"/>
  <c r="M1015" i="1" s="1"/>
  <c r="M1016" i="1" a="1"/>
  <c r="M1016" i="1" s="1"/>
  <c r="M1017" i="1" a="1"/>
  <c r="M1017" i="1" s="1"/>
  <c r="M1018" i="1" a="1"/>
  <c r="M1018" i="1" s="1"/>
  <c r="M1019" i="1" a="1"/>
  <c r="M1019" i="1" s="1"/>
  <c r="M1020" i="1" a="1"/>
  <c r="M1020" i="1" s="1"/>
  <c r="M1021" i="1" a="1"/>
  <c r="M1021" i="1" s="1"/>
  <c r="M1022" i="1" a="1"/>
  <c r="M1022" i="1" s="1"/>
  <c r="M1023" i="1" a="1"/>
  <c r="M1023" i="1" s="1"/>
  <c r="M1024" i="1" a="1"/>
  <c r="M1024" i="1" s="1"/>
  <c r="M1025" i="1" a="1"/>
  <c r="M1025" i="1" s="1"/>
  <c r="M1026" i="1" a="1"/>
  <c r="M1026" i="1" s="1"/>
  <c r="M1027" i="1" a="1"/>
  <c r="M1027" i="1" s="1"/>
  <c r="M1028" i="1" a="1"/>
  <c r="M1028" i="1" s="1"/>
  <c r="M1029" i="1" a="1"/>
  <c r="M1029" i="1" s="1"/>
  <c r="M1030" i="1" a="1"/>
  <c r="M1030" i="1" s="1"/>
  <c r="M1031" i="1" a="1"/>
  <c r="M1031" i="1" s="1"/>
  <c r="M1032" i="1" a="1"/>
  <c r="M1032" i="1" s="1"/>
  <c r="M1033" i="1" a="1"/>
  <c r="M1033" i="1" s="1"/>
  <c r="M1034" i="1" a="1"/>
  <c r="M1034" i="1" s="1"/>
  <c r="M1035" i="1" a="1"/>
  <c r="M1035" i="1" s="1"/>
  <c r="M1036" i="1" a="1"/>
  <c r="M1036" i="1" s="1"/>
  <c r="M1037" i="1" a="1"/>
  <c r="M1037" i="1" s="1"/>
  <c r="M1038" i="1" a="1"/>
  <c r="M1038" i="1" s="1"/>
  <c r="M1039" i="1" a="1"/>
  <c r="M1039" i="1" s="1"/>
  <c r="M1040" i="1" a="1"/>
  <c r="M1040" i="1" s="1"/>
  <c r="M1041" i="1" a="1"/>
  <c r="M1041" i="1" s="1"/>
  <c r="M1042" i="1" a="1"/>
  <c r="M1042" i="1" s="1"/>
  <c r="M1043" i="1" a="1"/>
  <c r="M1043" i="1" s="1"/>
  <c r="M1044" i="1" a="1"/>
  <c r="M1044" i="1" s="1"/>
  <c r="M1045" i="1" a="1"/>
  <c r="M1045" i="1" s="1"/>
  <c r="M1046" i="1" a="1"/>
  <c r="M1046" i="1" s="1"/>
  <c r="M1047" i="1" a="1"/>
  <c r="M1047" i="1" s="1"/>
  <c r="M1048" i="1" a="1"/>
  <c r="M1048" i="1" s="1"/>
  <c r="M1049" i="1" a="1"/>
  <c r="M1049" i="1" s="1"/>
  <c r="M1050" i="1" a="1"/>
  <c r="M1050" i="1" s="1"/>
  <c r="M1051" i="1" a="1"/>
  <c r="M1051" i="1" s="1"/>
  <c r="M1052" i="1" a="1"/>
  <c r="M1052" i="1" s="1"/>
  <c r="M1053" i="1" a="1"/>
  <c r="M1053" i="1" s="1"/>
  <c r="M1054" i="1" a="1"/>
  <c r="M1054" i="1" s="1"/>
  <c r="M1055" i="1" a="1"/>
  <c r="M1055" i="1" s="1"/>
  <c r="M1056" i="1" a="1"/>
  <c r="M1056" i="1" s="1"/>
  <c r="M1057" i="1" a="1"/>
  <c r="M1057" i="1" s="1"/>
  <c r="M1058" i="1" a="1"/>
  <c r="M1058" i="1" s="1"/>
  <c r="M1059" i="1" a="1"/>
  <c r="M1059" i="1" s="1"/>
  <c r="M1060" i="1" a="1"/>
  <c r="M1060" i="1" s="1"/>
  <c r="M1061" i="1" a="1"/>
  <c r="M1061" i="1" s="1"/>
  <c r="M1062" i="1" a="1"/>
  <c r="M1062" i="1" s="1"/>
  <c r="M1063" i="1" a="1"/>
  <c r="M1063" i="1" s="1"/>
  <c r="M1064" i="1" a="1"/>
  <c r="M1064" i="1" s="1"/>
  <c r="M1065" i="1" a="1"/>
  <c r="M1065" i="1" s="1"/>
  <c r="M1066" i="1" a="1"/>
  <c r="M1066" i="1" s="1"/>
  <c r="M1067" i="1" a="1"/>
  <c r="M1067" i="1" s="1"/>
  <c r="M1068" i="1" a="1"/>
  <c r="M1068" i="1" s="1"/>
  <c r="M1069" i="1" a="1"/>
  <c r="M1069" i="1" s="1"/>
  <c r="M1070" i="1" a="1"/>
  <c r="M1070" i="1" s="1"/>
  <c r="M1071" i="1" a="1"/>
  <c r="M1071" i="1" s="1"/>
  <c r="M1072" i="1" a="1"/>
  <c r="M1072" i="1" s="1"/>
  <c r="M1073" i="1" a="1"/>
  <c r="M1073" i="1" s="1"/>
  <c r="M1074" i="1" a="1"/>
  <c r="M1074" i="1" s="1"/>
  <c r="M1075" i="1" a="1"/>
  <c r="M1075" i="1" s="1"/>
  <c r="M1076" i="1" a="1"/>
  <c r="M1076" i="1" s="1"/>
  <c r="M1077" i="1" a="1"/>
  <c r="M1077" i="1" s="1"/>
  <c r="M1078" i="1" a="1"/>
  <c r="M1078" i="1" s="1"/>
  <c r="M1079" i="1" a="1"/>
  <c r="M1079" i="1" s="1"/>
  <c r="M1080" i="1" a="1"/>
  <c r="M1080" i="1" s="1"/>
  <c r="M1081" i="1" a="1"/>
  <c r="M1081" i="1" s="1"/>
  <c r="M1082" i="1" a="1"/>
  <c r="M1082" i="1" s="1"/>
  <c r="M1083" i="1" a="1"/>
  <c r="M1083" i="1" s="1"/>
  <c r="M1084" i="1" a="1"/>
  <c r="M1084" i="1" s="1"/>
  <c r="M1085" i="1" a="1"/>
  <c r="M1085" i="1" s="1"/>
  <c r="M1086" i="1" a="1"/>
  <c r="M1086" i="1" s="1"/>
  <c r="M1087" i="1" a="1"/>
  <c r="M1087" i="1" s="1"/>
  <c r="M1088" i="1" a="1"/>
  <c r="M1088" i="1" s="1"/>
  <c r="M1089" i="1" a="1"/>
  <c r="M1089" i="1" s="1"/>
  <c r="M1090" i="1" a="1"/>
  <c r="M1090" i="1" s="1"/>
  <c r="M1091" i="1" a="1"/>
  <c r="M1091" i="1" s="1"/>
  <c r="M1092" i="1" a="1"/>
  <c r="M1092" i="1" s="1"/>
  <c r="M1093" i="1" a="1"/>
  <c r="M1093" i="1" s="1"/>
  <c r="M1094" i="1" a="1"/>
  <c r="M1094" i="1" s="1"/>
  <c r="M1095" i="1" a="1"/>
  <c r="M1095" i="1" s="1"/>
  <c r="M1096" i="1" a="1"/>
  <c r="M1096" i="1" s="1"/>
  <c r="M1097" i="1" a="1"/>
  <c r="M1097" i="1" s="1"/>
  <c r="M1098" i="1" a="1"/>
  <c r="M1098" i="1" s="1"/>
  <c r="M1099" i="1" a="1"/>
  <c r="M1099" i="1" s="1"/>
  <c r="M1100" i="1" a="1"/>
  <c r="M1100" i="1" s="1"/>
  <c r="M1101" i="1" a="1"/>
  <c r="M1101" i="1" s="1"/>
  <c r="M1102" i="1" a="1"/>
  <c r="M1102" i="1" s="1"/>
  <c r="M1103" i="1" a="1"/>
  <c r="M1103" i="1" s="1"/>
  <c r="M1104" i="1" a="1"/>
  <c r="M1104" i="1" s="1"/>
  <c r="M1105" i="1" a="1"/>
  <c r="M1105" i="1" s="1"/>
  <c r="M1106" i="1" a="1"/>
  <c r="M1106" i="1" s="1"/>
  <c r="M1107" i="1" a="1"/>
  <c r="M1107" i="1" s="1"/>
  <c r="M1108" i="1" a="1"/>
  <c r="M1108" i="1" s="1"/>
  <c r="M1109" i="1" a="1"/>
  <c r="M1109" i="1" s="1"/>
  <c r="M1110" i="1" a="1"/>
  <c r="M1110" i="1" s="1"/>
  <c r="M1111" i="1" a="1"/>
  <c r="M1111" i="1" s="1"/>
  <c r="M1112" i="1" a="1"/>
  <c r="M1112" i="1" s="1"/>
  <c r="M1113" i="1" a="1"/>
  <c r="M1113" i="1" s="1"/>
  <c r="M1114" i="1" a="1"/>
  <c r="M1114" i="1" s="1"/>
  <c r="M1115" i="1" a="1"/>
  <c r="M1115" i="1" s="1"/>
  <c r="M1116" i="1" a="1"/>
  <c r="M1116" i="1" s="1"/>
  <c r="M1117" i="1" a="1"/>
  <c r="M1117" i="1" s="1"/>
  <c r="M1118" i="1" a="1"/>
  <c r="M1118" i="1" s="1"/>
  <c r="M1119" i="1" a="1"/>
  <c r="M1119" i="1" s="1"/>
  <c r="M1120" i="1" a="1"/>
  <c r="M1120" i="1" s="1"/>
  <c r="M1121" i="1" a="1"/>
  <c r="M1121" i="1" s="1"/>
  <c r="M1122" i="1" a="1"/>
  <c r="M1122" i="1" s="1"/>
  <c r="M1123" i="1" a="1"/>
  <c r="M1123" i="1" s="1"/>
  <c r="M1124" i="1" a="1"/>
  <c r="M1124" i="1" s="1"/>
  <c r="M1125" i="1" a="1"/>
  <c r="M1125" i="1" s="1"/>
  <c r="M1126" i="1" a="1"/>
  <c r="M1126" i="1" s="1"/>
  <c r="M1127" i="1" a="1"/>
  <c r="M1127" i="1" s="1"/>
  <c r="M1128" i="1" a="1"/>
  <c r="M1128" i="1" s="1"/>
  <c r="M1129" i="1" a="1"/>
  <c r="M1129" i="1" s="1"/>
  <c r="M1130" i="1" a="1"/>
  <c r="M1130" i="1" s="1"/>
  <c r="M1131" i="1" a="1"/>
  <c r="M1131" i="1" s="1"/>
  <c r="M1132" i="1" a="1"/>
  <c r="M1132" i="1" s="1"/>
  <c r="M1133" i="1" a="1"/>
  <c r="M1133" i="1" s="1"/>
  <c r="M1134" i="1" a="1"/>
  <c r="M1134" i="1" s="1"/>
  <c r="M1135" i="1" a="1"/>
  <c r="M1135" i="1" s="1"/>
  <c r="M1136" i="1" a="1"/>
  <c r="M1136" i="1" s="1"/>
  <c r="M1137" i="1" a="1"/>
  <c r="M1137" i="1" s="1"/>
  <c r="M1138" i="1" a="1"/>
  <c r="M1138" i="1" s="1"/>
  <c r="M1139" i="1" a="1"/>
  <c r="M1139" i="1" s="1"/>
  <c r="M1140" i="1" a="1"/>
  <c r="M1140" i="1" s="1"/>
  <c r="M1141" i="1" a="1"/>
  <c r="M1141" i="1" s="1"/>
  <c r="M1142" i="1" a="1"/>
  <c r="M1142" i="1" s="1"/>
  <c r="M1143" i="1" a="1"/>
  <c r="M1143" i="1" s="1"/>
  <c r="M1144" i="1" a="1"/>
  <c r="M1144" i="1" s="1"/>
  <c r="M1145" i="1" a="1"/>
  <c r="M1145" i="1" s="1"/>
  <c r="M1146" i="1" a="1"/>
  <c r="M1146" i="1" s="1"/>
  <c r="M1147" i="1" a="1"/>
  <c r="M1147" i="1" s="1"/>
  <c r="M1148" i="1" a="1"/>
  <c r="M1148" i="1" s="1"/>
  <c r="M1149" i="1" a="1"/>
  <c r="M1149" i="1" s="1"/>
  <c r="M1150" i="1" a="1"/>
  <c r="M1150" i="1" s="1"/>
  <c r="M1151" i="1" a="1"/>
  <c r="M1151" i="1" s="1"/>
  <c r="M1152" i="1" a="1"/>
  <c r="M1152" i="1" s="1"/>
  <c r="M1153" i="1" a="1"/>
  <c r="M1153" i="1" s="1"/>
  <c r="M1154" i="1" a="1"/>
  <c r="M1154" i="1" s="1"/>
  <c r="M1155" i="1" a="1"/>
  <c r="M1155" i="1" s="1"/>
  <c r="M1156" i="1" a="1"/>
  <c r="M1156" i="1" s="1"/>
  <c r="M1157" i="1" a="1"/>
  <c r="M1157" i="1" s="1"/>
  <c r="M1158" i="1" a="1"/>
  <c r="M1158" i="1" s="1"/>
  <c r="M1159" i="1" a="1"/>
  <c r="M1159" i="1" s="1"/>
  <c r="M1160" i="1" a="1"/>
  <c r="M1160" i="1" s="1"/>
  <c r="M1161" i="1" a="1"/>
  <c r="M1161" i="1" s="1"/>
  <c r="M1162" i="1" a="1"/>
  <c r="M1162" i="1" s="1"/>
  <c r="M1163" i="1" a="1"/>
  <c r="M1163" i="1" s="1"/>
  <c r="M1164" i="1" a="1"/>
  <c r="M1164" i="1" s="1"/>
  <c r="M1165" i="1" a="1"/>
  <c r="M1165" i="1" s="1"/>
  <c r="M1166" i="1" a="1"/>
  <c r="M1166" i="1" s="1"/>
  <c r="M1167" i="1" a="1"/>
  <c r="M1167" i="1" s="1"/>
  <c r="M1168" i="1" a="1"/>
  <c r="M1168" i="1" s="1"/>
  <c r="M1169" i="1" a="1"/>
  <c r="M1169" i="1" s="1"/>
  <c r="M1170" i="1" a="1"/>
  <c r="M1170" i="1" s="1"/>
  <c r="M1171" i="1" a="1"/>
  <c r="M1171" i="1" s="1"/>
  <c r="M1172" i="1" a="1"/>
  <c r="M1172" i="1" s="1"/>
  <c r="M1173" i="1" a="1"/>
  <c r="M1173" i="1" s="1"/>
  <c r="M1174" i="1" a="1"/>
  <c r="M1174" i="1" s="1"/>
  <c r="M1175" i="1" a="1"/>
  <c r="M1175" i="1" s="1"/>
  <c r="M1176" i="1" a="1"/>
  <c r="M1176" i="1" s="1"/>
  <c r="M1177" i="1" a="1"/>
  <c r="M1177" i="1" s="1"/>
  <c r="M1178" i="1" a="1"/>
  <c r="M1178" i="1" s="1"/>
  <c r="M1179" i="1" a="1"/>
  <c r="M1179" i="1" s="1"/>
  <c r="M1180" i="1" a="1"/>
  <c r="M1180" i="1" s="1"/>
  <c r="M1181" i="1" a="1"/>
  <c r="M1181" i="1" s="1"/>
  <c r="M1182" i="1" a="1"/>
  <c r="M1182" i="1" s="1"/>
  <c r="M1183" i="1" a="1"/>
  <c r="M1183" i="1" s="1"/>
  <c r="M1184" i="1" a="1"/>
  <c r="M1184" i="1" s="1"/>
  <c r="M1185" i="1" a="1"/>
  <c r="M1185" i="1" s="1"/>
  <c r="M1186" i="1" a="1"/>
  <c r="M1186" i="1" s="1"/>
  <c r="M1187" i="1" a="1"/>
  <c r="M1187" i="1" s="1"/>
  <c r="M1188" i="1" a="1"/>
  <c r="M1188" i="1" s="1"/>
  <c r="M1189" i="1" a="1"/>
  <c r="M1189" i="1" s="1"/>
  <c r="M1190" i="1" a="1"/>
  <c r="M1190" i="1" s="1"/>
  <c r="M1191" i="1" a="1"/>
  <c r="M1191" i="1" s="1"/>
  <c r="M1192" i="1" a="1"/>
  <c r="M1192" i="1" s="1"/>
  <c r="M1193" i="1" a="1"/>
  <c r="M1193" i="1" s="1"/>
  <c r="M1194" i="1" a="1"/>
  <c r="M1194" i="1" s="1"/>
  <c r="M1195" i="1" a="1"/>
  <c r="M1195" i="1" s="1"/>
  <c r="M1196" i="1" a="1"/>
  <c r="M1196" i="1" s="1"/>
  <c r="M1197" i="1" a="1"/>
  <c r="M1197" i="1" s="1"/>
  <c r="M1198" i="1" a="1"/>
  <c r="M1198" i="1" s="1"/>
  <c r="M1199" i="1" a="1"/>
  <c r="M1199" i="1" s="1"/>
  <c r="M1200" i="1" a="1"/>
  <c r="M1200" i="1" s="1"/>
  <c r="M1201" i="1" a="1"/>
  <c r="M1201" i="1" s="1"/>
  <c r="M1202" i="1" a="1"/>
  <c r="M1202" i="1" s="1"/>
  <c r="M1203" i="1" a="1"/>
  <c r="M1203" i="1" s="1"/>
  <c r="M1204" i="1" a="1"/>
  <c r="M1204" i="1" s="1"/>
  <c r="M1205" i="1" a="1"/>
  <c r="M1205" i="1" s="1"/>
  <c r="M1206" i="1" a="1"/>
  <c r="M1206" i="1" s="1"/>
  <c r="M1207" i="1" a="1"/>
  <c r="M1207" i="1" s="1"/>
  <c r="M1208" i="1" a="1"/>
  <c r="M1208" i="1" s="1"/>
  <c r="M1209" i="1" a="1"/>
  <c r="M1209" i="1" s="1"/>
  <c r="M1210" i="1" a="1"/>
  <c r="M1210" i="1" s="1"/>
  <c r="M1211" i="1" a="1"/>
  <c r="M1211" i="1" s="1"/>
  <c r="M1212" i="1" a="1"/>
  <c r="M1212" i="1" s="1"/>
  <c r="M1213" i="1" a="1"/>
  <c r="M1213" i="1" s="1"/>
  <c r="M1214" i="1" a="1"/>
  <c r="M1214" i="1" s="1"/>
  <c r="M1215" i="1" a="1"/>
  <c r="M1215" i="1" s="1"/>
  <c r="M1216" i="1" a="1"/>
  <c r="M1216" i="1" s="1"/>
  <c r="M1217" i="1" a="1"/>
  <c r="M1217" i="1" s="1"/>
  <c r="M1218" i="1" a="1"/>
  <c r="M1218" i="1" s="1"/>
  <c r="M1219" i="1" a="1"/>
  <c r="M1219" i="1" s="1"/>
  <c r="M1220" i="1" a="1"/>
  <c r="M1220" i="1" s="1"/>
  <c r="M1221" i="1" a="1"/>
  <c r="M1221" i="1" s="1"/>
  <c r="M1222" i="1" a="1"/>
  <c r="M1222" i="1" s="1"/>
  <c r="M1223" i="1" a="1"/>
  <c r="M1223" i="1" s="1"/>
  <c r="M1224" i="1" a="1"/>
  <c r="M1224" i="1" s="1"/>
  <c r="M1225" i="1" a="1"/>
  <c r="M1225" i="1" s="1"/>
  <c r="M1226" i="1" a="1"/>
  <c r="M1226" i="1" s="1"/>
  <c r="M1227" i="1" a="1"/>
  <c r="M1227" i="1" s="1"/>
  <c r="M1228" i="1" a="1"/>
  <c r="M1228" i="1" s="1"/>
  <c r="M1229" i="1" a="1"/>
  <c r="M1229" i="1" s="1"/>
  <c r="M1230" i="1" a="1"/>
  <c r="M1230" i="1" s="1"/>
  <c r="M1231" i="1" a="1"/>
  <c r="M1231" i="1" s="1"/>
  <c r="M1232" i="1" a="1"/>
  <c r="M1232" i="1" s="1"/>
  <c r="M1233" i="1" a="1"/>
  <c r="M1233" i="1" s="1"/>
  <c r="M1234" i="1" a="1"/>
  <c r="M1234" i="1" s="1"/>
  <c r="M1235" i="1" a="1"/>
  <c r="M1235" i="1" s="1"/>
  <c r="M1236" i="1" a="1"/>
  <c r="M1236" i="1" s="1"/>
  <c r="M1237" i="1" a="1"/>
  <c r="M1237" i="1" s="1"/>
  <c r="M1238" i="1" a="1"/>
  <c r="M1238" i="1" s="1"/>
  <c r="M1239" i="1" a="1"/>
  <c r="M1239" i="1" s="1"/>
  <c r="M1240" i="1" a="1"/>
  <c r="M1240" i="1" s="1"/>
  <c r="M1241" i="1" a="1"/>
  <c r="M1241" i="1" s="1"/>
  <c r="M1242" i="1" a="1"/>
  <c r="M1242" i="1" s="1"/>
  <c r="M1243" i="1" a="1"/>
  <c r="M1243" i="1" s="1"/>
  <c r="M1244" i="1" a="1"/>
  <c r="M1244" i="1" s="1"/>
  <c r="M1245" i="1" a="1"/>
  <c r="M1245" i="1" s="1"/>
  <c r="M1246" i="1" a="1"/>
  <c r="M1246" i="1" s="1"/>
  <c r="M1247" i="1" a="1"/>
  <c r="M1247" i="1" s="1"/>
  <c r="M1248" i="1" a="1"/>
  <c r="M1248" i="1" s="1"/>
  <c r="M1249" i="1" a="1"/>
  <c r="M1249" i="1" s="1"/>
  <c r="M1250" i="1" a="1"/>
  <c r="M1250" i="1" s="1"/>
  <c r="M1251" i="1" a="1"/>
  <c r="M1251" i="1" s="1"/>
  <c r="M1252" i="1" a="1"/>
  <c r="M1252" i="1" s="1"/>
  <c r="M1253" i="1" a="1"/>
  <c r="M1253" i="1" s="1"/>
  <c r="M1254" i="1" a="1"/>
  <c r="M1254" i="1" s="1"/>
  <c r="M1255" i="1" a="1"/>
  <c r="M1255" i="1" s="1"/>
  <c r="M1256" i="1" a="1"/>
  <c r="M1256" i="1" s="1"/>
  <c r="M1257" i="1" a="1"/>
  <c r="M1257" i="1" s="1"/>
  <c r="M1258" i="1" a="1"/>
  <c r="M1258" i="1" s="1"/>
  <c r="M1259" i="1" a="1"/>
  <c r="M1259" i="1" s="1"/>
  <c r="M1260" i="1" a="1"/>
  <c r="M1260" i="1" s="1"/>
  <c r="M1261" i="1" a="1"/>
  <c r="M1261" i="1" s="1"/>
  <c r="M1262" i="1" a="1"/>
  <c r="M1262" i="1" s="1"/>
  <c r="M1263" i="1" a="1"/>
  <c r="M1263" i="1" s="1"/>
  <c r="M1264" i="1" a="1"/>
  <c r="M1264" i="1" s="1"/>
  <c r="M1265" i="1" a="1"/>
  <c r="M1265" i="1" s="1"/>
  <c r="M1266" i="1" a="1"/>
  <c r="M1266" i="1" s="1"/>
  <c r="M1267" i="1" a="1"/>
  <c r="M1267" i="1" s="1"/>
  <c r="M1268" i="1" a="1"/>
  <c r="M1268" i="1" s="1"/>
  <c r="M1269" i="1" a="1"/>
  <c r="M1269" i="1" s="1"/>
  <c r="M1270" i="1" a="1"/>
  <c r="M1270" i="1" s="1"/>
  <c r="M1271" i="1" a="1"/>
  <c r="M1271" i="1" s="1"/>
  <c r="M1272" i="1" a="1"/>
  <c r="M1272" i="1" s="1"/>
  <c r="M1273" i="1" a="1"/>
  <c r="M1273" i="1" s="1"/>
  <c r="M1274" i="1" a="1"/>
  <c r="M1274" i="1" s="1"/>
  <c r="M1275" i="1" a="1"/>
  <c r="M1275" i="1" s="1"/>
  <c r="M1276" i="1" a="1"/>
  <c r="M1276" i="1" s="1"/>
  <c r="M1277" i="1" a="1"/>
  <c r="M1277" i="1" s="1"/>
  <c r="M1278" i="1" a="1"/>
  <c r="M1278" i="1" s="1"/>
  <c r="M1279" i="1" a="1"/>
  <c r="M1279" i="1" s="1"/>
  <c r="M1280" i="1" a="1"/>
  <c r="M1280" i="1" s="1"/>
  <c r="M1281" i="1" a="1"/>
  <c r="M1281" i="1" s="1"/>
  <c r="M1282" i="1" a="1"/>
  <c r="M1282" i="1" s="1"/>
  <c r="M1283" i="1" a="1"/>
  <c r="M1283" i="1" s="1"/>
  <c r="M1284" i="1" a="1"/>
  <c r="M1284" i="1" s="1"/>
  <c r="M1285" i="1" a="1"/>
  <c r="M1285" i="1" s="1"/>
  <c r="M1286" i="1" a="1"/>
  <c r="M1286" i="1" s="1"/>
  <c r="M1287" i="1" a="1"/>
  <c r="M1287" i="1" s="1"/>
  <c r="M1288" i="1" a="1"/>
  <c r="M1288" i="1" s="1"/>
  <c r="M1289" i="1" a="1"/>
  <c r="M1289" i="1" s="1"/>
  <c r="M1290" i="1" a="1"/>
  <c r="M1290" i="1" s="1"/>
  <c r="M1291" i="1" a="1"/>
  <c r="M1291" i="1" s="1"/>
  <c r="M1292" i="1" a="1"/>
  <c r="M1292" i="1" s="1"/>
  <c r="M1293" i="1" a="1"/>
  <c r="M1293" i="1" s="1"/>
  <c r="M1294" i="1" a="1"/>
  <c r="M1294" i="1" s="1"/>
  <c r="M1295" i="1" a="1"/>
  <c r="M1295" i="1" s="1"/>
  <c r="M1296" i="1" a="1"/>
  <c r="M1296" i="1" s="1"/>
  <c r="M1297" i="1" a="1"/>
  <c r="M1297" i="1" s="1"/>
  <c r="M1298" i="1" a="1"/>
  <c r="M1298" i="1" s="1"/>
  <c r="M1299" i="1" a="1"/>
  <c r="M1299" i="1" s="1"/>
  <c r="M1300" i="1" a="1"/>
  <c r="M1300" i="1" s="1"/>
  <c r="M1301" i="1" a="1"/>
  <c r="M1301" i="1" s="1"/>
  <c r="M1302" i="1" a="1"/>
  <c r="M1302" i="1" s="1"/>
  <c r="M1303" i="1" a="1"/>
  <c r="M1303" i="1" s="1"/>
  <c r="M1304" i="1" a="1"/>
  <c r="M1304" i="1" s="1"/>
  <c r="M1305" i="1" a="1"/>
  <c r="M1305" i="1" s="1"/>
  <c r="M1306" i="1" a="1"/>
  <c r="M1306" i="1" s="1"/>
  <c r="M1307" i="1" a="1"/>
  <c r="M1307" i="1" s="1"/>
  <c r="M1308" i="1" a="1"/>
  <c r="M1308" i="1" s="1"/>
  <c r="M1309" i="1" a="1"/>
  <c r="M1309" i="1" s="1"/>
  <c r="M1310" i="1" a="1"/>
  <c r="M1310" i="1" s="1"/>
  <c r="M1311" i="1" a="1"/>
  <c r="M1311" i="1" s="1"/>
  <c r="M1312" i="1" a="1"/>
  <c r="M1312" i="1" s="1"/>
  <c r="M1313" i="1" a="1"/>
  <c r="M1313" i="1" s="1"/>
  <c r="M1314" i="1" a="1"/>
  <c r="M1314" i="1" s="1"/>
  <c r="M1315" i="1" a="1"/>
  <c r="M1315" i="1" s="1"/>
  <c r="M1316" i="1" a="1"/>
  <c r="M1316" i="1" s="1"/>
  <c r="M1317" i="1" a="1"/>
  <c r="M1317" i="1" s="1"/>
  <c r="M1318" i="1" a="1"/>
  <c r="M1318" i="1" s="1"/>
  <c r="M1319" i="1" a="1"/>
  <c r="M1319" i="1" s="1"/>
  <c r="M1320" i="1" a="1"/>
  <c r="M1320" i="1" s="1"/>
  <c r="M1321" i="1" a="1"/>
  <c r="M1321" i="1" s="1"/>
  <c r="M1322" i="1" a="1"/>
  <c r="M1322" i="1" s="1"/>
  <c r="M1323" i="1" a="1"/>
  <c r="M1323" i="1" s="1"/>
  <c r="M1324" i="1" a="1"/>
  <c r="M1324" i="1" s="1"/>
  <c r="M1325" i="1" a="1"/>
  <c r="M1325" i="1" s="1"/>
  <c r="M1326" i="1" a="1"/>
  <c r="M1326" i="1" s="1"/>
  <c r="M1327" i="1" a="1"/>
  <c r="M1327" i="1" s="1"/>
  <c r="M1328" i="1" a="1"/>
  <c r="M1328" i="1" s="1"/>
  <c r="M1329" i="1" a="1"/>
  <c r="M1329" i="1" s="1"/>
  <c r="M1330" i="1" a="1"/>
  <c r="M1330" i="1" s="1"/>
  <c r="M1331" i="1" a="1"/>
  <c r="M1331" i="1" s="1"/>
  <c r="M1332" i="1" a="1"/>
  <c r="M1332" i="1" s="1"/>
  <c r="M1333" i="1" a="1"/>
  <c r="M1333" i="1" s="1"/>
  <c r="M1334" i="1" a="1"/>
  <c r="M1334" i="1" s="1"/>
  <c r="M1335" i="1" a="1"/>
  <c r="M1335" i="1" s="1"/>
  <c r="M1336" i="1" a="1"/>
  <c r="M1336" i="1" s="1"/>
  <c r="M1337" i="1" a="1"/>
  <c r="M1337" i="1" s="1"/>
  <c r="M1338" i="1" a="1"/>
  <c r="M1338" i="1" s="1"/>
  <c r="M1339" i="1" a="1"/>
  <c r="M1339" i="1" s="1"/>
  <c r="M1340" i="1" a="1"/>
  <c r="M1340" i="1" s="1"/>
  <c r="M1341" i="1" a="1"/>
  <c r="M1341" i="1" s="1"/>
  <c r="M1342" i="1" a="1"/>
  <c r="M1342" i="1" s="1"/>
  <c r="M1343" i="1" a="1"/>
  <c r="M1343" i="1" s="1"/>
  <c r="M1344" i="1" a="1"/>
  <c r="M1344" i="1" s="1"/>
  <c r="M1345" i="1" a="1"/>
  <c r="M1345" i="1" s="1"/>
  <c r="M1346" i="1" a="1"/>
  <c r="M1346" i="1" s="1"/>
  <c r="M1347" i="1" a="1"/>
  <c r="M1347" i="1" s="1"/>
  <c r="M1348" i="1" a="1"/>
  <c r="M1348" i="1" s="1"/>
  <c r="M1349" i="1" a="1"/>
  <c r="M1349" i="1" s="1"/>
  <c r="M1350" i="1" a="1"/>
  <c r="M1350" i="1" s="1"/>
  <c r="M1351" i="1" a="1"/>
  <c r="M1351" i="1" s="1"/>
  <c r="M1352" i="1" a="1"/>
  <c r="M1352" i="1" s="1"/>
  <c r="M1353" i="1" a="1"/>
  <c r="M1353" i="1" s="1"/>
  <c r="M1354" i="1" a="1"/>
  <c r="M1354" i="1" s="1"/>
  <c r="M1355" i="1" a="1"/>
  <c r="M1355" i="1" s="1"/>
  <c r="M1356" i="1" a="1"/>
  <c r="M1356" i="1" s="1"/>
  <c r="M1357" i="1" a="1"/>
  <c r="M1357" i="1" s="1"/>
  <c r="M1358" i="1" a="1"/>
  <c r="M1358" i="1" s="1"/>
  <c r="M1359" i="1" a="1"/>
  <c r="M1359" i="1" s="1"/>
  <c r="M1360" i="1" a="1"/>
  <c r="M1360" i="1" s="1"/>
  <c r="M1361" i="1" a="1"/>
  <c r="M1361" i="1" s="1"/>
  <c r="M1362" i="1" a="1"/>
  <c r="M1362" i="1" s="1"/>
  <c r="M1363" i="1" a="1"/>
  <c r="M1363" i="1" s="1"/>
  <c r="M1364" i="1" a="1"/>
  <c r="M1364" i="1" s="1"/>
  <c r="M1365" i="1" a="1"/>
  <c r="M1365" i="1" s="1"/>
  <c r="M1366" i="1" a="1"/>
  <c r="M1366" i="1" s="1"/>
  <c r="M1367" i="1" a="1"/>
  <c r="M1367" i="1" s="1"/>
  <c r="M1368" i="1" a="1"/>
  <c r="M1368" i="1" s="1"/>
  <c r="M1369" i="1" a="1"/>
  <c r="M1369" i="1" s="1"/>
  <c r="M1370" i="1" a="1"/>
  <c r="M1370" i="1" s="1"/>
  <c r="M1371" i="1" a="1"/>
  <c r="M1371" i="1" s="1"/>
  <c r="M1372" i="1" a="1"/>
  <c r="M1372" i="1" s="1"/>
  <c r="M1373" i="1" a="1"/>
  <c r="M1373" i="1" s="1"/>
  <c r="M1374" i="1" a="1"/>
  <c r="M1374" i="1" s="1"/>
  <c r="M1375" i="1" a="1"/>
  <c r="M1375" i="1" s="1"/>
  <c r="M1376" i="1" a="1"/>
  <c r="M1376" i="1" s="1"/>
  <c r="M1377" i="1" a="1"/>
  <c r="M1377" i="1" s="1"/>
  <c r="M1378" i="1" a="1"/>
  <c r="M1378" i="1" s="1"/>
  <c r="M1379" i="1" a="1"/>
  <c r="M1379" i="1" s="1"/>
  <c r="M1380" i="1" a="1"/>
  <c r="M1380" i="1" s="1"/>
  <c r="M1381" i="1" a="1"/>
  <c r="M1381" i="1" s="1"/>
  <c r="M1382" i="1" a="1"/>
  <c r="M1382" i="1" s="1"/>
  <c r="M1383" i="1" a="1"/>
  <c r="M1383" i="1" s="1"/>
  <c r="M1384" i="1" a="1"/>
  <c r="M1384" i="1" s="1"/>
  <c r="M1385" i="1" a="1"/>
  <c r="M1385" i="1" s="1"/>
  <c r="M1386" i="1" a="1"/>
  <c r="M1386" i="1" s="1"/>
  <c r="M1387" i="1" a="1"/>
  <c r="M1387" i="1" s="1"/>
  <c r="M1388" i="1" a="1"/>
  <c r="M1388" i="1" s="1"/>
  <c r="M1389" i="1" a="1"/>
  <c r="M1389" i="1" s="1"/>
  <c r="M1390" i="1" a="1"/>
  <c r="M1390" i="1" s="1"/>
  <c r="M1391" i="1" a="1"/>
  <c r="M1391" i="1" s="1"/>
  <c r="M1392" i="1" a="1"/>
  <c r="M1392" i="1" s="1"/>
  <c r="M1393" i="1" a="1"/>
  <c r="M1393" i="1" s="1"/>
  <c r="M1394" i="1" a="1"/>
  <c r="M1394" i="1" s="1"/>
  <c r="M1395" i="1" a="1"/>
  <c r="M1395" i="1" s="1"/>
  <c r="M1396" i="1" a="1"/>
  <c r="M1396" i="1" s="1"/>
  <c r="M1397" i="1" a="1"/>
  <c r="M1397" i="1" s="1"/>
  <c r="M1398" i="1" a="1"/>
  <c r="M1398" i="1" s="1"/>
  <c r="M1399" i="1" a="1"/>
  <c r="M1399" i="1" s="1"/>
  <c r="M1400" i="1" a="1"/>
  <c r="M1400" i="1" s="1"/>
  <c r="M1401" i="1" a="1"/>
  <c r="M1401" i="1" s="1"/>
  <c r="M1402" i="1" a="1"/>
  <c r="M1402" i="1" s="1"/>
  <c r="M1403" i="1" a="1"/>
  <c r="M1403" i="1" s="1"/>
  <c r="M1404" i="1" a="1"/>
  <c r="M1404" i="1" s="1"/>
  <c r="M1405" i="1" a="1"/>
  <c r="M1405" i="1" s="1"/>
  <c r="M1406" i="1" a="1"/>
  <c r="M1406" i="1" s="1"/>
  <c r="M1407" i="1" a="1"/>
  <c r="M1407" i="1" s="1"/>
  <c r="M1408" i="1" a="1"/>
  <c r="M1408" i="1" s="1"/>
  <c r="M1409" i="1" a="1"/>
  <c r="M1409" i="1" s="1"/>
  <c r="M1410" i="1" a="1"/>
  <c r="M1410" i="1" s="1"/>
  <c r="M1411" i="1" a="1"/>
  <c r="M1411" i="1" s="1"/>
  <c r="M1412" i="1" a="1"/>
  <c r="M1412" i="1" s="1"/>
  <c r="M1413" i="1" a="1"/>
  <c r="M1413" i="1" s="1"/>
  <c r="M1414" i="1" a="1"/>
  <c r="M1414" i="1" s="1"/>
  <c r="M1415" i="1" a="1"/>
  <c r="M1415" i="1" s="1"/>
  <c r="M1416" i="1" a="1"/>
  <c r="M1416" i="1" s="1"/>
  <c r="M1417" i="1" a="1"/>
  <c r="M1417" i="1" s="1"/>
  <c r="M1418" i="1" a="1"/>
  <c r="M1418" i="1" s="1"/>
  <c r="M1419" i="1" a="1"/>
  <c r="M1419" i="1" s="1"/>
  <c r="M1420" i="1" a="1"/>
  <c r="M1420" i="1" s="1"/>
  <c r="M1421" i="1" a="1"/>
  <c r="M1421" i="1" s="1"/>
  <c r="M1422" i="1" a="1"/>
  <c r="M1422" i="1" s="1"/>
  <c r="M1423" i="1" a="1"/>
  <c r="M1423" i="1" s="1"/>
  <c r="M1424" i="1" a="1"/>
  <c r="M1424" i="1" s="1"/>
  <c r="M1425" i="1" a="1"/>
  <c r="M1425" i="1" s="1"/>
  <c r="M1426" i="1" a="1"/>
  <c r="M1426" i="1" s="1"/>
  <c r="M1427" i="1" a="1"/>
  <c r="M1427" i="1" s="1"/>
  <c r="M1428" i="1" a="1"/>
  <c r="M1428" i="1" s="1"/>
  <c r="M1429" i="1" a="1"/>
  <c r="M1429" i="1" s="1"/>
  <c r="M1430" i="1" a="1"/>
  <c r="M1430" i="1" s="1"/>
  <c r="M1431" i="1" a="1"/>
  <c r="M1431" i="1" s="1"/>
  <c r="M1432" i="1" a="1"/>
  <c r="M1432" i="1" s="1"/>
  <c r="M1433" i="1" a="1"/>
  <c r="M1433" i="1" s="1"/>
  <c r="M1434" i="1" a="1"/>
  <c r="M1434" i="1" s="1"/>
  <c r="M1435" i="1" a="1"/>
  <c r="M1435" i="1" s="1"/>
  <c r="M1436" i="1" a="1"/>
  <c r="M1436" i="1" s="1"/>
  <c r="M1437" i="1" a="1"/>
  <c r="M1437" i="1" s="1"/>
  <c r="M1438" i="1" a="1"/>
  <c r="M1438" i="1" s="1"/>
  <c r="M1439" i="1" a="1"/>
  <c r="M1439" i="1" s="1"/>
  <c r="M1440" i="1" a="1"/>
  <c r="M1440" i="1" s="1"/>
  <c r="M1441" i="1" a="1"/>
  <c r="M1441" i="1" s="1"/>
  <c r="M1442" i="1" a="1"/>
  <c r="M1442" i="1" s="1"/>
  <c r="M1443" i="1" a="1"/>
  <c r="M1443" i="1" s="1"/>
  <c r="M1444" i="1" a="1"/>
  <c r="M1444" i="1" s="1"/>
  <c r="M1445" i="1" a="1"/>
  <c r="M1445" i="1" s="1"/>
  <c r="M1446" i="1" a="1"/>
  <c r="M1446" i="1" s="1"/>
  <c r="M1447" i="1" a="1"/>
  <c r="M1447" i="1" s="1"/>
  <c r="M1448" i="1" a="1"/>
  <c r="M1448" i="1" s="1"/>
  <c r="M1449" i="1" a="1"/>
  <c r="M1449" i="1" s="1"/>
  <c r="M1450" i="1" a="1"/>
  <c r="M1450" i="1" s="1"/>
  <c r="M1451" i="1" a="1"/>
  <c r="M1451" i="1" s="1"/>
  <c r="M1452" i="1" a="1"/>
  <c r="M1452" i="1" s="1"/>
  <c r="M1453" i="1" a="1"/>
  <c r="M1453" i="1" s="1"/>
  <c r="M1454" i="1" a="1"/>
  <c r="M1454" i="1" s="1"/>
  <c r="M1455" i="1" a="1"/>
  <c r="M1455" i="1" s="1"/>
  <c r="M1456" i="1" a="1"/>
  <c r="M1456" i="1" s="1"/>
  <c r="M1457" i="1" a="1"/>
  <c r="M1457" i="1" s="1"/>
  <c r="M1458" i="1" a="1"/>
  <c r="M1458" i="1" s="1"/>
  <c r="M1459" i="1" a="1"/>
  <c r="M1459" i="1" s="1"/>
  <c r="M1460" i="1" a="1"/>
  <c r="M1460" i="1" s="1"/>
  <c r="M1461" i="1" a="1"/>
  <c r="M1461" i="1" s="1"/>
  <c r="M1462" i="1" a="1"/>
  <c r="M1462" i="1" s="1"/>
  <c r="M1463" i="1" a="1"/>
  <c r="M1463" i="1" s="1"/>
  <c r="M1464" i="1" a="1"/>
  <c r="M1464" i="1" s="1"/>
  <c r="M1465" i="1" a="1"/>
  <c r="M1465" i="1" s="1"/>
  <c r="M1466" i="1" a="1"/>
  <c r="M1466" i="1" s="1"/>
  <c r="M1467" i="1" a="1"/>
  <c r="M1467" i="1" s="1"/>
  <c r="M1468" i="1" a="1"/>
  <c r="M1468" i="1" s="1"/>
  <c r="M1469" i="1" a="1"/>
  <c r="M1469" i="1" s="1"/>
  <c r="M1470" i="1" a="1"/>
  <c r="M1470" i="1" s="1"/>
  <c r="M1471" i="1" a="1"/>
  <c r="M1471" i="1" s="1"/>
  <c r="M1472" i="1" a="1"/>
  <c r="M1472" i="1" s="1"/>
  <c r="M1473" i="1" a="1"/>
  <c r="M1473" i="1" s="1"/>
  <c r="M1474" i="1" a="1"/>
  <c r="M1474" i="1" s="1"/>
  <c r="M1475" i="1" a="1"/>
  <c r="M1475" i="1" s="1"/>
  <c r="M1476" i="1" a="1"/>
  <c r="M1476" i="1" s="1"/>
  <c r="M1477" i="1" a="1"/>
  <c r="M1477" i="1" s="1"/>
  <c r="M1478" i="1" a="1"/>
  <c r="M1478" i="1" s="1"/>
  <c r="M1479" i="1" a="1"/>
  <c r="M1479" i="1" s="1"/>
  <c r="M1480" i="1" a="1"/>
  <c r="M1480" i="1" s="1"/>
  <c r="M1481" i="1" a="1"/>
  <c r="M1481" i="1" s="1"/>
  <c r="M1482" i="1" a="1"/>
  <c r="M1482" i="1" s="1"/>
  <c r="M1483" i="1" a="1"/>
  <c r="M1483" i="1" s="1"/>
  <c r="M1484" i="1" a="1"/>
  <c r="M1484" i="1" s="1"/>
  <c r="M1485" i="1" a="1"/>
  <c r="M1485" i="1" s="1"/>
  <c r="M1486" i="1" a="1"/>
  <c r="M1486" i="1" s="1"/>
  <c r="M1487" i="1" a="1"/>
  <c r="M1487" i="1" s="1"/>
  <c r="M1488" i="1" a="1"/>
  <c r="M1488" i="1" s="1"/>
  <c r="M1489" i="1" a="1"/>
  <c r="M1489" i="1" s="1"/>
  <c r="M1490" i="1" a="1"/>
  <c r="M1490" i="1" s="1"/>
  <c r="M1491" i="1" a="1"/>
  <c r="M1491" i="1" s="1"/>
  <c r="M1492" i="1" a="1"/>
  <c r="M1492" i="1" s="1"/>
  <c r="M1493" i="1" a="1"/>
  <c r="M1493" i="1" s="1"/>
  <c r="M1494" i="1" a="1"/>
  <c r="M1494" i="1" s="1"/>
  <c r="M1495" i="1" a="1"/>
  <c r="M1495" i="1" s="1"/>
  <c r="M1496" i="1" a="1"/>
  <c r="M1496" i="1" s="1"/>
  <c r="M1497" i="1" a="1"/>
  <c r="M1497" i="1" s="1"/>
  <c r="M1498" i="1" a="1"/>
  <c r="M1498" i="1" s="1"/>
  <c r="M1499" i="1" a="1"/>
  <c r="M1499" i="1" s="1"/>
  <c r="M1500" i="1" a="1"/>
  <c r="M1500" i="1" s="1"/>
  <c r="M1501" i="1" a="1"/>
  <c r="M1501" i="1" s="1"/>
  <c r="M1502" i="1" a="1"/>
  <c r="M1502" i="1" s="1"/>
  <c r="M1503" i="1" a="1"/>
  <c r="M1503" i="1" s="1"/>
  <c r="M1504" i="1" a="1"/>
  <c r="M1504" i="1" s="1"/>
  <c r="M1505" i="1" a="1"/>
  <c r="M1505" i="1" s="1"/>
  <c r="M1506" i="1" a="1"/>
  <c r="M1506" i="1" s="1"/>
  <c r="M1507" i="1" a="1"/>
  <c r="M1507" i="1" s="1"/>
  <c r="M1508" i="1" a="1"/>
  <c r="M1508" i="1" s="1"/>
  <c r="M1509" i="1" a="1"/>
  <c r="M1509" i="1" s="1"/>
  <c r="M1510" i="1" a="1"/>
  <c r="M1510" i="1" s="1"/>
  <c r="M1511" i="1" a="1"/>
  <c r="M1511" i="1" s="1"/>
  <c r="M1512" i="1" a="1"/>
  <c r="M1512" i="1" s="1"/>
  <c r="M1513" i="1" a="1"/>
  <c r="M1513" i="1" s="1"/>
  <c r="M1514" i="1" a="1"/>
  <c r="M1514" i="1" s="1"/>
  <c r="M1515" i="1" a="1"/>
  <c r="M1515" i="1" s="1"/>
  <c r="M1516" i="1" a="1"/>
  <c r="M1516" i="1" s="1"/>
  <c r="M1517" i="1" a="1"/>
  <c r="M1517" i="1" s="1"/>
  <c r="M1518" i="1" a="1"/>
  <c r="M1518" i="1" s="1"/>
  <c r="M1519" i="1" a="1"/>
  <c r="M1519" i="1" s="1"/>
  <c r="M1520" i="1" a="1"/>
  <c r="M1520" i="1" s="1"/>
  <c r="M1521" i="1" a="1"/>
  <c r="M1521" i="1" s="1"/>
  <c r="M1522" i="1" a="1"/>
  <c r="M1522" i="1" s="1"/>
  <c r="M1523" i="1" a="1"/>
  <c r="M1523" i="1" s="1"/>
  <c r="M1524" i="1" a="1"/>
  <c r="M1524" i="1" s="1"/>
  <c r="M1525" i="1" a="1"/>
  <c r="M1525" i="1" s="1"/>
  <c r="M1526" i="1" a="1"/>
  <c r="M1526" i="1" s="1"/>
  <c r="M1527" i="1" a="1"/>
  <c r="M1527" i="1" s="1"/>
  <c r="M1528" i="1" a="1"/>
  <c r="M1528" i="1" s="1"/>
  <c r="M1529" i="1" a="1"/>
  <c r="M1529" i="1" s="1"/>
  <c r="M1530" i="1" a="1"/>
  <c r="M1530" i="1" s="1"/>
  <c r="M1531" i="1" a="1"/>
  <c r="M1531" i="1" s="1"/>
  <c r="M1532" i="1" a="1"/>
  <c r="M1532" i="1" s="1"/>
  <c r="M1533" i="1" a="1"/>
  <c r="M1533" i="1" s="1"/>
  <c r="M1534" i="1" a="1"/>
  <c r="M1534" i="1" s="1"/>
  <c r="M1535" i="1" a="1"/>
  <c r="M1535" i="1" s="1"/>
  <c r="M1536" i="1" a="1"/>
  <c r="M1536" i="1" s="1"/>
  <c r="M1537" i="1" a="1"/>
  <c r="M1537" i="1" s="1"/>
  <c r="M1538" i="1" a="1"/>
  <c r="M1538" i="1" s="1"/>
  <c r="M1539" i="1" a="1"/>
  <c r="M1539" i="1" s="1"/>
  <c r="M1540" i="1" a="1"/>
  <c r="M1540" i="1" s="1"/>
  <c r="M1541" i="1" a="1"/>
  <c r="M1541" i="1" s="1"/>
  <c r="M1542" i="1" a="1"/>
  <c r="M1542" i="1" s="1"/>
  <c r="M1543" i="1" a="1"/>
  <c r="M1543" i="1" s="1"/>
  <c r="M1544" i="1" a="1"/>
  <c r="M1544" i="1" s="1"/>
  <c r="M1545" i="1" a="1"/>
  <c r="M1545" i="1" s="1"/>
  <c r="M1546" i="1" a="1"/>
  <c r="M1546" i="1" s="1"/>
  <c r="M1547" i="1" a="1"/>
  <c r="M1547" i="1" s="1"/>
  <c r="M1548" i="1" a="1"/>
  <c r="M1548" i="1" s="1"/>
  <c r="M1549" i="1" a="1"/>
  <c r="M1549" i="1" s="1"/>
  <c r="M1550" i="1" a="1"/>
  <c r="M1550" i="1" s="1"/>
  <c r="M1551" i="1" a="1"/>
  <c r="M1551" i="1" s="1"/>
  <c r="M1552" i="1" a="1"/>
  <c r="M1552" i="1" s="1"/>
  <c r="M1553" i="1" a="1"/>
  <c r="M1553" i="1" s="1"/>
  <c r="M1554" i="1" a="1"/>
  <c r="M1554" i="1" s="1"/>
  <c r="M1555" i="1" a="1"/>
  <c r="M1555" i="1" s="1"/>
  <c r="M1556" i="1" a="1"/>
  <c r="M1556" i="1" s="1"/>
  <c r="M1557" i="1" a="1"/>
  <c r="M1557" i="1" s="1"/>
  <c r="M1558" i="1" a="1"/>
  <c r="M1558" i="1" s="1"/>
  <c r="M1559" i="1" a="1"/>
  <c r="M1559" i="1" s="1"/>
  <c r="M1560" i="1" a="1"/>
  <c r="M1560" i="1" s="1"/>
  <c r="M1561" i="1" a="1"/>
  <c r="M1561" i="1" s="1"/>
  <c r="M1562" i="1" a="1"/>
  <c r="M1562" i="1" s="1"/>
  <c r="M1563" i="1" a="1"/>
  <c r="M1563" i="1" s="1"/>
  <c r="M1564" i="1" a="1"/>
  <c r="M1564" i="1" s="1"/>
  <c r="M1565" i="1" a="1"/>
  <c r="M1565" i="1" s="1"/>
  <c r="M1566" i="1" a="1"/>
  <c r="M1566" i="1" s="1"/>
  <c r="M1567" i="1" a="1"/>
  <c r="M1567" i="1" s="1"/>
  <c r="M1568" i="1" a="1"/>
  <c r="M1568" i="1" s="1"/>
  <c r="M1569" i="1" a="1"/>
  <c r="M1569" i="1" s="1"/>
  <c r="M1570" i="1" a="1"/>
  <c r="M1570" i="1" s="1"/>
  <c r="M1571" i="1" a="1"/>
  <c r="M1571" i="1" s="1"/>
  <c r="M1572" i="1" a="1"/>
  <c r="M1572" i="1" s="1"/>
  <c r="M1573" i="1" a="1"/>
  <c r="M1573" i="1" s="1"/>
  <c r="M1574" i="1" a="1"/>
  <c r="M1574" i="1" s="1"/>
  <c r="M1575" i="1" a="1"/>
  <c r="M1575" i="1" s="1"/>
  <c r="M1576" i="1" a="1"/>
  <c r="M1576" i="1" s="1"/>
  <c r="M1577" i="1" a="1"/>
  <c r="M1577" i="1" s="1"/>
  <c r="M1578" i="1" a="1"/>
  <c r="M1578" i="1" s="1"/>
  <c r="M1579" i="1" a="1"/>
  <c r="M1579" i="1" s="1"/>
  <c r="M1580" i="1" a="1"/>
  <c r="M1580" i="1" s="1"/>
  <c r="M1581" i="1" a="1"/>
  <c r="M1581" i="1" s="1"/>
  <c r="M1582" i="1" a="1"/>
  <c r="M1582" i="1" s="1"/>
  <c r="M1583" i="1" a="1"/>
  <c r="M1583" i="1" s="1"/>
  <c r="M1584" i="1" a="1"/>
  <c r="M1584" i="1" s="1"/>
  <c r="M1585" i="1" a="1"/>
  <c r="M1585" i="1" s="1"/>
  <c r="M1586" i="1" a="1"/>
  <c r="M1586" i="1" s="1"/>
  <c r="M1587" i="1" a="1"/>
  <c r="M1587" i="1" s="1"/>
  <c r="M1588" i="1" a="1"/>
  <c r="M1588" i="1" s="1"/>
  <c r="M1589" i="1" a="1"/>
  <c r="M1589" i="1" s="1"/>
  <c r="M1590" i="1" a="1"/>
  <c r="M1590" i="1" s="1"/>
  <c r="M1591" i="1" a="1"/>
  <c r="M1591" i="1" s="1"/>
  <c r="M1592" i="1" a="1"/>
  <c r="M1592" i="1" s="1"/>
  <c r="M1593" i="1" a="1"/>
  <c r="M1593" i="1" s="1"/>
  <c r="M1594" i="1" a="1"/>
  <c r="M1594" i="1" s="1"/>
  <c r="M1595" i="1" a="1"/>
  <c r="M1595" i="1" s="1"/>
  <c r="M1596" i="1" a="1"/>
  <c r="M1596" i="1" s="1"/>
  <c r="M1597" i="1" a="1"/>
  <c r="M1597" i="1" s="1"/>
  <c r="M1598" i="1" a="1"/>
  <c r="M1598" i="1" s="1"/>
  <c r="M1599" i="1" a="1"/>
  <c r="M1599" i="1" s="1"/>
  <c r="M1600" i="1" a="1"/>
  <c r="M1600" i="1" s="1"/>
  <c r="M1601" i="1" a="1"/>
  <c r="M1601" i="1" s="1"/>
  <c r="M1602" i="1" a="1"/>
  <c r="M1602" i="1" s="1"/>
  <c r="M1603" i="1" a="1"/>
  <c r="M1603" i="1" s="1"/>
  <c r="M1604" i="1" a="1"/>
  <c r="M1604" i="1" s="1"/>
  <c r="M1605" i="1" a="1"/>
  <c r="M1605" i="1" s="1"/>
  <c r="M1606" i="1" a="1"/>
  <c r="M1606" i="1" s="1"/>
  <c r="M1607" i="1" a="1"/>
  <c r="M1607" i="1" s="1"/>
  <c r="M1608" i="1" a="1"/>
  <c r="M1608" i="1" s="1"/>
  <c r="M1609" i="1" a="1"/>
  <c r="M1609" i="1" s="1"/>
  <c r="M1610" i="1" a="1"/>
  <c r="M1610" i="1" s="1"/>
  <c r="M1611" i="1" a="1"/>
  <c r="M1611" i="1" s="1"/>
  <c r="M1612" i="1" a="1"/>
  <c r="M1612" i="1" s="1"/>
  <c r="M1613" i="1" a="1"/>
  <c r="M1613" i="1" s="1"/>
  <c r="M1614" i="1" a="1"/>
  <c r="M1614" i="1" s="1"/>
  <c r="M1615" i="1" a="1"/>
  <c r="M1615" i="1" s="1"/>
  <c r="M1616" i="1" a="1"/>
  <c r="M1616" i="1" s="1"/>
  <c r="M1617" i="1" a="1"/>
  <c r="M1617" i="1" s="1"/>
  <c r="M1618" i="1" a="1"/>
  <c r="M1618" i="1" s="1"/>
  <c r="M1619" i="1" a="1"/>
  <c r="M1619" i="1" s="1"/>
  <c r="M1620" i="1" a="1"/>
  <c r="M1620" i="1" s="1"/>
  <c r="M1621" i="1" a="1"/>
  <c r="M1621" i="1" s="1"/>
  <c r="M1622" i="1" a="1"/>
  <c r="M1622" i="1" s="1"/>
  <c r="M1623" i="1" a="1"/>
  <c r="M1623" i="1" s="1"/>
  <c r="M1624" i="1" a="1"/>
  <c r="M1624" i="1" s="1"/>
  <c r="M1625" i="1" a="1"/>
  <c r="M1625" i="1" s="1"/>
  <c r="M1626" i="1" a="1"/>
  <c r="M1626" i="1" s="1"/>
  <c r="M1627" i="1" a="1"/>
  <c r="M1627" i="1" s="1"/>
  <c r="M1628" i="1" a="1"/>
  <c r="M1628" i="1" s="1"/>
  <c r="M1629" i="1" a="1"/>
  <c r="M1629" i="1" s="1"/>
  <c r="M1630" i="1" a="1"/>
  <c r="M1630" i="1" s="1"/>
  <c r="M1631" i="1" a="1"/>
  <c r="M1631" i="1" s="1"/>
  <c r="M1632" i="1" a="1"/>
  <c r="M1632" i="1" s="1"/>
  <c r="M1633" i="1" a="1"/>
  <c r="M1633" i="1" s="1"/>
  <c r="M1634" i="1" a="1"/>
  <c r="M1634" i="1" s="1"/>
  <c r="M1635" i="1" a="1"/>
  <c r="M1635" i="1" s="1"/>
  <c r="M1636" i="1" a="1"/>
  <c r="M1636" i="1" s="1"/>
  <c r="M1637" i="1" a="1"/>
  <c r="M1637" i="1" s="1"/>
  <c r="M1638" i="1" a="1"/>
  <c r="M1638" i="1" s="1"/>
  <c r="M1639" i="1" a="1"/>
  <c r="M1639" i="1" s="1"/>
  <c r="M1640" i="1" a="1"/>
  <c r="M1640" i="1" s="1"/>
  <c r="M1641" i="1" a="1"/>
  <c r="M1641" i="1" s="1"/>
  <c r="M1642" i="1" a="1"/>
  <c r="M1642" i="1" s="1"/>
  <c r="M1643" i="1" a="1"/>
  <c r="M1643" i="1" s="1"/>
  <c r="M1644" i="1" a="1"/>
  <c r="M1644" i="1" s="1"/>
  <c r="M1645" i="1" a="1"/>
  <c r="M1645" i="1" s="1"/>
  <c r="M1646" i="1" a="1"/>
  <c r="M1646" i="1" s="1"/>
  <c r="M1647" i="1" a="1"/>
  <c r="M1647" i="1" s="1"/>
  <c r="M1648" i="1" a="1"/>
  <c r="M1648" i="1" s="1"/>
  <c r="M1649" i="1" a="1"/>
  <c r="M1649" i="1" s="1"/>
  <c r="M1650" i="1" a="1"/>
  <c r="M1650" i="1" s="1"/>
  <c r="M1651" i="1" a="1"/>
  <c r="M1651" i="1" s="1"/>
  <c r="M1652" i="1" a="1"/>
  <c r="M1652" i="1" s="1"/>
  <c r="M1653" i="1" a="1"/>
  <c r="M1653" i="1" s="1"/>
  <c r="M1654" i="1" a="1"/>
  <c r="M1654" i="1" s="1"/>
  <c r="M1655" i="1" a="1"/>
  <c r="M1655" i="1" s="1"/>
  <c r="M1656" i="1" a="1"/>
  <c r="M1656" i="1" s="1"/>
  <c r="M1657" i="1" a="1"/>
  <c r="M1657" i="1" s="1"/>
  <c r="M1658" i="1" a="1"/>
  <c r="M1658" i="1" s="1"/>
  <c r="M1659" i="1" a="1"/>
  <c r="M1659" i="1" s="1"/>
  <c r="M1660" i="1" a="1"/>
  <c r="M1660" i="1" s="1"/>
  <c r="M1661" i="1" a="1"/>
  <c r="M1661" i="1" s="1"/>
  <c r="M1662" i="1" a="1"/>
  <c r="M1662" i="1" s="1"/>
  <c r="M1663" i="1" a="1"/>
  <c r="M1663" i="1" s="1"/>
  <c r="M1664" i="1" a="1"/>
  <c r="M1664" i="1" s="1"/>
  <c r="M1665" i="1" a="1"/>
  <c r="M1665" i="1" s="1"/>
  <c r="M1666" i="1" a="1"/>
  <c r="M1666" i="1" s="1"/>
  <c r="M1667" i="1" a="1"/>
  <c r="M1667" i="1" s="1"/>
  <c r="M1668" i="1" a="1"/>
  <c r="M1668" i="1" s="1"/>
  <c r="M1669" i="1" a="1"/>
  <c r="M1669" i="1" s="1"/>
  <c r="M1670" i="1" a="1"/>
  <c r="M1670" i="1" s="1"/>
  <c r="M1671" i="1" a="1"/>
  <c r="M1671" i="1" s="1"/>
  <c r="M1672" i="1" a="1"/>
  <c r="M1672" i="1" s="1"/>
  <c r="M1673" i="1" a="1"/>
  <c r="M1673" i="1" s="1"/>
  <c r="M1674" i="1" a="1"/>
  <c r="M1674" i="1" s="1"/>
  <c r="M1675" i="1" a="1"/>
  <c r="M1675" i="1" s="1"/>
  <c r="M1676" i="1" a="1"/>
  <c r="M1676" i="1" s="1"/>
  <c r="M1677" i="1" a="1"/>
  <c r="M1677" i="1" s="1"/>
  <c r="M1678" i="1" a="1"/>
  <c r="M1678" i="1" s="1"/>
  <c r="M1679" i="1" a="1"/>
  <c r="M1679" i="1" s="1"/>
  <c r="M1680" i="1" a="1"/>
  <c r="M1680" i="1" s="1"/>
  <c r="M1681" i="1" a="1"/>
  <c r="M1681" i="1" s="1"/>
  <c r="M1682" i="1" a="1"/>
  <c r="M1682" i="1" s="1"/>
  <c r="M1683" i="1" a="1"/>
  <c r="M1683" i="1" s="1"/>
  <c r="M1684" i="1" a="1"/>
  <c r="M1684" i="1" s="1"/>
  <c r="M1685" i="1" a="1"/>
  <c r="M1685" i="1" s="1"/>
  <c r="M1686" i="1" a="1"/>
  <c r="M1686" i="1" s="1"/>
  <c r="M1687" i="1" a="1"/>
  <c r="M1687" i="1" s="1"/>
  <c r="M1688" i="1" a="1"/>
  <c r="M1688" i="1" s="1"/>
  <c r="M1689" i="1" a="1"/>
  <c r="M1689" i="1" s="1"/>
  <c r="M1690" i="1" a="1"/>
  <c r="M1690" i="1" s="1"/>
  <c r="M1691" i="1" a="1"/>
  <c r="M1691" i="1" s="1"/>
  <c r="M1692" i="1" a="1"/>
  <c r="M1692" i="1" s="1"/>
  <c r="M1693" i="1" a="1"/>
  <c r="M1693" i="1" s="1"/>
  <c r="M1694" i="1" a="1"/>
  <c r="M1694" i="1" s="1"/>
  <c r="M1695" i="1" a="1"/>
  <c r="M1695" i="1" s="1"/>
  <c r="M1696" i="1" a="1"/>
  <c r="M1696" i="1" s="1"/>
  <c r="M1697" i="1" a="1"/>
  <c r="M1697" i="1" s="1"/>
  <c r="M1698" i="1" a="1"/>
  <c r="M1698" i="1" s="1"/>
  <c r="M1699" i="1" a="1"/>
  <c r="M1699" i="1" s="1"/>
  <c r="M1700" i="1" a="1"/>
  <c r="M1700" i="1" s="1"/>
  <c r="M1701" i="1" a="1"/>
  <c r="M1701" i="1" s="1"/>
  <c r="M1702" i="1" a="1"/>
  <c r="M1702" i="1" s="1"/>
  <c r="M1703" i="1" a="1"/>
  <c r="M1703" i="1" s="1"/>
  <c r="M1704" i="1" a="1"/>
  <c r="M1704" i="1" s="1"/>
  <c r="M1705" i="1" a="1"/>
  <c r="M1705" i="1" s="1"/>
  <c r="M1706" i="1" a="1"/>
  <c r="M1706" i="1" s="1"/>
  <c r="M1707" i="1" a="1"/>
  <c r="M1707" i="1" s="1"/>
  <c r="M1708" i="1" a="1"/>
  <c r="M1708" i="1" s="1"/>
  <c r="M1709" i="1" a="1"/>
  <c r="M1709" i="1" s="1"/>
  <c r="M1710" i="1" a="1"/>
  <c r="M1710" i="1" s="1"/>
  <c r="M1711" i="1" a="1"/>
  <c r="M1711" i="1" s="1"/>
  <c r="M1712" i="1" a="1"/>
  <c r="M1712" i="1" s="1"/>
  <c r="M1713" i="1" a="1"/>
  <c r="M1713" i="1" s="1"/>
  <c r="M1714" i="1" a="1"/>
  <c r="M1714" i="1" s="1"/>
  <c r="M1715" i="1" a="1"/>
  <c r="M1715" i="1" s="1"/>
  <c r="M1716" i="1" a="1"/>
  <c r="M1716" i="1" s="1"/>
  <c r="M1717" i="1" a="1"/>
  <c r="M1717" i="1" s="1"/>
  <c r="M1718" i="1" a="1"/>
  <c r="M1718" i="1" s="1"/>
  <c r="M1719" i="1" a="1"/>
  <c r="M1719" i="1" s="1"/>
  <c r="M1720" i="1" a="1"/>
  <c r="M1720" i="1" s="1"/>
  <c r="M1721" i="1" a="1"/>
  <c r="M1721" i="1" s="1"/>
  <c r="M1722" i="1" a="1"/>
  <c r="M1722" i="1" s="1"/>
  <c r="M1723" i="1" a="1"/>
  <c r="M1723" i="1" s="1"/>
  <c r="M1724" i="1" a="1"/>
  <c r="M1724" i="1" s="1"/>
  <c r="M1725" i="1" a="1"/>
  <c r="M1725" i="1" s="1"/>
  <c r="M1726" i="1" a="1"/>
  <c r="M1726" i="1" s="1"/>
  <c r="M1727" i="1" a="1"/>
  <c r="M1727" i="1" s="1"/>
  <c r="M1728" i="1" a="1"/>
  <c r="M1728" i="1" s="1"/>
  <c r="M1729" i="1" a="1"/>
  <c r="M1729" i="1" s="1"/>
  <c r="M1730" i="1" a="1"/>
  <c r="M1730" i="1" s="1"/>
  <c r="M1731" i="1" a="1"/>
  <c r="M1731" i="1" s="1"/>
  <c r="M1732" i="1" a="1"/>
  <c r="M1732" i="1" s="1"/>
  <c r="M1733" i="1" a="1"/>
  <c r="M1733" i="1" s="1"/>
  <c r="M1734" i="1" a="1"/>
  <c r="M1734" i="1" s="1"/>
  <c r="M1735" i="1" a="1"/>
  <c r="M1735" i="1" s="1"/>
  <c r="M1736" i="1" a="1"/>
  <c r="M1736" i="1" s="1"/>
  <c r="M1737" i="1" a="1"/>
  <c r="M1737" i="1" s="1"/>
  <c r="M1738" i="1" a="1"/>
  <c r="M1738" i="1" s="1"/>
  <c r="M1739" i="1" a="1"/>
  <c r="M1739" i="1" s="1"/>
  <c r="M1740" i="1" a="1"/>
  <c r="M1740" i="1" s="1"/>
  <c r="M1741" i="1" a="1"/>
  <c r="M1741" i="1" s="1"/>
  <c r="M1742" i="1" a="1"/>
  <c r="M1742" i="1" s="1"/>
  <c r="M1743" i="1" a="1"/>
  <c r="M1743" i="1" s="1"/>
  <c r="M1744" i="1" a="1"/>
  <c r="M1744" i="1" s="1"/>
  <c r="M1745" i="1" a="1"/>
  <c r="M1745" i="1" s="1"/>
  <c r="M1746" i="1" a="1"/>
  <c r="M1746" i="1" s="1"/>
  <c r="M1747" i="1" a="1"/>
  <c r="M1747" i="1" s="1"/>
  <c r="M1748" i="1" a="1"/>
  <c r="M1748" i="1" s="1"/>
  <c r="M1749" i="1" a="1"/>
  <c r="M1749" i="1" s="1"/>
  <c r="M1750" i="1" a="1"/>
  <c r="M1750" i="1" s="1"/>
  <c r="M1751" i="1" a="1"/>
  <c r="M1751" i="1" s="1"/>
  <c r="M1752" i="1" a="1"/>
  <c r="M1752" i="1" s="1"/>
  <c r="M1753" i="1" a="1"/>
  <c r="M1753" i="1" s="1"/>
  <c r="M1754" i="1" a="1"/>
  <c r="M1754" i="1" s="1"/>
  <c r="M1755" i="1" a="1"/>
  <c r="M1755" i="1" s="1"/>
  <c r="M1756" i="1" a="1"/>
  <c r="M1756" i="1" s="1"/>
  <c r="M1757" i="1" a="1"/>
  <c r="M1757" i="1" s="1"/>
  <c r="M1758" i="1" a="1"/>
  <c r="M1758" i="1" s="1"/>
  <c r="M1759" i="1" a="1"/>
  <c r="M1759" i="1" s="1"/>
  <c r="M1760" i="1" a="1"/>
  <c r="M1760" i="1" s="1"/>
  <c r="M1761" i="1" a="1"/>
  <c r="M1761" i="1" s="1"/>
  <c r="M1762" i="1" a="1"/>
  <c r="M1762" i="1" s="1"/>
  <c r="M1763" i="1" a="1"/>
  <c r="M1763" i="1" s="1"/>
  <c r="M1764" i="1" a="1"/>
  <c r="M1764" i="1" s="1"/>
  <c r="M1765" i="1" a="1"/>
  <c r="M1765" i="1" s="1"/>
  <c r="M1766" i="1" a="1"/>
  <c r="M1766" i="1" s="1"/>
  <c r="M1767" i="1" a="1"/>
  <c r="M1767" i="1" s="1"/>
  <c r="M1768" i="1" a="1"/>
  <c r="M1768" i="1" s="1"/>
  <c r="M1769" i="1" a="1"/>
  <c r="M1769" i="1" s="1"/>
  <c r="M1770" i="1" a="1"/>
  <c r="M1770" i="1" s="1"/>
  <c r="M1771" i="1" a="1"/>
  <c r="M1771" i="1" s="1"/>
  <c r="M1772" i="1" a="1"/>
  <c r="M1772" i="1" s="1"/>
  <c r="M1773" i="1" a="1"/>
  <c r="M1773" i="1" s="1"/>
  <c r="M1774" i="1" a="1"/>
  <c r="M1774" i="1" s="1"/>
  <c r="M1775" i="1" a="1"/>
  <c r="M1775" i="1" s="1"/>
  <c r="M1776" i="1" a="1"/>
  <c r="M1776" i="1" s="1"/>
  <c r="M1777" i="1" a="1"/>
  <c r="M1777" i="1" s="1"/>
  <c r="M1778" i="1" a="1"/>
  <c r="M1778" i="1" s="1"/>
  <c r="M1779" i="1" a="1"/>
  <c r="M1779" i="1" s="1"/>
  <c r="M1780" i="1" a="1"/>
  <c r="M1780" i="1" s="1"/>
  <c r="M1781" i="1" a="1"/>
  <c r="M1781" i="1" s="1"/>
  <c r="M1782" i="1" a="1"/>
  <c r="M1782" i="1" s="1"/>
  <c r="M1783" i="1" a="1"/>
  <c r="M1783" i="1" s="1"/>
  <c r="M1784" i="1" a="1"/>
  <c r="M1784" i="1" s="1"/>
  <c r="M1785" i="1" a="1"/>
  <c r="M1785" i="1" s="1"/>
  <c r="M1786" i="1" a="1"/>
  <c r="M1786" i="1" s="1"/>
  <c r="M1787" i="1" a="1"/>
  <c r="M1787" i="1" s="1"/>
  <c r="M1788" i="1" a="1"/>
  <c r="M1788" i="1" s="1"/>
  <c r="M1789" i="1" a="1"/>
  <c r="M1789" i="1" s="1"/>
  <c r="M1790" i="1" a="1"/>
  <c r="M1790" i="1" s="1"/>
  <c r="M1791" i="1" a="1"/>
  <c r="M1791" i="1" s="1"/>
  <c r="M1792" i="1" a="1"/>
  <c r="M1792" i="1" s="1"/>
  <c r="M1793" i="1" a="1"/>
  <c r="M1793" i="1" s="1"/>
  <c r="M1794" i="1" a="1"/>
  <c r="M1794" i="1" s="1"/>
  <c r="M1795" i="1" a="1"/>
  <c r="M1795" i="1" s="1"/>
  <c r="M1796" i="1" a="1"/>
  <c r="M1796" i="1" s="1"/>
  <c r="M1797" i="1" a="1"/>
  <c r="M1797" i="1" s="1"/>
  <c r="M1798" i="1" a="1"/>
  <c r="M1798" i="1" s="1"/>
  <c r="M1799" i="1" a="1"/>
  <c r="M1799" i="1" s="1"/>
  <c r="M1800" i="1" a="1"/>
  <c r="M1800" i="1" s="1"/>
  <c r="M1801" i="1" a="1"/>
  <c r="M1801" i="1" s="1"/>
  <c r="M1802" i="1" a="1"/>
  <c r="M1802" i="1" s="1"/>
  <c r="M1803" i="1" a="1"/>
  <c r="M1803" i="1" s="1"/>
  <c r="M1804" i="1" a="1"/>
  <c r="M1804" i="1" s="1"/>
  <c r="M1805" i="1" a="1"/>
  <c r="M1805" i="1" s="1"/>
  <c r="M1806" i="1" a="1"/>
  <c r="M1806" i="1" s="1"/>
  <c r="M1807" i="1" a="1"/>
  <c r="M1807" i="1" s="1"/>
  <c r="M1808" i="1" a="1"/>
  <c r="M1808" i="1" s="1"/>
  <c r="M1809" i="1" a="1"/>
  <c r="M1809" i="1" s="1"/>
  <c r="M1810" i="1" a="1"/>
  <c r="M1810" i="1" s="1"/>
  <c r="M1811" i="1" a="1"/>
  <c r="M1811" i="1" s="1"/>
  <c r="M1812" i="1" a="1"/>
  <c r="M1812" i="1" s="1"/>
  <c r="M1813" i="1" a="1"/>
  <c r="M1813" i="1" s="1"/>
  <c r="M1814" i="1" a="1"/>
  <c r="M1814" i="1" s="1"/>
  <c r="M1815" i="1" a="1"/>
  <c r="M1815" i="1" s="1"/>
  <c r="M1816" i="1" a="1"/>
  <c r="M1816" i="1" s="1"/>
  <c r="M1817" i="1" a="1"/>
  <c r="M1817" i="1" s="1"/>
  <c r="M1818" i="1" a="1"/>
  <c r="M1818" i="1" s="1"/>
  <c r="M1819" i="1" a="1"/>
  <c r="M1819" i="1" s="1"/>
  <c r="M1820" i="1" a="1"/>
  <c r="M1820" i="1" s="1"/>
  <c r="M1821" i="1" a="1"/>
  <c r="M1821" i="1" s="1"/>
  <c r="M1822" i="1" a="1"/>
  <c r="M1822" i="1" s="1"/>
  <c r="M1823" i="1" a="1"/>
  <c r="M1823" i="1" s="1"/>
  <c r="M1824" i="1" a="1"/>
  <c r="M1824" i="1" s="1"/>
  <c r="M1825" i="1" a="1"/>
  <c r="M1825" i="1" s="1"/>
  <c r="M1826" i="1" a="1"/>
  <c r="M1826" i="1" s="1"/>
  <c r="M1827" i="1" a="1"/>
  <c r="M1827" i="1" s="1"/>
  <c r="M1828" i="1" a="1"/>
  <c r="M1828" i="1" s="1"/>
  <c r="M1829" i="1" a="1"/>
  <c r="M1829" i="1" s="1"/>
  <c r="M1830" i="1" a="1"/>
  <c r="M1830" i="1" s="1"/>
  <c r="M1831" i="1" a="1"/>
  <c r="M1831" i="1" s="1"/>
  <c r="M1832" i="1" a="1"/>
  <c r="M1832" i="1" s="1"/>
  <c r="M1833" i="1" a="1"/>
  <c r="M1833" i="1" s="1"/>
  <c r="M1834" i="1" a="1"/>
  <c r="M1834" i="1" s="1"/>
  <c r="M1835" i="1" a="1"/>
  <c r="M1835" i="1" s="1"/>
  <c r="M1836" i="1" a="1"/>
  <c r="M1836" i="1" s="1"/>
  <c r="M1837" i="1" a="1"/>
  <c r="M1837" i="1" s="1"/>
  <c r="M1838" i="1" a="1"/>
  <c r="M1838" i="1" s="1"/>
  <c r="M1839" i="1" a="1"/>
  <c r="M1839" i="1" s="1"/>
  <c r="M1840" i="1" a="1"/>
  <c r="M1840" i="1" s="1"/>
  <c r="M1841" i="1" a="1"/>
  <c r="M1841" i="1" s="1"/>
  <c r="M1842" i="1" a="1"/>
  <c r="M1842" i="1" s="1"/>
  <c r="M1843" i="1" a="1"/>
  <c r="M1843" i="1" s="1"/>
  <c r="M1844" i="1" a="1"/>
  <c r="M1844" i="1" s="1"/>
  <c r="M1845" i="1" a="1"/>
  <c r="M1845" i="1" s="1"/>
  <c r="M1846" i="1" a="1"/>
  <c r="M1846" i="1" s="1"/>
  <c r="M1847" i="1" a="1"/>
  <c r="M1847" i="1" s="1"/>
  <c r="M1848" i="1" a="1"/>
  <c r="M1848" i="1" s="1"/>
  <c r="M1849" i="1" a="1"/>
  <c r="M1849" i="1" s="1"/>
  <c r="M1850" i="1" a="1"/>
  <c r="M1850" i="1" s="1"/>
  <c r="M1851" i="1" a="1"/>
  <c r="M1851" i="1" s="1"/>
  <c r="M1852" i="1" a="1"/>
  <c r="M1852" i="1" s="1"/>
  <c r="M1853" i="1" a="1"/>
  <c r="M1853" i="1" s="1"/>
  <c r="M1854" i="1" a="1"/>
  <c r="M1854" i="1" s="1"/>
  <c r="M1855" i="1" a="1"/>
  <c r="M1855" i="1" s="1"/>
  <c r="M1856" i="1" a="1"/>
  <c r="M1856" i="1" s="1"/>
  <c r="M1857" i="1" a="1"/>
  <c r="M1857" i="1" s="1"/>
  <c r="M1858" i="1" a="1"/>
  <c r="M1858" i="1" s="1"/>
  <c r="M1859" i="1" a="1"/>
  <c r="M1859" i="1" s="1"/>
  <c r="M1860" i="1" a="1"/>
  <c r="M1860" i="1" s="1"/>
  <c r="M1861" i="1" a="1"/>
  <c r="M1861" i="1" s="1"/>
  <c r="M1862" i="1" a="1"/>
  <c r="M1862" i="1" s="1"/>
  <c r="M1863" i="1" a="1"/>
  <c r="M1863" i="1" s="1"/>
  <c r="M1864" i="1" a="1"/>
  <c r="M1864" i="1" s="1"/>
  <c r="M1865" i="1" a="1"/>
  <c r="M1865" i="1" s="1"/>
  <c r="M1866" i="1" a="1"/>
  <c r="M1866" i="1" s="1"/>
  <c r="M1867" i="1" a="1"/>
  <c r="M1867" i="1" s="1"/>
  <c r="M1868" i="1" a="1"/>
  <c r="M1868" i="1" s="1"/>
  <c r="M1869" i="1" a="1"/>
  <c r="M1869" i="1" s="1"/>
  <c r="M1870" i="1" a="1"/>
  <c r="M1870" i="1" s="1"/>
  <c r="M1871" i="1" a="1"/>
  <c r="M1871" i="1" s="1"/>
  <c r="M1872" i="1" a="1"/>
  <c r="M1872" i="1" s="1"/>
  <c r="M1873" i="1" a="1"/>
  <c r="M1873" i="1" s="1"/>
  <c r="M1874" i="1" a="1"/>
  <c r="M1874" i="1" s="1"/>
  <c r="M1875" i="1" a="1"/>
  <c r="M1875" i="1" s="1"/>
  <c r="M1876" i="1" a="1"/>
  <c r="M1876" i="1" s="1"/>
  <c r="M1877" i="1" a="1"/>
  <c r="M1877" i="1" s="1"/>
  <c r="M1878" i="1" a="1"/>
  <c r="M1878" i="1" s="1"/>
  <c r="M1879" i="1" a="1"/>
  <c r="M1879" i="1" s="1"/>
  <c r="M1880" i="1" a="1"/>
  <c r="M1880" i="1" s="1"/>
  <c r="M1881" i="1" a="1"/>
  <c r="M1881" i="1" s="1"/>
  <c r="M1882" i="1" a="1"/>
  <c r="M1882" i="1" s="1"/>
  <c r="M1883" i="1" a="1"/>
  <c r="M1883" i="1" s="1"/>
  <c r="M1884" i="1" a="1"/>
  <c r="M1884" i="1" s="1"/>
  <c r="M1885" i="1" a="1"/>
  <c r="M1885" i="1" s="1"/>
  <c r="M1886" i="1" a="1"/>
  <c r="M1886" i="1" s="1"/>
  <c r="M1887" i="1" a="1"/>
  <c r="M1887" i="1" s="1"/>
  <c r="M1888" i="1" a="1"/>
  <c r="M1888" i="1" s="1"/>
  <c r="M1889" i="1" a="1"/>
  <c r="M1889" i="1" s="1"/>
  <c r="M1890" i="1" a="1"/>
  <c r="M1890" i="1" s="1"/>
  <c r="M1891" i="1" a="1"/>
  <c r="M1891" i="1" s="1"/>
  <c r="M1892" i="1" a="1"/>
  <c r="M1892" i="1" s="1"/>
  <c r="M1893" i="1" a="1"/>
  <c r="M1893" i="1" s="1"/>
  <c r="M1894" i="1" a="1"/>
  <c r="M1894" i="1" s="1"/>
  <c r="M1895" i="1" a="1"/>
  <c r="M1895" i="1" s="1"/>
  <c r="M1896" i="1" a="1"/>
  <c r="M1896" i="1" s="1"/>
  <c r="M1897" i="1" a="1"/>
  <c r="M1897" i="1" s="1"/>
  <c r="M1898" i="1" a="1"/>
  <c r="M1898" i="1" s="1"/>
  <c r="M1899" i="1" a="1"/>
  <c r="M1899" i="1" s="1"/>
  <c r="M1900" i="1" a="1"/>
  <c r="M1900" i="1" s="1"/>
  <c r="M1901" i="1" a="1"/>
  <c r="M1901" i="1" s="1"/>
  <c r="M1902" i="1" a="1"/>
  <c r="M1902" i="1" s="1"/>
  <c r="M1903" i="1" a="1"/>
  <c r="M1903" i="1" s="1"/>
  <c r="M1904" i="1" a="1"/>
  <c r="M1904" i="1" s="1"/>
  <c r="M1905" i="1" a="1"/>
  <c r="M1905" i="1" s="1"/>
  <c r="M1906" i="1" a="1"/>
  <c r="M1906" i="1" s="1"/>
  <c r="M1907" i="1" a="1"/>
  <c r="M1907" i="1" s="1"/>
  <c r="M1908" i="1" a="1"/>
  <c r="M1908" i="1" s="1"/>
  <c r="M1909" i="1" a="1"/>
  <c r="M1909" i="1" s="1"/>
  <c r="M1910" i="1" a="1"/>
  <c r="M1910" i="1" s="1"/>
  <c r="M1911" i="1" a="1"/>
  <c r="M1911" i="1" s="1"/>
  <c r="M1912" i="1" a="1"/>
  <c r="M1912" i="1" s="1"/>
  <c r="M1913" i="1" a="1"/>
  <c r="M1913" i="1" s="1"/>
  <c r="M1914" i="1" a="1"/>
  <c r="M1914" i="1" s="1"/>
  <c r="M1915" i="1" a="1"/>
  <c r="M1915" i="1" s="1"/>
  <c r="M1916" i="1" a="1"/>
  <c r="M1916" i="1" s="1"/>
  <c r="M1917" i="1" a="1"/>
  <c r="M1917" i="1" s="1"/>
  <c r="M1918" i="1" a="1"/>
  <c r="M1918" i="1" s="1"/>
  <c r="M1919" i="1" a="1"/>
  <c r="M1919" i="1" s="1"/>
  <c r="M1920" i="1" a="1"/>
  <c r="M1920" i="1" s="1"/>
  <c r="M1921" i="1" a="1"/>
  <c r="M1921" i="1" s="1"/>
  <c r="M1922" i="1" a="1"/>
  <c r="M1922" i="1" s="1"/>
  <c r="M1923" i="1" a="1"/>
  <c r="M1923" i="1" s="1"/>
  <c r="M1924" i="1" a="1"/>
  <c r="M1924" i="1" s="1"/>
  <c r="M1925" i="1" a="1"/>
  <c r="M1925" i="1" s="1"/>
  <c r="M1926" i="1" a="1"/>
  <c r="M1926" i="1" s="1"/>
  <c r="M1927" i="1" a="1"/>
  <c r="M1927" i="1" s="1"/>
  <c r="M1928" i="1" a="1"/>
  <c r="M1928" i="1" s="1"/>
  <c r="M1929" i="1" a="1"/>
  <c r="M1929" i="1" s="1"/>
  <c r="M1930" i="1" a="1"/>
  <c r="M1930" i="1" s="1"/>
  <c r="M1931" i="1" a="1"/>
  <c r="M1931" i="1" s="1"/>
  <c r="M1932" i="1" a="1"/>
  <c r="M1932" i="1" s="1"/>
  <c r="M1933" i="1" a="1"/>
  <c r="M1933" i="1" s="1"/>
  <c r="M1934" i="1" a="1"/>
  <c r="M1934" i="1" s="1"/>
  <c r="M1935" i="1" a="1"/>
  <c r="M1935" i="1" s="1"/>
  <c r="M1936" i="1" a="1"/>
  <c r="M1936" i="1" s="1"/>
  <c r="M1937" i="1" a="1"/>
  <c r="M1937" i="1" s="1"/>
  <c r="M1938" i="1" a="1"/>
  <c r="M1938" i="1" s="1"/>
  <c r="M1939" i="1" a="1"/>
  <c r="M1939" i="1" s="1"/>
  <c r="M1940" i="1" a="1"/>
  <c r="M1940" i="1" s="1"/>
  <c r="M1941" i="1" a="1"/>
  <c r="M1941" i="1" s="1"/>
  <c r="M1942" i="1" a="1"/>
  <c r="M1942" i="1" s="1"/>
  <c r="M1943" i="1" a="1"/>
  <c r="M1943" i="1" s="1"/>
  <c r="M1944" i="1" a="1"/>
  <c r="M1944" i="1" s="1"/>
  <c r="M1945" i="1" a="1"/>
  <c r="M1945" i="1" s="1"/>
  <c r="M1946" i="1" a="1"/>
  <c r="M1946" i="1" s="1"/>
  <c r="M1947" i="1" a="1"/>
  <c r="M1947" i="1" s="1"/>
  <c r="M1948" i="1" a="1"/>
  <c r="M1948" i="1" s="1"/>
  <c r="M1949" i="1" a="1"/>
  <c r="M1949" i="1" s="1"/>
  <c r="M1950" i="1" a="1"/>
  <c r="M1950" i="1" s="1"/>
  <c r="M1951" i="1" a="1"/>
  <c r="M1951" i="1" s="1"/>
  <c r="M1952" i="1" a="1"/>
  <c r="M1952" i="1" s="1"/>
  <c r="M1953" i="1" a="1"/>
  <c r="M1953" i="1" s="1"/>
  <c r="M1954" i="1" a="1"/>
  <c r="M1954" i="1" s="1"/>
  <c r="M1955" i="1" a="1"/>
  <c r="M1955" i="1" s="1"/>
  <c r="M1956" i="1" a="1"/>
  <c r="M1956" i="1" s="1"/>
  <c r="M1957" i="1" a="1"/>
  <c r="M1957" i="1" s="1"/>
  <c r="M1958" i="1" a="1"/>
  <c r="M1958" i="1" s="1"/>
  <c r="M1959" i="1" a="1"/>
  <c r="M1959" i="1" s="1"/>
  <c r="M1960" i="1" a="1"/>
  <c r="M1960" i="1" s="1"/>
  <c r="M1961" i="1" a="1"/>
  <c r="M1961" i="1" s="1"/>
  <c r="M1962" i="1" a="1"/>
  <c r="M1962" i="1" s="1"/>
  <c r="M1963" i="1" a="1"/>
  <c r="M1963" i="1" s="1"/>
  <c r="M1964" i="1" a="1"/>
  <c r="M1964" i="1" s="1"/>
  <c r="M1965" i="1" a="1"/>
  <c r="M1965" i="1" s="1"/>
  <c r="M1966" i="1" a="1"/>
  <c r="M1966" i="1" s="1"/>
  <c r="M1967" i="1" a="1"/>
  <c r="M1967" i="1" s="1"/>
  <c r="M1968" i="1" a="1"/>
  <c r="M1968" i="1" s="1"/>
  <c r="M1969" i="1" a="1"/>
  <c r="M1969" i="1" s="1"/>
  <c r="M1970" i="1" a="1"/>
  <c r="M1970" i="1" s="1"/>
  <c r="M1971" i="1" a="1"/>
  <c r="M1971" i="1" s="1"/>
  <c r="M1972" i="1" a="1"/>
  <c r="M1972" i="1" s="1"/>
  <c r="M1973" i="1" a="1"/>
  <c r="M1973" i="1" s="1"/>
  <c r="M1974" i="1" a="1"/>
  <c r="M1974" i="1" s="1"/>
  <c r="M1975" i="1" a="1"/>
  <c r="M1975" i="1" s="1"/>
  <c r="M1976" i="1" a="1"/>
  <c r="M1976" i="1" s="1"/>
  <c r="M1977" i="1" a="1"/>
  <c r="M1977" i="1" s="1"/>
  <c r="M1978" i="1" a="1"/>
  <c r="M1978" i="1" s="1"/>
  <c r="M1979" i="1" a="1"/>
  <c r="M1979" i="1" s="1"/>
  <c r="M1980" i="1" a="1"/>
  <c r="M1980" i="1" s="1"/>
  <c r="M1981" i="1" a="1"/>
  <c r="M1981" i="1" s="1"/>
  <c r="M1982" i="1" a="1"/>
  <c r="M1982" i="1" s="1"/>
  <c r="M1983" i="1" a="1"/>
  <c r="M1983" i="1" s="1"/>
  <c r="M1984" i="1" a="1"/>
  <c r="M1984" i="1" s="1"/>
  <c r="M1985" i="1" a="1"/>
  <c r="M1985" i="1" s="1"/>
  <c r="M1986" i="1" a="1"/>
  <c r="M1986" i="1" s="1"/>
  <c r="M1987" i="1" a="1"/>
  <c r="M1987" i="1" s="1"/>
  <c r="M1988" i="1" a="1"/>
  <c r="M1988" i="1" s="1"/>
  <c r="M1989" i="1" a="1"/>
  <c r="M1989" i="1" s="1"/>
  <c r="M1990" i="1" a="1"/>
  <c r="M1990" i="1" s="1"/>
  <c r="M1991" i="1" a="1"/>
  <c r="M1991" i="1" s="1"/>
  <c r="M1992" i="1" a="1"/>
  <c r="M1992" i="1" s="1"/>
  <c r="M1993" i="1" a="1"/>
  <c r="M1993" i="1" s="1"/>
  <c r="M1994" i="1" a="1"/>
  <c r="M1994" i="1" s="1"/>
  <c r="M1995" i="1" a="1"/>
  <c r="M1995" i="1" s="1"/>
  <c r="M1996" i="1" a="1"/>
  <c r="M1996" i="1" s="1"/>
  <c r="M1997" i="1" a="1"/>
  <c r="M1997" i="1" s="1"/>
  <c r="M1998" i="1" a="1"/>
  <c r="M1998" i="1" s="1"/>
  <c r="M1999" i="1" a="1"/>
  <c r="M1999" i="1" s="1"/>
  <c r="M2000" i="1" a="1"/>
  <c r="M2000" i="1" s="1"/>
  <c r="M2001" i="1" a="1"/>
  <c r="M2001" i="1" s="1"/>
  <c r="D2" i="1"/>
  <c r="D27" i="6" s="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 i="6"/>
  <c r="D19" i="6"/>
  <c r="D18" i="6"/>
  <c r="D17" i="6"/>
  <c r="D16" i="6"/>
  <c r="D15" i="6"/>
  <c r="D14" i="6"/>
  <c r="D13" i="6"/>
  <c r="D12" i="6"/>
  <c r="D10" i="6"/>
  <c r="D8" i="6"/>
  <c r="D7" i="6"/>
  <c r="D6" i="6"/>
  <c r="D5" i="6"/>
  <c r="D4" i="6"/>
  <c r="AC1997" i="1" l="1"/>
  <c r="AC1989" i="1"/>
  <c r="AC1981" i="1"/>
  <c r="AC1973" i="1"/>
  <c r="AC1965" i="1"/>
  <c r="AC1957" i="1"/>
  <c r="AC1949" i="1"/>
  <c r="AC1941" i="1"/>
  <c r="AC1933" i="1"/>
  <c r="AC1925" i="1"/>
  <c r="AC1917" i="1"/>
  <c r="AC1909" i="1"/>
  <c r="AC1901" i="1"/>
  <c r="AC1893" i="1"/>
  <c r="AC1885" i="1"/>
  <c r="AC1877" i="1"/>
  <c r="AC1869" i="1"/>
  <c r="AC1861" i="1"/>
  <c r="AC1853" i="1"/>
  <c r="AC1845" i="1"/>
  <c r="AC1837" i="1"/>
  <c r="AC1829" i="1"/>
  <c r="AC1821" i="1"/>
  <c r="AC1813" i="1"/>
  <c r="AC1805" i="1"/>
  <c r="AC1797" i="1"/>
  <c r="AC1789" i="1"/>
  <c r="AC1781" i="1"/>
  <c r="AC1773" i="1"/>
  <c r="AC1765" i="1"/>
  <c r="AC1757" i="1"/>
  <c r="AC1749" i="1"/>
  <c r="AC1741" i="1"/>
  <c r="AC1733" i="1"/>
  <c r="AC1725" i="1"/>
  <c r="AC1717" i="1"/>
  <c r="AC1709" i="1"/>
  <c r="AC1701" i="1"/>
  <c r="AC1693" i="1"/>
  <c r="AC1685" i="1"/>
  <c r="AC1677" i="1"/>
  <c r="AC1669" i="1"/>
  <c r="AC1661" i="1"/>
  <c r="AC1653" i="1"/>
  <c r="AC1645" i="1"/>
  <c r="AC1637" i="1"/>
  <c r="AC1629" i="1"/>
  <c r="AC1621" i="1"/>
  <c r="AC1613" i="1"/>
  <c r="AC1605" i="1"/>
  <c r="AC1597" i="1"/>
  <c r="AC1589" i="1"/>
  <c r="AC1581" i="1"/>
  <c r="AC1573" i="1"/>
  <c r="AC1565" i="1"/>
  <c r="AC1557" i="1"/>
  <c r="AC1549" i="1"/>
  <c r="AC1541" i="1"/>
  <c r="AC1533" i="1"/>
  <c r="AC1525" i="1"/>
  <c r="AC1517" i="1"/>
  <c r="AC1509" i="1"/>
  <c r="AC1501" i="1"/>
  <c r="AC1493" i="1"/>
  <c r="AC1485" i="1"/>
  <c r="AC1477" i="1"/>
  <c r="AC1469" i="1"/>
  <c r="AC1461" i="1"/>
  <c r="AC1453" i="1"/>
  <c r="AC1445" i="1"/>
  <c r="AC1437" i="1"/>
  <c r="AC1429" i="1"/>
  <c r="AC1421" i="1"/>
  <c r="AC1413" i="1"/>
  <c r="AC1405" i="1"/>
  <c r="AC1397" i="1"/>
  <c r="AC1389" i="1"/>
  <c r="AC1381" i="1"/>
  <c r="AC1373" i="1"/>
  <c r="AC1365" i="1"/>
  <c r="AC1625" i="1"/>
  <c r="AC1497" i="1"/>
  <c r="AC2000" i="1"/>
  <c r="AC1992" i="1"/>
  <c r="AC1984" i="1"/>
  <c r="AC1976" i="1"/>
  <c r="AC1968" i="1"/>
  <c r="AC1960" i="1"/>
  <c r="AC1952" i="1"/>
  <c r="AC1944" i="1"/>
  <c r="AC1936" i="1"/>
  <c r="AC1928" i="1"/>
  <c r="AC1920" i="1"/>
  <c r="AC1912" i="1"/>
  <c r="AC1904" i="1"/>
  <c r="AC1896" i="1"/>
  <c r="AC1888" i="1"/>
  <c r="AC1880" i="1"/>
  <c r="AC1872" i="1"/>
  <c r="AC1864" i="1"/>
  <c r="AC1856" i="1"/>
  <c r="AC1848" i="1"/>
  <c r="AC1840" i="1"/>
  <c r="AC1832" i="1"/>
  <c r="AC1824" i="1"/>
  <c r="AC1816" i="1"/>
  <c r="AC1808" i="1"/>
  <c r="AC1800" i="1"/>
  <c r="AC1792" i="1"/>
  <c r="AC1784" i="1"/>
  <c r="AC1776" i="1"/>
  <c r="AC1768" i="1"/>
  <c r="AC1760" i="1"/>
  <c r="AC1752" i="1"/>
  <c r="AC1744" i="1"/>
  <c r="AC1736" i="1"/>
  <c r="AC1728" i="1"/>
  <c r="AC1720" i="1"/>
  <c r="AC1712" i="1"/>
  <c r="AC1704" i="1"/>
  <c r="AC1696" i="1"/>
  <c r="AC1688" i="1"/>
  <c r="AC1680" i="1"/>
  <c r="AC1672" i="1"/>
  <c r="AC1664" i="1"/>
  <c r="AC1656" i="1"/>
  <c r="AC1998" i="1"/>
  <c r="AC1990" i="1"/>
  <c r="AC1982" i="1"/>
  <c r="AC1974" i="1"/>
  <c r="AC1966" i="1"/>
  <c r="AC1958" i="1"/>
  <c r="AC1950" i="1"/>
  <c r="AC1942" i="1"/>
  <c r="AC1934" i="1"/>
  <c r="AC1926" i="1"/>
  <c r="AC1918" i="1"/>
  <c r="AC1910" i="1"/>
  <c r="AC1902" i="1"/>
  <c r="AC1894" i="1"/>
  <c r="AC1886" i="1"/>
  <c r="AC1878" i="1"/>
  <c r="AC1870" i="1"/>
  <c r="AC1862" i="1"/>
  <c r="AC1854" i="1"/>
  <c r="AC1846" i="1"/>
  <c r="AC1838" i="1"/>
  <c r="AC1830" i="1"/>
  <c r="AC1822" i="1"/>
  <c r="AC1814" i="1"/>
  <c r="AC1806" i="1"/>
  <c r="AC1798" i="1"/>
  <c r="AC1790" i="1"/>
  <c r="AC1782" i="1"/>
  <c r="AC1774" i="1"/>
  <c r="AC1766" i="1"/>
  <c r="AC1758" i="1"/>
  <c r="AC1750" i="1"/>
  <c r="AC1742" i="1"/>
  <c r="AC1734" i="1"/>
  <c r="AC1726" i="1"/>
  <c r="AC1718" i="1"/>
  <c r="AC1710" i="1"/>
  <c r="AC1702" i="1"/>
  <c r="AC1694" i="1"/>
  <c r="AC1686" i="1"/>
  <c r="AC1678" i="1"/>
  <c r="AC1670" i="1"/>
  <c r="AC1662" i="1"/>
  <c r="AC1654" i="1"/>
  <c r="AC1646" i="1"/>
  <c r="AC1638" i="1"/>
  <c r="AC1630" i="1"/>
  <c r="AC1622" i="1"/>
  <c r="AC1614" i="1"/>
  <c r="AC1606" i="1"/>
  <c r="AC1598" i="1"/>
  <c r="AC1590" i="1"/>
  <c r="AC1582" i="1"/>
  <c r="AC1574" i="1"/>
  <c r="AC1566" i="1"/>
  <c r="AC1558" i="1"/>
  <c r="AC1550" i="1"/>
  <c r="AC1542" i="1"/>
  <c r="AC1534" i="1"/>
  <c r="AC1526" i="1"/>
  <c r="AC1518" i="1"/>
  <c r="AC1510" i="1"/>
  <c r="AC1502" i="1"/>
  <c r="AC1494" i="1"/>
  <c r="AC1486" i="1"/>
  <c r="AC1478" i="1"/>
  <c r="AC1470" i="1"/>
  <c r="AC1462" i="1"/>
  <c r="AC1454" i="1"/>
  <c r="AC1446" i="1"/>
  <c r="AC1438" i="1"/>
  <c r="AC1430" i="1"/>
  <c r="AC1422" i="1"/>
  <c r="AC1414" i="1"/>
  <c r="AC1406" i="1"/>
  <c r="AC1398" i="1"/>
  <c r="AC1390" i="1"/>
  <c r="AC1382" i="1"/>
  <c r="AC1374" i="1"/>
  <c r="AC1366" i="1"/>
  <c r="AC1357" i="1"/>
  <c r="AC1349" i="1"/>
  <c r="AC1341" i="1"/>
  <c r="AC1333" i="1"/>
  <c r="AC1325" i="1"/>
  <c r="AC1317" i="1"/>
  <c r="AC1309" i="1"/>
  <c r="AC1301" i="1"/>
  <c r="AC1293" i="1"/>
  <c r="AC1285" i="1"/>
  <c r="AC1277" i="1"/>
  <c r="AC1269" i="1"/>
  <c r="AC1261" i="1"/>
  <c r="AC1253" i="1"/>
  <c r="AC1245" i="1"/>
  <c r="AC1237" i="1"/>
  <c r="AC1229" i="1"/>
  <c r="AC1221" i="1"/>
  <c r="AC1213" i="1"/>
  <c r="AC1205" i="1"/>
  <c r="AC1197" i="1"/>
  <c r="AC1189" i="1"/>
  <c r="AC1181" i="1"/>
  <c r="AC1173" i="1"/>
  <c r="AC1165" i="1"/>
  <c r="AC1157" i="1"/>
  <c r="AC1149" i="1"/>
  <c r="AC1141" i="1"/>
  <c r="AC1133" i="1"/>
  <c r="AC1125" i="1"/>
  <c r="AC1117" i="1"/>
  <c r="AC1109" i="1"/>
  <c r="AC1101" i="1"/>
  <c r="AC1093" i="1"/>
  <c r="AC1085" i="1"/>
  <c r="AC1077" i="1"/>
  <c r="AC1069" i="1"/>
  <c r="AC1061" i="1"/>
  <c r="AC1053" i="1"/>
  <c r="AC1045" i="1"/>
  <c r="AC1037" i="1"/>
  <c r="AC1029" i="1"/>
  <c r="AC1021" i="1"/>
  <c r="AC1013" i="1"/>
  <c r="AC1005" i="1"/>
  <c r="AC997" i="1"/>
  <c r="AC989" i="1"/>
  <c r="AC981" i="1"/>
  <c r="AC973" i="1"/>
  <c r="AC965" i="1"/>
  <c r="AC957" i="1"/>
  <c r="AC949" i="1"/>
  <c r="AC941" i="1"/>
  <c r="AC933" i="1"/>
  <c r="AC925" i="1"/>
  <c r="AC917" i="1"/>
  <c r="AC909" i="1"/>
  <c r="AC901" i="1"/>
  <c r="AC893" i="1"/>
  <c r="AC885" i="1"/>
  <c r="AC877" i="1"/>
  <c r="AC869" i="1"/>
  <c r="AC861" i="1"/>
  <c r="AC853" i="1"/>
  <c r="AC845" i="1"/>
  <c r="AC837" i="1"/>
  <c r="AC829" i="1"/>
  <c r="AC821" i="1"/>
  <c r="AC813" i="1"/>
  <c r="AC805" i="1"/>
  <c r="AC797" i="1"/>
  <c r="AC789" i="1"/>
  <c r="AC781" i="1"/>
  <c r="AC773" i="1"/>
  <c r="AC765" i="1"/>
  <c r="AC757" i="1"/>
  <c r="AC749" i="1"/>
  <c r="AC741" i="1"/>
  <c r="AC733" i="1"/>
  <c r="AC725" i="1"/>
  <c r="AC717" i="1"/>
  <c r="AC709" i="1"/>
  <c r="AC701" i="1"/>
  <c r="AC693" i="1"/>
  <c r="AC685" i="1"/>
  <c r="AC677" i="1"/>
  <c r="AC669" i="1"/>
  <c r="AC661" i="1"/>
  <c r="AC653" i="1"/>
  <c r="AC645" i="1"/>
  <c r="AC637" i="1"/>
  <c r="AC629" i="1"/>
  <c r="AC621" i="1"/>
  <c r="AC613" i="1"/>
  <c r="AC605" i="1"/>
  <c r="AC597" i="1"/>
  <c r="AC589" i="1"/>
  <c r="AC581" i="1"/>
  <c r="AC573" i="1"/>
  <c r="AC565" i="1"/>
  <c r="AC557" i="1"/>
  <c r="AC549" i="1"/>
  <c r="AC541" i="1"/>
  <c r="AC533" i="1"/>
  <c r="AC525" i="1"/>
  <c r="AC517" i="1"/>
  <c r="AC509" i="1"/>
  <c r="AC501" i="1"/>
  <c r="AC493" i="1"/>
  <c r="AC485" i="1"/>
  <c r="AC477" i="1"/>
  <c r="AC469" i="1"/>
  <c r="AC461" i="1"/>
  <c r="AC453" i="1"/>
  <c r="AC445" i="1"/>
  <c r="AC437" i="1"/>
  <c r="AC429" i="1"/>
  <c r="AC421" i="1"/>
  <c r="AC413" i="1"/>
  <c r="AC405" i="1"/>
  <c r="AC397" i="1"/>
  <c r="AC389" i="1"/>
  <c r="AC381" i="1"/>
  <c r="AC373" i="1"/>
  <c r="AC365" i="1"/>
  <c r="AC357" i="1"/>
  <c r="AC349" i="1"/>
  <c r="AC341" i="1"/>
  <c r="AC333" i="1"/>
  <c r="AC325" i="1"/>
  <c r="AC317" i="1"/>
  <c r="AC309" i="1"/>
  <c r="AC301" i="1"/>
  <c r="AC293" i="1"/>
  <c r="AC285" i="1"/>
  <c r="AC277" i="1"/>
  <c r="AC269" i="1"/>
  <c r="AC261" i="1"/>
  <c r="AC253" i="1"/>
  <c r="AC245" i="1"/>
  <c r="AC237" i="1"/>
  <c r="AC229" i="1"/>
  <c r="AC221" i="1"/>
  <c r="AC213" i="1"/>
  <c r="AC205" i="1"/>
  <c r="AC197" i="1"/>
  <c r="AC189" i="1"/>
  <c r="AC181" i="1"/>
  <c r="AC173" i="1"/>
  <c r="AC165" i="1"/>
  <c r="AC157" i="1"/>
  <c r="AC149" i="1"/>
  <c r="AC141" i="1"/>
  <c r="AC133" i="1"/>
  <c r="AC125" i="1"/>
  <c r="AC117" i="1"/>
  <c r="AC109" i="1"/>
  <c r="AC101" i="1"/>
  <c r="AC93" i="1"/>
  <c r="AC85" i="1"/>
  <c r="AC77" i="1"/>
  <c r="AC69" i="1"/>
  <c r="AC61" i="1"/>
  <c r="AC53" i="1"/>
  <c r="AC45" i="1"/>
  <c r="AC37" i="1"/>
  <c r="AC29" i="1"/>
  <c r="AC21" i="1"/>
  <c r="AC13" i="1"/>
  <c r="AC5" i="1"/>
  <c r="AC1358" i="1"/>
  <c r="AC1350" i="1"/>
  <c r="AC1342" i="1"/>
  <c r="AC1334" i="1"/>
  <c r="AC1326" i="1"/>
  <c r="AC1318" i="1"/>
  <c r="AC1310" i="1"/>
  <c r="AC1302" i="1"/>
  <c r="AC1294" i="1"/>
  <c r="AC1286" i="1"/>
  <c r="AC1278" i="1"/>
  <c r="AC1270" i="1"/>
  <c r="AC1262" i="1"/>
  <c r="AC1254" i="1"/>
  <c r="AC1246" i="1"/>
  <c r="AC1238" i="1"/>
  <c r="AC1230" i="1"/>
  <c r="AC1222" i="1"/>
  <c r="AC1214" i="1"/>
  <c r="AC1206" i="1"/>
  <c r="AC1198" i="1"/>
  <c r="AC1190" i="1"/>
  <c r="AC1182" i="1"/>
  <c r="AC1174" i="1"/>
  <c r="AC1166" i="1"/>
  <c r="AC1158" i="1"/>
  <c r="AC1150" i="1"/>
  <c r="AC1142" i="1"/>
  <c r="AC1134" i="1"/>
  <c r="AC1126" i="1"/>
  <c r="AC1118" i="1"/>
  <c r="AC1110" i="1"/>
  <c r="AC1102" i="1"/>
  <c r="AC1094" i="1"/>
  <c r="AC1086" i="1"/>
  <c r="AC1078" i="1"/>
  <c r="AC1070" i="1"/>
  <c r="AC1062" i="1"/>
  <c r="AC1054" i="1"/>
  <c r="AC1046" i="1"/>
  <c r="AC1038" i="1"/>
  <c r="AC1030" i="1"/>
  <c r="AC1022" i="1"/>
  <c r="AC1014" i="1"/>
  <c r="AC1006" i="1"/>
  <c r="AC998" i="1"/>
  <c r="AC990" i="1"/>
  <c r="AC982" i="1"/>
  <c r="AC974" i="1"/>
  <c r="AC966" i="1"/>
  <c r="AC958" i="1"/>
  <c r="AC950" i="1"/>
  <c r="AC942" i="1"/>
  <c r="AC934" i="1"/>
  <c r="AC926" i="1"/>
  <c r="AC918" i="1"/>
  <c r="AC910" i="1"/>
  <c r="AC902" i="1"/>
  <c r="AC894" i="1"/>
  <c r="AC886" i="1"/>
  <c r="AC878" i="1"/>
  <c r="AC870" i="1"/>
  <c r="AC862" i="1"/>
  <c r="AC854" i="1"/>
  <c r="AC846" i="1"/>
  <c r="AC838" i="1"/>
  <c r="AC830" i="1"/>
  <c r="AC822" i="1"/>
  <c r="AC814" i="1"/>
  <c r="AC806" i="1"/>
  <c r="AC798" i="1"/>
  <c r="AC790" i="1"/>
  <c r="AC782" i="1"/>
  <c r="AC774" i="1"/>
  <c r="AC766" i="1"/>
  <c r="AC758" i="1"/>
  <c r="AC750" i="1"/>
  <c r="AC742" i="1"/>
  <c r="AC734" i="1"/>
  <c r="AC726" i="1"/>
  <c r="AC718" i="1"/>
  <c r="AC710" i="1"/>
  <c r="AC702" i="1"/>
  <c r="AC694" i="1"/>
  <c r="AC686" i="1"/>
  <c r="AC678" i="1"/>
  <c r="AC670" i="1"/>
  <c r="AC662" i="1"/>
  <c r="AC654" i="1"/>
  <c r="AC646" i="1"/>
  <c r="AC638" i="1"/>
  <c r="AC630" i="1"/>
  <c r="AC622" i="1"/>
  <c r="AC614" i="1"/>
  <c r="AC606" i="1"/>
  <c r="AC598" i="1"/>
  <c r="AC590" i="1"/>
  <c r="AC582" i="1"/>
  <c r="AC574" i="1"/>
  <c r="AC566" i="1"/>
  <c r="AC558" i="1"/>
  <c r="AC550" i="1"/>
  <c r="AC542" i="1"/>
  <c r="AC534" i="1"/>
  <c r="AC526" i="1"/>
  <c r="AC518" i="1"/>
  <c r="AC510" i="1"/>
  <c r="AC502" i="1"/>
  <c r="AC494" i="1"/>
  <c r="AC486" i="1"/>
  <c r="AC478" i="1"/>
  <c r="AC470" i="1"/>
  <c r="AC462" i="1"/>
  <c r="AC454" i="1"/>
  <c r="AC446" i="1"/>
  <c r="AC438" i="1"/>
  <c r="AC430" i="1"/>
  <c r="AC422" i="1"/>
  <c r="AC414" i="1"/>
  <c r="AC406" i="1"/>
  <c r="AC398" i="1"/>
  <c r="AC390" i="1"/>
  <c r="AC382" i="1"/>
  <c r="AC374" i="1"/>
  <c r="AC366" i="1"/>
  <c r="AC358" i="1"/>
  <c r="AC350" i="1"/>
  <c r="AC342" i="1"/>
  <c r="AC334" i="1"/>
  <c r="AC326" i="1"/>
  <c r="AC318" i="1"/>
  <c r="AC310" i="1"/>
  <c r="AC302" i="1"/>
  <c r="AC294" i="1"/>
  <c r="AC286" i="1"/>
  <c r="AC278" i="1"/>
  <c r="AC270" i="1"/>
  <c r="AC262" i="1"/>
  <c r="AC254" i="1"/>
  <c r="AC246" i="1"/>
  <c r="AC238" i="1"/>
  <c r="AC230" i="1"/>
  <c r="AC222" i="1"/>
  <c r="AC214" i="1"/>
  <c r="AC206" i="1"/>
  <c r="AC198" i="1"/>
  <c r="AC190" i="1"/>
  <c r="AC182" i="1"/>
  <c r="AC174" i="1"/>
  <c r="AC166" i="1"/>
  <c r="AC158" i="1"/>
  <c r="AC150" i="1"/>
  <c r="AC142" i="1"/>
  <c r="AC134" i="1"/>
  <c r="AC126" i="1"/>
  <c r="AC118" i="1"/>
  <c r="AC110" i="1"/>
  <c r="AC102" i="1"/>
  <c r="AC94" i="1"/>
  <c r="AC86" i="1"/>
  <c r="AC78" i="1"/>
  <c r="AC70" i="1"/>
  <c r="AC62" i="1"/>
  <c r="AC54" i="1"/>
  <c r="AC46" i="1"/>
  <c r="AC38" i="1"/>
  <c r="AC30" i="1"/>
  <c r="AC22" i="1"/>
  <c r="AC14" i="1"/>
  <c r="AC6" i="1"/>
  <c r="AC1996" i="1"/>
  <c r="AC1988" i="1"/>
  <c r="AC1980" i="1"/>
  <c r="AC1972" i="1"/>
  <c r="AC1964" i="1"/>
  <c r="AC1956" i="1"/>
  <c r="AC1948" i="1"/>
  <c r="AC1940" i="1"/>
  <c r="AC1932" i="1"/>
  <c r="AC1924" i="1"/>
  <c r="AC1916" i="1"/>
  <c r="AC1908" i="1"/>
  <c r="AC1900" i="1"/>
  <c r="AC1892" i="1"/>
  <c r="AC1884" i="1"/>
  <c r="AC1876" i="1"/>
  <c r="AC1868" i="1"/>
  <c r="AC1860" i="1"/>
  <c r="AC1852" i="1"/>
  <c r="AC1844" i="1"/>
  <c r="AC1836" i="1"/>
  <c r="AC1828" i="1"/>
  <c r="AC1820" i="1"/>
  <c r="AC1812" i="1"/>
  <c r="AC1804" i="1"/>
  <c r="AC1796" i="1"/>
  <c r="AC1788" i="1"/>
  <c r="AC1780" i="1"/>
  <c r="AC1772" i="1"/>
  <c r="AC1764" i="1"/>
  <c r="AC1756" i="1"/>
  <c r="AC1748" i="1"/>
  <c r="AC1740" i="1"/>
  <c r="AC1732" i="1"/>
  <c r="AC1724" i="1"/>
  <c r="AC1716" i="1"/>
  <c r="AC1708" i="1"/>
  <c r="AC1700" i="1"/>
  <c r="AC1692" i="1"/>
  <c r="AC1684" i="1"/>
  <c r="AC1676" i="1"/>
  <c r="AC1668" i="1"/>
  <c r="AC1660" i="1"/>
  <c r="AC1652" i="1"/>
  <c r="AC1644" i="1"/>
  <c r="AC1636" i="1"/>
  <c r="AC1628" i="1"/>
  <c r="AC1620" i="1"/>
  <c r="AC1612" i="1"/>
  <c r="AC1604" i="1"/>
  <c r="AC1596" i="1"/>
  <c r="AC1588" i="1"/>
  <c r="AC1580" i="1"/>
  <c r="AC1572" i="1"/>
  <c r="AC1564" i="1"/>
  <c r="AC1556" i="1"/>
  <c r="AC1548" i="1"/>
  <c r="AC1540" i="1"/>
  <c r="AC1532" i="1"/>
  <c r="AC1524" i="1"/>
  <c r="AC1516" i="1"/>
  <c r="AC1508" i="1"/>
  <c r="AC1500" i="1"/>
  <c r="AC1492" i="1"/>
  <c r="AC1484" i="1"/>
  <c r="AC1476" i="1"/>
  <c r="AC1468" i="1"/>
  <c r="AC1460" i="1"/>
  <c r="AC1452" i="1"/>
  <c r="AC1444" i="1"/>
  <c r="AC1436" i="1"/>
  <c r="AC1428" i="1"/>
  <c r="AC1420" i="1"/>
  <c r="AC1412" i="1"/>
  <c r="AC1404" i="1"/>
  <c r="AC1396" i="1"/>
  <c r="AC1388" i="1"/>
  <c r="AC1380" i="1"/>
  <c r="AC1372" i="1"/>
  <c r="AC1364" i="1"/>
  <c r="AC1356" i="1"/>
  <c r="AC1348" i="1"/>
  <c r="AC1340" i="1"/>
  <c r="AC1332" i="1"/>
  <c r="AC1324" i="1"/>
  <c r="AC1316" i="1"/>
  <c r="AC1308" i="1"/>
  <c r="AC1300" i="1"/>
  <c r="AC1292" i="1"/>
  <c r="AC1284" i="1"/>
  <c r="AC1276" i="1"/>
  <c r="AC1268" i="1"/>
  <c r="AC1260" i="1"/>
  <c r="AC1252" i="1"/>
  <c r="AC1244" i="1"/>
  <c r="AC1236" i="1"/>
  <c r="AC1228" i="1"/>
  <c r="AC1220" i="1"/>
  <c r="AC1212" i="1"/>
  <c r="AC1204" i="1"/>
  <c r="AC1196" i="1"/>
  <c r="AC1188" i="1"/>
  <c r="AC1180" i="1"/>
  <c r="AC1172" i="1"/>
  <c r="AC1164" i="1"/>
  <c r="AC1156" i="1"/>
  <c r="AC1148" i="1"/>
  <c r="AC1140" i="1"/>
  <c r="AC1132" i="1"/>
  <c r="AC1124" i="1"/>
  <c r="AC1116" i="1"/>
  <c r="AC1108" i="1"/>
  <c r="AC1100" i="1"/>
  <c r="AC1092" i="1"/>
  <c r="AC1084" i="1"/>
  <c r="AC1076" i="1"/>
  <c r="AC1068" i="1"/>
  <c r="AC1060" i="1"/>
  <c r="AC1052" i="1"/>
  <c r="AC1044" i="1"/>
  <c r="AC1036" i="1"/>
  <c r="AC1994" i="1"/>
  <c r="AC1986" i="1"/>
  <c r="AC1978" i="1"/>
  <c r="AC1970" i="1"/>
  <c r="AC1962" i="1"/>
  <c r="AC1954" i="1"/>
  <c r="AC1946" i="1"/>
  <c r="AC1938" i="1"/>
  <c r="AC1930" i="1"/>
  <c r="AC1922" i="1"/>
  <c r="AC1914" i="1"/>
  <c r="AC1906" i="1"/>
  <c r="AC1898" i="1"/>
  <c r="AC1890" i="1"/>
  <c r="AC1882" i="1"/>
  <c r="AC1874" i="1"/>
  <c r="AC1866" i="1"/>
  <c r="AC1858" i="1"/>
  <c r="AC1850" i="1"/>
  <c r="AC1842" i="1"/>
  <c r="AC1834" i="1"/>
  <c r="AC1826" i="1"/>
  <c r="AC1818" i="1"/>
  <c r="AC1810" i="1"/>
  <c r="AC1802" i="1"/>
  <c r="AC1794" i="1"/>
  <c r="AC1786" i="1"/>
  <c r="AC1778" i="1"/>
  <c r="AC1770" i="1"/>
  <c r="AC1762" i="1"/>
  <c r="AC1754" i="1"/>
  <c r="AC1746" i="1"/>
  <c r="AC1738" i="1"/>
  <c r="AC1730" i="1"/>
  <c r="AC1722" i="1"/>
  <c r="AC1714" i="1"/>
  <c r="AC1706" i="1"/>
  <c r="AC1698" i="1"/>
  <c r="AC1690" i="1"/>
  <c r="AC1682" i="1"/>
  <c r="AC1674" i="1"/>
  <c r="AC1666" i="1"/>
  <c r="AC1658" i="1"/>
  <c r="AC1650" i="1"/>
  <c r="AC1642" i="1"/>
  <c r="AC1634" i="1"/>
  <c r="AC1626" i="1"/>
  <c r="AC1618" i="1"/>
  <c r="AC1610" i="1"/>
  <c r="AC1602" i="1"/>
  <c r="AC1594" i="1"/>
  <c r="AC1586" i="1"/>
  <c r="AC1578" i="1"/>
  <c r="AC1570" i="1"/>
  <c r="AC1562" i="1"/>
  <c r="AC1554" i="1"/>
  <c r="AC1546" i="1"/>
  <c r="AC1538" i="1"/>
  <c r="AC1530" i="1"/>
  <c r="AC1522" i="1"/>
  <c r="AC1514" i="1"/>
  <c r="AC1506" i="1"/>
  <c r="AC1498" i="1"/>
  <c r="AC1490" i="1"/>
  <c r="AC1482" i="1"/>
  <c r="AC1474" i="1"/>
  <c r="AC1466" i="1"/>
  <c r="AC1458" i="1"/>
  <c r="AC1450" i="1"/>
  <c r="AC1442" i="1"/>
  <c r="AC1434" i="1"/>
  <c r="AC1426" i="1"/>
  <c r="AC1418" i="1"/>
  <c r="AC1410" i="1"/>
  <c r="AC1402" i="1"/>
  <c r="AC1394" i="1"/>
  <c r="AC1386" i="1"/>
  <c r="AC1378" i="1"/>
  <c r="AC1370" i="1"/>
  <c r="AC1362" i="1"/>
  <c r="AC1354" i="1"/>
  <c r="AC1346" i="1"/>
  <c r="AC1338" i="1"/>
  <c r="AC1330" i="1"/>
  <c r="AC1322" i="1"/>
  <c r="AC1314" i="1"/>
  <c r="AC1306" i="1"/>
  <c r="AC1298" i="1"/>
  <c r="AC1290" i="1"/>
  <c r="AC1282" i="1"/>
  <c r="AC1274" i="1"/>
  <c r="AC1266" i="1"/>
  <c r="AC1258" i="1"/>
  <c r="AC1250" i="1"/>
  <c r="AC1242" i="1"/>
  <c r="AC1234" i="1"/>
  <c r="AC1226" i="1"/>
  <c r="AC1218" i="1"/>
  <c r="AC1210" i="1"/>
  <c r="AC1202" i="1"/>
  <c r="AC1194" i="1"/>
  <c r="AC1186" i="1"/>
  <c r="AC1178" i="1"/>
  <c r="AC1170" i="1"/>
  <c r="AC1162" i="1"/>
  <c r="AC1154" i="1"/>
  <c r="AC1146" i="1"/>
  <c r="AC1138" i="1"/>
  <c r="AC1130" i="1"/>
  <c r="AC1122" i="1"/>
  <c r="AC1114" i="1"/>
  <c r="AC1106" i="1"/>
  <c r="AC1098" i="1"/>
  <c r="AC1090" i="1"/>
  <c r="AC1082" i="1"/>
  <c r="AC1074" i="1"/>
  <c r="AC1066" i="1"/>
  <c r="AC1058" i="1"/>
  <c r="AC1050" i="1"/>
  <c r="AC1042" i="1"/>
  <c r="AC1034" i="1"/>
  <c r="AC1026" i="1"/>
  <c r="AC1018" i="1"/>
  <c r="AC1010" i="1"/>
  <c r="AC1002" i="1"/>
  <c r="AC994" i="1"/>
  <c r="AC986" i="1"/>
  <c r="AC978" i="1"/>
  <c r="AC970" i="1"/>
  <c r="AC962" i="1"/>
  <c r="AC954" i="1"/>
  <c r="AC946" i="1"/>
  <c r="AC938" i="1"/>
  <c r="AC930" i="1"/>
  <c r="AC922" i="1"/>
  <c r="AC914" i="1"/>
  <c r="AC906" i="1"/>
  <c r="AC898" i="1"/>
  <c r="AC890" i="1"/>
  <c r="AC882" i="1"/>
  <c r="AC874" i="1"/>
  <c r="AC866" i="1"/>
  <c r="AC858" i="1"/>
  <c r="AC850" i="1"/>
  <c r="AC842" i="1"/>
  <c r="AC834" i="1"/>
  <c r="AC826" i="1"/>
  <c r="AC818" i="1"/>
  <c r="AC810" i="1"/>
  <c r="AC802" i="1"/>
  <c r="AC794" i="1"/>
  <c r="AC786" i="1"/>
  <c r="AC778" i="1"/>
  <c r="AC770" i="1"/>
  <c r="AC762" i="1"/>
  <c r="AC754" i="1"/>
  <c r="AC746" i="1"/>
  <c r="AC738" i="1"/>
  <c r="AC730" i="1"/>
  <c r="AC722" i="1"/>
  <c r="AC714" i="1"/>
  <c r="AC706" i="1"/>
  <c r="AC698" i="1"/>
  <c r="AC690" i="1"/>
  <c r="AC682" i="1"/>
  <c r="AC674" i="1"/>
  <c r="AC2001" i="1"/>
  <c r="AC1993" i="1"/>
  <c r="AC1985" i="1"/>
  <c r="AC1977" i="1"/>
  <c r="AC1969" i="1"/>
  <c r="AC1961" i="1"/>
  <c r="AC1953" i="1"/>
  <c r="AC1945" i="1"/>
  <c r="AC1937" i="1"/>
  <c r="AC1929" i="1"/>
  <c r="AC1921" i="1"/>
  <c r="AC1913" i="1"/>
  <c r="AC1905" i="1"/>
  <c r="AC1897" i="1"/>
  <c r="AC1889" i="1"/>
  <c r="AC1881" i="1"/>
  <c r="AC1873" i="1"/>
  <c r="AC1865" i="1"/>
  <c r="AC1857" i="1"/>
  <c r="AC1849" i="1"/>
  <c r="AC1841" i="1"/>
  <c r="AC1833" i="1"/>
  <c r="AC1825" i="1"/>
  <c r="AC1817" i="1"/>
  <c r="AC1809" i="1"/>
  <c r="AC1801" i="1"/>
  <c r="AC1793" i="1"/>
  <c r="AC1785" i="1"/>
  <c r="AC1777" i="1"/>
  <c r="AC1769" i="1"/>
  <c r="AC1761" i="1"/>
  <c r="AC1753" i="1"/>
  <c r="AC1745" i="1"/>
  <c r="AC1737" i="1"/>
  <c r="AC1729" i="1"/>
  <c r="AC1721" i="1"/>
  <c r="AC1713" i="1"/>
  <c r="AC1705" i="1"/>
  <c r="AC1697" i="1"/>
  <c r="AC1689" i="1"/>
  <c r="AC1681" i="1"/>
  <c r="AC1673" i="1"/>
  <c r="AC1665" i="1"/>
  <c r="AC1657" i="1"/>
  <c r="AC1649" i="1"/>
  <c r="AC1641" i="1"/>
  <c r="AC1633" i="1"/>
  <c r="AC1617" i="1"/>
  <c r="AC1609" i="1"/>
  <c r="AC1601" i="1"/>
  <c r="AC1593" i="1"/>
  <c r="AC1585" i="1"/>
  <c r="AC1577" i="1"/>
  <c r="AC1569" i="1"/>
  <c r="AC1561" i="1"/>
  <c r="AC1553" i="1"/>
  <c r="AC1545" i="1"/>
  <c r="AC1537" i="1"/>
  <c r="AC1529" i="1"/>
  <c r="AC1521" i="1"/>
  <c r="AC1513" i="1"/>
  <c r="AC1505" i="1"/>
  <c r="AC1489" i="1"/>
  <c r="AC1481" i="1"/>
  <c r="AC1473" i="1"/>
  <c r="AC1465" i="1"/>
  <c r="AC1457" i="1"/>
  <c r="AC1449" i="1"/>
  <c r="AC1441" i="1"/>
  <c r="AC1433" i="1"/>
  <c r="AC1425" i="1"/>
  <c r="AC1417" i="1"/>
  <c r="AC1409" i="1"/>
  <c r="AC1401" i="1"/>
  <c r="AC1393" i="1"/>
  <c r="AC1385" i="1"/>
  <c r="AC1648" i="1"/>
  <c r="AC1640" i="1"/>
  <c r="AC1632" i="1"/>
  <c r="AC1624" i="1"/>
  <c r="AC1616" i="1"/>
  <c r="AC1608" i="1"/>
  <c r="AC1600" i="1"/>
  <c r="AC1592" i="1"/>
  <c r="AC1584" i="1"/>
  <c r="AC1576" i="1"/>
  <c r="AC1568" i="1"/>
  <c r="AC1560" i="1"/>
  <c r="AC1552" i="1"/>
  <c r="AC1544" i="1"/>
  <c r="AC1536" i="1"/>
  <c r="AC1528" i="1"/>
  <c r="AC1520" i="1"/>
  <c r="AC1512" i="1"/>
  <c r="AC1504" i="1"/>
  <c r="AC1496" i="1"/>
  <c r="AC1488" i="1"/>
  <c r="AC1480" i="1"/>
  <c r="AC1472" i="1"/>
  <c r="AC1464" i="1"/>
  <c r="AC1456" i="1"/>
  <c r="AC1448" i="1"/>
  <c r="AC1440" i="1"/>
  <c r="AC1432" i="1"/>
  <c r="AC1424" i="1"/>
  <c r="AC1416" i="1"/>
  <c r="AC1408" i="1"/>
  <c r="AC1400" i="1"/>
  <c r="AC1392" i="1"/>
  <c r="AC1384" i="1"/>
  <c r="AC1376" i="1"/>
  <c r="AC1368" i="1"/>
  <c r="AC1360" i="1"/>
  <c r="AC1352" i="1"/>
  <c r="AC1344" i="1"/>
  <c r="AC1336" i="1"/>
  <c r="AC1328" i="1"/>
  <c r="AC1320" i="1"/>
  <c r="AC1312" i="1"/>
  <c r="AC1304" i="1"/>
  <c r="AC1296" i="1"/>
  <c r="AC1288" i="1"/>
  <c r="AC1280" i="1"/>
  <c r="AC1272" i="1"/>
  <c r="AC1264" i="1"/>
  <c r="AC1256" i="1"/>
  <c r="AC1248" i="1"/>
  <c r="AC1240" i="1"/>
  <c r="AC1232" i="1"/>
  <c r="AC1224" i="1"/>
  <c r="AC1216" i="1"/>
  <c r="AC1208" i="1"/>
  <c r="AC1200" i="1"/>
  <c r="AC1192" i="1"/>
  <c r="AC1184" i="1"/>
  <c r="AC1176" i="1"/>
  <c r="AC1168" i="1"/>
  <c r="AC1160" i="1"/>
  <c r="AC1152" i="1"/>
  <c r="AC1144" i="1"/>
  <c r="AC1136" i="1"/>
  <c r="AC1128" i="1"/>
  <c r="AC1120" i="1"/>
  <c r="AC1112" i="1"/>
  <c r="AC1104" i="1"/>
  <c r="AC1096" i="1"/>
  <c r="AC1088" i="1"/>
  <c r="AC1080" i="1"/>
  <c r="AC1072" i="1"/>
  <c r="AC1064" i="1"/>
  <c r="AC1056" i="1"/>
  <c r="AC1048" i="1"/>
  <c r="AC1040" i="1"/>
  <c r="AC1032" i="1"/>
  <c r="AC1024" i="1"/>
  <c r="AC1016" i="1"/>
  <c r="AC1008" i="1"/>
  <c r="AC1000" i="1"/>
  <c r="AC992" i="1"/>
  <c r="AC984" i="1"/>
  <c r="AC976" i="1"/>
  <c r="AC968" i="1"/>
  <c r="AC960" i="1"/>
  <c r="AC952" i="1"/>
  <c r="AC944" i="1"/>
  <c r="AC936" i="1"/>
  <c r="AC928" i="1"/>
  <c r="AC920" i="1"/>
  <c r="AC912" i="1"/>
  <c r="AC904" i="1"/>
  <c r="AC896" i="1"/>
  <c r="AC888" i="1"/>
  <c r="AC880" i="1"/>
  <c r="AC872" i="1"/>
  <c r="AC864" i="1"/>
  <c r="AC856" i="1"/>
  <c r="AC848" i="1"/>
  <c r="AC840" i="1"/>
  <c r="AC832" i="1"/>
  <c r="AC824" i="1"/>
  <c r="AC816" i="1"/>
  <c r="AC808" i="1"/>
  <c r="AC800" i="1"/>
  <c r="AC792" i="1"/>
  <c r="AC784" i="1"/>
  <c r="AC776" i="1"/>
  <c r="AC768" i="1"/>
  <c r="AC760" i="1"/>
  <c r="AC752" i="1"/>
  <c r="AC744" i="1"/>
  <c r="AC736" i="1"/>
  <c r="AC728" i="1"/>
  <c r="AC720" i="1"/>
  <c r="AC712" i="1"/>
  <c r="AC704" i="1"/>
  <c r="AC696" i="1"/>
  <c r="AC688" i="1"/>
  <c r="AC680" i="1"/>
  <c r="AC672" i="1"/>
  <c r="AC664" i="1"/>
  <c r="AC656" i="1"/>
  <c r="AC648" i="1"/>
  <c r="AC640" i="1"/>
  <c r="AC632" i="1"/>
  <c r="AC624" i="1"/>
  <c r="AC616" i="1"/>
  <c r="AC608" i="1"/>
  <c r="AC600" i="1"/>
  <c r="AC592" i="1"/>
  <c r="AC584" i="1"/>
  <c r="AC576" i="1"/>
  <c r="AC568" i="1"/>
  <c r="AC560" i="1"/>
  <c r="AC552" i="1"/>
  <c r="AC544" i="1"/>
  <c r="AC536" i="1"/>
  <c r="AC528" i="1"/>
  <c r="AC520" i="1"/>
  <c r="AC512" i="1"/>
  <c r="AC504" i="1"/>
  <c r="AC496" i="1"/>
  <c r="AC488" i="1"/>
  <c r="AC480" i="1"/>
  <c r="AC472" i="1"/>
  <c r="AC464" i="1"/>
  <c r="AC456" i="1"/>
  <c r="AC448" i="1"/>
  <c r="AC440" i="1"/>
  <c r="AC432" i="1"/>
  <c r="AC424" i="1"/>
  <c r="AC416" i="1"/>
  <c r="AC408" i="1"/>
  <c r="AC400" i="1"/>
  <c r="AC392" i="1"/>
  <c r="AC384" i="1"/>
  <c r="AC376" i="1"/>
  <c r="AC368" i="1"/>
  <c r="AC360" i="1"/>
  <c r="AC352" i="1"/>
  <c r="AC344" i="1"/>
  <c r="AC336" i="1"/>
  <c r="AC328" i="1"/>
  <c r="AC320" i="1"/>
  <c r="AC312" i="1"/>
  <c r="AC304" i="1"/>
  <c r="AC1999" i="1"/>
  <c r="AC1991" i="1"/>
  <c r="AC1983" i="1"/>
  <c r="AC1975" i="1"/>
  <c r="AC1967" i="1"/>
  <c r="AC1959" i="1"/>
  <c r="AC1951" i="1"/>
  <c r="AC1943" i="1"/>
  <c r="AC1935" i="1"/>
  <c r="AC1927" i="1"/>
  <c r="AC1919" i="1"/>
  <c r="AC1911" i="1"/>
  <c r="AC1903" i="1"/>
  <c r="AC1895" i="1"/>
  <c r="AC1887" i="1"/>
  <c r="AC1879" i="1"/>
  <c r="AC1871" i="1"/>
  <c r="AC1863" i="1"/>
  <c r="AC1855" i="1"/>
  <c r="AC1847" i="1"/>
  <c r="AC1839" i="1"/>
  <c r="AC1831" i="1"/>
  <c r="AC1823" i="1"/>
  <c r="AC1815" i="1"/>
  <c r="AC1807" i="1"/>
  <c r="AC1799" i="1"/>
  <c r="AC1791" i="1"/>
  <c r="AC1783" i="1"/>
  <c r="AC1775" i="1"/>
  <c r="AC1767" i="1"/>
  <c r="AC1759" i="1"/>
  <c r="AC1751" i="1"/>
  <c r="AC1743" i="1"/>
  <c r="AC1735" i="1"/>
  <c r="AC1727" i="1"/>
  <c r="AC1719" i="1"/>
  <c r="AC1711" i="1"/>
  <c r="AC1703" i="1"/>
  <c r="AC1695" i="1"/>
  <c r="AC1687" i="1"/>
  <c r="AC1679" i="1"/>
  <c r="AC1671" i="1"/>
  <c r="AC1663" i="1"/>
  <c r="AC1655" i="1"/>
  <c r="AC1647" i="1"/>
  <c r="AC1639" i="1"/>
  <c r="AC1631" i="1"/>
  <c r="AC1623" i="1"/>
  <c r="AC1615" i="1"/>
  <c r="AC1607" i="1"/>
  <c r="AC1599" i="1"/>
  <c r="AC1591" i="1"/>
  <c r="AC1583" i="1"/>
  <c r="AC1575" i="1"/>
  <c r="AC1567" i="1"/>
  <c r="AC1559" i="1"/>
  <c r="AC1551" i="1"/>
  <c r="AC1543" i="1"/>
  <c r="AC1535" i="1"/>
  <c r="AC1527" i="1"/>
  <c r="AC1519" i="1"/>
  <c r="AC1511" i="1"/>
  <c r="AC1503" i="1"/>
  <c r="AC1495" i="1"/>
  <c r="AC1487" i="1"/>
  <c r="AC1479" i="1"/>
  <c r="AC1471" i="1"/>
  <c r="AC1463" i="1"/>
  <c r="AC1455" i="1"/>
  <c r="AC1447" i="1"/>
  <c r="AC1439" i="1"/>
  <c r="AC1431" i="1"/>
  <c r="AC1423" i="1"/>
  <c r="AC1415" i="1"/>
  <c r="AC1407" i="1"/>
  <c r="AC296" i="1"/>
  <c r="AC288" i="1"/>
  <c r="AC280" i="1"/>
  <c r="AC272" i="1"/>
  <c r="AC264" i="1"/>
  <c r="AC256" i="1"/>
  <c r="AC248" i="1"/>
  <c r="AC240" i="1"/>
  <c r="AC232" i="1"/>
  <c r="AC224" i="1"/>
  <c r="AC216" i="1"/>
  <c r="AC208" i="1"/>
  <c r="AC200" i="1"/>
  <c r="AC192" i="1"/>
  <c r="AC184" i="1"/>
  <c r="AC176" i="1"/>
  <c r="AC168" i="1"/>
  <c r="AC160" i="1"/>
  <c r="AC152" i="1"/>
  <c r="AC144" i="1"/>
  <c r="AC136" i="1"/>
  <c r="AC128" i="1"/>
  <c r="AC1028" i="1"/>
  <c r="AC1020" i="1"/>
  <c r="AC1012" i="1"/>
  <c r="AC1004" i="1"/>
  <c r="AC996" i="1"/>
  <c r="AC988" i="1"/>
  <c r="AC980" i="1"/>
  <c r="AC972" i="1"/>
  <c r="AC964" i="1"/>
  <c r="AC956" i="1"/>
  <c r="AC948" i="1"/>
  <c r="AC940" i="1"/>
  <c r="AC932" i="1"/>
  <c r="AC924" i="1"/>
  <c r="AC916" i="1"/>
  <c r="AC908" i="1"/>
  <c r="AC900" i="1"/>
  <c r="AC892" i="1"/>
  <c r="AC884" i="1"/>
  <c r="AC876" i="1"/>
  <c r="AC868" i="1"/>
  <c r="AC860" i="1"/>
  <c r="AC852" i="1"/>
  <c r="AC844" i="1"/>
  <c r="AC836" i="1"/>
  <c r="AC828" i="1"/>
  <c r="AC820" i="1"/>
  <c r="AC812" i="1"/>
  <c r="AC804" i="1"/>
  <c r="AC796" i="1"/>
  <c r="AC788" i="1"/>
  <c r="AC780" i="1"/>
  <c r="AC772" i="1"/>
  <c r="AC764" i="1"/>
  <c r="AC756" i="1"/>
  <c r="AC748" i="1"/>
  <c r="AC740" i="1"/>
  <c r="AC732" i="1"/>
  <c r="AC724" i="1"/>
  <c r="AC716" i="1"/>
  <c r="AC708" i="1"/>
  <c r="AC700" i="1"/>
  <c r="AC692" i="1"/>
  <c r="AC684" i="1"/>
  <c r="AC676" i="1"/>
  <c r="AC668" i="1"/>
  <c r="AC660" i="1"/>
  <c r="AC652" i="1"/>
  <c r="AC644" i="1"/>
  <c r="AC636" i="1"/>
  <c r="AC628" i="1"/>
  <c r="AC620" i="1"/>
  <c r="AC612" i="1"/>
  <c r="AC604" i="1"/>
  <c r="AC596" i="1"/>
  <c r="AC588" i="1"/>
  <c r="AC580" i="1"/>
  <c r="AC572" i="1"/>
  <c r="AC564" i="1"/>
  <c r="AC556" i="1"/>
  <c r="AC548" i="1"/>
  <c r="AC540" i="1"/>
  <c r="AC532" i="1"/>
  <c r="AC524" i="1"/>
  <c r="AC516" i="1"/>
  <c r="AC508" i="1"/>
  <c r="AC500" i="1"/>
  <c r="AC492" i="1"/>
  <c r="AC484" i="1"/>
  <c r="AC476" i="1"/>
  <c r="AC468" i="1"/>
  <c r="AC460" i="1"/>
  <c r="AC452" i="1"/>
  <c r="AC444" i="1"/>
  <c r="AC436" i="1"/>
  <c r="AC428" i="1"/>
  <c r="AC420" i="1"/>
  <c r="AC412" i="1"/>
  <c r="AC404" i="1"/>
  <c r="AC396" i="1"/>
  <c r="AC388" i="1"/>
  <c r="AC380" i="1"/>
  <c r="AC372" i="1"/>
  <c r="AC364" i="1"/>
  <c r="AC356" i="1"/>
  <c r="AC348" i="1"/>
  <c r="AC340" i="1"/>
  <c r="AC332" i="1"/>
  <c r="AC324" i="1"/>
  <c r="AC316" i="1"/>
  <c r="AC308" i="1"/>
  <c r="AC300" i="1"/>
  <c r="AC292" i="1"/>
  <c r="AC284" i="1"/>
  <c r="AC276" i="1"/>
  <c r="AC268" i="1"/>
  <c r="AC260" i="1"/>
  <c r="AC252" i="1"/>
  <c r="AC244" i="1"/>
  <c r="AC236" i="1"/>
  <c r="AC228" i="1"/>
  <c r="AC220" i="1"/>
  <c r="AC212" i="1"/>
  <c r="AC204" i="1"/>
  <c r="AC196" i="1"/>
  <c r="AC188" i="1"/>
  <c r="AC180" i="1"/>
  <c r="AC172" i="1"/>
  <c r="AC164" i="1"/>
  <c r="AC156" i="1"/>
  <c r="AC148" i="1"/>
  <c r="AC140" i="1"/>
  <c r="AC132" i="1"/>
  <c r="AC124" i="1"/>
  <c r="AC116" i="1"/>
  <c r="AC108" i="1"/>
  <c r="AC100" i="1"/>
  <c r="AC92" i="1"/>
  <c r="AC84" i="1"/>
  <c r="AC76" i="1"/>
  <c r="AC68" i="1"/>
  <c r="AC60" i="1"/>
  <c r="AC52" i="1"/>
  <c r="AC44" i="1"/>
  <c r="AC36" i="1"/>
  <c r="AC28" i="1"/>
  <c r="AC20" i="1"/>
  <c r="AC12" i="1"/>
  <c r="AC4" i="1"/>
  <c r="AC1995" i="1"/>
  <c r="AC1987" i="1"/>
  <c r="AC1979" i="1"/>
  <c r="AC1971" i="1"/>
  <c r="AC1963" i="1"/>
  <c r="AC1955" i="1"/>
  <c r="AC1947" i="1"/>
  <c r="AC1939" i="1"/>
  <c r="AC1931" i="1"/>
  <c r="AC1923" i="1"/>
  <c r="AC1915" i="1"/>
  <c r="AC1907" i="1"/>
  <c r="AC1899" i="1"/>
  <c r="AC1891" i="1"/>
  <c r="AC1883" i="1"/>
  <c r="AC1875" i="1"/>
  <c r="AC1867" i="1"/>
  <c r="AC1859" i="1"/>
  <c r="AC1851" i="1"/>
  <c r="AC1843" i="1"/>
  <c r="AC1835" i="1"/>
  <c r="AC1827" i="1"/>
  <c r="AC1819" i="1"/>
  <c r="AC1811" i="1"/>
  <c r="AC1803" i="1"/>
  <c r="AC1795" i="1"/>
  <c r="AC1787" i="1"/>
  <c r="AC1779" i="1"/>
  <c r="AC1771" i="1"/>
  <c r="AC1763" i="1"/>
  <c r="AC1755" i="1"/>
  <c r="AC1747" i="1"/>
  <c r="AC1739" i="1"/>
  <c r="AC1731" i="1"/>
  <c r="AC1723" i="1"/>
  <c r="AC1715" i="1"/>
  <c r="AC1707" i="1"/>
  <c r="AC1699" i="1"/>
  <c r="AC1691" i="1"/>
  <c r="AC1683" i="1"/>
  <c r="AC1675" i="1"/>
  <c r="AC1667" i="1"/>
  <c r="AC1659" i="1"/>
  <c r="AC1651" i="1"/>
  <c r="AC1643" i="1"/>
  <c r="AC1635" i="1"/>
  <c r="AC1627" i="1"/>
  <c r="AC1619" i="1"/>
  <c r="AC1611" i="1"/>
  <c r="AC1603" i="1"/>
  <c r="AC1595" i="1"/>
  <c r="AC1587" i="1"/>
  <c r="AC1579" i="1"/>
  <c r="AC1571" i="1"/>
  <c r="AC1563" i="1"/>
  <c r="AC1555" i="1"/>
  <c r="AC1547" i="1"/>
  <c r="AC1539" i="1"/>
  <c r="AC1531" i="1"/>
  <c r="AC1523" i="1"/>
  <c r="AC1515" i="1"/>
  <c r="AC1507" i="1"/>
  <c r="AC1499" i="1"/>
  <c r="AC1491" i="1"/>
  <c r="AC1483" i="1"/>
  <c r="AC1475" i="1"/>
  <c r="AC1467" i="1"/>
  <c r="AC1459" i="1"/>
  <c r="AC1451" i="1"/>
  <c r="AC1443" i="1"/>
  <c r="AC1435" i="1"/>
  <c r="AC1427" i="1"/>
  <c r="AC1419" i="1"/>
  <c r="AC1411" i="1"/>
  <c r="AC1403" i="1"/>
  <c r="AC1395" i="1"/>
  <c r="AC1387" i="1"/>
  <c r="AC1379" i="1"/>
  <c r="AC1371" i="1"/>
  <c r="AC1363" i="1"/>
  <c r="AC1355" i="1"/>
  <c r="AC1347" i="1"/>
  <c r="AC1339" i="1"/>
  <c r="AC1331" i="1"/>
  <c r="AC1323" i="1"/>
  <c r="AC1315" i="1"/>
  <c r="AC1307" i="1"/>
  <c r="AC1299" i="1"/>
  <c r="AC666" i="1"/>
  <c r="AC658" i="1"/>
  <c r="AC650" i="1"/>
  <c r="AC642" i="1"/>
  <c r="AC634" i="1"/>
  <c r="AC626" i="1"/>
  <c r="AC618" i="1"/>
  <c r="AC610" i="1"/>
  <c r="AC602" i="1"/>
  <c r="AC594" i="1"/>
  <c r="AC586" i="1"/>
  <c r="AC578" i="1"/>
  <c r="AC570" i="1"/>
  <c r="AC562" i="1"/>
  <c r="AC554" i="1"/>
  <c r="AC546" i="1"/>
  <c r="AC538" i="1"/>
  <c r="AC530" i="1"/>
  <c r="AC522" i="1"/>
  <c r="AC514" i="1"/>
  <c r="AC506" i="1"/>
  <c r="AC498" i="1"/>
  <c r="AC490" i="1"/>
  <c r="AC482" i="1"/>
  <c r="AC474" i="1"/>
  <c r="AC466" i="1"/>
  <c r="AC458" i="1"/>
  <c r="AC450" i="1"/>
  <c r="AC442" i="1"/>
  <c r="AC434" i="1"/>
  <c r="AC426" i="1"/>
  <c r="AC418" i="1"/>
  <c r="AC410" i="1"/>
  <c r="AC402" i="1"/>
  <c r="AC394" i="1"/>
  <c r="AC386" i="1"/>
  <c r="AC378" i="1"/>
  <c r="AC370" i="1"/>
  <c r="AC362" i="1"/>
  <c r="AC354" i="1"/>
  <c r="AC346" i="1"/>
  <c r="AC338" i="1"/>
  <c r="AC330" i="1"/>
  <c r="AC322" i="1"/>
  <c r="AC314" i="1"/>
  <c r="AC306" i="1"/>
  <c r="AC298" i="1"/>
  <c r="AC290" i="1"/>
  <c r="AC282" i="1"/>
  <c r="AC274" i="1"/>
  <c r="AC266" i="1"/>
  <c r="AC258" i="1"/>
  <c r="AC250" i="1"/>
  <c r="AC242" i="1"/>
  <c r="AC234" i="1"/>
  <c r="AC226" i="1"/>
  <c r="AC218" i="1"/>
  <c r="AC210" i="1"/>
  <c r="AC202" i="1"/>
  <c r="AC194" i="1"/>
  <c r="AC186" i="1"/>
  <c r="AC178" i="1"/>
  <c r="AC170" i="1"/>
  <c r="AC162" i="1"/>
  <c r="AC154" i="1"/>
  <c r="AC146" i="1"/>
  <c r="AC138" i="1"/>
  <c r="AC130" i="1"/>
  <c r="AC122" i="1"/>
  <c r="AC114" i="1"/>
  <c r="AC106" i="1"/>
  <c r="AC98" i="1"/>
  <c r="AC90" i="1"/>
  <c r="AC82" i="1"/>
  <c r="AC74" i="1"/>
  <c r="AC66" i="1"/>
  <c r="AC58" i="1"/>
  <c r="AC50" i="1"/>
  <c r="AC42" i="1"/>
  <c r="AC34" i="1"/>
  <c r="AC26" i="1"/>
  <c r="AC18" i="1"/>
  <c r="AC10" i="1"/>
  <c r="AC2" i="1"/>
  <c r="AC513" i="1"/>
  <c r="AC1291" i="1"/>
  <c r="AC1283" i="1"/>
  <c r="AC1275" i="1"/>
  <c r="AC1267" i="1"/>
  <c r="AC1259" i="1"/>
  <c r="AC1251" i="1"/>
  <c r="AC1243" i="1"/>
  <c r="AC1235" i="1"/>
  <c r="AC1227" i="1"/>
  <c r="AC1219" i="1"/>
  <c r="AC1211" i="1"/>
  <c r="AC1203" i="1"/>
  <c r="AC1195" i="1"/>
  <c r="AC1187" i="1"/>
  <c r="AC1179" i="1"/>
  <c r="AC1171" i="1"/>
  <c r="AC1163" i="1"/>
  <c r="AC1155" i="1"/>
  <c r="AC1147" i="1"/>
  <c r="AC1139" i="1"/>
  <c r="AC1131" i="1"/>
  <c r="AC1123" i="1"/>
  <c r="AC1115" i="1"/>
  <c r="AC1107" i="1"/>
  <c r="AC1099" i="1"/>
  <c r="AC1091" i="1"/>
  <c r="AC1083" i="1"/>
  <c r="AC1075" i="1"/>
  <c r="AC1067" i="1"/>
  <c r="AC1059" i="1"/>
  <c r="AC1051" i="1"/>
  <c r="AC1043" i="1"/>
  <c r="AC1035" i="1"/>
  <c r="AC1027" i="1"/>
  <c r="AC1019" i="1"/>
  <c r="AC1011" i="1"/>
  <c r="AC1003" i="1"/>
  <c r="AC995" i="1"/>
  <c r="AC987" i="1"/>
  <c r="AC979" i="1"/>
  <c r="AC971" i="1"/>
  <c r="AC963" i="1"/>
  <c r="AC955" i="1"/>
  <c r="AC947" i="1"/>
  <c r="AC939" i="1"/>
  <c r="AC931" i="1"/>
  <c r="AC923" i="1"/>
  <c r="AC915" i="1"/>
  <c r="AC907" i="1"/>
  <c r="AC899" i="1"/>
  <c r="AC891" i="1"/>
  <c r="AC883" i="1"/>
  <c r="AC875" i="1"/>
  <c r="AC867" i="1"/>
  <c r="AC859" i="1"/>
  <c r="AC851" i="1"/>
  <c r="AC843" i="1"/>
  <c r="AC835" i="1"/>
  <c r="AC827" i="1"/>
  <c r="AC819" i="1"/>
  <c r="AC811" i="1"/>
  <c r="AC803" i="1"/>
  <c r="AC795" i="1"/>
  <c r="AC787" i="1"/>
  <c r="AC779" i="1"/>
  <c r="AC771" i="1"/>
  <c r="AC763" i="1"/>
  <c r="AC755" i="1"/>
  <c r="AC747" i="1"/>
  <c r="AC739" i="1"/>
  <c r="AC731" i="1"/>
  <c r="AC723" i="1"/>
  <c r="AC715" i="1"/>
  <c r="AC707" i="1"/>
  <c r="AC699" i="1"/>
  <c r="AC691" i="1"/>
  <c r="AC683" i="1"/>
  <c r="AC1377" i="1"/>
  <c r="AC1369" i="1"/>
  <c r="AC1361" i="1"/>
  <c r="AC1353" i="1"/>
  <c r="AC1345" i="1"/>
  <c r="AC1337" i="1"/>
  <c r="AC1329" i="1"/>
  <c r="AC1321" i="1"/>
  <c r="AC1313" i="1"/>
  <c r="AC1305" i="1"/>
  <c r="AC1297" i="1"/>
  <c r="AC1289" i="1"/>
  <c r="AC1281" i="1"/>
  <c r="AC1273" i="1"/>
  <c r="AC1265" i="1"/>
  <c r="AC1257" i="1"/>
  <c r="AC1249" i="1"/>
  <c r="AC1241" i="1"/>
  <c r="AC1233" i="1"/>
  <c r="AC1225" i="1"/>
  <c r="AC1217" i="1"/>
  <c r="AC1209" i="1"/>
  <c r="AC1201" i="1"/>
  <c r="AC1193" i="1"/>
  <c r="AC1185" i="1"/>
  <c r="AC1177" i="1"/>
  <c r="AC1169" i="1"/>
  <c r="AC1161" i="1"/>
  <c r="AC1153" i="1"/>
  <c r="AC1145" i="1"/>
  <c r="AC1137" i="1"/>
  <c r="AC1129" i="1"/>
  <c r="AC1121" i="1"/>
  <c r="AC1113" i="1"/>
  <c r="AC1105" i="1"/>
  <c r="AC1097" i="1"/>
  <c r="AC1089" i="1"/>
  <c r="AC1081" i="1"/>
  <c r="AC1073" i="1"/>
  <c r="AC1065" i="1"/>
  <c r="AC1057" i="1"/>
  <c r="AC1049" i="1"/>
  <c r="AC1041" i="1"/>
  <c r="AC1033" i="1"/>
  <c r="AC1025" i="1"/>
  <c r="AC1017" i="1"/>
  <c r="AC1009" i="1"/>
  <c r="AC1001" i="1"/>
  <c r="AC993" i="1"/>
  <c r="AC985" i="1"/>
  <c r="AC977" i="1"/>
  <c r="AC969" i="1"/>
  <c r="AC961" i="1"/>
  <c r="AC953" i="1"/>
  <c r="AC945" i="1"/>
  <c r="AC937" i="1"/>
  <c r="AC929" i="1"/>
  <c r="AC921" i="1"/>
  <c r="AC913" i="1"/>
  <c r="AC905" i="1"/>
  <c r="AC897" i="1"/>
  <c r="AC889" i="1"/>
  <c r="AC881" i="1"/>
  <c r="AC873" i="1"/>
  <c r="AC865" i="1"/>
  <c r="AC857" i="1"/>
  <c r="AC849" i="1"/>
  <c r="AC841" i="1"/>
  <c r="AC809" i="1"/>
  <c r="AC777" i="1"/>
  <c r="AC745" i="1"/>
  <c r="AC713" i="1"/>
  <c r="AC681" i="1"/>
  <c r="AC601" i="1"/>
  <c r="AC473" i="1"/>
  <c r="AC425" i="1"/>
  <c r="AC345" i="1"/>
  <c r="AC257" i="1"/>
  <c r="AC217" i="1"/>
  <c r="AC169" i="1"/>
  <c r="AC89" i="1"/>
  <c r="AC120" i="1"/>
  <c r="AC112" i="1"/>
  <c r="AC104" i="1"/>
  <c r="AC96" i="1"/>
  <c r="AC88" i="1"/>
  <c r="AC80" i="1"/>
  <c r="AC72" i="1"/>
  <c r="AC64" i="1"/>
  <c r="AC56" i="1"/>
  <c r="AC48" i="1"/>
  <c r="AC40" i="1"/>
  <c r="AC32" i="1"/>
  <c r="AC24" i="1"/>
  <c r="AC16" i="1"/>
  <c r="AC8" i="1"/>
  <c r="AC1399" i="1"/>
  <c r="AC1391" i="1"/>
  <c r="AC1383" i="1"/>
  <c r="AC1375" i="1"/>
  <c r="AC1367" i="1"/>
  <c r="AC1359" i="1"/>
  <c r="AC1351" i="1"/>
  <c r="AC1343" i="1"/>
  <c r="AC1335" i="1"/>
  <c r="AC1327" i="1"/>
  <c r="AC1319" i="1"/>
  <c r="AC1311" i="1"/>
  <c r="AC1303" i="1"/>
  <c r="AC1295" i="1"/>
  <c r="AC1287" i="1"/>
  <c r="AC1279" i="1"/>
  <c r="AC1271" i="1"/>
  <c r="AC1263" i="1"/>
  <c r="AC1255" i="1"/>
  <c r="AC1247" i="1"/>
  <c r="AC1239" i="1"/>
  <c r="AC1231" i="1"/>
  <c r="AC1223" i="1"/>
  <c r="AC1215" i="1"/>
  <c r="AC1207" i="1"/>
  <c r="AC1199" i="1"/>
  <c r="AC1191" i="1"/>
  <c r="AC1183" i="1"/>
  <c r="AC1175" i="1"/>
  <c r="AC1167" i="1"/>
  <c r="AC1159" i="1"/>
  <c r="AC1151" i="1"/>
  <c r="AC1143" i="1"/>
  <c r="AC1135" i="1"/>
  <c r="AC1127" i="1"/>
  <c r="AC1119" i="1"/>
  <c r="AC1111" i="1"/>
  <c r="AC1103" i="1"/>
  <c r="AC1095" i="1"/>
  <c r="AC1087" i="1"/>
  <c r="AC1079" i="1"/>
  <c r="AC1071" i="1"/>
  <c r="AC1063" i="1"/>
  <c r="AC1055" i="1"/>
  <c r="AC1047" i="1"/>
  <c r="AC1039" i="1"/>
  <c r="AC1031" i="1"/>
  <c r="AC1023" i="1"/>
  <c r="AC1015" i="1"/>
  <c r="AC1007" i="1"/>
  <c r="AC999" i="1"/>
  <c r="AC991" i="1"/>
  <c r="AC983" i="1"/>
  <c r="AC975" i="1"/>
  <c r="AC967" i="1"/>
  <c r="AC959" i="1"/>
  <c r="AC951" i="1"/>
  <c r="AC943" i="1"/>
  <c r="AC935" i="1"/>
  <c r="AC927" i="1"/>
  <c r="AC919" i="1"/>
  <c r="AC911" i="1"/>
  <c r="AC903" i="1"/>
  <c r="AC895" i="1"/>
  <c r="AC887" i="1"/>
  <c r="AC879" i="1"/>
  <c r="AC871" i="1"/>
  <c r="AC863" i="1"/>
  <c r="AC855" i="1"/>
  <c r="AC847" i="1"/>
  <c r="AC839" i="1"/>
  <c r="AC831" i="1"/>
  <c r="AC823" i="1"/>
  <c r="AC675" i="1"/>
  <c r="AC667" i="1"/>
  <c r="AC659" i="1"/>
  <c r="AC651" i="1"/>
  <c r="AC643" i="1"/>
  <c r="AC635" i="1"/>
  <c r="AC627" i="1"/>
  <c r="AC619" i="1"/>
  <c r="AC611" i="1"/>
  <c r="AC603" i="1"/>
  <c r="AC595" i="1"/>
  <c r="AC587" i="1"/>
  <c r="AC579" i="1"/>
  <c r="AC571" i="1"/>
  <c r="AC563" i="1"/>
  <c r="AC555" i="1"/>
  <c r="AC547" i="1"/>
  <c r="AC539" i="1"/>
  <c r="AC531" i="1"/>
  <c r="AC523" i="1"/>
  <c r="AC515" i="1"/>
  <c r="AC507" i="1"/>
  <c r="AC499" i="1"/>
  <c r="AC491" i="1"/>
  <c r="AC483" i="1"/>
  <c r="AC475" i="1"/>
  <c r="AC467" i="1"/>
  <c r="AC459" i="1"/>
  <c r="AC451" i="1"/>
  <c r="AC443" i="1"/>
  <c r="AC435" i="1"/>
  <c r="AC427" i="1"/>
  <c r="AC419" i="1"/>
  <c r="AC411" i="1"/>
  <c r="AC403" i="1"/>
  <c r="AC395" i="1"/>
  <c r="AC387" i="1"/>
  <c r="AC379" i="1"/>
  <c r="AC371" i="1"/>
  <c r="AC363" i="1"/>
  <c r="AC355" i="1"/>
  <c r="AC347" i="1"/>
  <c r="AC339" i="1"/>
  <c r="AC331" i="1"/>
  <c r="AC323" i="1"/>
  <c r="AC315" i="1"/>
  <c r="AC307" i="1"/>
  <c r="AC299" i="1"/>
  <c r="AC291" i="1"/>
  <c r="AC283" i="1"/>
  <c r="AC275" i="1"/>
  <c r="AC267" i="1"/>
  <c r="AC259" i="1"/>
  <c r="AC251" i="1"/>
  <c r="AC243" i="1"/>
  <c r="AC235" i="1"/>
  <c r="AC227" i="1"/>
  <c r="AC219" i="1"/>
  <c r="AC211" i="1"/>
  <c r="AC203" i="1"/>
  <c r="AC195" i="1"/>
  <c r="AC187" i="1"/>
  <c r="AC179" i="1"/>
  <c r="AC171" i="1"/>
  <c r="AC163" i="1"/>
  <c r="AC155" i="1"/>
  <c r="AC147" i="1"/>
  <c r="AC139" i="1"/>
  <c r="AC131" i="1"/>
  <c r="AC123" i="1"/>
  <c r="AC115" i="1"/>
  <c r="AC107" i="1"/>
  <c r="AC99" i="1"/>
  <c r="AC91" i="1"/>
  <c r="AC83" i="1"/>
  <c r="AC75" i="1"/>
  <c r="AC67" i="1"/>
  <c r="AC59" i="1"/>
  <c r="AC51" i="1"/>
  <c r="AC43" i="1"/>
  <c r="AC35" i="1"/>
  <c r="AC27" i="1"/>
  <c r="AC19" i="1"/>
  <c r="AC11" i="1"/>
  <c r="AC3" i="1"/>
  <c r="AC833" i="1"/>
  <c r="AC825" i="1"/>
  <c r="AC817" i="1"/>
  <c r="AC801" i="1"/>
  <c r="AC793" i="1"/>
  <c r="AC785" i="1"/>
  <c r="AC769" i="1"/>
  <c r="AC761" i="1"/>
  <c r="AC753" i="1"/>
  <c r="AC737" i="1"/>
  <c r="AC729" i="1"/>
  <c r="AC721" i="1"/>
  <c r="AC705" i="1"/>
  <c r="AC697" i="1"/>
  <c r="AC689" i="1"/>
  <c r="AC673" i="1"/>
  <c r="AC665" i="1"/>
  <c r="AC657" i="1"/>
  <c r="AC649" i="1"/>
  <c r="AC641" i="1"/>
  <c r="AC633" i="1"/>
  <c r="AC625" i="1"/>
  <c r="AC617" i="1"/>
  <c r="AC609" i="1"/>
  <c r="AC593" i="1"/>
  <c r="AC585" i="1"/>
  <c r="AC577" i="1"/>
  <c r="AC569" i="1"/>
  <c r="AC561" i="1"/>
  <c r="AC553" i="1"/>
  <c r="AC545" i="1"/>
  <c r="AC537" i="1"/>
  <c r="AC529" i="1"/>
  <c r="AC521" i="1"/>
  <c r="AC505" i="1"/>
  <c r="AC497" i="1"/>
  <c r="AC489" i="1"/>
  <c r="AC481" i="1"/>
  <c r="AC465" i="1"/>
  <c r="AC457" i="1"/>
  <c r="AC449" i="1"/>
  <c r="AC441" i="1"/>
  <c r="AC433" i="1"/>
  <c r="AC417" i="1"/>
  <c r="AC409" i="1"/>
  <c r="AC401" i="1"/>
  <c r="AC393" i="1"/>
  <c r="AC385" i="1"/>
  <c r="AC377" i="1"/>
  <c r="AC369" i="1"/>
  <c r="AC361" i="1"/>
  <c r="AC353" i="1"/>
  <c r="AC337" i="1"/>
  <c r="AC329" i="1"/>
  <c r="AC321" i="1"/>
  <c r="AC313" i="1"/>
  <c r="AC305" i="1"/>
  <c r="AC297" i="1"/>
  <c r="AC289" i="1"/>
  <c r="AC281" i="1"/>
  <c r="AC273" i="1"/>
  <c r="AC265" i="1"/>
  <c r="AC249" i="1"/>
  <c r="AC241" i="1"/>
  <c r="AC233" i="1"/>
  <c r="AC225" i="1"/>
  <c r="AC209" i="1"/>
  <c r="AC201" i="1"/>
  <c r="AC193" i="1"/>
  <c r="AC185" i="1"/>
  <c r="AC177" i="1"/>
  <c r="AC161" i="1"/>
  <c r="AC153" i="1"/>
  <c r="AC145" i="1"/>
  <c r="AC137" i="1"/>
  <c r="AC129" i="1"/>
  <c r="AC121" i="1"/>
  <c r="AC113" i="1"/>
  <c r="AC105" i="1"/>
  <c r="AC97" i="1"/>
  <c r="AC81" i="1"/>
  <c r="AC73" i="1"/>
  <c r="AC65" i="1"/>
  <c r="AC57" i="1"/>
  <c r="AC49" i="1"/>
  <c r="AC41" i="1"/>
  <c r="AC33" i="1"/>
  <c r="AC25" i="1"/>
  <c r="AC17" i="1"/>
  <c r="AC9" i="1"/>
  <c r="AC815" i="1"/>
  <c r="AC807" i="1"/>
  <c r="AC799" i="1"/>
  <c r="AC791" i="1"/>
  <c r="AC783" i="1"/>
  <c r="AC775" i="1"/>
  <c r="AC767" i="1"/>
  <c r="AC759" i="1"/>
  <c r="AC751" i="1"/>
  <c r="AC743" i="1"/>
  <c r="AC735" i="1"/>
  <c r="AC727" i="1"/>
  <c r="AC719" i="1"/>
  <c r="AC711" i="1"/>
  <c r="AC703" i="1"/>
  <c r="AC695" i="1"/>
  <c r="AC687" i="1"/>
  <c r="AC679" i="1"/>
  <c r="AC671" i="1"/>
  <c r="AC663" i="1"/>
  <c r="AC655" i="1"/>
  <c r="AC647" i="1"/>
  <c r="AC639" i="1"/>
  <c r="AC631" i="1"/>
  <c r="AC623" i="1"/>
  <c r="AC615" i="1"/>
  <c r="AC607" i="1"/>
  <c r="AC599" i="1"/>
  <c r="AC591" i="1"/>
  <c r="AC583" i="1"/>
  <c r="AC575" i="1"/>
  <c r="AC567" i="1"/>
  <c r="AC559" i="1"/>
  <c r="AC551" i="1"/>
  <c r="AC543" i="1"/>
  <c r="AC535" i="1"/>
  <c r="AC527" i="1"/>
  <c r="AC519" i="1"/>
  <c r="AC511" i="1"/>
  <c r="AC503" i="1"/>
  <c r="AC495" i="1"/>
  <c r="AC487" i="1"/>
  <c r="AC479" i="1"/>
  <c r="AC471" i="1"/>
  <c r="AC463" i="1"/>
  <c r="AC455" i="1"/>
  <c r="AC447" i="1"/>
  <c r="AC439" i="1"/>
  <c r="AC431" i="1"/>
  <c r="AC423" i="1"/>
  <c r="AC415" i="1"/>
  <c r="AC407" i="1"/>
  <c r="AC399" i="1"/>
  <c r="AC391" i="1"/>
  <c r="AC383" i="1"/>
  <c r="AC375" i="1"/>
  <c r="AC367" i="1"/>
  <c r="AC359" i="1"/>
  <c r="AC351" i="1"/>
  <c r="AC343" i="1"/>
  <c r="AC335" i="1"/>
  <c r="AC327" i="1"/>
  <c r="AC319" i="1"/>
  <c r="AC311" i="1"/>
  <c r="AC303" i="1"/>
  <c r="AC295" i="1"/>
  <c r="AC287" i="1"/>
  <c r="AC279" i="1"/>
  <c r="AC271" i="1"/>
  <c r="AC263" i="1"/>
  <c r="AC255" i="1"/>
  <c r="AC247" i="1"/>
  <c r="AC239" i="1"/>
  <c r="AC231" i="1"/>
  <c r="AC223" i="1"/>
  <c r="AC215" i="1"/>
  <c r="AC207" i="1"/>
  <c r="AC199" i="1"/>
  <c r="AC191" i="1"/>
  <c r="AC183" i="1"/>
  <c r="AC175" i="1"/>
  <c r="AC167" i="1"/>
  <c r="AC159" i="1"/>
  <c r="AC151" i="1"/>
  <c r="AC143" i="1"/>
  <c r="AC135" i="1"/>
  <c r="AC127" i="1"/>
  <c r="AC119" i="1"/>
  <c r="AC111" i="1"/>
  <c r="AC103" i="1"/>
  <c r="AC95" i="1"/>
  <c r="AC87" i="1"/>
  <c r="AC79" i="1"/>
  <c r="AC71" i="1"/>
  <c r="AC63" i="1"/>
  <c r="AC55" i="1"/>
  <c r="AC47" i="1"/>
  <c r="AC39" i="1"/>
  <c r="AC31" i="1"/>
  <c r="AC23" i="1"/>
  <c r="AC15" i="1"/>
  <c r="AC7" i="1"/>
  <c r="AB498" i="1"/>
  <c r="AB490" i="1"/>
  <c r="AB482" i="1"/>
  <c r="AB474" i="1"/>
  <c r="AB466" i="1"/>
  <c r="AB458" i="1"/>
  <c r="AB450" i="1"/>
  <c r="AB442" i="1"/>
  <c r="AB434" i="1"/>
  <c r="AB426" i="1"/>
  <c r="AB418" i="1"/>
  <c r="AB410" i="1"/>
  <c r="AB402" i="1"/>
  <c r="AB394" i="1"/>
  <c r="AB386" i="1"/>
  <c r="AB378" i="1"/>
  <c r="AB370" i="1"/>
  <c r="AB362" i="1"/>
  <c r="AB354" i="1"/>
  <c r="AB346" i="1"/>
  <c r="AB338" i="1"/>
  <c r="AB330" i="1"/>
  <c r="AB322" i="1"/>
  <c r="AB314" i="1"/>
  <c r="AB306" i="1"/>
  <c r="AB298" i="1"/>
  <c r="AB290" i="1"/>
  <c r="AB282" i="1"/>
  <c r="AB274" i="1"/>
  <c r="AB266" i="1"/>
  <c r="AB258" i="1"/>
  <c r="AB250" i="1"/>
  <c r="AB242" i="1"/>
  <c r="AB234" i="1"/>
  <c r="AB226" i="1"/>
  <c r="AB218" i="1"/>
  <c r="AB210" i="1"/>
  <c r="AB202" i="1"/>
  <c r="AB194" i="1"/>
  <c r="AB186" i="1"/>
  <c r="AB178" i="1"/>
  <c r="AB170" i="1"/>
  <c r="AB162" i="1"/>
  <c r="AB154" i="1"/>
  <c r="AB146" i="1"/>
  <c r="AB138" i="1"/>
  <c r="AB130" i="1"/>
  <c r="AB122" i="1"/>
  <c r="AB114" i="1"/>
  <c r="AB106" i="1"/>
  <c r="AB98" i="1"/>
  <c r="AB90" i="1"/>
  <c r="AB82" i="1"/>
  <c r="AB74" i="1"/>
  <c r="AB66" i="1"/>
  <c r="AB58" i="1"/>
  <c r="AB50" i="1"/>
  <c r="AB42" i="1"/>
  <c r="AB34" i="1"/>
  <c r="AB26" i="1"/>
  <c r="AB18" i="1"/>
  <c r="AB10" i="1"/>
  <c r="AB2" i="1"/>
  <c r="AB495" i="1"/>
  <c r="AB487" i="1"/>
  <c r="AB479" i="1"/>
  <c r="AB471" i="1"/>
  <c r="AB463" i="1"/>
  <c r="AB455" i="1"/>
  <c r="AB447" i="1"/>
  <c r="AB439" i="1"/>
  <c r="AB431" i="1"/>
  <c r="AB423" i="1"/>
  <c r="AB415" i="1"/>
  <c r="AB407" i="1"/>
  <c r="AB399" i="1"/>
  <c r="AB391" i="1"/>
  <c r="AB383" i="1"/>
  <c r="AB542" i="1"/>
  <c r="AB534" i="1"/>
  <c r="AB526" i="1"/>
  <c r="AB518" i="1"/>
  <c r="AB510" i="1"/>
  <c r="AB502" i="1"/>
  <c r="AB494" i="1"/>
  <c r="AB486" i="1"/>
  <c r="AB478" i="1"/>
  <c r="AB470" i="1"/>
  <c r="AB462" i="1"/>
  <c r="AB454" i="1"/>
  <c r="AB446" i="1"/>
  <c r="AB438" i="1"/>
  <c r="AB430" i="1"/>
  <c r="AB422" i="1"/>
  <c r="AB414" i="1"/>
  <c r="AB406" i="1"/>
  <c r="AB398" i="1"/>
  <c r="AB390" i="1"/>
  <c r="AB382" i="1"/>
  <c r="AB374" i="1"/>
  <c r="AB366" i="1"/>
  <c r="AB358" i="1"/>
  <c r="AB350" i="1"/>
  <c r="AB342" i="1"/>
  <c r="AB334" i="1"/>
  <c r="AB326" i="1"/>
  <c r="AB318" i="1"/>
  <c r="AB310" i="1"/>
  <c r="AB302" i="1"/>
  <c r="AB294" i="1"/>
  <c r="AB286" i="1"/>
  <c r="AB278" i="1"/>
  <c r="AB270" i="1"/>
  <c r="AB262" i="1"/>
  <c r="AB254" i="1"/>
  <c r="AB246" i="1"/>
  <c r="AB238" i="1"/>
  <c r="AB230" i="1"/>
  <c r="AB222" i="1"/>
  <c r="AB214" i="1"/>
  <c r="AB206" i="1"/>
  <c r="AB198" i="1"/>
  <c r="AB190" i="1"/>
  <c r="AB182" i="1"/>
  <c r="AB174" i="1"/>
  <c r="AB166" i="1"/>
  <c r="AB158" i="1"/>
  <c r="AB150" i="1"/>
  <c r="AB142" i="1"/>
  <c r="AB134" i="1"/>
  <c r="AB126" i="1"/>
  <c r="AB118" i="1"/>
  <c r="AB110" i="1"/>
  <c r="AB102" i="1"/>
  <c r="AB94" i="1"/>
  <c r="AB86" i="1"/>
  <c r="AB78" i="1"/>
  <c r="AB70" i="1"/>
  <c r="AB499" i="1"/>
  <c r="AB491" i="1"/>
  <c r="AB483" i="1"/>
  <c r="AB475" i="1"/>
  <c r="AB467" i="1"/>
  <c r="AB459" i="1"/>
  <c r="AB451" i="1"/>
  <c r="AB443" i="1"/>
  <c r="AB435" i="1"/>
  <c r="AB427" i="1"/>
  <c r="AB419" i="1"/>
  <c r="AB411" i="1"/>
  <c r="AB403" i="1"/>
  <c r="AB395" i="1"/>
  <c r="AB387" i="1"/>
  <c r="AB379" i="1"/>
  <c r="AB371" i="1"/>
  <c r="AB363" i="1"/>
  <c r="AB355" i="1"/>
  <c r="AB347" i="1"/>
  <c r="AB339" i="1"/>
  <c r="AB331" i="1"/>
  <c r="AB323" i="1"/>
  <c r="AB315" i="1"/>
  <c r="AB307" i="1"/>
  <c r="AB299" i="1"/>
  <c r="AB291" i="1"/>
  <c r="AB283" i="1"/>
  <c r="AB275" i="1"/>
  <c r="AB267" i="1"/>
  <c r="AB259" i="1"/>
  <c r="AB251" i="1"/>
  <c r="AB243" i="1"/>
  <c r="AB235" i="1"/>
  <c r="AB227" i="1"/>
  <c r="AB219" i="1"/>
  <c r="AB211" i="1"/>
  <c r="AB203" i="1"/>
  <c r="AB195" i="1"/>
  <c r="AB187" i="1"/>
  <c r="AB179" i="1"/>
  <c r="AB171" i="1"/>
  <c r="AB163" i="1"/>
  <c r="AB155" i="1"/>
  <c r="AB147" i="1"/>
  <c r="AB139" i="1"/>
  <c r="AB131" i="1"/>
  <c r="AB123" i="1"/>
  <c r="AB115" i="1"/>
  <c r="AB107" i="1"/>
  <c r="AB99" i="1"/>
  <c r="AB91" i="1"/>
  <c r="AB83" i="1"/>
  <c r="AB75" i="1"/>
  <c r="AB67" i="1"/>
  <c r="AB59" i="1"/>
  <c r="AB51" i="1"/>
  <c r="AB43" i="1"/>
  <c r="AB35" i="1"/>
  <c r="AB27" i="1"/>
  <c r="AB19" i="1"/>
  <c r="AB11" i="1"/>
  <c r="AB3" i="1"/>
  <c r="AB375" i="1"/>
  <c r="AB367" i="1"/>
  <c r="AB359" i="1"/>
  <c r="AB351" i="1"/>
  <c r="AB343" i="1"/>
  <c r="AB335" i="1"/>
  <c r="AB327" i="1"/>
  <c r="AB319" i="1"/>
  <c r="AB311" i="1"/>
  <c r="AB303" i="1"/>
  <c r="AB295" i="1"/>
  <c r="AB287" i="1"/>
  <c r="AB279" i="1"/>
  <c r="AB271" i="1"/>
  <c r="AB263" i="1"/>
  <c r="AB255" i="1"/>
  <c r="AB247" i="1"/>
  <c r="AB239" i="1"/>
  <c r="AB231" i="1"/>
  <c r="AB223" i="1"/>
  <c r="AB215" i="1"/>
  <c r="AB207" i="1"/>
  <c r="AB199" i="1"/>
  <c r="AB191" i="1"/>
  <c r="AB183" i="1"/>
  <c r="AB175" i="1"/>
  <c r="AB167" i="1"/>
  <c r="AB159" i="1"/>
  <c r="AB151" i="1"/>
  <c r="AB143" i="1"/>
  <c r="AB135" i="1"/>
  <c r="AB127" i="1"/>
  <c r="AB119" i="1"/>
  <c r="AB111" i="1"/>
  <c r="AB103" i="1"/>
  <c r="AB95" i="1"/>
  <c r="AB87" i="1"/>
  <c r="AB79" i="1"/>
  <c r="AB71" i="1"/>
  <c r="AB63" i="1"/>
  <c r="AB55" i="1"/>
  <c r="AB47" i="1"/>
  <c r="AB39" i="1"/>
  <c r="AB31" i="1"/>
  <c r="AB23" i="1"/>
  <c r="AB15" i="1"/>
  <c r="AB7" i="1"/>
  <c r="AB62" i="1"/>
  <c r="AB54" i="1"/>
  <c r="AB46" i="1"/>
  <c r="AB38" i="1"/>
  <c r="AB30" i="1"/>
  <c r="AB22" i="1"/>
  <c r="AB14" i="1"/>
  <c r="AB6" i="1"/>
  <c r="AB1999" i="1"/>
  <c r="AB1991" i="1"/>
  <c r="AB1983" i="1"/>
  <c r="AB1975" i="1"/>
  <c r="AB1967" i="1"/>
  <c r="AB1959" i="1"/>
  <c r="AB1951" i="1"/>
  <c r="AB1943" i="1"/>
  <c r="AB1935" i="1"/>
  <c r="AB1927" i="1"/>
  <c r="AB1919" i="1"/>
  <c r="AB1911" i="1"/>
  <c r="AB1903" i="1"/>
  <c r="AB1895" i="1"/>
  <c r="AB1887" i="1"/>
  <c r="AB1879" i="1"/>
  <c r="AB1871" i="1"/>
  <c r="AB1863" i="1"/>
  <c r="AB1855" i="1"/>
  <c r="AB1847" i="1"/>
  <c r="AB1839" i="1"/>
  <c r="AB1831" i="1"/>
  <c r="AB1823" i="1"/>
  <c r="AB1815" i="1"/>
  <c r="AB1807" i="1"/>
  <c r="AB1799" i="1"/>
  <c r="AB1791" i="1"/>
  <c r="AB1783" i="1"/>
  <c r="AB1775" i="1"/>
  <c r="AB1767" i="1"/>
  <c r="AB1759" i="1"/>
  <c r="AB1751" i="1"/>
  <c r="AB1743" i="1"/>
  <c r="AB1735" i="1"/>
  <c r="AB1727" i="1"/>
  <c r="AB1719" i="1"/>
  <c r="AB1711" i="1"/>
  <c r="AB1703" i="1"/>
  <c r="AB1695" i="1"/>
  <c r="AB1687" i="1"/>
  <c r="AB1679" i="1"/>
  <c r="AB1671" i="1"/>
  <c r="AB1663" i="1"/>
  <c r="AB1655" i="1"/>
  <c r="AB1647" i="1"/>
  <c r="AB1639" i="1"/>
  <c r="AB1631" i="1"/>
  <c r="AB1623" i="1"/>
  <c r="AB1615" i="1"/>
  <c r="AB1607" i="1"/>
  <c r="AB1599" i="1"/>
  <c r="AB1591" i="1"/>
  <c r="AB1583" i="1"/>
  <c r="AB1575" i="1"/>
  <c r="AB1567" i="1"/>
  <c r="AB1559" i="1"/>
  <c r="AB1551" i="1"/>
  <c r="AB1543" i="1"/>
  <c r="AB1535" i="1"/>
  <c r="AB1527" i="1"/>
  <c r="AB1519" i="1"/>
  <c r="AB1511" i="1"/>
  <c r="AB1503" i="1"/>
  <c r="AB1495" i="1"/>
  <c r="AB1487" i="1"/>
  <c r="AB1479" i="1"/>
  <c r="AB1471" i="1"/>
  <c r="AB1463" i="1"/>
  <c r="AB1455" i="1"/>
  <c r="AB1447" i="1"/>
  <c r="AB1439" i="1"/>
  <c r="AB1431" i="1"/>
  <c r="AB1423" i="1"/>
  <c r="AB1415" i="1"/>
  <c r="AB1407" i="1"/>
  <c r="AB1399" i="1"/>
  <c r="AB1391" i="1"/>
  <c r="AB1383" i="1"/>
  <c r="AB1375" i="1"/>
  <c r="AB1367" i="1"/>
  <c r="AB1359" i="1"/>
  <c r="AB1351" i="1"/>
  <c r="AB1343" i="1"/>
  <c r="AB1335" i="1"/>
  <c r="AB1327" i="1"/>
  <c r="AB1319" i="1"/>
  <c r="AB1311" i="1"/>
  <c r="AB1303" i="1"/>
  <c r="AB1295" i="1"/>
  <c r="AB1287" i="1"/>
  <c r="AB1279" i="1"/>
  <c r="AB1271" i="1"/>
  <c r="AB1263" i="1"/>
  <c r="AB1255" i="1"/>
  <c r="AB1247" i="1"/>
  <c r="AB1239" i="1"/>
  <c r="AB1231" i="1"/>
  <c r="AB1223" i="1"/>
  <c r="AB1215" i="1"/>
  <c r="AB1207" i="1"/>
  <c r="AB1199" i="1"/>
  <c r="AB1191" i="1"/>
  <c r="AB1183" i="1"/>
  <c r="AB1175" i="1"/>
  <c r="AB1167" i="1"/>
  <c r="AB1159" i="1"/>
  <c r="AB1151" i="1"/>
  <c r="AB1143" i="1"/>
  <c r="AB1135" i="1"/>
  <c r="AB1127" i="1"/>
  <c r="AB1119" i="1"/>
  <c r="AB1111" i="1"/>
  <c r="AB1103" i="1"/>
  <c r="AB1095" i="1"/>
  <c r="AB1087" i="1"/>
  <c r="AB1079" i="1"/>
  <c r="AB1071" i="1"/>
  <c r="AB1063" i="1"/>
  <c r="AB1055" i="1"/>
  <c r="AB1047" i="1"/>
  <c r="AB1039" i="1"/>
  <c r="AB1031" i="1"/>
  <c r="AB1023" i="1"/>
  <c r="AB1015" i="1"/>
  <c r="AB1007" i="1"/>
  <c r="AB999" i="1"/>
  <c r="AB991" i="1"/>
  <c r="AB983" i="1"/>
  <c r="AB975" i="1"/>
  <c r="AB967" i="1"/>
  <c r="AB959" i="1"/>
  <c r="AB951" i="1"/>
  <c r="AB943" i="1"/>
  <c r="AB935" i="1"/>
  <c r="AB927" i="1"/>
  <c r="AB919" i="1"/>
  <c r="AB911" i="1"/>
  <c r="AB903" i="1"/>
  <c r="AB895" i="1"/>
  <c r="AB887" i="1"/>
  <c r="AB879" i="1"/>
  <c r="AB871" i="1"/>
  <c r="AB863" i="1"/>
  <c r="AB855" i="1"/>
  <c r="AB847" i="1"/>
  <c r="AB839" i="1"/>
  <c r="AB831" i="1"/>
  <c r="AB823" i="1"/>
  <c r="AB815" i="1"/>
  <c r="AB807" i="1"/>
  <c r="AB799" i="1"/>
  <c r="AB791" i="1"/>
  <c r="AB783" i="1"/>
  <c r="AB775" i="1"/>
  <c r="AB767" i="1"/>
  <c r="AB759" i="1"/>
  <c r="AB751" i="1"/>
  <c r="AB743" i="1"/>
  <c r="AB735" i="1"/>
  <c r="AB727" i="1"/>
  <c r="AB719" i="1"/>
  <c r="AB711" i="1"/>
  <c r="AB703" i="1"/>
  <c r="AB695" i="1"/>
  <c r="AB687" i="1"/>
  <c r="AB679" i="1"/>
  <c r="AB671" i="1"/>
  <c r="AB663" i="1"/>
  <c r="AB655" i="1"/>
  <c r="AB647" i="1"/>
  <c r="AB639" i="1"/>
  <c r="AB631" i="1"/>
  <c r="AB623" i="1"/>
  <c r="AB1998" i="1"/>
  <c r="AB1990" i="1"/>
  <c r="AB1982" i="1"/>
  <c r="AB1974" i="1"/>
  <c r="AB1966" i="1"/>
  <c r="AB1958" i="1"/>
  <c r="AB1950" i="1"/>
  <c r="AB1942" i="1"/>
  <c r="AB1934" i="1"/>
  <c r="AB1926" i="1"/>
  <c r="AB1918" i="1"/>
  <c r="AB1910" i="1"/>
  <c r="AB1902" i="1"/>
  <c r="AB1894" i="1"/>
  <c r="AB1886" i="1"/>
  <c r="AB1878" i="1"/>
  <c r="AB1870" i="1"/>
  <c r="AB1862" i="1"/>
  <c r="AB1854" i="1"/>
  <c r="AB1846" i="1"/>
  <c r="AB1838" i="1"/>
  <c r="AB1830" i="1"/>
  <c r="AB1822" i="1"/>
  <c r="AB1814" i="1"/>
  <c r="AB1806" i="1"/>
  <c r="AB1798" i="1"/>
  <c r="AB1790" i="1"/>
  <c r="AB1782" i="1"/>
  <c r="AB1774" i="1"/>
  <c r="AB1766" i="1"/>
  <c r="AB1758" i="1"/>
  <c r="AB1750" i="1"/>
  <c r="AB1742" i="1"/>
  <c r="AB1734" i="1"/>
  <c r="AB1726" i="1"/>
  <c r="AB1718" i="1"/>
  <c r="AB1710" i="1"/>
  <c r="AB1702" i="1"/>
  <c r="AB1694" i="1"/>
  <c r="AB1686" i="1"/>
  <c r="AB1678" i="1"/>
  <c r="AB1670" i="1"/>
  <c r="AB1662" i="1"/>
  <c r="AB1654" i="1"/>
  <c r="AB1646" i="1"/>
  <c r="AB1638" i="1"/>
  <c r="AB1630" i="1"/>
  <c r="AB1622" i="1"/>
  <c r="AB1614" i="1"/>
  <c r="AB1606" i="1"/>
  <c r="AB1598" i="1"/>
  <c r="AB1590" i="1"/>
  <c r="AB1582" i="1"/>
  <c r="AB1574" i="1"/>
  <c r="AB1566" i="1"/>
  <c r="AB1558" i="1"/>
  <c r="AB1550" i="1"/>
  <c r="AB1542" i="1"/>
  <c r="AB1534" i="1"/>
  <c r="AB1526" i="1"/>
  <c r="AB1518" i="1"/>
  <c r="AB1510" i="1"/>
  <c r="AB1502" i="1"/>
  <c r="AB1494" i="1"/>
  <c r="AB1486" i="1"/>
  <c r="AB1478" i="1"/>
  <c r="AB1470" i="1"/>
  <c r="AB1462" i="1"/>
  <c r="AB1454" i="1"/>
  <c r="AB1446" i="1"/>
  <c r="AB1438" i="1"/>
  <c r="AB1430" i="1"/>
  <c r="AB1422" i="1"/>
  <c r="AB1414" i="1"/>
  <c r="AB1406" i="1"/>
  <c r="AB1398" i="1"/>
  <c r="AB1390" i="1"/>
  <c r="AB1382" i="1"/>
  <c r="AB1374" i="1"/>
  <c r="AB1366" i="1"/>
  <c r="AB1358" i="1"/>
  <c r="AB1350" i="1"/>
  <c r="AB1342" i="1"/>
  <c r="AB1334" i="1"/>
  <c r="AB1326" i="1"/>
  <c r="AB1318" i="1"/>
  <c r="AB1310" i="1"/>
  <c r="AB1302" i="1"/>
  <c r="AB1294" i="1"/>
  <c r="AB1286" i="1"/>
  <c r="AB1278" i="1"/>
  <c r="AB1270" i="1"/>
  <c r="AB1262" i="1"/>
  <c r="AB1254" i="1"/>
  <c r="AB1246" i="1"/>
  <c r="AB1238" i="1"/>
  <c r="AB1230" i="1"/>
  <c r="AB1222" i="1"/>
  <c r="AB1214" i="1"/>
  <c r="AB1206" i="1"/>
  <c r="AB1198" i="1"/>
  <c r="AB1190" i="1"/>
  <c r="AB1182" i="1"/>
  <c r="AB1174" i="1"/>
  <c r="AB1166" i="1"/>
  <c r="AB1158" i="1"/>
  <c r="AB1150" i="1"/>
  <c r="AB1142" i="1"/>
  <c r="AB1134" i="1"/>
  <c r="AB1126" i="1"/>
  <c r="AB1118" i="1"/>
  <c r="AB1110" i="1"/>
  <c r="AB1102" i="1"/>
  <c r="AB1094" i="1"/>
  <c r="AB1086" i="1"/>
  <c r="AB1078" i="1"/>
  <c r="AB1070" i="1"/>
  <c r="AB1062" i="1"/>
  <c r="AB1054" i="1"/>
  <c r="AB1046" i="1"/>
  <c r="AB1038" i="1"/>
  <c r="AB1030" i="1"/>
  <c r="AB1022" i="1"/>
  <c r="AB1014" i="1"/>
  <c r="AB1006" i="1"/>
  <c r="AB998" i="1"/>
  <c r="AB990" i="1"/>
  <c r="AB982" i="1"/>
  <c r="AB974" i="1"/>
  <c r="AB966" i="1"/>
  <c r="AB958" i="1"/>
  <c r="AB950" i="1"/>
  <c r="AB942" i="1"/>
  <c r="AB934" i="1"/>
  <c r="AB926" i="1"/>
  <c r="AB918" i="1"/>
  <c r="AB910" i="1"/>
  <c r="AB902" i="1"/>
  <c r="AB894" i="1"/>
  <c r="AB886" i="1"/>
  <c r="AB878" i="1"/>
  <c r="AB870" i="1"/>
  <c r="AB862" i="1"/>
  <c r="AB854" i="1"/>
  <c r="AB846" i="1"/>
  <c r="AB838" i="1"/>
  <c r="AB830" i="1"/>
  <c r="AB822" i="1"/>
  <c r="AB814" i="1"/>
  <c r="AB806" i="1"/>
  <c r="AB798" i="1"/>
  <c r="AB790" i="1"/>
  <c r="AB782" i="1"/>
  <c r="AB774" i="1"/>
  <c r="AB766" i="1"/>
  <c r="AB758" i="1"/>
  <c r="AB750" i="1"/>
  <c r="AB742" i="1"/>
  <c r="AB734" i="1"/>
  <c r="AB726" i="1"/>
  <c r="AB718" i="1"/>
  <c r="AB710" i="1"/>
  <c r="AB702" i="1"/>
  <c r="AB694" i="1"/>
  <c r="AB686" i="1"/>
  <c r="AB678" i="1"/>
  <c r="AB670" i="1"/>
  <c r="AB662" i="1"/>
  <c r="AB654" i="1"/>
  <c r="AB646" i="1"/>
  <c r="AB638" i="1"/>
  <c r="AB630" i="1"/>
  <c r="AB622" i="1"/>
  <c r="AB614" i="1"/>
  <c r="AB606" i="1"/>
  <c r="AB598" i="1"/>
  <c r="AB590" i="1"/>
  <c r="AB582" i="1"/>
  <c r="AB574" i="1"/>
  <c r="AB566" i="1"/>
  <c r="AB558" i="1"/>
  <c r="AB550" i="1"/>
  <c r="AB1997" i="1"/>
  <c r="AB1989" i="1"/>
  <c r="AB1981" i="1"/>
  <c r="AB1973" i="1"/>
  <c r="AB1965" i="1"/>
  <c r="AB1957" i="1"/>
  <c r="AB1949" i="1"/>
  <c r="AB1941" i="1"/>
  <c r="AB1933" i="1"/>
  <c r="AB1925" i="1"/>
  <c r="AB1917" i="1"/>
  <c r="AB1909" i="1"/>
  <c r="AB1901" i="1"/>
  <c r="AB1893" i="1"/>
  <c r="AB1885" i="1"/>
  <c r="AB1877" i="1"/>
  <c r="AB1869" i="1"/>
  <c r="AB1861" i="1"/>
  <c r="AB1853" i="1"/>
  <c r="AB1845" i="1"/>
  <c r="AB1837" i="1"/>
  <c r="AB1829" i="1"/>
  <c r="AB1821" i="1"/>
  <c r="AB1813" i="1"/>
  <c r="AB1805" i="1"/>
  <c r="AB1797" i="1"/>
  <c r="AB1789" i="1"/>
  <c r="AB1781" i="1"/>
  <c r="AB1773" i="1"/>
  <c r="AB1765" i="1"/>
  <c r="AB1757" i="1"/>
  <c r="AB1749" i="1"/>
  <c r="AB1741" i="1"/>
  <c r="AB1733" i="1"/>
  <c r="AB1725" i="1"/>
  <c r="AB1717" i="1"/>
  <c r="AB1709" i="1"/>
  <c r="AB1701" i="1"/>
  <c r="AB1693" i="1"/>
  <c r="AB1685" i="1"/>
  <c r="AB1677" i="1"/>
  <c r="AB1669" i="1"/>
  <c r="AB1661" i="1"/>
  <c r="AB1653" i="1"/>
  <c r="AB1645" i="1"/>
  <c r="AB1637" i="1"/>
  <c r="AB1629" i="1"/>
  <c r="AB1621" i="1"/>
  <c r="AB1613" i="1"/>
  <c r="AB1605" i="1"/>
  <c r="AB1597" i="1"/>
  <c r="AB1589" i="1"/>
  <c r="AB1581" i="1"/>
  <c r="AB1573" i="1"/>
  <c r="AB1565" i="1"/>
  <c r="AB1557" i="1"/>
  <c r="AB1549" i="1"/>
  <c r="AB1541" i="1"/>
  <c r="AB1533" i="1"/>
  <c r="AB1525" i="1"/>
  <c r="AB1517" i="1"/>
  <c r="AB1509" i="1"/>
  <c r="AB1501" i="1"/>
  <c r="AB1493" i="1"/>
  <c r="AB1485" i="1"/>
  <c r="AB1477" i="1"/>
  <c r="AB1469" i="1"/>
  <c r="AB1461" i="1"/>
  <c r="AB1453" i="1"/>
  <c r="AB1445" i="1"/>
  <c r="AB1437" i="1"/>
  <c r="AB1429" i="1"/>
  <c r="AB1421" i="1"/>
  <c r="AB1413" i="1"/>
  <c r="AB1405" i="1"/>
  <c r="AB1397" i="1"/>
  <c r="AB1389" i="1"/>
  <c r="AB1381" i="1"/>
  <c r="AB1373" i="1"/>
  <c r="AB1365" i="1"/>
  <c r="AB1357" i="1"/>
  <c r="AB1349" i="1"/>
  <c r="AB1341" i="1"/>
  <c r="AB1333" i="1"/>
  <c r="AB1325" i="1"/>
  <c r="AB1317" i="1"/>
  <c r="AB1309" i="1"/>
  <c r="AB1301" i="1"/>
  <c r="AB1293" i="1"/>
  <c r="AB1285" i="1"/>
  <c r="AB1277" i="1"/>
  <c r="AB1269" i="1"/>
  <c r="AB1261" i="1"/>
  <c r="AB1253" i="1"/>
  <c r="AB1245" i="1"/>
  <c r="AB1237" i="1"/>
  <c r="AB1229" i="1"/>
  <c r="AB1221" i="1"/>
  <c r="AB1213" i="1"/>
  <c r="AB1205" i="1"/>
  <c r="AB1197" i="1"/>
  <c r="AB1189" i="1"/>
  <c r="AB1181" i="1"/>
  <c r="AB1173" i="1"/>
  <c r="AB1165" i="1"/>
  <c r="AB1157" i="1"/>
  <c r="AB1149" i="1"/>
  <c r="AB1141" i="1"/>
  <c r="AB1133" i="1"/>
  <c r="AB1125" i="1"/>
  <c r="AB1117" i="1"/>
  <c r="AB1109" i="1"/>
  <c r="AB1101" i="1"/>
  <c r="AB1093" i="1"/>
  <c r="AB1085" i="1"/>
  <c r="AB1077" i="1"/>
  <c r="AB1069" i="1"/>
  <c r="AB1061" i="1"/>
  <c r="AB1053" i="1"/>
  <c r="AB1045" i="1"/>
  <c r="AB1037" i="1"/>
  <c r="AB1029" i="1"/>
  <c r="AB1021" i="1"/>
  <c r="AB1013" i="1"/>
  <c r="AB1005" i="1"/>
  <c r="AB997" i="1"/>
  <c r="AB989" i="1"/>
  <c r="AB981" i="1"/>
  <c r="AB973" i="1"/>
  <c r="AB965" i="1"/>
  <c r="AB957" i="1"/>
  <c r="AB949" i="1"/>
  <c r="AB941" i="1"/>
  <c r="AB933" i="1"/>
  <c r="AB925" i="1"/>
  <c r="AB917" i="1"/>
  <c r="AB909" i="1"/>
  <c r="AB901" i="1"/>
  <c r="AB893" i="1"/>
  <c r="AB885" i="1"/>
  <c r="AB877" i="1"/>
  <c r="AB869" i="1"/>
  <c r="AB861" i="1"/>
  <c r="AB853" i="1"/>
  <c r="AB845" i="1"/>
  <c r="AB837" i="1"/>
  <c r="AB829" i="1"/>
  <c r="AB821" i="1"/>
  <c r="AB813" i="1"/>
  <c r="AB805" i="1"/>
  <c r="AB797" i="1"/>
  <c r="AB789" i="1"/>
  <c r="AB781" i="1"/>
  <c r="AB773" i="1"/>
  <c r="AB765" i="1"/>
  <c r="AB757" i="1"/>
  <c r="AB749" i="1"/>
  <c r="AB741" i="1"/>
  <c r="AB733" i="1"/>
  <c r="AB725" i="1"/>
  <c r="AB717" i="1"/>
  <c r="AB709" i="1"/>
  <c r="AB701" i="1"/>
  <c r="AB693" i="1"/>
  <c r="AB685" i="1"/>
  <c r="AB677" i="1"/>
  <c r="AB669" i="1"/>
  <c r="AB661" i="1"/>
  <c r="AB653" i="1"/>
  <c r="AB645" i="1"/>
  <c r="AB637" i="1"/>
  <c r="AB629" i="1"/>
  <c r="AB621" i="1"/>
  <c r="AB613" i="1"/>
  <c r="AB605" i="1"/>
  <c r="AB597" i="1"/>
  <c r="AB589" i="1"/>
  <c r="AB581" i="1"/>
  <c r="AB573" i="1"/>
  <c r="AB565" i="1"/>
  <c r="AB557" i="1"/>
  <c r="AB549" i="1"/>
  <c r="AB541" i="1"/>
  <c r="AB533" i="1"/>
  <c r="AB525" i="1"/>
  <c r="AB517" i="1"/>
  <c r="AB509" i="1"/>
  <c r="AB501" i="1"/>
  <c r="AB493" i="1"/>
  <c r="AB485" i="1"/>
  <c r="AB477" i="1"/>
  <c r="AB469" i="1"/>
  <c r="AB461" i="1"/>
  <c r="AB453" i="1"/>
  <c r="AB445" i="1"/>
  <c r="AB437" i="1"/>
  <c r="AB429" i="1"/>
  <c r="AB421" i="1"/>
  <c r="AB413" i="1"/>
  <c r="AB405" i="1"/>
  <c r="AB397" i="1"/>
  <c r="AB389" i="1"/>
  <c r="AB381" i="1"/>
  <c r="AB373" i="1"/>
  <c r="AB365" i="1"/>
  <c r="AB357" i="1"/>
  <c r="AB349" i="1"/>
  <c r="AB341" i="1"/>
  <c r="AB333" i="1"/>
  <c r="AB325" i="1"/>
  <c r="AB317" i="1"/>
  <c r="AB309" i="1"/>
  <c r="AB301" i="1"/>
  <c r="AB293" i="1"/>
  <c r="AB285" i="1"/>
  <c r="AB277" i="1"/>
  <c r="AB269" i="1"/>
  <c r="AB261" i="1"/>
  <c r="AB253" i="1"/>
  <c r="AB245" i="1"/>
  <c r="AB237" i="1"/>
  <c r="AB229" i="1"/>
  <c r="AB221" i="1"/>
  <c r="AB213" i="1"/>
  <c r="AB205" i="1"/>
  <c r="AB197" i="1"/>
  <c r="AB189" i="1"/>
  <c r="AB181" i="1"/>
  <c r="AB173" i="1"/>
  <c r="AB165" i="1"/>
  <c r="AB157" i="1"/>
  <c r="AB149" i="1"/>
  <c r="AB141" i="1"/>
  <c r="AB133" i="1"/>
  <c r="AB125" i="1"/>
  <c r="AB117" i="1"/>
  <c r="AB109" i="1"/>
  <c r="AB101" i="1"/>
  <c r="AB93" i="1"/>
  <c r="AB85" i="1"/>
  <c r="AB77" i="1"/>
  <c r="AB69" i="1"/>
  <c r="AB61" i="1"/>
  <c r="AB53" i="1"/>
  <c r="AB45" i="1"/>
  <c r="AB37" i="1"/>
  <c r="AB29" i="1"/>
  <c r="AB21" i="1"/>
  <c r="AB13" i="1"/>
  <c r="AB5" i="1"/>
  <c r="AB1996" i="1"/>
  <c r="AB1988" i="1"/>
  <c r="AB1980" i="1"/>
  <c r="AB1972" i="1"/>
  <c r="AB1964" i="1"/>
  <c r="AB1956" i="1"/>
  <c r="AB1948" i="1"/>
  <c r="AB1940" i="1"/>
  <c r="AB1932" i="1"/>
  <c r="AB1924" i="1"/>
  <c r="AB1916" i="1"/>
  <c r="AB1908" i="1"/>
  <c r="AB1900" i="1"/>
  <c r="AB1892" i="1"/>
  <c r="AB1884" i="1"/>
  <c r="AB1876" i="1"/>
  <c r="AB1868" i="1"/>
  <c r="AB1860" i="1"/>
  <c r="AB1852" i="1"/>
  <c r="AB1844" i="1"/>
  <c r="AB1836" i="1"/>
  <c r="AB1828" i="1"/>
  <c r="AB1820" i="1"/>
  <c r="AB1812" i="1"/>
  <c r="AB1804" i="1"/>
  <c r="AB1796" i="1"/>
  <c r="AB1788" i="1"/>
  <c r="AB1780" i="1"/>
  <c r="AB1772" i="1"/>
  <c r="AB1764" i="1"/>
  <c r="AB1756" i="1"/>
  <c r="AB1748" i="1"/>
  <c r="AB1740" i="1"/>
  <c r="AB1732" i="1"/>
  <c r="AB1724" i="1"/>
  <c r="AB1716" i="1"/>
  <c r="AB1708" i="1"/>
  <c r="AB1700" i="1"/>
  <c r="AB1692" i="1"/>
  <c r="AB1684" i="1"/>
  <c r="AB1676" i="1"/>
  <c r="AB1668" i="1"/>
  <c r="AB1660" i="1"/>
  <c r="AB1652" i="1"/>
  <c r="AB1644" i="1"/>
  <c r="AB1636" i="1"/>
  <c r="AB1628" i="1"/>
  <c r="AB1620" i="1"/>
  <c r="AB1612" i="1"/>
  <c r="AB1604" i="1"/>
  <c r="AB1596" i="1"/>
  <c r="AB1588" i="1"/>
  <c r="AB1580" i="1"/>
  <c r="AB1572" i="1"/>
  <c r="AB1564" i="1"/>
  <c r="AB1556" i="1"/>
  <c r="AB1548" i="1"/>
  <c r="AB1540" i="1"/>
  <c r="AB1532" i="1"/>
  <c r="AB1524" i="1"/>
  <c r="AB1516" i="1"/>
  <c r="AB1508" i="1"/>
  <c r="AB1500" i="1"/>
  <c r="AB1492" i="1"/>
  <c r="AB1484" i="1"/>
  <c r="AB1476" i="1"/>
  <c r="AB1468" i="1"/>
  <c r="AB1460" i="1"/>
  <c r="AB1452" i="1"/>
  <c r="AB1444" i="1"/>
  <c r="AB1436" i="1"/>
  <c r="AB1428" i="1"/>
  <c r="AB1420" i="1"/>
  <c r="AB1412" i="1"/>
  <c r="AB1404" i="1"/>
  <c r="AB1396" i="1"/>
  <c r="AB1388" i="1"/>
  <c r="AB1380" i="1"/>
  <c r="AB1372" i="1"/>
  <c r="AB1364" i="1"/>
  <c r="AB1356" i="1"/>
  <c r="AB1348" i="1"/>
  <c r="AB1340" i="1"/>
  <c r="AB1332" i="1"/>
  <c r="AB1324" i="1"/>
  <c r="AB1316" i="1"/>
  <c r="AB1308" i="1"/>
  <c r="AB1300" i="1"/>
  <c r="AB1292" i="1"/>
  <c r="AB1284" i="1"/>
  <c r="AB1276" i="1"/>
  <c r="AB1268" i="1"/>
  <c r="AB1260" i="1"/>
  <c r="AB1252" i="1"/>
  <c r="AB1244" i="1"/>
  <c r="AB1236" i="1"/>
  <c r="AB1228" i="1"/>
  <c r="AB1220" i="1"/>
  <c r="AB1212" i="1"/>
  <c r="AB1204" i="1"/>
  <c r="AB1196" i="1"/>
  <c r="AB1188" i="1"/>
  <c r="AB1180" i="1"/>
  <c r="AB1172" i="1"/>
  <c r="AB1164" i="1"/>
  <c r="AB1156" i="1"/>
  <c r="AB1148" i="1"/>
  <c r="AB1140" i="1"/>
  <c r="AB1132" i="1"/>
  <c r="AB1124" i="1"/>
  <c r="AB1116" i="1"/>
  <c r="AB1108" i="1"/>
  <c r="AB1100" i="1"/>
  <c r="AB1092" i="1"/>
  <c r="AB1084" i="1"/>
  <c r="AB1076" i="1"/>
  <c r="AB1068" i="1"/>
  <c r="AB1060" i="1"/>
  <c r="AB1052" i="1"/>
  <c r="AB1044" i="1"/>
  <c r="AB1036" i="1"/>
  <c r="AB1028" i="1"/>
  <c r="AB1020" i="1"/>
  <c r="AB1012" i="1"/>
  <c r="AB1004" i="1"/>
  <c r="AB996" i="1"/>
  <c r="AB988" i="1"/>
  <c r="AB980" i="1"/>
  <c r="AB972" i="1"/>
  <c r="AB964" i="1"/>
  <c r="AB956" i="1"/>
  <c r="AB948" i="1"/>
  <c r="AB940" i="1"/>
  <c r="AB932" i="1"/>
  <c r="AB924" i="1"/>
  <c r="AB916" i="1"/>
  <c r="AB908" i="1"/>
  <c r="AB900" i="1"/>
  <c r="AB892" i="1"/>
  <c r="AB884" i="1"/>
  <c r="AB876" i="1"/>
  <c r="AB868" i="1"/>
  <c r="AB860" i="1"/>
  <c r="AB852" i="1"/>
  <c r="AB844" i="1"/>
  <c r="AB836" i="1"/>
  <c r="AB828" i="1"/>
  <c r="AB820" i="1"/>
  <c r="AB812" i="1"/>
  <c r="AB804" i="1"/>
  <c r="AB796" i="1"/>
  <c r="AB788" i="1"/>
  <c r="AB780" i="1"/>
  <c r="AB772" i="1"/>
  <c r="AB764" i="1"/>
  <c r="AB756" i="1"/>
  <c r="AB748" i="1"/>
  <c r="AB740" i="1"/>
  <c r="AB732" i="1"/>
  <c r="AB724" i="1"/>
  <c r="AB716" i="1"/>
  <c r="AB708" i="1"/>
  <c r="AB700" i="1"/>
  <c r="AB692" i="1"/>
  <c r="AB684" i="1"/>
  <c r="AB676" i="1"/>
  <c r="AB668" i="1"/>
  <c r="AB660" i="1"/>
  <c r="AB652" i="1"/>
  <c r="AB644" i="1"/>
  <c r="AB636" i="1"/>
  <c r="AB628" i="1"/>
  <c r="AB620" i="1"/>
  <c r="AB612" i="1"/>
  <c r="AB604" i="1"/>
  <c r="AB596" i="1"/>
  <c r="AB588" i="1"/>
  <c r="AB580" i="1"/>
  <c r="AB572" i="1"/>
  <c r="AB564" i="1"/>
  <c r="AB556" i="1"/>
  <c r="AB548" i="1"/>
  <c r="AB540" i="1"/>
  <c r="AB532" i="1"/>
  <c r="AB524" i="1"/>
  <c r="AB516" i="1"/>
  <c r="AB508" i="1"/>
  <c r="AB500" i="1"/>
  <c r="AB492" i="1"/>
  <c r="AB484" i="1"/>
  <c r="AB476" i="1"/>
  <c r="AB468" i="1"/>
  <c r="AB460" i="1"/>
  <c r="AB452" i="1"/>
  <c r="AB444" i="1"/>
  <c r="AB436" i="1"/>
  <c r="AB428" i="1"/>
  <c r="AB420" i="1"/>
  <c r="AB412" i="1"/>
  <c r="AB404" i="1"/>
  <c r="AB396" i="1"/>
  <c r="AB388" i="1"/>
  <c r="AB380" i="1"/>
  <c r="AB372" i="1"/>
  <c r="AB364" i="1"/>
  <c r="AB356" i="1"/>
  <c r="AB348" i="1"/>
  <c r="AB340" i="1"/>
  <c r="AB332" i="1"/>
  <c r="AB324" i="1"/>
  <c r="AB316" i="1"/>
  <c r="AB308" i="1"/>
  <c r="AB300" i="1"/>
  <c r="AB292" i="1"/>
  <c r="AB284" i="1"/>
  <c r="AB276" i="1"/>
  <c r="AB268" i="1"/>
  <c r="AB260" i="1"/>
  <c r="AB252" i="1"/>
  <c r="AB244" i="1"/>
  <c r="AB236" i="1"/>
  <c r="AB228" i="1"/>
  <c r="AB220" i="1"/>
  <c r="AB212" i="1"/>
  <c r="AB204" i="1"/>
  <c r="AB196" i="1"/>
  <c r="AB188" i="1"/>
  <c r="AB180" i="1"/>
  <c r="AB172" i="1"/>
  <c r="AB164" i="1"/>
  <c r="AB156" i="1"/>
  <c r="AB148" i="1"/>
  <c r="AB140" i="1"/>
  <c r="AB132" i="1"/>
  <c r="AB124" i="1"/>
  <c r="AB116" i="1"/>
  <c r="AB108" i="1"/>
  <c r="AB100" i="1"/>
  <c r="AB92" i="1"/>
  <c r="AB84" i="1"/>
  <c r="AB76" i="1"/>
  <c r="AB68" i="1"/>
  <c r="AB60" i="1"/>
  <c r="AB52" i="1"/>
  <c r="AB44" i="1"/>
  <c r="AB36" i="1"/>
  <c r="AB28" i="1"/>
  <c r="AB20" i="1"/>
  <c r="AB12" i="1"/>
  <c r="AB4" i="1"/>
  <c r="AB1995" i="1"/>
  <c r="AB1987" i="1"/>
  <c r="AB1979" i="1"/>
  <c r="AB1971" i="1"/>
  <c r="AB1963" i="1"/>
  <c r="AB1955" i="1"/>
  <c r="AB1947" i="1"/>
  <c r="AB1939" i="1"/>
  <c r="AB1931" i="1"/>
  <c r="AB1923" i="1"/>
  <c r="AB1915" i="1"/>
  <c r="AB1907" i="1"/>
  <c r="AB1899" i="1"/>
  <c r="AB1891" i="1"/>
  <c r="AB1883" i="1"/>
  <c r="AB1875" i="1"/>
  <c r="AB1867" i="1"/>
  <c r="AB1859" i="1"/>
  <c r="AB1851" i="1"/>
  <c r="AB1843" i="1"/>
  <c r="AB1835" i="1"/>
  <c r="AB1827" i="1"/>
  <c r="AB1819" i="1"/>
  <c r="AB1811" i="1"/>
  <c r="AB1803" i="1"/>
  <c r="AB1795" i="1"/>
  <c r="AB1787" i="1"/>
  <c r="AB1779" i="1"/>
  <c r="AB1771" i="1"/>
  <c r="AB1763" i="1"/>
  <c r="AB1755" i="1"/>
  <c r="AB1747" i="1"/>
  <c r="AB1739" i="1"/>
  <c r="AB1731" i="1"/>
  <c r="AB1723" i="1"/>
  <c r="AB1715" i="1"/>
  <c r="AB1707" i="1"/>
  <c r="AB1699" i="1"/>
  <c r="AB1691" i="1"/>
  <c r="AB1683" i="1"/>
  <c r="AB1675" i="1"/>
  <c r="AB1667" i="1"/>
  <c r="AB1659" i="1"/>
  <c r="AB1651" i="1"/>
  <c r="AB1643" i="1"/>
  <c r="AB1635" i="1"/>
  <c r="AB1627" i="1"/>
  <c r="AB1619" i="1"/>
  <c r="AB1611" i="1"/>
  <c r="AB1603" i="1"/>
  <c r="AB1595" i="1"/>
  <c r="AB1587" i="1"/>
  <c r="AB1579" i="1"/>
  <c r="AB1571" i="1"/>
  <c r="AB1563" i="1"/>
  <c r="AB1555" i="1"/>
  <c r="AB1547" i="1"/>
  <c r="AB1539" i="1"/>
  <c r="AB1531" i="1"/>
  <c r="AB1523" i="1"/>
  <c r="AB1515" i="1"/>
  <c r="AB1507" i="1"/>
  <c r="AB1499" i="1"/>
  <c r="AB1491" i="1"/>
  <c r="AB1483" i="1"/>
  <c r="AB1475" i="1"/>
  <c r="AB1467" i="1"/>
  <c r="AB1459" i="1"/>
  <c r="AB1451" i="1"/>
  <c r="AB1443" i="1"/>
  <c r="AB1435" i="1"/>
  <c r="AB1427" i="1"/>
  <c r="AB1419" i="1"/>
  <c r="AB1411" i="1"/>
  <c r="AB1403" i="1"/>
  <c r="AB1395" i="1"/>
  <c r="AB1387" i="1"/>
  <c r="AB1379" i="1"/>
  <c r="AB1371" i="1"/>
  <c r="AB1363" i="1"/>
  <c r="AB1355" i="1"/>
  <c r="AB1347" i="1"/>
  <c r="AB1339" i="1"/>
  <c r="AB1331" i="1"/>
  <c r="AB1323" i="1"/>
  <c r="AB1315" i="1"/>
  <c r="AB1307" i="1"/>
  <c r="AB1299" i="1"/>
  <c r="AB1291" i="1"/>
  <c r="AB1283" i="1"/>
  <c r="AB1275" i="1"/>
  <c r="AB1267" i="1"/>
  <c r="AB1259" i="1"/>
  <c r="AB1251" i="1"/>
  <c r="AB1243" i="1"/>
  <c r="AB1235" i="1"/>
  <c r="AB1227" i="1"/>
  <c r="AB1219" i="1"/>
  <c r="AB1211" i="1"/>
  <c r="AB1203" i="1"/>
  <c r="AB1195" i="1"/>
  <c r="AB1187" i="1"/>
  <c r="AB1179" i="1"/>
  <c r="AB1171" i="1"/>
  <c r="AB1163" i="1"/>
  <c r="AB1155" i="1"/>
  <c r="AB1147" i="1"/>
  <c r="AB1139" i="1"/>
  <c r="AB1131" i="1"/>
  <c r="AB1123" i="1"/>
  <c r="AB1115" i="1"/>
  <c r="AB1107" i="1"/>
  <c r="AB1099" i="1"/>
  <c r="AB1091" i="1"/>
  <c r="AB1083" i="1"/>
  <c r="AB1075" i="1"/>
  <c r="AB1067" i="1"/>
  <c r="AB1059" i="1"/>
  <c r="AB1051" i="1"/>
  <c r="AB1043" i="1"/>
  <c r="AB1035" i="1"/>
  <c r="AB1027" i="1"/>
  <c r="AB1019" i="1"/>
  <c r="AB1011" i="1"/>
  <c r="AB1003" i="1"/>
  <c r="AB995" i="1"/>
  <c r="AB987" i="1"/>
  <c r="AB979" i="1"/>
  <c r="AB971" i="1"/>
  <c r="AB963" i="1"/>
  <c r="AB955" i="1"/>
  <c r="AB947" i="1"/>
  <c r="AB939" i="1"/>
  <c r="AB931" i="1"/>
  <c r="AB923" i="1"/>
  <c r="AB915" i="1"/>
  <c r="AB907" i="1"/>
  <c r="AB899" i="1"/>
  <c r="AB891" i="1"/>
  <c r="AB883" i="1"/>
  <c r="AB875" i="1"/>
  <c r="AB867" i="1"/>
  <c r="AB859" i="1"/>
  <c r="AB851" i="1"/>
  <c r="AB843" i="1"/>
  <c r="AB835" i="1"/>
  <c r="AB827" i="1"/>
  <c r="AB819" i="1"/>
  <c r="AB811" i="1"/>
  <c r="AB803" i="1"/>
  <c r="AB795" i="1"/>
  <c r="AB787" i="1"/>
  <c r="AB779" i="1"/>
  <c r="AB771" i="1"/>
  <c r="AB763" i="1"/>
  <c r="AB755" i="1"/>
  <c r="AB747" i="1"/>
  <c r="AB739" i="1"/>
  <c r="AB731" i="1"/>
  <c r="AB723" i="1"/>
  <c r="AB715" i="1"/>
  <c r="AB707" i="1"/>
  <c r="AB699" i="1"/>
  <c r="AB691" i="1"/>
  <c r="AB683" i="1"/>
  <c r="AB675" i="1"/>
  <c r="AB667" i="1"/>
  <c r="AB659" i="1"/>
  <c r="AB651" i="1"/>
  <c r="AB643" i="1"/>
  <c r="AB1994" i="1"/>
  <c r="AB1986" i="1"/>
  <c r="AB1978" i="1"/>
  <c r="AB1970" i="1"/>
  <c r="AB1962" i="1"/>
  <c r="AB1954" i="1"/>
  <c r="AB1946" i="1"/>
  <c r="AB1938" i="1"/>
  <c r="AB1930" i="1"/>
  <c r="AB1922" i="1"/>
  <c r="AB1914" i="1"/>
  <c r="AB1906" i="1"/>
  <c r="AB1898" i="1"/>
  <c r="AB1890" i="1"/>
  <c r="AB1882" i="1"/>
  <c r="AB1874" i="1"/>
  <c r="AB1866" i="1"/>
  <c r="AB1858" i="1"/>
  <c r="AB1850" i="1"/>
  <c r="AB1842" i="1"/>
  <c r="AB1834" i="1"/>
  <c r="AB1826" i="1"/>
  <c r="AB1818" i="1"/>
  <c r="AB1810" i="1"/>
  <c r="AB1802" i="1"/>
  <c r="AB1794" i="1"/>
  <c r="AB1786" i="1"/>
  <c r="AB1778" i="1"/>
  <c r="AB1770" i="1"/>
  <c r="AB1762" i="1"/>
  <c r="AB1754" i="1"/>
  <c r="AB1746" i="1"/>
  <c r="AB1738" i="1"/>
  <c r="AB1730" i="1"/>
  <c r="AB1722" i="1"/>
  <c r="AB1714" i="1"/>
  <c r="AB1706" i="1"/>
  <c r="AB1698" i="1"/>
  <c r="AB1690" i="1"/>
  <c r="AB1682" i="1"/>
  <c r="AB1674" i="1"/>
  <c r="AB1666" i="1"/>
  <c r="AB1658" i="1"/>
  <c r="AB1650" i="1"/>
  <c r="AB1642" i="1"/>
  <c r="AB1634" i="1"/>
  <c r="AB1626" i="1"/>
  <c r="AB1618" i="1"/>
  <c r="AB1610" i="1"/>
  <c r="AB1602" i="1"/>
  <c r="AB1594" i="1"/>
  <c r="AB1586" i="1"/>
  <c r="AB1578" i="1"/>
  <c r="AB1570" i="1"/>
  <c r="AB1562" i="1"/>
  <c r="AB1554" i="1"/>
  <c r="AB1546" i="1"/>
  <c r="AB1538" i="1"/>
  <c r="AB1530" i="1"/>
  <c r="AB1522" i="1"/>
  <c r="AB1514" i="1"/>
  <c r="AB1506" i="1"/>
  <c r="AB1498" i="1"/>
  <c r="AB1490" i="1"/>
  <c r="AB1482" i="1"/>
  <c r="AB1474" i="1"/>
  <c r="AB1466" i="1"/>
  <c r="AB1458" i="1"/>
  <c r="AB1450" i="1"/>
  <c r="AB1442" i="1"/>
  <c r="AB1434" i="1"/>
  <c r="AB1426" i="1"/>
  <c r="AB1418" i="1"/>
  <c r="AB1410" i="1"/>
  <c r="AB1402" i="1"/>
  <c r="AB1394" i="1"/>
  <c r="AB1386" i="1"/>
  <c r="AB1378" i="1"/>
  <c r="AB1370" i="1"/>
  <c r="AB1362" i="1"/>
  <c r="AB1354" i="1"/>
  <c r="AB1346" i="1"/>
  <c r="AB1338" i="1"/>
  <c r="AB1330" i="1"/>
  <c r="AB1322" i="1"/>
  <c r="AB1314" i="1"/>
  <c r="AB1306" i="1"/>
  <c r="AB1298" i="1"/>
  <c r="AB1290" i="1"/>
  <c r="AB1282" i="1"/>
  <c r="AB1274" i="1"/>
  <c r="AB1266" i="1"/>
  <c r="AB1258" i="1"/>
  <c r="AB1250" i="1"/>
  <c r="AB1242" i="1"/>
  <c r="AB1234" i="1"/>
  <c r="AB1226" i="1"/>
  <c r="AB1218" i="1"/>
  <c r="AB1210" i="1"/>
  <c r="AB1202" i="1"/>
  <c r="AB1194" i="1"/>
  <c r="AB1186" i="1"/>
  <c r="AB1178" i="1"/>
  <c r="AB1170" i="1"/>
  <c r="AB1162" i="1"/>
  <c r="AB1154" i="1"/>
  <c r="AB1146" i="1"/>
  <c r="AB1138" i="1"/>
  <c r="AB1130" i="1"/>
  <c r="AB1122" i="1"/>
  <c r="AB1114" i="1"/>
  <c r="AB1106" i="1"/>
  <c r="AB1098" i="1"/>
  <c r="AB1090" i="1"/>
  <c r="AB1082" i="1"/>
  <c r="AB1074" i="1"/>
  <c r="AB1066" i="1"/>
  <c r="AB1058" i="1"/>
  <c r="AB1050" i="1"/>
  <c r="AB1042" i="1"/>
  <c r="AB1034" i="1"/>
  <c r="AB1026" i="1"/>
  <c r="AB1018" i="1"/>
  <c r="AB1010" i="1"/>
  <c r="AB1002" i="1"/>
  <c r="AB994" i="1"/>
  <c r="AB986" i="1"/>
  <c r="AB978" i="1"/>
  <c r="AB970" i="1"/>
  <c r="AB962" i="1"/>
  <c r="AB954" i="1"/>
  <c r="AB946" i="1"/>
  <c r="AB938" i="1"/>
  <c r="AB930" i="1"/>
  <c r="AB922" i="1"/>
  <c r="AB914" i="1"/>
  <c r="AB906" i="1"/>
  <c r="AB898" i="1"/>
  <c r="AB890" i="1"/>
  <c r="AB882" i="1"/>
  <c r="AB874" i="1"/>
  <c r="AB866" i="1"/>
  <c r="AB858" i="1"/>
  <c r="AB850" i="1"/>
  <c r="AB842" i="1"/>
  <c r="AB834" i="1"/>
  <c r="AB826" i="1"/>
  <c r="AB818" i="1"/>
  <c r="AB810" i="1"/>
  <c r="AB802" i="1"/>
  <c r="AB794" i="1"/>
  <c r="AB786" i="1"/>
  <c r="AB778" i="1"/>
  <c r="AB770" i="1"/>
  <c r="AB762" i="1"/>
  <c r="AB754" i="1"/>
  <c r="AB746" i="1"/>
  <c r="AB738" i="1"/>
  <c r="AB730" i="1"/>
  <c r="AB722" i="1"/>
  <c r="AB714" i="1"/>
  <c r="AB706" i="1"/>
  <c r="AB698" i="1"/>
  <c r="AB690" i="1"/>
  <c r="AB682" i="1"/>
  <c r="AB674" i="1"/>
  <c r="AB666" i="1"/>
  <c r="AB658" i="1"/>
  <c r="AB650" i="1"/>
  <c r="AB642" i="1"/>
  <c r="AB634" i="1"/>
  <c r="AB626" i="1"/>
  <c r="AB618" i="1"/>
  <c r="AB610" i="1"/>
  <c r="AB602" i="1"/>
  <c r="AB2001" i="1"/>
  <c r="AB1993" i="1"/>
  <c r="AB1985" i="1"/>
  <c r="AB1977" i="1"/>
  <c r="AB1969" i="1"/>
  <c r="AB1961" i="1"/>
  <c r="AB1953" i="1"/>
  <c r="AB1945" i="1"/>
  <c r="AB1937" i="1"/>
  <c r="AB1929" i="1"/>
  <c r="AB1921" i="1"/>
  <c r="AB1913" i="1"/>
  <c r="AB1905" i="1"/>
  <c r="AB1897" i="1"/>
  <c r="AB1889" i="1"/>
  <c r="AB1881" i="1"/>
  <c r="AB1873" i="1"/>
  <c r="AB1865" i="1"/>
  <c r="AB1857" i="1"/>
  <c r="AB1849" i="1"/>
  <c r="AB1841" i="1"/>
  <c r="AB1833" i="1"/>
  <c r="AB1825" i="1"/>
  <c r="AB1817" i="1"/>
  <c r="AB1809" i="1"/>
  <c r="AB1801" i="1"/>
  <c r="AB1793" i="1"/>
  <c r="AB1785" i="1"/>
  <c r="AB1777" i="1"/>
  <c r="AB1769" i="1"/>
  <c r="AB1761" i="1"/>
  <c r="AB1753" i="1"/>
  <c r="AB1745" i="1"/>
  <c r="AB1737" i="1"/>
  <c r="AB1729" i="1"/>
  <c r="AB1721" i="1"/>
  <c r="AB1713" i="1"/>
  <c r="AB1705" i="1"/>
  <c r="AB1697" i="1"/>
  <c r="AB1689" i="1"/>
  <c r="AB1681" i="1"/>
  <c r="AB1673" i="1"/>
  <c r="AB1665" i="1"/>
  <c r="AB1657" i="1"/>
  <c r="AB1649" i="1"/>
  <c r="AB1641" i="1"/>
  <c r="AB1633" i="1"/>
  <c r="AB1625" i="1"/>
  <c r="AB1617" i="1"/>
  <c r="AB1609" i="1"/>
  <c r="AB1601" i="1"/>
  <c r="AB1593" i="1"/>
  <c r="AB1585" i="1"/>
  <c r="AB1577" i="1"/>
  <c r="AB1569" i="1"/>
  <c r="AB1561" i="1"/>
  <c r="AB1553" i="1"/>
  <c r="AB1545" i="1"/>
  <c r="AB1537" i="1"/>
  <c r="AB1529" i="1"/>
  <c r="AB1521" i="1"/>
  <c r="AB1513" i="1"/>
  <c r="AB1505" i="1"/>
  <c r="AB1497" i="1"/>
  <c r="AB1489" i="1"/>
  <c r="AB1481" i="1"/>
  <c r="AB1473" i="1"/>
  <c r="AB1465" i="1"/>
  <c r="AB1457" i="1"/>
  <c r="AB1449" i="1"/>
  <c r="AB1441" i="1"/>
  <c r="AB1433" i="1"/>
  <c r="AB1425" i="1"/>
  <c r="AB1417" i="1"/>
  <c r="AB1409" i="1"/>
  <c r="AB1401" i="1"/>
  <c r="AB1393" i="1"/>
  <c r="AB1385" i="1"/>
  <c r="AB1377" i="1"/>
  <c r="AB1369" i="1"/>
  <c r="AB1361" i="1"/>
  <c r="AB1353" i="1"/>
  <c r="AB1345" i="1"/>
  <c r="AB1337" i="1"/>
  <c r="AB1329" i="1"/>
  <c r="AB1321" i="1"/>
  <c r="AB1313" i="1"/>
  <c r="AB1305" i="1"/>
  <c r="AB1297" i="1"/>
  <c r="AB1289" i="1"/>
  <c r="AB1281" i="1"/>
  <c r="AB1273" i="1"/>
  <c r="AB1265" i="1"/>
  <c r="AB1257" i="1"/>
  <c r="AB1249" i="1"/>
  <c r="AB1241" i="1"/>
  <c r="AB1233" i="1"/>
  <c r="AB1225" i="1"/>
  <c r="AB1217" i="1"/>
  <c r="AB1209" i="1"/>
  <c r="AB1201" i="1"/>
  <c r="AB1193" i="1"/>
  <c r="AB1185" i="1"/>
  <c r="AB1177" i="1"/>
  <c r="AB1169" i="1"/>
  <c r="AB1161" i="1"/>
  <c r="AB1153" i="1"/>
  <c r="AB1145" i="1"/>
  <c r="AB1137" i="1"/>
  <c r="AB1129" i="1"/>
  <c r="AB1121" i="1"/>
  <c r="AB1113" i="1"/>
  <c r="AB1105" i="1"/>
  <c r="AB1097" i="1"/>
  <c r="AB1089" i="1"/>
  <c r="AB1081" i="1"/>
  <c r="AB1073" i="1"/>
  <c r="AB1065" i="1"/>
  <c r="AB1057" i="1"/>
  <c r="AB1049" i="1"/>
  <c r="AB1041" i="1"/>
  <c r="AB1033" i="1"/>
  <c r="AB1025" i="1"/>
  <c r="AB1017" i="1"/>
  <c r="AB1009" i="1"/>
  <c r="AB1001" i="1"/>
  <c r="AB993" i="1"/>
  <c r="AB985" i="1"/>
  <c r="AB977" i="1"/>
  <c r="AB969" i="1"/>
  <c r="AB961" i="1"/>
  <c r="AB953" i="1"/>
  <c r="AB945" i="1"/>
  <c r="AB937" i="1"/>
  <c r="AB929" i="1"/>
  <c r="AB921" i="1"/>
  <c r="AB913" i="1"/>
  <c r="AB905" i="1"/>
  <c r="AB897" i="1"/>
  <c r="AB889" i="1"/>
  <c r="AB881" i="1"/>
  <c r="AB873" i="1"/>
  <c r="AB865" i="1"/>
  <c r="AB857" i="1"/>
  <c r="AB849" i="1"/>
  <c r="AB841" i="1"/>
  <c r="AB833" i="1"/>
  <c r="AB825" i="1"/>
  <c r="AB817" i="1"/>
  <c r="AB809" i="1"/>
  <c r="AB801" i="1"/>
  <c r="AB793" i="1"/>
  <c r="AB785" i="1"/>
  <c r="AB777" i="1"/>
  <c r="AB769" i="1"/>
  <c r="AB761" i="1"/>
  <c r="AB753" i="1"/>
  <c r="AB745" i="1"/>
  <c r="AB737" i="1"/>
  <c r="AB729" i="1"/>
  <c r="AB721" i="1"/>
  <c r="AB713" i="1"/>
  <c r="AB705" i="1"/>
  <c r="AB697" i="1"/>
  <c r="AB689" i="1"/>
  <c r="AB681" i="1"/>
  <c r="AB673" i="1"/>
  <c r="AB665" i="1"/>
  <c r="AB657" i="1"/>
  <c r="AB649" i="1"/>
  <c r="AB641" i="1"/>
  <c r="AB633" i="1"/>
  <c r="AB625" i="1"/>
  <c r="AB617" i="1"/>
  <c r="AB609" i="1"/>
  <c r="AB601" i="1"/>
  <c r="AB593" i="1"/>
  <c r="AB585" i="1"/>
  <c r="AB577" i="1"/>
  <c r="AB569" i="1"/>
  <c r="AB561" i="1"/>
  <c r="AB553" i="1"/>
  <c r="AB545" i="1"/>
  <c r="AB537" i="1"/>
  <c r="AB529" i="1"/>
  <c r="AB521" i="1"/>
  <c r="AB513" i="1"/>
  <c r="AB505" i="1"/>
  <c r="AB497" i="1"/>
  <c r="AB489" i="1"/>
  <c r="AB481" i="1"/>
  <c r="AB473" i="1"/>
  <c r="AB465" i="1"/>
  <c r="AB457" i="1"/>
  <c r="AB449" i="1"/>
  <c r="AB441" i="1"/>
  <c r="AB433" i="1"/>
  <c r="AB425" i="1"/>
  <c r="AB417" i="1"/>
  <c r="AB409" i="1"/>
  <c r="AB401" i="1"/>
  <c r="AB393" i="1"/>
  <c r="AB385" i="1"/>
  <c r="AB377" i="1"/>
  <c r="AB369" i="1"/>
  <c r="AB361" i="1"/>
  <c r="AB353" i="1"/>
  <c r="AB345" i="1"/>
  <c r="AB337" i="1"/>
  <c r="AB329" i="1"/>
  <c r="AB321" i="1"/>
  <c r="AB313" i="1"/>
  <c r="AB305" i="1"/>
  <c r="AB297" i="1"/>
  <c r="AB289" i="1"/>
  <c r="AB281" i="1"/>
  <c r="AB273" i="1"/>
  <c r="AB265" i="1"/>
  <c r="AB257" i="1"/>
  <c r="AB249" i="1"/>
  <c r="AB241" i="1"/>
  <c r="AB233" i="1"/>
  <c r="AB225" i="1"/>
  <c r="AB217" i="1"/>
  <c r="AB209" i="1"/>
  <c r="AB201" i="1"/>
  <c r="AB193" i="1"/>
  <c r="AB185" i="1"/>
  <c r="AB177" i="1"/>
  <c r="AB169" i="1"/>
  <c r="AB161" i="1"/>
  <c r="AB153" i="1"/>
  <c r="AB145" i="1"/>
  <c r="AB137" i="1"/>
  <c r="AB129" i="1"/>
  <c r="AB121" i="1"/>
  <c r="AB113" i="1"/>
  <c r="AB105" i="1"/>
  <c r="AB97" i="1"/>
  <c r="AB89" i="1"/>
  <c r="AB81" i="1"/>
  <c r="AB73" i="1"/>
  <c r="AB65" i="1"/>
  <c r="AB57" i="1"/>
  <c r="AB49" i="1"/>
  <c r="AB41" i="1"/>
  <c r="AB33" i="1"/>
  <c r="AB25" i="1"/>
  <c r="AB17" i="1"/>
  <c r="AB9" i="1"/>
  <c r="AB2000" i="1"/>
  <c r="AB1992" i="1"/>
  <c r="AB1984" i="1"/>
  <c r="AB1976" i="1"/>
  <c r="AB1968" i="1"/>
  <c r="AB1960" i="1"/>
  <c r="AB1952" i="1"/>
  <c r="AB1944" i="1"/>
  <c r="AB1936" i="1"/>
  <c r="AB1928" i="1"/>
  <c r="AB1920" i="1"/>
  <c r="AB1912" i="1"/>
  <c r="AB1904" i="1"/>
  <c r="AB1896" i="1"/>
  <c r="AB1888" i="1"/>
  <c r="AB1880" i="1"/>
  <c r="AB1872" i="1"/>
  <c r="AB1864" i="1"/>
  <c r="AB1856" i="1"/>
  <c r="AB1848" i="1"/>
  <c r="AB1840" i="1"/>
  <c r="AB1832" i="1"/>
  <c r="AB1824" i="1"/>
  <c r="AB1816" i="1"/>
  <c r="AB1808" i="1"/>
  <c r="AB1800" i="1"/>
  <c r="AB1792" i="1"/>
  <c r="AB1784" i="1"/>
  <c r="AB1776" i="1"/>
  <c r="AB1768" i="1"/>
  <c r="AB1760" i="1"/>
  <c r="AB1752" i="1"/>
  <c r="AB1744" i="1"/>
  <c r="AB1736" i="1"/>
  <c r="AB1728" i="1"/>
  <c r="AB1720" i="1"/>
  <c r="AB1712" i="1"/>
  <c r="AB1704" i="1"/>
  <c r="AB1696" i="1"/>
  <c r="AB1688" i="1"/>
  <c r="AB1680" i="1"/>
  <c r="AB1672" i="1"/>
  <c r="AB1664" i="1"/>
  <c r="AB1656" i="1"/>
  <c r="AB1648" i="1"/>
  <c r="AB1640" i="1"/>
  <c r="AB1632" i="1"/>
  <c r="AB1624" i="1"/>
  <c r="AB1616" i="1"/>
  <c r="AB1608" i="1"/>
  <c r="AB1600" i="1"/>
  <c r="AB1592" i="1"/>
  <c r="AB1584" i="1"/>
  <c r="AB1576" i="1"/>
  <c r="AB1568" i="1"/>
  <c r="AB1560" i="1"/>
  <c r="AB1552" i="1"/>
  <c r="AB1544" i="1"/>
  <c r="AB1536" i="1"/>
  <c r="AB1528" i="1"/>
  <c r="AB1520" i="1"/>
  <c r="AB1512" i="1"/>
  <c r="AB1504" i="1"/>
  <c r="AB1496" i="1"/>
  <c r="AB1488" i="1"/>
  <c r="AB1480" i="1"/>
  <c r="AB1472" i="1"/>
  <c r="AB1464" i="1"/>
  <c r="AB1456" i="1"/>
  <c r="AB1448" i="1"/>
  <c r="AB1440" i="1"/>
  <c r="AB1432" i="1"/>
  <c r="AB1424" i="1"/>
  <c r="AB1416" i="1"/>
  <c r="AB1408" i="1"/>
  <c r="AB1400" i="1"/>
  <c r="AB1392" i="1"/>
  <c r="AB1384" i="1"/>
  <c r="AB1376" i="1"/>
  <c r="AB1368" i="1"/>
  <c r="AB1360" i="1"/>
  <c r="AB1352" i="1"/>
  <c r="AB1344" i="1"/>
  <c r="AB1336" i="1"/>
  <c r="AB1328" i="1"/>
  <c r="AB1320" i="1"/>
  <c r="AB1312" i="1"/>
  <c r="AB1304" i="1"/>
  <c r="AB1296" i="1"/>
  <c r="AB1288" i="1"/>
  <c r="AB1280" i="1"/>
  <c r="AB1272" i="1"/>
  <c r="AB1264" i="1"/>
  <c r="AB1256" i="1"/>
  <c r="AB1248" i="1"/>
  <c r="AB1240" i="1"/>
  <c r="AB1232" i="1"/>
  <c r="AB1224" i="1"/>
  <c r="AB1216" i="1"/>
  <c r="AB1208" i="1"/>
  <c r="AB1200" i="1"/>
  <c r="AB1192" i="1"/>
  <c r="AB1184" i="1"/>
  <c r="AB1176" i="1"/>
  <c r="AB1168" i="1"/>
  <c r="AB1160" i="1"/>
  <c r="AB1152" i="1"/>
  <c r="AB1144" i="1"/>
  <c r="AB1136" i="1"/>
  <c r="AB1128" i="1"/>
  <c r="AB1120" i="1"/>
  <c r="AB1112" i="1"/>
  <c r="AB1104" i="1"/>
  <c r="AB1096" i="1"/>
  <c r="AB1088" i="1"/>
  <c r="AB1080" i="1"/>
  <c r="AB1072" i="1"/>
  <c r="AB1064" i="1"/>
  <c r="AB1056" i="1"/>
  <c r="AB1048" i="1"/>
  <c r="AB1040" i="1"/>
  <c r="AB1032" i="1"/>
  <c r="AB1024" i="1"/>
  <c r="AB1016" i="1"/>
  <c r="AB1008" i="1"/>
  <c r="AB1000" i="1"/>
  <c r="AB992" i="1"/>
  <c r="AB984" i="1"/>
  <c r="AB976" i="1"/>
  <c r="AB968" i="1"/>
  <c r="AB960" i="1"/>
  <c r="AB952" i="1"/>
  <c r="AB944" i="1"/>
  <c r="AB936" i="1"/>
  <c r="AB928" i="1"/>
  <c r="AB920" i="1"/>
  <c r="AB912" i="1"/>
  <c r="AB904" i="1"/>
  <c r="AB896" i="1"/>
  <c r="AB888" i="1"/>
  <c r="AB880" i="1"/>
  <c r="AB872" i="1"/>
  <c r="AB864" i="1"/>
  <c r="AB856" i="1"/>
  <c r="AB848" i="1"/>
  <c r="AB840" i="1"/>
  <c r="AB832" i="1"/>
  <c r="AB824" i="1"/>
  <c r="AB816" i="1"/>
  <c r="AB808" i="1"/>
  <c r="AB800" i="1"/>
  <c r="AB792" i="1"/>
  <c r="AB784" i="1"/>
  <c r="AB776" i="1"/>
  <c r="AB768" i="1"/>
  <c r="AB760" i="1"/>
  <c r="AB752" i="1"/>
  <c r="AB744" i="1"/>
  <c r="AB736" i="1"/>
  <c r="AB728" i="1"/>
  <c r="AB720" i="1"/>
  <c r="AB712" i="1"/>
  <c r="AB704" i="1"/>
  <c r="AB696" i="1"/>
  <c r="AB688" i="1"/>
  <c r="AB680" i="1"/>
  <c r="AB672" i="1"/>
  <c r="AB664" i="1"/>
  <c r="AB656" i="1"/>
  <c r="AB648" i="1"/>
  <c r="AB640" i="1"/>
  <c r="AB632" i="1"/>
  <c r="AB624" i="1"/>
  <c r="AB616" i="1"/>
  <c r="AB608" i="1"/>
  <c r="AB600" i="1"/>
  <c r="AB592" i="1"/>
  <c r="AB584" i="1"/>
  <c r="AB576" i="1"/>
  <c r="AB568" i="1"/>
  <c r="AB560" i="1"/>
  <c r="AB552" i="1"/>
  <c r="AB544" i="1"/>
  <c r="AB536" i="1"/>
  <c r="AB528" i="1"/>
  <c r="AB520" i="1"/>
  <c r="AB512" i="1"/>
  <c r="AB504" i="1"/>
  <c r="AB496" i="1"/>
  <c r="AB488" i="1"/>
  <c r="AB480" i="1"/>
  <c r="AB472" i="1"/>
  <c r="AB464" i="1"/>
  <c r="AB456" i="1"/>
  <c r="AB448" i="1"/>
  <c r="AB440" i="1"/>
  <c r="AB432" i="1"/>
  <c r="AB424" i="1"/>
  <c r="AB416" i="1"/>
  <c r="AB408" i="1"/>
  <c r="AB400" i="1"/>
  <c r="AB392" i="1"/>
  <c r="AB384" i="1"/>
  <c r="AB376" i="1"/>
  <c r="AB368" i="1"/>
  <c r="AB360" i="1"/>
  <c r="AB352" i="1"/>
  <c r="AB344" i="1"/>
  <c r="AB336" i="1"/>
  <c r="AB328" i="1"/>
  <c r="AB320" i="1"/>
  <c r="AB312" i="1"/>
  <c r="AB304" i="1"/>
  <c r="AB296" i="1"/>
  <c r="AB288" i="1"/>
  <c r="AB280" i="1"/>
  <c r="AB272" i="1"/>
  <c r="AB264" i="1"/>
  <c r="AB256" i="1"/>
  <c r="AB248" i="1"/>
  <c r="AB240" i="1"/>
  <c r="AB232" i="1"/>
  <c r="AB224" i="1"/>
  <c r="AB216" i="1"/>
  <c r="AB208" i="1"/>
  <c r="AB200" i="1"/>
  <c r="AB192" i="1"/>
  <c r="AB184" i="1"/>
  <c r="AB176" i="1"/>
  <c r="AB168" i="1"/>
  <c r="AB160" i="1"/>
  <c r="AB152" i="1"/>
  <c r="AB144" i="1"/>
  <c r="AB136" i="1"/>
  <c r="AB128" i="1"/>
  <c r="AB120" i="1"/>
  <c r="AB112" i="1"/>
  <c r="AB104" i="1"/>
  <c r="AB96" i="1"/>
  <c r="AB88" i="1"/>
  <c r="AB80" i="1"/>
  <c r="AB72" i="1"/>
  <c r="AB64" i="1"/>
  <c r="AB56" i="1"/>
  <c r="AB48" i="1"/>
  <c r="AB40" i="1"/>
  <c r="AB32" i="1"/>
  <c r="AB24" i="1"/>
  <c r="AB16" i="1"/>
  <c r="AB8" i="1"/>
  <c r="AB615" i="1"/>
  <c r="AB607" i="1"/>
  <c r="AB599" i="1"/>
  <c r="AB591" i="1"/>
  <c r="AB583" i="1"/>
  <c r="AB575" i="1"/>
  <c r="AB567" i="1"/>
  <c r="AB559" i="1"/>
  <c r="AB551" i="1"/>
  <c r="AB543" i="1"/>
  <c r="AB535" i="1"/>
  <c r="AB527" i="1"/>
  <c r="AB519" i="1"/>
  <c r="AB511" i="1"/>
  <c r="AB503" i="1"/>
  <c r="AB635" i="1"/>
  <c r="AB627" i="1"/>
  <c r="AB619" i="1"/>
  <c r="AB611" i="1"/>
  <c r="AB603" i="1"/>
  <c r="AB595" i="1"/>
  <c r="AB587" i="1"/>
  <c r="AB579" i="1"/>
  <c r="AB571" i="1"/>
  <c r="AB563" i="1"/>
  <c r="AB555" i="1"/>
  <c r="AB547" i="1"/>
  <c r="AB539" i="1"/>
  <c r="AB531" i="1"/>
  <c r="AB523" i="1"/>
  <c r="AB515" i="1"/>
  <c r="AB507" i="1"/>
  <c r="AB594" i="1"/>
  <c r="AB586" i="1"/>
  <c r="AB578" i="1"/>
  <c r="AB570" i="1"/>
  <c r="AB562" i="1"/>
  <c r="AB554" i="1"/>
  <c r="AB546" i="1"/>
  <c r="AB538" i="1"/>
  <c r="AB530" i="1"/>
  <c r="AB522" i="1"/>
  <c r="AB514" i="1"/>
  <c r="AB506" i="1"/>
  <c r="I1204" i="1" l="1"/>
  <c r="I1567" i="1"/>
  <c r="G504" i="1"/>
  <c r="G1596" i="1"/>
  <c r="I680" i="1"/>
  <c r="G989" i="1"/>
  <c r="I1438" i="1"/>
  <c r="G1627" i="1"/>
  <c r="I1212" i="1"/>
  <c r="I955" i="1"/>
  <c r="I1505" i="1"/>
  <c r="G1140" i="1"/>
  <c r="I1755" i="1"/>
  <c r="I1050" i="1"/>
  <c r="G1520" i="1"/>
  <c r="I1468" i="1"/>
  <c r="G1986" i="1"/>
  <c r="G338" i="1"/>
  <c r="I744" i="1"/>
  <c r="G949" i="1"/>
  <c r="I269" i="1"/>
  <c r="G1272" i="1"/>
  <c r="I429" i="1"/>
  <c r="G292" i="1"/>
  <c r="G1456" i="1"/>
  <c r="I1261" i="1"/>
  <c r="I436" i="1"/>
  <c r="I476" i="1"/>
  <c r="G927" i="1"/>
  <c r="G1392" i="1"/>
  <c r="I816" i="1"/>
  <c r="I1012" i="1"/>
  <c r="I1020" i="1"/>
  <c r="G1364" i="1"/>
  <c r="I720" i="1"/>
  <c r="I1457" i="1"/>
  <c r="I1667" i="1"/>
  <c r="I612" i="1"/>
  <c r="I1483" i="1"/>
  <c r="G365" i="1"/>
  <c r="G910" i="1"/>
  <c r="G280" i="1"/>
  <c r="I1733" i="1"/>
  <c r="I1770" i="1"/>
  <c r="I1933" i="1"/>
  <c r="I40" i="1"/>
  <c r="I790" i="1"/>
  <c r="I1494" i="1"/>
  <c r="I735" i="1"/>
  <c r="I1231" i="1"/>
  <c r="G1443" i="1"/>
  <c r="G582" i="1"/>
  <c r="I591" i="1"/>
  <c r="G1146" i="1"/>
  <c r="I1877" i="1"/>
  <c r="G993" i="1"/>
  <c r="I520" i="1"/>
  <c r="G592" i="1"/>
  <c r="I1402" i="1"/>
  <c r="G1746" i="1"/>
  <c r="I513" i="1"/>
  <c r="I200" i="1"/>
  <c r="I1554" i="1"/>
  <c r="I935" i="1"/>
  <c r="I784" i="1"/>
  <c r="G384" i="1"/>
  <c r="G167" i="1"/>
  <c r="G1879" i="1"/>
  <c r="I1150" i="1"/>
  <c r="I1432" i="1"/>
  <c r="G179" i="1"/>
  <c r="I349" i="1"/>
  <c r="I1182" i="1"/>
  <c r="I225" i="1"/>
  <c r="I890" i="1"/>
  <c r="G1221" i="1"/>
  <c r="I1975" i="1"/>
  <c r="I1062" i="1"/>
  <c r="I1055" i="1"/>
  <c r="I1314" i="1"/>
  <c r="G1614" i="1"/>
  <c r="G552" i="1"/>
  <c r="G135" i="1"/>
  <c r="I997" i="1"/>
  <c r="I341" i="1"/>
  <c r="G791" i="1"/>
  <c r="I1434" i="1"/>
  <c r="G1656" i="1"/>
  <c r="I1414" i="1"/>
  <c r="G839" i="1"/>
  <c r="G1332" i="1"/>
  <c r="G1488" i="1"/>
  <c r="I1043" i="1"/>
  <c r="I283" i="1"/>
  <c r="I1208" i="1"/>
  <c r="G150" i="1"/>
  <c r="G1619" i="1"/>
  <c r="G1729" i="1"/>
  <c r="I898" i="1"/>
  <c r="G241" i="1"/>
  <c r="I978" i="1"/>
  <c r="I1177" i="1"/>
  <c r="G1704" i="1"/>
  <c r="G1162" i="1"/>
  <c r="I1520" i="1"/>
  <c r="G221" i="1"/>
  <c r="I1398" i="1"/>
  <c r="I1798" i="1"/>
  <c r="I1144" i="1"/>
  <c r="I590" i="1"/>
  <c r="G205" i="1"/>
  <c r="I923" i="1"/>
  <c r="I1559" i="1"/>
  <c r="I750" i="1"/>
  <c r="I766" i="1"/>
  <c r="I762" i="1"/>
  <c r="I927" i="1"/>
  <c r="G687" i="1"/>
  <c r="I1330" i="1"/>
  <c r="I489" i="1"/>
  <c r="G1605" i="1"/>
  <c r="G16" i="1"/>
  <c r="I1651" i="1"/>
  <c r="I1714" i="1"/>
  <c r="I405" i="1"/>
  <c r="G1115" i="1"/>
  <c r="I338" i="1"/>
  <c r="I371" i="1"/>
  <c r="I340" i="1"/>
  <c r="G152" i="1"/>
  <c r="G310" i="1"/>
  <c r="I1856" i="1"/>
  <c r="G1120" i="1"/>
  <c r="G686" i="1"/>
  <c r="G1451" i="1"/>
  <c r="G1222" i="1"/>
  <c r="I1072" i="1"/>
  <c r="G426" i="1"/>
  <c r="I675" i="1"/>
  <c r="G351" i="1"/>
  <c r="I805" i="1"/>
  <c r="I419" i="1"/>
  <c r="I543" i="1"/>
  <c r="G937" i="1"/>
  <c r="I226" i="1"/>
  <c r="I1120" i="1"/>
  <c r="I1011" i="1"/>
  <c r="G488" i="1"/>
  <c r="G1356" i="1"/>
  <c r="I348" i="1"/>
  <c r="I1835" i="1"/>
  <c r="I152" i="1"/>
  <c r="G983" i="1"/>
  <c r="G222" i="1"/>
  <c r="I1446" i="1"/>
  <c r="G1417" i="1"/>
  <c r="I1386" i="1"/>
  <c r="G749" i="1"/>
  <c r="G1550" i="1"/>
  <c r="I929" i="1"/>
  <c r="I833" i="1"/>
  <c r="I1455" i="1"/>
  <c r="G1367" i="1"/>
  <c r="G1703" i="1"/>
  <c r="G1998" i="1"/>
  <c r="G1434" i="1"/>
  <c r="G461" i="1"/>
  <c r="G930" i="1"/>
  <c r="I916" i="1"/>
  <c r="G1946" i="1"/>
  <c r="G174" i="1"/>
  <c r="I761" i="1"/>
  <c r="G166" i="1"/>
  <c r="I1377" i="1"/>
  <c r="I315" i="1"/>
  <c r="I1464" i="1"/>
  <c r="I1132" i="1"/>
  <c r="G1567" i="1"/>
  <c r="I1700" i="1"/>
  <c r="I984" i="1"/>
  <c r="I1849" i="1"/>
  <c r="G6" i="1"/>
  <c r="G1067" i="1"/>
  <c r="G870" i="1"/>
  <c r="I385" i="1"/>
  <c r="I1381" i="1"/>
  <c r="G775" i="1"/>
  <c r="G634" i="1"/>
  <c r="I346" i="1"/>
  <c r="I22" i="1"/>
  <c r="G964" i="1"/>
  <c r="I298" i="1"/>
  <c r="G1365" i="1"/>
  <c r="I1238" i="1"/>
  <c r="G1228" i="1"/>
  <c r="I1115" i="1"/>
  <c r="G725" i="1"/>
  <c r="I1324" i="1"/>
  <c r="I1564" i="1"/>
  <c r="I1723" i="1"/>
  <c r="I1176" i="1"/>
  <c r="I1908" i="1"/>
  <c r="G898" i="1"/>
  <c r="I529" i="1"/>
  <c r="G602" i="1"/>
  <c r="G636" i="1"/>
  <c r="I59" i="1"/>
  <c r="I1892" i="1"/>
  <c r="I1591" i="1"/>
  <c r="I1396" i="1"/>
  <c r="G155" i="1"/>
  <c r="I199" i="1"/>
  <c r="G950" i="1"/>
  <c r="G789" i="1"/>
  <c r="G1316" i="1"/>
  <c r="G693" i="1"/>
  <c r="G737" i="1"/>
  <c r="I877" i="1"/>
  <c r="I1787" i="1"/>
  <c r="I267" i="1"/>
  <c r="I652" i="1"/>
  <c r="G736" i="1"/>
  <c r="I1705" i="1"/>
  <c r="I1484" i="1"/>
  <c r="I153" i="1"/>
  <c r="G1133" i="1"/>
  <c r="I1562" i="1"/>
  <c r="G487" i="1"/>
  <c r="I1616" i="1"/>
  <c r="I1826" i="1"/>
  <c r="I56" i="1"/>
  <c r="I1312" i="1"/>
  <c r="G1205" i="1"/>
  <c r="G254" i="1"/>
  <c r="I522" i="1"/>
  <c r="G1461" i="1"/>
  <c r="G1903" i="1"/>
  <c r="I1717" i="1"/>
  <c r="I399" i="1"/>
  <c r="G1669" i="1"/>
  <c r="I183" i="1"/>
  <c r="I1681" i="1"/>
  <c r="I1367" i="1"/>
  <c r="G1052" i="1"/>
  <c r="G121" i="1"/>
  <c r="I1151" i="1"/>
  <c r="I88" i="1"/>
  <c r="G279" i="1"/>
  <c r="I706" i="1"/>
  <c r="G1287" i="1"/>
  <c r="I888" i="1"/>
  <c r="G1414" i="1"/>
  <c r="G921" i="1"/>
  <c r="I1518" i="1"/>
  <c r="G388" i="1"/>
  <c r="G1727" i="1"/>
  <c r="G1376" i="1"/>
  <c r="I964" i="1"/>
  <c r="I34" i="1"/>
  <c r="I123" i="1"/>
  <c r="G685" i="1"/>
  <c r="G1107" i="1"/>
  <c r="I1187" i="1"/>
  <c r="G1472" i="1"/>
  <c r="I1606" i="1"/>
  <c r="I144" i="1"/>
  <c r="G796" i="1"/>
  <c r="I1163" i="1"/>
  <c r="G666" i="1"/>
  <c r="I1687" i="1"/>
  <c r="G1026" i="1"/>
  <c r="G226" i="1"/>
  <c r="G1677" i="1"/>
  <c r="I1277" i="1"/>
  <c r="G1320" i="1"/>
  <c r="I1146" i="1"/>
  <c r="G389" i="1"/>
  <c r="I1250" i="1"/>
  <c r="G368" i="1"/>
  <c r="I194" i="1"/>
  <c r="G1722" i="1"/>
  <c r="I885" i="1"/>
  <c r="I398" i="1"/>
  <c r="I1271" i="1"/>
  <c r="G520" i="1"/>
  <c r="G1344" i="1"/>
  <c r="I1264" i="1"/>
  <c r="G1383" i="1"/>
  <c r="G985" i="1"/>
  <c r="I867" i="1"/>
  <c r="G1279" i="1"/>
  <c r="G1101" i="1"/>
  <c r="I1110" i="1"/>
  <c r="G1882" i="1"/>
  <c r="I845" i="1"/>
  <c r="I1458" i="1"/>
  <c r="G379" i="1"/>
  <c r="I395" i="1"/>
  <c r="G844" i="1"/>
  <c r="G244" i="1"/>
  <c r="I482" i="1"/>
  <c r="I79" i="1"/>
  <c r="I670" i="1"/>
  <c r="I852" i="1"/>
  <c r="I781" i="1"/>
  <c r="I65" i="1"/>
  <c r="I1046" i="1"/>
  <c r="I91" i="1"/>
  <c r="I1711" i="1"/>
  <c r="I941" i="1"/>
  <c r="I1740" i="1"/>
  <c r="G1757" i="1"/>
  <c r="I822" i="1"/>
  <c r="I1974" i="1"/>
  <c r="G764" i="1"/>
  <c r="I143" i="1"/>
  <c r="G1745" i="1"/>
  <c r="G1744" i="1"/>
  <c r="G1159" i="1"/>
  <c r="G473" i="1"/>
  <c r="I286" i="1"/>
  <c r="G1182" i="1"/>
  <c r="G707" i="1"/>
  <c r="I422" i="1"/>
  <c r="I18" i="1"/>
  <c r="I957" i="1"/>
  <c r="G1547" i="1"/>
  <c r="G366" i="1"/>
  <c r="G246" i="1"/>
  <c r="G265" i="1"/>
  <c r="G623" i="1"/>
  <c r="I1444" i="1"/>
  <c r="I755" i="1"/>
  <c r="G1074" i="1"/>
  <c r="I1161" i="1"/>
  <c r="I1353" i="1"/>
  <c r="G1318" i="1"/>
  <c r="I705" i="1"/>
  <c r="I621" i="1"/>
  <c r="G102" i="1"/>
  <c r="G1938" i="1"/>
  <c r="G1292" i="1"/>
  <c r="G1897" i="1"/>
  <c r="G1541" i="1"/>
  <c r="I1427" i="1"/>
  <c r="G713" i="1"/>
  <c r="G986" i="1"/>
  <c r="I1984" i="1"/>
  <c r="I1336" i="1"/>
  <c r="G345" i="1"/>
  <c r="G771" i="1"/>
  <c r="I564" i="1"/>
  <c r="I1646" i="1"/>
  <c r="I1615" i="1"/>
  <c r="I1109" i="1"/>
  <c r="I1659" i="1"/>
  <c r="I175" i="1"/>
  <c r="G1206" i="1"/>
  <c r="G52" i="1"/>
  <c r="G1945" i="1"/>
  <c r="G1406" i="1"/>
  <c r="I142" i="1"/>
  <c r="G1218" i="1"/>
  <c r="I1492" i="1"/>
  <c r="I1272" i="1"/>
  <c r="I1899" i="1"/>
  <c r="I1566" i="1"/>
  <c r="I855" i="1"/>
  <c r="I451" i="1"/>
  <c r="I1552" i="1"/>
  <c r="G1116" i="1"/>
  <c r="I1021" i="1"/>
  <c r="I1932" i="1"/>
  <c r="I1133" i="1"/>
  <c r="G1750" i="1"/>
  <c r="I1053" i="1"/>
  <c r="I1459" i="1"/>
  <c r="G211" i="1"/>
  <c r="I1091" i="1"/>
  <c r="G852" i="1"/>
  <c r="G932" i="1"/>
  <c r="G532" i="1"/>
  <c r="G860" i="1"/>
  <c r="I830" i="1"/>
  <c r="G544" i="1"/>
  <c r="G1993" i="1"/>
  <c r="I2000" i="1"/>
  <c r="I1792" i="1"/>
  <c r="G1663" i="1"/>
  <c r="G186" i="1"/>
  <c r="I1621" i="1"/>
  <c r="G24" i="1"/>
  <c r="I1841" i="1"/>
  <c r="I975" i="1"/>
  <c r="I517" i="1"/>
  <c r="G286" i="1"/>
  <c r="G922" i="1"/>
  <c r="I158" i="1"/>
  <c r="G1110" i="1"/>
  <c r="G1731" i="1"/>
  <c r="I878" i="1"/>
  <c r="I1871" i="1"/>
  <c r="G1609" i="1"/>
  <c r="G879" i="1"/>
  <c r="I1781" i="1"/>
  <c r="I795" i="1"/>
  <c r="I1546" i="1"/>
  <c r="I55" i="1"/>
  <c r="I760" i="1"/>
  <c r="I753" i="1"/>
  <c r="I343" i="1"/>
  <c r="I959" i="1"/>
  <c r="I1816" i="1"/>
  <c r="G493" i="1"/>
  <c r="I1596" i="1"/>
  <c r="I1480" i="1"/>
  <c r="I202" i="1"/>
  <c r="G491" i="1"/>
  <c r="G195" i="1"/>
  <c r="G845" i="1"/>
  <c r="G1118" i="1"/>
  <c r="I382" i="1"/>
  <c r="I275" i="1"/>
  <c r="G145" i="1"/>
  <c r="I120" i="1"/>
  <c r="I1961" i="1"/>
  <c r="I477" i="1"/>
  <c r="G1201" i="1"/>
  <c r="I690" i="1"/>
  <c r="G632" i="1"/>
  <c r="G1880" i="1"/>
  <c r="G281" i="1"/>
  <c r="G323" i="1"/>
  <c r="I1726" i="1"/>
  <c r="I1193" i="1"/>
  <c r="G1904" i="1"/>
  <c r="G893" i="1"/>
  <c r="I220" i="1"/>
  <c r="G1992" i="1"/>
  <c r="G1930" i="1"/>
  <c r="G1214" i="1"/>
  <c r="G1755" i="1"/>
  <c r="I1963" i="1"/>
  <c r="I69" i="1"/>
  <c r="I1789" i="1"/>
  <c r="G1300" i="1"/>
  <c r="G1889" i="1"/>
  <c r="G1211" i="1"/>
  <c r="G1303" i="1"/>
  <c r="I418" i="1"/>
  <c r="I965" i="1"/>
  <c r="G1481" i="1"/>
  <c r="G825" i="1"/>
  <c r="I779" i="1"/>
  <c r="I1779" i="1"/>
  <c r="G1269" i="1"/>
  <c r="I602" i="1"/>
  <c r="I1379" i="1"/>
  <c r="G165" i="1"/>
  <c r="G790" i="1"/>
  <c r="I1608" i="1"/>
  <c r="I1453" i="1"/>
  <c r="G809" i="1"/>
  <c r="G1892" i="1"/>
  <c r="G840" i="1"/>
  <c r="G1576" i="1"/>
  <c r="G196" i="1"/>
  <c r="I749" i="1"/>
  <c r="G758" i="1"/>
  <c r="G740" i="1"/>
  <c r="I1500" i="1"/>
  <c r="G683" i="1"/>
  <c r="G538" i="1"/>
  <c r="G1063" i="1"/>
  <c r="G1593" i="1"/>
  <c r="G1506" i="1"/>
  <c r="I75" i="1"/>
  <c r="I1663" i="1"/>
  <c r="G1556" i="1"/>
  <c r="I1287" i="1"/>
  <c r="G172" i="1"/>
  <c r="I1190" i="1"/>
  <c r="I313" i="1"/>
  <c r="G1375" i="1"/>
  <c r="G1271" i="1"/>
  <c r="G191" i="1"/>
  <c r="G967" i="1"/>
  <c r="I497" i="1"/>
  <c r="I290" i="1"/>
  <c r="I1447" i="1"/>
  <c r="G615" i="1"/>
  <c r="I1351" i="1"/>
  <c r="G1301" i="1"/>
  <c r="G199" i="1"/>
  <c r="G706" i="1"/>
  <c r="G1726" i="1"/>
  <c r="G1400" i="1"/>
  <c r="I230" i="1"/>
  <c r="I1955" i="1"/>
  <c r="G289" i="1"/>
  <c r="I108" i="1"/>
  <c r="I1746" i="1"/>
  <c r="I729" i="1"/>
  <c r="G1459" i="1"/>
  <c r="I1942" i="1"/>
  <c r="I1801" i="1"/>
  <c r="I1940" i="1"/>
  <c r="I1774" i="1"/>
  <c r="I1249" i="1"/>
  <c r="I644" i="1"/>
  <c r="G1672" i="1"/>
  <c r="I936" i="1"/>
  <c r="I90" i="1"/>
  <c r="I1887" i="1"/>
  <c r="G726" i="1"/>
  <c r="I1497" i="1"/>
  <c r="I1140" i="1"/>
  <c r="I72" i="1"/>
  <c r="G449" i="1"/>
  <c r="G163" i="1"/>
  <c r="G1934" i="1"/>
  <c r="I1769" i="1"/>
  <c r="I963" i="1"/>
  <c r="G946" i="1"/>
  <c r="I655" i="1"/>
  <c r="G1816" i="1"/>
  <c r="G479" i="1"/>
  <c r="I1210" i="1"/>
  <c r="I262" i="1"/>
  <c r="G1223" i="1"/>
  <c r="G1000" i="1"/>
  <c r="I1944" i="1"/>
  <c r="G1495" i="1"/>
  <c r="I370" i="1"/>
  <c r="G1402" i="1"/>
  <c r="G1435" i="1"/>
  <c r="G1192" i="1"/>
  <c r="G1117" i="1"/>
  <c r="I58" i="1"/>
  <c r="G1148" i="1"/>
  <c r="I1524" i="1"/>
  <c r="G923" i="1"/>
  <c r="G889" i="1"/>
  <c r="G1569" i="1"/>
  <c r="G236" i="1"/>
  <c r="I1572" i="1"/>
  <c r="G64" i="1"/>
  <c r="G1054" i="1"/>
  <c r="G381" i="1"/>
  <c r="G1497" i="1"/>
  <c r="G210" i="1"/>
  <c r="I1537" i="1"/>
  <c r="G1709" i="1"/>
  <c r="I622" i="1"/>
  <c r="I1737" i="1"/>
  <c r="I383" i="1"/>
  <c r="G3" i="1"/>
  <c r="G780" i="1"/>
  <c r="I1818" i="1"/>
  <c r="I1357" i="1"/>
  <c r="G1362" i="1"/>
  <c r="I1832" i="1"/>
  <c r="G220" i="1"/>
  <c r="G328" i="1"/>
  <c r="G865" i="1"/>
  <c r="I1106" i="1"/>
  <c r="I169" i="1"/>
  <c r="I92" i="1"/>
  <c r="G998" i="1"/>
  <c r="G243" i="1"/>
  <c r="I1303" i="1"/>
  <c r="I332" i="1"/>
  <c r="I1570" i="1"/>
  <c r="G1681" i="1"/>
  <c r="I809" i="1"/>
  <c r="I438" i="1"/>
  <c r="I851" i="1"/>
  <c r="G494" i="1"/>
  <c r="G1981" i="1"/>
  <c r="I490" i="1"/>
  <c r="I1568" i="1"/>
  <c r="I1990" i="1"/>
  <c r="G675" i="1"/>
  <c r="G1646" i="1"/>
  <c r="G1132" i="1"/>
  <c r="G1983" i="1"/>
  <c r="G787" i="1"/>
  <c r="I444" i="1"/>
  <c r="I880" i="1"/>
  <c r="G536" i="1"/>
  <c r="I739" i="1"/>
  <c r="G1679" i="1"/>
  <c r="I829" i="1"/>
  <c r="G178" i="1"/>
  <c r="G470" i="1"/>
  <c r="I1058" i="1"/>
  <c r="G1380" i="1"/>
  <c r="I1489" i="1"/>
  <c r="I358" i="1"/>
  <c r="I631" i="1"/>
  <c r="I1643" i="1"/>
  <c r="G1325" i="1"/>
  <c r="G701" i="1"/>
  <c r="I1805" i="1"/>
  <c r="G139" i="1"/>
  <c r="G724" i="1"/>
  <c r="I43" i="1"/>
  <c r="I197" i="1"/>
  <c r="G1813" i="1"/>
  <c r="I1545" i="1"/>
  <c r="I1629" i="1"/>
  <c r="G1735" i="1"/>
  <c r="I1101" i="1"/>
  <c r="G555" i="1"/>
  <c r="G1502" i="1"/>
  <c r="G1784" i="1"/>
  <c r="G892" i="1"/>
  <c r="I1317" i="1"/>
  <c r="G1538" i="1"/>
  <c r="I1521" i="1"/>
  <c r="G830" i="1"/>
  <c r="G1650" i="1"/>
  <c r="G41" i="1"/>
  <c r="G1760" i="1"/>
  <c r="G549" i="1"/>
  <c r="I782" i="1"/>
  <c r="I1024" i="1"/>
  <c r="G130" i="1"/>
  <c r="I28" i="1"/>
  <c r="I1274" i="1"/>
  <c r="G1169" i="1"/>
  <c r="G792" i="1"/>
  <c r="I1478" i="1"/>
  <c r="I1405" i="1"/>
  <c r="G1216" i="1"/>
  <c r="I1071" i="1"/>
  <c r="I536" i="1"/>
  <c r="G1319" i="1"/>
  <c r="G1965" i="1"/>
  <c r="I133" i="1"/>
  <c r="I85" i="1"/>
  <c r="I1383" i="1"/>
  <c r="I1007" i="1"/>
  <c r="I1421" i="1"/>
  <c r="G1613" i="1"/>
  <c r="I1800" i="1"/>
  <c r="I1364" i="1"/>
  <c r="I134" i="1"/>
  <c r="G1373" i="1"/>
  <c r="I1251" i="1"/>
  <c r="I1701" i="1"/>
  <c r="G918" i="1"/>
  <c r="G1284" i="1"/>
  <c r="I1229" i="1"/>
  <c r="G190" i="1"/>
  <c r="G1294" i="1"/>
  <c r="I597" i="1"/>
  <c r="G1649" i="1"/>
  <c r="I82" i="1"/>
  <c r="I295" i="1"/>
  <c r="G1796" i="1"/>
  <c r="I1406" i="1"/>
  <c r="G314" i="1"/>
  <c r="I311" i="1"/>
  <c r="I1088" i="1"/>
  <c r="G472" i="1"/>
  <c r="I934" i="1"/>
  <c r="G564" i="1"/>
  <c r="G1758" i="1"/>
  <c r="G1092" i="1"/>
  <c r="G940" i="1"/>
  <c r="G524" i="1"/>
  <c r="G1636" i="1"/>
  <c r="I980" i="1"/>
  <c r="I566" i="1"/>
  <c r="G1974" i="1"/>
  <c r="G799" i="1"/>
  <c r="G1594" i="1"/>
  <c r="I459" i="1"/>
  <c r="G54" i="1"/>
  <c r="I1410" i="1"/>
  <c r="G560" i="1"/>
  <c r="I1373" i="1"/>
  <c r="I606" i="1"/>
  <c r="I54" i="1"/>
  <c r="I1609" i="1"/>
  <c r="I24" i="1"/>
  <c r="I1930" i="1"/>
  <c r="G519" i="1"/>
  <c r="I551" i="1"/>
  <c r="G1582" i="1"/>
  <c r="I1686" i="1"/>
  <c r="I1821" i="1"/>
  <c r="G1854" i="1"/>
  <c r="I1793" i="1"/>
  <c r="I1676" i="1"/>
  <c r="I1610" i="1"/>
  <c r="G978" i="1"/>
  <c r="I1366" i="1"/>
  <c r="G1241" i="1"/>
  <c r="G719" i="1"/>
  <c r="I9" i="1"/>
  <c r="I1595" i="1"/>
  <c r="G1865" i="1"/>
  <c r="G37" i="1"/>
  <c r="G1010" i="1"/>
  <c r="I756" i="1"/>
  <c r="G866" i="1"/>
  <c r="G691" i="1"/>
  <c r="G1386" i="1"/>
  <c r="I147" i="1"/>
  <c r="I950" i="1"/>
  <c r="I1045" i="1"/>
  <c r="G976" i="1"/>
  <c r="I1607" i="1"/>
  <c r="I659" i="1"/>
  <c r="G1874" i="1"/>
  <c r="G1833" i="1"/>
  <c r="I1218" i="1"/>
  <c r="G684" i="1"/>
  <c r="G1473" i="1"/>
  <c r="G1184" i="1"/>
  <c r="I853" i="1"/>
  <c r="G1494" i="1"/>
  <c r="G1829" i="1"/>
  <c r="G1440" i="1"/>
  <c r="G1536" i="1"/>
  <c r="I1585" i="1"/>
  <c r="G1058" i="1"/>
  <c r="G794" i="1"/>
  <c r="G203" i="1"/>
  <c r="G971" i="1"/>
  <c r="G1343" i="1"/>
  <c r="G963" i="1"/>
  <c r="I1751" i="1"/>
  <c r="I636" i="1"/>
  <c r="I224" i="1"/>
  <c r="G1655" i="1"/>
  <c r="G1457" i="1"/>
  <c r="I1542" i="1"/>
  <c r="G872" i="1"/>
  <c r="I1528" i="1"/>
  <c r="I865" i="1"/>
  <c r="I1433" i="1"/>
  <c r="G301" i="1"/>
  <c r="G233" i="1"/>
  <c r="I1506" i="1"/>
  <c r="I464" i="1"/>
  <c r="I27" i="1"/>
  <c r="G358" i="1"/>
  <c r="G1098" i="1"/>
  <c r="I724" i="1"/>
  <c r="G429" i="1"/>
  <c r="G1039" i="1"/>
  <c r="G1467" i="1"/>
  <c r="G1425" i="1"/>
  <c r="G34" i="1"/>
  <c r="I251" i="1"/>
  <c r="G1430" i="1"/>
  <c r="G999" i="1"/>
  <c r="G1631" i="1"/>
  <c r="G547" i="1"/>
  <c r="G1558" i="1"/>
  <c r="G752" i="1"/>
  <c r="I532" i="1"/>
  <c r="I1129" i="1"/>
  <c r="I223" i="1"/>
  <c r="I745" i="1"/>
  <c r="I1401" i="1"/>
  <c r="G1220" i="1"/>
  <c r="G1280" i="1"/>
  <c r="I1148" i="1"/>
  <c r="I793" i="1"/>
  <c r="I688" i="1"/>
  <c r="I667" i="1"/>
  <c r="G1688" i="1"/>
  <c r="G53" i="1"/>
  <c r="I128" i="1"/>
  <c r="G801" i="1"/>
  <c r="I96" i="1"/>
  <c r="I428" i="1"/>
  <c r="G526" i="1"/>
  <c r="G1399" i="1"/>
  <c r="I1682" i="1"/>
  <c r="I1905" i="1"/>
  <c r="I538" i="1"/>
  <c r="G1203" i="1"/>
  <c r="G947" i="1"/>
  <c r="G908" i="1"/>
  <c r="G1713" i="1"/>
  <c r="G304" i="1"/>
  <c r="G448" i="1"/>
  <c r="I124" i="1"/>
  <c r="G56" i="1"/>
  <c r="I1802" i="1"/>
  <c r="G278" i="1"/>
  <c r="G1240" i="1"/>
  <c r="I129" i="1"/>
  <c r="I841" i="1"/>
  <c r="G30" i="1"/>
  <c r="I1466" i="1"/>
  <c r="G1254" i="1"/>
  <c r="G1560" i="1"/>
  <c r="I1340" i="1"/>
  <c r="I1894" i="1"/>
  <c r="G440" i="1"/>
  <c r="G169" i="1"/>
  <c r="G1680" i="1"/>
  <c r="I1255" i="1"/>
  <c r="I820" i="1"/>
  <c r="G1478" i="1"/>
  <c r="G302" i="1"/>
  <c r="G1947" i="1"/>
  <c r="G185" i="1"/>
  <c r="I110" i="1"/>
  <c r="G98" i="1"/>
  <c r="I1138" i="1"/>
  <c r="G670" i="1"/>
  <c r="G422" i="1"/>
  <c r="G843" i="1"/>
  <c r="G1480" i="1"/>
  <c r="I879" i="1"/>
  <c r="I1522" i="1"/>
  <c r="I613" i="1"/>
  <c r="I1587" i="1"/>
  <c r="I467" i="1"/>
  <c r="I832" i="1"/>
  <c r="I603" i="1"/>
  <c r="I1913" i="1"/>
  <c r="G1368" i="1"/>
  <c r="G593" i="1"/>
  <c r="I1388" i="1"/>
  <c r="G224" i="1"/>
  <c r="G875" i="1"/>
  <c r="G1776" i="1"/>
  <c r="G198" i="1"/>
  <c r="G387" i="1"/>
  <c r="I1882" i="1"/>
  <c r="I70" i="1"/>
  <c r="I730" i="1"/>
  <c r="I1298" i="1"/>
  <c r="G1379" i="1"/>
  <c r="G1805" i="1"/>
  <c r="G1333" i="1"/>
  <c r="I1451" i="1"/>
  <c r="I1845" i="1"/>
  <c r="I1299" i="1"/>
  <c r="G1247" i="1"/>
  <c r="G1436" i="1"/>
  <c r="G282" i="1"/>
  <c r="G1022" i="1"/>
  <c r="I1865" i="1"/>
  <c r="G1200" i="1"/>
  <c r="G261" i="1"/>
  <c r="G1747" i="1"/>
  <c r="G29" i="1"/>
  <c r="G1583" i="1"/>
  <c r="I1225" i="1"/>
  <c r="I665" i="1"/>
  <c r="I1817" i="1"/>
  <c r="I1305" i="1"/>
  <c r="I800" i="1"/>
  <c r="G1862" i="1"/>
  <c r="G270" i="1"/>
  <c r="G855" i="1"/>
  <c r="I634" i="1"/>
  <c r="I588" i="1"/>
  <c r="I546" i="1"/>
  <c r="I1829" i="1"/>
  <c r="G377" i="1"/>
  <c r="I583" i="1"/>
  <c r="G1579" i="1"/>
  <c r="G1165" i="1"/>
  <c r="I567" i="1"/>
  <c r="G1424" i="1"/>
  <c r="G710" i="1"/>
  <c r="G994" i="1"/>
  <c r="G7" i="1"/>
  <c r="G1501" i="1"/>
  <c r="G1476" i="1"/>
  <c r="G1720" i="1"/>
  <c r="G1018" i="1"/>
  <c r="G435" i="1"/>
  <c r="G1385" i="1"/>
  <c r="I819" i="1"/>
  <c r="G370" i="1"/>
  <c r="G309" i="1"/>
  <c r="I1703" i="1"/>
  <c r="I268" i="1"/>
  <c r="I206" i="1"/>
  <c r="G1976" i="1"/>
  <c r="G1877" i="1"/>
  <c r="G1256" i="1"/>
  <c r="G1450" i="1"/>
  <c r="I876" i="1"/>
  <c r="G10" i="1"/>
  <c r="I796" i="1"/>
  <c r="I1898" i="1"/>
  <c r="I1235" i="1"/>
  <c r="I434" i="1"/>
  <c r="G642" i="1"/>
  <c r="I64" i="1"/>
  <c r="G909" i="1"/>
  <c r="G1128" i="1"/>
  <c r="I1754" i="1"/>
  <c r="G1295" i="1"/>
  <c r="G673" i="1"/>
  <c r="G43" i="1"/>
  <c r="I259" i="1"/>
  <c r="I1380" i="1"/>
  <c r="I1371" i="1"/>
  <c r="I470" i="1"/>
  <c r="I1392" i="1"/>
  <c r="I1881" i="1"/>
  <c r="I722" i="1"/>
  <c r="I222" i="1"/>
  <c r="I1811" i="1"/>
  <c r="G929" i="1"/>
  <c r="I1702" i="1"/>
  <c r="I938" i="1"/>
  <c r="I676" i="1"/>
  <c r="G779" i="1"/>
  <c r="G905" i="1"/>
  <c r="G307" i="1"/>
  <c r="G1819" i="1"/>
  <c r="G1161" i="1"/>
  <c r="G759" i="1"/>
  <c r="G1021" i="1"/>
  <c r="I494" i="1"/>
  <c r="I922" i="1"/>
  <c r="G497" i="1"/>
  <c r="I1276" i="1"/>
  <c r="I297" i="1"/>
  <c r="G396" i="1"/>
  <c r="G1571" i="1"/>
  <c r="G1960" i="1"/>
  <c r="G451" i="1"/>
  <c r="I982" i="1"/>
  <c r="I1761" i="1"/>
  <c r="G1622" i="1"/>
  <c r="I1718" i="1"/>
  <c r="G1360" i="1"/>
  <c r="I1962" i="1"/>
  <c r="G227" i="1"/>
  <c r="I962" i="1"/>
  <c r="G854" i="1"/>
  <c r="G176" i="1"/>
  <c r="G569" i="1"/>
  <c r="I937" i="1"/>
  <c r="I1284" i="1"/>
  <c r="G137" i="1"/>
  <c r="G1285" i="1"/>
  <c r="G1085" i="1"/>
  <c r="G931" i="1"/>
  <c r="I448" i="1"/>
  <c r="G1836" i="1"/>
  <c r="I257" i="1"/>
  <c r="G1353" i="1"/>
  <c r="G1895" i="1"/>
  <c r="G1933" i="1"/>
  <c r="I1051" i="1"/>
  <c r="I1183" i="1"/>
  <c r="G692" i="1"/>
  <c r="I46" i="1"/>
  <c r="G1797" i="1"/>
  <c r="I748" i="1"/>
  <c r="G99" i="1"/>
  <c r="G1001" i="1"/>
  <c r="G1830" i="1"/>
  <c r="I758" i="1"/>
  <c r="G1537" i="1"/>
  <c r="G113" i="1"/>
  <c r="I1221" i="1"/>
  <c r="G925" i="1"/>
  <c r="I1906" i="1"/>
  <c r="G1910" i="1"/>
  <c r="G895" i="1"/>
  <c r="G1849" i="1"/>
  <c r="G579" i="1"/>
  <c r="G1553" i="1"/>
  <c r="I1262" i="1"/>
  <c r="I356" i="1"/>
  <c r="I1525" i="1"/>
  <c r="I1732" i="1"/>
  <c r="I718" i="1"/>
  <c r="G1894" i="1"/>
  <c r="I1423" i="1"/>
  <c r="I1874" i="1"/>
  <c r="I1713" i="1"/>
  <c r="I105" i="1"/>
  <c r="I50" i="1"/>
  <c r="G607" i="1"/>
  <c r="G1674" i="1"/>
  <c r="G747" i="1"/>
  <c r="I1362" i="1"/>
  <c r="I1390" i="1"/>
  <c r="I1311" i="1"/>
  <c r="G945" i="1"/>
  <c r="G522" i="1"/>
  <c r="G151" i="1"/>
  <c r="G1707" i="1"/>
  <c r="G1564" i="1"/>
  <c r="G78" i="1"/>
  <c r="I777" i="1"/>
  <c r="I401" i="1"/>
  <c r="I1794" i="1"/>
  <c r="G457" i="1"/>
  <c r="I1154" i="1"/>
  <c r="G214" i="1"/>
  <c r="G57" i="1"/>
  <c r="G647" i="1"/>
  <c r="G1208" i="1"/>
  <c r="I910" i="1"/>
  <c r="I1267" i="1"/>
  <c r="I553" i="1"/>
  <c r="G1542" i="1"/>
  <c r="I1580" i="1"/>
  <c r="G466" i="1"/>
  <c r="G1189" i="1"/>
  <c r="G554" i="1"/>
  <c r="I1873" i="1"/>
  <c r="I1842" i="1"/>
  <c r="I279" i="1"/>
  <c r="G1345" i="1"/>
  <c r="I431" i="1"/>
  <c r="I525" i="1"/>
  <c r="I560" i="1"/>
  <c r="G1338" i="1"/>
  <c r="G1270" i="1"/>
  <c r="G1685" i="1"/>
  <c r="G1617" i="1"/>
  <c r="I704" i="1"/>
  <c r="G1513" i="1"/>
  <c r="I914" i="1"/>
  <c r="I1847" i="1"/>
  <c r="G505" i="1"/>
  <c r="G469" i="1"/>
  <c r="G1068" i="1"/>
  <c r="I1638" i="1"/>
  <c r="I272" i="1"/>
  <c r="G1448" i="1"/>
  <c r="I917" i="1"/>
  <c r="G1033" i="1"/>
  <c r="I948" i="1"/>
  <c r="I1625" i="1"/>
  <c r="G1584" i="1"/>
  <c r="I400" i="1"/>
  <c r="G459" i="1"/>
  <c r="I478" i="1"/>
  <c r="G575" i="1"/>
  <c r="G656" i="1"/>
  <c r="I1030" i="1"/>
  <c r="I1576" i="1"/>
  <c r="G465" i="1"/>
  <c r="I628" i="1"/>
  <c r="G1500" i="1"/>
  <c r="I1644" i="1"/>
  <c r="I895" i="1"/>
  <c r="I1543" i="1"/>
  <c r="G1079" i="1"/>
  <c r="I387" i="1"/>
  <c r="I504" i="1"/>
  <c r="I637" i="1"/>
  <c r="G1683" i="1"/>
  <c r="G79" i="1"/>
  <c r="I1569" i="1"/>
  <c r="I723" i="1"/>
  <c r="G1158" i="1"/>
  <c r="G1641" i="1"/>
  <c r="I586" i="1"/>
  <c r="G1969" i="1"/>
  <c r="G598" i="1"/>
  <c r="I806" i="1"/>
  <c r="G223" i="1"/>
  <c r="I1113" i="1"/>
  <c r="G1866" i="1"/>
  <c r="I1541" i="1"/>
  <c r="I620" i="1"/>
  <c r="G769" i="1"/>
  <c r="I1550" i="1"/>
  <c r="I1925" i="1"/>
  <c r="G651" i="1"/>
  <c r="I1035" i="1"/>
  <c r="G1985" i="1"/>
  <c r="G571" i="1"/>
  <c r="G1872" i="1"/>
  <c r="I1560" i="1"/>
  <c r="G360" i="1"/>
  <c r="I1957" i="1"/>
  <c r="G606" i="1"/>
  <c r="G1908" i="1"/>
  <c r="I1690" i="1"/>
  <c r="G1953" i="1"/>
  <c r="G354" i="1"/>
  <c r="I325" i="1"/>
  <c r="G1350" i="1"/>
  <c r="I902" i="1"/>
  <c r="G533" i="1"/>
  <c r="G580" i="1"/>
  <c r="G1711" i="1"/>
  <c r="G234" i="1"/>
  <c r="I1280" i="1"/>
  <c r="G1788" i="1"/>
  <c r="I1824" i="1"/>
  <c r="I1637" i="1"/>
  <c r="G1263" i="1"/>
  <c r="I253" i="1"/>
  <c r="G1620" i="1"/>
  <c r="I187" i="1"/>
  <c r="I874" i="1"/>
  <c r="I617" i="1"/>
  <c r="G1693" i="1"/>
  <c r="G954" i="1"/>
  <c r="G1213" i="1"/>
  <c r="I864" i="1"/>
  <c r="G1124" i="1"/>
  <c r="G851" i="1"/>
  <c r="G1973" i="1"/>
  <c r="G248" i="1"/>
  <c r="I1658" i="1"/>
  <c r="I1749" i="1"/>
  <c r="I1819" i="1"/>
  <c r="I939" i="1"/>
  <c r="G1912" i="1"/>
  <c r="I1068" i="1"/>
  <c r="G1822" i="1"/>
  <c r="G321" i="1"/>
  <c r="I115" i="1"/>
  <c r="G1131" i="1"/>
  <c r="G935" i="1"/>
  <c r="G397" i="1"/>
  <c r="G376" i="1"/>
  <c r="I1555" i="1"/>
  <c r="G1920" i="1"/>
  <c r="I60" i="1"/>
  <c r="G276" i="1"/>
  <c r="G1956" i="1"/>
  <c r="I314" i="1"/>
  <c r="G13" i="1"/>
  <c r="G495" i="1"/>
  <c r="G200" i="1"/>
  <c r="G1881" i="1"/>
  <c r="G1453" i="1"/>
  <c r="G183" i="1"/>
  <c r="G858" i="1"/>
  <c r="I185" i="1"/>
  <c r="I1579" i="1"/>
  <c r="I450" i="1"/>
  <c r="I580" i="1"/>
  <c r="G411" i="1"/>
  <c r="I1966" i="1"/>
  <c r="G1051" i="1"/>
  <c r="G126" i="1"/>
  <c r="G951" i="1"/>
  <c r="I818" i="1"/>
  <c r="G452" i="1"/>
  <c r="G116" i="1"/>
  <c r="G1798" i="1"/>
  <c r="G1358" i="1"/>
  <c r="I63" i="1"/>
  <c r="I94" i="1"/>
  <c r="G1962" i="1"/>
  <c r="I247" i="1"/>
  <c r="G367" i="1"/>
  <c r="I390" i="1"/>
  <c r="G173" i="1"/>
  <c r="I1056" i="1"/>
  <c r="I1768" i="1"/>
  <c r="I1488" i="1"/>
  <c r="G1276" i="1"/>
  <c r="I947" i="1"/>
  <c r="G941" i="1"/>
  <c r="I193" i="1"/>
  <c r="G1429" i="1"/>
  <c r="G385" i="1"/>
  <c r="I1259" i="1"/>
  <c r="I1234" i="1"/>
  <c r="I361" i="1"/>
  <c r="G808" i="1"/>
  <c r="G661" i="1"/>
  <c r="I1404" i="1"/>
  <c r="I1318" i="1"/>
  <c r="I474" i="1"/>
  <c r="I1523" i="1"/>
  <c r="I252" i="1"/>
  <c r="G1499" i="1"/>
  <c r="G485" i="1"/>
  <c r="I1341" i="1"/>
  <c r="G1466" i="1"/>
  <c r="I897" i="1"/>
  <c r="I1619" i="1"/>
  <c r="G643" i="1"/>
  <c r="G990" i="1"/>
  <c r="G915" i="1"/>
  <c r="G424" i="1"/>
  <c r="I1939" i="1"/>
  <c r="I699" i="1"/>
  <c r="I227" i="1"/>
  <c r="I1810" i="1"/>
  <c r="G1042" i="1"/>
  <c r="G1139" i="1"/>
  <c r="G871" i="1"/>
  <c r="G962" i="1"/>
  <c r="I412" i="1"/>
  <c r="I639" i="1"/>
  <c r="I1368" i="1"/>
  <c r="G1053" i="1"/>
  <c r="I610" i="1"/>
  <c r="I1921" i="1"/>
  <c r="I624" i="1"/>
  <c r="G1437" i="1"/>
  <c r="G1024" i="1"/>
  <c r="I355" i="1"/>
  <c r="G297" i="1"/>
  <c r="I537" i="1"/>
  <c r="I1232" i="1"/>
  <c r="I1417" i="1"/>
  <c r="I1295" i="1"/>
  <c r="I1496" i="1"/>
  <c r="I1216" i="1"/>
  <c r="I945" i="1"/>
  <c r="I216" i="1"/>
  <c r="I1978" i="1"/>
  <c r="G653" i="1"/>
  <c r="G378" i="1"/>
  <c r="I599" i="1"/>
  <c r="I1209" i="1"/>
  <c r="I1928" i="1"/>
  <c r="G551" i="1"/>
  <c r="I430" i="1"/>
  <c r="G316" i="1"/>
  <c r="I1773" i="1"/>
  <c r="I1320" i="1"/>
  <c r="I1157" i="1"/>
  <c r="G1359" i="1"/>
  <c r="G1608" i="1"/>
  <c r="G1404" i="1"/>
  <c r="G540" i="1"/>
  <c r="G885" i="1"/>
  <c r="G1639" i="1"/>
  <c r="G1446" i="1"/>
  <c r="I1896" i="1"/>
  <c r="G810" i="1"/>
  <c r="G1883" i="1"/>
  <c r="I595" i="1"/>
  <c r="I573" i="1"/>
  <c r="G476" i="1"/>
  <c r="G1807" i="1"/>
  <c r="I1548" i="1"/>
  <c r="G201" i="1"/>
  <c r="I650" i="1"/>
  <c r="G1149" i="1"/>
  <c r="I804" i="1"/>
  <c r="G658" i="1"/>
  <c r="G247" i="1"/>
  <c r="G648" i="1"/>
  <c r="I896" i="1"/>
  <c r="I1575" i="1"/>
  <c r="G1530" i="1"/>
  <c r="I875" i="1"/>
  <c r="G1322" i="1"/>
  <c r="I531" i="1"/>
  <c r="I1016" i="1"/>
  <c r="I528" i="1"/>
  <c r="G450" i="1"/>
  <c r="I84" i="1"/>
  <c r="I614" i="1"/>
  <c r="G1561" i="1"/>
  <c r="I1270" i="1"/>
  <c r="I106" i="1"/>
  <c r="I584" i="1"/>
  <c r="G228" i="1"/>
  <c r="I1600" i="1"/>
  <c r="G1427" i="1"/>
  <c r="I1207" i="1"/>
  <c r="G678" i="1"/>
  <c r="G217" i="1"/>
  <c r="G49" i="1"/>
  <c r="I1189" i="1"/>
  <c r="I1127" i="1"/>
  <c r="G391" i="1"/>
  <c r="I710" i="1"/>
  <c r="I640" i="1"/>
  <c r="I480" i="1"/>
  <c r="I1169" i="1"/>
  <c r="I709" i="1"/>
  <c r="I496" i="1"/>
  <c r="I772" i="1"/>
  <c r="I493" i="1"/>
  <c r="I990" i="1"/>
  <c r="I421" i="1"/>
  <c r="G877" i="1"/>
  <c r="G433" i="1"/>
  <c r="I1592" i="1"/>
  <c r="G1075" i="1"/>
  <c r="I1956" i="1"/>
  <c r="G1640" i="1"/>
  <c r="G160" i="1"/>
  <c r="G1040" i="1"/>
  <c r="I1429" i="1"/>
  <c r="I726" i="1"/>
  <c r="G1469" i="1"/>
  <c r="G31" i="1"/>
  <c r="G722" i="1"/>
  <c r="I86" i="1"/>
  <c r="I1002" i="1"/>
  <c r="I1491" i="1"/>
  <c r="I1891" i="1"/>
  <c r="G1599" i="1"/>
  <c r="I1503" i="1"/>
  <c r="I1935" i="1"/>
  <c r="G1848" i="1"/>
  <c r="G1176" i="1"/>
  <c r="G1568" i="1"/>
  <c r="I641" i="1"/>
  <c r="I562" i="1"/>
  <c r="I495" i="1"/>
  <c r="G528" i="1"/>
  <c r="I473" i="1"/>
  <c r="I466" i="1"/>
  <c r="I509" i="1"/>
  <c r="I1670" i="1"/>
  <c r="I1343" i="1"/>
  <c r="I1195" i="1"/>
  <c r="I1828" i="1"/>
  <c r="I1669" i="1"/>
  <c r="G716" i="1"/>
  <c r="G1606" i="1"/>
  <c r="G821" i="1"/>
  <c r="I109" i="1"/>
  <c r="G668" i="1"/>
  <c r="G1005" i="1"/>
  <c r="I1931" i="1"/>
  <c r="G1549" i="1"/>
  <c r="I1032" i="1"/>
  <c r="G883" i="1"/>
  <c r="I445" i="1"/>
  <c r="G1152" i="1"/>
  <c r="G1013" i="1"/>
  <c r="G1555" i="1"/>
  <c r="I544" i="1"/>
  <c r="G1014" i="1"/>
  <c r="I423" i="1"/>
  <c r="I1964" i="1"/>
  <c r="I629" i="1"/>
  <c r="G484" i="1"/>
  <c r="I1807" i="1"/>
  <c r="I1762" i="1"/>
  <c r="G464" i="1"/>
  <c r="I983" i="1"/>
  <c r="G1710" i="1"/>
  <c r="I792" i="1"/>
  <c r="I1624" i="1"/>
  <c r="G359" i="1"/>
  <c r="I98" i="1"/>
  <c r="I1023" i="1"/>
  <c r="I1010" i="1"/>
  <c r="G1959" i="1"/>
  <c r="G1621" i="1"/>
  <c r="I241" i="1"/>
  <c r="G390" i="1"/>
  <c r="I157" i="1"/>
  <c r="G1714" i="1"/>
  <c r="G1416" i="1"/>
  <c r="G1038" i="1"/>
  <c r="I1989" i="1"/>
  <c r="G513" i="1"/>
  <c r="G1730" i="1"/>
  <c r="I170" i="1"/>
  <c r="G848" i="1"/>
  <c r="I1910" i="1"/>
  <c r="G259" i="1"/>
  <c r="I1370" i="1"/>
  <c r="G159" i="1"/>
  <c r="I1919" i="1"/>
  <c r="I625" i="1"/>
  <c r="G1676" i="1"/>
  <c r="I1623" i="1"/>
  <c r="I20" i="1"/>
  <c r="I1462" i="1"/>
  <c r="I148" i="1"/>
  <c r="I1947" i="1"/>
  <c r="G455" i="1"/>
  <c r="G1485" i="1"/>
  <c r="G856" i="1"/>
  <c r="I132" i="1"/>
  <c r="I1808" i="1"/>
  <c r="I1534" i="1"/>
  <c r="G477" i="1"/>
  <c r="G1989" i="1"/>
  <c r="I996" i="1"/>
  <c r="G733" i="1"/>
  <c r="G123" i="1"/>
  <c r="I291" i="1"/>
  <c r="I1356" i="1"/>
  <c r="G1979" i="1"/>
  <c r="G308" i="1"/>
  <c r="I427" i="1"/>
  <c r="G1778" i="1"/>
  <c r="G1267" i="1"/>
  <c r="I45" i="1"/>
  <c r="G665" i="1"/>
  <c r="I968" i="1"/>
  <c r="I740" i="1"/>
  <c r="I36" i="1"/>
  <c r="I811" i="1"/>
  <c r="G1311" i="1"/>
  <c r="I1214" i="1"/>
  <c r="G1824" i="1"/>
  <c r="I974" i="1"/>
  <c r="G1151" i="1"/>
  <c r="G131" i="1"/>
  <c r="I555" i="1"/>
  <c r="G1958" i="1"/>
  <c r="G1762" i="1"/>
  <c r="I475" i="1"/>
  <c r="I12" i="1"/>
  <c r="I1085" i="1"/>
  <c r="G12" i="1"/>
  <c r="I1117" i="1"/>
  <c r="G833" i="1"/>
  <c r="G1715" i="1"/>
  <c r="I660" i="1"/>
  <c r="I1752" i="1"/>
  <c r="G82" i="1"/>
  <c r="G797" i="1"/>
  <c r="I1363" i="1"/>
  <c r="G1662" i="1"/>
  <c r="I1481" i="1"/>
  <c r="I872" i="1"/>
  <c r="G63" i="1"/>
  <c r="G1243" i="1"/>
  <c r="G437" i="1"/>
  <c r="I1006" i="1"/>
  <c r="I1674" i="1"/>
  <c r="G773" i="1"/>
  <c r="I798" i="1"/>
  <c r="G100" i="1"/>
  <c r="G557" i="1"/>
  <c r="G1637" i="1"/>
  <c r="G38" i="1"/>
  <c r="I112" i="1"/>
  <c r="G1566" i="1"/>
  <c r="I1237" i="1"/>
  <c r="G981" i="1"/>
  <c r="G1978" i="1"/>
  <c r="G181" i="1"/>
  <c r="I48" i="1"/>
  <c r="G1175" i="1"/>
  <c r="G439" i="1"/>
  <c r="G237" i="1"/>
  <c r="I245" i="1"/>
  <c r="G468" i="1"/>
  <c r="I1095" i="1"/>
  <c r="G1612" i="1"/>
  <c r="I1634" i="1"/>
  <c r="I1184" i="1"/>
  <c r="G1391" i="1"/>
  <c r="G1820" i="1"/>
  <c r="G561" i="1"/>
  <c r="G26" i="1"/>
  <c r="G565" i="1"/>
  <c r="G1306" i="1"/>
  <c r="I1236" i="1"/>
  <c r="I1657" i="1"/>
  <c r="I319" i="1"/>
  <c r="I802" i="1"/>
  <c r="G19" i="1"/>
  <c r="G1155" i="1"/>
  <c r="I1164" i="1"/>
  <c r="G1574" i="1"/>
  <c r="I801" i="1"/>
  <c r="I238" i="1"/>
  <c r="I776" i="1"/>
  <c r="G1045" i="1"/>
  <c r="I1988" i="1"/>
  <c r="I827" i="1"/>
  <c r="I1077" i="1"/>
  <c r="I901" i="1"/>
  <c r="I557" i="1"/>
  <c r="G9" i="1"/>
  <c r="I1688" i="1"/>
  <c r="G1317" i="1"/>
  <c r="G1145" i="1"/>
  <c r="G711" i="1"/>
  <c r="I912" i="1"/>
  <c r="I365" i="1"/>
  <c r="I337" i="1"/>
  <c r="G1771" i="1"/>
  <c r="I666" i="1"/>
  <c r="G501" i="1"/>
  <c r="I484" i="1"/>
  <c r="G1700" i="1"/>
  <c r="G1328" i="1"/>
  <c r="I1922" i="1"/>
  <c r="I1440" i="1"/>
  <c r="I1291" i="1"/>
  <c r="I345" i="1"/>
  <c r="I649" i="1"/>
  <c r="I1000" i="1"/>
  <c r="I1098" i="1"/>
  <c r="I334" i="1"/>
  <c r="I831" i="1"/>
  <c r="I846" i="1"/>
  <c r="I234" i="1"/>
  <c r="I435" i="1"/>
  <c r="I25" i="1"/>
  <c r="G204" i="1"/>
  <c r="I104" i="1"/>
  <c r="G1352" i="1"/>
  <c r="I653" i="1"/>
  <c r="G1598" i="1"/>
  <c r="G1504" i="1"/>
  <c r="G269" i="1"/>
  <c r="G696" i="1"/>
  <c r="G1349" i="1"/>
  <c r="I1448" i="1"/>
  <c r="G1298" i="1"/>
  <c r="G42" i="1"/>
  <c r="I1684" i="1"/>
  <c r="I1015" i="1"/>
  <c r="I1422" i="1"/>
  <c r="I677" i="1"/>
  <c r="G1990" i="1"/>
  <c r="I219" i="1"/>
  <c r="G1980" i="1"/>
  <c r="I1397" i="1"/>
  <c r="G864" i="1"/>
  <c r="I1941" i="1"/>
  <c r="I1612" i="1"/>
  <c r="I1128" i="1"/>
  <c r="G419" i="1"/>
  <c r="G1858" i="1"/>
  <c r="G1239" i="1"/>
  <c r="I1372" i="1"/>
  <c r="I1707" i="1"/>
  <c r="I1149" i="1"/>
  <c r="G238" i="1"/>
  <c r="G106" i="1"/>
  <c r="G1610" i="1"/>
  <c r="G859" i="1"/>
  <c r="G1212" i="1"/>
  <c r="I1092" i="1"/>
  <c r="I5" i="1"/>
  <c r="G188" i="1"/>
  <c r="I1473" i="1"/>
  <c r="I988" i="1"/>
  <c r="I488" i="1"/>
  <c r="I866" i="1"/>
  <c r="I519" i="1"/>
  <c r="G1341" i="1"/>
  <c r="I1968" i="1"/>
  <c r="G682" i="1"/>
  <c r="I1360" i="1"/>
  <c r="I357" i="1"/>
  <c r="G1491" i="1"/>
  <c r="I1780" i="1"/>
  <c r="I31" i="1"/>
  <c r="G18" i="1"/>
  <c r="I1338" i="1"/>
  <c r="G988" i="1"/>
  <c r="I1728" i="1"/>
  <c r="I1048" i="1"/>
  <c r="G2000" i="1"/>
  <c r="I994" i="1"/>
  <c r="I921" i="1"/>
  <c r="I1180" i="1"/>
  <c r="G115" i="1"/>
  <c r="I1075" i="1"/>
  <c r="G1759" i="1"/>
  <c r="I1476" i="1"/>
  <c r="G1324" i="1"/>
  <c r="I1361" i="1"/>
  <c r="G1309" i="1"/>
  <c r="I678" i="1"/>
  <c r="I1308" i="1"/>
  <c r="I773" i="1"/>
  <c r="I839" i="1"/>
  <c r="I919" i="1"/>
  <c r="G841" i="1"/>
  <c r="I662" i="1"/>
  <c r="I1498" i="1"/>
  <c r="G1943" i="1"/>
  <c r="G327" i="1"/>
  <c r="G938" i="1"/>
  <c r="G612" i="1"/>
  <c r="G979" i="1"/>
  <c r="G375" i="1"/>
  <c r="I33" i="1"/>
  <c r="G114" i="1"/>
  <c r="G709" i="1"/>
  <c r="I1449" i="1"/>
  <c r="G616" i="1"/>
  <c r="I1349" i="1"/>
  <c r="I166" i="1"/>
  <c r="G1618" i="1"/>
  <c r="I366" i="1"/>
  <c r="G1847" i="1"/>
  <c r="G567" i="1"/>
  <c r="G1570" i="1"/>
  <c r="G1527" i="1"/>
  <c r="I918" i="1"/>
  <c r="I1784" i="1"/>
  <c r="G1949" i="1"/>
  <c r="I1124" i="1"/>
  <c r="G14" i="1"/>
  <c r="G1029" i="1"/>
  <c r="G1180" i="1"/>
  <c r="I353" i="1"/>
  <c r="I1706" i="1"/>
  <c r="I188" i="1"/>
  <c r="G1763" i="1"/>
  <c r="G1034" i="1"/>
  <c r="G578" i="1"/>
  <c r="I248" i="1"/>
  <c r="G348" i="1"/>
  <c r="I873" i="1"/>
  <c r="I205" i="1"/>
  <c r="G353" i="1"/>
  <c r="I93" i="1"/>
  <c r="I1885" i="1"/>
  <c r="I1452" i="1"/>
  <c r="G542" i="1"/>
  <c r="G712" i="1"/>
  <c r="I1563" i="1"/>
  <c r="G189" i="1"/>
  <c r="I1185" i="1"/>
  <c r="G1955" i="1"/>
  <c r="I594" i="1"/>
  <c r="I605" i="1"/>
  <c r="G1171" i="1"/>
  <c r="G587" i="1"/>
  <c r="I643" i="1"/>
  <c r="I1192" i="1"/>
  <c r="I1945" i="1"/>
  <c r="G835" i="1"/>
  <c r="G1420" i="1"/>
  <c r="I769" i="1"/>
  <c r="G1972" i="1"/>
  <c r="I791" i="1"/>
  <c r="I460" i="1"/>
  <c r="G1315" i="1"/>
  <c r="G508" i="1"/>
  <c r="I1471" i="1"/>
  <c r="I530" i="1"/>
  <c r="G1105" i="1"/>
  <c r="G1931" i="1"/>
  <c r="G1004" i="1"/>
  <c r="G1810" i="1"/>
  <c r="G1445" i="1"/>
  <c r="G1084" i="1"/>
  <c r="I893" i="1"/>
  <c r="G1310" i="1"/>
  <c r="G1227" i="1"/>
  <c r="G1334" i="1"/>
  <c r="I1848" i="1"/>
  <c r="I764" i="1"/>
  <c r="I995" i="1"/>
  <c r="I89" i="1"/>
  <c r="I1516" i="1"/>
  <c r="G1433" i="1"/>
  <c r="G45" i="1"/>
  <c r="G1515" i="1"/>
  <c r="G1395" i="1"/>
  <c r="I754" i="1"/>
  <c r="I1385" i="1"/>
  <c r="G386" i="1"/>
  <c r="G112" i="1"/>
  <c r="G1907" i="1"/>
  <c r="G664" i="1"/>
  <c r="I1456" i="1"/>
  <c r="I1708" i="1"/>
  <c r="I117" i="1"/>
  <c r="G55" i="1"/>
  <c r="I985" i="1"/>
  <c r="I1443" i="1"/>
  <c r="G257" i="1"/>
  <c r="I635" i="1"/>
  <c r="I499" i="1"/>
  <c r="G878" i="1"/>
  <c r="G824" i="1"/>
  <c r="I648" i="1"/>
  <c r="I992" i="1"/>
  <c r="I323" i="1"/>
  <c r="I658" i="1"/>
  <c r="G66" i="1"/>
  <c r="I695" i="1"/>
  <c r="I178" i="1"/>
  <c r="I1839" i="1"/>
  <c r="G1106" i="1"/>
  <c r="G728" i="1"/>
  <c r="I1672" i="1"/>
  <c r="I391" i="1"/>
  <c r="I281" i="1"/>
  <c r="I1858" i="1"/>
  <c r="G1667" i="1"/>
  <c r="G1716" i="1"/>
  <c r="I1678" i="1"/>
  <c r="G1638" i="1"/>
  <c r="I976" i="1"/>
  <c r="I406" i="1"/>
  <c r="I1788" i="1"/>
  <c r="G1076" i="1"/>
  <c r="I803" i="1"/>
  <c r="G943" i="1"/>
  <c r="G1482" i="1"/>
  <c r="G1581" i="1"/>
  <c r="I774" i="1"/>
  <c r="G75" i="1"/>
  <c r="G1438" i="1"/>
  <c r="I835" i="1"/>
  <c r="G427" i="1"/>
  <c r="G1957" i="1"/>
  <c r="G743" i="1"/>
  <c r="I1994" i="1"/>
  <c r="G975" i="1"/>
  <c r="I1170" i="1"/>
  <c r="I1431" i="1"/>
  <c r="I1904" i="1"/>
  <c r="I719" i="1"/>
  <c r="I232" i="1"/>
  <c r="I322" i="1"/>
  <c r="G624" i="1"/>
  <c r="G1003" i="1"/>
  <c r="I1083" i="1"/>
  <c r="I1465" i="1"/>
  <c r="G827" i="1"/>
  <c r="I842" i="1"/>
  <c r="I1258" i="1"/>
  <c r="I1878" i="1"/>
  <c r="G630" i="1"/>
  <c r="G750" i="1"/>
  <c r="G1178" i="1"/>
  <c r="I915" i="1"/>
  <c r="G1748" i="1"/>
  <c r="G164" i="1"/>
  <c r="I1025" i="1"/>
  <c r="I388" i="1"/>
  <c r="G260" i="1"/>
  <c r="G1793" i="1"/>
  <c r="G90" i="1"/>
  <c r="G510" i="1"/>
  <c r="G597" i="1"/>
  <c r="G23" i="1"/>
  <c r="G755" i="1"/>
  <c r="I1507" i="1"/>
  <c r="G960" i="1"/>
  <c r="G175" i="1"/>
  <c r="G96" i="1"/>
  <c r="G625" i="1"/>
  <c r="G1684" i="1"/>
  <c r="I1114" i="1"/>
  <c r="G768" i="1"/>
  <c r="I715" i="1"/>
  <c r="G1921" i="1"/>
  <c r="I78" i="1"/>
  <c r="G1890" i="1"/>
  <c r="I1526" i="1"/>
  <c r="G1665" i="1"/>
  <c r="I1854" i="1"/>
  <c r="I1037" i="1"/>
  <c r="G553" i="1"/>
  <c r="G1724" i="1"/>
  <c r="I1535" i="1"/>
  <c r="I246" i="1"/>
  <c r="I738" i="1"/>
  <c r="I242" i="1"/>
  <c r="G266" i="1"/>
  <c r="G1088" i="1"/>
  <c r="I52" i="1"/>
  <c r="G1062" i="1"/>
  <c r="I1876" i="1"/>
  <c r="G688" i="1"/>
  <c r="I1039" i="1"/>
  <c r="G263" i="1"/>
  <c r="G699" i="1"/>
  <c r="I1293" i="1"/>
  <c r="G332" i="1"/>
  <c r="I239" i="1"/>
  <c r="I1228" i="1"/>
  <c r="I823" i="1"/>
  <c r="K3" i="6"/>
  <c r="D30" i="6"/>
  <c r="G2" i="1"/>
  <c r="D9" i="6"/>
  <c r="I1198" i="1"/>
  <c r="I1332" i="1"/>
  <c r="G1927" i="1"/>
  <c r="G613" i="1"/>
  <c r="G1265" i="1"/>
  <c r="G1289" i="1"/>
  <c r="G393" i="1"/>
  <c r="G362" i="1"/>
  <c r="I249" i="1"/>
  <c r="G97" i="1"/>
  <c r="G1468" i="1"/>
  <c r="G1432" i="1"/>
  <c r="I1539" i="1"/>
  <c r="I1679" i="1"/>
  <c r="I149" i="1"/>
  <c r="G162" i="1"/>
  <c r="I1445" i="1"/>
  <c r="I661" i="1"/>
  <c r="G897" i="1"/>
  <c r="I1954" i="1"/>
  <c r="G315" i="1"/>
  <c r="I44" i="1"/>
  <c r="I66" i="1"/>
  <c r="I775" i="1"/>
  <c r="G566" i="1"/>
  <c r="I1487" i="1"/>
  <c r="I1880" i="1"/>
  <c r="G1099" i="1"/>
  <c r="G118" i="1"/>
  <c r="G1828" i="1"/>
  <c r="I278" i="1"/>
  <c r="I1054" i="1"/>
  <c r="G1055" i="1"/>
  <c r="G1790" i="1"/>
  <c r="I1302" i="1"/>
  <c r="G1463" i="1"/>
  <c r="G1082" i="1"/>
  <c r="I1812" i="1"/>
  <c r="I1241" i="1"/>
  <c r="G1245" i="1"/>
  <c r="G1507" i="1"/>
  <c r="I1289" i="1"/>
  <c r="I363" i="1"/>
  <c r="G1863" i="1"/>
  <c r="G742" i="1"/>
  <c r="G628" i="1"/>
  <c r="G681" i="1"/>
  <c r="I409" i="1"/>
  <c r="G1259" i="1"/>
  <c r="G1464" i="1"/>
  <c r="G746" i="1"/>
  <c r="G646" i="1"/>
  <c r="I1765" i="1"/>
  <c r="G8" i="1"/>
  <c r="I1513" i="1"/>
  <c r="G1789" i="1"/>
  <c r="G1157" i="1"/>
  <c r="I838" i="1"/>
  <c r="G333" i="1"/>
  <c r="G1141" i="1"/>
  <c r="I1907" i="1"/>
  <c r="I619" i="1"/>
  <c r="G1444" i="1"/>
  <c r="I1153" i="1"/>
  <c r="I1573" i="1"/>
  <c r="G141" i="1"/>
  <c r="G1850" i="1"/>
  <c r="G541" i="1"/>
  <c r="G1389" i="1"/>
  <c r="I1985" i="1"/>
  <c r="I1263" i="1"/>
  <c r="G734" i="1"/>
  <c r="I1197" i="1"/>
  <c r="I1759" i="1"/>
  <c r="I1175" i="1"/>
  <c r="I733" i="1"/>
  <c r="I1980" i="1"/>
  <c r="I364" i="1"/>
  <c r="G458" i="1"/>
  <c r="I1868" i="1"/>
  <c r="G1736" i="1"/>
  <c r="I229" i="1"/>
  <c r="G1686" i="1"/>
  <c r="G454" i="1"/>
  <c r="I1116" i="1"/>
  <c r="I596" i="1"/>
  <c r="G180" i="1"/>
  <c r="G806" i="1"/>
  <c r="I182" i="1"/>
  <c r="G861" i="1"/>
  <c r="I307" i="1"/>
  <c r="G88" i="1"/>
  <c r="I550" i="1"/>
  <c r="I264" i="1"/>
  <c r="I686" i="1"/>
  <c r="G1773" i="1"/>
  <c r="I329" i="1"/>
  <c r="G235" i="1"/>
  <c r="I440" i="1"/>
  <c r="G655" i="1"/>
  <c r="G285" i="1"/>
  <c r="I1065" i="1"/>
  <c r="I632" i="1"/>
  <c r="I1846" i="1"/>
  <c r="I669" i="1"/>
  <c r="I1946" i="1"/>
  <c r="G1928" i="1"/>
  <c r="I1724" i="1"/>
  <c r="I289" i="1"/>
  <c r="I626" i="1"/>
  <c r="I1460" i="1"/>
  <c r="I1530" i="1"/>
  <c r="I1577" i="1"/>
  <c r="G1086" i="1"/>
  <c r="G209" i="1"/>
  <c r="I545" i="1"/>
  <c r="I255" i="1"/>
  <c r="G611" i="1"/>
  <c r="I770" i="1"/>
  <c r="G229" i="1"/>
  <c r="I891" i="1"/>
  <c r="G1407" i="1"/>
  <c r="I928" i="1"/>
  <c r="G1875" i="1"/>
  <c r="G514" i="1"/>
  <c r="I1698" i="1"/>
  <c r="I1803" i="1"/>
  <c r="G633" i="1"/>
  <c r="I1082" i="1"/>
  <c r="G1127" i="1"/>
  <c r="I359" i="1"/>
  <c r="G1782" i="1"/>
  <c r="G1150" i="1"/>
  <c r="G1777" i="1"/>
  <c r="G1739" i="1"/>
  <c r="I83" i="1"/>
  <c r="G1431" i="1"/>
  <c r="I1256" i="1"/>
  <c r="G76" i="1"/>
  <c r="I1047" i="1"/>
  <c r="G761" i="1"/>
  <c r="I1499" i="1"/>
  <c r="I1376" i="1"/>
  <c r="G1732" i="1"/>
  <c r="G1044" i="1"/>
  <c r="G290" i="1"/>
  <c r="I1437" i="1"/>
  <c r="I633" i="1"/>
  <c r="G1296" i="1"/>
  <c r="I1059" i="1"/>
  <c r="G816" i="1"/>
  <c r="G503" i="1"/>
  <c r="I940" i="1"/>
  <c r="G730" i="1"/>
  <c r="G1643" i="1"/>
  <c r="I973" i="1"/>
  <c r="G1600" i="1"/>
  <c r="G138" i="1"/>
  <c r="G1313" i="1"/>
  <c r="I942" i="1"/>
  <c r="G702" i="1"/>
  <c r="I111" i="1"/>
  <c r="I1627" i="1"/>
  <c r="I1618" i="1"/>
  <c r="G869" i="1"/>
  <c r="I1857" i="1"/>
  <c r="I1843" i="1"/>
  <c r="G605" i="1"/>
  <c r="I328" i="1"/>
  <c r="G1262" i="1"/>
  <c r="G187" i="1"/>
  <c r="I863" i="1"/>
  <c r="G92" i="1"/>
  <c r="G1615" i="1"/>
  <c r="I11" i="1"/>
  <c r="I1517" i="1"/>
  <c r="I899" i="1"/>
  <c r="G1633" i="1"/>
  <c r="G72" i="1"/>
  <c r="I1936" i="1"/>
  <c r="G1215" i="1"/>
  <c r="G423" i="1"/>
  <c r="I1031" i="1"/>
  <c r="I1334" i="1"/>
  <c r="G980" i="1"/>
  <c r="I1375" i="1"/>
  <c r="G1017" i="1"/>
  <c r="G1030" i="1"/>
  <c r="I627" i="1"/>
  <c r="I1815" i="1"/>
  <c r="I524" i="1"/>
  <c r="I1018" i="1"/>
  <c r="I1650" i="1"/>
  <c r="I320" i="1"/>
  <c r="G786" i="1"/>
  <c r="I1319" i="1"/>
  <c r="G1321" i="1"/>
  <c r="I1558" i="1"/>
  <c r="I1403" i="1"/>
  <c r="G652" i="1"/>
  <c r="I1696" i="1"/>
  <c r="I393" i="1"/>
  <c r="I789" i="1"/>
  <c r="I685" i="1"/>
  <c r="I894" i="1"/>
  <c r="G1698" i="1"/>
  <c r="G996" i="1"/>
  <c r="G1855" i="1"/>
  <c r="G262" i="1"/>
  <c r="G1019" i="1"/>
  <c r="G293" i="1"/>
  <c r="I1245" i="1"/>
  <c r="G717" i="1"/>
  <c r="G401" i="1"/>
  <c r="I1785" i="1"/>
  <c r="I703" i="1"/>
  <c r="G934" i="1"/>
  <c r="G331" i="1"/>
  <c r="I1654" i="1"/>
  <c r="I904" i="1"/>
  <c r="G1032" i="1"/>
  <c r="I266" i="1"/>
  <c r="G311" i="1"/>
  <c r="G467" i="1"/>
  <c r="G924" i="1"/>
  <c r="G1577" i="1"/>
  <c r="I1329" i="1"/>
  <c r="G364" i="1"/>
  <c r="I731" i="1"/>
  <c r="G842" i="1"/>
  <c r="I1141" i="1"/>
  <c r="G20" i="1"/>
  <c r="I1715" i="1"/>
  <c r="G1422" i="1"/>
  <c r="G1825" i="1"/>
  <c r="I1306" i="1"/>
  <c r="I674" i="1"/>
  <c r="I1493" i="1"/>
  <c r="G239" i="1"/>
  <c r="I1292" i="1"/>
  <c r="I1428" i="1"/>
  <c r="I214" i="1"/>
  <c r="G815" i="1"/>
  <c r="G828" i="1"/>
  <c r="G119" i="1"/>
  <c r="G919" i="1"/>
  <c r="G1806" i="1"/>
  <c r="G1060" i="1"/>
  <c r="I1017" i="1"/>
  <c r="G1028" i="1"/>
  <c r="I1331" i="1"/>
  <c r="G1219" i="1"/>
  <c r="G48" i="1"/>
  <c r="G1925" i="1"/>
  <c r="G91" i="1"/>
  <c r="G1186" i="1"/>
  <c r="I1420" i="1"/>
  <c r="I1080" i="1"/>
  <c r="I952" i="1"/>
  <c r="I1224" i="1"/>
  <c r="I1879" i="1"/>
  <c r="I1900" i="1"/>
  <c r="G330" i="1"/>
  <c r="I576" i="1"/>
  <c r="I933" i="1"/>
  <c r="G535" i="1"/>
  <c r="I1482" i="1"/>
  <c r="G318" i="1"/>
  <c r="G414" i="1"/>
  <c r="I74" i="1"/>
  <c r="I1986" i="1"/>
  <c r="G1548" i="1"/>
  <c r="I351" i="1"/>
  <c r="I331" i="1"/>
  <c r="I1203" i="1"/>
  <c r="G122" i="1"/>
  <c r="G471" i="1"/>
  <c r="I1632" i="1"/>
  <c r="I572" i="1"/>
  <c r="G1635" i="1"/>
  <c r="I1778" i="1"/>
  <c r="I426" i="1"/>
  <c r="G992" i="1"/>
  <c r="G325" i="1"/>
  <c r="G1808" i="1"/>
  <c r="I1861" i="1"/>
  <c r="G1587" i="1"/>
  <c r="G1540" i="1"/>
  <c r="G1412" i="1"/>
  <c r="I1165" i="1"/>
  <c r="I145" i="1"/>
  <c r="I1199" i="1"/>
  <c r="G1244" i="1"/>
  <c r="G171" i="1"/>
  <c r="I317" i="1"/>
  <c r="I1040" i="1"/>
  <c r="I1268" i="1"/>
  <c r="G1578" i="1"/>
  <c r="I1416" i="1"/>
  <c r="G104" i="1"/>
  <c r="I441" i="1"/>
  <c r="I125" i="1"/>
  <c r="I886" i="1"/>
  <c r="G1832" i="1"/>
  <c r="G1304" i="1"/>
  <c r="G576" i="1"/>
  <c r="I32" i="1"/>
  <c r="I1852" i="1"/>
  <c r="I159" i="1"/>
  <c r="G838" i="1"/>
  <c r="G698" i="1"/>
  <c r="I107" i="1"/>
  <c r="I539" i="1"/>
  <c r="I574" i="1"/>
  <c r="G1190" i="1"/>
  <c r="I150" i="1"/>
  <c r="I679" i="1"/>
  <c r="G1217" i="1"/>
  <c r="G933" i="1"/>
  <c r="I693" i="1"/>
  <c r="I1533" i="1"/>
  <c r="G1697" i="1"/>
  <c r="I821" i="1"/>
  <c r="I1009" i="1"/>
  <c r="I1108" i="1"/>
  <c r="I1358" i="1"/>
  <c r="I1859" i="1"/>
  <c r="I42" i="1"/>
  <c r="G1390" i="1"/>
  <c r="G1666" i="1"/>
  <c r="G103" i="1"/>
  <c r="G1694" i="1"/>
  <c r="G1821" i="1"/>
  <c r="I294" i="1"/>
  <c r="G284" i="1"/>
  <c r="I1137" i="1"/>
  <c r="G46" i="1"/>
  <c r="I1760" i="1"/>
  <c r="G614" i="1"/>
  <c r="G251" i="1"/>
  <c r="G1258" i="1"/>
  <c r="I1369" i="1"/>
  <c r="G969" i="1"/>
  <c r="I1060" i="1"/>
  <c r="G1916" i="1"/>
  <c r="G518" i="1"/>
  <c r="I1288" i="1"/>
  <c r="I1135" i="1"/>
  <c r="G1489" i="1"/>
  <c r="I1656" i="1"/>
  <c r="G1642" i="1"/>
  <c r="G1419" i="1"/>
  <c r="G617" i="1"/>
  <c r="G68" i="1"/>
  <c r="G1323" i="1"/>
  <c r="G430" i="1"/>
  <c r="I1739" i="1"/>
  <c r="G212" i="1"/>
  <c r="I282" i="1"/>
  <c r="I578" i="1"/>
  <c r="G1073" i="1"/>
  <c r="G342" i="1"/>
  <c r="G352" i="1"/>
  <c r="G1590" i="1"/>
  <c r="I1026" i="1"/>
  <c r="G572" i="1"/>
  <c r="G537" i="1"/>
  <c r="G783" i="1"/>
  <c r="G610" i="1"/>
  <c r="I354" i="1"/>
  <c r="G1838" i="1"/>
  <c r="I1571" i="1"/>
  <c r="I1273" i="1"/>
  <c r="G1415" i="1"/>
  <c r="I1223" i="1"/>
  <c r="G649" i="1"/>
  <c r="G490" i="1"/>
  <c r="I1275" i="1"/>
  <c r="I993" i="1"/>
  <c r="I71" i="1"/>
  <c r="G442" i="1"/>
  <c r="I868" i="1"/>
  <c r="G146" i="1"/>
  <c r="I1540" i="1"/>
  <c r="G35" i="1"/>
  <c r="I746" i="1"/>
  <c r="G1514" i="1"/>
  <c r="G109" i="1"/>
  <c r="I1196" i="1"/>
  <c r="G714" i="1"/>
  <c r="I1594" i="1"/>
  <c r="I127" i="1"/>
  <c r="I850" i="1"/>
  <c r="G1675" i="1"/>
  <c r="G1089" i="1"/>
  <c r="G371" i="1"/>
  <c r="I14" i="1"/>
  <c r="G837" i="1"/>
  <c r="I458" i="1"/>
  <c r="G813" i="1"/>
  <c r="I500" i="1"/>
  <c r="I1641" i="1"/>
  <c r="G1109" i="1"/>
  <c r="G168" i="1"/>
  <c r="G1708" i="1"/>
  <c r="I673" i="1"/>
  <c r="I1285" i="1"/>
  <c r="G382" i="1"/>
  <c r="I577" i="1"/>
  <c r="G857" i="1"/>
  <c r="I1347" i="1"/>
  <c r="I1005" i="1"/>
  <c r="G705" i="1"/>
  <c r="I1602" i="1"/>
  <c r="I1240" i="1"/>
  <c r="G1791" i="1"/>
  <c r="G596" i="1"/>
  <c r="G1277" i="1"/>
  <c r="I1937" i="1"/>
  <c r="I468" i="1"/>
  <c r="I882" i="1"/>
  <c r="G1233" i="1"/>
  <c r="G1246" i="1"/>
  <c r="G512" i="1"/>
  <c r="I1897" i="1"/>
  <c r="I1869" i="1"/>
  <c r="I1987" i="1"/>
  <c r="I1409" i="1"/>
  <c r="I535" i="1"/>
  <c r="I1073" i="1"/>
  <c r="I721" i="1"/>
  <c r="G1919" i="1"/>
  <c r="I712" i="1"/>
  <c r="I656" i="1"/>
  <c r="G1942" i="1"/>
  <c r="I1626" i="1"/>
  <c r="I960" i="1"/>
  <c r="G1950" i="1"/>
  <c r="G1718" i="1"/>
  <c r="I1286" i="1"/>
  <c r="I1959" i="1"/>
  <c r="I186" i="1"/>
  <c r="I192" i="1"/>
  <c r="I1603" i="1"/>
  <c r="G1734" i="1"/>
  <c r="I1584" i="1"/>
  <c r="G1290" i="1"/>
  <c r="G489" i="1"/>
  <c r="G765" i="1"/>
  <c r="I1864" i="1"/>
  <c r="I861" i="1"/>
  <c r="I506" i="1"/>
  <c r="I604" i="1"/>
  <c r="G1130" i="1"/>
  <c r="G1652" i="1"/>
  <c r="I826" i="1"/>
  <c r="I1123" i="1"/>
  <c r="G1195" i="1"/>
  <c r="G404" i="1"/>
  <c r="G1369" i="1"/>
  <c r="G61" i="1"/>
  <c r="I824" i="1"/>
  <c r="I925" i="1"/>
  <c r="G258" i="1"/>
  <c r="I1337" i="1"/>
  <c r="G952" i="1"/>
  <c r="I212" i="1"/>
  <c r="I702" i="1"/>
  <c r="G1188" i="1"/>
  <c r="G11" i="1"/>
  <c r="G144" i="1"/>
  <c r="G1624" i="1"/>
  <c r="I176" i="1"/>
  <c r="G1644" i="1"/>
  <c r="G1025" i="1"/>
  <c r="G788" i="1"/>
  <c r="G913" i="1"/>
  <c r="I768" i="1"/>
  <c r="I447" i="1"/>
  <c r="I1485" i="1"/>
  <c r="I161" i="1"/>
  <c r="I308" i="1"/>
  <c r="G739" i="1"/>
  <c r="I87" i="1"/>
  <c r="I618" i="1"/>
  <c r="I1764" i="1"/>
  <c r="I1838" i="1"/>
  <c r="I250" i="1"/>
  <c r="I454" i="1"/>
  <c r="I1348" i="1"/>
  <c r="G410" i="1"/>
  <c r="I1825" i="1"/>
  <c r="G534" i="1"/>
  <c r="I1827" i="1"/>
  <c r="G268" i="1"/>
  <c r="I162" i="1"/>
  <c r="G177" i="1"/>
  <c r="I1244" i="1"/>
  <c r="G58" i="1"/>
  <c r="G1164" i="1"/>
  <c r="I1220" i="1"/>
  <c r="G161" i="1"/>
  <c r="G847" i="1"/>
  <c r="I407" i="1"/>
  <c r="G1845" i="1"/>
  <c r="G1015" i="1"/>
  <c r="G1522" i="1"/>
  <c r="G637" i="1"/>
  <c r="I1719" i="1"/>
  <c r="I1081" i="1"/>
  <c r="G60" i="1"/>
  <c r="I455" i="1"/>
  <c r="I765" i="1"/>
  <c r="I840" i="1"/>
  <c r="I1345" i="1"/>
  <c r="I958" i="1"/>
  <c r="I1699" i="1"/>
  <c r="G81" i="1"/>
  <c r="I1174" i="1"/>
  <c r="I1909" i="1"/>
  <c r="G881" i="1"/>
  <c r="I837" i="1"/>
  <c r="I797" i="1"/>
  <c r="I943" i="1"/>
  <c r="G1815" i="1"/>
  <c r="G89" i="1"/>
  <c r="I408" i="1"/>
  <c r="I51" i="1"/>
  <c r="I682" i="1"/>
  <c r="I1248" i="1"/>
  <c r="G383" i="1"/>
  <c r="I1181" i="1"/>
  <c r="I240" i="1"/>
  <c r="G1179" i="1"/>
  <c r="G1234" i="1"/>
  <c r="G1377" i="1"/>
  <c r="G1878" i="1"/>
  <c r="G499" i="1"/>
  <c r="I1501" i="1"/>
  <c r="I463" i="1"/>
  <c r="I167" i="1"/>
  <c r="G1057" i="1"/>
  <c r="G784" i="1"/>
  <c r="G1142" i="1"/>
  <c r="G15" i="1"/>
  <c r="G1800" i="1"/>
  <c r="G1288" i="1"/>
  <c r="I908" i="1"/>
  <c r="I1001" i="1"/>
  <c r="G679" i="1"/>
  <c r="G482" i="1"/>
  <c r="I1454" i="1"/>
  <c r="G832" i="1"/>
  <c r="G1083" i="1"/>
  <c r="I209" i="1"/>
  <c r="I339" i="1"/>
  <c r="I1063" i="1"/>
  <c r="I1100" i="1"/>
  <c r="G1490" i="1"/>
  <c r="I579" i="1"/>
  <c r="G516" i="1"/>
  <c r="I684" i="1"/>
  <c r="I697" i="1"/>
  <c r="I1257" i="1"/>
  <c r="G5" i="1"/>
  <c r="I374" i="1"/>
  <c r="I1982" i="1"/>
  <c r="I616" i="1"/>
  <c r="I1556" i="1"/>
  <c r="G901" i="1"/>
  <c r="I1202" i="1"/>
  <c r="G631" i="1"/>
  <c r="I1617" i="1"/>
  <c r="G928" i="1"/>
  <c r="G853" i="1"/>
  <c r="G1135" i="1"/>
  <c r="G1238" i="1"/>
  <c r="I794" i="1"/>
  <c r="G306" i="1"/>
  <c r="G731" i="1"/>
  <c r="G1153" i="1"/>
  <c r="G1354" i="1"/>
  <c r="I743" i="1"/>
  <c r="G1952" i="1"/>
  <c r="G1261" i="1"/>
  <c r="I920" i="1"/>
  <c r="G1580" i="1"/>
  <c r="G1712" i="1"/>
  <c r="I53" i="1"/>
  <c r="I1186" i="1"/>
  <c r="G363" i="1"/>
  <c r="G671" i="1"/>
  <c r="G361" i="1"/>
  <c r="I949" i="1"/>
  <c r="I172" i="1"/>
  <c r="I1252" i="1"/>
  <c r="I1394" i="1"/>
  <c r="G627" i="1"/>
  <c r="G1961" i="1"/>
  <c r="I1671" i="1"/>
  <c r="G443" i="1"/>
  <c r="G690" i="1"/>
  <c r="I1979" i="1"/>
  <c r="I1178" i="1"/>
  <c r="G1625" i="1"/>
  <c r="G1534" i="1"/>
  <c r="I77" i="1"/>
  <c r="I1442" i="1"/>
  <c r="G660" i="1"/>
  <c r="G543" i="1"/>
  <c r="G1505" i="1"/>
  <c r="I1772" i="1"/>
  <c r="G741" i="1"/>
  <c r="I16" i="1"/>
  <c r="I1515" i="1"/>
  <c r="G1168" i="1"/>
  <c r="I1889" i="1"/>
  <c r="I1354" i="1"/>
  <c r="I195" i="1"/>
  <c r="G1954" i="1"/>
  <c r="I1130" i="1"/>
  <c r="I265" i="1"/>
  <c r="G215" i="1"/>
  <c r="G1193" i="1"/>
  <c r="G757" i="1"/>
  <c r="G817" i="1"/>
  <c r="I1967" i="1"/>
  <c r="G793" i="1"/>
  <c r="G271" i="1"/>
  <c r="I1111" i="1"/>
  <c r="I362" i="1"/>
  <c r="G483" i="1"/>
  <c r="I549" i="1"/>
  <c r="I483" i="1"/>
  <c r="I883" i="1"/>
  <c r="I1359" i="1"/>
  <c r="I17" i="1"/>
  <c r="G802" i="1"/>
  <c r="I1102" i="1"/>
  <c r="G148" i="1"/>
  <c r="I1731" i="1"/>
  <c r="G1611" i="1"/>
  <c r="I1745" i="1"/>
  <c r="G1339" i="1"/>
  <c r="G1144" i="1"/>
  <c r="G111" i="1"/>
  <c r="I1547" i="1"/>
  <c r="G708" i="1"/>
  <c r="I1300" i="1"/>
  <c r="I1532" i="1"/>
  <c r="G1589" i="1"/>
  <c r="G1817" i="1"/>
  <c r="I146" i="1"/>
  <c r="G1411" i="1"/>
  <c r="I1750" i="1"/>
  <c r="I1531" i="1"/>
  <c r="I1730" i="1"/>
  <c r="I174" i="1"/>
  <c r="I1952" i="1"/>
  <c r="I1122" i="1"/>
  <c r="G754" i="1"/>
  <c r="G1893" i="1"/>
  <c r="I1061" i="1"/>
  <c r="G1260" i="1"/>
  <c r="I1019" i="1"/>
  <c r="I235" i="1"/>
  <c r="G1651" i="1"/>
  <c r="I173" i="1"/>
  <c r="I415" i="1"/>
  <c r="I236" i="1"/>
  <c r="I1875" i="1"/>
  <c r="G1487" i="1"/>
  <c r="I747" i="1"/>
  <c r="G1742" i="1"/>
  <c r="G904" i="1"/>
  <c r="G402" i="1"/>
  <c r="I1450" i="1"/>
  <c r="I1993" i="1"/>
  <c r="G667" i="1"/>
  <c r="I1105" i="1"/>
  <c r="G1896" i="1"/>
  <c r="G1780" i="1"/>
  <c r="I1346" i="1"/>
  <c r="I681" i="1"/>
  <c r="I1087" i="1"/>
  <c r="I502" i="1"/>
  <c r="I4" i="1"/>
  <c r="G1493" i="1"/>
  <c r="I116" i="1"/>
  <c r="G1626" i="1"/>
  <c r="I189" i="1"/>
  <c r="I1795" i="1"/>
  <c r="I1943" i="1"/>
  <c r="I778" i="1"/>
  <c r="I131" i="1"/>
  <c r="G340" i="1"/>
  <c r="G1768" i="1"/>
  <c r="I1903" i="1"/>
  <c r="G415" i="1"/>
  <c r="I420" i="1"/>
  <c r="G1474" i="1"/>
  <c r="I848" i="1"/>
  <c r="G275" i="1"/>
  <c r="I293" i="1"/>
  <c r="I1166" i="1"/>
  <c r="G1871" i="1"/>
  <c r="I1159" i="1"/>
  <c r="I1118" i="1"/>
  <c r="G581" i="1"/>
  <c r="I73" i="1"/>
  <c r="G460" i="1"/>
  <c r="I211" i="1"/>
  <c r="G1991" i="1"/>
  <c r="I397" i="1"/>
  <c r="G953" i="1"/>
  <c r="G431" i="1"/>
  <c r="I1093" i="1"/>
  <c r="I1695" i="1"/>
  <c r="I103" i="1"/>
  <c r="I1883" i="1"/>
  <c r="I630" i="1"/>
  <c r="I1965" i="1"/>
  <c r="G1387" i="1"/>
  <c r="G1575" i="1"/>
  <c r="G1543" i="1"/>
  <c r="G539" i="1"/>
  <c r="I165" i="1"/>
  <c r="G117" i="1"/>
  <c r="I700" i="1"/>
  <c r="G654" i="1"/>
  <c r="I119" i="1"/>
  <c r="I1736" i="1"/>
  <c r="I1694" i="1"/>
  <c r="G142" i="1"/>
  <c r="G1603" i="1"/>
  <c r="G1442" i="1"/>
  <c r="I10" i="1"/>
  <c r="G829" i="1"/>
  <c r="I417" i="1"/>
  <c r="I1574" i="1"/>
  <c r="G1346" i="1"/>
  <c r="G912" i="1"/>
  <c r="G420" i="1"/>
  <c r="G110" i="1"/>
  <c r="G1588" i="1"/>
  <c r="I903" i="1"/>
  <c r="I608" i="1"/>
  <c r="I410" i="1"/>
  <c r="G781" i="1"/>
  <c r="G481" i="1"/>
  <c r="G1968" i="1"/>
  <c r="G1518" i="1"/>
  <c r="I1313" i="1"/>
  <c r="G1342" i="1"/>
  <c r="G28" i="1"/>
  <c r="G156" i="1"/>
  <c r="I1472" i="1"/>
  <c r="I491" i="1"/>
  <c r="I989" i="1"/>
  <c r="G1994" i="1"/>
  <c r="I1508" i="1"/>
  <c r="G1363" i="1"/>
  <c r="G1210" i="1"/>
  <c r="I1079" i="1"/>
  <c r="G1756" i="1"/>
  <c r="G770" i="1"/>
  <c r="G374" i="1"/>
  <c r="G1891" i="1"/>
  <c r="G1664" i="1"/>
  <c r="I967" i="1"/>
  <c r="I1693" i="1"/>
  <c r="G1104" i="1"/>
  <c r="I1712" i="1"/>
  <c r="G444" i="1"/>
  <c r="I411" i="1"/>
  <c r="G1687" i="1"/>
  <c r="I1069" i="1"/>
  <c r="I907" i="1"/>
  <c r="G1670" i="1"/>
  <c r="I6" i="1"/>
  <c r="I1601" i="1"/>
  <c r="I68" i="1"/>
  <c r="I312" i="1"/>
  <c r="G1347" i="1"/>
  <c r="G1305" i="1"/>
  <c r="I1044" i="1"/>
  <c r="G1312" i="1"/>
  <c r="G959" i="1"/>
  <c r="G721" i="1"/>
  <c r="I1734" i="1"/>
  <c r="G1002" i="1"/>
  <c r="I1495" i="1"/>
  <c r="G416" i="1"/>
  <c r="G800" i="1"/>
  <c r="G1591" i="1"/>
  <c r="G245" i="1"/>
  <c r="G1660" i="1"/>
  <c r="I1419" i="1"/>
  <c r="I1514" i="1"/>
  <c r="I1981" i="1"/>
  <c r="G700" i="1"/>
  <c r="G1695" i="1"/>
  <c r="G1170" i="1"/>
  <c r="G405" i="1"/>
  <c r="I126" i="1"/>
  <c r="I1604" i="1"/>
  <c r="G1630" i="1"/>
  <c r="I1090" i="1"/>
  <c r="G337" i="1"/>
  <c r="G357" i="1"/>
  <c r="G715" i="1"/>
  <c r="I1747" i="1"/>
  <c r="I1086" i="1"/>
  <c r="G299" i="1"/>
  <c r="I1677" i="1"/>
  <c r="I1290" i="1"/>
  <c r="G583" i="1"/>
  <c r="G1900" i="1"/>
  <c r="G1194" i="1"/>
  <c r="G639" i="1"/>
  <c r="I815" i="1"/>
  <c r="G1479" i="1"/>
  <c r="I1206" i="1"/>
  <c r="I1188" i="1"/>
  <c r="I646" i="1"/>
  <c r="I1923" i="1"/>
  <c r="I1884" i="1"/>
  <c r="I1339" i="1"/>
  <c r="I1162" i="1"/>
  <c r="G1299" i="1"/>
  <c r="G1971" i="1"/>
  <c r="G296" i="1"/>
  <c r="G863" i="1"/>
  <c r="G618" i="1"/>
  <c r="I1094" i="1"/>
  <c r="I1307" i="1"/>
  <c r="G250" i="1"/>
  <c r="I296" i="1"/>
  <c r="I701" i="1"/>
  <c r="G1557" i="1"/>
  <c r="I970" i="1"/>
  <c r="G531" i="1"/>
  <c r="I1916" i="1"/>
  <c r="I716" i="1"/>
  <c r="G392" i="1"/>
  <c r="I156" i="1"/>
  <c r="G1439" i="1"/>
  <c r="G820" i="1"/>
  <c r="I1384" i="1"/>
  <c r="G672" i="1"/>
  <c r="I1855" i="1"/>
  <c r="I1211" i="1"/>
  <c r="G1922" i="1"/>
  <c r="G252" i="1"/>
  <c r="I277" i="1"/>
  <c r="I696" i="1"/>
  <c r="I287" i="1"/>
  <c r="I570" i="1"/>
  <c r="D11" i="6"/>
  <c r="I2" i="1"/>
  <c r="D32" i="6"/>
  <c r="G1996" i="1"/>
  <c r="I1099" i="1"/>
  <c r="I1413" i="1"/>
  <c r="I1160" i="1"/>
  <c r="I817" i="1"/>
  <c r="G916" i="1"/>
  <c r="G896" i="1"/>
  <c r="I514" i="1"/>
  <c r="I1415" i="1"/>
  <c r="G1366" i="1"/>
  <c r="G287" i="1"/>
  <c r="G588" i="1"/>
  <c r="I1666" i="1"/>
  <c r="I1529" i="1"/>
  <c r="I1635" i="1"/>
  <c r="I191" i="1"/>
  <c r="G1421" i="1"/>
  <c r="I344" i="1"/>
  <c r="I432" i="1"/>
  <c r="I1831" i="1"/>
  <c r="I986" i="1"/>
  <c r="I394" i="1"/>
  <c r="G1648" i="1"/>
  <c r="G85" i="1"/>
  <c r="I1538" i="1"/>
  <c r="G1381" i="1"/>
  <c r="I1107" i="1"/>
  <c r="G1826" i="1"/>
  <c r="I759" i="1"/>
  <c r="I384" i="1"/>
  <c r="G1302" i="1"/>
  <c r="G511" i="1"/>
  <c r="G1059" i="1"/>
  <c r="I1786" i="1"/>
  <c r="G1095" i="1"/>
  <c r="G409" i="1"/>
  <c r="I1134" i="1"/>
  <c r="I1097" i="1"/>
  <c r="G803" i="1"/>
  <c r="G486" i="1"/>
  <c r="G108" i="1"/>
  <c r="G1080" i="1"/>
  <c r="G320" i="1"/>
  <c r="G1483" i="1"/>
  <c r="G559" i="1"/>
  <c r="I318" i="1"/>
  <c r="I381" i="1"/>
  <c r="G120" i="1"/>
  <c r="I3" i="1"/>
  <c r="G677" i="1"/>
  <c r="G1393" i="1"/>
  <c r="I786" i="1"/>
  <c r="G527" i="1"/>
  <c r="G1336" i="1"/>
  <c r="I180" i="1"/>
  <c r="G1138" i="1"/>
  <c r="I1814" i="1"/>
  <c r="I177" i="1"/>
  <c r="G997" i="1"/>
  <c r="G1167" i="1"/>
  <c r="I871" i="1"/>
  <c r="I1247" i="1"/>
  <c r="G1562" i="1"/>
  <c r="G1035" i="1"/>
  <c r="I39" i="1"/>
  <c r="G1909" i="1"/>
  <c r="I1914" i="1"/>
  <c r="G1902" i="1"/>
  <c r="I1633" i="1"/>
  <c r="G40" i="1"/>
  <c r="I1983" i="1"/>
  <c r="I1735" i="1"/>
  <c r="I1912" i="1"/>
  <c r="I1424" i="1"/>
  <c r="G600" i="1"/>
  <c r="I1744" i="1"/>
  <c r="G1864" i="1"/>
  <c r="I1969" i="1"/>
  <c r="I1589" i="1"/>
  <c r="I1168" i="1"/>
  <c r="G232" i="1"/>
  <c r="I799" i="1"/>
  <c r="G70" i="1"/>
  <c r="I1727" i="1"/>
  <c r="G1809" i="1"/>
  <c r="G1523" i="1"/>
  <c r="I80" i="1"/>
  <c r="I270" i="1"/>
  <c r="I1033" i="1"/>
  <c r="G1283" i="1"/>
  <c r="G1403" i="1"/>
  <c r="I585" i="1"/>
  <c r="I1934" i="1"/>
  <c r="G1914" i="1"/>
  <c r="I1511" i="1"/>
  <c r="I179" i="1"/>
  <c r="G1047" i="1"/>
  <c r="I1748" i="1"/>
  <c r="G1843" i="1"/>
  <c r="G819" i="1"/>
  <c r="I849" i="1"/>
  <c r="G1078" i="1"/>
  <c r="I565" i="1"/>
  <c r="G507" i="1"/>
  <c r="G25" i="1"/>
  <c r="G822" i="1"/>
  <c r="G663" i="1"/>
  <c r="G1114" i="1"/>
  <c r="G1090" i="1"/>
  <c r="G1331" i="1"/>
  <c r="G1668" i="1"/>
  <c r="G192" i="1"/>
  <c r="G1126" i="1"/>
  <c r="I1003" i="1"/>
  <c r="I1870" i="1"/>
  <c r="I751" i="1"/>
  <c r="I787" i="1"/>
  <c r="I118" i="1"/>
  <c r="I527" i="1"/>
  <c r="I1156" i="1"/>
  <c r="G744" i="1"/>
  <c r="I1152" i="1"/>
  <c r="I708" i="1"/>
  <c r="G525" i="1"/>
  <c r="G170" i="1"/>
  <c r="G1462" i="1"/>
  <c r="I1996" i="1"/>
  <c r="G319" i="1"/>
  <c r="I1743" i="1"/>
  <c r="I1131" i="1"/>
  <c r="I623" i="1"/>
  <c r="G1187" i="1"/>
  <c r="G1122" i="1"/>
  <c r="I1139" i="1"/>
  <c r="G1119" i="1"/>
  <c r="G1607" i="1"/>
  <c r="I1620" i="1"/>
  <c r="G1510" i="1"/>
  <c r="G1937" i="1"/>
  <c r="I1652" i="1"/>
  <c r="G80" i="1"/>
  <c r="G876" i="1"/>
  <c r="I23" i="1"/>
  <c r="I487" i="1"/>
  <c r="I1536" i="1"/>
  <c r="G128" i="1"/>
  <c r="G1405" i="1"/>
  <c r="G1935" i="1"/>
  <c r="G1804" i="1"/>
  <c r="I1310" i="1"/>
  <c r="I870" i="1"/>
  <c r="I507" i="1"/>
  <c r="G1458" i="1"/>
  <c r="G1673" i="1"/>
  <c r="I1467" i="1"/>
  <c r="I581" i="1"/>
  <c r="G1418" i="1"/>
  <c r="I510" i="1"/>
  <c r="G586" i="1"/>
  <c r="G1705" i="1"/>
  <c r="I1490" i="1"/>
  <c r="G745" i="1"/>
  <c r="G1071" i="1"/>
  <c r="I402" i="1"/>
  <c r="I284" i="1"/>
  <c r="I1628" i="1"/>
  <c r="I1222" i="1"/>
  <c r="I854" i="1"/>
  <c r="G680" i="1"/>
  <c r="G1181" i="1"/>
  <c r="I844" i="1"/>
  <c r="I1995" i="1"/>
  <c r="I1653" i="1"/>
  <c r="G1384" i="1"/>
  <c r="G1281" i="1"/>
  <c r="G62" i="1"/>
  <c r="I1155" i="1"/>
  <c r="I881" i="1"/>
  <c r="I309" i="1"/>
  <c r="G1905" i="1"/>
  <c r="G1087" i="1"/>
  <c r="G1409" i="1"/>
  <c r="I114" i="1"/>
  <c r="I541" i="1"/>
  <c r="G965" i="1"/>
  <c r="G621" i="1"/>
  <c r="I1709" i="1"/>
  <c r="I1549" i="1"/>
  <c r="I1590" i="1"/>
  <c r="G1286" i="1"/>
  <c r="G502" i="1"/>
  <c r="G1721" i="1"/>
  <c r="I956" i="1"/>
  <c r="G694" i="1"/>
  <c r="G1257" i="1"/>
  <c r="G1753" i="1"/>
  <c r="G441" i="1"/>
  <c r="G1511" i="1"/>
  <c r="G862" i="1"/>
  <c r="G298" i="1"/>
  <c r="G197" i="1"/>
  <c r="G202" i="1"/>
  <c r="I221" i="1"/>
  <c r="G1740" i="1"/>
  <c r="G1653" i="1"/>
  <c r="I376" i="1"/>
  <c r="G253" i="1"/>
  <c r="I1076" i="1"/>
  <c r="I29" i="1"/>
  <c r="G1388" i="1"/>
  <c r="G1199" i="1"/>
  <c r="I1833" i="1"/>
  <c r="G1888" i="1"/>
  <c r="G1929" i="1"/>
  <c r="I909" i="1"/>
  <c r="I1502" i="1"/>
  <c r="G1027" i="1"/>
  <c r="G907" i="1"/>
  <c r="G230" i="1"/>
  <c r="G1913" i="1"/>
  <c r="G1840" i="1"/>
  <c r="I1479" i="1"/>
  <c r="G1799" i="1"/>
  <c r="G1967" i="1"/>
  <c r="I540" i="1"/>
  <c r="I694" i="1"/>
  <c r="I303" i="1"/>
  <c r="G1592" i="1"/>
  <c r="I461" i="1"/>
  <c r="I1782" i="1"/>
  <c r="G1940" i="1"/>
  <c r="I360" i="1"/>
  <c r="G1749" i="1"/>
  <c r="I1822" i="1"/>
  <c r="G344" i="1"/>
  <c r="I736" i="1"/>
  <c r="I138" i="1"/>
  <c r="I1561" i="1"/>
  <c r="I969" i="1"/>
  <c r="I911" i="1"/>
  <c r="I350" i="1"/>
  <c r="I1335" i="1"/>
  <c r="G1093" i="1"/>
  <c r="I664" i="1"/>
  <c r="I657" i="1"/>
  <c r="I1851" i="1"/>
  <c r="G772" i="1"/>
  <c r="G732" i="1"/>
  <c r="G622" i="1"/>
  <c r="I1837" i="1"/>
  <c r="I515" i="1"/>
  <c r="G1970" i="1"/>
  <c r="I1475" i="1"/>
  <c r="I1435" i="1"/>
  <c r="I1333" i="1"/>
  <c r="G1944" i="1"/>
  <c r="G1647" i="1"/>
  <c r="G1202" i="1"/>
  <c r="G158" i="1"/>
  <c r="G408" i="1"/>
  <c r="G1297" i="1"/>
  <c r="G1844" i="1"/>
  <c r="G1230" i="1"/>
  <c r="G1585" i="1"/>
  <c r="I1391" i="1"/>
  <c r="G1573" i="1"/>
  <c r="I19" i="1"/>
  <c r="G900" i="1"/>
  <c r="I1439" i="1"/>
  <c r="G69" i="1"/>
  <c r="I67" i="1"/>
  <c r="I1426" i="1"/>
  <c r="G1460" i="1"/>
  <c r="G1572" i="1"/>
  <c r="I1309" i="1"/>
  <c r="G1658" i="1"/>
  <c r="I196" i="1"/>
  <c r="I1998" i="1"/>
  <c r="I1067" i="1"/>
  <c r="I1254" i="1"/>
  <c r="G550" i="1"/>
  <c r="I1741" i="1"/>
  <c r="I1809" i="1"/>
  <c r="I598" i="1"/>
  <c r="G380" i="1"/>
  <c r="G334" i="1"/>
  <c r="I1089" i="1"/>
  <c r="G475" i="1"/>
  <c r="G939" i="1"/>
  <c r="I1886" i="1"/>
  <c r="I1008" i="1"/>
  <c r="G804" i="1"/>
  <c r="G1801" i="1"/>
  <c r="G1209" i="1"/>
  <c r="I378" i="1"/>
  <c r="I1680" i="1"/>
  <c r="I204" i="1"/>
  <c r="G355" i="1"/>
  <c r="G213" i="1"/>
  <c r="G891" i="1"/>
  <c r="G818" i="1"/>
  <c r="I742" i="1"/>
  <c r="I154" i="1"/>
  <c r="I1411" i="1"/>
  <c r="G961" i="1"/>
  <c r="G1061" i="1"/>
  <c r="G517" i="1"/>
  <c r="I1797" i="1"/>
  <c r="G1441" i="1"/>
  <c r="I442" i="1"/>
  <c r="G1941" i="1"/>
  <c r="I1121" i="1"/>
  <c r="I1840" i="1"/>
  <c r="I1004" i="1"/>
  <c r="I1145" i="1"/>
  <c r="G697" i="1"/>
  <c r="I1767" i="1"/>
  <c r="G1465" i="1"/>
  <c r="G407" i="1"/>
  <c r="G1794" i="1"/>
  <c r="I1664" i="1"/>
  <c r="I1325" i="1"/>
  <c r="G1743" i="1"/>
  <c r="I1830" i="1"/>
  <c r="I1147" i="1"/>
  <c r="I1142" i="1"/>
  <c r="I449" i="1"/>
  <c r="G1936" i="1"/>
  <c r="G1224" i="1"/>
  <c r="G1834" i="1"/>
  <c r="I728" i="1"/>
  <c r="G902" i="1"/>
  <c r="I1758" i="1"/>
  <c r="G436" i="1"/>
  <c r="I1893" i="1"/>
  <c r="G1661" i="1"/>
  <c r="I1519" i="1"/>
  <c r="G608" i="1"/>
  <c r="I254" i="1"/>
  <c r="G807" i="1"/>
  <c r="G1326" i="1"/>
  <c r="G36" i="1"/>
  <c r="G1248" i="1"/>
  <c r="G1783" i="1"/>
  <c r="I26" i="1"/>
  <c r="I547" i="1"/>
  <c r="I1820" i="1"/>
  <c r="G777" i="1"/>
  <c r="I321" i="1"/>
  <c r="I1850" i="1"/>
  <c r="G590" i="1"/>
  <c r="I1463" i="1"/>
  <c r="I727" i="1"/>
  <c r="G356" i="1"/>
  <c r="I492" i="1"/>
  <c r="G584" i="1"/>
  <c r="I1171" i="1"/>
  <c r="I305" i="1"/>
  <c r="I1052" i="1"/>
  <c r="G729" i="1"/>
  <c r="G33" i="1"/>
  <c r="I260" i="1"/>
  <c r="I1469" i="1"/>
  <c r="I571" i="1"/>
  <c r="I1297" i="1"/>
  <c r="I1771" i="1"/>
  <c r="G182" i="1"/>
  <c r="G474" i="1"/>
  <c r="G926" i="1"/>
  <c r="I642" i="1"/>
  <c r="G1995" i="1"/>
  <c r="I201" i="1"/>
  <c r="I836" i="1"/>
  <c r="G400" i="1"/>
  <c r="I1960" i="1"/>
  <c r="I589" i="1"/>
  <c r="I271" i="1"/>
  <c r="G1781" i="1"/>
  <c r="I443" i="1"/>
  <c r="I1631" i="1"/>
  <c r="G95" i="1"/>
  <c r="I1599" i="1"/>
  <c r="I396" i="1"/>
  <c r="G1048" i="1"/>
  <c r="I501" i="1"/>
  <c r="I121" i="1"/>
  <c r="I1685" i="1"/>
  <c r="G154" i="1"/>
  <c r="I1836" i="1"/>
  <c r="I1665" i="1"/>
  <c r="G1876" i="1"/>
  <c r="I168" i="1"/>
  <c r="G1072" i="1"/>
  <c r="I198" i="1"/>
  <c r="G676" i="1"/>
  <c r="I1323" i="1"/>
  <c r="I139" i="1"/>
  <c r="I534" i="1"/>
  <c r="G140" i="1"/>
  <c r="I1614" i="1"/>
  <c r="I1057" i="1"/>
  <c r="I300" i="1"/>
  <c r="I1217" i="1"/>
  <c r="G1917" i="1"/>
  <c r="G413" i="1"/>
  <c r="I900" i="1"/>
  <c r="G1977" i="1"/>
  <c r="I453" i="1"/>
  <c r="G1604" i="1"/>
  <c r="I1527" i="1"/>
  <c r="G1535" i="1"/>
  <c r="I1260" i="1"/>
  <c r="G1023" i="1"/>
  <c r="G1827" i="1"/>
  <c r="I1418" i="1"/>
  <c r="G991" i="1"/>
  <c r="I1294" i="1"/>
  <c r="I1279" i="1"/>
  <c r="I141" i="1"/>
  <c r="I1951" i="1"/>
  <c r="I1136" i="1"/>
  <c r="I301" i="1"/>
  <c r="G1401" i="1"/>
  <c r="G795" i="1"/>
  <c r="I1296" i="1"/>
  <c r="I609" i="1"/>
  <c r="I375" i="1"/>
  <c r="I1648" i="1"/>
  <c r="G1786" i="1"/>
  <c r="G500" i="1"/>
  <c r="G1811" i="1"/>
  <c r="I944" i="1"/>
  <c r="G1533" i="1"/>
  <c r="G974" i="1"/>
  <c r="I671" i="1"/>
  <c r="I280" i="1"/>
  <c r="I1389" i="1"/>
  <c r="G570" i="1"/>
  <c r="G1868" i="1"/>
  <c r="I828" i="1"/>
  <c r="G1172" i="1"/>
  <c r="G641" i="1"/>
  <c r="G1770" i="1"/>
  <c r="G1102" i="1"/>
  <c r="G1232" i="1"/>
  <c r="G1037" i="1"/>
  <c r="G778" i="1"/>
  <c r="G398" i="1"/>
  <c r="G1255" i="1"/>
  <c r="I1613" i="1"/>
  <c r="G1948" i="1"/>
  <c r="I1860" i="1"/>
  <c r="I858" i="1"/>
  <c r="G601" i="1"/>
  <c r="I559" i="1"/>
  <c r="I327" i="1"/>
  <c r="G27" i="1"/>
  <c r="I1902" i="1"/>
  <c r="I171" i="1"/>
  <c r="G208" i="1"/>
  <c r="I57" i="1"/>
  <c r="I1776" i="1"/>
  <c r="I233" i="1"/>
  <c r="I1704" i="1"/>
  <c r="G1795" i="1"/>
  <c r="I1649" i="1"/>
  <c r="G272" i="1"/>
  <c r="G1565" i="1"/>
  <c r="I668" i="1"/>
  <c r="I672" i="1"/>
  <c r="I1662" i="1"/>
  <c r="I190" i="1"/>
  <c r="I1867" i="1"/>
  <c r="I1084" i="1"/>
  <c r="I711" i="1"/>
  <c r="G1231" i="1"/>
  <c r="I1504" i="1"/>
  <c r="G1964" i="1"/>
  <c r="G914" i="1"/>
  <c r="G805" i="1"/>
  <c r="I372" i="1"/>
  <c r="I102" i="1"/>
  <c r="I977" i="1"/>
  <c r="I1972" i="1"/>
  <c r="G1682" i="1"/>
  <c r="I1697" i="1"/>
  <c r="G1198" i="1"/>
  <c r="G1860" i="1"/>
  <c r="G125" i="1"/>
  <c r="G603" i="1"/>
  <c r="G462" i="1"/>
  <c r="I330" i="1"/>
  <c r="G1803" i="1"/>
  <c r="I552" i="1"/>
  <c r="G498" i="1"/>
  <c r="I1911" i="1"/>
  <c r="G1835" i="1"/>
  <c r="I1301" i="1"/>
  <c r="G521" i="1"/>
  <c r="G1512" i="1"/>
  <c r="G1113" i="1"/>
  <c r="G638" i="1"/>
  <c r="I380" i="1"/>
  <c r="G1532" i="1"/>
  <c r="I1675" i="1"/>
  <c r="G1274" i="1"/>
  <c r="I698" i="1"/>
  <c r="G421" i="1"/>
  <c r="I1938" i="1"/>
  <c r="G147" i="1"/>
  <c r="I425" i="1"/>
  <c r="G1751" i="1"/>
  <c r="G207" i="1"/>
  <c r="G629" i="1"/>
  <c r="G748" i="1"/>
  <c r="G1601" i="1"/>
  <c r="I1382" i="1"/>
  <c r="G1802" i="1"/>
  <c r="G944" i="1"/>
  <c r="G982" i="1"/>
  <c r="G47" i="1"/>
  <c r="G347" i="1"/>
  <c r="G143" i="1"/>
  <c r="I336" i="1"/>
  <c r="G1634" i="1"/>
  <c r="G1690" i="1"/>
  <c r="I1412" i="1"/>
  <c r="I1692" i="1"/>
  <c r="G890" i="1"/>
  <c r="G1043" i="1"/>
  <c r="G1738" i="1"/>
  <c r="G785" i="1"/>
  <c r="I1729" i="1"/>
  <c r="G635" i="1"/>
  <c r="G1293" i="1"/>
  <c r="I1227" i="1"/>
  <c r="G403" i="1"/>
  <c r="G1225" i="1"/>
  <c r="I1509" i="1"/>
  <c r="G346" i="1"/>
  <c r="I335" i="1"/>
  <c r="G86" i="1"/>
  <c r="G277" i="1"/>
  <c r="I1265" i="1"/>
  <c r="I1742" i="1"/>
  <c r="I1096" i="1"/>
  <c r="G1197" i="1"/>
  <c r="G509" i="1"/>
  <c r="G1160" i="1"/>
  <c r="G782" i="1"/>
  <c r="G846" i="1"/>
  <c r="I991" i="1"/>
  <c r="G1632" i="1"/>
  <c r="I1918" i="1"/>
  <c r="I1872" i="1"/>
  <c r="G1554" i="1"/>
  <c r="G763" i="1"/>
  <c r="I783" i="1"/>
  <c r="I1834" i="1"/>
  <c r="I1049" i="1"/>
  <c r="I1430" i="1"/>
  <c r="I100" i="1"/>
  <c r="I462" i="1"/>
  <c r="G1595" i="1"/>
  <c r="G1516" i="1"/>
  <c r="G1236" i="1"/>
  <c r="G917" i="1"/>
  <c r="G1447" i="1"/>
  <c r="I932" i="1"/>
  <c r="G350" i="1"/>
  <c r="G1094" i="1"/>
  <c r="I1920" i="1"/>
  <c r="I1194" i="1"/>
  <c r="G1531" i="1"/>
  <c r="I1167" i="1"/>
  <c r="G93" i="1"/>
  <c r="G669" i="1"/>
  <c r="I1640" i="1"/>
  <c r="G604" i="1"/>
  <c r="I1112" i="1"/>
  <c r="G1837" i="1"/>
  <c r="G1423" i="1"/>
  <c r="G523" i="1"/>
  <c r="I1078" i="1"/>
  <c r="G906" i="1"/>
  <c r="I471" i="1"/>
  <c r="G1761" i="1"/>
  <c r="G955" i="1"/>
  <c r="G1112" i="1"/>
  <c r="G1982" i="1"/>
  <c r="I979" i="1"/>
  <c r="I971" i="1"/>
  <c r="G418" i="1"/>
  <c r="I725" i="1"/>
  <c r="I446" i="1"/>
  <c r="I1844" i="1"/>
  <c r="I1027" i="1"/>
  <c r="G1926" i="1"/>
  <c r="G446" i="1"/>
  <c r="I1064" i="1"/>
  <c r="G1597" i="1"/>
  <c r="G1355" i="1"/>
  <c r="G242" i="1"/>
  <c r="I1230" i="1"/>
  <c r="G1852" i="1"/>
  <c r="G1823" i="1"/>
  <c r="G545" i="1"/>
  <c r="I424" i="1"/>
  <c r="I288" i="1"/>
  <c r="G1966" i="1"/>
  <c r="G373" i="1"/>
  <c r="I1036" i="1"/>
  <c r="G756" i="1"/>
  <c r="I1191" i="1"/>
  <c r="G1887" i="1"/>
  <c r="G67" i="1"/>
  <c r="I276" i="1"/>
  <c r="G1166" i="1"/>
  <c r="G399" i="1"/>
  <c r="G1924" i="1"/>
  <c r="G1307" i="1"/>
  <c r="G240" i="1"/>
  <c r="G369" i="1"/>
  <c r="G1764" i="1"/>
  <c r="G94" i="1"/>
  <c r="G1471" i="1"/>
  <c r="G1853" i="1"/>
  <c r="G324" i="1"/>
  <c r="I1766" i="1"/>
  <c r="G1939" i="1"/>
  <c r="I8" i="1"/>
  <c r="I645" i="1"/>
  <c r="I961" i="1"/>
  <c r="I808" i="1"/>
  <c r="I97" i="1"/>
  <c r="I1763" i="1"/>
  <c r="I155" i="1"/>
  <c r="G317" i="1"/>
  <c r="I575" i="1"/>
  <c r="I810" i="1"/>
  <c r="G762" i="1"/>
  <c r="I732" i="1"/>
  <c r="G291" i="1"/>
  <c r="G948" i="1"/>
  <c r="I347" i="1"/>
  <c r="G50" i="1"/>
  <c r="I62" i="1"/>
  <c r="I333" i="1"/>
  <c r="I498" i="1"/>
  <c r="I1756" i="1"/>
  <c r="G1792" i="1"/>
  <c r="G1691" i="1"/>
  <c r="G1173" i="1"/>
  <c r="I1783" i="1"/>
  <c r="G760" i="1"/>
  <c r="G1361" i="1"/>
  <c r="I213" i="1"/>
  <c r="G1125" i="1"/>
  <c r="I122" i="1"/>
  <c r="I1757" i="1"/>
  <c r="G1787" i="1"/>
  <c r="I689" i="1"/>
  <c r="G972" i="1"/>
  <c r="I1598" i="1"/>
  <c r="G640" i="1"/>
  <c r="I691" i="1"/>
  <c r="G1452" i="1"/>
  <c r="G1754" i="1"/>
  <c r="G1226" i="1"/>
  <c r="I21" i="1"/>
  <c r="G83" i="1"/>
  <c r="G1196" i="1"/>
  <c r="G1077" i="1"/>
  <c r="G1081" i="1"/>
  <c r="G1123" i="1"/>
  <c r="I1321" i="1"/>
  <c r="I1622" i="1"/>
  <c r="G1327" i="1"/>
  <c r="G644" i="1"/>
  <c r="G216" i="1"/>
  <c r="I714" i="1"/>
  <c r="G920" i="1"/>
  <c r="I913" i="1"/>
  <c r="G1628" i="1"/>
  <c r="G1121" i="1"/>
  <c r="I1796" i="1"/>
  <c r="G1772" i="1"/>
  <c r="I164" i="1"/>
  <c r="I1350" i="1"/>
  <c r="G738" i="1"/>
  <c r="I1668" i="1"/>
  <c r="G1398" i="1"/>
  <c r="G836" i="1"/>
  <c r="G589" i="1"/>
  <c r="G1264" i="1"/>
  <c r="G256" i="1"/>
  <c r="G1899" i="1"/>
  <c r="I1813" i="1"/>
  <c r="G1056" i="1"/>
  <c r="I1823" i="1"/>
  <c r="I136" i="1"/>
  <c r="I377" i="1"/>
  <c r="I834" i="1"/>
  <c r="I692" i="1"/>
  <c r="G1374" i="1"/>
  <c r="G39" i="1"/>
  <c r="I1565" i="1"/>
  <c r="G1975" i="1"/>
  <c r="I1158" i="1"/>
  <c r="I763" i="1"/>
  <c r="G264" i="1"/>
  <c r="I713" i="1"/>
  <c r="I1253" i="1"/>
  <c r="I135" i="1"/>
  <c r="I256" i="1"/>
  <c r="G1340" i="1"/>
  <c r="G1517" i="1"/>
  <c r="G659" i="1"/>
  <c r="I542" i="1"/>
  <c r="G1728" i="1"/>
  <c r="I1425" i="1"/>
  <c r="I587" i="1"/>
  <c r="G1410" i="1"/>
  <c r="G453" i="1"/>
  <c r="G968" i="1"/>
  <c r="G1070" i="1"/>
  <c r="I884" i="1"/>
  <c r="G823" i="1"/>
  <c r="I203" i="1"/>
  <c r="G1143" i="1"/>
  <c r="I1322" i="1"/>
  <c r="G1103" i="1"/>
  <c r="G1097" i="1"/>
  <c r="G874" i="1"/>
  <c r="G107" i="1"/>
  <c r="I1441" i="1"/>
  <c r="G341" i="1"/>
  <c r="G1370" i="1"/>
  <c r="G620" i="1"/>
  <c r="I1215" i="1"/>
  <c r="I1551" i="1"/>
  <c r="G428" i="1"/>
  <c r="G958" i="1"/>
  <c r="I931" i="1"/>
  <c r="I1119" i="1"/>
  <c r="G1237" i="1"/>
  <c r="I1973" i="1"/>
  <c r="G434" i="1"/>
  <c r="I1721" i="1"/>
  <c r="G132" i="1"/>
  <c r="I548" i="1"/>
  <c r="G1951" i="1"/>
  <c r="I13" i="1"/>
  <c r="G1008" i="1"/>
  <c r="G1779" i="1"/>
  <c r="G1351" i="1"/>
  <c r="I1890" i="1"/>
  <c r="I683" i="1"/>
  <c r="I825" i="1"/>
  <c r="I465" i="1"/>
  <c r="I1226" i="1"/>
  <c r="I1710" i="1"/>
  <c r="I533" i="1"/>
  <c r="I1611" i="1"/>
  <c r="G219" i="1"/>
  <c r="I47" i="1"/>
  <c r="G305" i="1"/>
  <c r="G626" i="1"/>
  <c r="G899" i="1"/>
  <c r="I734" i="1"/>
  <c r="G71" i="1"/>
  <c r="I1806" i="1"/>
  <c r="G884" i="1"/>
  <c r="I1655" i="1"/>
  <c r="G1065" i="1"/>
  <c r="I972" i="1"/>
  <c r="I1720" i="1"/>
  <c r="I368" i="1"/>
  <c r="I302" i="1"/>
  <c r="G87" i="1"/>
  <c r="G1602" i="1"/>
  <c r="I892" i="1"/>
  <c r="G609" i="1"/>
  <c r="I1281" i="1"/>
  <c r="I1929" i="1"/>
  <c r="I807" i="1"/>
  <c r="G766" i="1"/>
  <c r="I1915" i="1"/>
  <c r="I926" i="1"/>
  <c r="I998" i="1"/>
  <c r="I1201" i="1"/>
  <c r="G1357" i="1"/>
  <c r="I1588" i="1"/>
  <c r="G1426" i="1"/>
  <c r="G1503" i="1"/>
  <c r="I1949" i="1"/>
  <c r="I511" i="1"/>
  <c r="I369" i="1"/>
  <c r="I1399" i="1"/>
  <c r="G1918" i="1"/>
  <c r="I469" i="1"/>
  <c r="I843" i="1"/>
  <c r="I1642" i="1"/>
  <c r="I1407" i="1"/>
  <c r="G562" i="1"/>
  <c r="I486" i="1"/>
  <c r="G149" i="1"/>
  <c r="I1791" i="1"/>
  <c r="I1853" i="1"/>
  <c r="G1484" i="1"/>
  <c r="G51" i="1"/>
  <c r="I687" i="1"/>
  <c r="I592" i="1"/>
  <c r="I163" i="1"/>
  <c r="I1042" i="1"/>
  <c r="G886" i="1"/>
  <c r="G530" i="1"/>
  <c r="G689" i="1"/>
  <c r="G1174" i="1"/>
  <c r="G695" i="1"/>
  <c r="I1950" i="1"/>
  <c r="G1007" i="1"/>
  <c r="I1683" i="1"/>
  <c r="I889" i="1"/>
  <c r="I1977" i="1"/>
  <c r="G720" i="1"/>
  <c r="I1722" i="1"/>
  <c r="I1512" i="1"/>
  <c r="G194" i="1"/>
  <c r="G1719" i="1"/>
  <c r="G1397" i="1"/>
  <c r="I316" i="1"/>
  <c r="I326" i="1"/>
  <c r="G1191" i="1"/>
  <c r="G548" i="1"/>
  <c r="G1242" i="1"/>
  <c r="I1636" i="1"/>
  <c r="I1553" i="1"/>
  <c r="I1804" i="1"/>
  <c r="I1593" i="1"/>
  <c r="G1335" i="1"/>
  <c r="I1374" i="1"/>
  <c r="I1716" i="1"/>
  <c r="G343" i="1"/>
  <c r="G957" i="1"/>
  <c r="G303" i="1"/>
  <c r="I508" i="1"/>
  <c r="G184" i="1"/>
  <c r="I1179" i="1"/>
  <c r="G1737" i="1"/>
  <c r="I526" i="1"/>
  <c r="G506" i="1"/>
  <c r="I1948" i="1"/>
  <c r="I231" i="1"/>
  <c r="I263" i="1"/>
  <c r="G1454" i="1"/>
  <c r="I413" i="1"/>
  <c r="I663" i="1"/>
  <c r="I485" i="1"/>
  <c r="G1235" i="1"/>
  <c r="I433" i="1"/>
  <c r="I1461" i="1"/>
  <c r="G735" i="1"/>
  <c r="G417" i="1"/>
  <c r="G1266" i="1"/>
  <c r="G157" i="1"/>
  <c r="G1818" i="1"/>
  <c r="I1342" i="1"/>
  <c r="I1582" i="1"/>
  <c r="G133" i="1"/>
  <c r="G1064" i="1"/>
  <c r="I379" i="1"/>
  <c r="I228" i="1"/>
  <c r="G134" i="1"/>
  <c r="I1661" i="1"/>
  <c r="I414" i="1"/>
  <c r="G456" i="1"/>
  <c r="G22" i="1"/>
  <c r="I1022" i="1"/>
  <c r="I767" i="1"/>
  <c r="G704" i="1"/>
  <c r="G322" i="1"/>
  <c r="I1172" i="1"/>
  <c r="I1645" i="1"/>
  <c r="I1013" i="1"/>
  <c r="I1028" i="1"/>
  <c r="G1509" i="1"/>
  <c r="G727" i="1"/>
  <c r="I981" i="1"/>
  <c r="G432" i="1"/>
  <c r="I771" i="1"/>
  <c r="G1873" i="1"/>
  <c r="G1291" i="1"/>
  <c r="I1400" i="1"/>
  <c r="G1696" i="1"/>
  <c r="G447" i="1"/>
  <c r="G2001" i="1"/>
  <c r="G1278" i="1"/>
  <c r="I367" i="1"/>
  <c r="G329" i="1"/>
  <c r="I352" i="1"/>
  <c r="G798" i="1"/>
  <c r="G1671" i="1"/>
  <c r="I1753" i="1"/>
  <c r="G1725" i="1"/>
  <c r="I1583" i="1"/>
  <c r="I481" i="1"/>
  <c r="I258" i="1"/>
  <c r="G1551" i="1"/>
  <c r="G1413" i="1"/>
  <c r="I274" i="1"/>
  <c r="I1246" i="1"/>
  <c r="I1863" i="1"/>
  <c r="G1546" i="1"/>
  <c r="G349" i="1"/>
  <c r="G995" i="1"/>
  <c r="G1136" i="1"/>
  <c r="G496" i="1"/>
  <c r="G1857" i="1"/>
  <c r="G1886" i="1"/>
  <c r="I752" i="1"/>
  <c r="G718" i="1"/>
  <c r="G225" i="1"/>
  <c r="I987" i="1"/>
  <c r="I35" i="1"/>
  <c r="I737" i="1"/>
  <c r="G1177" i="1"/>
  <c r="I1557" i="1"/>
  <c r="I373" i="1"/>
  <c r="G1137" i="1"/>
  <c r="G973" i="1"/>
  <c r="G882" i="1"/>
  <c r="G1766" i="1"/>
  <c r="G723" i="1"/>
  <c r="G1885" i="1"/>
  <c r="I1691" i="1"/>
  <c r="G1185" i="1"/>
  <c r="G1252" i="1"/>
  <c r="G703" i="1"/>
  <c r="G1496" i="1"/>
  <c r="I905" i="1"/>
  <c r="G1529" i="1"/>
  <c r="G300" i="1"/>
  <c r="I518" i="1"/>
  <c r="I1474" i="1"/>
  <c r="G249" i="1"/>
  <c r="G880" i="1"/>
  <c r="G1984" i="1"/>
  <c r="I184" i="1"/>
  <c r="G1330" i="1"/>
  <c r="G1249" i="1"/>
  <c r="I906" i="1"/>
  <c r="G1016" i="1"/>
  <c r="G977" i="1"/>
  <c r="I261" i="1"/>
  <c r="G911" i="1"/>
  <c r="I1477" i="1"/>
  <c r="I946" i="1"/>
  <c r="G129" i="1"/>
  <c r="G1659" i="1"/>
  <c r="G136" i="1"/>
  <c r="G563" i="1"/>
  <c r="I615" i="1"/>
  <c r="G577" i="1"/>
  <c r="G77" i="1"/>
  <c r="I1355" i="1"/>
  <c r="G1717" i="1"/>
  <c r="I1378" i="1"/>
  <c r="I966" i="1"/>
  <c r="G1814" i="1"/>
  <c r="G811" i="1"/>
  <c r="G1046" i="1"/>
  <c r="I1315" i="1"/>
  <c r="G1154" i="1"/>
  <c r="I569" i="1"/>
  <c r="I41" i="1"/>
  <c r="I503" i="1"/>
  <c r="G339" i="1"/>
  <c r="G313" i="1"/>
  <c r="G1371" i="1"/>
  <c r="I113" i="1"/>
  <c r="G1586" i="1"/>
  <c r="G1839" i="1"/>
  <c r="G1915" i="1"/>
  <c r="G1923" i="1"/>
  <c r="G1273" i="1"/>
  <c r="I1219" i="1"/>
  <c r="I304" i="1"/>
  <c r="I416" i="1"/>
  <c r="G336" i="1"/>
  <c r="G492" i="1"/>
  <c r="I1104" i="1"/>
  <c r="G438" i="1"/>
  <c r="I516" i="1"/>
  <c r="I456" i="1"/>
  <c r="I437" i="1"/>
  <c r="I563" i="1"/>
  <c r="G1906" i="1"/>
  <c r="G1539" i="1"/>
  <c r="G1623" i="1"/>
  <c r="I601" i="1"/>
  <c r="G1842" i="1"/>
  <c r="G1329" i="1"/>
  <c r="G831" i="1"/>
  <c r="G1559" i="1"/>
  <c r="I1233" i="1"/>
  <c r="I181" i="1"/>
  <c r="I1971" i="1"/>
  <c r="G894" i="1"/>
  <c r="G1050" i="1"/>
  <c r="I137" i="1"/>
  <c r="G956" i="1"/>
  <c r="G1049" i="1"/>
  <c r="G1378" i="1"/>
  <c r="G1041" i="1"/>
  <c r="G1455" i="1"/>
  <c r="G834" i="1"/>
  <c r="G1096" i="1"/>
  <c r="I887" i="1"/>
  <c r="I847" i="1"/>
  <c r="G1987" i="1"/>
  <c r="G1275" i="1"/>
  <c r="I1997" i="1"/>
  <c r="G312" i="1"/>
  <c r="G650" i="1"/>
  <c r="G1251" i="1"/>
  <c r="I1992" i="1"/>
  <c r="G1999" i="1"/>
  <c r="G1498" i="1"/>
  <c r="I505" i="1"/>
  <c r="I160" i="1"/>
  <c r="G294" i="1"/>
  <c r="G1006" i="1"/>
  <c r="G849" i="1"/>
  <c r="I130" i="1"/>
  <c r="I561" i="1"/>
  <c r="G406" i="1"/>
  <c r="G44" i="1"/>
  <c r="G1525" i="1"/>
  <c r="G1851" i="1"/>
  <c r="I638" i="1"/>
  <c r="I1673" i="1"/>
  <c r="G1031" i="1"/>
  <c r="I95" i="1"/>
  <c r="G850" i="1"/>
  <c r="G1372" i="1"/>
  <c r="I757" i="1"/>
  <c r="G645" i="1"/>
  <c r="I521" i="1"/>
  <c r="G1867" i="1"/>
  <c r="G1337" i="1"/>
  <c r="G74" i="1"/>
  <c r="G445" i="1"/>
  <c r="I593" i="1"/>
  <c r="I76" i="1"/>
  <c r="I607" i="1"/>
  <c r="I856" i="1"/>
  <c r="I512" i="1"/>
  <c r="I924" i="1"/>
  <c r="G1253" i="1"/>
  <c r="I1436" i="1"/>
  <c r="G767" i="1"/>
  <c r="G267" i="1"/>
  <c r="G59" i="1"/>
  <c r="I1895" i="1"/>
  <c r="G1314" i="1"/>
  <c r="G1831" i="1"/>
  <c r="I1597" i="1"/>
  <c r="G1524" i="1"/>
  <c r="G124" i="1"/>
  <c r="I389" i="1"/>
  <c r="G101" i="1"/>
  <c r="G1268" i="1"/>
  <c r="I452" i="1"/>
  <c r="G1911" i="1"/>
  <c r="G1856" i="1"/>
  <c r="G1699" i="1"/>
  <c r="G1449" i="1"/>
  <c r="I2001" i="1"/>
  <c r="I310" i="1"/>
  <c r="I611" i="1"/>
  <c r="I1927" i="1"/>
  <c r="G1069" i="1"/>
  <c r="G21" i="1"/>
  <c r="G105" i="1"/>
  <c r="G1846" i="1"/>
  <c r="I554" i="1"/>
  <c r="I1344" i="1"/>
  <c r="I1213" i="1"/>
  <c r="I788" i="1"/>
  <c r="G335" i="1"/>
  <c r="I1999" i="1"/>
  <c r="G1774" i="1"/>
  <c r="G867" i="1"/>
  <c r="G529" i="1"/>
  <c r="I1799" i="1"/>
  <c r="I243" i="1"/>
  <c r="G936" i="1"/>
  <c r="I1866" i="1"/>
  <c r="I600" i="1"/>
  <c r="I101" i="1"/>
  <c r="G873" i="1"/>
  <c r="G425" i="1"/>
  <c r="G515" i="1"/>
  <c r="I1205" i="1"/>
  <c r="I1126" i="1"/>
  <c r="G751" i="1"/>
  <c r="G127" i="1"/>
  <c r="I1327" i="1"/>
  <c r="I99" i="1"/>
  <c r="I813" i="1"/>
  <c r="G1629" i="1"/>
  <c r="G412" i="1"/>
  <c r="G1382" i="1"/>
  <c r="G1486" i="1"/>
  <c r="I292" i="1"/>
  <c r="I785" i="1"/>
  <c r="G1678" i="1"/>
  <c r="I1070" i="1"/>
  <c r="I951" i="1"/>
  <c r="G1183" i="1"/>
  <c r="I1647" i="1"/>
  <c r="G546" i="1"/>
  <c r="G599" i="1"/>
  <c r="I1991" i="1"/>
  <c r="I1328" i="1"/>
  <c r="I49" i="1"/>
  <c r="I15" i="1"/>
  <c r="I30" i="1"/>
  <c r="I404" i="1"/>
  <c r="G206" i="1"/>
  <c r="I859" i="1"/>
  <c r="I386" i="1"/>
  <c r="I1173" i="1"/>
  <c r="I1282" i="1"/>
  <c r="G1508" i="1"/>
  <c r="G1901" i="1"/>
  <c r="G1396" i="1"/>
  <c r="G942" i="1"/>
  <c r="I1790" i="1"/>
  <c r="G1785" i="1"/>
  <c r="G1475" i="1"/>
  <c r="G1108" i="1"/>
  <c r="G153" i="1"/>
  <c r="I1738" i="1"/>
  <c r="I717" i="1"/>
  <c r="G1156" i="1"/>
  <c r="I1970" i="1"/>
  <c r="I439" i="1"/>
  <c r="G1767" i="1"/>
  <c r="I1242" i="1"/>
  <c r="I218" i="1"/>
  <c r="I741" i="1"/>
  <c r="I1630" i="1"/>
  <c r="I1725" i="1"/>
  <c r="G1250" i="1"/>
  <c r="I207" i="1"/>
  <c r="I1200" i="1"/>
  <c r="I285" i="1"/>
  <c r="G255" i="1"/>
  <c r="I472" i="1"/>
  <c r="I1976" i="1"/>
  <c r="I1304" i="1"/>
  <c r="G1011" i="1"/>
  <c r="G888" i="1"/>
  <c r="G1706" i="1"/>
  <c r="I81" i="1"/>
  <c r="G218" i="1"/>
  <c r="I707" i="1"/>
  <c r="G1207" i="1"/>
  <c r="I1605" i="1"/>
  <c r="G1009" i="1"/>
  <c r="I392" i="1"/>
  <c r="I647" i="1"/>
  <c r="G274" i="1"/>
  <c r="G1477" i="1"/>
  <c r="I237" i="1"/>
  <c r="I403" i="1"/>
  <c r="G1769" i="1"/>
  <c r="G1702" i="1"/>
  <c r="G1701" i="1"/>
  <c r="I953" i="1"/>
  <c r="G1692" i="1"/>
  <c r="G574" i="1"/>
  <c r="I210" i="1"/>
  <c r="G1229" i="1"/>
  <c r="G1733" i="1"/>
  <c r="I556" i="1"/>
  <c r="G1521" i="1"/>
  <c r="G1988" i="1"/>
  <c r="G394" i="1"/>
  <c r="G970" i="1"/>
  <c r="G193" i="1"/>
  <c r="G1134" i="1"/>
  <c r="I857" i="1"/>
  <c r="I1326" i="1"/>
  <c r="I1352" i="1"/>
  <c r="G1020" i="1"/>
  <c r="G1869" i="1"/>
  <c r="G283" i="1"/>
  <c r="I324" i="1"/>
  <c r="G776" i="1"/>
  <c r="I1901" i="1"/>
  <c r="I780" i="1"/>
  <c r="I1660" i="1"/>
  <c r="I999" i="1"/>
  <c r="I1041" i="1"/>
  <c r="G1775" i="1"/>
  <c r="I1014" i="1"/>
  <c r="I930" i="1"/>
  <c r="G372" i="1"/>
  <c r="G1654" i="1"/>
  <c r="I1387" i="1"/>
  <c r="I869" i="1"/>
  <c r="G966" i="1"/>
  <c r="G288" i="1"/>
  <c r="G1657" i="1"/>
  <c r="G1100" i="1"/>
  <c r="G1861" i="1"/>
  <c r="G17" i="1"/>
  <c r="I1953" i="1"/>
  <c r="G594" i="1"/>
  <c r="G1997" i="1"/>
  <c r="G619" i="1"/>
  <c r="G1552" i="1"/>
  <c r="I1103" i="1"/>
  <c r="G1308" i="1"/>
  <c r="I37" i="1"/>
  <c r="G753" i="1"/>
  <c r="I1143" i="1"/>
  <c r="G1544" i="1"/>
  <c r="G826" i="1"/>
  <c r="G1563" i="1"/>
  <c r="G1129" i="1"/>
  <c r="G1348" i="1"/>
  <c r="G585" i="1"/>
  <c r="I1125" i="1"/>
  <c r="G231" i="1"/>
  <c r="G591" i="1"/>
  <c r="G984" i="1"/>
  <c r="I814" i="1"/>
  <c r="G84" i="1"/>
  <c r="I654" i="1"/>
  <c r="G463" i="1"/>
  <c r="I1074" i="1"/>
  <c r="I568" i="1"/>
  <c r="G1884" i="1"/>
  <c r="I1395" i="1"/>
  <c r="I862" i="1"/>
  <c r="I299" i="1"/>
  <c r="I1510" i="1"/>
  <c r="I954" i="1"/>
  <c r="I1239" i="1"/>
  <c r="G1898" i="1"/>
  <c r="G1519" i="1"/>
  <c r="G1689" i="1"/>
  <c r="G1545" i="1"/>
  <c r="I217" i="1"/>
  <c r="I306" i="1"/>
  <c r="I1544" i="1"/>
  <c r="G1492" i="1"/>
  <c r="I244" i="1"/>
  <c r="I7" i="1"/>
  <c r="I1038" i="1"/>
  <c r="G1394" i="1"/>
  <c r="I140" i="1"/>
  <c r="G1932" i="1"/>
  <c r="G1870" i="1"/>
  <c r="G814" i="1"/>
  <c r="G326" i="1"/>
  <c r="I812" i="1"/>
  <c r="G903" i="1"/>
  <c r="G1066" i="1"/>
  <c r="G1091" i="1"/>
  <c r="G595" i="1"/>
  <c r="I1486" i="1"/>
  <c r="G1859" i="1"/>
  <c r="G295" i="1"/>
  <c r="G478" i="1"/>
  <c r="G558" i="1"/>
  <c r="G1752" i="1"/>
  <c r="I1775" i="1"/>
  <c r="I1269" i="1"/>
  <c r="G1282" i="1"/>
  <c r="G568" i="1"/>
  <c r="G987" i="1"/>
  <c r="I273" i="1"/>
  <c r="I1777" i="1"/>
  <c r="G1470" i="1"/>
  <c r="G674" i="1"/>
  <c r="I479" i="1"/>
  <c r="G1147" i="1"/>
  <c r="I1926" i="1"/>
  <c r="G73" i="1"/>
  <c r="G4" i="1"/>
  <c r="G1204" i="1"/>
  <c r="I1034" i="1"/>
  <c r="I1243" i="1"/>
  <c r="G1812" i="1"/>
  <c r="I1639" i="1"/>
  <c r="I215" i="1"/>
  <c r="G1526" i="1"/>
  <c r="G1841" i="1"/>
  <c r="I1924" i="1"/>
  <c r="G1616" i="1"/>
  <c r="I860" i="1"/>
  <c r="G1741" i="1"/>
  <c r="I61" i="1"/>
  <c r="I1586" i="1"/>
  <c r="G556" i="1"/>
  <c r="G812" i="1"/>
  <c r="G273" i="1"/>
  <c r="G887" i="1"/>
  <c r="G657" i="1"/>
  <c r="G1036" i="1"/>
  <c r="I1278" i="1"/>
  <c r="G1723" i="1"/>
  <c r="I1958" i="1"/>
  <c r="G1408" i="1"/>
  <c r="G32" i="1"/>
  <c r="G1645" i="1"/>
  <c r="I1316" i="1"/>
  <c r="I1393" i="1"/>
  <c r="I1578" i="1"/>
  <c r="G662" i="1"/>
  <c r="I1581" i="1"/>
  <c r="I1862" i="1"/>
  <c r="I1888" i="1"/>
  <c r="I558" i="1"/>
  <c r="G573" i="1"/>
  <c r="G395" i="1"/>
  <c r="I342" i="1"/>
  <c r="I1689" i="1"/>
  <c r="I1408" i="1"/>
  <c r="G1111" i="1"/>
  <c r="I457" i="1"/>
  <c r="G1428" i="1"/>
  <c r="G1012" i="1"/>
  <c r="I1266" i="1"/>
  <c r="I582" i="1"/>
  <c r="G1765" i="1"/>
  <c r="I1029" i="1"/>
  <c r="G1528" i="1"/>
  <c r="G1963" i="1"/>
  <c r="I151" i="1"/>
  <c r="I1470" i="1"/>
  <c r="I38" i="1"/>
  <c r="G868" i="1"/>
  <c r="I1365" i="1"/>
  <c r="G480" i="1"/>
  <c r="G65" i="1"/>
  <c r="I523" i="1"/>
  <c r="I208" i="1"/>
  <c r="I1283" i="1"/>
  <c r="I651" i="1"/>
  <c r="I1066" i="1"/>
  <c r="G1163" i="1"/>
  <c r="I1917" i="1"/>
  <c r="G774"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<sst xmlns="http://schemas.openxmlformats.org/spreadsheetml/2006/main" count="10215" uniqueCount="3250">
  <si>
    <t>Paul</t>
  </si>
  <si>
    <t>Danielle</t>
  </si>
  <si>
    <t>Tina</t>
  </si>
  <si>
    <t>Tara</t>
  </si>
  <si>
    <t>Anthony</t>
  </si>
  <si>
    <t>Kelly</t>
  </si>
  <si>
    <t>George</t>
  </si>
  <si>
    <t>Stanley</t>
  </si>
  <si>
    <t>Audrey</t>
  </si>
  <si>
    <t>Gabrielle</t>
  </si>
  <si>
    <t>Clinton</t>
  </si>
  <si>
    <t>Patricia</t>
  </si>
  <si>
    <t>Pamela</t>
  </si>
  <si>
    <t>Laura</t>
  </si>
  <si>
    <t>Roger</t>
  </si>
  <si>
    <t>Vicki</t>
  </si>
  <si>
    <t>Maxwell</t>
  </si>
  <si>
    <t>Jonathan</t>
  </si>
  <si>
    <t>Angela</t>
  </si>
  <si>
    <t>Tim</t>
  </si>
  <si>
    <t>Kyle</t>
  </si>
  <si>
    <t>Shannon</t>
  </si>
  <si>
    <t>Sean</t>
  </si>
  <si>
    <t>Cassandra</t>
  </si>
  <si>
    <t>Jason</t>
  </si>
  <si>
    <t>Peter</t>
  </si>
  <si>
    <t>Jeffrey</t>
  </si>
  <si>
    <t>Carol</t>
  </si>
  <si>
    <t>Angie</t>
  </si>
  <si>
    <t>Cynthia</t>
  </si>
  <si>
    <t>Timothy</t>
  </si>
  <si>
    <t>Phyllis</t>
  </si>
  <si>
    <t>Lisa</t>
  </si>
  <si>
    <t>Ryan</t>
  </si>
  <si>
    <t>Michael</t>
  </si>
  <si>
    <t>Miguel</t>
  </si>
  <si>
    <t>Christopher</t>
  </si>
  <si>
    <t>Emily</t>
  </si>
  <si>
    <t>Jesus</t>
  </si>
  <si>
    <t>Lauren</t>
  </si>
  <si>
    <t>David</t>
  </si>
  <si>
    <t>Kenneth</t>
  </si>
  <si>
    <t>Elizabeth</t>
  </si>
  <si>
    <t>Billy</t>
  </si>
  <si>
    <t>Kimberly</t>
  </si>
  <si>
    <t>Sonia</t>
  </si>
  <si>
    <t>Sandra</t>
  </si>
  <si>
    <t>Luke</t>
  </si>
  <si>
    <t>Lindsay</t>
  </si>
  <si>
    <t>Jamie</t>
  </si>
  <si>
    <t>Jennifer</t>
  </si>
  <si>
    <t>Melissa</t>
  </si>
  <si>
    <t>Jacob</t>
  </si>
  <si>
    <t>Casey</t>
  </si>
  <si>
    <t>Michelle</t>
  </si>
  <si>
    <t>Brittany</t>
  </si>
  <si>
    <t>Brian</t>
  </si>
  <si>
    <t>Veronica</t>
  </si>
  <si>
    <t>Eric</t>
  </si>
  <si>
    <t>Kristy</t>
  </si>
  <si>
    <t>Steven</t>
  </si>
  <si>
    <t>Henry</t>
  </si>
  <si>
    <t>Raymond</t>
  </si>
  <si>
    <t>Jill</t>
  </si>
  <si>
    <t>Louis</t>
  </si>
  <si>
    <t>Anna</t>
  </si>
  <si>
    <t>Andrea</t>
  </si>
  <si>
    <t>Rhonda</t>
  </si>
  <si>
    <t>Chelsea</t>
  </si>
  <si>
    <t>Shawn</t>
  </si>
  <si>
    <t>Charles</t>
  </si>
  <si>
    <t>James</t>
  </si>
  <si>
    <t>Dennis</t>
  </si>
  <si>
    <t>Yvette</t>
  </si>
  <si>
    <t>Robert</t>
  </si>
  <si>
    <t>William</t>
  </si>
  <si>
    <t>Patrick</t>
  </si>
  <si>
    <t>Natalie</t>
  </si>
  <si>
    <t>Victoria</t>
  </si>
  <si>
    <t>Natasha</t>
  </si>
  <si>
    <t>Thomas</t>
  </si>
  <si>
    <t>Derrick</t>
  </si>
  <si>
    <t>Abigail</t>
  </si>
  <si>
    <t>Stephen</t>
  </si>
  <si>
    <t>Emma</t>
  </si>
  <si>
    <t>Erin</t>
  </si>
  <si>
    <t>Benjamin</t>
  </si>
  <si>
    <t>Alexandra</t>
  </si>
  <si>
    <t>Phillip</t>
  </si>
  <si>
    <t>Joshua</t>
  </si>
  <si>
    <t>Kelsey</t>
  </si>
  <si>
    <t>Alyssa</t>
  </si>
  <si>
    <t>Beth</t>
  </si>
  <si>
    <t>Andrew</t>
  </si>
  <si>
    <t>Crystal</t>
  </si>
  <si>
    <t>Jordan</t>
  </si>
  <si>
    <t>Antonio</t>
  </si>
  <si>
    <t>Wendy</t>
  </si>
  <si>
    <t>Mario</t>
  </si>
  <si>
    <t>Amanda</t>
  </si>
  <si>
    <t>Cory</t>
  </si>
  <si>
    <t>Joanne</t>
  </si>
  <si>
    <t>Jessica</t>
  </si>
  <si>
    <t>Lawrence</t>
  </si>
  <si>
    <t>Marc</t>
  </si>
  <si>
    <t>Cathy</t>
  </si>
  <si>
    <t>Adam</t>
  </si>
  <si>
    <t>Sherry</t>
  </si>
  <si>
    <t>Victor</t>
  </si>
  <si>
    <t>Mark</t>
  </si>
  <si>
    <t>Matthew</t>
  </si>
  <si>
    <t>Tanya</t>
  </si>
  <si>
    <t>Julie</t>
  </si>
  <si>
    <t>Courtney</t>
  </si>
  <si>
    <t>Nancy</t>
  </si>
  <si>
    <t>Anita</t>
  </si>
  <si>
    <t>Troy</t>
  </si>
  <si>
    <t>Nicholas</t>
  </si>
  <si>
    <t>Denise</t>
  </si>
  <si>
    <t>Amy</t>
  </si>
  <si>
    <t>Fernando</t>
  </si>
  <si>
    <t>Evan</t>
  </si>
  <si>
    <t>Rebecca</t>
  </si>
  <si>
    <t>Erica</t>
  </si>
  <si>
    <t>John</t>
  </si>
  <si>
    <t>Jeremy</t>
  </si>
  <si>
    <t>Traci</t>
  </si>
  <si>
    <t>Alex</t>
  </si>
  <si>
    <t>Logan</t>
  </si>
  <si>
    <t>Rachel</t>
  </si>
  <si>
    <t>Jenny</t>
  </si>
  <si>
    <t>Joan</t>
  </si>
  <si>
    <t>Penny</t>
  </si>
  <si>
    <t>Mike</t>
  </si>
  <si>
    <t>Vanessa</t>
  </si>
  <si>
    <t>Angelica</t>
  </si>
  <si>
    <t>Tiffany</t>
  </si>
  <si>
    <t>Karen</t>
  </si>
  <si>
    <t>Kathryn</t>
  </si>
  <si>
    <t>Christina</t>
  </si>
  <si>
    <t>April</t>
  </si>
  <si>
    <t>Michele</t>
  </si>
  <si>
    <t>Joe</t>
  </si>
  <si>
    <t>Trevor</t>
  </si>
  <si>
    <t>Tammy</t>
  </si>
  <si>
    <t>Chad</t>
  </si>
  <si>
    <t>Samantha</t>
  </si>
  <si>
    <t>Marie</t>
  </si>
  <si>
    <t>Theresa</t>
  </si>
  <si>
    <t>Joseph</t>
  </si>
  <si>
    <t>Roberto</t>
  </si>
  <si>
    <t>Catherine</t>
  </si>
  <si>
    <t>Keith</t>
  </si>
  <si>
    <t>Linda</t>
  </si>
  <si>
    <t>Douglas</t>
  </si>
  <si>
    <t>Heidi</t>
  </si>
  <si>
    <t>Dustin</t>
  </si>
  <si>
    <t>Willie</t>
  </si>
  <si>
    <t>Stacy</t>
  </si>
  <si>
    <t>Holly</t>
  </si>
  <si>
    <t>Debra</t>
  </si>
  <si>
    <t>Vincent</t>
  </si>
  <si>
    <t>Nathan</t>
  </si>
  <si>
    <t>Tracey</t>
  </si>
  <si>
    <t>Sheila</t>
  </si>
  <si>
    <t>Sarah</t>
  </si>
  <si>
    <t>Whitney</t>
  </si>
  <si>
    <t>Kevin</t>
  </si>
  <si>
    <t>Randy</t>
  </si>
  <si>
    <t>Kim</t>
  </si>
  <si>
    <t>Ricardo</t>
  </si>
  <si>
    <t>Brandi</t>
  </si>
  <si>
    <t>Jorge</t>
  </si>
  <si>
    <t>Robin</t>
  </si>
  <si>
    <t>Brenda</t>
  </si>
  <si>
    <t>Barbara</t>
  </si>
  <si>
    <t>Tracy</t>
  </si>
  <si>
    <t>Terry</t>
  </si>
  <si>
    <t>Heather</t>
  </si>
  <si>
    <t>Wanda</t>
  </si>
  <si>
    <t>Gina</t>
  </si>
  <si>
    <t>Sabrina</t>
  </si>
  <si>
    <t>Ashley</t>
  </si>
  <si>
    <t>Miranda</t>
  </si>
  <si>
    <t>Erik</t>
  </si>
  <si>
    <t>Brandy</t>
  </si>
  <si>
    <t>Joel</t>
  </si>
  <si>
    <t>Jody</t>
  </si>
  <si>
    <t>Taylor</t>
  </si>
  <si>
    <t>Sydney</t>
  </si>
  <si>
    <t>Carla</t>
  </si>
  <si>
    <t>Brandon</t>
  </si>
  <si>
    <t>Scott</t>
  </si>
  <si>
    <t>Cody</t>
  </si>
  <si>
    <t>Allen</t>
  </si>
  <si>
    <t>Donald</t>
  </si>
  <si>
    <t>Wayne</t>
  </si>
  <si>
    <t>Dawn</t>
  </si>
  <si>
    <t>Ricky</t>
  </si>
  <si>
    <t>Aimee</t>
  </si>
  <si>
    <t>Samuel</t>
  </si>
  <si>
    <t>Diana</t>
  </si>
  <si>
    <t>Gary</t>
  </si>
  <si>
    <t>Nicole</t>
  </si>
  <si>
    <t>Kristin</t>
  </si>
  <si>
    <t>Francis</t>
  </si>
  <si>
    <t>Christine</t>
  </si>
  <si>
    <t>Kristen</t>
  </si>
  <si>
    <t>Tabitha</t>
  </si>
  <si>
    <t>Lance</t>
  </si>
  <si>
    <t>Gene</t>
  </si>
  <si>
    <t>Sara</t>
  </si>
  <si>
    <t>Cheryl</t>
  </si>
  <si>
    <t>Francisco</t>
  </si>
  <si>
    <t>Darrell</t>
  </si>
  <si>
    <t>Teresa</t>
  </si>
  <si>
    <t>Deborah</t>
  </si>
  <si>
    <t>Autumn</t>
  </si>
  <si>
    <t>Claudia</t>
  </si>
  <si>
    <t>Austin</t>
  </si>
  <si>
    <t>Jasmine</t>
  </si>
  <si>
    <t>Monique</t>
  </si>
  <si>
    <t>Christian</t>
  </si>
  <si>
    <t>Adriana</t>
  </si>
  <si>
    <t>Caitlin</t>
  </si>
  <si>
    <t>Rodney</t>
  </si>
  <si>
    <t>Megan</t>
  </si>
  <si>
    <t>Mathew</t>
  </si>
  <si>
    <t>Tammie</t>
  </si>
  <si>
    <t>Susan</t>
  </si>
  <si>
    <t>Lori</t>
  </si>
  <si>
    <t>Daniel</t>
  </si>
  <si>
    <t>Harold</t>
  </si>
  <si>
    <t>Brad</t>
  </si>
  <si>
    <t>Clayton</t>
  </si>
  <si>
    <t>Richard</t>
  </si>
  <si>
    <t>Margaret</t>
  </si>
  <si>
    <t>Stephanie</t>
  </si>
  <si>
    <t>Sharon</t>
  </si>
  <si>
    <t>Marco</t>
  </si>
  <si>
    <t>Jerry</t>
  </si>
  <si>
    <t>Madison</t>
  </si>
  <si>
    <t>Manuel</t>
  </si>
  <si>
    <t>Janet</t>
  </si>
  <si>
    <t>Maria</t>
  </si>
  <si>
    <t>Selena</t>
  </si>
  <si>
    <t>Katelyn</t>
  </si>
  <si>
    <t>Corey</t>
  </si>
  <si>
    <t>Kendra</t>
  </si>
  <si>
    <t>Tamara</t>
  </si>
  <si>
    <t>Morgan</t>
  </si>
  <si>
    <t>Dale</t>
  </si>
  <si>
    <t>Alicia</t>
  </si>
  <si>
    <t>Todd</t>
  </si>
  <si>
    <t>Melinda</t>
  </si>
  <si>
    <t>Meredith</t>
  </si>
  <si>
    <t>Bradley</t>
  </si>
  <si>
    <t>Gregory</t>
  </si>
  <si>
    <t>Monica</t>
  </si>
  <si>
    <t>Kristina</t>
  </si>
  <si>
    <t>Greg</t>
  </si>
  <si>
    <t>Alexander</t>
  </si>
  <si>
    <t>Justin</t>
  </si>
  <si>
    <t>Bruce</t>
  </si>
  <si>
    <t>Theodore</t>
  </si>
  <si>
    <t>Carlos</t>
  </si>
  <si>
    <t>Rita</t>
  </si>
  <si>
    <t>Tyler</t>
  </si>
  <si>
    <t>Bryan</t>
  </si>
  <si>
    <t>Melanie</t>
  </si>
  <si>
    <t>Mary</t>
  </si>
  <si>
    <t>Travis</t>
  </si>
  <si>
    <t>Judy</t>
  </si>
  <si>
    <t>Eugene</t>
  </si>
  <si>
    <t>Walter</t>
  </si>
  <si>
    <t>Lindsey</t>
  </si>
  <si>
    <t>Darryl</t>
  </si>
  <si>
    <t>Bethany</t>
  </si>
  <si>
    <t>Levi</t>
  </si>
  <si>
    <t>Philip</t>
  </si>
  <si>
    <t>Jeffery</t>
  </si>
  <si>
    <t>Xavier</t>
  </si>
  <si>
    <t>Katherine</t>
  </si>
  <si>
    <t>Jose</t>
  </si>
  <si>
    <t>Katie</t>
  </si>
  <si>
    <t>Jeremiah</t>
  </si>
  <si>
    <t>Isaac</t>
  </si>
  <si>
    <t>Hannah</t>
  </si>
  <si>
    <t>Zachary</t>
  </si>
  <si>
    <t>Curtis</t>
  </si>
  <si>
    <t>Allison</t>
  </si>
  <si>
    <t>Hayley</t>
  </si>
  <si>
    <t>Aaron</t>
  </si>
  <si>
    <t>Ross</t>
  </si>
  <si>
    <t>Jackson</t>
  </si>
  <si>
    <t>Julian</t>
  </si>
  <si>
    <t>Alejandra</t>
  </si>
  <si>
    <t>Leah</t>
  </si>
  <si>
    <t>Jake</t>
  </si>
  <si>
    <t>Ann</t>
  </si>
  <si>
    <t>Larry</t>
  </si>
  <si>
    <t>Tracie</t>
  </si>
  <si>
    <t>Breanna</t>
  </si>
  <si>
    <t>Angel</t>
  </si>
  <si>
    <t>Annette</t>
  </si>
  <si>
    <t>Ian</t>
  </si>
  <si>
    <t>Kari</t>
  </si>
  <si>
    <t>Jacqueline</t>
  </si>
  <si>
    <t>Jesse</t>
  </si>
  <si>
    <t>Martha</t>
  </si>
  <si>
    <t>Diane</t>
  </si>
  <si>
    <t>Betty</t>
  </si>
  <si>
    <t>Ebony</t>
  </si>
  <si>
    <t>Julia</t>
  </si>
  <si>
    <t>Jimmy</t>
  </si>
  <si>
    <t>Brittney</t>
  </si>
  <si>
    <t>Caroline</t>
  </si>
  <si>
    <t>Stacey</t>
  </si>
  <si>
    <t>Craig</t>
  </si>
  <si>
    <t>Earl</t>
  </si>
  <si>
    <t>Molly</t>
  </si>
  <si>
    <t>Brianna</t>
  </si>
  <si>
    <t>Luis</t>
  </si>
  <si>
    <t>Alexis</t>
  </si>
  <si>
    <t>Brent</t>
  </si>
  <si>
    <t>Bobby</t>
  </si>
  <si>
    <t>Lee</t>
  </si>
  <si>
    <t>Andre</t>
  </si>
  <si>
    <t>Alison</t>
  </si>
  <si>
    <t>Eileen</t>
  </si>
  <si>
    <t>Ruben</t>
  </si>
  <si>
    <t>Carl</t>
  </si>
  <si>
    <t>Valerie</t>
  </si>
  <si>
    <t>Regina</t>
  </si>
  <si>
    <t>Noah</t>
  </si>
  <si>
    <t>Dorothy</t>
  </si>
  <si>
    <t>Shelly</t>
  </si>
  <si>
    <t>Maurice</t>
  </si>
  <si>
    <t>Harry</t>
  </si>
  <si>
    <t>Connor</t>
  </si>
  <si>
    <t>Hunter</t>
  </si>
  <si>
    <t>Shelia</t>
  </si>
  <si>
    <t>Ray</t>
  </si>
  <si>
    <t>Suzanne</t>
  </si>
  <si>
    <t>Arthur</t>
  </si>
  <si>
    <t>Oscar</t>
  </si>
  <si>
    <t>Brett</t>
  </si>
  <si>
    <t>Maureen</t>
  </si>
  <si>
    <t>Joanna</t>
  </si>
  <si>
    <t>Dean</t>
  </si>
  <si>
    <t>Brendan</t>
  </si>
  <si>
    <t>Latoya</t>
  </si>
  <si>
    <t>Donna</t>
  </si>
  <si>
    <t>Martin</t>
  </si>
  <si>
    <t>Nichole</t>
  </si>
  <si>
    <t>Anne</t>
  </si>
  <si>
    <t>Lacey</t>
  </si>
  <si>
    <t>Cindy</t>
  </si>
  <si>
    <t>Grant</t>
  </si>
  <si>
    <t>Sheryl</t>
  </si>
  <si>
    <t>Jaime</t>
  </si>
  <si>
    <t>Nathaniel</t>
  </si>
  <si>
    <t>Gabriela</t>
  </si>
  <si>
    <t>Jodi</t>
  </si>
  <si>
    <t>Tristan</t>
  </si>
  <si>
    <t>Jillian</t>
  </si>
  <si>
    <t>Dylan</t>
  </si>
  <si>
    <t>Mallory</t>
  </si>
  <si>
    <t>Amber</t>
  </si>
  <si>
    <t>Ronnie</t>
  </si>
  <si>
    <t>Desiree</t>
  </si>
  <si>
    <t>Frank</t>
  </si>
  <si>
    <t>Gabriel</t>
  </si>
  <si>
    <t>Hector</t>
  </si>
  <si>
    <t>Randall</t>
  </si>
  <si>
    <t>Rick</t>
  </si>
  <si>
    <t>Alan</t>
  </si>
  <si>
    <t>Brooke</t>
  </si>
  <si>
    <t>Ronald</t>
  </si>
  <si>
    <t>Loretta</t>
  </si>
  <si>
    <t>Toni</t>
  </si>
  <si>
    <t>Christie</t>
  </si>
  <si>
    <t>Terri</t>
  </si>
  <si>
    <t>Albert</t>
  </si>
  <si>
    <t>Katrina</t>
  </si>
  <si>
    <t>Kathleen</t>
  </si>
  <si>
    <t>Derek</t>
  </si>
  <si>
    <t>Marcus</t>
  </si>
  <si>
    <t>Lucas</t>
  </si>
  <si>
    <t>Alexandria</t>
  </si>
  <si>
    <t>Danny</t>
  </si>
  <si>
    <t>Candace</t>
  </si>
  <si>
    <t>Dakota</t>
  </si>
  <si>
    <t>Edward</t>
  </si>
  <si>
    <t>Carolyn</t>
  </si>
  <si>
    <t>Calvin</t>
  </si>
  <si>
    <t>Connie</t>
  </si>
  <si>
    <t>Jasmin</t>
  </si>
  <si>
    <t>Andres</t>
  </si>
  <si>
    <t>Shelley</t>
  </si>
  <si>
    <t>Tony</t>
  </si>
  <si>
    <t>Drew</t>
  </si>
  <si>
    <t>Gwendolyn</t>
  </si>
  <si>
    <t>Krista</t>
  </si>
  <si>
    <t>Kayla</t>
  </si>
  <si>
    <t>Misty</t>
  </si>
  <si>
    <t>Javier</t>
  </si>
  <si>
    <t>Olivia</t>
  </si>
  <si>
    <t>Dana</t>
  </si>
  <si>
    <t>Chris</t>
  </si>
  <si>
    <t>Ruth</t>
  </si>
  <si>
    <t>Shelby</t>
  </si>
  <si>
    <t>Frederick</t>
  </si>
  <si>
    <t>Destiny</t>
  </si>
  <si>
    <t>Mindy</t>
  </si>
  <si>
    <t>Eduardo</t>
  </si>
  <si>
    <t>Renee</t>
  </si>
  <si>
    <t>Kaitlyn</t>
  </si>
  <si>
    <t>Steve</t>
  </si>
  <si>
    <t>Gabriella</t>
  </si>
  <si>
    <t>Shane</t>
  </si>
  <si>
    <t>Meghan</t>
  </si>
  <si>
    <t>Paula</t>
  </si>
  <si>
    <t>Madeline</t>
  </si>
  <si>
    <t>Leslie</t>
  </si>
  <si>
    <t>Garrett</t>
  </si>
  <si>
    <t>Deanna</t>
  </si>
  <si>
    <t>Beverly</t>
  </si>
  <si>
    <t>Rachael</t>
  </si>
  <si>
    <t>Charlotte</t>
  </si>
  <si>
    <t>Sheena</t>
  </si>
  <si>
    <t>Barry</t>
  </si>
  <si>
    <t>Daisy</t>
  </si>
  <si>
    <t>Mitchell</t>
  </si>
  <si>
    <t>Jon</t>
  </si>
  <si>
    <t>Isaiah</t>
  </si>
  <si>
    <t>Colleen</t>
  </si>
  <si>
    <t>Juan</t>
  </si>
  <si>
    <t>Duane</t>
  </si>
  <si>
    <t>Marissa</t>
  </si>
  <si>
    <t>Bonnie</t>
  </si>
  <si>
    <t>Debbie</t>
  </si>
  <si>
    <t>Jonathon</t>
  </si>
  <si>
    <t>Hailey</t>
  </si>
  <si>
    <t>Franklin</t>
  </si>
  <si>
    <t>Daryl</t>
  </si>
  <si>
    <t>Johnny</t>
  </si>
  <si>
    <t>Kristopher</t>
  </si>
  <si>
    <t>Bridget</t>
  </si>
  <si>
    <t>Kara</t>
  </si>
  <si>
    <t>Sherri</t>
  </si>
  <si>
    <t>Peggy</t>
  </si>
  <si>
    <t>Dwayne</t>
  </si>
  <si>
    <t>Sandoval</t>
  </si>
  <si>
    <t>Andrews</t>
  </si>
  <si>
    <t>Clark</t>
  </si>
  <si>
    <t>Campos</t>
  </si>
  <si>
    <t>Wade</t>
  </si>
  <si>
    <t>Smith</t>
  </si>
  <si>
    <t>Short</t>
  </si>
  <si>
    <t>Gutierrez</t>
  </si>
  <si>
    <t>Simpson</t>
  </si>
  <si>
    <t>White</t>
  </si>
  <si>
    <t>Randolph</t>
  </si>
  <si>
    <t>Gomez</t>
  </si>
  <si>
    <t>Wiley</t>
  </si>
  <si>
    <t>Thompson</t>
  </si>
  <si>
    <t>Davidson</t>
  </si>
  <si>
    <t>Werner</t>
  </si>
  <si>
    <t>Rios</t>
  </si>
  <si>
    <t>Nichols</t>
  </si>
  <si>
    <t>Willis</t>
  </si>
  <si>
    <t>Griffin</t>
  </si>
  <si>
    <t>West</t>
  </si>
  <si>
    <t>Chavez</t>
  </si>
  <si>
    <t>Williams</t>
  </si>
  <si>
    <t>Gibbs</t>
  </si>
  <si>
    <t>Blanchard</t>
  </si>
  <si>
    <t>Hill</t>
  </si>
  <si>
    <t>Miller</t>
  </si>
  <si>
    <t>Knapp</t>
  </si>
  <si>
    <t>Bryant</t>
  </si>
  <si>
    <t>Diaz</t>
  </si>
  <si>
    <t>Burns</t>
  </si>
  <si>
    <t>Farley</t>
  </si>
  <si>
    <t>Gilmore</t>
  </si>
  <si>
    <t>Martinez</t>
  </si>
  <si>
    <t>Holloway</t>
  </si>
  <si>
    <t>Rasmussen</t>
  </si>
  <si>
    <t>Farmer</t>
  </si>
  <si>
    <t>Cole</t>
  </si>
  <si>
    <t>Gillespie</t>
  </si>
  <si>
    <t>Davis</t>
  </si>
  <si>
    <t>Soto</t>
  </si>
  <si>
    <t>Noble</t>
  </si>
  <si>
    <t>Stewart</t>
  </si>
  <si>
    <t>Thornton</t>
  </si>
  <si>
    <t>Pruitt</t>
  </si>
  <si>
    <t>Murphy</t>
  </si>
  <si>
    <t>Vaughn</t>
  </si>
  <si>
    <t>Hanson</t>
  </si>
  <si>
    <t>May</t>
  </si>
  <si>
    <t>Roman</t>
  </si>
  <si>
    <t>Koch</t>
  </si>
  <si>
    <t>Lewis</t>
  </si>
  <si>
    <t>Cameron</t>
  </si>
  <si>
    <t>Reyes</t>
  </si>
  <si>
    <t>Weber</t>
  </si>
  <si>
    <t>Stephens</t>
  </si>
  <si>
    <t>Shea</t>
  </si>
  <si>
    <t>Perez</t>
  </si>
  <si>
    <t>Bonilla</t>
  </si>
  <si>
    <t>Edwards</t>
  </si>
  <si>
    <t>Hodge</t>
  </si>
  <si>
    <t>Li</t>
  </si>
  <si>
    <t>Case</t>
  </si>
  <si>
    <t>Garcia</t>
  </si>
  <si>
    <t>Davenport</t>
  </si>
  <si>
    <t>Chase</t>
  </si>
  <si>
    <t>Calhoun</t>
  </si>
  <si>
    <t>Harris</t>
  </si>
  <si>
    <t>Snyder</t>
  </si>
  <si>
    <t>Butler</t>
  </si>
  <si>
    <t>Dawson</t>
  </si>
  <si>
    <t>Berry</t>
  </si>
  <si>
    <t>Bridges</t>
  </si>
  <si>
    <t>Atkins</t>
  </si>
  <si>
    <t>Brown</t>
  </si>
  <si>
    <t>Parker</t>
  </si>
  <si>
    <t>Santiago</t>
  </si>
  <si>
    <t>Parsons</t>
  </si>
  <si>
    <t>Robinson</t>
  </si>
  <si>
    <t>Jones</t>
  </si>
  <si>
    <t>Hansen</t>
  </si>
  <si>
    <t>Figueroa</t>
  </si>
  <si>
    <t>Ward</t>
  </si>
  <si>
    <t>Yang</t>
  </si>
  <si>
    <t>Patton</t>
  </si>
  <si>
    <t>Wright</t>
  </si>
  <si>
    <t>Kelley</t>
  </si>
  <si>
    <t>Morse</t>
  </si>
  <si>
    <t>Gibson</t>
  </si>
  <si>
    <t>Gonzalez</t>
  </si>
  <si>
    <t>Hayes</t>
  </si>
  <si>
    <t>Turner</t>
  </si>
  <si>
    <t>Ritter</t>
  </si>
  <si>
    <t>Bell</t>
  </si>
  <si>
    <t>Dixon</t>
  </si>
  <si>
    <t>Walker</t>
  </si>
  <si>
    <t>Bennett</t>
  </si>
  <si>
    <t>Caldwell</t>
  </si>
  <si>
    <t>Ware</t>
  </si>
  <si>
    <t>Williamson</t>
  </si>
  <si>
    <t>Vasquez</t>
  </si>
  <si>
    <t>Obrien</t>
  </si>
  <si>
    <t>Perkins</t>
  </si>
  <si>
    <t>Jenkins</t>
  </si>
  <si>
    <t>Patel</t>
  </si>
  <si>
    <t>Boyd</t>
  </si>
  <si>
    <t>Russell</t>
  </si>
  <si>
    <t>Singh</t>
  </si>
  <si>
    <t>Villanueva</t>
  </si>
  <si>
    <t>Wilson</t>
  </si>
  <si>
    <t>Phillips</t>
  </si>
  <si>
    <t>Young</t>
  </si>
  <si>
    <t>Gray</t>
  </si>
  <si>
    <t>Perry</t>
  </si>
  <si>
    <t>Rodriguez</t>
  </si>
  <si>
    <t>Graves</t>
  </si>
  <si>
    <t>Moore</t>
  </si>
  <si>
    <t>Newman</t>
  </si>
  <si>
    <t>Sanchez</t>
  </si>
  <si>
    <t>Rivas</t>
  </si>
  <si>
    <t>Sullivan</t>
  </si>
  <si>
    <t>Shepherd</t>
  </si>
  <si>
    <t>Schneider</t>
  </si>
  <si>
    <t>Silva</t>
  </si>
  <si>
    <t>Reilly</t>
  </si>
  <si>
    <t>Peterson</t>
  </si>
  <si>
    <t>Sexton</t>
  </si>
  <si>
    <t>Norris</t>
  </si>
  <si>
    <t>Marks</t>
  </si>
  <si>
    <t>Webster</t>
  </si>
  <si>
    <t>Barnes</t>
  </si>
  <si>
    <t>Wolfe</t>
  </si>
  <si>
    <t>Donaldson</t>
  </si>
  <si>
    <t>Cox</t>
  </si>
  <si>
    <t>Lloyd</t>
  </si>
  <si>
    <t>Cohen</t>
  </si>
  <si>
    <t>Lopez</t>
  </si>
  <si>
    <t>Bowers</t>
  </si>
  <si>
    <t>Sweeney</t>
  </si>
  <si>
    <t>Johnson</t>
  </si>
  <si>
    <t>Hernandez</t>
  </si>
  <si>
    <t>Myers</t>
  </si>
  <si>
    <t>Cochran</t>
  </si>
  <si>
    <t>Watson</t>
  </si>
  <si>
    <t>Frazier</t>
  </si>
  <si>
    <t>Burgess</t>
  </si>
  <si>
    <t>Guzman</t>
  </si>
  <si>
    <t>Mayer</t>
  </si>
  <si>
    <t>Strickland</t>
  </si>
  <si>
    <t>Cruz</t>
  </si>
  <si>
    <t>Roberts</t>
  </si>
  <si>
    <t>Maldonado</t>
  </si>
  <si>
    <t>Tucker</t>
  </si>
  <si>
    <t>Morris</t>
  </si>
  <si>
    <t>Alvarez</t>
  </si>
  <si>
    <t>Robertson</t>
  </si>
  <si>
    <t>York</t>
  </si>
  <si>
    <t>Dougherty</t>
  </si>
  <si>
    <t>Wheeler</t>
  </si>
  <si>
    <t>Mcclure</t>
  </si>
  <si>
    <t>Evans</t>
  </si>
  <si>
    <t>Torres</t>
  </si>
  <si>
    <t>Gardner</t>
  </si>
  <si>
    <t>Owens</t>
  </si>
  <si>
    <t>Summers</t>
  </si>
  <si>
    <t>Adams</t>
  </si>
  <si>
    <t>Cook</t>
  </si>
  <si>
    <t>Conley</t>
  </si>
  <si>
    <t>Barnett</t>
  </si>
  <si>
    <t>Garner</t>
  </si>
  <si>
    <t>Daniels</t>
  </si>
  <si>
    <t>Dodson</t>
  </si>
  <si>
    <t>Ellis</t>
  </si>
  <si>
    <t>Hawkins</t>
  </si>
  <si>
    <t>Swanson</t>
  </si>
  <si>
    <t>Henderson</t>
  </si>
  <si>
    <t>Valdez</t>
  </si>
  <si>
    <t>Spencer</t>
  </si>
  <si>
    <t>Riley</t>
  </si>
  <si>
    <t>Sutton</t>
  </si>
  <si>
    <t>Olsen</t>
  </si>
  <si>
    <t>Wilkinson</t>
  </si>
  <si>
    <t>Padilla</t>
  </si>
  <si>
    <t>Sanders</t>
  </si>
  <si>
    <t>Waters</t>
  </si>
  <si>
    <t>Kane</t>
  </si>
  <si>
    <t>Holmes</t>
  </si>
  <si>
    <t>Hamilton</t>
  </si>
  <si>
    <t>Marshall</t>
  </si>
  <si>
    <t>Huerta</t>
  </si>
  <si>
    <t>Camacho</t>
  </si>
  <si>
    <t>Vazquez</t>
  </si>
  <si>
    <t>Flores</t>
  </si>
  <si>
    <t>Salazar</t>
  </si>
  <si>
    <t>Macias</t>
  </si>
  <si>
    <t>Bauer</t>
  </si>
  <si>
    <t>Roth</t>
  </si>
  <si>
    <t>Pierce</t>
  </si>
  <si>
    <t>Weiss</t>
  </si>
  <si>
    <t>Zuniga</t>
  </si>
  <si>
    <t>Nelson</t>
  </si>
  <si>
    <t>Shields</t>
  </si>
  <si>
    <t>Carey</t>
  </si>
  <si>
    <t>Oconnor</t>
  </si>
  <si>
    <t>Landry</t>
  </si>
  <si>
    <t>Chen</t>
  </si>
  <si>
    <t>Faulkner</t>
  </si>
  <si>
    <t>Baxter</t>
  </si>
  <si>
    <t>Powell</t>
  </si>
  <si>
    <t>Hall</t>
  </si>
  <si>
    <t>Johnston</t>
  </si>
  <si>
    <t>Campbell</t>
  </si>
  <si>
    <t>Hicks</t>
  </si>
  <si>
    <t>Mueller</t>
  </si>
  <si>
    <t>Fox</t>
  </si>
  <si>
    <t>Klein</t>
  </si>
  <si>
    <t>Barron</t>
  </si>
  <si>
    <t>Walters</t>
  </si>
  <si>
    <t>Barrett</t>
  </si>
  <si>
    <t>Ruiz</t>
  </si>
  <si>
    <t>Anderson</t>
  </si>
  <si>
    <t>Park</t>
  </si>
  <si>
    <t>Moody</t>
  </si>
  <si>
    <t>Hughes</t>
  </si>
  <si>
    <t>Jimenez</t>
  </si>
  <si>
    <t>Carson</t>
  </si>
  <si>
    <t>Lane</t>
  </si>
  <si>
    <t>Le</t>
  </si>
  <si>
    <t>Rice</t>
  </si>
  <si>
    <t>Pitts</t>
  </si>
  <si>
    <t>Price</t>
  </si>
  <si>
    <t>Hull</t>
  </si>
  <si>
    <t>Stevenson</t>
  </si>
  <si>
    <t>Collins</t>
  </si>
  <si>
    <t>Booker</t>
  </si>
  <si>
    <t>Buchanan</t>
  </si>
  <si>
    <t>Sosa</t>
  </si>
  <si>
    <t>Mendez</t>
  </si>
  <si>
    <t>Mann</t>
  </si>
  <si>
    <t>Foster</t>
  </si>
  <si>
    <t>Yates</t>
  </si>
  <si>
    <t>Ballard</t>
  </si>
  <si>
    <t>Everett</t>
  </si>
  <si>
    <t>Galvan</t>
  </si>
  <si>
    <t>Moran</t>
  </si>
  <si>
    <t>Hudson</t>
  </si>
  <si>
    <t>Castro</t>
  </si>
  <si>
    <t>Woodward</t>
  </si>
  <si>
    <t>Suarez</t>
  </si>
  <si>
    <t>Hart</t>
  </si>
  <si>
    <t>Arias</t>
  </si>
  <si>
    <t>Brock</t>
  </si>
  <si>
    <t>Stafford</t>
  </si>
  <si>
    <t>Irwin</t>
  </si>
  <si>
    <t>Serrano</t>
  </si>
  <si>
    <t>Baker</t>
  </si>
  <si>
    <t>Melendez</t>
  </si>
  <si>
    <t>Munoz</t>
  </si>
  <si>
    <t>Nguyen</t>
  </si>
  <si>
    <t>Jennings</t>
  </si>
  <si>
    <t>Kramer</t>
  </si>
  <si>
    <t>Bass</t>
  </si>
  <si>
    <t>Mccormick</t>
  </si>
  <si>
    <t>Jacobs</t>
  </si>
  <si>
    <t>Kemp</t>
  </si>
  <si>
    <t>Armstrong</t>
  </si>
  <si>
    <t>Wilkins</t>
  </si>
  <si>
    <t>Harvey</t>
  </si>
  <si>
    <t>Murillo</t>
  </si>
  <si>
    <t>Green</t>
  </si>
  <si>
    <t>Moyer</t>
  </si>
  <si>
    <t>Glover</t>
  </si>
  <si>
    <t>Reeves</t>
  </si>
  <si>
    <t>Kidd</t>
  </si>
  <si>
    <t>Stone</t>
  </si>
  <si>
    <t>Mendoza</t>
  </si>
  <si>
    <t>Schmidt</t>
  </si>
  <si>
    <t>Mathews</t>
  </si>
  <si>
    <t>Powers</t>
  </si>
  <si>
    <t>Mullins</t>
  </si>
  <si>
    <t>Ball</t>
  </si>
  <si>
    <t>Booth</t>
  </si>
  <si>
    <t>Patterson</t>
  </si>
  <si>
    <t>Knight</t>
  </si>
  <si>
    <t>Zamora</t>
  </si>
  <si>
    <t>Mooney</t>
  </si>
  <si>
    <t>Fields</t>
  </si>
  <si>
    <t>Pennington</t>
  </si>
  <si>
    <t>Gallagher</t>
  </si>
  <si>
    <t>Schroeder</t>
  </si>
  <si>
    <t>Moses</t>
  </si>
  <si>
    <t>Olson</t>
  </si>
  <si>
    <t>Hale</t>
  </si>
  <si>
    <t>Prince</t>
  </si>
  <si>
    <t>Poole</t>
  </si>
  <si>
    <t>Owen</t>
  </si>
  <si>
    <t>Best</t>
  </si>
  <si>
    <t>Griffith</t>
  </si>
  <si>
    <t>Payne</t>
  </si>
  <si>
    <t>Washington</t>
  </si>
  <si>
    <t>Joyce</t>
  </si>
  <si>
    <t>Alvarado</t>
  </si>
  <si>
    <t>Mercer</t>
  </si>
  <si>
    <t>Heath</t>
  </si>
  <si>
    <t>Rojas</t>
  </si>
  <si>
    <t>Harrington</t>
  </si>
  <si>
    <t>Weaver</t>
  </si>
  <si>
    <t>Hampton</t>
  </si>
  <si>
    <t>Murray</t>
  </si>
  <si>
    <t>Shaffer</t>
  </si>
  <si>
    <t>Reid</t>
  </si>
  <si>
    <t>Moreno</t>
  </si>
  <si>
    <t>Woods</t>
  </si>
  <si>
    <t>Hines</t>
  </si>
  <si>
    <t>Day</t>
  </si>
  <si>
    <t>Pacheco</t>
  </si>
  <si>
    <t>Gonzales</t>
  </si>
  <si>
    <t>Trevino</t>
  </si>
  <si>
    <t>Horne</t>
  </si>
  <si>
    <t>Schaefer</t>
  </si>
  <si>
    <t>Ramirez</t>
  </si>
  <si>
    <t>Lucero</t>
  </si>
  <si>
    <t>Sparks</t>
  </si>
  <si>
    <t>Guerrero</t>
  </si>
  <si>
    <t>Hutchinson</t>
  </si>
  <si>
    <t>Carrillo</t>
  </si>
  <si>
    <t>Brady</t>
  </si>
  <si>
    <t>Rivera</t>
  </si>
  <si>
    <t>Reed</t>
  </si>
  <si>
    <t>Johns</t>
  </si>
  <si>
    <t>Warner</t>
  </si>
  <si>
    <t>Morales</t>
  </si>
  <si>
    <t>Ortiz</t>
  </si>
  <si>
    <t>Lynch</t>
  </si>
  <si>
    <t>Guerra</t>
  </si>
  <si>
    <t>Schwartz</t>
  </si>
  <si>
    <t>Orozco</t>
  </si>
  <si>
    <t>Hess</t>
  </si>
  <si>
    <t>Higgins</t>
  </si>
  <si>
    <t>Clarke</t>
  </si>
  <si>
    <t>Solomon</t>
  </si>
  <si>
    <t>Madden</t>
  </si>
  <si>
    <t>Brennan</t>
  </si>
  <si>
    <t>Mckenzie</t>
  </si>
  <si>
    <t>Wagner</t>
  </si>
  <si>
    <t>Larson</t>
  </si>
  <si>
    <t>Freeman</t>
  </si>
  <si>
    <t>King</t>
  </si>
  <si>
    <t>Bean</t>
  </si>
  <si>
    <t>Jefferson</t>
  </si>
  <si>
    <t>Byrd</t>
  </si>
  <si>
    <t>Burnett</t>
  </si>
  <si>
    <t>Schultz</t>
  </si>
  <si>
    <t>French</t>
  </si>
  <si>
    <t>Mason</t>
  </si>
  <si>
    <t>Vang</t>
  </si>
  <si>
    <t>Humphrey</t>
  </si>
  <si>
    <t>Hancock</t>
  </si>
  <si>
    <t>Huang</t>
  </si>
  <si>
    <t>Banks</t>
  </si>
  <si>
    <t>Cordova</t>
  </si>
  <si>
    <t>Coleman</t>
  </si>
  <si>
    <t>Dominguez</t>
  </si>
  <si>
    <t>Morrow</t>
  </si>
  <si>
    <t>Kennedy</t>
  </si>
  <si>
    <t>Duffy</t>
  </si>
  <si>
    <t>Hinton</t>
  </si>
  <si>
    <t>Shelton</t>
  </si>
  <si>
    <t>Esparza</t>
  </si>
  <si>
    <t>Mcneil</t>
  </si>
  <si>
    <t>Mcgee</t>
  </si>
  <si>
    <t>Petersen</t>
  </si>
  <si>
    <t>Carter</t>
  </si>
  <si>
    <t>Long</t>
  </si>
  <si>
    <t>Barker</t>
  </si>
  <si>
    <t>Church</t>
  </si>
  <si>
    <t>Walsh</t>
  </si>
  <si>
    <t>Kerr</t>
  </si>
  <si>
    <t>Ayers</t>
  </si>
  <si>
    <t>Mccann</t>
  </si>
  <si>
    <t>Dunn</t>
  </si>
  <si>
    <t>Acosta</t>
  </si>
  <si>
    <t>Weeks</t>
  </si>
  <si>
    <t>Brandt</t>
  </si>
  <si>
    <t>Lester</t>
  </si>
  <si>
    <t>Carlson</t>
  </si>
  <si>
    <t>Herring</t>
  </si>
  <si>
    <t>Cowan</t>
  </si>
  <si>
    <t>Wells</t>
  </si>
  <si>
    <t>Haynes</t>
  </si>
  <si>
    <t>Ayala</t>
  </si>
  <si>
    <t>Aguirre</t>
  </si>
  <si>
    <t>Delgado</t>
  </si>
  <si>
    <t>Spears</t>
  </si>
  <si>
    <t>Brooks</t>
  </si>
  <si>
    <t>Rodgers</t>
  </si>
  <si>
    <t>Nash</t>
  </si>
  <si>
    <t>Howard</t>
  </si>
  <si>
    <t>Richmond</t>
  </si>
  <si>
    <t>Warren</t>
  </si>
  <si>
    <t>Conway</t>
  </si>
  <si>
    <t>Calderon</t>
  </si>
  <si>
    <t>Moon</t>
  </si>
  <si>
    <t>Welch</t>
  </si>
  <si>
    <t>Cooper</t>
  </si>
  <si>
    <t>Graham</t>
  </si>
  <si>
    <t>Santana</t>
  </si>
  <si>
    <t>Miles</t>
  </si>
  <si>
    <t>Small</t>
  </si>
  <si>
    <t>Wyatt</t>
  </si>
  <si>
    <t>Dalton</t>
  </si>
  <si>
    <t>Bautista</t>
  </si>
  <si>
    <t>Pugh</t>
  </si>
  <si>
    <t>Mckay</t>
  </si>
  <si>
    <t>Reynolds</t>
  </si>
  <si>
    <t>Bentley</t>
  </si>
  <si>
    <t>Clements</t>
  </si>
  <si>
    <t>Mack</t>
  </si>
  <si>
    <t>Kirk</t>
  </si>
  <si>
    <t>Hodges</t>
  </si>
  <si>
    <t>Collier</t>
  </si>
  <si>
    <t>Fowler</t>
  </si>
  <si>
    <t>Wong</t>
  </si>
  <si>
    <t>Bird</t>
  </si>
  <si>
    <t>Bush</t>
  </si>
  <si>
    <t>Tanner</t>
  </si>
  <si>
    <t>Cantu</t>
  </si>
  <si>
    <t>Nielsen</t>
  </si>
  <si>
    <t>Parks</t>
  </si>
  <si>
    <t>Velazquez</t>
  </si>
  <si>
    <t>Hoffman</t>
  </si>
  <si>
    <t>Cortez</t>
  </si>
  <si>
    <t>Fry</t>
  </si>
  <si>
    <t>Jacobson</t>
  </si>
  <si>
    <t>Grimes</t>
  </si>
  <si>
    <t>Mcdonald</t>
  </si>
  <si>
    <t>Molina</t>
  </si>
  <si>
    <t>Castillo</t>
  </si>
  <si>
    <t>Harper</t>
  </si>
  <si>
    <t>Richardson</t>
  </si>
  <si>
    <t>Nicholson</t>
  </si>
  <si>
    <t>Beltran</t>
  </si>
  <si>
    <t>Meyer</t>
  </si>
  <si>
    <t>Ferguson</t>
  </si>
  <si>
    <t>Romero</t>
  </si>
  <si>
    <t>Mcdaniel</t>
  </si>
  <si>
    <t>Mccarthy</t>
  </si>
  <si>
    <t>Gentry</t>
  </si>
  <si>
    <t>Malone</t>
  </si>
  <si>
    <t>Boyle</t>
  </si>
  <si>
    <t>Copeland</t>
  </si>
  <si>
    <t>Avery</t>
  </si>
  <si>
    <t>Wolf</t>
  </si>
  <si>
    <t>Whitaker</t>
  </si>
  <si>
    <t>Callahan</t>
  </si>
  <si>
    <t>Rogers</t>
  </si>
  <si>
    <t>Cummings</t>
  </si>
  <si>
    <t>Frye</t>
  </si>
  <si>
    <t>Cabrera</t>
  </si>
  <si>
    <t>Matthews</t>
  </si>
  <si>
    <t>Carpenter</t>
  </si>
  <si>
    <t>Foley</t>
  </si>
  <si>
    <t>Carr</t>
  </si>
  <si>
    <t>Herrera</t>
  </si>
  <si>
    <t>Mckinney</t>
  </si>
  <si>
    <t>Garza</t>
  </si>
  <si>
    <t>Greene</t>
  </si>
  <si>
    <t>Potter</t>
  </si>
  <si>
    <t>Melton</t>
  </si>
  <si>
    <t>Franco</t>
  </si>
  <si>
    <t>Watkins</t>
  </si>
  <si>
    <t>Larsen</t>
  </si>
  <si>
    <t>Morrison</t>
  </si>
  <si>
    <t>Burke</t>
  </si>
  <si>
    <t>Contreras</t>
  </si>
  <si>
    <t>Mays</t>
  </si>
  <si>
    <t>Sims</t>
  </si>
  <si>
    <t>Stark</t>
  </si>
  <si>
    <t>Fleming</t>
  </si>
  <si>
    <t>Gilbert</t>
  </si>
  <si>
    <t>Sheppard</t>
  </si>
  <si>
    <t>Chandler</t>
  </si>
  <si>
    <t>Zavala</t>
  </si>
  <si>
    <t>Merritt</t>
  </si>
  <si>
    <t>Salas</t>
  </si>
  <si>
    <t>Wood</t>
  </si>
  <si>
    <t>Finley</t>
  </si>
  <si>
    <t>Hopkins</t>
  </si>
  <si>
    <t>Hartman</t>
  </si>
  <si>
    <t>Simmons</t>
  </si>
  <si>
    <t>Aguilar</t>
  </si>
  <si>
    <t>Levy</t>
  </si>
  <si>
    <t>Glenn</t>
  </si>
  <si>
    <t>Mccall</t>
  </si>
  <si>
    <t>Lutz</t>
  </si>
  <si>
    <t>Oliver</t>
  </si>
  <si>
    <t>Bishop</t>
  </si>
  <si>
    <t>Ferrell</t>
  </si>
  <si>
    <t>Montgomery</t>
  </si>
  <si>
    <t>Wallace</t>
  </si>
  <si>
    <t>Monroe</t>
  </si>
  <si>
    <t>Khan</t>
  </si>
  <si>
    <t>Stevens</t>
  </si>
  <si>
    <t>Tate</t>
  </si>
  <si>
    <t>Deleon</t>
  </si>
  <si>
    <t>Burton</t>
  </si>
  <si>
    <t>Bright</t>
  </si>
  <si>
    <t>Bailey</t>
  </si>
  <si>
    <t>Schmitt</t>
  </si>
  <si>
    <t>Mcgrath</t>
  </si>
  <si>
    <t>Rangel</t>
  </si>
  <si>
    <t>Erickson</t>
  </si>
  <si>
    <t>Rhodes</t>
  </si>
  <si>
    <t>Beck</t>
  </si>
  <si>
    <t>Bond</t>
  </si>
  <si>
    <t>Brewer</t>
  </si>
  <si>
    <t>Coffey</t>
  </si>
  <si>
    <t>Webb</t>
  </si>
  <si>
    <t>Zimmerman</t>
  </si>
  <si>
    <t>Houston</t>
  </si>
  <si>
    <t>Goodman</t>
  </si>
  <si>
    <t>Crawford</t>
  </si>
  <si>
    <t>Marsh</t>
  </si>
  <si>
    <t>Porter</t>
  </si>
  <si>
    <t>Wall</t>
  </si>
  <si>
    <t>Lyons</t>
  </si>
  <si>
    <t>Potts</t>
  </si>
  <si>
    <t>Bates</t>
  </si>
  <si>
    <t>Gill</t>
  </si>
  <si>
    <t>Mcconnell</t>
  </si>
  <si>
    <t>Hensley</t>
  </si>
  <si>
    <t>Stephenson</t>
  </si>
  <si>
    <t>Abbott</t>
  </si>
  <si>
    <t>Tran</t>
  </si>
  <si>
    <t>Blackburn</t>
  </si>
  <si>
    <t>Spence</t>
  </si>
  <si>
    <t>Barton</t>
  </si>
  <si>
    <t>Leonard</t>
  </si>
  <si>
    <t>Little</t>
  </si>
  <si>
    <t>Norman</t>
  </si>
  <si>
    <t>Becker</t>
  </si>
  <si>
    <t>Flynn</t>
  </si>
  <si>
    <t>Shah</t>
  </si>
  <si>
    <t>Jensen</t>
  </si>
  <si>
    <t>Huynh</t>
  </si>
  <si>
    <t>Fitzpatrick</t>
  </si>
  <si>
    <t>Colon</t>
  </si>
  <si>
    <t>Fitzgerald</t>
  </si>
  <si>
    <t>Bowen</t>
  </si>
  <si>
    <t>Bradford</t>
  </si>
  <si>
    <t>Blake</t>
  </si>
  <si>
    <t>Velasquez</t>
  </si>
  <si>
    <t>Doyle</t>
  </si>
  <si>
    <t>Lambert</t>
  </si>
  <si>
    <t>Pope</t>
  </si>
  <si>
    <t>Hood</t>
  </si>
  <si>
    <t>Ford</t>
  </si>
  <si>
    <t>Lin</t>
  </si>
  <si>
    <t>Arnold</t>
  </si>
  <si>
    <t>Rocha</t>
  </si>
  <si>
    <t>Garrison</t>
  </si>
  <si>
    <t>Macdonald</t>
  </si>
  <si>
    <t>Elliott</t>
  </si>
  <si>
    <t>Mccoy</t>
  </si>
  <si>
    <t>Odom</t>
  </si>
  <si>
    <t>Peck</t>
  </si>
  <si>
    <t>Vance</t>
  </si>
  <si>
    <t>Hendricks</t>
  </si>
  <si>
    <t>Dyer</t>
  </si>
  <si>
    <t>Estrada</t>
  </si>
  <si>
    <t>Holt</t>
  </si>
  <si>
    <t>Nolan</t>
  </si>
  <si>
    <t>Ibarra</t>
  </si>
  <si>
    <t>Pineda</t>
  </si>
  <si>
    <t>Blair</t>
  </si>
  <si>
    <t>Montoya</t>
  </si>
  <si>
    <t>Snow</t>
  </si>
  <si>
    <t>Cain</t>
  </si>
  <si>
    <t>Fuentes</t>
  </si>
  <si>
    <t>Shaw</t>
  </si>
  <si>
    <t>Russo</t>
  </si>
  <si>
    <t>Vargas</t>
  </si>
  <si>
    <t>Chambers</t>
  </si>
  <si>
    <t>Yu</t>
  </si>
  <si>
    <t>Black</t>
  </si>
  <si>
    <t>Clay</t>
  </si>
  <si>
    <t>Mills</t>
  </si>
  <si>
    <t>Cervantes</t>
  </si>
  <si>
    <t>Hunt</t>
  </si>
  <si>
    <t>Duke</t>
  </si>
  <si>
    <t>Walton</t>
  </si>
  <si>
    <t>Holland</t>
  </si>
  <si>
    <t>Ortega</t>
  </si>
  <si>
    <t>Adkins</t>
  </si>
  <si>
    <t>Mercado</t>
  </si>
  <si>
    <t>Santos</t>
  </si>
  <si>
    <t>Sloan</t>
  </si>
  <si>
    <t>Mora</t>
  </si>
  <si>
    <t>Krueger</t>
  </si>
  <si>
    <t>Blankenship</t>
  </si>
  <si>
    <t>Ramsey</t>
  </si>
  <si>
    <t>Odonnell</t>
  </si>
  <si>
    <t>Compton</t>
  </si>
  <si>
    <t>Benitez</t>
  </si>
  <si>
    <t>Barber</t>
  </si>
  <si>
    <t>Hebert</t>
  </si>
  <si>
    <t>Kirby</t>
  </si>
  <si>
    <t>Bartlett</t>
  </si>
  <si>
    <t>Conrad</t>
  </si>
  <si>
    <t>Chan</t>
  </si>
  <si>
    <t>Rubio</t>
  </si>
  <si>
    <t>Montes</t>
  </si>
  <si>
    <t>Floyd</t>
  </si>
  <si>
    <t>Palmer</t>
  </si>
  <si>
    <t>Walls</t>
  </si>
  <si>
    <t>Pearson</t>
  </si>
  <si>
    <t>Sherman</t>
  </si>
  <si>
    <t>Love</t>
  </si>
  <si>
    <t>Benson</t>
  </si>
  <si>
    <t>Dillon</t>
  </si>
  <si>
    <t>Harrison</t>
  </si>
  <si>
    <t>Meyers</t>
  </si>
  <si>
    <t>Ochoa</t>
  </si>
  <si>
    <t>Meadows</t>
  </si>
  <si>
    <t>Peters</t>
  </si>
  <si>
    <t>Phelps</t>
  </si>
  <si>
    <t>Fischer</t>
  </si>
  <si>
    <t>Cannon</t>
  </si>
  <si>
    <t>Cisneros</t>
  </si>
  <si>
    <t>Stuart</t>
  </si>
  <si>
    <t>Dorsey</t>
  </si>
  <si>
    <t>Knox</t>
  </si>
  <si>
    <t>Buckley</t>
  </si>
  <si>
    <t>Stout</t>
  </si>
  <si>
    <t>Estes</t>
  </si>
  <si>
    <t>Costa</t>
  </si>
  <si>
    <t>Juarez</t>
  </si>
  <si>
    <t>Duran</t>
  </si>
  <si>
    <t>Rose</t>
  </si>
  <si>
    <t>Fuller</t>
  </si>
  <si>
    <t>Luna</t>
  </si>
  <si>
    <t>Gordon</t>
  </si>
  <si>
    <t>Arroyo</t>
  </si>
  <si>
    <t>Nunez</t>
  </si>
  <si>
    <t>Duncan</t>
  </si>
  <si>
    <t>Haley</t>
  </si>
  <si>
    <t>Carney</t>
  </si>
  <si>
    <t>Andrade</t>
  </si>
  <si>
    <t>Pace</t>
  </si>
  <si>
    <t>Burch</t>
  </si>
  <si>
    <t>Novak</t>
  </si>
  <si>
    <t>Richards</t>
  </si>
  <si>
    <t>Hayden</t>
  </si>
  <si>
    <t>Beasley</t>
  </si>
  <si>
    <t>Ramos</t>
  </si>
  <si>
    <t>Hoover</t>
  </si>
  <si>
    <t>Leblanc</t>
  </si>
  <si>
    <t>Rowe</t>
  </si>
  <si>
    <t>Cross</t>
  </si>
  <si>
    <t>paul.casey.1@gslingacademy.com</t>
  </si>
  <si>
    <t>danielle.sandoval.2@gslingacademy.com</t>
  </si>
  <si>
    <t>tina.andrews.3@gslingacademy.com</t>
  </si>
  <si>
    <t>tara.clark.4@gslingacademy.com</t>
  </si>
  <si>
    <t>anthony.campos.5@gslingacademy.com</t>
  </si>
  <si>
    <t>kelly.wade.6@gslingacademy.com</t>
  </si>
  <si>
    <t>anthony.smith.7@gslingacademy.com</t>
  </si>
  <si>
    <t>george.short.8@gslingacademy.com</t>
  </si>
  <si>
    <t>stanley.gutierrez.9@gslingacademy.com</t>
  </si>
  <si>
    <t>audrey.simpson.10@gslingacademy.com</t>
  </si>
  <si>
    <t>gabrielle.white.11@gslingacademy.com</t>
  </si>
  <si>
    <t>clinton.randolph.12@gslingacademy.com</t>
  </si>
  <si>
    <t>patricia.gomez.13@gslingacademy.com</t>
  </si>
  <si>
    <t>pamela.jackson.14@gslingacademy.com</t>
  </si>
  <si>
    <t>laura.jackson.15@gslingacademy.com</t>
  </si>
  <si>
    <t>roger.wiley.16@gslingacademy.com</t>
  </si>
  <si>
    <t>vicki.thompson.17@gslingacademy.com</t>
  </si>
  <si>
    <t>maxwell.davidson.18@gslingacademy.com</t>
  </si>
  <si>
    <t>jonathan.werner.19@gslingacademy.com</t>
  </si>
  <si>
    <t>angela.rios.20@gslingacademy.com</t>
  </si>
  <si>
    <t>tim.nichols.21@gslingacademy.com</t>
  </si>
  <si>
    <t>kyle.willis.22@gslingacademy.com</t>
  </si>
  <si>
    <t>shannon.simpson.23@gslingacademy.com</t>
  </si>
  <si>
    <t>sean.griffin.24@gslingacademy.com</t>
  </si>
  <si>
    <t>cassandra.west.25@gslingacademy.com</t>
  </si>
  <si>
    <t>patricia.chavez.26@gslingacademy.com</t>
  </si>
  <si>
    <t>jason.williams.27@gslingacademy.com</t>
  </si>
  <si>
    <t>peter.gibbs.28@gslingacademy.com</t>
  </si>
  <si>
    <t>jeffrey.blanchard.29@gslingacademy.com</t>
  </si>
  <si>
    <t>carol.hill.30@gslingacademy.com</t>
  </si>
  <si>
    <t>angie.miller.31@gslingacademy.com</t>
  </si>
  <si>
    <t>cynthia.knapp.32@gslingacademy.com</t>
  </si>
  <si>
    <t>timothy.bryant.33@gslingacademy.com</t>
  </si>
  <si>
    <t>phyllis.diaz.34@gslingacademy.com</t>
  </si>
  <si>
    <t>lisa.burns.35@gslingacademy.com</t>
  </si>
  <si>
    <t>kelly.farley.36@gslingacademy.com</t>
  </si>
  <si>
    <t>ryan.lee.37@gslingacademy.com</t>
  </si>
  <si>
    <t>michael.gilmore.38@gslingacademy.com</t>
  </si>
  <si>
    <t>miguel.martinez.39@gslingacademy.com</t>
  </si>
  <si>
    <t>christopher.taylor.40@gslingacademy.com</t>
  </si>
  <si>
    <t>emily.holloway.41@gslingacademy.com</t>
  </si>
  <si>
    <t>jesus.rasmussen.42@gslingacademy.com</t>
  </si>
  <si>
    <t>lauren.farmer.43@gslingacademy.com</t>
  </si>
  <si>
    <t>pamela.cole.44@gslingacademy.com</t>
  </si>
  <si>
    <t>david.gillespie.45@gslingacademy.com</t>
  </si>
  <si>
    <t>kenneth.davis.46@gslingacademy.com</t>
  </si>
  <si>
    <t>elizabeth.martin.47@gslingacademy.com</t>
  </si>
  <si>
    <t>billy.soto.48@gslingacademy.com</t>
  </si>
  <si>
    <t>kimberly.kelly.49@gslingacademy.com</t>
  </si>
  <si>
    <t>sonia.noble.50@gslingacademy.com</t>
  </si>
  <si>
    <t>christopher.stewart.51@gslingacademy.com</t>
  </si>
  <si>
    <t>sandra.thornton.52@gslingacademy.com</t>
  </si>
  <si>
    <t>luke.shannon.53@gslingacademy.com</t>
  </si>
  <si>
    <t>lindsay.pruitt.54@gslingacademy.com</t>
  </si>
  <si>
    <t>jamie.taylor.55@gslingacademy.com</t>
  </si>
  <si>
    <t>jennifer.murphy.56@gslingacademy.com</t>
  </si>
  <si>
    <t>melissa.lee.57@gslingacademy.com</t>
  </si>
  <si>
    <t>david.vaughn.58@gslingacademy.com</t>
  </si>
  <si>
    <t>jacob.hanson.59@gslingacademy.com</t>
  </si>
  <si>
    <t>casey.may.60@gslingacademy.com</t>
  </si>
  <si>
    <t>michelle.roman.61@gslingacademy.com</t>
  </si>
  <si>
    <t>brittany.koch.62@gslingacademy.com</t>
  </si>
  <si>
    <t>brian.lewis.63@gslingacademy.com</t>
  </si>
  <si>
    <t>veronica.cameron.64@gslingacademy.com</t>
  </si>
  <si>
    <t>eric.reyes.65@gslingacademy.com</t>
  </si>
  <si>
    <t>kristy.weber.66@gslingacademy.com</t>
  </si>
  <si>
    <t>anthony.smith.67@gslingacademy.com</t>
  </si>
  <si>
    <t>steven.stephens.68@gslingacademy.com</t>
  </si>
  <si>
    <t>henry.davis.69@gslingacademy.com</t>
  </si>
  <si>
    <t>raymond.shea.70@gslingacademy.com</t>
  </si>
  <si>
    <t>jill.perez.71@gslingacademy.com</t>
  </si>
  <si>
    <t>kimberly.bonilla.72@gslingacademy.com</t>
  </si>
  <si>
    <t>louis.edwards.73@gslingacademy.com</t>
  </si>
  <si>
    <t>michael.hodge.74@gslingacademy.com</t>
  </si>
  <si>
    <t>anna.li.75@gslingacademy.com</t>
  </si>
  <si>
    <t>andrea.case.76@gslingacademy.com</t>
  </si>
  <si>
    <t>jennifer.garcia.77@gslingacademy.com</t>
  </si>
  <si>
    <t>rhonda.davenport.78@gslingacademy.com</t>
  </si>
  <si>
    <t>chelsea.craig.79@gslingacademy.com</t>
  </si>
  <si>
    <t>shawn.chase.80@gslingacademy.com</t>
  </si>
  <si>
    <t>elizabeth.calhoun.81@gslingacademy.com</t>
  </si>
  <si>
    <t>lisa.harris.82@gslingacademy.com</t>
  </si>
  <si>
    <t>carol.snyder.83@gslingacademy.com</t>
  </si>
  <si>
    <t>charles.butler.84@gslingacademy.com</t>
  </si>
  <si>
    <t>james.dawson.85@gslingacademy.com</t>
  </si>
  <si>
    <t>dennis.kim.86@gslingacademy.com</t>
  </si>
  <si>
    <t>jennifer.berry.87@gslingacademy.com</t>
  </si>
  <si>
    <t>yvette.bridges.88@gslingacademy.com</t>
  </si>
  <si>
    <t>robert.atkins.89@gslingacademy.com</t>
  </si>
  <si>
    <t>william.brown.90@gslingacademy.com</t>
  </si>
  <si>
    <t>patrick.parker.91@gslingacademy.com</t>
  </si>
  <si>
    <t>james.santiago.92@gslingacademy.com</t>
  </si>
  <si>
    <t>robert.parsons.93@gslingacademy.com</t>
  </si>
  <si>
    <t>jacob.brown.94@gslingacademy.com</t>
  </si>
  <si>
    <t>natalie.robinson.95@gslingacademy.com</t>
  </si>
  <si>
    <t>victoria.jones.96@gslingacademy.com</t>
  </si>
  <si>
    <t>natasha.hansen.97@gslingacademy.com</t>
  </si>
  <si>
    <t>thomas.white.98@gslingacademy.com</t>
  </si>
  <si>
    <t>derrick.figueroa.99@gslingacademy.com</t>
  </si>
  <si>
    <t>kimberly.ward.100@gslingacademy.com</t>
  </si>
  <si>
    <t>rhonda.jones.101@gslingacademy.com</t>
  </si>
  <si>
    <t>abigail.perez.102@gslingacademy.com</t>
  </si>
  <si>
    <t>james.yang.103@gslingacademy.com</t>
  </si>
  <si>
    <t>stephen.patton.104@gslingacademy.com</t>
  </si>
  <si>
    <t>emma.wright.105@gslingacademy.com</t>
  </si>
  <si>
    <t>cynthia.brown.106@gslingacademy.com</t>
  </si>
  <si>
    <t>erin.kelley.107@gslingacademy.com</t>
  </si>
  <si>
    <t>benjamin.morse.108@gslingacademy.com</t>
  </si>
  <si>
    <t>alexandra.gibson.109@gslingacademy.com</t>
  </si>
  <si>
    <t>phillip.allen.110@gslingacademy.com</t>
  </si>
  <si>
    <t>joshua.gonzalez.111@gslingacademy.com</t>
  </si>
  <si>
    <t>erin.jones.112@gslingacademy.com</t>
  </si>
  <si>
    <t>charles.hayes.113@gslingacademy.com</t>
  </si>
  <si>
    <t>kelsey.brown.114@gslingacademy.com</t>
  </si>
  <si>
    <t>robert.turner.115@gslingacademy.com</t>
  </si>
  <si>
    <t>robert.hill.116@gslingacademy.com</t>
  </si>
  <si>
    <t>alyssa.ritter.117@gslingacademy.com</t>
  </si>
  <si>
    <t>beth.bell.118@gslingacademy.com</t>
  </si>
  <si>
    <t>andrew.dixon.119@gslingacademy.com</t>
  </si>
  <si>
    <t>crystal.walker.120@gslingacademy.com</t>
  </si>
  <si>
    <t>jordan.bennett.121@gslingacademy.com</t>
  </si>
  <si>
    <t>antonio.caldwell.122@gslingacademy.com</t>
  </si>
  <si>
    <t>jacob.reyes.123@gslingacademy.com</t>
  </si>
  <si>
    <t>wendy.lewis.124@gslingacademy.com</t>
  </si>
  <si>
    <t>jennifer.miller.125@gslingacademy.com</t>
  </si>
  <si>
    <t>lisa.ware.126@gslingacademy.com</t>
  </si>
  <si>
    <t>brian.lee.127@gslingacademy.com</t>
  </si>
  <si>
    <t>mario.taylor.128@gslingacademy.com</t>
  </si>
  <si>
    <t>amanda.williamson.129@gslingacademy.com</t>
  </si>
  <si>
    <t>michael.miller.130@gslingacademy.com</t>
  </si>
  <si>
    <t>amanda.vasquez.131@gslingacademy.com</t>
  </si>
  <si>
    <t>chelsea.obrien.132@gslingacademy.com</t>
  </si>
  <si>
    <t>tina.perkins.133@gslingacademy.com</t>
  </si>
  <si>
    <t>cory.perez.134@gslingacademy.com</t>
  </si>
  <si>
    <t>christopher.jenkins.135@gslingacademy.com</t>
  </si>
  <si>
    <t>joanne.campos.136@gslingacademy.com</t>
  </si>
  <si>
    <t>david.patel.137@gslingacademy.com</t>
  </si>
  <si>
    <t>michelle.hill.138@gslingacademy.com</t>
  </si>
  <si>
    <t>jessica.boyd.139@gslingacademy.com</t>
  </si>
  <si>
    <t>lawrence.russell.140@gslingacademy.com</t>
  </si>
  <si>
    <t>james.singh.141@gslingacademy.com</t>
  </si>
  <si>
    <t>marc.villanueva.142@gslingacademy.com</t>
  </si>
  <si>
    <t>cathy.wilson.143@gslingacademy.com</t>
  </si>
  <si>
    <t>adam.mitchell.144@gslingacademy.com</t>
  </si>
  <si>
    <t>sherry.phillips.145@gslingacademy.com</t>
  </si>
  <si>
    <t>victor.jones.146@gslingacademy.com</t>
  </si>
  <si>
    <t>mark.young.147@gslingacademy.com</t>
  </si>
  <si>
    <t>matthew.jackson.148@gslingacademy.com</t>
  </si>
  <si>
    <t>tanya.nichols.149@gslingacademy.com</t>
  </si>
  <si>
    <t>julie.gray.150@gslingacademy.com</t>
  </si>
  <si>
    <t>courtney.perry.151@gslingacademy.com</t>
  </si>
  <si>
    <t>stephen.rodriguez.152@gslingacademy.com</t>
  </si>
  <si>
    <t>elizabeth.robinson.153@gslingacademy.com</t>
  </si>
  <si>
    <t>william.graves.154@gslingacademy.com</t>
  </si>
  <si>
    <t>nancy.moore.155@gslingacademy.com</t>
  </si>
  <si>
    <t>matthew.newman.156@gslingacademy.com</t>
  </si>
  <si>
    <t>anita.moore.157@gslingacademy.com</t>
  </si>
  <si>
    <t>brian.sanchez.158@gslingacademy.com</t>
  </si>
  <si>
    <t>dennis.phillips.159@gslingacademy.com</t>
  </si>
  <si>
    <t>michael.rivas.160@gslingacademy.com</t>
  </si>
  <si>
    <t>ryan.smith.161@gslingacademy.com</t>
  </si>
  <si>
    <t>anthony.sullivan.162@gslingacademy.com</t>
  </si>
  <si>
    <t>troy.shepherd.163@gslingacademy.com</t>
  </si>
  <si>
    <t>nicholas.clayton.164@gslingacademy.com</t>
  </si>
  <si>
    <t>denise.schneider.165@gslingacademy.com</t>
  </si>
  <si>
    <t>lisa.silva.166@gslingacademy.com</t>
  </si>
  <si>
    <t>laura.reilly.167@gslingacademy.com</t>
  </si>
  <si>
    <t>amy.peterson.168@gslingacademy.com</t>
  </si>
  <si>
    <t>fernando.sexton.169@gslingacademy.com</t>
  </si>
  <si>
    <t>evan.christian.170@gslingacademy.com</t>
  </si>
  <si>
    <t>rebecca.norris.171@gslingacademy.com</t>
  </si>
  <si>
    <t>erica.marks.172@gslingacademy.com</t>
  </si>
  <si>
    <t>rhonda.webster.173@gslingacademy.com</t>
  </si>
  <si>
    <t>john.bennett.174@gslingacademy.com</t>
  </si>
  <si>
    <t>amanda.murphy.175@gslingacademy.com</t>
  </si>
  <si>
    <t>jeremy.barnes.176@gslingacademy.com</t>
  </si>
  <si>
    <t>john.brown.177@gslingacademy.com</t>
  </si>
  <si>
    <t>traci.boyd.178@gslingacademy.com</t>
  </si>
  <si>
    <t>elizabeth.butler.179@gslingacademy.com</t>
  </si>
  <si>
    <t>alex.clark.180@gslingacademy.com</t>
  </si>
  <si>
    <t>christopher.wolfe.181@gslingacademy.com</t>
  </si>
  <si>
    <t>jason.bell.182@gslingacademy.com</t>
  </si>
  <si>
    <t>victoria.donaldson.183@gslingacademy.com</t>
  </si>
  <si>
    <t>logan.cox.184@gslingacademy.com</t>
  </si>
  <si>
    <t>rachel.hill.185@gslingacademy.com</t>
  </si>
  <si>
    <t>jenny.lloyd.186@gslingacademy.com</t>
  </si>
  <si>
    <t>joan.cohen.187@gslingacademy.com</t>
  </si>
  <si>
    <t>kimberly.lopez.188@gslingacademy.com</t>
  </si>
  <si>
    <t>steven.walker.189@gslingacademy.com</t>
  </si>
  <si>
    <t>sonia.bowers.190@gslingacademy.com</t>
  </si>
  <si>
    <t>penny.perez.191@gslingacademy.com</t>
  </si>
  <si>
    <t>mike.harris.192@gslingacademy.com</t>
  </si>
  <si>
    <t>vanessa.sweeney.193@gslingacademy.com</t>
  </si>
  <si>
    <t>adam.edwards.194@gslingacademy.com</t>
  </si>
  <si>
    <t>angelica.johnson.195@gslingacademy.com</t>
  </si>
  <si>
    <t>tiffany.hernandez.196@gslingacademy.com</t>
  </si>
  <si>
    <t>mark.myers.197@gslingacademy.com</t>
  </si>
  <si>
    <t>erica.cochran.198@gslingacademy.com</t>
  </si>
  <si>
    <t>karen.watson.199@gslingacademy.com</t>
  </si>
  <si>
    <t>kathryn.frazier.200@gslingacademy.com</t>
  </si>
  <si>
    <t>anthony.jackson.201@gslingacademy.com</t>
  </si>
  <si>
    <t>jordan.perez.202@gslingacademy.com</t>
  </si>
  <si>
    <t>jennifer.burgess.203@gslingacademy.com</t>
  </si>
  <si>
    <t>christina.davis.204@gslingacademy.com</t>
  </si>
  <si>
    <t>april.ryan.205@gslingacademy.com</t>
  </si>
  <si>
    <t>maxwell.davis.206@gslingacademy.com</t>
  </si>
  <si>
    <t>matthew.guzman.207@gslingacademy.com</t>
  </si>
  <si>
    <t>robert.mayer.208@gslingacademy.com</t>
  </si>
  <si>
    <t>amanda.willis.209@gslingacademy.com</t>
  </si>
  <si>
    <t>michele.thomas.210@gslingacademy.com</t>
  </si>
  <si>
    <t>tim.turner.211@gslingacademy.com</t>
  </si>
  <si>
    <t>joe.strickland.212@gslingacademy.com</t>
  </si>
  <si>
    <t>trevor.cruz.213@gslingacademy.com</t>
  </si>
  <si>
    <t>melissa.roberts.214@gslingacademy.com</t>
  </si>
  <si>
    <t>tammy.miller.215@gslingacademy.com</t>
  </si>
  <si>
    <t>chad.morgan.216@gslingacademy.com</t>
  </si>
  <si>
    <t>samantha.maldonado.217@gslingacademy.com</t>
  </si>
  <si>
    <t>marie.martin.218@gslingacademy.com</t>
  </si>
  <si>
    <t>theresa.tucker.219@gslingacademy.com</t>
  </si>
  <si>
    <t>joseph.morris.220@gslingacademy.com</t>
  </si>
  <si>
    <t>charles.parker.221@gslingacademy.com</t>
  </si>
  <si>
    <t>rachel.alvarez.222@gslingacademy.com</t>
  </si>
  <si>
    <t>charles.robertson.223@gslingacademy.com</t>
  </si>
  <si>
    <t>steven.york.224@gslingacademy.com</t>
  </si>
  <si>
    <t>robert.dougherty.225@gslingacademy.com</t>
  </si>
  <si>
    <t>vanessa.wheeler.226@gslingacademy.com</t>
  </si>
  <si>
    <t>emily.mcclure.227@gslingacademy.com</t>
  </si>
  <si>
    <t>angela.thomas.228@gslingacademy.com</t>
  </si>
  <si>
    <t>roberto.evans.229@gslingacademy.com</t>
  </si>
  <si>
    <t>christopher.perez.230@gslingacademy.com</t>
  </si>
  <si>
    <t>william.torres.231@gslingacademy.com</t>
  </si>
  <si>
    <t>lisa.gardner.232@gslingacademy.com</t>
  </si>
  <si>
    <t>catherine.owens.233@gslingacademy.com</t>
  </si>
  <si>
    <t>keith.summers.234@gslingacademy.com</t>
  </si>
  <si>
    <t>linda.adams.235@gslingacademy.com</t>
  </si>
  <si>
    <t>michael.wright.236@gslingacademy.com</t>
  </si>
  <si>
    <t>kyle.james.237@gslingacademy.com</t>
  </si>
  <si>
    <t>christopher.cook.238@gslingacademy.com</t>
  </si>
  <si>
    <t>john.conley.239@gslingacademy.com</t>
  </si>
  <si>
    <t>david.barnett.240@gslingacademy.com</t>
  </si>
  <si>
    <t>peter.garner.241@gslingacademy.com</t>
  </si>
  <si>
    <t>douglas.stewart.242@gslingacademy.com</t>
  </si>
  <si>
    <t>heidi.jones.243@gslingacademy.com</t>
  </si>
  <si>
    <t>jeremy.daniels.244@gslingacademy.com</t>
  </si>
  <si>
    <t>dustin.dodson.245@gslingacademy.com</t>
  </si>
  <si>
    <t>christopher.cohen.246@gslingacademy.com</t>
  </si>
  <si>
    <t>willie.ellis.247@gslingacademy.com</t>
  </si>
  <si>
    <t>robert.hawkins.248@gslingacademy.com</t>
  </si>
  <si>
    <t>stacy.jordan.249@gslingacademy.com</t>
  </si>
  <si>
    <t>robert.swanson.250@gslingacademy.com</t>
  </si>
  <si>
    <t>holly.henderson.251@gslingacademy.com</t>
  </si>
  <si>
    <t>debra.valdez.252@gslingacademy.com</t>
  </si>
  <si>
    <t>vincent.robertson.253@gslingacademy.com</t>
  </si>
  <si>
    <t>karen.spencer.254@gslingacademy.com</t>
  </si>
  <si>
    <t>nathan.riley.255@gslingacademy.com</t>
  </si>
  <si>
    <t>andrea.sutton.256@gslingacademy.com</t>
  </si>
  <si>
    <t>tracey.turner.257@gslingacademy.com</t>
  </si>
  <si>
    <t>tammy.olsen.258@gslingacademy.com</t>
  </si>
  <si>
    <t>sheila.wilkinson.259@gslingacademy.com</t>
  </si>
  <si>
    <t>nathan.padilla.260@gslingacademy.com</t>
  </si>
  <si>
    <t>sarah.santiago.261@gslingacademy.com</t>
  </si>
  <si>
    <t>christopher.cruz.262@gslingacademy.com</t>
  </si>
  <si>
    <t>nicholas.sanders.263@gslingacademy.com</t>
  </si>
  <si>
    <t>jessica.waters.264@gslingacademy.com</t>
  </si>
  <si>
    <t>james.miller.265@gslingacademy.com</t>
  </si>
  <si>
    <t>adam.kane.266@gslingacademy.com</t>
  </si>
  <si>
    <t>patricia.gonzalez.267@gslingacademy.com</t>
  </si>
  <si>
    <t>whitney.holmes.268@gslingacademy.com</t>
  </si>
  <si>
    <t>rachel.hamilton.269@gslingacademy.com</t>
  </si>
  <si>
    <t>melissa.marshall.270@gslingacademy.com</t>
  </si>
  <si>
    <t>jacob.henderson.271@gslingacademy.com</t>
  </si>
  <si>
    <t>melissa.huerta.272@gslingacademy.com</t>
  </si>
  <si>
    <t>kevin.camacho.273@gslingacademy.com</t>
  </si>
  <si>
    <t>anthony.martinez.274@gslingacademy.com</t>
  </si>
  <si>
    <t>randy.rodriguez.275@gslingacademy.com</t>
  </si>
  <si>
    <t>patrick.vazquez.276@gslingacademy.com</t>
  </si>
  <si>
    <t>kim.flores.277@gslingacademy.com</t>
  </si>
  <si>
    <t>robert.salazar.278@gslingacademy.com</t>
  </si>
  <si>
    <t>victoria.vasquez.279@gslingacademy.com</t>
  </si>
  <si>
    <t>ricardo.macias.280@gslingacademy.com</t>
  </si>
  <si>
    <t>brandi.bauer.281@gslingacademy.com</t>
  </si>
  <si>
    <t>jorge.roth.282@gslingacademy.com</t>
  </si>
  <si>
    <t>benjamin.davis.283@gslingacademy.com</t>
  </si>
  <si>
    <t>nancy.pierce.284@gslingacademy.com</t>
  </si>
  <si>
    <t>catherine.weiss.285@gslingacademy.com</t>
  </si>
  <si>
    <t>jacob.perez.286@gslingacademy.com</t>
  </si>
  <si>
    <t>penny.zuniga.287@gslingacademy.com</t>
  </si>
  <si>
    <t>anthony.cox.288@gslingacademy.com</t>
  </si>
  <si>
    <t>angela.nelson.289@gslingacademy.com</t>
  </si>
  <si>
    <t>lisa.white.290@gslingacademy.com</t>
  </si>
  <si>
    <t>robin.parker.291@gslingacademy.com</t>
  </si>
  <si>
    <t>cynthia.shields.292@gslingacademy.com</t>
  </si>
  <si>
    <t>pamela.wilkinson.293@gslingacademy.com</t>
  </si>
  <si>
    <t>brenda.nichols.294@gslingacademy.com</t>
  </si>
  <si>
    <t>laura.rodriguez.295@gslingacademy.com</t>
  </si>
  <si>
    <t>julie.carey.296@gslingacademy.com</t>
  </si>
  <si>
    <t>barbara.andrews.297@gslingacademy.com</t>
  </si>
  <si>
    <t>tracy.johnson.298@gslingacademy.com</t>
  </si>
  <si>
    <t>sarah.oconnor.299@gslingacademy.com</t>
  </si>
  <si>
    <t>joseph.landry.300@gslingacademy.com</t>
  </si>
  <si>
    <t>terry.chen.301@gslingacademy.com</t>
  </si>
  <si>
    <t>heather.faulkner.302@gslingacademy.com</t>
  </si>
  <si>
    <t>wanda.baxter.303@gslingacademy.com</t>
  </si>
  <si>
    <t>amanda.davis.304@gslingacademy.com</t>
  </si>
  <si>
    <t>gina.powell.305@gslingacademy.com</t>
  </si>
  <si>
    <t>sabrina.hall.306@gslingacademy.com</t>
  </si>
  <si>
    <t>lauren.miller.307@gslingacademy.com</t>
  </si>
  <si>
    <t>jessica.diaz.308@gslingacademy.com</t>
  </si>
  <si>
    <t>ashley.garcia.309@gslingacademy.com</t>
  </si>
  <si>
    <t>miranda.johnson.310@gslingacademy.com</t>
  </si>
  <si>
    <t>tracy.johnston.311@gslingacademy.com</t>
  </si>
  <si>
    <t>erik.butler.312@gslingacademy.com</t>
  </si>
  <si>
    <t>tiffany.jones.313@gslingacademy.com</t>
  </si>
  <si>
    <t>brandy.campbell.314@gslingacademy.com</t>
  </si>
  <si>
    <t>joel.hicks.315@gslingacademy.com</t>
  </si>
  <si>
    <t>john.miller.316@gslingacademy.com</t>
  </si>
  <si>
    <t>nancy.jones.317@gslingacademy.com</t>
  </si>
  <si>
    <t>jody.mueller.318@gslingacademy.com</t>
  </si>
  <si>
    <t>steven.fox.319@gslingacademy.com</t>
  </si>
  <si>
    <t>taylor.klein.320@gslingacademy.com</t>
  </si>
  <si>
    <t>david.barron.321@gslingacademy.com</t>
  </si>
  <si>
    <t>kevin.thompson.322@gslingacademy.com</t>
  </si>
  <si>
    <t>andrea.walters.323@gslingacademy.com</t>
  </si>
  <si>
    <t>david.wright.324@gslingacademy.com</t>
  </si>
  <si>
    <t>anthony.oconnor.325@gslingacademy.com</t>
  </si>
  <si>
    <t>laura.miller.326@gslingacademy.com</t>
  </si>
  <si>
    <t>steven.barrett.327@gslingacademy.com</t>
  </si>
  <si>
    <t>miranda.ruiz.328@gslingacademy.com</t>
  </si>
  <si>
    <t>matthew.anderson.329@gslingacademy.com</t>
  </si>
  <si>
    <t>kenneth.flores.330@gslingacademy.com</t>
  </si>
  <si>
    <t>sydney.johnson.331@gslingacademy.com</t>
  </si>
  <si>
    <t>carla.lewis.332@gslingacademy.com</t>
  </si>
  <si>
    <t>jeffrey.shannon.333@gslingacademy.com</t>
  </si>
  <si>
    <t>angela.park.334@gslingacademy.com</t>
  </si>
  <si>
    <t>brandon.smith.335@gslingacademy.com</t>
  </si>
  <si>
    <t>kenneth.moody.336@gslingacademy.com</t>
  </si>
  <si>
    <t>scott.hughes.337@gslingacademy.com</t>
  </si>
  <si>
    <t>cody.jimenez.338@gslingacademy.com</t>
  </si>
  <si>
    <t>allen.farmer.339@gslingacademy.com</t>
  </si>
  <si>
    <t>james.young.340@gslingacademy.com</t>
  </si>
  <si>
    <t>laura.dawson.341@gslingacademy.com</t>
  </si>
  <si>
    <t>donald.carson.342@gslingacademy.com</t>
  </si>
  <si>
    <t>wayne.lane.343@gslingacademy.com</t>
  </si>
  <si>
    <t>robert.johnson.344@gslingacademy.com</t>
  </si>
  <si>
    <t>melissa.le.345@gslingacademy.com</t>
  </si>
  <si>
    <t>david.rice.346@gslingacademy.com</t>
  </si>
  <si>
    <t>dawn.gomez.347@gslingacademy.com</t>
  </si>
  <si>
    <t>ricky.nichols.348@gslingacademy.com</t>
  </si>
  <si>
    <t>henry.pitts.349@gslingacademy.com</t>
  </si>
  <si>
    <t>christopher.price.350@gslingacademy.com</t>
  </si>
  <si>
    <t>aimee.adams.351@gslingacademy.com</t>
  </si>
  <si>
    <t>tammy.barry.352@gslingacademy.com</t>
  </si>
  <si>
    <t>ryan.hull.353@gslingacademy.com</t>
  </si>
  <si>
    <t>samuel.jackson.354@gslingacademy.com</t>
  </si>
  <si>
    <t>joshua.smith.355@gslingacademy.com</t>
  </si>
  <si>
    <t>sydney.stevenson.356@gslingacademy.com</t>
  </si>
  <si>
    <t>christopher.rios.357@gslingacademy.com</t>
  </si>
  <si>
    <t>brenda.collins.358@gslingacademy.com</t>
  </si>
  <si>
    <t>diana.griffin.359@gslingacademy.com</t>
  </si>
  <si>
    <t>gary.gray.360@gslingacademy.com</t>
  </si>
  <si>
    <t>kimberly.torres.361@gslingacademy.com</t>
  </si>
  <si>
    <t>jeffrey.booker.362@gslingacademy.com</t>
  </si>
  <si>
    <t>nicole.buchanan.363@gslingacademy.com</t>
  </si>
  <si>
    <t>kristin.johnson.364@gslingacademy.com</t>
  </si>
  <si>
    <t>emily.bell.365@gslingacademy.com</t>
  </si>
  <si>
    <t>francis.nelson.366@gslingacademy.com</t>
  </si>
  <si>
    <t>tracy.harris.367@gslingacademy.com</t>
  </si>
  <si>
    <t>sheila.sosa.368@gslingacademy.com</t>
  </si>
  <si>
    <t>ashley.mendez.369@gslingacademy.com</t>
  </si>
  <si>
    <t>matthew.griffin.370@gslingacademy.com</t>
  </si>
  <si>
    <t>timothy.mann.371@gslingacademy.com</t>
  </si>
  <si>
    <t>christine.foster.372@gslingacademy.com</t>
  </si>
  <si>
    <t>julie.yates.373@gslingacademy.com</t>
  </si>
  <si>
    <t>william.ballard.374@gslingacademy.com</t>
  </si>
  <si>
    <t>kristen.adams.375@gslingacademy.com</t>
  </si>
  <si>
    <t>chelsea.mitchell.376@gslingacademy.com</t>
  </si>
  <si>
    <t>patrick.everett.377@gslingacademy.com</t>
  </si>
  <si>
    <t>carla.parker.378@gslingacademy.com</t>
  </si>
  <si>
    <t>casey.galvan.379@gslingacademy.com</t>
  </si>
  <si>
    <t>eric.moran.380@gslingacademy.com</t>
  </si>
  <si>
    <t>tabitha.hudson.381@gslingacademy.com</t>
  </si>
  <si>
    <t>lance.salazar.382@gslingacademy.com</t>
  </si>
  <si>
    <t>melissa.williamson.383@gslingacademy.com</t>
  </si>
  <si>
    <t>james.castro.384@gslingacademy.com</t>
  </si>
  <si>
    <t>joseph.johnson.385@gslingacademy.com</t>
  </si>
  <si>
    <t>gene.woodward.386@gslingacademy.com</t>
  </si>
  <si>
    <t>patricia.watson.387@gslingacademy.com</t>
  </si>
  <si>
    <t>john.carey.388@gslingacademy.com</t>
  </si>
  <si>
    <t>sara.cochran.389@gslingacademy.com</t>
  </si>
  <si>
    <t>jamie.suarez.390@gslingacademy.com</t>
  </si>
  <si>
    <t>steven.frazier.391@gslingacademy.com</t>
  </si>
  <si>
    <t>nicholas.hart.392@gslingacademy.com</t>
  </si>
  <si>
    <t>cheryl.arias.393@gslingacademy.com</t>
  </si>
  <si>
    <t>marc.brock.394@gslingacademy.com</t>
  </si>
  <si>
    <t>timothy.perez.395@gslingacademy.com</t>
  </si>
  <si>
    <t>courtney.rodriguez.396@gslingacademy.com</t>
  </si>
  <si>
    <t>samantha.clark.397@gslingacademy.com</t>
  </si>
  <si>
    <t>francisco.reilly.398@gslingacademy.com</t>
  </si>
  <si>
    <t>denise.young.399@gslingacademy.com</t>
  </si>
  <si>
    <t>darrell.williams.400@gslingacademy.com</t>
  </si>
  <si>
    <t>andrew.smith.401@gslingacademy.com</t>
  </si>
  <si>
    <t>teresa.stafford.402@gslingacademy.com</t>
  </si>
  <si>
    <t>cory.harris.403@gslingacademy.com</t>
  </si>
  <si>
    <t>douglas.irwin.404@gslingacademy.com</t>
  </si>
  <si>
    <t>deborah.miller.405@gslingacademy.com</t>
  </si>
  <si>
    <t>autumn.hernandez.406@gslingacademy.com</t>
  </si>
  <si>
    <t>paul.serrano.407@gslingacademy.com</t>
  </si>
  <si>
    <t>matthew.griffin.408@gslingacademy.com</t>
  </si>
  <si>
    <t>evan.holmes.409@gslingacademy.com</t>
  </si>
  <si>
    <t>cynthia.baker.410@gslingacademy.com</t>
  </si>
  <si>
    <t>sandra.melendez.411@gslingacademy.com</t>
  </si>
  <si>
    <t>claudia.munoz.412@gslingacademy.com</t>
  </si>
  <si>
    <t>christopher.nguyen.413@gslingacademy.com</t>
  </si>
  <si>
    <t>david.jennings.414@gslingacademy.com</t>
  </si>
  <si>
    <t>joel.morris.415@gslingacademy.com</t>
  </si>
  <si>
    <t>rhonda.bradley.416@gslingacademy.com</t>
  </si>
  <si>
    <t>melissa.brown.417@gslingacademy.com</t>
  </si>
  <si>
    <t>matthew.kramer.418@gslingacademy.com</t>
  </si>
  <si>
    <t>austin.bass.419@gslingacademy.com</t>
  </si>
  <si>
    <t>jennifer.west.420@gslingacademy.com</t>
  </si>
  <si>
    <t>patricia.mccormick.421@gslingacademy.com</t>
  </si>
  <si>
    <t>sandra.jacobs.422@gslingacademy.com</t>
  </si>
  <si>
    <t>jasmine.clark.423@gslingacademy.com</t>
  </si>
  <si>
    <t>jeffrey.young.424@gslingacademy.com</t>
  </si>
  <si>
    <t>jason.hernandez.425@gslingacademy.com</t>
  </si>
  <si>
    <t>christopher.hamilton.426@gslingacademy.com</t>
  </si>
  <si>
    <t>monique.peterson.427@gslingacademy.com</t>
  </si>
  <si>
    <t>jill.sexton.428@gslingacademy.com</t>
  </si>
  <si>
    <t>jennifer.kemp.429@gslingacademy.com</t>
  </si>
  <si>
    <t>david.harris.430@gslingacademy.com</t>
  </si>
  <si>
    <t>cheryl.snyder.431@gslingacademy.com</t>
  </si>
  <si>
    <t>nathan.armstrong.432@gslingacademy.com</t>
  </si>
  <si>
    <t>patrick.ryan.433@gslingacademy.com</t>
  </si>
  <si>
    <t>christian.wilkins.434@gslingacademy.com</t>
  </si>
  <si>
    <t>clinton.martin.435@gslingacademy.com</t>
  </si>
  <si>
    <t>adriana.sandoval.436@gslingacademy.com</t>
  </si>
  <si>
    <t>jeremy.harvey.437@gslingacademy.com</t>
  </si>
  <si>
    <t>caitlin.murillo.438@gslingacademy.com</t>
  </si>
  <si>
    <t>andrew.green.439@gslingacademy.com</t>
  </si>
  <si>
    <t>rodney.bennett.440@gslingacademy.com</t>
  </si>
  <si>
    <t>megan.moyer.441@gslingacademy.com</t>
  </si>
  <si>
    <t>mathew.burns.442@gslingacademy.com</t>
  </si>
  <si>
    <t>tammie.stanley.443@gslingacademy.com</t>
  </si>
  <si>
    <t>james.glover.444@gslingacademy.com</t>
  </si>
  <si>
    <t>michelle.reeves.445@gslingacademy.com</t>
  </si>
  <si>
    <t>rhonda.hall.446@gslingacademy.com</t>
  </si>
  <si>
    <t>matthew.kidd.447@gslingacademy.com</t>
  </si>
  <si>
    <t>joseph.stone.448@gslingacademy.com</t>
  </si>
  <si>
    <t>jessica.mendoza.449@gslingacademy.com</t>
  </si>
  <si>
    <t>susan.brown.450@gslingacademy.com</t>
  </si>
  <si>
    <t>lori.ryan.451@gslingacademy.com</t>
  </si>
  <si>
    <t>ryan.cruz.452@gslingacademy.com</t>
  </si>
  <si>
    <t>nicholas.johnson.453@gslingacademy.com</t>
  </si>
  <si>
    <t>joseph.schmidt.454@gslingacademy.com</t>
  </si>
  <si>
    <t>daniel.brown.455@gslingacademy.com</t>
  </si>
  <si>
    <t>harold.vazquez.456@gslingacademy.com</t>
  </si>
  <si>
    <t>lance.parsons.457@gslingacademy.com</t>
  </si>
  <si>
    <t>jill.mathews.458@gslingacademy.com</t>
  </si>
  <si>
    <t>crystal.nguyen.459@gslingacademy.com</t>
  </si>
  <si>
    <t>susan.perez.460@gslingacademy.com</t>
  </si>
  <si>
    <t>brenda.powers.461@gslingacademy.com</t>
  </si>
  <si>
    <t>samuel.thompson.462@gslingacademy.com</t>
  </si>
  <si>
    <t>taylor.nelson.463@gslingacademy.com</t>
  </si>
  <si>
    <t>kimberly.west.464@gslingacademy.com</t>
  </si>
  <si>
    <t>brad.lee.465@gslingacademy.com</t>
  </si>
  <si>
    <t>clayton.green.466@gslingacademy.com</t>
  </si>
  <si>
    <t>richard.anderson.467@gslingacademy.com</t>
  </si>
  <si>
    <t>antonio.flores.468@gslingacademy.com</t>
  </si>
  <si>
    <t>margaret.mullins.469@gslingacademy.com</t>
  </si>
  <si>
    <t>michael.ball.470@gslingacademy.com</t>
  </si>
  <si>
    <t>allen.booth.471@gslingacademy.com</t>
  </si>
  <si>
    <t>stephanie.clark.472@gslingacademy.com</t>
  </si>
  <si>
    <t>sharon.nelson.473@gslingacademy.com</t>
  </si>
  <si>
    <t>marco.clark.474@gslingacademy.com</t>
  </si>
  <si>
    <t>victor.smith.475@gslingacademy.com</t>
  </si>
  <si>
    <t>christina.patterson.476@gslingacademy.com</t>
  </si>
  <si>
    <t>jerry.knight.477@gslingacademy.com</t>
  </si>
  <si>
    <t>madison.jacobs.478@gslingacademy.com</t>
  </si>
  <si>
    <t>douglas.watson.479@gslingacademy.com</t>
  </si>
  <si>
    <t>manuel.barrett.480@gslingacademy.com</t>
  </si>
  <si>
    <t>janet.martin.481@gslingacademy.com</t>
  </si>
  <si>
    <t>teresa.flores.482@gslingacademy.com</t>
  </si>
  <si>
    <t>anthony.mullins.483@gslingacademy.com</t>
  </si>
  <si>
    <t>julie.zamora.484@gslingacademy.com</t>
  </si>
  <si>
    <t>maria.nguyen.485@gslingacademy.com</t>
  </si>
  <si>
    <t>selena.castro.486@gslingacademy.com</t>
  </si>
  <si>
    <t>whitney.miller.487@gslingacademy.com</t>
  </si>
  <si>
    <t>brenda.mooney.488@gslingacademy.com</t>
  </si>
  <si>
    <t>angela.allen.489@gslingacademy.com</t>
  </si>
  <si>
    <t>erica.cohen.490@gslingacademy.com</t>
  </si>
  <si>
    <t>kelly.sanders.491@gslingacademy.com</t>
  </si>
  <si>
    <t>michael.clark.492@gslingacademy.com</t>
  </si>
  <si>
    <t>tammy.fields.493@gslingacademy.com</t>
  </si>
  <si>
    <t>steven.pennington.494@gslingacademy.com</t>
  </si>
  <si>
    <t>matthew.chavez.495@gslingacademy.com</t>
  </si>
  <si>
    <t>stephen.gallagher.496@gslingacademy.com</t>
  </si>
  <si>
    <t>victoria.anderson.497@gslingacademy.com</t>
  </si>
  <si>
    <t>thomas.schroeder.498@gslingacademy.com</t>
  </si>
  <si>
    <t>mark.sanchez.499@gslingacademy.com</t>
  </si>
  <si>
    <t>katelyn.moses.500@gslingacademy.com</t>
  </si>
  <si>
    <t>corey.davis.501@gslingacademy.com</t>
  </si>
  <si>
    <t>susan.klein.502@gslingacademy.com</t>
  </si>
  <si>
    <t>john.martinez.503@gslingacademy.com</t>
  </si>
  <si>
    <t>kendra.robertson.504@gslingacademy.com</t>
  </si>
  <si>
    <t>tamara.olson.505@gslingacademy.com</t>
  </si>
  <si>
    <t>sara.frazier.506@gslingacademy.com</t>
  </si>
  <si>
    <t>morgan.moore.507@gslingacademy.com</t>
  </si>
  <si>
    <t>eric.snyder.508@gslingacademy.com</t>
  </si>
  <si>
    <t>paul.hale.509@gslingacademy.com</t>
  </si>
  <si>
    <t>dale.martinez.510@gslingacademy.com</t>
  </si>
  <si>
    <t>sandra.prince.511@gslingacademy.com</t>
  </si>
  <si>
    <t>dawn.poole.512@gslingacademy.com</t>
  </si>
  <si>
    <t>emily.jordan.513@gslingacademy.com</t>
  </si>
  <si>
    <t>john.owen.514@gslingacademy.com</t>
  </si>
  <si>
    <t>andrew.best.515@gslingacademy.com</t>
  </si>
  <si>
    <t>holly.burns.516@gslingacademy.com</t>
  </si>
  <si>
    <t>alicia.rodriguez.517@gslingacademy.com</t>
  </si>
  <si>
    <t>erin.ray.518@gslingacademy.com</t>
  </si>
  <si>
    <t>todd.griffith.519@gslingacademy.com</t>
  </si>
  <si>
    <t>melinda.payne.520@gslingacademy.com</t>
  </si>
  <si>
    <t>cynthia.williams.521@gslingacademy.com</t>
  </si>
  <si>
    <t>jenny.washington.522@gslingacademy.com</t>
  </si>
  <si>
    <t>angela.joyce.523@gslingacademy.com</t>
  </si>
  <si>
    <t>william.alvarado.524@gslingacademy.com</t>
  </si>
  <si>
    <t>michael.mercer.525@gslingacademy.com</t>
  </si>
  <si>
    <t>erin.miller.526@gslingacademy.com</t>
  </si>
  <si>
    <t>robert.heath.527@gslingacademy.com</t>
  </si>
  <si>
    <t>deborah.rojas.528@gslingacademy.com</t>
  </si>
  <si>
    <t>diana.jones.529@gslingacademy.com</t>
  </si>
  <si>
    <t>meredith.clark.530@gslingacademy.com</t>
  </si>
  <si>
    <t>christina.garrett.531@gslingacademy.com</t>
  </si>
  <si>
    <t>daniel.jackson.532@gslingacademy.com</t>
  </si>
  <si>
    <t>bradley.robinson.533@gslingacademy.com</t>
  </si>
  <si>
    <t>phyllis.schneider.534@gslingacademy.com</t>
  </si>
  <si>
    <t>thomas.clark.535@gslingacademy.com</t>
  </si>
  <si>
    <t>gregory.gonzalez.536@gslingacademy.com</t>
  </si>
  <si>
    <t>michelle.roth.537@gslingacademy.com</t>
  </si>
  <si>
    <t>christopher.murphy.538@gslingacademy.com</t>
  </si>
  <si>
    <t>mark.davis.539@gslingacademy.com</t>
  </si>
  <si>
    <t>lauren.harrington.540@gslingacademy.com</t>
  </si>
  <si>
    <t>michelle.owens.541@gslingacademy.com</t>
  </si>
  <si>
    <t>scott.weaver.542@gslingacademy.com</t>
  </si>
  <si>
    <t>monica.williams.543@gslingacademy.com</t>
  </si>
  <si>
    <t>kathryn.hampton.544@gslingacademy.com</t>
  </si>
  <si>
    <t>christina.shields.545@gslingacademy.com</t>
  </si>
  <si>
    <t>andrew.thomas.546@gslingacademy.com</t>
  </si>
  <si>
    <t>holly.sexton.547@gslingacademy.com</t>
  </si>
  <si>
    <t>christopher.peterson.548@gslingacademy.com</t>
  </si>
  <si>
    <t>eric.murray.549@gslingacademy.com</t>
  </si>
  <si>
    <t>kristina.watson.550@gslingacademy.com</t>
  </si>
  <si>
    <t>greg.martin.551@gslingacademy.com</t>
  </si>
  <si>
    <t>paul.shaffer.552@gslingacademy.com</t>
  </si>
  <si>
    <t>alexander.daniel.553@gslingacademy.com</t>
  </si>
  <si>
    <t>carla.davis.554@gslingacademy.com</t>
  </si>
  <si>
    <t>chelsea.clark.555@gslingacademy.com</t>
  </si>
  <si>
    <t>justin.douglas.556@gslingacademy.com</t>
  </si>
  <si>
    <t>charles.reid.557@gslingacademy.com</t>
  </si>
  <si>
    <t>courtney.moreno.558@gslingacademy.com</t>
  </si>
  <si>
    <t>justin.mitchell.559@gslingacademy.com</t>
  </si>
  <si>
    <t>bruce.woods.560@gslingacademy.com</t>
  </si>
  <si>
    <t>christopher.hines.561@gslingacademy.com</t>
  </si>
  <si>
    <t>theodore.williams.562@gslingacademy.com</t>
  </si>
  <si>
    <t>jennifer.valdez.563@gslingacademy.com</t>
  </si>
  <si>
    <t>alexandra.day.564@gslingacademy.com</t>
  </si>
  <si>
    <t>john.pacheco.565@gslingacademy.com</t>
  </si>
  <si>
    <t>sherry.brown.566@gslingacademy.com</t>
  </si>
  <si>
    <t>douglas.clark.567@gslingacademy.com</t>
  </si>
  <si>
    <t>alex.farmer.568@gslingacademy.com</t>
  </si>
  <si>
    <t>brandon.gonzales.569@gslingacademy.com</t>
  </si>
  <si>
    <t>wayne.trevino.570@gslingacademy.com</t>
  </si>
  <si>
    <t>pamela.horne.571@gslingacademy.com</t>
  </si>
  <si>
    <t>michael.schaefer.572@gslingacademy.com</t>
  </si>
  <si>
    <t>carlos.ramirez.573@gslingacademy.com</t>
  </si>
  <si>
    <t>antonio.lucero.574@gslingacademy.com</t>
  </si>
  <si>
    <t>terry.ashley.575@gslingacademy.com</t>
  </si>
  <si>
    <t>rita.cochran.576@gslingacademy.com</t>
  </si>
  <si>
    <t>joseph.gregory.577@gslingacademy.com</t>
  </si>
  <si>
    <t>alexandra.robinson.578@gslingacademy.com</t>
  </si>
  <si>
    <t>tina.sparks.579@gslingacademy.com</t>
  </si>
  <si>
    <t>christopher.buchanan.580@gslingacademy.com</t>
  </si>
  <si>
    <t>christina.guerrero.581@gslingacademy.com</t>
  </si>
  <si>
    <t>jessica.hutchinson.582@gslingacademy.com</t>
  </si>
  <si>
    <t>tyler.carrillo.583@gslingacademy.com</t>
  </si>
  <si>
    <t>lindsay.brady.584@gslingacademy.com</t>
  </si>
  <si>
    <t>gary.rivera.585@gslingacademy.com</t>
  </si>
  <si>
    <t>luke.moore.586@gslingacademy.com</t>
  </si>
  <si>
    <t>tanya.green.587@gslingacademy.com</t>
  </si>
  <si>
    <t>bryan.lee.588@gslingacademy.com</t>
  </si>
  <si>
    <t>melanie.bridges.589@gslingacademy.com</t>
  </si>
  <si>
    <t>eric.bowers.590@gslingacademy.com</t>
  </si>
  <si>
    <t>meredith.reed.591@gslingacademy.com</t>
  </si>
  <si>
    <t>david.brown.592@gslingacademy.com</t>
  </si>
  <si>
    <t>william.johns.593@gslingacademy.com</t>
  </si>
  <si>
    <t>eric.patton.594@gslingacademy.com</t>
  </si>
  <si>
    <t>wendy.warner.595@gslingacademy.com</t>
  </si>
  <si>
    <t>timothy.powell.596@gslingacademy.com</t>
  </si>
  <si>
    <t>victoria.thompson.597@gslingacademy.com</t>
  </si>
  <si>
    <t>jeremy.brown.598@gslingacademy.com</t>
  </si>
  <si>
    <t>barbara.schneider.599@gslingacademy.com</t>
  </si>
  <si>
    <t>lindsay.morales.600@gslingacademy.com</t>
  </si>
  <si>
    <t>gary.patel.601@gslingacademy.com</t>
  </si>
  <si>
    <t>michelle.ortiz.602@gslingacademy.com</t>
  </si>
  <si>
    <t>susan.lynch.603@gslingacademy.com</t>
  </si>
  <si>
    <t>tammy.hernandez.604@gslingacademy.com</t>
  </si>
  <si>
    <t>jennifer.guerra.605@gslingacademy.com</t>
  </si>
  <si>
    <t>kelly.schwartz.606@gslingacademy.com</t>
  </si>
  <si>
    <t>brittany.orozco.607@gslingacademy.com</t>
  </si>
  <si>
    <t>samantha.alvarado.608@gslingacademy.com</t>
  </si>
  <si>
    <t>christopher.anderson.609@gslingacademy.com</t>
  </si>
  <si>
    <t>william.smith.610@gslingacademy.com</t>
  </si>
  <si>
    <t>courtney.patterson.611@gslingacademy.com</t>
  </si>
  <si>
    <t>kevin.hess.612@gslingacademy.com</t>
  </si>
  <si>
    <t>melissa.higgins.613@gslingacademy.com</t>
  </si>
  <si>
    <t>elizabeth.chavez.614@gslingacademy.com</t>
  </si>
  <si>
    <t>mary.taylor.615@gslingacademy.com</t>
  </si>
  <si>
    <t>joshua.parker.616@gslingacademy.com</t>
  </si>
  <si>
    <t>joshua.kelly.617@gslingacademy.com</t>
  </si>
  <si>
    <t>travis.ross.618@gslingacademy.com</t>
  </si>
  <si>
    <t>kenneth.buchanan.619@gslingacademy.com</t>
  </si>
  <si>
    <t>ryan.clarke.620@gslingacademy.com</t>
  </si>
  <si>
    <t>gina.solomon.621@gslingacademy.com</t>
  </si>
  <si>
    <t>david.madden.622@gslingacademy.com</t>
  </si>
  <si>
    <t>william.brennan.623@gslingacademy.com</t>
  </si>
  <si>
    <t>judy.mckenzie.624@gslingacademy.com</t>
  </si>
  <si>
    <t>logan.lindsey.625@gslingacademy.com</t>
  </si>
  <si>
    <t>kyle.williams.626@gslingacademy.com</t>
  </si>
  <si>
    <t>mark.padilla.627@gslingacademy.com</t>
  </si>
  <si>
    <t>eugene.clark.628@gslingacademy.com</t>
  </si>
  <si>
    <t>sean.wagner.629@gslingacademy.com</t>
  </si>
  <si>
    <t>christine.larson.630@gslingacademy.com</t>
  </si>
  <si>
    <t>melinda.freeman.631@gslingacademy.com</t>
  </si>
  <si>
    <t>elizabeth.smith.632@gslingacademy.com</t>
  </si>
  <si>
    <t>walter.king.633@gslingacademy.com</t>
  </si>
  <si>
    <t>lisa.bean.634@gslingacademy.com</t>
  </si>
  <si>
    <t>douglas.hayes.635@gslingacademy.com</t>
  </si>
  <si>
    <t>heather.jefferson.636@gslingacademy.com</t>
  </si>
  <si>
    <t>melinda.byrd.637@gslingacademy.com</t>
  </si>
  <si>
    <t>alexander.burnett.638@gslingacademy.com</t>
  </si>
  <si>
    <t>maria.campos.639@gslingacademy.com</t>
  </si>
  <si>
    <t>lindsey.anthony.640@gslingacademy.com</t>
  </si>
  <si>
    <t>darryl.schultz.641@gslingacademy.com</t>
  </si>
  <si>
    <t>bethany.french.642@gslingacademy.com</t>
  </si>
  <si>
    <t>tyler.scott.643@gslingacademy.com</t>
  </si>
  <si>
    <t>patricia.hall.644@gslingacademy.com</t>
  </si>
  <si>
    <t>ryan.williams.645@gslingacademy.com</t>
  </si>
  <si>
    <t>levi.mason.646@gslingacademy.com</t>
  </si>
  <si>
    <t>michael.vang.647@gslingacademy.com</t>
  </si>
  <si>
    <t>april.humphrey.648@gslingacademy.com</t>
  </si>
  <si>
    <t>steven.hancock.649@gslingacademy.com</t>
  </si>
  <si>
    <t>chelsea.olson.650@gslingacademy.com</t>
  </si>
  <si>
    <t>emily.huang.651@gslingacademy.com</t>
  </si>
  <si>
    <t>rachel.jones.652@gslingacademy.com</t>
  </si>
  <si>
    <t>philip.walker.653@gslingacademy.com</t>
  </si>
  <si>
    <t>laura.rivera.654@gslingacademy.com</t>
  </si>
  <si>
    <t>pamela.henry.655@gslingacademy.com</t>
  </si>
  <si>
    <t>nicole.davidson.656@gslingacademy.com</t>
  </si>
  <si>
    <t>jeffery.parker.657@gslingacademy.com</t>
  </si>
  <si>
    <t>christopher.banks.658@gslingacademy.com</t>
  </si>
  <si>
    <t>tara.griffin.659@gslingacademy.com</t>
  </si>
  <si>
    <t>lisa.lloyd.660@gslingacademy.com</t>
  </si>
  <si>
    <t>elizabeth.maldonado.661@gslingacademy.com</t>
  </si>
  <si>
    <t>samuel.anderson.662@gslingacademy.com</t>
  </si>
  <si>
    <t>xavier.johnson.663@gslingacademy.com</t>
  </si>
  <si>
    <t>lauren.cordova.664@gslingacademy.com</t>
  </si>
  <si>
    <t>amanda.hawkins.665@gslingacademy.com</t>
  </si>
  <si>
    <t>donald.coleman.666@gslingacademy.com</t>
  </si>
  <si>
    <t>phillip.bennett.667@gslingacademy.com</t>
  </si>
  <si>
    <t>john.george.668@gslingacademy.com</t>
  </si>
  <si>
    <t>katherine.moore.669@gslingacademy.com</t>
  </si>
  <si>
    <t>jose.dominguez.670@gslingacademy.com</t>
  </si>
  <si>
    <t>lauren.morrow.671@gslingacademy.com</t>
  </si>
  <si>
    <t>katie.davenport.672@gslingacademy.com</t>
  </si>
  <si>
    <t>michelle.martinez.673@gslingacademy.com</t>
  </si>
  <si>
    <t>jeremiah.stanley.674@gslingacademy.com</t>
  </si>
  <si>
    <t>isaac.tucker.675@gslingacademy.com</t>
  </si>
  <si>
    <t>hannah.garcia.676@gslingacademy.com</t>
  </si>
  <si>
    <t>thomas.nelson.677@gslingacademy.com</t>
  </si>
  <si>
    <t>william.kennedy.678@gslingacademy.com</t>
  </si>
  <si>
    <t>jennifer.williams.679@gslingacademy.com</t>
  </si>
  <si>
    <t>jeffrey.price.680@gslingacademy.com</t>
  </si>
  <si>
    <t>zachary.burns.681@gslingacademy.com</t>
  </si>
  <si>
    <t>curtis.duffy.682@gslingacademy.com</t>
  </si>
  <si>
    <t>allison.alvarado.683@gslingacademy.com</t>
  </si>
  <si>
    <t>jeffery.kelley.684@gslingacademy.com</t>
  </si>
  <si>
    <t>kenneth.clark.685@gslingacademy.com</t>
  </si>
  <si>
    <t>hayley.case.686@gslingacademy.com</t>
  </si>
  <si>
    <t>vanessa.martinez.687@gslingacademy.com</t>
  </si>
  <si>
    <t>tara.thomas.688@gslingacademy.com</t>
  </si>
  <si>
    <t>aaron.williamson.689@gslingacademy.com</t>
  </si>
  <si>
    <t>phillip.nelson.690@gslingacademy.com</t>
  </si>
  <si>
    <t>michael.hinton.691@gslingacademy.com</t>
  </si>
  <si>
    <t>alex.shelton.692@gslingacademy.com</t>
  </si>
  <si>
    <t>ross.esparza.693@gslingacademy.com</t>
  </si>
  <si>
    <t>lisa.murphy.694@gslingacademy.com</t>
  </si>
  <si>
    <t>richard.gibson.695@gslingacademy.com</t>
  </si>
  <si>
    <t>jackson.olson.696@gslingacademy.com</t>
  </si>
  <si>
    <t>michael.waters.697@gslingacademy.com</t>
  </si>
  <si>
    <t>daniel.mcneil.698@gslingacademy.com</t>
  </si>
  <si>
    <t>james.mcgee.699@gslingacademy.com</t>
  </si>
  <si>
    <t>dennis.park.700@gslingacademy.com</t>
  </si>
  <si>
    <t>gregory.jones.701@gslingacademy.com</t>
  </si>
  <si>
    <t>barbara.petersen.702@gslingacademy.com</t>
  </si>
  <si>
    <t>andrea.baker.703@gslingacademy.com</t>
  </si>
  <si>
    <t>robert.holmes.704@gslingacademy.com</t>
  </si>
  <si>
    <t>autumn.jones.705@gslingacademy.com</t>
  </si>
  <si>
    <t>richard.davis.706@gslingacademy.com</t>
  </si>
  <si>
    <t>anthony.armstrong.707@gslingacademy.com</t>
  </si>
  <si>
    <t>julian.ortiz.708@gslingacademy.com</t>
  </si>
  <si>
    <t>melinda.sanchez.709@gslingacademy.com</t>
  </si>
  <si>
    <t>james.carter.710@gslingacademy.com</t>
  </si>
  <si>
    <t>alejandra.johns.711@gslingacademy.com</t>
  </si>
  <si>
    <t>susan.long.712@gslingacademy.com</t>
  </si>
  <si>
    <t>sharon.allen.713@gslingacademy.com</t>
  </si>
  <si>
    <t>leah.brown.714@gslingacademy.com</t>
  </si>
  <si>
    <t>maria.barker.715@gslingacademy.com</t>
  </si>
  <si>
    <t>kelly.church.716@gslingacademy.com</t>
  </si>
  <si>
    <t>michael.walsh.717@gslingacademy.com</t>
  </si>
  <si>
    <t>alyssa.gallagher.718@gslingacademy.com</t>
  </si>
  <si>
    <t>kelly.morris.719@gslingacademy.com</t>
  </si>
  <si>
    <t>ryan.brown.720@gslingacademy.com</t>
  </si>
  <si>
    <t>maria.hall.721@gslingacademy.com</t>
  </si>
  <si>
    <t>mark.brown.722@gslingacademy.com</t>
  </si>
  <si>
    <t>william.kerr.723@gslingacademy.com</t>
  </si>
  <si>
    <t>jake.gonzalez.724@gslingacademy.com</t>
  </si>
  <si>
    <t>theresa.gray.725@gslingacademy.com</t>
  </si>
  <si>
    <t>ashley.ayers.726@gslingacademy.com</t>
  </si>
  <si>
    <t>ann.mccann.727@gslingacademy.com</t>
  </si>
  <si>
    <t>curtis.bennett.728@gslingacademy.com</t>
  </si>
  <si>
    <t>debra.gutierrez.729@gslingacademy.com</t>
  </si>
  <si>
    <t>linda.west.730@gslingacademy.com</t>
  </si>
  <si>
    <t>justin.hughes.731@gslingacademy.com</t>
  </si>
  <si>
    <t>jose.jackson.732@gslingacademy.com</t>
  </si>
  <si>
    <t>larry.smith.733@gslingacademy.com</t>
  </si>
  <si>
    <t>austin.dunn.734@gslingacademy.com</t>
  </si>
  <si>
    <t>michael.heath.735@gslingacademy.com</t>
  </si>
  <si>
    <t>beth.acosta.736@gslingacademy.com</t>
  </si>
  <si>
    <t>tracie.weeks.737@gslingacademy.com</t>
  </si>
  <si>
    <t>brandi.ray.738@gslingacademy.com</t>
  </si>
  <si>
    <t>carla.brandt.739@gslingacademy.com</t>
  </si>
  <si>
    <t>thomas.cruz.740@gslingacademy.com</t>
  </si>
  <si>
    <t>nicholas.martin.741@gslingacademy.com</t>
  </si>
  <si>
    <t>breanna.lee.742@gslingacademy.com</t>
  </si>
  <si>
    <t>angie.white.743@gslingacademy.com</t>
  </si>
  <si>
    <t>william.lester.744@gslingacademy.com</t>
  </si>
  <si>
    <t>joshua.miller.745@gslingacademy.com</t>
  </si>
  <si>
    <t>thomas.stone.746@gslingacademy.com</t>
  </si>
  <si>
    <t>sarah.king.747@gslingacademy.com</t>
  </si>
  <si>
    <t>jeffery.carlson.748@gslingacademy.com</t>
  </si>
  <si>
    <t>ashley.gutierrez.749@gslingacademy.com</t>
  </si>
  <si>
    <t>adam.herring.750@gslingacademy.com</t>
  </si>
  <si>
    <t>david.ramirez.751@gslingacademy.com</t>
  </si>
  <si>
    <t>angela.brown.752@gslingacademy.com</t>
  </si>
  <si>
    <t>eric.jones.753@gslingacademy.com</t>
  </si>
  <si>
    <t>angel.garner.754@gslingacademy.com</t>
  </si>
  <si>
    <t>lisa.cowan.755@gslingacademy.com</t>
  </si>
  <si>
    <t>nicole.perry.756@gslingacademy.com</t>
  </si>
  <si>
    <t>annette.wells.757@gslingacademy.com</t>
  </si>
  <si>
    <t>ian.scott.758@gslingacademy.com</t>
  </si>
  <si>
    <t>kari.hernandez.759@gslingacademy.com</t>
  </si>
  <si>
    <t>mary.haynes.760@gslingacademy.com</t>
  </si>
  <si>
    <t>raymond.smith.761@gslingacademy.com</t>
  </si>
  <si>
    <t>christopher.ayala.762@gslingacademy.com</t>
  </si>
  <si>
    <t>jacqueline.frazier.763@gslingacademy.com</t>
  </si>
  <si>
    <t>jesse.kelly.764@gslingacademy.com</t>
  </si>
  <si>
    <t>teresa.lee.765@gslingacademy.com</t>
  </si>
  <si>
    <t>michael.aguirre.766@gslingacademy.com</t>
  </si>
  <si>
    <t>april.delgado.767@gslingacademy.com</t>
  </si>
  <si>
    <t>troy.prince.768@gslingacademy.com</t>
  </si>
  <si>
    <t>martha.summers.769@gslingacademy.com</t>
  </si>
  <si>
    <t>william.dean.770@gslingacademy.com</t>
  </si>
  <si>
    <t>cheryl.gutierrez.771@gslingacademy.com</t>
  </si>
  <si>
    <t>diane.spears.772@gslingacademy.com</t>
  </si>
  <si>
    <t>brian.david.773@gslingacademy.com</t>
  </si>
  <si>
    <t>heather.brooks.774@gslingacademy.com</t>
  </si>
  <si>
    <t>pamela.rodgers.775@gslingacademy.com</t>
  </si>
  <si>
    <t>betty.nash.776@gslingacademy.com</t>
  </si>
  <si>
    <t>heather.donaldson.777@gslingacademy.com</t>
  </si>
  <si>
    <t>ebony.shepherd.778@gslingacademy.com</t>
  </si>
  <si>
    <t>sean.thomas.779@gslingacademy.com</t>
  </si>
  <si>
    <t>todd.howard.780@gslingacademy.com</t>
  </si>
  <si>
    <t>julia.richmond.781@gslingacademy.com</t>
  </si>
  <si>
    <t>mary.mccormick.782@gslingacademy.com</t>
  </si>
  <si>
    <t>jimmy.warren.783@gslingacademy.com</t>
  </si>
  <si>
    <t>henry.spencer.784@gslingacademy.com</t>
  </si>
  <si>
    <t>peter.yates.785@gslingacademy.com</t>
  </si>
  <si>
    <t>robert.campbell.786@gslingacademy.com</t>
  </si>
  <si>
    <t>matthew.conway.787@gslingacademy.com</t>
  </si>
  <si>
    <t>tyler.calderon.788@gslingacademy.com</t>
  </si>
  <si>
    <t>brittney.moon.789@gslingacademy.com</t>
  </si>
  <si>
    <t>tracy.white.790@gslingacademy.com</t>
  </si>
  <si>
    <t>gregory.welch.791@gslingacademy.com</t>
  </si>
  <si>
    <t>caroline.cooper.792@gslingacademy.com</t>
  </si>
  <si>
    <t>kelly.rivera.793@gslingacademy.com</t>
  </si>
  <si>
    <t>stacey.wilson.794@gslingacademy.com</t>
  </si>
  <si>
    <t>craig.graham.795@gslingacademy.com</t>
  </si>
  <si>
    <t>earl.santana.796@gslingacademy.com</t>
  </si>
  <si>
    <t>lisa.mitchell.797@gslingacademy.com</t>
  </si>
  <si>
    <t>michael.williams.798@gslingacademy.com</t>
  </si>
  <si>
    <t>jerry.jones.799@gslingacademy.com</t>
  </si>
  <si>
    <t>matthew.miles.800@gslingacademy.com</t>
  </si>
  <si>
    <t>mary.cox.801@gslingacademy.com</t>
  </si>
  <si>
    <t>jessica.young.802@gslingacademy.com</t>
  </si>
  <si>
    <t>tiffany.small.803@gslingacademy.com</t>
  </si>
  <si>
    <t>mary.wyatt.804@gslingacademy.com</t>
  </si>
  <si>
    <t>maria.mercer.805@gslingacademy.com</t>
  </si>
  <si>
    <t>erin.moore.806@gslingacademy.com</t>
  </si>
  <si>
    <t>kendra.dalton.807@gslingacademy.com</t>
  </si>
  <si>
    <t>anthony.gomez.808@gslingacademy.com</t>
  </si>
  <si>
    <t>molly.jackson.809@gslingacademy.com</t>
  </si>
  <si>
    <t>brianna.gutierrez.810@gslingacademy.com</t>
  </si>
  <si>
    <t>john.henderson.811@gslingacademy.com</t>
  </si>
  <si>
    <t>steven.martin.812@gslingacademy.com</t>
  </si>
  <si>
    <t>tina.bowers.813@gslingacademy.com</t>
  </si>
  <si>
    <t>luis.jones.814@gslingacademy.com</t>
  </si>
  <si>
    <t>jeffrey.thomas.815@gslingacademy.com</t>
  </si>
  <si>
    <t>jeffrey.cox.816@gslingacademy.com</t>
  </si>
  <si>
    <t>jennifer.bautista.817@gslingacademy.com</t>
  </si>
  <si>
    <t>judy.pugh.818@gslingacademy.com</t>
  </si>
  <si>
    <t>henry.craig.819@gslingacademy.com</t>
  </si>
  <si>
    <t>steven.alvarez.820@gslingacademy.com</t>
  </si>
  <si>
    <t>rebecca.mckay.821@gslingacademy.com</t>
  </si>
  <si>
    <t>james.reynolds.822@gslingacademy.com</t>
  </si>
  <si>
    <t>heather.bentley.823@gslingacademy.com</t>
  </si>
  <si>
    <t>alexis.hall.824@gslingacademy.com</t>
  </si>
  <si>
    <t>ryan.soto.825@gslingacademy.com</t>
  </si>
  <si>
    <t>brent.clements.826@gslingacademy.com</t>
  </si>
  <si>
    <t>thomas.hernandez.827@gslingacademy.com</t>
  </si>
  <si>
    <t>kevin.mack.828@gslingacademy.com</t>
  </si>
  <si>
    <t>patrick.kirk.829@gslingacademy.com</t>
  </si>
  <si>
    <t>christopher.jenkins.830@gslingacademy.com</t>
  </si>
  <si>
    <t>cassandra.hodges.831@gslingacademy.com</t>
  </si>
  <si>
    <t>christian.powers.832@gslingacademy.com</t>
  </si>
  <si>
    <t>brittany.collier.833@gslingacademy.com</t>
  </si>
  <si>
    <t>james.bridges.834@gslingacademy.com</t>
  </si>
  <si>
    <t>alexander.fowler.835@gslingacademy.com</t>
  </si>
  <si>
    <t>andrew.wong.836@gslingacademy.com</t>
  </si>
  <si>
    <t>bobby.valdez.837@gslingacademy.com</t>
  </si>
  <si>
    <t>mary.bird.838@gslingacademy.com</t>
  </si>
  <si>
    <t>andrew.rodriguez.839@gslingacademy.com</t>
  </si>
  <si>
    <t>melanie.carter.840@gslingacademy.com</t>
  </si>
  <si>
    <t>randy.lopez.841@gslingacademy.com</t>
  </si>
  <si>
    <t>david.cole.842@gslingacademy.com</t>
  </si>
  <si>
    <t>jennifer.baxter.843@gslingacademy.com</t>
  </si>
  <si>
    <t>shannon.graham.844@gslingacademy.com</t>
  </si>
  <si>
    <t>stephanie.bush.845@gslingacademy.com</t>
  </si>
  <si>
    <t>keith.tanner.846@gslingacademy.com</t>
  </si>
  <si>
    <t>robert.anderson.847@gslingacademy.com</t>
  </si>
  <si>
    <t>matthew.cantu.848@gslingacademy.com</t>
  </si>
  <si>
    <t>heather.johnson.849@gslingacademy.com</t>
  </si>
  <si>
    <t>lee.taylor.850@gslingacademy.com</t>
  </si>
  <si>
    <t>jessica.williams.851@gslingacademy.com</t>
  </si>
  <si>
    <t>holly.sanchez.852@gslingacademy.com</t>
  </si>
  <si>
    <t>james.ray.853@gslingacademy.com</t>
  </si>
  <si>
    <t>william.hernandez.854@gslingacademy.com</t>
  </si>
  <si>
    <t>lisa.brown.855@gslingacademy.com</t>
  </si>
  <si>
    <t>kevin.york.856@gslingacademy.com</t>
  </si>
  <si>
    <t>benjamin.davis.857@gslingacademy.com</t>
  </si>
  <si>
    <t>sarah.nielsen.858@gslingacademy.com</t>
  </si>
  <si>
    <t>elizabeth.parks.859@gslingacademy.com</t>
  </si>
  <si>
    <t>deborah.moore.860@gslingacademy.com</t>
  </si>
  <si>
    <t>michael.anderson.861@gslingacademy.com</t>
  </si>
  <si>
    <t>brian.adams.862@gslingacademy.com</t>
  </si>
  <si>
    <t>anthony.silva.863@gslingacademy.com</t>
  </si>
  <si>
    <t>melinda.velazquez.864@gslingacademy.com</t>
  </si>
  <si>
    <t>andre.hoffman.865@gslingacademy.com</t>
  </si>
  <si>
    <t>vanessa.coleman.866@gslingacademy.com</t>
  </si>
  <si>
    <t>stephanie.hernandez.867@gslingacademy.com</t>
  </si>
  <si>
    <t>timothy.david.868@gslingacademy.com</t>
  </si>
  <si>
    <t>carol.cortez.869@gslingacademy.com</t>
  </si>
  <si>
    <t>justin.kelly.870@gslingacademy.com</t>
  </si>
  <si>
    <t>george.king.871@gslingacademy.com</t>
  </si>
  <si>
    <t>ashley.craig.872@gslingacademy.com</t>
  </si>
  <si>
    <t>patricia.sullivan.873@gslingacademy.com</t>
  </si>
  <si>
    <t>david.jones.874@gslingacademy.com</t>
  </si>
  <si>
    <t>cody.smith.875@gslingacademy.com</t>
  </si>
  <si>
    <t>joseph.jackson.876@gslingacademy.com</t>
  </si>
  <si>
    <t>adam.edwards.877@gslingacademy.com</t>
  </si>
  <si>
    <t>brian.morales.878@gslingacademy.com</t>
  </si>
  <si>
    <t>melissa.fry.879@gslingacademy.com</t>
  </si>
  <si>
    <t>lori.jacobson.880@gslingacademy.com</t>
  </si>
  <si>
    <t>jessica.shannon.881@gslingacademy.com</t>
  </si>
  <si>
    <t>sharon.ramirez.882@gslingacademy.com</t>
  </si>
  <si>
    <t>nicole.rice.883@gslingacademy.com</t>
  </si>
  <si>
    <t>alison.webster.884@gslingacademy.com</t>
  </si>
  <si>
    <t>alexander.mitchell.885@gslingacademy.com</t>
  </si>
  <si>
    <t>bryan.grimes.886@gslingacademy.com</t>
  </si>
  <si>
    <t>nicole.mcdonald.887@gslingacademy.com</t>
  </si>
  <si>
    <t>christopher.ramirez.888@gslingacademy.com</t>
  </si>
  <si>
    <t>lawrence.fields.889@gslingacademy.com</t>
  </si>
  <si>
    <t>rebecca.molina.890@gslingacademy.com</t>
  </si>
  <si>
    <t>john.castillo.891@gslingacademy.com</t>
  </si>
  <si>
    <t>sandra.davis.892@gslingacademy.com</t>
  </si>
  <si>
    <t>andrew.smith.893@gslingacademy.com</t>
  </si>
  <si>
    <t>elizabeth.smith.894@gslingacademy.com</t>
  </si>
  <si>
    <t>scott.schultz.895@gslingacademy.com</t>
  </si>
  <si>
    <t>joseph.harper.896@gslingacademy.com</t>
  </si>
  <si>
    <t>ryan.salazar.897@gslingacademy.com</t>
  </si>
  <si>
    <t>brenda.davis.898@gslingacademy.com</t>
  </si>
  <si>
    <t>chad.taylor.899@gslingacademy.com</t>
  </si>
  <si>
    <t>natasha.edwards.900@gslingacademy.com</t>
  </si>
  <si>
    <t>pamela.edwards.901@gslingacademy.com</t>
  </si>
  <si>
    <t>cynthia.richardson.902@gslingacademy.com</t>
  </si>
  <si>
    <t>robert.johnson.903@gslingacademy.com</t>
  </si>
  <si>
    <t>kevin.ryan.904@gslingacademy.com</t>
  </si>
  <si>
    <t>eileen.nicholson.905@gslingacademy.com</t>
  </si>
  <si>
    <t>robert.torres.906@gslingacademy.com</t>
  </si>
  <si>
    <t>alicia.beltran.907@gslingacademy.com</t>
  </si>
  <si>
    <t>jessica.wong.908@gslingacademy.com</t>
  </si>
  <si>
    <t>ruben.meyer.909@gslingacademy.com</t>
  </si>
  <si>
    <t>megan.alexander.910@gslingacademy.com</t>
  </si>
  <si>
    <t>jennifer.gonzalez.911@gslingacademy.com</t>
  </si>
  <si>
    <t>carl.ferguson.912@gslingacademy.com</t>
  </si>
  <si>
    <t>valerie.romero.913@gslingacademy.com</t>
  </si>
  <si>
    <t>laura.romero.914@gslingacademy.com</t>
  </si>
  <si>
    <t>heidi.adams.915@gslingacademy.com</t>
  </si>
  <si>
    <t>regina.spencer.916@gslingacademy.com</t>
  </si>
  <si>
    <t>lee.campbell.917@gslingacademy.com</t>
  </si>
  <si>
    <t>noah.mcdaniel.918@gslingacademy.com</t>
  </si>
  <si>
    <t>dorothy.mitchell.919@gslingacademy.com</t>
  </si>
  <si>
    <t>michael.mccarthy.920@gslingacademy.com</t>
  </si>
  <si>
    <t>matthew.jones.921@gslingacademy.com</t>
  </si>
  <si>
    <t>john.riley.922@gslingacademy.com</t>
  </si>
  <si>
    <t>shelly.dominguez.923@gslingacademy.com</t>
  </si>
  <si>
    <t>ann.evans.924@gslingacademy.com</t>
  </si>
  <si>
    <t>david.perez.925@gslingacademy.com</t>
  </si>
  <si>
    <t>nicole.bell.926@gslingacademy.com</t>
  </si>
  <si>
    <t>amanda.garcia.927@gslingacademy.com</t>
  </si>
  <si>
    <t>charles.owens.928@gslingacademy.com</t>
  </si>
  <si>
    <t>teresa.henry.929@gslingacademy.com</t>
  </si>
  <si>
    <t>luis.frank.930@gslingacademy.com</t>
  </si>
  <si>
    <t>timothy.booth.931@gslingacademy.com</t>
  </si>
  <si>
    <t>michael.moon.932@gslingacademy.com</t>
  </si>
  <si>
    <t>rachel.hall.933@gslingacademy.com</t>
  </si>
  <si>
    <t>thomas.nguyen.934@gslingacademy.com</t>
  </si>
  <si>
    <t>tiffany.fields.935@gslingacademy.com</t>
  </si>
  <si>
    <t>jessica.marshall.936@gslingacademy.com</t>
  </si>
  <si>
    <t>maurice.nguyen.937@gslingacademy.com</t>
  </si>
  <si>
    <t>william.kelly.938@gslingacademy.com</t>
  </si>
  <si>
    <t>harry.hunter.939@gslingacademy.com</t>
  </si>
  <si>
    <t>gary.gentry.940@gslingacademy.com</t>
  </si>
  <si>
    <t>maria.malone.941@gslingacademy.com</t>
  </si>
  <si>
    <t>jason.vazquez.942@gslingacademy.com</t>
  </si>
  <si>
    <t>patrick.west.943@gslingacademy.com</t>
  </si>
  <si>
    <t>alexandra.brown.944@gslingacademy.com</t>
  </si>
  <si>
    <t>jennifer.torres.945@gslingacademy.com</t>
  </si>
  <si>
    <t>daniel.smith.946@gslingacademy.com</t>
  </si>
  <si>
    <t>catherine.boyle.947@gslingacademy.com</t>
  </si>
  <si>
    <t>amanda.bush.948@gslingacademy.com</t>
  </si>
  <si>
    <t>emma.copeland.949@gslingacademy.com</t>
  </si>
  <si>
    <t>bradley.avery.950@gslingacademy.com</t>
  </si>
  <si>
    <t>danielle.martinez.951@gslingacademy.com</t>
  </si>
  <si>
    <t>anna.wolf.952@gslingacademy.com</t>
  </si>
  <si>
    <t>megan.whitaker.953@gslingacademy.com</t>
  </si>
  <si>
    <t>melissa.richard.954@gslingacademy.com</t>
  </si>
  <si>
    <t>richard.small.955@gslingacademy.com</t>
  </si>
  <si>
    <t>victor.phillips.956@gslingacademy.com</t>
  </si>
  <si>
    <t>madison.callahan.957@gslingacademy.com</t>
  </si>
  <si>
    <t>connor.olson.958@gslingacademy.com</t>
  </si>
  <si>
    <t>hunter.allen.959@gslingacademy.com</t>
  </si>
  <si>
    <t>shannon.johnson.960@gslingacademy.com</t>
  </si>
  <si>
    <t>samantha.alexander.961@gslingacademy.com</t>
  </si>
  <si>
    <t>justin.lester.962@gslingacademy.com</t>
  </si>
  <si>
    <t>hunter.miller.963@gslingacademy.com</t>
  </si>
  <si>
    <t>shelia.rogers.964@gslingacademy.com</t>
  </si>
  <si>
    <t>laura.walker.965@gslingacademy.com</t>
  </si>
  <si>
    <t>ashley.green.966@gslingacademy.com</t>
  </si>
  <si>
    <t>beth.bonilla.967@gslingacademy.com</t>
  </si>
  <si>
    <t>ray.padilla.968@gslingacademy.com</t>
  </si>
  <si>
    <t>jennifer.cummings.969@gslingacademy.com</t>
  </si>
  <si>
    <t>daniel.peterson.970@gslingacademy.com</t>
  </si>
  <si>
    <t>andrew.miller.971@gslingacademy.com</t>
  </si>
  <si>
    <t>scott.jacobson.972@gslingacademy.com</t>
  </si>
  <si>
    <t>jennifer.baker.973@gslingacademy.com</t>
  </si>
  <si>
    <t>suzanne.morrow.974@gslingacademy.com</t>
  </si>
  <si>
    <t>melissa.gonzales.975@gslingacademy.com</t>
  </si>
  <si>
    <t>erik.miller.976@gslingacademy.com</t>
  </si>
  <si>
    <t>pamela.flores.977@gslingacademy.com</t>
  </si>
  <si>
    <t>amanda.hernandez.978@gslingacademy.com</t>
  </si>
  <si>
    <t>gregory.schaefer.979@gslingacademy.com</t>
  </si>
  <si>
    <t>annette.logan.980@gslingacademy.com</t>
  </si>
  <si>
    <t>tamara.long.981@gslingacademy.com</t>
  </si>
  <si>
    <t>john.baker.982@gslingacademy.com</t>
  </si>
  <si>
    <t>justin.lynch.983@gslingacademy.com</t>
  </si>
  <si>
    <t>daniel.knight.984@gslingacademy.com</t>
  </si>
  <si>
    <t>angelica.jones.985@gslingacademy.com</t>
  </si>
  <si>
    <t>lance.nelson.986@gslingacademy.com</t>
  </si>
  <si>
    <t>katherine.jacobson.987@gslingacademy.com</t>
  </si>
  <si>
    <t>corey.taylor.988@gslingacademy.com</t>
  </si>
  <si>
    <t>laura.russell.989@gslingacademy.com</t>
  </si>
  <si>
    <t>arthur.harris.990@gslingacademy.com</t>
  </si>
  <si>
    <t>victoria.garcia.991@gslingacademy.com</t>
  </si>
  <si>
    <t>david.gonzales.992@gslingacademy.com</t>
  </si>
  <si>
    <t>charles.thomas.993@gslingacademy.com</t>
  </si>
  <si>
    <t>oscar.gonzalez.994@gslingacademy.com</t>
  </si>
  <si>
    <t>sarah.miller.995@gslingacademy.com</t>
  </si>
  <si>
    <t>eric.davis.996@gslingacademy.com</t>
  </si>
  <si>
    <t>patrick.martin.997@gslingacademy.com</t>
  </si>
  <si>
    <t>susan.schmidt.998@gslingacademy.com</t>
  </si>
  <si>
    <t>brett.bell.999@gslingacademy.com</t>
  </si>
  <si>
    <t>dennis.summers.1000@gslingacademy.com</t>
  </si>
  <si>
    <t>brandon.smith.1001@gslingacademy.com</t>
  </si>
  <si>
    <t>nicole.williams.1002@gslingacademy.com</t>
  </si>
  <si>
    <t>rachel.frye.1003@gslingacademy.com</t>
  </si>
  <si>
    <t>tyler.cabrera.1004@gslingacademy.com</t>
  </si>
  <si>
    <t>maureen.jones.1005@gslingacademy.com</t>
  </si>
  <si>
    <t>pamela.green.1006@gslingacademy.com</t>
  </si>
  <si>
    <t>jeffery.mcdonald.1007@gslingacademy.com</t>
  </si>
  <si>
    <t>austin.matthews.1008@gslingacademy.com</t>
  </si>
  <si>
    <t>jacqueline.allen.1009@gslingacademy.com</t>
  </si>
  <si>
    <t>joanna.dominguez.1010@gslingacademy.com</t>
  </si>
  <si>
    <t>brian.griffin.1011@gslingacademy.com</t>
  </si>
  <si>
    <t>dean.lee.1012@gslingacademy.com</t>
  </si>
  <si>
    <t>denise.rodriguez.1013@gslingacademy.com</t>
  </si>
  <si>
    <t>brendan.rivera.1014@gslingacademy.com</t>
  </si>
  <si>
    <t>jackson.smith.1015@gslingacademy.com</t>
  </si>
  <si>
    <t>craig.weber.1016@gslingacademy.com</t>
  </si>
  <si>
    <t>joseph.carpenter.1017@gslingacademy.com</t>
  </si>
  <si>
    <t>sarah.tucker.1018@gslingacademy.com</t>
  </si>
  <si>
    <t>steven.hernandez.1019@gslingacademy.com</t>
  </si>
  <si>
    <t>robert.foley.1020@gslingacademy.com</t>
  </si>
  <si>
    <t>michael.carr.1021@gslingacademy.com</t>
  </si>
  <si>
    <t>walter.herrera.1022@gslingacademy.com</t>
  </si>
  <si>
    <t>sarah.mckinney.1023@gslingacademy.com</t>
  </si>
  <si>
    <t>jacob.nguyen.1024@gslingacademy.com</t>
  </si>
  <si>
    <t>mary.garza.1025@gslingacademy.com</t>
  </si>
  <si>
    <t>jesse.hawkins.1026@gslingacademy.com</t>
  </si>
  <si>
    <t>jordan.boyd.1027@gslingacademy.com</t>
  </si>
  <si>
    <t>latoya.mullins.1028@gslingacademy.com</t>
  </si>
  <si>
    <t>jill.armstrong.1029@gslingacademy.com</t>
  </si>
  <si>
    <t>aaron.peterson.1030@gslingacademy.com</t>
  </si>
  <si>
    <t>april.greene.1031@gslingacademy.com</t>
  </si>
  <si>
    <t>theodore.gomez.1032@gslingacademy.com</t>
  </si>
  <si>
    <t>john.gardner.1033@gslingacademy.com</t>
  </si>
  <si>
    <t>joseph.petersen.1034@gslingacademy.com</t>
  </si>
  <si>
    <t>matthew.potter.1035@gslingacademy.com</t>
  </si>
  <si>
    <t>linda.munoz.1036@gslingacademy.com</t>
  </si>
  <si>
    <t>samantha.stewart.1037@gslingacademy.com</t>
  </si>
  <si>
    <t>michael.reyes.1038@gslingacademy.com</t>
  </si>
  <si>
    <t>sarah.murphy.1039@gslingacademy.com</t>
  </si>
  <si>
    <t>derrick.melton.1040@gslingacademy.com</t>
  </si>
  <si>
    <t>donna.horne.1041@gslingacademy.com</t>
  </si>
  <si>
    <t>natasha.butler.1042@gslingacademy.com</t>
  </si>
  <si>
    <t>david.vasquez.1043@gslingacademy.com</t>
  </si>
  <si>
    <t>christopher.lester.1044@gslingacademy.com</t>
  </si>
  <si>
    <t>martin.franco.1045@gslingacademy.com</t>
  </si>
  <si>
    <t>katherine.donaldson.1046@gslingacademy.com</t>
  </si>
  <si>
    <t>harold.daniels.1047@gslingacademy.com</t>
  </si>
  <si>
    <t>michael.anderson.1048@gslingacademy.com</t>
  </si>
  <si>
    <t>nichole.harrington.1049@gslingacademy.com</t>
  </si>
  <si>
    <t>wendy.clark.1050@gslingacademy.com</t>
  </si>
  <si>
    <t>chelsea.taylor.1051@gslingacademy.com</t>
  </si>
  <si>
    <t>jeffrey.knight.1052@gslingacademy.com</t>
  </si>
  <si>
    <t>katelyn.watkins.1053@gslingacademy.com</t>
  </si>
  <si>
    <t>anne.johnston.1054@gslingacademy.com</t>
  </si>
  <si>
    <t>rebecca.carpenter.1055@gslingacademy.com</t>
  </si>
  <si>
    <t>ashley.baker.1056@gslingacademy.com</t>
  </si>
  <si>
    <t>lacey.norris.1057@gslingacademy.com</t>
  </si>
  <si>
    <t>angela.moore.1058@gslingacademy.com</t>
  </si>
  <si>
    <t>maria.obrien.1059@gslingacademy.com</t>
  </si>
  <si>
    <t>rebecca.larsen.1060@gslingacademy.com</t>
  </si>
  <si>
    <t>amanda.rodriguez.1061@gslingacademy.com</t>
  </si>
  <si>
    <t>patrick.clark.1062@gslingacademy.com</t>
  </si>
  <si>
    <t>janet.morrison.1063@gslingacademy.com</t>
  </si>
  <si>
    <t>james.acosta.1064@gslingacademy.com</t>
  </si>
  <si>
    <t>richard.burke.1065@gslingacademy.com</t>
  </si>
  <si>
    <t>donald.contreras.1066@gslingacademy.com</t>
  </si>
  <si>
    <t>kenneth.mendez.1067@gslingacademy.com</t>
  </si>
  <si>
    <t>kenneth.sparks.1068@gslingacademy.com</t>
  </si>
  <si>
    <t>natasha.morales.1069@gslingacademy.com</t>
  </si>
  <si>
    <t>david.mendoza.1070@gslingacademy.com</t>
  </si>
  <si>
    <t>melissa.wright.1071@gslingacademy.com</t>
  </si>
  <si>
    <t>cindy.hamilton.1072@gslingacademy.com</t>
  </si>
  <si>
    <t>nancy.walker.1073@gslingacademy.com</t>
  </si>
  <si>
    <t>matthew.peterson.1074@gslingacademy.com</t>
  </si>
  <si>
    <t>grant.mason.1075@gslingacademy.com</t>
  </si>
  <si>
    <t>david.mays.1076@gslingacademy.com</t>
  </si>
  <si>
    <t>sheryl.parker.1077@gslingacademy.com</t>
  </si>
  <si>
    <t>ross.sanchez.1078@gslingacademy.com</t>
  </si>
  <si>
    <t>robert.barnett.1079@gslingacademy.com</t>
  </si>
  <si>
    <t>dean.sims.1080@gslingacademy.com</t>
  </si>
  <si>
    <t>jaime.morrison.1081@gslingacademy.com</t>
  </si>
  <si>
    <t>regina.hernandez.1082@gslingacademy.com</t>
  </si>
  <si>
    <t>margaret.smith.1083@gslingacademy.com</t>
  </si>
  <si>
    <t>kyle.garcia.1084@gslingacademy.com</t>
  </si>
  <si>
    <t>trevor.stark.1085@gslingacademy.com</t>
  </si>
  <si>
    <t>nathaniel.adams.1086@gslingacademy.com</t>
  </si>
  <si>
    <t>gabriela.martinez.1087@gslingacademy.com</t>
  </si>
  <si>
    <t>debra.walter.1088@gslingacademy.com</t>
  </si>
  <si>
    <t>kimberly.herrera.1089@gslingacademy.com</t>
  </si>
  <si>
    <t>william.fleming.1090@gslingacademy.com</t>
  </si>
  <si>
    <t>brandon.foster.1091@gslingacademy.com</t>
  </si>
  <si>
    <t>john.wilson.1092@gslingacademy.com</t>
  </si>
  <si>
    <t>george.kerr.1093@gslingacademy.com</t>
  </si>
  <si>
    <t>kenneth.gilbert.1094@gslingacademy.com</t>
  </si>
  <si>
    <t>jodi.price.1095@gslingacademy.com</t>
  </si>
  <si>
    <t>jordan.sheppard.1096@gslingacademy.com</t>
  </si>
  <si>
    <t>tristan.martinez.1097@gslingacademy.com</t>
  </si>
  <si>
    <t>sharon.chandler.1098@gslingacademy.com</t>
  </si>
  <si>
    <t>steven.allen.1099@gslingacademy.com</t>
  </si>
  <si>
    <t>douglas.robertson.1100@gslingacademy.com</t>
  </si>
  <si>
    <t>sabrina.zavala.1101@gslingacademy.com</t>
  </si>
  <si>
    <t>corey.merritt.1102@gslingacademy.com</t>
  </si>
  <si>
    <t>jennifer.salas.1103@gslingacademy.com</t>
  </si>
  <si>
    <t>john.klein.1104@gslingacademy.com</t>
  </si>
  <si>
    <t>rachel.grant.1105@gslingacademy.com</t>
  </si>
  <si>
    <t>jose.wood.1106@gslingacademy.com</t>
  </si>
  <si>
    <t>michelle.mcdonald.1107@gslingacademy.com</t>
  </si>
  <si>
    <t>thomas.george.1108@gslingacademy.com</t>
  </si>
  <si>
    <t>charles.torres.1109@gslingacademy.com</t>
  </si>
  <si>
    <t>jonathan.finley.1110@gslingacademy.com</t>
  </si>
  <si>
    <t>diana.long.1111@gslingacademy.com</t>
  </si>
  <si>
    <t>jonathan.johnson.1112@gslingacademy.com</t>
  </si>
  <si>
    <t>nicole.robinson.1113@gslingacademy.com</t>
  </si>
  <si>
    <t>rebecca.mckinney.1114@gslingacademy.com</t>
  </si>
  <si>
    <t>daniel.guerrero.1115@gslingacademy.com</t>
  </si>
  <si>
    <t>jillian.dominguez.1116@gslingacademy.com</t>
  </si>
  <si>
    <t>samantha.phillips.1117@gslingacademy.com</t>
  </si>
  <si>
    <t>dylan.rogers.1118@gslingacademy.com</t>
  </si>
  <si>
    <t>brittany.spencer.1119@gslingacademy.com</t>
  </si>
  <si>
    <t>melissa.terry.1120@gslingacademy.com</t>
  </si>
  <si>
    <t>robin.perez.1121@gslingacademy.com</t>
  </si>
  <si>
    <t>veronica.hopkins.1122@gslingacademy.com</t>
  </si>
  <si>
    <t>daniel.lewis.1123@gslingacademy.com</t>
  </si>
  <si>
    <t>mallory.collins.1124@gslingacademy.com</t>
  </si>
  <si>
    <t>stephen.sosa.1125@gslingacademy.com</t>
  </si>
  <si>
    <t>andrew.hunter.1126@gslingacademy.com</t>
  </si>
  <si>
    <t>david.hartman.1127@gslingacademy.com</t>
  </si>
  <si>
    <t>paul.taylor.1128@gslingacademy.com</t>
  </si>
  <si>
    <t>brittany.simmons.1129@gslingacademy.com</t>
  </si>
  <si>
    <t>emma.jones.1130@gslingacademy.com</t>
  </si>
  <si>
    <t>matthew.aguilar.1131@gslingacademy.com</t>
  </si>
  <si>
    <t>brett.myers.1132@gslingacademy.com</t>
  </si>
  <si>
    <t>lisa.alexander.1133@gslingacademy.com</t>
  </si>
  <si>
    <t>stephanie.allen.1134@gslingacademy.com</t>
  </si>
  <si>
    <t>rebecca.clark.1135@gslingacademy.com</t>
  </si>
  <si>
    <t>andrew.sanders.1136@gslingacademy.com</t>
  </si>
  <si>
    <t>julia.day.1137@gslingacademy.com</t>
  </si>
  <si>
    <t>amber.levy.1138@gslingacademy.com</t>
  </si>
  <si>
    <t>nicole.daniel.1139@gslingacademy.com</t>
  </si>
  <si>
    <t>sarah.wells.1140@gslingacademy.com</t>
  </si>
  <si>
    <t>laura.stone.1141@gslingacademy.com</t>
  </si>
  <si>
    <t>katherine.glenn.1142@gslingacademy.com</t>
  </si>
  <si>
    <t>catherine.mccall.1143@gslingacademy.com</t>
  </si>
  <si>
    <t>tammy.andrews.1144@gslingacademy.com</t>
  </si>
  <si>
    <t>kathryn.powell.1145@gslingacademy.com</t>
  </si>
  <si>
    <t>michael.lutz.1146@gslingacademy.com</t>
  </si>
  <si>
    <t>brian.myers.1147@gslingacademy.com</t>
  </si>
  <si>
    <t>maria.adams.1148@gslingacademy.com</t>
  </si>
  <si>
    <t>ronnie.nguyen.1149@gslingacademy.com</t>
  </si>
  <si>
    <t>daniel.stephens.1150@gslingacademy.com</t>
  </si>
  <si>
    <t>brandon.oliver.1151@gslingacademy.com</t>
  </si>
  <si>
    <t>david.vazquez.1152@gslingacademy.com</t>
  </si>
  <si>
    <t>desiree.moore.1153@gslingacademy.com</t>
  </si>
  <si>
    <t>jessica.turner.1154@gslingacademy.com</t>
  </si>
  <si>
    <t>scott.bishop.1155@gslingacademy.com</t>
  </si>
  <si>
    <t>cassandra.flores.1156@gslingacademy.com</t>
  </si>
  <si>
    <t>miguel.hernandez.1157@gslingacademy.com</t>
  </si>
  <si>
    <t>brittany.welch.1158@gslingacademy.com</t>
  </si>
  <si>
    <t>robert.ross.1159@gslingacademy.com</t>
  </si>
  <si>
    <t>jennifer.white.1160@gslingacademy.com</t>
  </si>
  <si>
    <t>rebecca.smith.1161@gslingacademy.com</t>
  </si>
  <si>
    <t>jessica.ferrell.1162@gslingacademy.com</t>
  </si>
  <si>
    <t>jeremy.montgomery.1163@gslingacademy.com</t>
  </si>
  <si>
    <t>angel.gilbert.1164@gslingacademy.com</t>
  </si>
  <si>
    <t>rebecca.roman.1165@gslingacademy.com</t>
  </si>
  <si>
    <t>frank.lopez.1166@gslingacademy.com</t>
  </si>
  <si>
    <t>thomas.hernandez.1167@gslingacademy.com</t>
  </si>
  <si>
    <t>crystal.miller.1168@gslingacademy.com</t>
  </si>
  <si>
    <t>nicholas.wallace.1169@gslingacademy.com</t>
  </si>
  <si>
    <t>arthur.brown.1170@gslingacademy.com</t>
  </si>
  <si>
    <t>corey.monroe.1171@gslingacademy.com</t>
  </si>
  <si>
    <t>angel.green.1172@gslingacademy.com</t>
  </si>
  <si>
    <t>tina.anderson.1173@gslingacademy.com</t>
  </si>
  <si>
    <t>rebecca.khan.1174@gslingacademy.com</t>
  </si>
  <si>
    <t>terry.dean.1175@gslingacademy.com</t>
  </si>
  <si>
    <t>tyler.martin.1176@gslingacademy.com</t>
  </si>
  <si>
    <t>derrick.hartman.1177@gslingacademy.com</t>
  </si>
  <si>
    <t>mark.stevens.1178@gslingacademy.com</t>
  </si>
  <si>
    <t>scott.tate.1179@gslingacademy.com</t>
  </si>
  <si>
    <t>melissa.deleon.1180@gslingacademy.com</t>
  </si>
  <si>
    <t>nicole.newman.1181@gslingacademy.com</t>
  </si>
  <si>
    <t>brent.burton.1182@gslingacademy.com</t>
  </si>
  <si>
    <t>victor.bright.1183@gslingacademy.com</t>
  </si>
  <si>
    <t>kenneth.turner.1184@gslingacademy.com</t>
  </si>
  <si>
    <t>lisa.bailey.1185@gslingacademy.com</t>
  </si>
  <si>
    <t>nancy.fowler.1186@gslingacademy.com</t>
  </si>
  <si>
    <t>gabriel.wilson.1187@gslingacademy.com</t>
  </si>
  <si>
    <t>andrea.barrett.1188@gslingacademy.com</t>
  </si>
  <si>
    <t>jessica.williams.1189@gslingacademy.com</t>
  </si>
  <si>
    <t>hector.cox.1190@gslingacademy.com</t>
  </si>
  <si>
    <t>michelle.mendoza.1191@gslingacademy.com</t>
  </si>
  <si>
    <t>adam.wallace.1192@gslingacademy.com</t>
  </si>
  <si>
    <t>kelly.harris.1193@gslingacademy.com</t>
  </si>
  <si>
    <t>anthony.clark.1194@gslingacademy.com</t>
  </si>
  <si>
    <t>randall.wyatt.1195@gslingacademy.com</t>
  </si>
  <si>
    <t>ryan.sutton.1196@gslingacademy.com</t>
  </si>
  <si>
    <t>rick.garcia.1197@gslingacademy.com</t>
  </si>
  <si>
    <t>frank.schmitt.1198@gslingacademy.com</t>
  </si>
  <si>
    <t>alan.mcgrath.1199@gslingacademy.com</t>
  </si>
  <si>
    <t>lauren.gomez.1200@gslingacademy.com</t>
  </si>
  <si>
    <t>katherine.taylor.1201@gslingacademy.com</t>
  </si>
  <si>
    <t>ashley.york.1202@gslingacademy.com</t>
  </si>
  <si>
    <t>charles.rangel.1203@gslingacademy.com</t>
  </si>
  <si>
    <t>brooke.burnett.1204@gslingacademy.com</t>
  </si>
  <si>
    <t>ronald.lane.1205@gslingacademy.com</t>
  </si>
  <si>
    <t>emma.andrews.1206@gslingacademy.com</t>
  </si>
  <si>
    <t>nancy.esparza.1207@gslingacademy.com</t>
  </si>
  <si>
    <t>sean.erickson.1208@gslingacademy.com</t>
  </si>
  <si>
    <t>heather.davis.1209@gslingacademy.com</t>
  </si>
  <si>
    <t>kimberly.bailey.1210@gslingacademy.com</t>
  </si>
  <si>
    <t>tracy.garcia.1211@gslingacademy.com</t>
  </si>
  <si>
    <t>brenda.rhodes.1212@gslingacademy.com</t>
  </si>
  <si>
    <t>sarah.brooks.1213@gslingacademy.com</t>
  </si>
  <si>
    <t>jennifer.beck.1214@gslingacademy.com</t>
  </si>
  <si>
    <t>allison.bond.1215@gslingacademy.com</t>
  </si>
  <si>
    <t>jessica.smith.1216@gslingacademy.com</t>
  </si>
  <si>
    <t>carol.nguyen.1217@gslingacademy.com</t>
  </si>
  <si>
    <t>george.francis.1218@gslingacademy.com</t>
  </si>
  <si>
    <t>michelle.dixon.1219@gslingacademy.com</t>
  </si>
  <si>
    <t>linda.george.1220@gslingacademy.com</t>
  </si>
  <si>
    <t>larry.bruce.1221@gslingacademy.com</t>
  </si>
  <si>
    <t>charles.myers.1222@gslingacademy.com</t>
  </si>
  <si>
    <t>matthew.boyd.1223@gslingacademy.com</t>
  </si>
  <si>
    <t>ronald.brewer.1224@gslingacademy.com</t>
  </si>
  <si>
    <t>kimberly.mcgee.1225@gslingacademy.com</t>
  </si>
  <si>
    <t>jill.anderson.1226@gslingacademy.com</t>
  </si>
  <si>
    <t>david.coffey.1227@gslingacademy.com</t>
  </si>
  <si>
    <t>brittany.henderson.1228@gslingacademy.com</t>
  </si>
  <si>
    <t>holly.richardson.1229@gslingacademy.com</t>
  </si>
  <si>
    <t>justin.brooks.1230@gslingacademy.com</t>
  </si>
  <si>
    <t>joan.frederick.1231@gslingacademy.com</t>
  </si>
  <si>
    <t>loretta.webb.1232@gslingacademy.com</t>
  </si>
  <si>
    <t>toni.zimmerman.1233@gslingacademy.com</t>
  </si>
  <si>
    <t>jaime.houston.1234@gslingacademy.com</t>
  </si>
  <si>
    <t>jacqueline.goodman.1235@gslingacademy.com</t>
  </si>
  <si>
    <t>brian.crawford.1236@gslingacademy.com</t>
  </si>
  <si>
    <t>john.reynolds.1237@gslingacademy.com</t>
  </si>
  <si>
    <t>heather.marsh.1238@gslingacademy.com</t>
  </si>
  <si>
    <t>dawn.flores.1239@gslingacademy.com</t>
  </si>
  <si>
    <t>christie.lane.1240@gslingacademy.com</t>
  </si>
  <si>
    <t>traci.johnson.1241@gslingacademy.com</t>
  </si>
  <si>
    <t>robert.hartman.1242@gslingacademy.com</t>
  </si>
  <si>
    <t>christopher.porter.1243@gslingacademy.com</t>
  </si>
  <si>
    <t>phillip.lynch.1244@gslingacademy.com</t>
  </si>
  <si>
    <t>matthew.green.1245@gslingacademy.com</t>
  </si>
  <si>
    <t>jesse.johnson.1246@gslingacademy.com</t>
  </si>
  <si>
    <t>donna.andrews.1247@gslingacademy.com</t>
  </si>
  <si>
    <t>timothy.hall.1248@gslingacademy.com</t>
  </si>
  <si>
    <t>amy.hicks.1249@gslingacademy.com</t>
  </si>
  <si>
    <t>susan.wall.1250@gslingacademy.com</t>
  </si>
  <si>
    <t>david.fields.1251@gslingacademy.com</t>
  </si>
  <si>
    <t>terri.lyons.1252@gslingacademy.com</t>
  </si>
  <si>
    <t>eric.jones.1253@gslingacademy.com</t>
  </si>
  <si>
    <t>betty.nguyen.1254@gslingacademy.com</t>
  </si>
  <si>
    <t>albert.anderson.1255@gslingacademy.com</t>
  </si>
  <si>
    <t>katrina.montgomery.1256@gslingacademy.com</t>
  </si>
  <si>
    <t>samantha.cole.1257@gslingacademy.com</t>
  </si>
  <si>
    <t>kathleen.potts.1258@gslingacademy.com</t>
  </si>
  <si>
    <t>melissa.edwards.1259@gslingacademy.com</t>
  </si>
  <si>
    <t>mark.delgado.1260@gslingacademy.com</t>
  </si>
  <si>
    <t>derek.bates.1261@gslingacademy.com</t>
  </si>
  <si>
    <t>ryan.ruiz.1262@gslingacademy.com</t>
  </si>
  <si>
    <t>charles.gill.1263@gslingacademy.com</t>
  </si>
  <si>
    <t>amanda.edwards.1264@gslingacademy.com</t>
  </si>
  <si>
    <t>emily.waters.1265@gslingacademy.com</t>
  </si>
  <si>
    <t>john.stevenson.1266@gslingacademy.com</t>
  </si>
  <si>
    <t>kevin.hoffman.1267@gslingacademy.com</t>
  </si>
  <si>
    <t>joseph.mcconnell.1268@gslingacademy.com</t>
  </si>
  <si>
    <t>jessica.smith.1269@gslingacademy.com</t>
  </si>
  <si>
    <t>shannon.martinez.1270@gslingacademy.com</t>
  </si>
  <si>
    <t>kenneth.baker.1271@gslingacademy.com</t>
  </si>
  <si>
    <t>margaret.sanchez.1272@gslingacademy.com</t>
  </si>
  <si>
    <t>ryan.hensley.1273@gslingacademy.com</t>
  </si>
  <si>
    <t>sharon.stephenson.1274@gslingacademy.com</t>
  </si>
  <si>
    <t>shawn.cameron.1275@gslingacademy.com</t>
  </si>
  <si>
    <t>stephanie.kennedy.1276@gslingacademy.com</t>
  </si>
  <si>
    <t>hayley.abbott.1277@gslingacademy.com</t>
  </si>
  <si>
    <t>rachel.jacobs.1278@gslingacademy.com</t>
  </si>
  <si>
    <t>danielle.tran.1279@gslingacademy.com</t>
  </si>
  <si>
    <t>autumn.barrett.1280@gslingacademy.com</t>
  </si>
  <si>
    <t>jennifer.landry.1281@gslingacademy.com</t>
  </si>
  <si>
    <t>sean.rodriguez.1282@gslingacademy.com</t>
  </si>
  <si>
    <t>ryan.long.1283@gslingacademy.com</t>
  </si>
  <si>
    <t>robert.hancock.1284@gslingacademy.com</t>
  </si>
  <si>
    <t>stephanie.rodriguez.1285@gslingacademy.com</t>
  </si>
  <si>
    <t>kristen.evans.1286@gslingacademy.com</t>
  </si>
  <si>
    <t>jaime.white.1287@gslingacademy.com</t>
  </si>
  <si>
    <t>marcus.howard.1288@gslingacademy.com</t>
  </si>
  <si>
    <t>lucas.jenkins.1289@gslingacademy.com</t>
  </si>
  <si>
    <t>aaron.ortiz.1290@gslingacademy.com</t>
  </si>
  <si>
    <t>todd.stephens.1291@gslingacademy.com</t>
  </si>
  <si>
    <t>denise.blackburn.1292@gslingacademy.com</t>
  </si>
  <si>
    <t>susan.perez.1293@gslingacademy.com</t>
  </si>
  <si>
    <t>tyler.green.1294@gslingacademy.com</t>
  </si>
  <si>
    <t>rebecca.daniel.1295@gslingacademy.com</t>
  </si>
  <si>
    <t>alexandria.harris.1296@gslingacademy.com</t>
  </si>
  <si>
    <t>danny.taylor.1297@gslingacademy.com</t>
  </si>
  <si>
    <t>amanda.evans.1298@gslingacademy.com</t>
  </si>
  <si>
    <t>scott.owens.1299@gslingacademy.com</t>
  </si>
  <si>
    <t>jesus.jones.1300@gslingacademy.com</t>
  </si>
  <si>
    <t>april.spence.1301@gslingacademy.com</t>
  </si>
  <si>
    <t>christopher.lopez.1302@gslingacademy.com</t>
  </si>
  <si>
    <t>mario.hopkins.1303@gslingacademy.com</t>
  </si>
  <si>
    <t>cody.burke.1304@gslingacademy.com</t>
  </si>
  <si>
    <t>candace.white.1305@gslingacademy.com</t>
  </si>
  <si>
    <t>robert.brown.1306@gslingacademy.com</t>
  </si>
  <si>
    <t>erica.woodward.1307@gslingacademy.com</t>
  </si>
  <si>
    <t>elizabeth.smith.1308@gslingacademy.com</t>
  </si>
  <si>
    <t>jennifer.martin.1309@gslingacademy.com</t>
  </si>
  <si>
    <t>david.smith.1310@gslingacademy.com</t>
  </si>
  <si>
    <t>lori.johnson.1311@gslingacademy.com</t>
  </si>
  <si>
    <t>martin.garcia.1312@gslingacademy.com</t>
  </si>
  <si>
    <t>stacy.collins.1313@gslingacademy.com</t>
  </si>
  <si>
    <t>timothy.bailey.1314@gslingacademy.com</t>
  </si>
  <si>
    <t>susan.gonzalez.1315@gslingacademy.com</t>
  </si>
  <si>
    <t>nicole.harris.1316@gslingacademy.com</t>
  </si>
  <si>
    <t>courtney.moran.1317@gslingacademy.com</t>
  </si>
  <si>
    <t>gregory.barton.1318@gslingacademy.com</t>
  </si>
  <si>
    <t>dakota.clark.1319@gslingacademy.com</t>
  </si>
  <si>
    <t>robin.leonard.1320@gslingacademy.com</t>
  </si>
  <si>
    <t>edward.smith.1321@gslingacademy.com</t>
  </si>
  <si>
    <t>julie.little.1322@gslingacademy.com</t>
  </si>
  <si>
    <t>maureen.norman.1323@gslingacademy.com</t>
  </si>
  <si>
    <t>jeffrey.andrews.1324@gslingacademy.com</t>
  </si>
  <si>
    <t>christina.martinez.1325@gslingacademy.com</t>
  </si>
  <si>
    <t>samuel.becker.1326@gslingacademy.com</t>
  </si>
  <si>
    <t>carlos.flynn.1327@gslingacademy.com</t>
  </si>
  <si>
    <t>roberto.martin.1328@gslingacademy.com</t>
  </si>
  <si>
    <t>jennifer.johnson.1329@gslingacademy.com</t>
  </si>
  <si>
    <t>anthony.shah.1330@gslingacademy.com</t>
  </si>
  <si>
    <t>aimee.cook.1331@gslingacademy.com</t>
  </si>
  <si>
    <t>angela.collins.1332@gslingacademy.com</t>
  </si>
  <si>
    <t>john.jensen.1333@gslingacademy.com</t>
  </si>
  <si>
    <t>julie.gomez.1334@gslingacademy.com</t>
  </si>
  <si>
    <t>bryan.mitchell.1335@gslingacademy.com</t>
  </si>
  <si>
    <t>katie.clark.1336@gslingacademy.com</t>
  </si>
  <si>
    <t>kathleen.simpson.1337@gslingacademy.com</t>
  </si>
  <si>
    <t>carolyn.reyes.1338@gslingacademy.com</t>
  </si>
  <si>
    <t>derrick.ortiz.1339@gslingacademy.com</t>
  </si>
  <si>
    <t>calvin.huynh.1340@gslingacademy.com</t>
  </si>
  <si>
    <t>margaret.wells.1341@gslingacademy.com</t>
  </si>
  <si>
    <t>heather.fitzpatrick.1342@gslingacademy.com</t>
  </si>
  <si>
    <t>kimberly.wood.1343@gslingacademy.com</t>
  </si>
  <si>
    <t>gina.kennedy.1344@gslingacademy.com</t>
  </si>
  <si>
    <t>jeremy.ward.1345@gslingacademy.com</t>
  </si>
  <si>
    <t>patricia.rhodes.1346@gslingacademy.com</t>
  </si>
  <si>
    <t>connie.colon.1347@gslingacademy.com</t>
  </si>
  <si>
    <t>pamela.moyer.1348@gslingacademy.com</t>
  </si>
  <si>
    <t>rachel.williams.1349@gslingacademy.com</t>
  </si>
  <si>
    <t>sean.malone.1350@gslingacademy.com</t>
  </si>
  <si>
    <t>natalie.fitzgerald.1351@gslingacademy.com</t>
  </si>
  <si>
    <t>kevin.diaz.1352@gslingacademy.com</t>
  </si>
  <si>
    <t>beth.jones.1353@gslingacademy.com</t>
  </si>
  <si>
    <t>kathryn.bates.1354@gslingacademy.com</t>
  </si>
  <si>
    <t>aaron.mcdaniel.1355@gslingacademy.com</t>
  </si>
  <si>
    <t>angela.king.1356@gslingacademy.com</t>
  </si>
  <si>
    <t>lauren.arias.1357@gslingacademy.com</t>
  </si>
  <si>
    <t>alyssa.miller.1358@gslingacademy.com</t>
  </si>
  <si>
    <t>lisa.best.1359@gslingacademy.com</t>
  </si>
  <si>
    <t>nicole.garcia.1360@gslingacademy.com</t>
  </si>
  <si>
    <t>william.lee.1361@gslingacademy.com</t>
  </si>
  <si>
    <t>christopher.bowen.1362@gslingacademy.com</t>
  </si>
  <si>
    <t>david.bradford.1363@gslingacademy.com</t>
  </si>
  <si>
    <t>stephanie.jordan.1364@gslingacademy.com</t>
  </si>
  <si>
    <t>joseph.blake.1365@gslingacademy.com</t>
  </si>
  <si>
    <t>christina.velasquez.1366@gslingacademy.com</t>
  </si>
  <si>
    <t>thomas.calderon.1367@gslingacademy.com</t>
  </si>
  <si>
    <t>jorge.lee.1368@gslingacademy.com</t>
  </si>
  <si>
    <t>jasmin.phillips.1369@gslingacademy.com</t>
  </si>
  <si>
    <t>vincent.wilson.1370@gslingacademy.com</t>
  </si>
  <si>
    <t>richard.ryan.1371@gslingacademy.com</t>
  </si>
  <si>
    <t>jesse.garcia.1372@gslingacademy.com</t>
  </si>
  <si>
    <t>james.tate.1373@gslingacademy.com</t>
  </si>
  <si>
    <t>charles.may.1374@gslingacademy.com</t>
  </si>
  <si>
    <t>jeremiah.lee.1375@gslingacademy.com</t>
  </si>
  <si>
    <t>debra.reynolds.1376@gslingacademy.com</t>
  </si>
  <si>
    <t>eric.doyle.1377@gslingacademy.com</t>
  </si>
  <si>
    <t>john.perez.1378@gslingacademy.com</t>
  </si>
  <si>
    <t>hector.garcia.1379@gslingacademy.com</t>
  </si>
  <si>
    <t>andres.rodriguez.1380@gslingacademy.com</t>
  </si>
  <si>
    <t>shelley.murphy.1381@gslingacademy.com</t>
  </si>
  <si>
    <t>robin.carr.1382@gslingacademy.com</t>
  </si>
  <si>
    <t>julie.lambert.1383@gslingacademy.com</t>
  </si>
  <si>
    <t>cynthia.rodriguez.1384@gslingacademy.com</t>
  </si>
  <si>
    <t>thomas.ball.1385@gslingacademy.com</t>
  </si>
  <si>
    <t>patricia.pope.1386@gslingacademy.com</t>
  </si>
  <si>
    <t>bryan.pacheco.1387@gslingacademy.com</t>
  </si>
  <si>
    <t>steven.richardson.1388@gslingacademy.com</t>
  </si>
  <si>
    <t>deborah.hood.1389@gslingacademy.com</t>
  </si>
  <si>
    <t>laura.campbell.1390@gslingacademy.com</t>
  </si>
  <si>
    <t>bradley.patel.1391@gslingacademy.com</t>
  </si>
  <si>
    <t>angela.moran.1392@gslingacademy.com</t>
  </si>
  <si>
    <t>samuel.lee.1393@gslingacademy.com</t>
  </si>
  <si>
    <t>catherine.miles.1394@gslingacademy.com</t>
  </si>
  <si>
    <t>joseph.erickson.1395@gslingacademy.com</t>
  </si>
  <si>
    <t>bradley.cook.1396@gslingacademy.com</t>
  </si>
  <si>
    <t>tony.montgomery.1397@gslingacademy.com</t>
  </si>
  <si>
    <t>drew.williams.1398@gslingacademy.com</t>
  </si>
  <si>
    <t>gwendolyn.martinez.1399@gslingacademy.com</t>
  </si>
  <si>
    <t>nathan.calhoun.1400@gslingacademy.com</t>
  </si>
  <si>
    <t>krista.myers.1401@gslingacademy.com</t>
  </si>
  <si>
    <t>jeremy.bailey.1402@gslingacademy.com</t>
  </si>
  <si>
    <t>nicholas.lester.1403@gslingacademy.com</t>
  </si>
  <si>
    <t>jennifer.ford.1404@gslingacademy.com</t>
  </si>
  <si>
    <t>connor.mitchell.1405@gslingacademy.com</t>
  </si>
  <si>
    <t>christine.nelson.1406@gslingacademy.com</t>
  </si>
  <si>
    <t>rebecca.spencer.1407@gslingacademy.com</t>
  </si>
  <si>
    <t>kyle.rojas.1408@gslingacademy.com</t>
  </si>
  <si>
    <t>stacy.sanders.1409@gslingacademy.com</t>
  </si>
  <si>
    <t>taylor.waters.1410@gslingacademy.com</t>
  </si>
  <si>
    <t>julie.nichols.1411@gslingacademy.com</t>
  </si>
  <si>
    <t>john.lin.1412@gslingacademy.com</t>
  </si>
  <si>
    <t>william.ryan.1413@gslingacademy.com</t>
  </si>
  <si>
    <t>joseph.phillips.1414@gslingacademy.com</t>
  </si>
  <si>
    <t>christina.ramirez.1415@gslingacademy.com</t>
  </si>
  <si>
    <t>laura.baxter.1416@gslingacademy.com</t>
  </si>
  <si>
    <t>kevin.jackson.1417@gslingacademy.com</t>
  </si>
  <si>
    <t>kayla.schwartz.1418@gslingacademy.com</t>
  </si>
  <si>
    <t>jason.myers.1419@gslingacademy.com</t>
  </si>
  <si>
    <t>mary.arnold.1420@gslingacademy.com</t>
  </si>
  <si>
    <t>suzanne.owens.1421@gslingacademy.com</t>
  </si>
  <si>
    <t>misty.stewart.1422@gslingacademy.com</t>
  </si>
  <si>
    <t>paul.johnson.1423@gslingacademy.com</t>
  </si>
  <si>
    <t>jordan.rocha.1424@gslingacademy.com</t>
  </si>
  <si>
    <t>roger.dixon.1425@gslingacademy.com</t>
  </si>
  <si>
    <t>patricia.garrison.1426@gslingacademy.com</t>
  </si>
  <si>
    <t>amanda.davis.1427@gslingacademy.com</t>
  </si>
  <si>
    <t>michael.ferguson.1428@gslingacademy.com</t>
  </si>
  <si>
    <t>melissa.robinson.1429@gslingacademy.com</t>
  </si>
  <si>
    <t>kathryn.rivera.1430@gslingacademy.com</t>
  </si>
  <si>
    <t>javier.macdonald.1431@gslingacademy.com</t>
  </si>
  <si>
    <t>angela.elliott.1432@gslingacademy.com</t>
  </si>
  <si>
    <t>christine.collins.1433@gslingacademy.com</t>
  </si>
  <si>
    <t>calvin.taylor.1434@gslingacademy.com</t>
  </si>
  <si>
    <t>jennifer.contreras.1435@gslingacademy.com</t>
  </si>
  <si>
    <t>jennifer.mccoy.1436@gslingacademy.com</t>
  </si>
  <si>
    <t>daniel.thomas.1437@gslingacademy.com</t>
  </si>
  <si>
    <t>brian.hess.1438@gslingacademy.com</t>
  </si>
  <si>
    <t>jessica.mathews.1439@gslingacademy.com</t>
  </si>
  <si>
    <t>kathryn.sanchez.1440@gslingacademy.com</t>
  </si>
  <si>
    <t>jeremy.cook.1441@gslingacademy.com</t>
  </si>
  <si>
    <t>michael.anderson.1442@gslingacademy.com</t>
  </si>
  <si>
    <t>olivia.garza.1443@gslingacademy.com</t>
  </si>
  <si>
    <t>emily.mason.1444@gslingacademy.com</t>
  </si>
  <si>
    <t>jennifer.gonzales.1445@gslingacademy.com</t>
  </si>
  <si>
    <t>samantha.rodriguez.1446@gslingacademy.com</t>
  </si>
  <si>
    <t>anthony.adams.1447@gslingacademy.com</t>
  </si>
  <si>
    <t>ronald.diaz.1448@gslingacademy.com</t>
  </si>
  <si>
    <t>dana.lambert.1449@gslingacademy.com</t>
  </si>
  <si>
    <t>jonathan.mckay.1450@gslingacademy.com</t>
  </si>
  <si>
    <t>thomas.odom.1451@gslingacademy.com</t>
  </si>
  <si>
    <t>john.wells.1452@gslingacademy.com</t>
  </si>
  <si>
    <t>richard.castillo.1453@gslingacademy.com</t>
  </si>
  <si>
    <t>peter.peck.1454@gslingacademy.com</t>
  </si>
  <si>
    <t>chris.greene.1455@gslingacademy.com</t>
  </si>
  <si>
    <t>michael.vance.1456@gslingacademy.com</t>
  </si>
  <si>
    <t>joanne.howard.1457@gslingacademy.com</t>
  </si>
  <si>
    <t>james.clarke.1458@gslingacademy.com</t>
  </si>
  <si>
    <t>michael.smith.1459@gslingacademy.com</t>
  </si>
  <si>
    <t>nicole.king.1460@gslingacademy.com</t>
  </si>
  <si>
    <t>ruth.miller.1461@gslingacademy.com</t>
  </si>
  <si>
    <t>katelyn.roman.1462@gslingacademy.com</t>
  </si>
  <si>
    <t>allison.hendricks.1463@gslingacademy.com</t>
  </si>
  <si>
    <t>zachary.lucero.1464@gslingacademy.com</t>
  </si>
  <si>
    <t>gregory.ryan.1465@gslingacademy.com</t>
  </si>
  <si>
    <t>jacob.hall.1466@gslingacademy.com</t>
  </si>
  <si>
    <t>mark.wright.1467@gslingacademy.com</t>
  </si>
  <si>
    <t>jennifer.wright.1468@gslingacademy.com</t>
  </si>
  <si>
    <t>kimberly.dyer.1469@gslingacademy.com</t>
  </si>
  <si>
    <t>nicole.grant.1470@gslingacademy.com</t>
  </si>
  <si>
    <t>peter.anderson.1471@gslingacademy.com</t>
  </si>
  <si>
    <t>christine.hernandez.1472@gslingacademy.com</t>
  </si>
  <si>
    <t>christine.smith.1473@gslingacademy.com</t>
  </si>
  <si>
    <t>mark.robinson.1474@gslingacademy.com</t>
  </si>
  <si>
    <t>joan.estrada.1475@gslingacademy.com</t>
  </si>
  <si>
    <t>shelby.lewis.1476@gslingacademy.com</t>
  </si>
  <si>
    <t>joshua.williams.1477@gslingacademy.com</t>
  </si>
  <si>
    <t>cynthia.martinez.1478@gslingacademy.com</t>
  </si>
  <si>
    <t>kevin.holt.1479@gslingacademy.com</t>
  </si>
  <si>
    <t>jessica.nolan.1480@gslingacademy.com</t>
  </si>
  <si>
    <t>timothy.fowler.1481@gslingacademy.com</t>
  </si>
  <si>
    <t>samantha.ibarra.1482@gslingacademy.com</t>
  </si>
  <si>
    <t>michelle.guerrero.1483@gslingacademy.com</t>
  </si>
  <si>
    <t>stephanie.pineda.1484@gslingacademy.com</t>
  </si>
  <si>
    <t>philip.blair.1485@gslingacademy.com</t>
  </si>
  <si>
    <t>david.jimenez.1486@gslingacademy.com</t>
  </si>
  <si>
    <t>megan.bright.1487@gslingacademy.com</t>
  </si>
  <si>
    <t>thomas.montoya.1488@gslingacademy.com</t>
  </si>
  <si>
    <t>brenda.houston.1489@gslingacademy.com</t>
  </si>
  <si>
    <t>daniel.lee.1490@gslingacademy.com</t>
  </si>
  <si>
    <t>stephanie.jones.1491@gslingacademy.com</t>
  </si>
  <si>
    <t>rachel.salas.1492@gslingacademy.com</t>
  </si>
  <si>
    <t>oscar.benjamin.1493@gslingacademy.com</t>
  </si>
  <si>
    <t>debra.brown.1494@gslingacademy.com</t>
  </si>
  <si>
    <t>jennifer.martin.1495@gslingacademy.com</t>
  </si>
  <si>
    <t>jeffrey.conley.1496@gslingacademy.com</t>
  </si>
  <si>
    <t>cory.cook.1497@gslingacademy.com</t>
  </si>
  <si>
    <t>david.walters.1498@gslingacademy.com</t>
  </si>
  <si>
    <t>jeffrey.moore.1499@gslingacademy.com</t>
  </si>
  <si>
    <t>stacey.williams.1500@gslingacademy.com</t>
  </si>
  <si>
    <t>beth.stephens.1501@gslingacademy.com</t>
  </si>
  <si>
    <t>lisa.franco.1502@gslingacademy.com</t>
  </si>
  <si>
    <t>sarah.snow.1503@gslingacademy.com</t>
  </si>
  <si>
    <t>frederick.lopez.1504@gslingacademy.com</t>
  </si>
  <si>
    <t>cynthia.white.1505@gslingacademy.com</t>
  </si>
  <si>
    <t>samantha.hopkins.1506@gslingacademy.com</t>
  </si>
  <si>
    <t>destiny.rhodes.1507@gslingacademy.com</t>
  </si>
  <si>
    <t>jessica.jones.1508@gslingacademy.com</t>
  </si>
  <si>
    <t>mark.smith.1509@gslingacademy.com</t>
  </si>
  <si>
    <t>maureen.cain.1510@gslingacademy.com</t>
  </si>
  <si>
    <t>jennifer.fuentes.1511@gslingacademy.com</t>
  </si>
  <si>
    <t>jennifer.arnold.1512@gslingacademy.com</t>
  </si>
  <si>
    <t>laura.smith.1513@gslingacademy.com</t>
  </si>
  <si>
    <t>david.shaw.1514@gslingacademy.com</t>
  </si>
  <si>
    <t>diana.russo.1515@gslingacademy.com</t>
  </si>
  <si>
    <t>hayley.johnson.1516@gslingacademy.com</t>
  </si>
  <si>
    <t>melissa.jackson.1517@gslingacademy.com</t>
  </si>
  <si>
    <t>kimberly.miller.1518@gslingacademy.com</t>
  </si>
  <si>
    <t>andrew.stanley.1519@gslingacademy.com</t>
  </si>
  <si>
    <t>mary.taylor.1520@gslingacademy.com</t>
  </si>
  <si>
    <t>mindy.jones.1521@gslingacademy.com</t>
  </si>
  <si>
    <t>john.powell.1522@gslingacademy.com</t>
  </si>
  <si>
    <t>amanda.padilla.1523@gslingacademy.com</t>
  </si>
  <si>
    <t>kevin.koch.1524@gslingacademy.com</t>
  </si>
  <si>
    <t>chad.moreno.1525@gslingacademy.com</t>
  </si>
  <si>
    <t>stephanie.spencer.1526@gslingacademy.com</t>
  </si>
  <si>
    <t>peter.vargas.1527@gslingacademy.com</t>
  </si>
  <si>
    <t>kayla.bailey.1528@gslingacademy.com</t>
  </si>
  <si>
    <t>stephanie.jones.1529@gslingacademy.com</t>
  </si>
  <si>
    <t>nancy.hartman.1530@gslingacademy.com</t>
  </si>
  <si>
    <t>eduardo.brown.1531@gslingacademy.com</t>
  </si>
  <si>
    <t>thomas.stone.1532@gslingacademy.com</t>
  </si>
  <si>
    <t>craig.carter.1533@gslingacademy.com</t>
  </si>
  <si>
    <t>michael.harrington.1534@gslingacademy.com</t>
  </si>
  <si>
    <t>valerie.nichols.1535@gslingacademy.com</t>
  </si>
  <si>
    <t>brian.garcia.1536@gslingacademy.com</t>
  </si>
  <si>
    <t>renee.smith.1537@gslingacademy.com</t>
  </si>
  <si>
    <t>kaitlyn.frazier.1538@gslingacademy.com</t>
  </si>
  <si>
    <t>jesse.green.1539@gslingacademy.com</t>
  </si>
  <si>
    <t>kimberly.cooper.1540@gslingacademy.com</t>
  </si>
  <si>
    <t>matthew.chambers.1541@gslingacademy.com</t>
  </si>
  <si>
    <t>stephanie.yu.1542@gslingacademy.com</t>
  </si>
  <si>
    <t>jose.hodge.1543@gslingacademy.com</t>
  </si>
  <si>
    <t>steve.kelly.1544@gslingacademy.com</t>
  </si>
  <si>
    <t>justin.morgan.1545@gslingacademy.com</t>
  </si>
  <si>
    <t>robert.black.1546@gslingacademy.com</t>
  </si>
  <si>
    <t>gabriella.pierce.1547@gslingacademy.com</t>
  </si>
  <si>
    <t>william.clay.1548@gslingacademy.com</t>
  </si>
  <si>
    <t>nicholas.shea.1549@gslingacademy.com</t>
  </si>
  <si>
    <t>heidi.ellis.1550@gslingacademy.com</t>
  </si>
  <si>
    <t>cassandra.mills.1551@gslingacademy.com</t>
  </si>
  <si>
    <t>robert.hart.1552@gslingacademy.com</t>
  </si>
  <si>
    <t>natalie.garrison.1553@gslingacademy.com</t>
  </si>
  <si>
    <t>melissa.campbell.1554@gslingacademy.com</t>
  </si>
  <si>
    <t>joshua.cervantes.1555@gslingacademy.com</t>
  </si>
  <si>
    <t>carlos.long.1556@gslingacademy.com</t>
  </si>
  <si>
    <t>keith.hunt.1557@gslingacademy.com</t>
  </si>
  <si>
    <t>kevin.turner.1558@gslingacademy.com</t>
  </si>
  <si>
    <t>shane.washington.1559@gslingacademy.com</t>
  </si>
  <si>
    <t>mark.duke.1560@gslingacademy.com</t>
  </si>
  <si>
    <t>anna.lane.1561@gslingacademy.com</t>
  </si>
  <si>
    <t>catherine.ibarra.1562@gslingacademy.com</t>
  </si>
  <si>
    <t>brian.adams.1563@gslingacademy.com</t>
  </si>
  <si>
    <t>michael.james.1564@gslingacademy.com</t>
  </si>
  <si>
    <t>robert.hernandez.1565@gslingacademy.com</t>
  </si>
  <si>
    <t>anthony.walton.1566@gslingacademy.com</t>
  </si>
  <si>
    <t>meghan.lewis.1567@gslingacademy.com</t>
  </si>
  <si>
    <t>crystal.holland.1568@gslingacademy.com</t>
  </si>
  <si>
    <t>brian.gibson.1569@gslingacademy.com</t>
  </si>
  <si>
    <t>eric.heath.1570@gslingacademy.com</t>
  </si>
  <si>
    <t>holly.dunn.1571@gslingacademy.com</t>
  </si>
  <si>
    <t>paul.miller.1572@gslingacademy.com</t>
  </si>
  <si>
    <t>katherine.reyes.1573@gslingacademy.com</t>
  </si>
  <si>
    <t>paula.hernandez.1574@gslingacademy.com</t>
  </si>
  <si>
    <t>aaron.ortega.1575@gslingacademy.com</t>
  </si>
  <si>
    <t>jonathan.carter.1576@gslingacademy.com</t>
  </si>
  <si>
    <t>christina.nguyen.1577@gslingacademy.com</t>
  </si>
  <si>
    <t>anita.carter.1578@gslingacademy.com</t>
  </si>
  <si>
    <t>madeline.holmes.1579@gslingacademy.com</t>
  </si>
  <si>
    <t>luis.klein.1580@gslingacademy.com</t>
  </si>
  <si>
    <t>laura.thornton.1581@gslingacademy.com</t>
  </si>
  <si>
    <t>william.ball.1582@gslingacademy.com</t>
  </si>
  <si>
    <t>kristin.gilbert.1583@gslingacademy.com</t>
  </si>
  <si>
    <t>aaron.ware.1584@gslingacademy.com</t>
  </si>
  <si>
    <t>danny.carlson.1585@gslingacademy.com</t>
  </si>
  <si>
    <t>julie.adkins.1586@gslingacademy.com</t>
  </si>
  <si>
    <t>jerry.aguirre.1587@gslingacademy.com</t>
  </si>
  <si>
    <t>jason.thomas.1588@gslingacademy.com</t>
  </si>
  <si>
    <t>zachary.houston.1589@gslingacademy.com</t>
  </si>
  <si>
    <t>donna.hoffman.1590@gslingacademy.com</t>
  </si>
  <si>
    <t>austin.sanders.1591@gslingacademy.com</t>
  </si>
  <si>
    <t>leslie.mercado.1592@gslingacademy.com</t>
  </si>
  <si>
    <t>derrick.tucker.1593@gslingacademy.com</t>
  </si>
  <si>
    <t>kelsey.alexander.1594@gslingacademy.com</t>
  </si>
  <si>
    <t>rhonda.smith.1595@gslingacademy.com</t>
  </si>
  <si>
    <t>isaac.santos.1596@gslingacademy.com</t>
  </si>
  <si>
    <t>david.sloan.1597@gslingacademy.com</t>
  </si>
  <si>
    <t>amanda.peterson.1598@gslingacademy.com</t>
  </si>
  <si>
    <t>cynthia.weeks.1599@gslingacademy.com</t>
  </si>
  <si>
    <t>katherine.turner.1600@gslingacademy.com</t>
  </si>
  <si>
    <t>joseph.patterson.1601@gslingacademy.com</t>
  </si>
  <si>
    <t>jill.davis.1602@gslingacademy.com</t>
  </si>
  <si>
    <t>amy.moore.1603@gslingacademy.com</t>
  </si>
  <si>
    <t>eric.matthews.1604@gslingacademy.com</t>
  </si>
  <si>
    <t>tamara.bennett.1605@gslingacademy.com</t>
  </si>
  <si>
    <t>maria.perkins.1606@gslingacademy.com</t>
  </si>
  <si>
    <t>jillian.reed.1607@gslingacademy.com</t>
  </si>
  <si>
    <t>melissa.mora.1608@gslingacademy.com</t>
  </si>
  <si>
    <t>tina.smith.1609@gslingacademy.com</t>
  </si>
  <si>
    <t>rhonda.munoz.1610@gslingacademy.com</t>
  </si>
  <si>
    <t>heidi.johnson.1611@gslingacademy.com</t>
  </si>
  <si>
    <t>joshua.davis.1612@gslingacademy.com</t>
  </si>
  <si>
    <t>laura.sanders.1613@gslingacademy.com</t>
  </si>
  <si>
    <t>evan.francis.1614@gslingacademy.com</t>
  </si>
  <si>
    <t>cynthia.miller.1615@gslingacademy.com</t>
  </si>
  <si>
    <t>bobby.miller.1616@gslingacademy.com</t>
  </si>
  <si>
    <t>justin.brooks.1617@gslingacademy.com</t>
  </si>
  <si>
    <t>kayla.krueger.1618@gslingacademy.com</t>
  </si>
  <si>
    <t>justin.kim.1619@gslingacademy.com</t>
  </si>
  <si>
    <t>christian.blankenship.1620@gslingacademy.com</t>
  </si>
  <si>
    <t>todd.williams.1621@gslingacademy.com</t>
  </si>
  <si>
    <t>victoria.perez.1622@gslingacademy.com</t>
  </si>
  <si>
    <t>madeline.hart.1623@gslingacademy.com</t>
  </si>
  <si>
    <t>christopher.meyer.1624@gslingacademy.com</t>
  </si>
  <si>
    <t>christopher.fleming.1625@gslingacademy.com</t>
  </si>
  <si>
    <t>karen.ramsey.1626@gslingacademy.com</t>
  </si>
  <si>
    <t>monica.dalton.1627@gslingacademy.com</t>
  </si>
  <si>
    <t>gary.odonnell.1628@gslingacademy.com</t>
  </si>
  <si>
    <t>ann.scott.1629@gslingacademy.com</t>
  </si>
  <si>
    <t>jessica.jackson.1630@gslingacademy.com</t>
  </si>
  <si>
    <t>lauren.morrison.1631@gslingacademy.com</t>
  </si>
  <si>
    <t>alexander.brown.1632@gslingacademy.com</t>
  </si>
  <si>
    <t>thomas.smith.1633@gslingacademy.com</t>
  </si>
  <si>
    <t>jonathan.torres.1634@gslingacademy.com</t>
  </si>
  <si>
    <t>robin.daniel.1635@gslingacademy.com</t>
  </si>
  <si>
    <t>anthony.peterson.1636@gslingacademy.com</t>
  </si>
  <si>
    <t>ashley.blankenship.1637@gslingacademy.com</t>
  </si>
  <si>
    <t>jennifer.stewart.1638@gslingacademy.com</t>
  </si>
  <si>
    <t>james.compton.1639@gslingacademy.com</t>
  </si>
  <si>
    <t>david.bates.1640@gslingacademy.com</t>
  </si>
  <si>
    <t>stephanie.green.1641@gslingacademy.com</t>
  </si>
  <si>
    <t>garrett.nichols.1642@gslingacademy.com</t>
  </si>
  <si>
    <t>erica.lopez.1643@gslingacademy.com</t>
  </si>
  <si>
    <t>lisa.benitez.1644@gslingacademy.com</t>
  </si>
  <si>
    <t>cheryl.gutierrez.1645@gslingacademy.com</t>
  </si>
  <si>
    <t>stephen.hawkins.1646@gslingacademy.com</t>
  </si>
  <si>
    <t>natalie.williams.1647@gslingacademy.com</t>
  </si>
  <si>
    <t>anthony.arnold.1648@gslingacademy.com</t>
  </si>
  <si>
    <t>deanna.coleman.1649@gslingacademy.com</t>
  </si>
  <si>
    <t>lisa.barber.1650@gslingacademy.com</t>
  </si>
  <si>
    <t>stephanie.miller.1651@gslingacademy.com</t>
  </si>
  <si>
    <t>amy.white.1652@gslingacademy.com</t>
  </si>
  <si>
    <t>beverly.chavez.1653@gslingacademy.com</t>
  </si>
  <si>
    <t>richard.cortez.1654@gslingacademy.com</t>
  </si>
  <si>
    <t>kevin.morgan.1655@gslingacademy.com</t>
  </si>
  <si>
    <t>emily.hebert.1656@gslingacademy.com</t>
  </si>
  <si>
    <t>lori.roberts.1657@gslingacademy.com</t>
  </si>
  <si>
    <t>robert.kirby.1658@gslingacademy.com</t>
  </si>
  <si>
    <t>eric.ross.1659@gslingacademy.com</t>
  </si>
  <si>
    <t>rachael.perry.1660@gslingacademy.com</t>
  </si>
  <si>
    <t>kenneth.gallagher.1661@gslingacademy.com</t>
  </si>
  <si>
    <t>thomas.scott.1662@gslingacademy.com</t>
  </si>
  <si>
    <t>elizabeth.jones.1663@gslingacademy.com</t>
  </si>
  <si>
    <t>matthew.bartlett.1664@gslingacademy.com</t>
  </si>
  <si>
    <t>kendra.perez.1665@gslingacademy.com</t>
  </si>
  <si>
    <t>daniel.brewer.1666@gslingacademy.com</t>
  </si>
  <si>
    <t>cody.tyler.1667@gslingacademy.com</t>
  </si>
  <si>
    <t>nicholas.conrad.1668@gslingacademy.com</t>
  </si>
  <si>
    <t>emma.morris.1669@gslingacademy.com</t>
  </si>
  <si>
    <t>david.brown.1670@gslingacademy.com</t>
  </si>
  <si>
    <t>charlotte.zuniga.1671@gslingacademy.com</t>
  </si>
  <si>
    <t>luis.knight.1672@gslingacademy.com</t>
  </si>
  <si>
    <t>matthew.moore.1673@gslingacademy.com</t>
  </si>
  <si>
    <t>jennifer.chan.1674@gslingacademy.com</t>
  </si>
  <si>
    <t>christopher.evans.1675@gslingacademy.com</t>
  </si>
  <si>
    <t>tara.haynes.1676@gslingacademy.com</t>
  </si>
  <si>
    <t>jason.flores.1677@gslingacademy.com</t>
  </si>
  <si>
    <t>david.flores.1678@gslingacademy.com</t>
  </si>
  <si>
    <t>patricia.rivera.1679@gslingacademy.com</t>
  </si>
  <si>
    <t>alexis.freeman.1680@gslingacademy.com</t>
  </si>
  <si>
    <t>scott.baxter.1681@gslingacademy.com</t>
  </si>
  <si>
    <t>kyle.rubio.1682@gslingacademy.com</t>
  </si>
  <si>
    <t>nancy.montes.1683@gslingacademy.com</t>
  </si>
  <si>
    <t>andre.graham.1684@gslingacademy.com</t>
  </si>
  <si>
    <t>christine.rivera.1685@gslingacademy.com</t>
  </si>
  <si>
    <t>william.holt.1686@gslingacademy.com</t>
  </si>
  <si>
    <t>tammy.morris.1687@gslingacademy.com</t>
  </si>
  <si>
    <t>kimberly.bates.1688@gslingacademy.com</t>
  </si>
  <si>
    <t>sheena.murphy.1689@gslingacademy.com</t>
  </si>
  <si>
    <t>robert.mccall.1690@gslingacademy.com</t>
  </si>
  <si>
    <t>julie.floyd.1691@gslingacademy.com</t>
  </si>
  <si>
    <t>barry.taylor.1692@gslingacademy.com</t>
  </si>
  <si>
    <t>dennis.gonzalez.1693@gslingacademy.com</t>
  </si>
  <si>
    <t>angel.williams.1694@gslingacademy.com</t>
  </si>
  <si>
    <t>ronald.palmer.1695@gslingacademy.com</t>
  </si>
  <si>
    <t>dustin.stanley.1696@gslingacademy.com</t>
  </si>
  <si>
    <t>jennifer.lewis.1697@gslingacademy.com</t>
  </si>
  <si>
    <t>mark.gardner.1698@gslingacademy.com</t>
  </si>
  <si>
    <t>laura.barber.1699@gslingacademy.com</t>
  </si>
  <si>
    <t>nicole.weeks.1700@gslingacademy.com</t>
  </si>
  <si>
    <t>ricky.walker.1701@gslingacademy.com</t>
  </si>
  <si>
    <t>whitney.walls.1702@gslingacademy.com</t>
  </si>
  <si>
    <t>catherine.may.1703@gslingacademy.com</t>
  </si>
  <si>
    <t>joel.williams.1704@gslingacademy.com</t>
  </si>
  <si>
    <t>daisy.ellis.1705@gslingacademy.com</t>
  </si>
  <si>
    <t>deborah.miller.1706@gslingacademy.com</t>
  </si>
  <si>
    <t>david.hoffman.1707@gslingacademy.com</t>
  </si>
  <si>
    <t>rebecca.pearson.1708@gslingacademy.com</t>
  </si>
  <si>
    <t>mitchell.walker.1709@gslingacademy.com</t>
  </si>
  <si>
    <t>james.sherman.1710@gslingacademy.com</t>
  </si>
  <si>
    <t>justin.johnson.1711@gslingacademy.com</t>
  </si>
  <si>
    <t>brenda.morales.1712@gslingacademy.com</t>
  </si>
  <si>
    <t>jesse.melton.1713@gslingacademy.com</t>
  </si>
  <si>
    <t>jon.mendoza.1714@gslingacademy.com</t>
  </si>
  <si>
    <t>samantha.anderson.1715@gslingacademy.com</t>
  </si>
  <si>
    <t>lindsay.love.1716@gslingacademy.com</t>
  </si>
  <si>
    <t>john.benson.1717@gslingacademy.com</t>
  </si>
  <si>
    <t>isaiah.cruz.1718@gslingacademy.com</t>
  </si>
  <si>
    <t>brian.baker.1719@gslingacademy.com</t>
  </si>
  <si>
    <t>joshua.dillon.1720@gslingacademy.com</t>
  </si>
  <si>
    <t>christopher.stephens.1721@gslingacademy.com</t>
  </si>
  <si>
    <t>kimberly.shaw.1722@gslingacademy.com</t>
  </si>
  <si>
    <t>colleen.vargas.1723@gslingacademy.com</t>
  </si>
  <si>
    <t>mark.mathews.1724@gslingacademy.com</t>
  </si>
  <si>
    <t>teresa.lopez.1725@gslingacademy.com</t>
  </si>
  <si>
    <t>laura.allen.1726@gslingacademy.com</t>
  </si>
  <si>
    <t>lisa.sosa.1727@gslingacademy.com</t>
  </si>
  <si>
    <t>drew.nelson.1728@gslingacademy.com</t>
  </si>
  <si>
    <t>kimberly.brooks.1729@gslingacademy.com</t>
  </si>
  <si>
    <t>carla.lopez.1730@gslingacademy.com</t>
  </si>
  <si>
    <t>keith.smith.1731@gslingacademy.com</t>
  </si>
  <si>
    <t>eric.erickson.1732@gslingacademy.com</t>
  </si>
  <si>
    <t>juan.baker.1733@gslingacademy.com</t>
  </si>
  <si>
    <t>kyle.harrison.1734@gslingacademy.com</t>
  </si>
  <si>
    <t>duane.meyers.1735@gslingacademy.com</t>
  </si>
  <si>
    <t>marissa.may.1736@gslingacademy.com</t>
  </si>
  <si>
    <t>shane.lopez.1737@gslingacademy.com</t>
  </si>
  <si>
    <t>eric.obrien.1738@gslingacademy.com</t>
  </si>
  <si>
    <t>kevin.joyce.1739@gslingacademy.com</t>
  </si>
  <si>
    <t>thomas.ward.1740@gslingacademy.com</t>
  </si>
  <si>
    <t>toni.smith.1741@gslingacademy.com</t>
  </si>
  <si>
    <t>caitlin.moody.1742@gslingacademy.com</t>
  </si>
  <si>
    <t>justin.ryan.1743@gslingacademy.com</t>
  </si>
  <si>
    <t>joseph.griffin.1744@gslingacademy.com</t>
  </si>
  <si>
    <t>dawn.fox.1745@gslingacademy.com</t>
  </si>
  <si>
    <t>david.ochoa.1746@gslingacademy.com</t>
  </si>
  <si>
    <t>bonnie.brown.1747@gslingacademy.com</t>
  </si>
  <si>
    <t>michael.evans.1748@gslingacademy.com</t>
  </si>
  <si>
    <t>molly.meadows.1749@gslingacademy.com</t>
  </si>
  <si>
    <t>dana.peters.1750@gslingacademy.com</t>
  </si>
  <si>
    <t>patricia.phelps.1751@gslingacademy.com</t>
  </si>
  <si>
    <t>maria.jones.1752@gslingacademy.com</t>
  </si>
  <si>
    <t>anthony.johns.1753@gslingacademy.com</t>
  </si>
  <si>
    <t>david.schmidt.1754@gslingacademy.com</t>
  </si>
  <si>
    <t>amanda.cox.1755@gslingacademy.com</t>
  </si>
  <si>
    <t>william.patterson.1756@gslingacademy.com</t>
  </si>
  <si>
    <t>sydney.wood.1757@gslingacademy.com</t>
  </si>
  <si>
    <t>donald.fischer.1758@gslingacademy.com</t>
  </si>
  <si>
    <t>anthony.palmer.1759@gslingacademy.com</t>
  </si>
  <si>
    <t>christina.garcia.1760@gslingacademy.com</t>
  </si>
  <si>
    <t>misty.anderson.1761@gslingacademy.com</t>
  </si>
  <si>
    <t>shannon.weber.1762@gslingacademy.com</t>
  </si>
  <si>
    <t>jennifer.palmer.1763@gslingacademy.com</t>
  </si>
  <si>
    <t>michael.arnold.1764@gslingacademy.com</t>
  </si>
  <si>
    <t>james.hernandez.1765@gslingacademy.com</t>
  </si>
  <si>
    <t>erin.cannon.1766@gslingacademy.com</t>
  </si>
  <si>
    <t>nicole.lee.1767@gslingacademy.com</t>
  </si>
  <si>
    <t>jacob.ross.1768@gslingacademy.com</t>
  </si>
  <si>
    <t>morgan.cisneros.1769@gslingacademy.com</t>
  </si>
  <si>
    <t>amber.stuart.1770@gslingacademy.com</t>
  </si>
  <si>
    <t>tyler.griffin.1771@gslingacademy.com</t>
  </si>
  <si>
    <t>daniel.gonzalez.1772@gslingacademy.com</t>
  </si>
  <si>
    <t>joseph.jones.1773@gslingacademy.com</t>
  </si>
  <si>
    <t>jessica.hampton.1774@gslingacademy.com</t>
  </si>
  <si>
    <t>deborah.butler.1775@gslingacademy.com</t>
  </si>
  <si>
    <t>julie.black.1776@gslingacademy.com</t>
  </si>
  <si>
    <t>bryan.dorsey.1777@gslingacademy.com</t>
  </si>
  <si>
    <t>chad.gomez.1778@gslingacademy.com</t>
  </si>
  <si>
    <t>andrew.clark.1779@gslingacademy.com</t>
  </si>
  <si>
    <t>brian.wright.1780@gslingacademy.com</t>
  </si>
  <si>
    <t>jessica.smith.1781@gslingacademy.com</t>
  </si>
  <si>
    <t>thomas.brooks.1782@gslingacademy.com</t>
  </si>
  <si>
    <t>kimberly.knox.1783@gslingacademy.com</t>
  </si>
  <si>
    <t>jamie.mccarthy.1784@gslingacademy.com</t>
  </si>
  <si>
    <t>kristen.werner.1785@gslingacademy.com</t>
  </si>
  <si>
    <t>jonathan.weiss.1786@gslingacademy.com</t>
  </si>
  <si>
    <t>renee.smith.1787@gslingacademy.com</t>
  </si>
  <si>
    <t>tony.hopkins.1788@gslingacademy.com</t>
  </si>
  <si>
    <t>thomas.buckley.1789@gslingacademy.com</t>
  </si>
  <si>
    <t>debra.evans.1790@gslingacademy.com</t>
  </si>
  <si>
    <t>richard.bell.1791@gslingacademy.com</t>
  </si>
  <si>
    <t>katelyn.watkins.1792@gslingacademy.com</t>
  </si>
  <si>
    <t>michele.stout.1793@gslingacademy.com</t>
  </si>
  <si>
    <t>lisa.estes.1794@gslingacademy.com</t>
  </si>
  <si>
    <t>casey.hall.1795@gslingacademy.com</t>
  </si>
  <si>
    <t>joshua.cole.1796@gslingacademy.com</t>
  </si>
  <si>
    <t>andrew.jackson.1797@gslingacademy.com</t>
  </si>
  <si>
    <t>karen.rodriguez.1798@gslingacademy.com</t>
  </si>
  <si>
    <t>sara.johnson.1799@gslingacademy.com</t>
  </si>
  <si>
    <t>alyssa.costa.1800@gslingacademy.com</t>
  </si>
  <si>
    <t>daniel.poole.1801@gslingacademy.com</t>
  </si>
  <si>
    <t>ricardo.juarez.1802@gslingacademy.com</t>
  </si>
  <si>
    <t>tony.castillo.1803@gslingacademy.com</t>
  </si>
  <si>
    <t>brian.kelly.1804@gslingacademy.com</t>
  </si>
  <si>
    <t>tyler.moore.1805@gslingacademy.com</t>
  </si>
  <si>
    <t>sharon.martinez.1806@gslingacademy.com</t>
  </si>
  <si>
    <t>mary.malone.1807@gslingacademy.com</t>
  </si>
  <si>
    <t>rebecca.huang.1808@gslingacademy.com</t>
  </si>
  <si>
    <t>alan.santos.1809@gslingacademy.com</t>
  </si>
  <si>
    <t>martin.duran.1810@gslingacademy.com</t>
  </si>
  <si>
    <t>christopher.gutierrez.1811@gslingacademy.com</t>
  </si>
  <si>
    <t>brandy.maldonado.1812@gslingacademy.com</t>
  </si>
  <si>
    <t>brenda.sanders.1813@gslingacademy.com</t>
  </si>
  <si>
    <t>drew.mccann.1814@gslingacademy.com</t>
  </si>
  <si>
    <t>joshua.ayala.1815@gslingacademy.com</t>
  </si>
  <si>
    <t>tina.rose.1816@gslingacademy.com</t>
  </si>
  <si>
    <t>william.khan.1817@gslingacademy.com</t>
  </si>
  <si>
    <t>william.avery.1818@gslingacademy.com</t>
  </si>
  <si>
    <t>john.fuller.1819@gslingacademy.com</t>
  </si>
  <si>
    <t>jeremy.coleman.1820@gslingacademy.com</t>
  </si>
  <si>
    <t>laura.wright.1821@gslingacademy.com</t>
  </si>
  <si>
    <t>david.luna.1822@gslingacademy.com</t>
  </si>
  <si>
    <t>christopher.jensen.1823@gslingacademy.com</t>
  </si>
  <si>
    <t>luis.little.1824@gslingacademy.com</t>
  </si>
  <si>
    <t>joseph.garcia.1825@gslingacademy.com</t>
  </si>
  <si>
    <t>michael.york.1826@gslingacademy.com</t>
  </si>
  <si>
    <t>debbie.landry.1827@gslingacademy.com</t>
  </si>
  <si>
    <t>michael.gordon.1828@gslingacademy.com</t>
  </si>
  <si>
    <t>melissa.harris.1829@gslingacademy.com</t>
  </si>
  <si>
    <t>jonathon.wilson.1830@gslingacademy.com</t>
  </si>
  <si>
    <t>margaret.santos.1831@gslingacademy.com</t>
  </si>
  <si>
    <t>hailey.arroyo.1832@gslingacademy.com</t>
  </si>
  <si>
    <t>steven.webster.1833@gslingacademy.com</t>
  </si>
  <si>
    <t>tina.harrison.1834@gslingacademy.com</t>
  </si>
  <si>
    <t>andrew.nunez.1835@gslingacademy.com</t>
  </si>
  <si>
    <t>renee.cruz.1836@gslingacademy.com</t>
  </si>
  <si>
    <t>victoria.taylor.1837@gslingacademy.com</t>
  </si>
  <si>
    <t>joseph.dixon.1838@gslingacademy.com</t>
  </si>
  <si>
    <t>heather.gutierrez.1839@gslingacademy.com</t>
  </si>
  <si>
    <t>cynthia.hodges.1840@gslingacademy.com</t>
  </si>
  <si>
    <t>danielle.kelley.1841@gslingacademy.com</t>
  </si>
  <si>
    <t>michael.mccall.1842@gslingacademy.com</t>
  </si>
  <si>
    <t>dylan.edwards.1843@gslingacademy.com</t>
  </si>
  <si>
    <t>franklin.riley.1844@gslingacademy.com</t>
  </si>
  <si>
    <t>caitlin.duncan.1845@gslingacademy.com</t>
  </si>
  <si>
    <t>robin.reeves.1846@gslingacademy.com</t>
  </si>
  <si>
    <t>rebecca.gibbs.1847@gslingacademy.com</t>
  </si>
  <si>
    <t>peter.santos.1848@gslingacademy.com</t>
  </si>
  <si>
    <t>daryl.arnold.1849@gslingacademy.com</t>
  </si>
  <si>
    <t>michael.davis.1850@gslingacademy.com</t>
  </si>
  <si>
    <t>leslie.cox.1851@gslingacademy.com</t>
  </si>
  <si>
    <t>jamie.carter.1852@gslingacademy.com</t>
  </si>
  <si>
    <t>shane.payne.1853@gslingacademy.com</t>
  </si>
  <si>
    <t>kimberly.haley.1854@gslingacademy.com</t>
  </si>
  <si>
    <t>george.duran.1855@gslingacademy.com</t>
  </si>
  <si>
    <t>donald.carney.1856@gslingacademy.com</t>
  </si>
  <si>
    <t>michelle.brown.1857@gslingacademy.com</t>
  </si>
  <si>
    <t>elizabeth.hawkins.1858@gslingacademy.com</t>
  </si>
  <si>
    <t>johnny.gomez.1859@gslingacademy.com</t>
  </si>
  <si>
    <t>christopher.mcconnell.1860@gslingacademy.com</t>
  </si>
  <si>
    <t>kyle.rodriguez.1861@gslingacademy.com</t>
  </si>
  <si>
    <t>rhonda.cook.1862@gslingacademy.com</t>
  </si>
  <si>
    <t>nathan.fitzpatrick.1863@gslingacademy.com</t>
  </si>
  <si>
    <t>john.mitchell.1864@gslingacademy.com</t>
  </si>
  <si>
    <t>billy.compton.1865@gslingacademy.com</t>
  </si>
  <si>
    <t>richard.chavez.1866@gslingacademy.com</t>
  </si>
  <si>
    <t>victor.andrade.1867@gslingacademy.com</t>
  </si>
  <si>
    <t>gregory.lee.1868@gslingacademy.com</t>
  </si>
  <si>
    <t>alexandra.blackburn.1869@gslingacademy.com</t>
  </si>
  <si>
    <t>kristopher.murray.1870@gslingacademy.com</t>
  </si>
  <si>
    <t>wanda.pearson.1871@gslingacademy.com</t>
  </si>
  <si>
    <t>denise.rose.1872@gslingacademy.com</t>
  </si>
  <si>
    <t>andrew.reed.1873@gslingacademy.com</t>
  </si>
  <si>
    <t>david.castro.1874@gslingacademy.com</t>
  </si>
  <si>
    <t>tim.duncan.1875@gslingacademy.com</t>
  </si>
  <si>
    <t>joshua.walker.1876@gslingacademy.com</t>
  </si>
  <si>
    <t>julie.rogers.1877@gslingacademy.com</t>
  </si>
  <si>
    <t>gina.gilbert.1878@gslingacademy.com</t>
  </si>
  <si>
    <t>miguel.nicholson.1879@gslingacademy.com</t>
  </si>
  <si>
    <t>daniel.murray.1880@gslingacademy.com</t>
  </si>
  <si>
    <t>lauren.ellis.1881@gslingacademy.com</t>
  </si>
  <si>
    <t>bridget.martin.1882@gslingacademy.com</t>
  </si>
  <si>
    <t>maureen.hart.1883@gslingacademy.com</t>
  </si>
  <si>
    <t>sabrina.davis.1884@gslingacademy.com</t>
  </si>
  <si>
    <t>richard.davis.1885@gslingacademy.com</t>
  </si>
  <si>
    <t>angela.koch.1886@gslingacademy.com</t>
  </si>
  <si>
    <t>william.smith.1887@gslingacademy.com</t>
  </si>
  <si>
    <t>catherine.coffey.1888@gslingacademy.com</t>
  </si>
  <si>
    <t>christopher.pace.1889@gslingacademy.com</t>
  </si>
  <si>
    <t>rachel.reeves.1890@gslingacademy.com</t>
  </si>
  <si>
    <t>jillian.arroyo.1891@gslingacademy.com</t>
  </si>
  <si>
    <t>patricia.douglas.1892@gslingacademy.com</t>
  </si>
  <si>
    <t>brandon.butler.1893@gslingacademy.com</t>
  </si>
  <si>
    <t>erica.valdez.1894@gslingacademy.com</t>
  </si>
  <si>
    <t>alexis.byrd.1895@gslingacademy.com</t>
  </si>
  <si>
    <t>james.simpson.1896@gslingacademy.com</t>
  </si>
  <si>
    <t>robert.campbell.1897@gslingacademy.com</t>
  </si>
  <si>
    <t>nicole.smith.1898@gslingacademy.com</t>
  </si>
  <si>
    <t>patricia.porter.1899@gslingacademy.com</t>
  </si>
  <si>
    <t>brian.chan.1900@gslingacademy.com</t>
  </si>
  <si>
    <t>katherine.norman.1901@gslingacademy.com</t>
  </si>
  <si>
    <t>pamela.gomez.1902@gslingacademy.com</t>
  </si>
  <si>
    <t>amy.morrow.1903@gslingacademy.com</t>
  </si>
  <si>
    <t>luke.hernandez.1904@gslingacademy.com</t>
  </si>
  <si>
    <t>roberto.rodriguez.1905@gslingacademy.com</t>
  </si>
  <si>
    <t>carla.jackson.1906@gslingacademy.com</t>
  </si>
  <si>
    <t>aaron.allen.1907@gslingacademy.com</t>
  </si>
  <si>
    <t>wendy.burch.1908@gslingacademy.com</t>
  </si>
  <si>
    <t>sarah.hansen.1909@gslingacademy.com</t>
  </si>
  <si>
    <t>amy.dominguez.1910@gslingacademy.com</t>
  </si>
  <si>
    <t>mark.jacobs.1911@gslingacademy.com</t>
  </si>
  <si>
    <t>melissa.mendoza.1912@gslingacademy.com</t>
  </si>
  <si>
    <t>bethany.thomas.1913@gslingacademy.com</t>
  </si>
  <si>
    <t>michael.webb.1914@gslingacademy.com</t>
  </si>
  <si>
    <t>gregory.cole.1915@gslingacademy.com</t>
  </si>
  <si>
    <t>jeffrey.miller.1916@gslingacademy.com</t>
  </si>
  <si>
    <t>rebecca.castillo.1917@gslingacademy.com</t>
  </si>
  <si>
    <t>amanda.green.1918@gslingacademy.com</t>
  </si>
  <si>
    <t>joseph.hess.1919@gslingacademy.com</t>
  </si>
  <si>
    <t>kyle.novak.1920@gslingacademy.com</t>
  </si>
  <si>
    <t>kara.coleman.1921@gslingacademy.com</t>
  </si>
  <si>
    <t>daniel.martin.1922@gslingacademy.com</t>
  </si>
  <si>
    <t>andrea.richards.1923@gslingacademy.com</t>
  </si>
  <si>
    <t>sydney.clay.1924@gslingacademy.com</t>
  </si>
  <si>
    <t>jeremy.tran.1925@gslingacademy.com</t>
  </si>
  <si>
    <t>michael.hayden.1926@gslingacademy.com</t>
  </si>
  <si>
    <t>antonio.beasley.1927@gslingacademy.com</t>
  </si>
  <si>
    <t>michelle.lopez.1928@gslingacademy.com</t>
  </si>
  <si>
    <t>catherine.brooks.1929@gslingacademy.com</t>
  </si>
  <si>
    <t>anita.gonzalez.1930@gslingacademy.com</t>
  </si>
  <si>
    <t>james.hudson.1931@gslingacademy.com</t>
  </si>
  <si>
    <t>alicia.rodriguez.1932@gslingacademy.com</t>
  </si>
  <si>
    <t>tracy.martinez.1933@gslingacademy.com</t>
  </si>
  <si>
    <t>christopher.montgomery.1934@gslingacademy.com</t>
  </si>
  <si>
    <t>sherri.cruz.1935@gslingacademy.com</t>
  </si>
  <si>
    <t>elizabeth.adams.1936@gslingacademy.com</t>
  </si>
  <si>
    <t>melissa.simmons.1937@gslingacademy.com</t>
  </si>
  <si>
    <t>carol.ramos.1938@gslingacademy.com</t>
  </si>
  <si>
    <t>michael.adams.1939@gslingacademy.com</t>
  </si>
  <si>
    <t>michael.wilson.1940@gslingacademy.com</t>
  </si>
  <si>
    <t>matthew.gonzalez.1941@gslingacademy.com</t>
  </si>
  <si>
    <t>lisa.palmer.1942@gslingacademy.com</t>
  </si>
  <si>
    <t>andrew.olson.1943@gslingacademy.com</t>
  </si>
  <si>
    <t>jennifer.johnson.1944@gslingacademy.com</t>
  </si>
  <si>
    <t>benjamin.marks.1945@gslingacademy.com</t>
  </si>
  <si>
    <t>christopher.gonzales.1946@gslingacademy.com</t>
  </si>
  <si>
    <t>melissa.finley.1947@gslingacademy.com</t>
  </si>
  <si>
    <t>tracy.hendricks.1948@gslingacademy.com</t>
  </si>
  <si>
    <t>steven.ramsey.1949@gslingacademy.com</t>
  </si>
  <si>
    <t>pamela.smith.1950@gslingacademy.com</t>
  </si>
  <si>
    <t>vicki.jackson.1951@gslingacademy.com</t>
  </si>
  <si>
    <t>anne.malone.1952@gslingacademy.com</t>
  </si>
  <si>
    <t>danielle.johnson.1953@gslingacademy.com</t>
  </si>
  <si>
    <t>willie.miller.1954@gslingacademy.com</t>
  </si>
  <si>
    <t>andrea.delgado.1955@gslingacademy.com</t>
  </si>
  <si>
    <t>melanie.clark.1956@gslingacademy.com</t>
  </si>
  <si>
    <t>jessica.beasley.1957@gslingacademy.com</t>
  </si>
  <si>
    <t>cindy.bradley.1958@gslingacademy.com</t>
  </si>
  <si>
    <t>dennis.richardson.1959@gslingacademy.com</t>
  </si>
  <si>
    <t>peggy.hoover.1960@gslingacademy.com</t>
  </si>
  <si>
    <t>peter.rice.1961@gslingacademy.com</t>
  </si>
  <si>
    <t>sabrina.perez.1962@gslingacademy.com</t>
  </si>
  <si>
    <t>michael.parker.1963@gslingacademy.com</t>
  </si>
  <si>
    <t>david.calderon.1964@gslingacademy.com</t>
  </si>
  <si>
    <t>james.gordon.1965@gslingacademy.com</t>
  </si>
  <si>
    <t>jennifer.leblanc.1966@gslingacademy.com</t>
  </si>
  <si>
    <t>paul.bailey.1967@gslingacademy.com</t>
  </si>
  <si>
    <t>tiffany.smith.1968@gslingacademy.com</t>
  </si>
  <si>
    <t>victoria.alvarez.1969@gslingacademy.com</t>
  </si>
  <si>
    <t>willie.elliott.1970@gslingacademy.com</t>
  </si>
  <si>
    <t>james.bryant.1971@gslingacademy.com</t>
  </si>
  <si>
    <t>kimberly.swanson.1972@gslingacademy.com</t>
  </si>
  <si>
    <t>beverly.dawson.1973@gslingacademy.com</t>
  </si>
  <si>
    <t>lisa.stewart.1974@gslingacademy.com</t>
  </si>
  <si>
    <t>dwayne.sims.1975@gslingacademy.com</t>
  </si>
  <si>
    <t>ashley.fleming.1976@gslingacademy.com</t>
  </si>
  <si>
    <t>lisa.stafford.1977@gslingacademy.com</t>
  </si>
  <si>
    <t>kristin.garcia.1978@gslingacademy.com</t>
  </si>
  <si>
    <t>eric.adkins.1979@gslingacademy.com</t>
  </si>
  <si>
    <t>allison.henderson.1980@gslingacademy.com</t>
  </si>
  <si>
    <t>alison.palmer.1981@gslingacademy.com</t>
  </si>
  <si>
    <t>shane.parker.1982@gslingacademy.com</t>
  </si>
  <si>
    <t>debra.gilbert.1983@gslingacademy.com</t>
  </si>
  <si>
    <t>mary.jackson.1984@gslingacademy.com</t>
  </si>
  <si>
    <t>joshua.stuart.1985@gslingacademy.com</t>
  </si>
  <si>
    <t>benjamin.williams.1986@gslingacademy.com</t>
  </si>
  <si>
    <t>david.frank.1987@gslingacademy.com</t>
  </si>
  <si>
    <t>holly.erickson.1988@gslingacademy.com</t>
  </si>
  <si>
    <t>charles.miller.1989@gslingacademy.com</t>
  </si>
  <si>
    <t>samuel.baker.1990@gslingacademy.com</t>
  </si>
  <si>
    <t>anthony.moore.1991@gslingacademy.com</t>
  </si>
  <si>
    <t>charlotte.rowe.1992@gslingacademy.com</t>
  </si>
  <si>
    <t>john.peterson.1993@gslingacademy.com</t>
  </si>
  <si>
    <t>shawn.ochoa.1994@gslingacademy.com</t>
  </si>
  <si>
    <t>steven.lewis.1995@gslingacademy.com</t>
  </si>
  <si>
    <t>alan.reynolds.1996@gslingacademy.com</t>
  </si>
  <si>
    <t>thomas.gilbert.1997@gslingacademy.com</t>
  </si>
  <si>
    <t>madison.cross.1998@gslingacademy.com</t>
  </si>
  <si>
    <t>brittany.compton.1999@gslingacademy.com</t>
  </si>
  <si>
    <t>natalie.smith.2000@gslingacademy.com</t>
  </si>
  <si>
    <t>Lawyer</t>
  </si>
  <si>
    <t>Doctor</t>
  </si>
  <si>
    <t>Government Officer</t>
  </si>
  <si>
    <t>Artist</t>
  </si>
  <si>
    <t>Unknown</t>
  </si>
  <si>
    <t>Software Engineer</t>
  </si>
  <si>
    <t>Teacher</t>
  </si>
  <si>
    <t>Business Owner</t>
  </si>
  <si>
    <t>Scientist</t>
  </si>
  <si>
    <t>Banker</t>
  </si>
  <si>
    <t>Writer</t>
  </si>
  <si>
    <t>Accountant</t>
  </si>
  <si>
    <t>Designer</t>
  </si>
  <si>
    <t>Construction Engineer</t>
  </si>
  <si>
    <t>Game Developer</t>
  </si>
  <si>
    <t>Stock Investor</t>
  </si>
  <si>
    <t>Real Estate Developer</t>
  </si>
  <si>
    <t>First Name</t>
  </si>
  <si>
    <t>Last Name</t>
  </si>
  <si>
    <t>Email</t>
  </si>
  <si>
    <t>Gender</t>
  </si>
  <si>
    <t>Part Time Job</t>
  </si>
  <si>
    <t>Absence Days</t>
  </si>
  <si>
    <t>Extracurricular Activities</t>
  </si>
  <si>
    <t>Self Study Hours</t>
  </si>
  <si>
    <t>Career Aspiration</t>
  </si>
  <si>
    <t>Math Score</t>
  </si>
  <si>
    <t>History Score</t>
  </si>
  <si>
    <t>Physics Score</t>
  </si>
  <si>
    <t>Chemistry Score</t>
  </si>
  <si>
    <t>Biology Score</t>
  </si>
  <si>
    <t>English Score</t>
  </si>
  <si>
    <t>Geography Score</t>
  </si>
  <si>
    <t>ID</t>
  </si>
  <si>
    <t>Column Name</t>
  </si>
  <si>
    <t>DataType</t>
  </si>
  <si>
    <t>Value</t>
  </si>
  <si>
    <t>Description</t>
  </si>
  <si>
    <t>Number</t>
  </si>
  <si>
    <t>Text</t>
  </si>
  <si>
    <t>Logic (TRUE/FALSE)</t>
  </si>
  <si>
    <t>Array</t>
  </si>
  <si>
    <t>Full Name</t>
  </si>
  <si>
    <t>Math Grade</t>
  </si>
  <si>
    <t>History Grade</t>
  </si>
  <si>
    <t>Physics Grade</t>
  </si>
  <si>
    <t>Biology Grade</t>
  </si>
  <si>
    <t>English Grade</t>
  </si>
  <si>
    <t>Geography Grade</t>
  </si>
  <si>
    <t>Chemistry Grade</t>
  </si>
  <si>
    <t>Total Score</t>
  </si>
  <si>
    <t>Average Score</t>
  </si>
  <si>
    <t>Overall Grade</t>
  </si>
  <si>
    <t>Ranking</t>
  </si>
  <si>
    <t>Overall 
Grade</t>
  </si>
  <si>
    <t>Average 
Score</t>
  </si>
  <si>
    <t>Total 
Score</t>
  </si>
  <si>
    <t>First 
Name</t>
  </si>
  <si>
    <t>Last 
Name</t>
  </si>
  <si>
    <t>Full 
Name</t>
  </si>
  <si>
    <t>Part Time 
Job</t>
  </si>
  <si>
    <t>Absence 
Days</t>
  </si>
  <si>
    <t>Extracurricular 
Activities</t>
  </si>
  <si>
    <t>Self Study 
Hours</t>
  </si>
  <si>
    <t>Career 
Aspiration</t>
  </si>
  <si>
    <t>Math 
Score</t>
  </si>
  <si>
    <t>Math 
Grade</t>
  </si>
  <si>
    <t>History 
Score</t>
  </si>
  <si>
    <t>History 
Grade</t>
  </si>
  <si>
    <t>Physics 
Score</t>
  </si>
  <si>
    <t>Physics 
Grade</t>
  </si>
  <si>
    <t>Chemistry 
Score</t>
  </si>
  <si>
    <t>Chemistry 
Grade</t>
  </si>
  <si>
    <t>Biology 
Score</t>
  </si>
  <si>
    <t>Biology 
Grade</t>
  </si>
  <si>
    <t>English 
Score</t>
  </si>
  <si>
    <t>English 
Grade</t>
  </si>
  <si>
    <t>Geography 
Score</t>
  </si>
  <si>
    <t>Geography 
Grade</t>
  </si>
  <si>
    <t xml:space="preserve">Attendance 
Performance </t>
  </si>
  <si>
    <t>Data Type (After Create New Column)</t>
  </si>
  <si>
    <t>Data Type</t>
  </si>
  <si>
    <t xml:space="preserve">Attendance Performance </t>
  </si>
  <si>
    <t>Grand Total</t>
  </si>
  <si>
    <t>Row Labels</t>
  </si>
  <si>
    <t>Count of Gender</t>
  </si>
  <si>
    <t>B+</t>
  </si>
  <si>
    <t>A</t>
  </si>
  <si>
    <t>A+</t>
  </si>
  <si>
    <t>B-</t>
  </si>
  <si>
    <t>B</t>
  </si>
  <si>
    <t>A-</t>
  </si>
  <si>
    <t>C</t>
  </si>
  <si>
    <t>Nicholas Clayton</t>
  </si>
  <si>
    <t>Scott Weaver</t>
  </si>
  <si>
    <t>Paul Shaffer</t>
  </si>
  <si>
    <t>Todd Howard</t>
  </si>
  <si>
    <t>Daniel Lewis</t>
  </si>
  <si>
    <t>Lance Nelson</t>
  </si>
  <si>
    <t>Count of Student</t>
  </si>
  <si>
    <t xml:space="preserve">Average of History </t>
  </si>
  <si>
    <t xml:space="preserve">Average of Physics </t>
  </si>
  <si>
    <t xml:space="preserve">Average of Chemistry </t>
  </si>
  <si>
    <t xml:space="preserve">Average of Math </t>
  </si>
  <si>
    <t xml:space="preserve">Average of Biology </t>
  </si>
  <si>
    <t xml:space="preserve">Average of English </t>
  </si>
  <si>
    <t xml:space="preserve">Average of Geography </t>
  </si>
  <si>
    <t xml:space="preserve">Average of Average </t>
  </si>
  <si>
    <t>Kelly Morris</t>
  </si>
  <si>
    <t>Lisa Mitchell</t>
  </si>
  <si>
    <t>Mary Arnold</t>
  </si>
  <si>
    <t>Paula Hernandez</t>
  </si>
  <si>
    <t xml:space="preserve">Gender Distribution </t>
  </si>
  <si>
    <t>Profile Distributon</t>
  </si>
  <si>
    <t xml:space="preserve">Career Aspiration  </t>
  </si>
  <si>
    <t>Count of Career 
Aspiration</t>
  </si>
  <si>
    <t>Academic Performance</t>
  </si>
  <si>
    <t xml:space="preserve">Overall Grade Distribution </t>
  </si>
  <si>
    <t>Top 10 Student</t>
  </si>
  <si>
    <t>Top 10 Ranking</t>
  </si>
  <si>
    <t xml:space="preserve">Subject Performance </t>
  </si>
  <si>
    <t>Name</t>
  </si>
  <si>
    <t>Behavior Analysis</t>
  </si>
  <si>
    <t>Part-time Job Distribution</t>
  </si>
  <si>
    <t>Count of ID</t>
  </si>
  <si>
    <t>Excellent</t>
  </si>
  <si>
    <t>Good</t>
  </si>
  <si>
    <t>Poor</t>
  </si>
  <si>
    <t>Attendance Performance</t>
  </si>
  <si>
    <t>Extracurricular Activities Distribution</t>
  </si>
  <si>
    <t>Count of Part Time 
Job</t>
  </si>
  <si>
    <t>Count of Extracurricular 
Activities</t>
  </si>
  <si>
    <t>Male</t>
  </si>
  <si>
    <t>Female</t>
  </si>
  <si>
    <t>False</t>
  </si>
  <si>
    <t>True</t>
  </si>
  <si>
    <t>Missing Value Checking</t>
  </si>
  <si>
    <t>Total Number of Missing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</si>
</sst>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Calibri"/>
      <family val="2"/>
      <scheme val="minor"/>
    </font>
    <font>
      <b/>
      <sz val="12"/>
      <color theme="1"/>
      <name val="Calibri"/>
      <family val="2"/>
      <scheme val="minor"/>
    </font>
    <font>
      <sz val="8"/>
      <name val="Calibri"/>
      <family val="2"/>
      <scheme val="minor"/>
    </font>
    <font>
      <sz val="12"/>
      <color theme="1"/>
      <name val="Calibri"/>
      <family val="2"/>
      <scheme val="minor"/>
    </font>
    <font>
      <b/>
      <sz val="14"/>
      <color theme="1"/>
      <name val="Calibri"/>
      <family val="2"/>
      <scheme val="minor"/>
    </font>
    <font>
      <b/>
      <sz val="16"/>
      <color theme="1"/>
      <name val="Calibri"/>
      <family val="2"/>
      <scheme val="minor"/>
    </font>
    <font>
      <b/>
      <u/>
      <sz val="16"/>
      <color theme="1"/>
      <name val="Calibri"/>
      <family val="2"/>
      <scheme val="minor"/>
    </font>
    <font>
      <b/>
      <sz val="20"/>
      <color rgb="FF006D77"/>
      <name val="Calibri"/>
      <family val="2"/>
      <scheme val="minor"/>
    </font>
    <font>
      <b/>
      <sz val="20"/>
      <color rgb="FF006D77"/>
      <name val="Inter Display Black"/>
    </font>
    <font>
      <b/>
      <sz val="18"/>
      <color rgb="FF036666"/>
      <name val="Inter Display Black"/>
    </font>
    <font>
      <b/>
      <u/>
      <sz val="18"/>
      <color rgb="FF036666"/>
      <name val="Inter Display Black"/>
    </font>
    <font>
      <b/>
      <u/>
      <sz val="18"/>
      <color rgb="FF036666"/>
      <name val="Calibri"/>
      <family val="2"/>
      <scheme val="minor"/>
    </font>
    <font>
      <b/>
      <sz val="20"/>
      <color rgb="FF036666"/>
      <name val="Inter Display Black"/>
    </font>
    <font>
      <u/>
      <sz val="18"/>
      <color rgb="FF006D77"/>
      <name val="Inter Display Black"/>
    </font>
    <font>
      <u/>
      <sz val="18"/>
      <color rgb="FF006D77"/>
      <name val="Calibri"/>
      <family val="2"/>
      <scheme val="minor"/>
    </font>
    <font>
      <b/>
      <sz val="12"/>
      <color rgb="FFEDF6F9"/>
      <name val="Inter Display Black"/>
    </font>
    <font>
      <b/>
      <sz val="14"/>
      <color rgb="FF036666"/>
      <name val="Inter"/>
    </font>
    <font>
      <sz val="11"/>
      <color rgb="FFEBF2FA"/>
      <name val="Calibri"/>
      <family val="2"/>
      <scheme val="minor"/>
    </font>
  </fonts>
  <fills count="5">
    <fill>
      <patternFill patternType="none"/>
    </fill>
    <fill>
      <patternFill patternType="gray125"/>
    </fill>
    <fill>
      <patternFill patternType="solid">
        <fgColor rgb="FF036666"/>
        <bgColor indexed="64"/>
      </patternFill>
    </fill>
    <fill>
      <patternFill patternType="solid">
        <fgColor rgb="FFEBF2FA"/>
        <bgColor indexed="64"/>
      </patternFill>
    </fill>
    <fill>
      <patternFill patternType="solid">
        <fgColor theme="4" tint="0.79998168889431442"/>
        <bgColor indexed="64"/>
      </patternFill>
    </fill>
  </fills>
  <borders count="10">
    <border>
      <left/>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54">
    <xf numFmtId="0" fontId="0" fillId="0" borderId="0" xfId="0"/>
    <xf numFmtId="0" fontId="1" fillId="0" borderId="0" xfId="0" applyFont="1"/>
    <xf numFmtId="49" fontId="0" fillId="0" borderId="0" xfId="0" applyNumberFormat="1"/>
    <xf numFmtId="2"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1" fillId="0" borderId="3" xfId="0" applyFont="1" applyBorder="1"/>
    <xf numFmtId="0" fontId="1" fillId="0" borderId="5" xfId="0" applyFont="1" applyBorder="1"/>
    <xf numFmtId="0" fontId="0" fillId="0" borderId="0" xfId="0" applyAlignment="1">
      <alignment horizontal="left" vertical="center"/>
    </xf>
    <xf numFmtId="0" fontId="0" fillId="0" borderId="0" xfId="0" applyAlignment="1">
      <alignment horizontal="left"/>
    </xf>
    <xf numFmtId="0" fontId="1" fillId="0" borderId="0" xfId="0" applyFont="1" applyAlignment="1">
      <alignment wrapText="1"/>
    </xf>
    <xf numFmtId="49" fontId="1" fillId="0" borderId="0" xfId="0" applyNumberFormat="1" applyFont="1" applyAlignment="1">
      <alignment wrapText="1"/>
    </xf>
    <xf numFmtId="2" fontId="1" fillId="0" borderId="0" xfId="0" applyNumberFormat="1" applyFont="1" applyAlignment="1">
      <alignment wrapText="1"/>
    </xf>
    <xf numFmtId="0" fontId="1" fillId="0" borderId="0" xfId="0" applyFont="1" applyAlignment="1">
      <alignment horizontal="left" wrapText="1"/>
    </xf>
    <xf numFmtId="0" fontId="3" fillId="0" borderId="0" xfId="0" applyFont="1" applyAlignment="1">
      <alignment wrapText="1"/>
    </xf>
    <xf numFmtId="0" fontId="3" fillId="0" borderId="1" xfId="0" applyFont="1" applyBorder="1"/>
    <xf numFmtId="0" fontId="3" fillId="0" borderId="2" xfId="0" applyFont="1" applyBorder="1"/>
    <xf numFmtId="0" fontId="1" fillId="0" borderId="1" xfId="0" applyFont="1" applyBorder="1"/>
    <xf numFmtId="0" fontId="1" fillId="0" borderId="2" xfId="0" applyFont="1" applyBorder="1"/>
    <xf numFmtId="0" fontId="1" fillId="0" borderId="4" xfId="0" applyFont="1" applyBorder="1"/>
    <xf numFmtId="0" fontId="1" fillId="0" borderId="6" xfId="0" applyFont="1" applyBorder="1"/>
    <xf numFmtId="0" fontId="0" fillId="0" borderId="0" xfId="0" pivotButton="1"/>
    <xf numFmtId="0" fontId="6" fillId="0" borderId="0" xfId="0" applyFont="1" applyAlignment="1">
      <alignment vertical="top"/>
    </xf>
    <xf numFmtId="0" fontId="5" fillId="0" borderId="0" xfId="0" applyFont="1" applyAlignment="1">
      <alignment horizontal="center" vertical="center"/>
    </xf>
    <xf numFmtId="1" fontId="0" fillId="0" borderId="0" xfId="0" applyNumberFormat="1"/>
    <xf numFmtId="10" fontId="0" fillId="0" borderId="0" xfId="0" applyNumberFormat="1"/>
    <xf numFmtId="0" fontId="3" fillId="0" borderId="0" xfId="0" applyFont="1"/>
    <xf numFmtId="0" fontId="0" fillId="2" borderId="0" xfId="0" applyFill="1"/>
    <xf numFmtId="0" fontId="17" fillId="0" borderId="0" xfId="0" applyFont="1"/>
    <xf numFmtId="0" fontId="8" fillId="0" borderId="0" xfId="0" applyFont="1"/>
    <xf numFmtId="0" fontId="1" fillId="0" borderId="7" xfId="0" applyFont="1" applyBorder="1"/>
    <xf numFmtId="0" fontId="3" fillId="0" borderId="7" xfId="0" applyFont="1" applyBorder="1"/>
    <xf numFmtId="0" fontId="9" fillId="0" borderId="0" xfId="0" applyFont="1" applyAlignment="1">
      <alignment horizontal="left" vertical="top"/>
    </xf>
    <xf numFmtId="0" fontId="8" fillId="3" borderId="0" xfId="0" applyFont="1" applyFill="1" applyAlignment="1">
      <alignment horizontal="center" vertical="center"/>
    </xf>
    <xf numFmtId="0" fontId="7" fillId="3" borderId="0" xfId="0" applyFont="1" applyFill="1" applyAlignment="1">
      <alignment horizontal="center" vertical="center"/>
    </xf>
    <xf numFmtId="2" fontId="16" fillId="3" borderId="8" xfId="0" applyNumberFormat="1" applyFont="1" applyFill="1" applyBorder="1" applyAlignment="1">
      <alignment horizontal="center" vertical="center"/>
    </xf>
    <xf numFmtId="0" fontId="16" fillId="3" borderId="9" xfId="0" applyFont="1" applyFill="1" applyBorder="1" applyAlignment="1">
      <alignment horizontal="center" vertical="center"/>
    </xf>
    <xf numFmtId="1" fontId="16" fillId="3" borderId="8" xfId="0" applyNumberFormat="1" applyFont="1" applyFill="1" applyBorder="1" applyAlignment="1">
      <alignment horizontal="center" vertical="center"/>
    </xf>
    <xf numFmtId="1" fontId="16" fillId="3" borderId="9" xfId="0" applyNumberFormat="1" applyFont="1" applyFill="1" applyBorder="1" applyAlignment="1">
      <alignment horizontal="center" vertical="center"/>
    </xf>
    <xf numFmtId="0" fontId="16" fillId="3" borderId="7" xfId="0" applyFont="1" applyFill="1" applyBorder="1" applyAlignment="1">
      <alignment horizontal="left" vertical="center"/>
    </xf>
    <xf numFmtId="0" fontId="13" fillId="0" borderId="0" xfId="0" applyFont="1" applyAlignment="1">
      <alignment horizontal="left" vertical="top"/>
    </xf>
    <xf numFmtId="0" fontId="14" fillId="0" borderId="0" xfId="0" applyFont="1" applyAlignment="1">
      <alignment horizontal="left" vertical="top"/>
    </xf>
    <xf numFmtId="0" fontId="10" fillId="0" borderId="0" xfId="0" applyFont="1" applyAlignment="1">
      <alignment horizontal="left" vertical="top"/>
    </xf>
    <xf numFmtId="0" fontId="11" fillId="0" borderId="0" xfId="0" applyFont="1" applyAlignment="1">
      <alignment horizontal="left" vertical="top"/>
    </xf>
    <xf numFmtId="0" fontId="15" fillId="2" borderId="7" xfId="0" applyFont="1" applyFill="1" applyBorder="1" applyAlignment="1">
      <alignment horizontal="center" vertical="center"/>
    </xf>
    <xf numFmtId="0" fontId="12" fillId="3" borderId="0" xfId="0" applyFont="1" applyFill="1" applyAlignment="1">
      <alignment horizontal="center" vertical="center"/>
    </xf>
    <xf numFmtId="0" fontId="4" fillId="0" borderId="7" xfId="0" applyFont="1" applyBorder="1" applyAlignment="1">
      <alignment horizontal="center"/>
    </xf>
    <xf numFmtId="0" fontId="1" fillId="0" borderId="7" xfId="0" applyFont="1" applyBorder="1" applyAlignment="1">
      <alignment horizontal="center"/>
    </xf>
    <xf numFmtId="0" fontId="1" fillId="4" borderId="7" xfId="0" applyFont="1" applyFill="1" applyBorder="1" applyAlignment="1">
      <alignment horizontal="center"/>
    </xf>
    <xf numFmtId="0" fontId="0" fillId="0" borderId="0" xfId="0" applyNumberFormat="1"/>
  </cellXfs>
  <cellStyles count="1">
    <cellStyle name="Normal" xfId="0" builtinId="0"/>
  </cellStyles>
  <dxfs count="6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strike val="0"/>
        <outline val="0"/>
        <shadow val="0"/>
        <u val="none"/>
        <vertAlign val="baseline"/>
        <sz val="12"/>
        <color theme="1"/>
        <name val="Calibri"/>
        <family val="2"/>
        <scheme val="minor"/>
      </font>
      <border diagonalUp="0" diagonalDown="0" outline="0">
        <left style="thin">
          <color indexed="64"/>
        </left>
        <right style="thin">
          <color indexed="64"/>
        </right>
        <top/>
        <bottom/>
      </border>
    </dxf>
    <dxf>
      <numFmt numFmtId="0" formatCode="General"/>
      <border diagonalUp="0" diagonalDown="0">
        <left style="thin">
          <color indexed="64"/>
        </left>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2"/>
        <color theme="1"/>
        <name val="Calibri"/>
        <family val="2"/>
        <scheme val="minor"/>
      </font>
      <fill>
        <patternFill patternType="none">
          <fgColor indexed="64"/>
          <bgColor indexed="65"/>
        </patternFill>
      </fill>
      <alignment horizontal="general" vertical="bottom" textRotation="0" wrapText="1"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strike val="0"/>
        <outline val="0"/>
        <shadow val="0"/>
        <u val="none"/>
        <vertAlign val="baseline"/>
        <sz val="12"/>
        <color theme="1"/>
        <name val="Calibri"/>
        <family val="2"/>
        <scheme val="minor"/>
      </font>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font>
        <b/>
        <strike val="0"/>
        <outline val="0"/>
        <shadow val="0"/>
        <u val="none"/>
        <vertAlign val="baseline"/>
        <sz val="12"/>
        <color theme="1"/>
        <name val="Calibri"/>
        <family val="2"/>
        <scheme val="minor"/>
      </font>
      <numFmt numFmtId="0" formatCode="General"/>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2"/>
        <color theme="1"/>
        <name val="Calibri"/>
        <family val="2"/>
        <scheme val="minor"/>
      </font>
      <fill>
        <patternFill patternType="none">
          <fgColor indexed="64"/>
          <bgColor indexed="65"/>
        </patternFill>
      </fill>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b/>
        <strike val="0"/>
        <outline val="0"/>
        <shadow val="0"/>
        <u val="none"/>
        <vertAlign val="baseline"/>
        <sz val="12"/>
        <color theme="1"/>
        <name val="Calibri"/>
        <family val="2"/>
        <scheme val="minor"/>
      </font>
    </dxf>
    <dxf>
      <border>
        <bottom style="thin">
          <color indexed="64"/>
        </bottom>
      </border>
    </dxf>
    <dxf>
      <font>
        <b/>
        <strike val="0"/>
        <outline val="0"/>
        <shadow val="0"/>
        <u val="none"/>
        <vertAlign val="baseline"/>
        <sz val="12"/>
        <color theme="1"/>
        <name val="Calibri"/>
        <family val="2"/>
        <scheme val="minor"/>
      </font>
      <border diagonalUp="0" diagonalDown="0" outline="0">
        <left style="thin">
          <color indexed="64"/>
        </left>
        <right style="thin">
          <color indexed="64"/>
        </right>
        <top/>
        <bottom/>
      </border>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14" formatCode="0.00%"/>
    </dxf>
    <dxf>
      <numFmt numFmtId="1" formatCode="0"/>
    </dxf>
    <dxf>
      <numFmt numFmtId="1" formatCode="0"/>
    </dxf>
    <dxf>
      <numFmt numFmtId="1" formatCode="0"/>
    </dxf>
    <dxf>
      <numFmt numFmtId="164" formatCode="0.0"/>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center" textRotation="0" wrapText="0" indent="0" justifyLastLine="0" shrinkToFit="0" readingOrder="0"/>
    </dxf>
    <dxf>
      <alignment horizontal="left" vertical="bottom" textRotation="0" wrapText="0" indent="0" justifyLastLine="0" shrinkToFit="0" readingOrder="0"/>
    </dxf>
    <dxf>
      <numFmt numFmtId="2" formatCode="0.00"/>
    </dxf>
    <dxf>
      <alignment horizontal="left" vertical="bottom" textRotation="0" wrapText="0" indent="0" justifyLastLine="0" shrinkToFit="0" readingOrder="0"/>
    </dxf>
    <dxf>
      <numFmt numFmtId="0" formatCode="General"/>
    </dxf>
    <dxf>
      <numFmt numFmtId="30" formatCode="@"/>
    </dxf>
    <dxf>
      <font>
        <b/>
        <i val="0"/>
        <strike val="0"/>
        <condense val="0"/>
        <extend val="0"/>
        <outline val="0"/>
        <shadow val="0"/>
        <u val="none"/>
        <vertAlign val="baseline"/>
        <sz val="12"/>
        <color theme="1"/>
        <name val="Calibri"/>
        <family val="2"/>
        <scheme val="minor"/>
      </font>
    </dxf>
    <dxf>
      <font>
        <b/>
        <i val="0"/>
        <u val="none"/>
        <sz val="11"/>
        <color rgb="FF54867B"/>
        <name val="Inter"/>
      </font>
      <fill>
        <gradientFill>
          <stop position="0">
            <color rgb="FFBFD8BD"/>
          </stop>
          <stop position="1">
            <color rgb="FFEBFDCA"/>
          </stop>
        </gradientFill>
      </fill>
    </dxf>
  </dxfs>
  <tableStyles count="1" defaultTableStyle="TableStyleMedium9" defaultPivotStyle="PivotStyleLight16">
    <tableStyle name="Slicer Style 1" pivot="0" table="0" count="1" xr9:uid="{57BE7BCF-8D27-4C79-96A0-83E0C91A3D7A}">
      <tableStyleElement type="wholeTable" dxfId="61"/>
    </tableStyle>
  </tableStyles>
  <colors>
    <mruColors>
      <color rgb="FFFABEBD"/>
      <color rgb="FF54867B"/>
      <color rgb="FFFFF8C1"/>
      <color rgb="FFBFD8BD"/>
      <color rgb="FF77BFA3"/>
      <color rgb="FFEBFDCA"/>
      <color rgb="FFC9E7A9"/>
      <color rgb="FFF8E89E"/>
      <color rgb="FFFFD5B7"/>
      <color rgb="FFEDEEC9"/>
    </mruColors>
  </colors>
  <extLst>
    <ext xmlns:x14="http://schemas.microsoft.com/office/spreadsheetml/2009/9/main" uri="{EB79DEF2-80B8-43e5-95BD-54CBDDF9020C}">
      <x14:slicerStyles defaultSlicerStyle="SlicerStyleLight4">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[student-scores (1).xlsx]Pivot Table!PivotTable1</c:name>
    <c:fmtId val="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036666"/>
                  </a:solidFill>
                  <a:latin typeface="Inter" panose="02000503000000020004" pitchFamily="2"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7F5F"/>
          </a:solidFill>
          <a:ln w="19050">
            <a:solidFill>
              <a:schemeClr val="lt1"/>
            </a:solidFill>
          </a:ln>
          <a:effectLst/>
        </c:spPr>
      </c:pivotFmt>
      <c:pivotFmt>
        <c:idx val="3"/>
        <c:spPr>
          <a:solidFill>
            <a:srgbClr val="AACC00"/>
          </a:solidFill>
          <a:ln w="19050">
            <a:solidFill>
              <a:schemeClr val="lt1"/>
            </a:solidFill>
          </a:ln>
          <a:effectLst/>
        </c:spPr>
      </c:pivotFmt>
    </c:pivotFmts>
    <c:plotArea>
      <c:layout>
        <c:manualLayout>
          <c:layoutTarget val="inner"/>
          <c:xMode val="edge"/>
          <c:yMode val="edge"/>
          <c:x val="0.1731321947766043"/>
          <c:y val="0.11942332620415266"/>
          <c:w val="0.55534882151271936"/>
          <c:h val="0.79168522787582529"/>
        </c:manualLayout>
      </c:layout>
      <c:pieChart>
        <c:varyColors val="1"/>
        <c:ser>
          <c:idx val="0"/>
          <c:order val="0"/>
          <c:tx>
            <c:strRef>
              <c:f>'Pivot Table'!$C$3</c:f>
              <c:strCache>
                <c:ptCount val="1"/>
                <c:pt idx="0">
                  <c:v>Total</c:v>
                </c:pt>
              </c:strCache>
            </c:strRef>
          </c:tx>
          <c:dPt>
            <c:idx val="0"/>
            <c:bubble3D val="0"/>
            <c:explosion val="2"/>
            <c:spPr>
              <a:solidFill>
                <a:srgbClr val="007F5F"/>
              </a:solidFill>
              <a:ln w="19050">
                <a:solidFill>
                  <a:schemeClr val="lt1"/>
                </a:solidFill>
              </a:ln>
              <a:effectLst/>
            </c:spPr>
            <c:extLst>
              <c:ext xmlns:c16="http://schemas.microsoft.com/office/drawing/2014/chart" uri="{C3380CC4-5D6E-409C-BE32-E72D297353CC}">
                <c16:uniqueId val="{00000001-9D9F-4C9C-BFF5-98F42FBACE10}"/>
              </c:ext>
            </c:extLst>
          </c:dPt>
          <c:dPt>
            <c:idx val="1"/>
            <c:bubble3D val="0"/>
            <c:spPr>
              <a:solidFill>
                <a:srgbClr val="AACC00"/>
              </a:solidFill>
              <a:ln w="19050">
                <a:solidFill>
                  <a:schemeClr val="lt1"/>
                </a:solidFill>
              </a:ln>
              <a:effectLst/>
            </c:spPr>
            <c:extLst>
              <c:ext xmlns:c16="http://schemas.microsoft.com/office/drawing/2014/chart" uri="{C3380CC4-5D6E-409C-BE32-E72D297353CC}">
                <c16:uniqueId val="{00000003-9D9F-4C9C-BFF5-98F42FBACE10}"/>
              </c:ext>
            </c:extLst>
          </c:dPt>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036666"/>
                    </a:solidFill>
                    <a:latin typeface="Inter" panose="02000503000000020004" pitchFamily="2" charset="0"/>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Table'!$B$4:$B$6</c:f>
              <c:strCache>
                <c:ptCount val="2"/>
                <c:pt idx="0">
                  <c:v>Female</c:v>
                </c:pt>
                <c:pt idx="1">
                  <c:v>Male</c:v>
                </c:pt>
              </c:strCache>
            </c:strRef>
          </c:cat>
          <c:val>
            <c:numRef>
              <c:f>'Pivot Table'!$C$4:$C$6</c:f>
              <c:numCache>
                <c:formatCode>General</c:formatCode>
                <c:ptCount val="2"/>
                <c:pt idx="0">
                  <c:v>1002</c:v>
                </c:pt>
                <c:pt idx="1">
                  <c:v>998</c:v>
                </c:pt>
              </c:numCache>
            </c:numRef>
          </c:val>
          <c:extLst>
            <c:ext xmlns:c16="http://schemas.microsoft.com/office/drawing/2014/chart" uri="{C3380CC4-5D6E-409C-BE32-E72D297353CC}">
              <c16:uniqueId val="{00000004-9D9F-4C9C-BFF5-98F42FBACE10}"/>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82118457634437814"/>
          <c:y val="0.36293466191112639"/>
          <c:w val="0.14184290074187647"/>
          <c:h val="0.2446279481433414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Inter" panose="02000503000000020004" pitchFamily="2"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[student-scores (1).xlsx]Pivot Table!PivotTable4</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0" cmpd="thickThin">
            <a:solidFill>
              <a:schemeClr val="accent1"/>
            </a:solidFill>
          </a:ln>
          <a:effectLst>
            <a:glow>
              <a:schemeClr val="accent1">
                <a:alpha val="60000"/>
              </a:schemeClr>
            </a:glow>
            <a:outerShdw blurRad="50800" dist="50800" dir="5400000" sx="1000" sy="1000" algn="ctr" rotWithShape="0">
              <a:srgbClr val="000000">
                <a:alpha val="43137"/>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7F5F"/>
          </a:solidFill>
          <a:ln w="0" cmpd="thickThin">
            <a:solidFill>
              <a:schemeClr val="accent1"/>
            </a:solidFill>
          </a:ln>
          <a:effectLst>
            <a:glow>
              <a:schemeClr val="accent1">
                <a:alpha val="60000"/>
              </a:schemeClr>
            </a:glow>
            <a:outerShdw blurRad="50800" dist="50800" dir="5400000" sx="1000" sy="1000" algn="ctr" rotWithShape="0">
              <a:srgbClr val="000000">
                <a:alpha val="43137"/>
              </a:srgbClr>
            </a:outerShdw>
          </a:effectLst>
        </c:spPr>
      </c:pivotFmt>
      <c:pivotFmt>
        <c:idx val="3"/>
        <c:spPr>
          <a:solidFill>
            <a:srgbClr val="007F5F"/>
          </a:solidFill>
          <a:ln w="0" cmpd="thickThin">
            <a:solidFill>
              <a:schemeClr val="accent1"/>
            </a:solidFill>
          </a:ln>
          <a:effectLst>
            <a:glow>
              <a:schemeClr val="accent1">
                <a:alpha val="60000"/>
              </a:schemeClr>
            </a:glow>
            <a:outerShdw blurRad="50800" dist="50800" dir="5400000" sx="1000" sy="1000" algn="ctr" rotWithShape="0">
              <a:srgbClr val="000000">
                <a:alpha val="43137"/>
              </a:srgbClr>
            </a:outerShdw>
          </a:effectLst>
        </c:spPr>
      </c:pivotFmt>
      <c:pivotFmt>
        <c:idx val="4"/>
        <c:spPr>
          <a:solidFill>
            <a:srgbClr val="007F5F"/>
          </a:solidFill>
          <a:ln w="0" cmpd="thickThin">
            <a:solidFill>
              <a:schemeClr val="accent1"/>
            </a:solidFill>
          </a:ln>
          <a:effectLst>
            <a:glow>
              <a:schemeClr val="accent1">
                <a:alpha val="60000"/>
              </a:schemeClr>
            </a:glow>
            <a:outerShdw blurRad="50800" dist="50800" dir="5400000" sx="1000" sy="1000" algn="ctr" rotWithShape="0">
              <a:srgbClr val="000000">
                <a:alpha val="43137"/>
              </a:srgbClr>
            </a:outerShdw>
          </a:effectLst>
        </c:spPr>
      </c:pivotFmt>
      <c:pivotFmt>
        <c:idx val="5"/>
        <c:spPr>
          <a:solidFill>
            <a:srgbClr val="55A630"/>
          </a:solidFill>
          <a:ln w="0" cmpd="thickThin">
            <a:solidFill>
              <a:schemeClr val="accent1"/>
            </a:solidFill>
          </a:ln>
          <a:effectLst>
            <a:glow>
              <a:schemeClr val="accent1">
                <a:alpha val="60000"/>
              </a:schemeClr>
            </a:glow>
            <a:outerShdw blurRad="50800" dist="50800" dir="5400000" sx="1000" sy="1000" algn="ctr" rotWithShape="0">
              <a:srgbClr val="000000">
                <a:alpha val="43137"/>
              </a:srgbClr>
            </a:outerShdw>
          </a:effectLst>
        </c:spPr>
      </c:pivotFmt>
      <c:pivotFmt>
        <c:idx val="6"/>
        <c:spPr>
          <a:solidFill>
            <a:srgbClr val="55A630"/>
          </a:solidFill>
          <a:ln w="0" cmpd="thickThin">
            <a:solidFill>
              <a:schemeClr val="accent1"/>
            </a:solidFill>
          </a:ln>
          <a:effectLst>
            <a:glow>
              <a:schemeClr val="accent1">
                <a:alpha val="60000"/>
              </a:schemeClr>
            </a:glow>
            <a:outerShdw blurRad="50800" dist="50800" dir="5400000" sx="1000" sy="1000" algn="ctr" rotWithShape="0">
              <a:srgbClr val="000000">
                <a:alpha val="43137"/>
              </a:srgbClr>
            </a:outerShdw>
          </a:effectLst>
        </c:spPr>
      </c:pivotFmt>
      <c:pivotFmt>
        <c:idx val="7"/>
        <c:spPr>
          <a:solidFill>
            <a:srgbClr val="55A630"/>
          </a:solidFill>
          <a:ln w="0" cmpd="thickThin">
            <a:solidFill>
              <a:schemeClr val="accent1"/>
            </a:solidFill>
          </a:ln>
          <a:effectLst>
            <a:glow>
              <a:schemeClr val="accent1">
                <a:alpha val="60000"/>
              </a:schemeClr>
            </a:glow>
            <a:outerShdw blurRad="50800" dist="50800" dir="5400000" sx="1000" sy="1000" algn="ctr" rotWithShape="0">
              <a:srgbClr val="000000">
                <a:alpha val="43137"/>
              </a:srgbClr>
            </a:outerShdw>
          </a:effectLst>
        </c:spPr>
      </c:pivotFmt>
      <c:pivotFmt>
        <c:idx val="8"/>
        <c:spPr>
          <a:solidFill>
            <a:srgbClr val="AACC00"/>
          </a:solidFill>
          <a:ln w="0" cmpd="thickThin">
            <a:solidFill>
              <a:schemeClr val="accent1"/>
            </a:solidFill>
          </a:ln>
          <a:effectLst>
            <a:glow>
              <a:schemeClr val="accent1">
                <a:alpha val="60000"/>
              </a:schemeClr>
            </a:glow>
            <a:outerShdw blurRad="50800" dist="50800" dir="5400000" sx="1000" sy="1000" algn="ctr" rotWithShape="0">
              <a:srgbClr val="000000">
                <a:alpha val="43137"/>
              </a:srgbClr>
            </a:outerShdw>
          </a:effectLst>
        </c:spPr>
      </c:pivotFmt>
      <c:pivotFmt>
        <c:idx val="9"/>
        <c:spPr>
          <a:solidFill>
            <a:srgbClr val="AACC00"/>
          </a:solidFill>
          <a:ln w="0" cmpd="thickThin">
            <a:solidFill>
              <a:schemeClr val="accent1"/>
            </a:solidFill>
          </a:ln>
          <a:effectLst>
            <a:glow>
              <a:schemeClr val="accent1">
                <a:alpha val="60000"/>
              </a:schemeClr>
            </a:glow>
            <a:outerShdw blurRad="50800" dist="50800" dir="5400000" sx="1000" sy="1000" algn="ctr" rotWithShape="0">
              <a:srgbClr val="000000">
                <a:alpha val="43137"/>
              </a:srgbClr>
            </a:outerShdw>
          </a:effectLst>
        </c:spPr>
      </c:pivotFmt>
      <c:pivotFmt>
        <c:idx val="10"/>
        <c:spPr>
          <a:solidFill>
            <a:srgbClr val="AACC00"/>
          </a:solidFill>
          <a:ln w="0" cmpd="thickThin">
            <a:solidFill>
              <a:schemeClr val="accent1"/>
            </a:solidFill>
          </a:ln>
          <a:effectLst>
            <a:glow>
              <a:schemeClr val="accent1">
                <a:alpha val="60000"/>
              </a:schemeClr>
            </a:glow>
            <a:outerShdw blurRad="50800" dist="50800" dir="5400000" sx="1000" sy="1000" algn="ctr" rotWithShape="0">
              <a:srgbClr val="000000">
                <a:alpha val="43137"/>
              </a:srgbClr>
            </a:outerShdw>
          </a:effectLst>
        </c:spPr>
      </c:pivotFmt>
      <c:pivotFmt>
        <c:idx val="11"/>
        <c:spPr>
          <a:solidFill>
            <a:srgbClr val="D4D700"/>
          </a:solidFill>
          <a:ln w="0" cmpd="thickThin">
            <a:solidFill>
              <a:schemeClr val="accent1"/>
            </a:solidFill>
          </a:ln>
          <a:effectLst>
            <a:glow>
              <a:schemeClr val="accent1">
                <a:alpha val="60000"/>
              </a:schemeClr>
            </a:glow>
            <a:outerShdw blurRad="50800" dist="50800" dir="5400000" sx="1000" sy="1000" algn="ctr" rotWithShape="0">
              <a:srgbClr val="000000">
                <a:alpha val="43137"/>
              </a:srgbClr>
            </a:outerShdw>
          </a:effectLst>
        </c:spPr>
      </c:pivotFmt>
      <c:pivotFmt>
        <c:idx val="12"/>
        <c:spPr>
          <a:solidFill>
            <a:srgbClr val="D4D700"/>
          </a:solidFill>
          <a:ln w="0" cmpd="thickThin">
            <a:solidFill>
              <a:schemeClr val="accent1"/>
            </a:solidFill>
          </a:ln>
          <a:effectLst>
            <a:glow>
              <a:schemeClr val="accent1">
                <a:alpha val="60000"/>
              </a:schemeClr>
            </a:glow>
            <a:outerShdw blurRad="50800" dist="50800" dir="5400000" sx="1000" sy="1000" algn="ctr" rotWithShape="0">
              <a:srgbClr val="000000">
                <a:alpha val="43137"/>
              </a:srgbClr>
            </a:outerShdw>
          </a:effectLst>
        </c:spPr>
      </c:pivotFmt>
      <c:pivotFmt>
        <c:idx val="13"/>
        <c:spPr>
          <a:solidFill>
            <a:srgbClr val="D4D700"/>
          </a:solidFill>
          <a:ln w="0" cmpd="thickThin">
            <a:solidFill>
              <a:schemeClr val="accent1"/>
            </a:solidFill>
          </a:ln>
          <a:effectLst>
            <a:glow>
              <a:schemeClr val="accent1">
                <a:alpha val="60000"/>
              </a:schemeClr>
            </a:glow>
            <a:outerShdw blurRad="50800" dist="50800" dir="5400000" sx="1000" sy="1000" algn="ctr" rotWithShape="0">
              <a:srgbClr val="000000">
                <a:alpha val="43137"/>
              </a:srgbClr>
            </a:outerShdw>
          </a:effectLst>
        </c:spPr>
      </c:pivotFmt>
      <c:pivotFmt>
        <c:idx val="14"/>
        <c:spPr>
          <a:solidFill>
            <a:srgbClr val="D4D700"/>
          </a:solidFill>
          <a:ln w="0" cmpd="thickThin">
            <a:solidFill>
              <a:schemeClr val="accent1"/>
            </a:solidFill>
          </a:ln>
          <a:effectLst>
            <a:glow>
              <a:schemeClr val="accent1">
                <a:alpha val="60000"/>
              </a:schemeClr>
            </a:glow>
            <a:outerShdw blurRad="50800" dist="50800" dir="5400000" sx="1000" sy="1000" algn="ctr" rotWithShape="0">
              <a:srgbClr val="000000">
                <a:alpha val="43137"/>
              </a:srgbClr>
            </a:outerShdw>
          </a:effectLst>
        </c:spPr>
      </c:pivotFmt>
      <c:pivotFmt>
        <c:idx val="15"/>
        <c:spPr>
          <a:solidFill>
            <a:srgbClr val="EEEF20"/>
          </a:solidFill>
          <a:ln w="0" cmpd="thickThin">
            <a:solidFill>
              <a:schemeClr val="accent1"/>
            </a:solidFill>
          </a:ln>
          <a:effectLst>
            <a:glow>
              <a:schemeClr val="accent1">
                <a:alpha val="60000"/>
              </a:schemeClr>
            </a:glow>
            <a:outerShdw blurRad="50800" dist="50800" dir="5400000" sx="1000" sy="1000" algn="ctr" rotWithShape="0">
              <a:srgbClr val="000000">
                <a:alpha val="43137"/>
              </a:srgbClr>
            </a:outerShdw>
          </a:effectLst>
        </c:spPr>
      </c:pivotFmt>
      <c:pivotFmt>
        <c:idx val="16"/>
        <c:spPr>
          <a:solidFill>
            <a:srgbClr val="EEEF20"/>
          </a:solidFill>
          <a:ln w="0" cmpd="thickThin">
            <a:solidFill>
              <a:schemeClr val="accent1"/>
            </a:solidFill>
          </a:ln>
          <a:effectLst>
            <a:glow>
              <a:schemeClr val="accent1">
                <a:alpha val="60000"/>
              </a:schemeClr>
            </a:glow>
            <a:outerShdw blurRad="50800" dist="50800" dir="5400000" sx="1000" sy="1000" algn="ctr" rotWithShape="0">
              <a:srgbClr val="000000">
                <a:alpha val="43137"/>
              </a:srgbClr>
            </a:outerShdw>
          </a:effectLst>
        </c:spPr>
      </c:pivotFmt>
      <c:pivotFmt>
        <c:idx val="17"/>
        <c:spPr>
          <a:solidFill>
            <a:srgbClr val="EEEF20"/>
          </a:solidFill>
          <a:ln w="0" cmpd="thickThin">
            <a:solidFill>
              <a:schemeClr val="accent1"/>
            </a:solidFill>
          </a:ln>
          <a:effectLst>
            <a:glow>
              <a:schemeClr val="accent1">
                <a:alpha val="60000"/>
              </a:schemeClr>
            </a:glow>
            <a:outerShdw blurRad="50800" dist="50800" dir="5400000" sx="1000" sy="1000" algn="ctr" rotWithShape="0">
              <a:srgbClr val="000000">
                <a:alpha val="43137"/>
              </a:srgbClr>
            </a:outerShdw>
          </a:effectLst>
        </c:spPr>
      </c:pivotFmt>
      <c:pivotFmt>
        <c:idx val="18"/>
        <c:spPr>
          <a:solidFill>
            <a:srgbClr val="EEEF20"/>
          </a:solidFill>
          <a:ln w="0" cmpd="thickThin">
            <a:solidFill>
              <a:schemeClr val="accent1"/>
            </a:solidFill>
          </a:ln>
          <a:effectLst>
            <a:glow>
              <a:schemeClr val="accent1">
                <a:alpha val="60000"/>
              </a:schemeClr>
            </a:glow>
            <a:outerShdw blurRad="50800" dist="50800" dir="5400000" sx="1000" sy="1000" algn="ctr" rotWithShape="0">
              <a:srgbClr val="000000">
                <a:alpha val="43137"/>
              </a:srgbClr>
            </a:outerShdw>
          </a:effectLst>
        </c:spPr>
      </c:pivotFmt>
    </c:pivotFmts>
    <c:plotArea>
      <c:layout>
        <c:manualLayout>
          <c:layoutTarget val="inner"/>
          <c:xMode val="edge"/>
          <c:yMode val="edge"/>
          <c:x val="0.24294204621003246"/>
          <c:y val="6.9522427097804929E-2"/>
          <c:w val="0.70112997649701481"/>
          <c:h val="0.8172222858640974"/>
        </c:manualLayout>
      </c:layout>
      <c:barChart>
        <c:barDir val="bar"/>
        <c:grouping val="clustered"/>
        <c:varyColors val="0"/>
        <c:ser>
          <c:idx val="0"/>
          <c:order val="0"/>
          <c:tx>
            <c:strRef>
              <c:f>'Pivot Table'!$C$24</c:f>
              <c:strCache>
                <c:ptCount val="1"/>
                <c:pt idx="0">
                  <c:v>Total</c:v>
                </c:pt>
              </c:strCache>
            </c:strRef>
          </c:tx>
          <c:spPr>
            <a:solidFill>
              <a:schemeClr val="accent1"/>
            </a:solidFill>
            <a:ln w="0" cmpd="thickThin">
              <a:solidFill>
                <a:schemeClr val="accent1"/>
              </a:solidFill>
            </a:ln>
            <a:effectLst>
              <a:glow>
                <a:schemeClr val="accent1">
                  <a:alpha val="60000"/>
                </a:schemeClr>
              </a:glow>
              <a:outerShdw blurRad="50800" dist="50800" dir="5400000" sx="1000" sy="1000" algn="ctr" rotWithShape="0">
                <a:srgbClr val="000000">
                  <a:alpha val="43137"/>
                </a:srgbClr>
              </a:outerShdw>
            </a:effectLst>
          </c:spPr>
          <c:invertIfNegative val="0"/>
          <c:dPt>
            <c:idx val="0"/>
            <c:invertIfNegative val="0"/>
            <c:bubble3D val="0"/>
            <c:spPr>
              <a:solidFill>
                <a:srgbClr val="007F5F"/>
              </a:solidFill>
              <a:ln w="0" cmpd="thickThin">
                <a:solidFill>
                  <a:schemeClr val="accent1"/>
                </a:solidFill>
              </a:ln>
              <a:effectLst>
                <a:glow>
                  <a:schemeClr val="accent1">
                    <a:alpha val="60000"/>
                  </a:schemeClr>
                </a:glow>
                <a:outerShdw blurRad="50800" dist="50800" dir="5400000" sx="1000" sy="1000" algn="ctr" rotWithShape="0">
                  <a:srgbClr val="000000">
                    <a:alpha val="43137"/>
                  </a:srgbClr>
                </a:outerShdw>
              </a:effectLst>
            </c:spPr>
            <c:extLst>
              <c:ext xmlns:c16="http://schemas.microsoft.com/office/drawing/2014/chart" uri="{C3380CC4-5D6E-409C-BE32-E72D297353CC}">
                <c16:uniqueId val="{00000000-89DD-41EA-B8E2-2F022991B58A}"/>
              </c:ext>
            </c:extLst>
          </c:dPt>
          <c:dPt>
            <c:idx val="1"/>
            <c:invertIfNegative val="0"/>
            <c:bubble3D val="0"/>
            <c:spPr>
              <a:solidFill>
                <a:srgbClr val="007F5F"/>
              </a:solidFill>
              <a:ln w="0" cmpd="thickThin">
                <a:solidFill>
                  <a:schemeClr val="accent1"/>
                </a:solidFill>
              </a:ln>
              <a:effectLst>
                <a:glow>
                  <a:schemeClr val="accent1">
                    <a:alpha val="60000"/>
                  </a:schemeClr>
                </a:glow>
                <a:outerShdw blurRad="50800" dist="50800" dir="5400000" sx="1000" sy="1000" algn="ctr" rotWithShape="0">
                  <a:srgbClr val="000000">
                    <a:alpha val="43137"/>
                  </a:srgbClr>
                </a:outerShdw>
              </a:effectLst>
            </c:spPr>
            <c:extLst>
              <c:ext xmlns:c16="http://schemas.microsoft.com/office/drawing/2014/chart" uri="{C3380CC4-5D6E-409C-BE32-E72D297353CC}">
                <c16:uniqueId val="{00000001-89DD-41EA-B8E2-2F022991B58A}"/>
              </c:ext>
            </c:extLst>
          </c:dPt>
          <c:dPt>
            <c:idx val="2"/>
            <c:invertIfNegative val="0"/>
            <c:bubble3D val="0"/>
            <c:spPr>
              <a:solidFill>
                <a:srgbClr val="007F5F"/>
              </a:solidFill>
              <a:ln w="0" cmpd="thickThin">
                <a:solidFill>
                  <a:schemeClr val="accent1"/>
                </a:solidFill>
              </a:ln>
              <a:effectLst>
                <a:glow>
                  <a:schemeClr val="accent1">
                    <a:alpha val="60000"/>
                  </a:schemeClr>
                </a:glow>
                <a:outerShdw blurRad="50800" dist="50800" dir="5400000" sx="1000" sy="1000" algn="ctr" rotWithShape="0">
                  <a:srgbClr val="000000">
                    <a:alpha val="43137"/>
                  </a:srgbClr>
                </a:outerShdw>
              </a:effectLst>
            </c:spPr>
            <c:extLst>
              <c:ext xmlns:c16="http://schemas.microsoft.com/office/drawing/2014/chart" uri="{C3380CC4-5D6E-409C-BE32-E72D297353CC}">
                <c16:uniqueId val="{00000002-89DD-41EA-B8E2-2F022991B58A}"/>
              </c:ext>
            </c:extLst>
          </c:dPt>
          <c:dPt>
            <c:idx val="3"/>
            <c:invertIfNegative val="0"/>
            <c:bubble3D val="0"/>
            <c:spPr>
              <a:solidFill>
                <a:srgbClr val="55A630"/>
              </a:solidFill>
              <a:ln w="0" cmpd="thickThin">
                <a:solidFill>
                  <a:schemeClr val="accent1"/>
                </a:solidFill>
              </a:ln>
              <a:effectLst>
                <a:glow>
                  <a:schemeClr val="accent1">
                    <a:alpha val="60000"/>
                  </a:schemeClr>
                </a:glow>
                <a:outerShdw blurRad="50800" dist="50800" dir="5400000" sx="1000" sy="1000" algn="ctr" rotWithShape="0">
                  <a:srgbClr val="000000">
                    <a:alpha val="43137"/>
                  </a:srgbClr>
                </a:outerShdw>
              </a:effectLst>
            </c:spPr>
            <c:extLst>
              <c:ext xmlns:c16="http://schemas.microsoft.com/office/drawing/2014/chart" uri="{C3380CC4-5D6E-409C-BE32-E72D297353CC}">
                <c16:uniqueId val="{00000003-89DD-41EA-B8E2-2F022991B58A}"/>
              </c:ext>
            </c:extLst>
          </c:dPt>
          <c:dPt>
            <c:idx val="4"/>
            <c:invertIfNegative val="0"/>
            <c:bubble3D val="0"/>
            <c:spPr>
              <a:solidFill>
                <a:srgbClr val="55A630"/>
              </a:solidFill>
              <a:ln w="0" cmpd="thickThin">
                <a:solidFill>
                  <a:schemeClr val="accent1"/>
                </a:solidFill>
              </a:ln>
              <a:effectLst>
                <a:glow>
                  <a:schemeClr val="accent1">
                    <a:alpha val="60000"/>
                  </a:schemeClr>
                </a:glow>
                <a:outerShdw blurRad="50800" dist="50800" dir="5400000" sx="1000" sy="1000" algn="ctr" rotWithShape="0">
                  <a:srgbClr val="000000">
                    <a:alpha val="43137"/>
                  </a:srgbClr>
                </a:outerShdw>
              </a:effectLst>
            </c:spPr>
            <c:extLst>
              <c:ext xmlns:c16="http://schemas.microsoft.com/office/drawing/2014/chart" uri="{C3380CC4-5D6E-409C-BE32-E72D297353CC}">
                <c16:uniqueId val="{00000004-89DD-41EA-B8E2-2F022991B58A}"/>
              </c:ext>
            </c:extLst>
          </c:dPt>
          <c:dPt>
            <c:idx val="5"/>
            <c:invertIfNegative val="0"/>
            <c:bubble3D val="0"/>
            <c:spPr>
              <a:solidFill>
                <a:srgbClr val="55A630"/>
              </a:solidFill>
              <a:ln w="0" cmpd="thickThin">
                <a:solidFill>
                  <a:schemeClr val="accent1"/>
                </a:solidFill>
              </a:ln>
              <a:effectLst>
                <a:glow>
                  <a:schemeClr val="accent1">
                    <a:alpha val="60000"/>
                  </a:schemeClr>
                </a:glow>
                <a:outerShdw blurRad="50800" dist="50800" dir="5400000" sx="1000" sy="1000" algn="ctr" rotWithShape="0">
                  <a:srgbClr val="000000">
                    <a:alpha val="43137"/>
                  </a:srgbClr>
                </a:outerShdw>
              </a:effectLst>
            </c:spPr>
            <c:extLst>
              <c:ext xmlns:c16="http://schemas.microsoft.com/office/drawing/2014/chart" uri="{C3380CC4-5D6E-409C-BE32-E72D297353CC}">
                <c16:uniqueId val="{00000005-89DD-41EA-B8E2-2F022991B58A}"/>
              </c:ext>
            </c:extLst>
          </c:dPt>
          <c:dPt>
            <c:idx val="6"/>
            <c:invertIfNegative val="0"/>
            <c:bubble3D val="0"/>
            <c:spPr>
              <a:solidFill>
                <a:srgbClr val="AACC00"/>
              </a:solidFill>
              <a:ln w="0" cmpd="thickThin">
                <a:solidFill>
                  <a:schemeClr val="accent1"/>
                </a:solidFill>
              </a:ln>
              <a:effectLst>
                <a:glow>
                  <a:schemeClr val="accent1">
                    <a:alpha val="60000"/>
                  </a:schemeClr>
                </a:glow>
                <a:outerShdw blurRad="50800" dist="50800" dir="5400000" sx="1000" sy="1000" algn="ctr" rotWithShape="0">
                  <a:srgbClr val="000000">
                    <a:alpha val="43137"/>
                  </a:srgbClr>
                </a:outerShdw>
              </a:effectLst>
            </c:spPr>
            <c:extLst>
              <c:ext xmlns:c16="http://schemas.microsoft.com/office/drawing/2014/chart" uri="{C3380CC4-5D6E-409C-BE32-E72D297353CC}">
                <c16:uniqueId val="{00000006-89DD-41EA-B8E2-2F022991B58A}"/>
              </c:ext>
            </c:extLst>
          </c:dPt>
          <c:dPt>
            <c:idx val="7"/>
            <c:invertIfNegative val="0"/>
            <c:bubble3D val="0"/>
            <c:spPr>
              <a:solidFill>
                <a:srgbClr val="AACC00"/>
              </a:solidFill>
              <a:ln w="0" cmpd="thickThin">
                <a:solidFill>
                  <a:schemeClr val="accent1"/>
                </a:solidFill>
              </a:ln>
              <a:effectLst>
                <a:glow>
                  <a:schemeClr val="accent1">
                    <a:alpha val="60000"/>
                  </a:schemeClr>
                </a:glow>
                <a:outerShdw blurRad="50800" dist="50800" dir="5400000" sx="1000" sy="1000" algn="ctr" rotWithShape="0">
                  <a:srgbClr val="000000">
                    <a:alpha val="43137"/>
                  </a:srgbClr>
                </a:outerShdw>
              </a:effectLst>
            </c:spPr>
            <c:extLst>
              <c:ext xmlns:c16="http://schemas.microsoft.com/office/drawing/2014/chart" uri="{C3380CC4-5D6E-409C-BE32-E72D297353CC}">
                <c16:uniqueId val="{00000007-89DD-41EA-B8E2-2F022991B58A}"/>
              </c:ext>
            </c:extLst>
          </c:dPt>
          <c:dPt>
            <c:idx val="8"/>
            <c:invertIfNegative val="0"/>
            <c:bubble3D val="0"/>
            <c:spPr>
              <a:solidFill>
                <a:srgbClr val="AACC00"/>
              </a:solidFill>
              <a:ln w="0" cmpd="thickThin">
                <a:solidFill>
                  <a:schemeClr val="accent1"/>
                </a:solidFill>
              </a:ln>
              <a:effectLst>
                <a:glow>
                  <a:schemeClr val="accent1">
                    <a:alpha val="60000"/>
                  </a:schemeClr>
                </a:glow>
                <a:outerShdw blurRad="50800" dist="50800" dir="5400000" sx="1000" sy="1000" algn="ctr" rotWithShape="0">
                  <a:srgbClr val="000000">
                    <a:alpha val="43137"/>
                  </a:srgbClr>
                </a:outerShdw>
              </a:effectLst>
            </c:spPr>
            <c:extLst>
              <c:ext xmlns:c16="http://schemas.microsoft.com/office/drawing/2014/chart" uri="{C3380CC4-5D6E-409C-BE32-E72D297353CC}">
                <c16:uniqueId val="{00000008-89DD-41EA-B8E2-2F022991B58A}"/>
              </c:ext>
            </c:extLst>
          </c:dPt>
          <c:dPt>
            <c:idx val="9"/>
            <c:invertIfNegative val="0"/>
            <c:bubble3D val="0"/>
            <c:spPr>
              <a:solidFill>
                <a:srgbClr val="D4D700"/>
              </a:solidFill>
              <a:ln w="0" cmpd="thickThin">
                <a:solidFill>
                  <a:schemeClr val="accent1"/>
                </a:solidFill>
              </a:ln>
              <a:effectLst>
                <a:glow>
                  <a:schemeClr val="accent1">
                    <a:alpha val="60000"/>
                  </a:schemeClr>
                </a:glow>
                <a:outerShdw blurRad="50800" dist="50800" dir="5400000" sx="1000" sy="1000" algn="ctr" rotWithShape="0">
                  <a:srgbClr val="000000">
                    <a:alpha val="43137"/>
                  </a:srgbClr>
                </a:outerShdw>
              </a:effectLst>
            </c:spPr>
            <c:extLst>
              <c:ext xmlns:c16="http://schemas.microsoft.com/office/drawing/2014/chart" uri="{C3380CC4-5D6E-409C-BE32-E72D297353CC}">
                <c16:uniqueId val="{00000009-89DD-41EA-B8E2-2F022991B58A}"/>
              </c:ext>
            </c:extLst>
          </c:dPt>
          <c:dPt>
            <c:idx val="10"/>
            <c:invertIfNegative val="0"/>
            <c:bubble3D val="0"/>
            <c:spPr>
              <a:solidFill>
                <a:srgbClr val="D4D700"/>
              </a:solidFill>
              <a:ln w="0" cmpd="thickThin">
                <a:solidFill>
                  <a:schemeClr val="accent1"/>
                </a:solidFill>
              </a:ln>
              <a:effectLst>
                <a:glow>
                  <a:schemeClr val="accent1">
                    <a:alpha val="60000"/>
                  </a:schemeClr>
                </a:glow>
                <a:outerShdw blurRad="50800" dist="50800" dir="5400000" sx="1000" sy="1000" algn="ctr" rotWithShape="0">
                  <a:srgbClr val="000000">
                    <a:alpha val="43137"/>
                  </a:srgbClr>
                </a:outerShdw>
              </a:effectLst>
            </c:spPr>
            <c:extLst>
              <c:ext xmlns:c16="http://schemas.microsoft.com/office/drawing/2014/chart" uri="{C3380CC4-5D6E-409C-BE32-E72D297353CC}">
                <c16:uniqueId val="{0000000A-89DD-41EA-B8E2-2F022991B58A}"/>
              </c:ext>
            </c:extLst>
          </c:dPt>
          <c:dPt>
            <c:idx val="11"/>
            <c:invertIfNegative val="0"/>
            <c:bubble3D val="0"/>
            <c:spPr>
              <a:solidFill>
                <a:srgbClr val="D4D700"/>
              </a:solidFill>
              <a:ln w="0" cmpd="thickThin">
                <a:solidFill>
                  <a:schemeClr val="accent1"/>
                </a:solidFill>
              </a:ln>
              <a:effectLst>
                <a:glow>
                  <a:schemeClr val="accent1">
                    <a:alpha val="60000"/>
                  </a:schemeClr>
                </a:glow>
                <a:outerShdw blurRad="50800" dist="50800" dir="5400000" sx="1000" sy="1000" algn="ctr" rotWithShape="0">
                  <a:srgbClr val="000000">
                    <a:alpha val="43137"/>
                  </a:srgbClr>
                </a:outerShdw>
              </a:effectLst>
            </c:spPr>
            <c:extLst>
              <c:ext xmlns:c16="http://schemas.microsoft.com/office/drawing/2014/chart" uri="{C3380CC4-5D6E-409C-BE32-E72D297353CC}">
                <c16:uniqueId val="{0000000B-89DD-41EA-B8E2-2F022991B58A}"/>
              </c:ext>
            </c:extLst>
          </c:dPt>
          <c:dPt>
            <c:idx val="12"/>
            <c:invertIfNegative val="0"/>
            <c:bubble3D val="0"/>
            <c:spPr>
              <a:solidFill>
                <a:srgbClr val="D4D700"/>
              </a:solidFill>
              <a:ln w="0" cmpd="thickThin">
                <a:solidFill>
                  <a:schemeClr val="accent1"/>
                </a:solidFill>
              </a:ln>
              <a:effectLst>
                <a:glow>
                  <a:schemeClr val="accent1">
                    <a:alpha val="60000"/>
                  </a:schemeClr>
                </a:glow>
                <a:outerShdw blurRad="50800" dist="50800" dir="5400000" sx="1000" sy="1000" algn="ctr" rotWithShape="0">
                  <a:srgbClr val="000000">
                    <a:alpha val="43137"/>
                  </a:srgbClr>
                </a:outerShdw>
              </a:effectLst>
            </c:spPr>
            <c:extLst>
              <c:ext xmlns:c16="http://schemas.microsoft.com/office/drawing/2014/chart" uri="{C3380CC4-5D6E-409C-BE32-E72D297353CC}">
                <c16:uniqueId val="{0000000C-89DD-41EA-B8E2-2F022991B58A}"/>
              </c:ext>
            </c:extLst>
          </c:dPt>
          <c:dPt>
            <c:idx val="13"/>
            <c:invertIfNegative val="0"/>
            <c:bubble3D val="0"/>
            <c:spPr>
              <a:solidFill>
                <a:srgbClr val="EEEF20"/>
              </a:solidFill>
              <a:ln w="0" cmpd="thickThin">
                <a:solidFill>
                  <a:schemeClr val="accent1"/>
                </a:solidFill>
              </a:ln>
              <a:effectLst>
                <a:glow>
                  <a:schemeClr val="accent1">
                    <a:alpha val="60000"/>
                  </a:schemeClr>
                </a:glow>
                <a:outerShdw blurRad="50800" dist="50800" dir="5400000" sx="1000" sy="1000" algn="ctr" rotWithShape="0">
                  <a:srgbClr val="000000">
                    <a:alpha val="43137"/>
                  </a:srgbClr>
                </a:outerShdw>
              </a:effectLst>
            </c:spPr>
            <c:extLst>
              <c:ext xmlns:c16="http://schemas.microsoft.com/office/drawing/2014/chart" uri="{C3380CC4-5D6E-409C-BE32-E72D297353CC}">
                <c16:uniqueId val="{0000000D-89DD-41EA-B8E2-2F022991B58A}"/>
              </c:ext>
            </c:extLst>
          </c:dPt>
          <c:dPt>
            <c:idx val="14"/>
            <c:invertIfNegative val="0"/>
            <c:bubble3D val="0"/>
            <c:spPr>
              <a:solidFill>
                <a:srgbClr val="EEEF20"/>
              </a:solidFill>
              <a:ln w="0" cmpd="thickThin">
                <a:solidFill>
                  <a:schemeClr val="accent1"/>
                </a:solidFill>
              </a:ln>
              <a:effectLst>
                <a:glow>
                  <a:schemeClr val="accent1">
                    <a:alpha val="60000"/>
                  </a:schemeClr>
                </a:glow>
                <a:outerShdw blurRad="50800" dist="50800" dir="5400000" sx="1000" sy="1000" algn="ctr" rotWithShape="0">
                  <a:srgbClr val="000000">
                    <a:alpha val="43137"/>
                  </a:srgbClr>
                </a:outerShdw>
              </a:effectLst>
            </c:spPr>
            <c:extLst>
              <c:ext xmlns:c16="http://schemas.microsoft.com/office/drawing/2014/chart" uri="{C3380CC4-5D6E-409C-BE32-E72D297353CC}">
                <c16:uniqueId val="{0000000E-89DD-41EA-B8E2-2F022991B58A}"/>
              </c:ext>
            </c:extLst>
          </c:dPt>
          <c:dPt>
            <c:idx val="15"/>
            <c:invertIfNegative val="0"/>
            <c:bubble3D val="0"/>
            <c:spPr>
              <a:solidFill>
                <a:srgbClr val="EEEF20"/>
              </a:solidFill>
              <a:ln w="0" cmpd="thickThin">
                <a:solidFill>
                  <a:schemeClr val="accent1"/>
                </a:solidFill>
              </a:ln>
              <a:effectLst>
                <a:glow>
                  <a:schemeClr val="accent1">
                    <a:alpha val="60000"/>
                  </a:schemeClr>
                </a:glow>
                <a:outerShdw blurRad="50800" dist="50800" dir="5400000" sx="1000" sy="1000" algn="ctr" rotWithShape="0">
                  <a:srgbClr val="000000">
                    <a:alpha val="43137"/>
                  </a:srgbClr>
                </a:outerShdw>
              </a:effectLst>
            </c:spPr>
            <c:extLst>
              <c:ext xmlns:c16="http://schemas.microsoft.com/office/drawing/2014/chart" uri="{C3380CC4-5D6E-409C-BE32-E72D297353CC}">
                <c16:uniqueId val="{0000000F-89DD-41EA-B8E2-2F022991B58A}"/>
              </c:ext>
            </c:extLst>
          </c:dPt>
          <c:dPt>
            <c:idx val="16"/>
            <c:invertIfNegative val="0"/>
            <c:bubble3D val="0"/>
            <c:spPr>
              <a:solidFill>
                <a:srgbClr val="EEEF20"/>
              </a:solidFill>
              <a:ln w="0" cmpd="thickThin">
                <a:solidFill>
                  <a:schemeClr val="accent1"/>
                </a:solidFill>
              </a:ln>
              <a:effectLst>
                <a:glow>
                  <a:schemeClr val="accent1">
                    <a:alpha val="60000"/>
                  </a:schemeClr>
                </a:glow>
                <a:outerShdw blurRad="50800" dist="50800" dir="5400000" sx="1000" sy="1000" algn="ctr" rotWithShape="0">
                  <a:srgbClr val="000000">
                    <a:alpha val="43137"/>
                  </a:srgbClr>
                </a:outerShdw>
              </a:effectLst>
            </c:spPr>
            <c:extLst>
              <c:ext xmlns:c16="http://schemas.microsoft.com/office/drawing/2014/chart" uri="{C3380CC4-5D6E-409C-BE32-E72D297353CC}">
                <c16:uniqueId val="{00000010-89DD-41EA-B8E2-2F022991B58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Table'!$B$25:$B$42</c:f>
              <c:strCache>
                <c:ptCount val="17"/>
                <c:pt idx="0">
                  <c:v>Software Engineer</c:v>
                </c:pt>
                <c:pt idx="1">
                  <c:v>Business Owner</c:v>
                </c:pt>
                <c:pt idx="2">
                  <c:v>Unknown</c:v>
                </c:pt>
                <c:pt idx="3">
                  <c:v>Banker</c:v>
                </c:pt>
                <c:pt idx="4">
                  <c:v>Lawyer</c:v>
                </c:pt>
                <c:pt idx="5">
                  <c:v>Accountant</c:v>
                </c:pt>
                <c:pt idx="6">
                  <c:v>Doctor</c:v>
                </c:pt>
                <c:pt idx="7">
                  <c:v>Real Estate Developer</c:v>
                </c:pt>
                <c:pt idx="8">
                  <c:v>Stock Investor</c:v>
                </c:pt>
                <c:pt idx="9">
                  <c:v>Construction Engineer</c:v>
                </c:pt>
                <c:pt idx="10">
                  <c:v>Artist</c:v>
                </c:pt>
                <c:pt idx="11">
                  <c:v>Game Developer</c:v>
                </c:pt>
                <c:pt idx="12">
                  <c:v>Government Officer</c:v>
                </c:pt>
                <c:pt idx="13">
                  <c:v>Teacher</c:v>
                </c:pt>
                <c:pt idx="14">
                  <c:v>Designer</c:v>
                </c:pt>
                <c:pt idx="15">
                  <c:v>Scientist</c:v>
                </c:pt>
                <c:pt idx="16">
                  <c:v>Writer</c:v>
                </c:pt>
              </c:strCache>
            </c:strRef>
          </c:cat>
          <c:val>
            <c:numRef>
              <c:f>'Pivot Table'!$C$25:$C$42</c:f>
              <c:numCache>
                <c:formatCode>0</c:formatCode>
                <c:ptCount val="17"/>
                <c:pt idx="0">
                  <c:v>315</c:v>
                </c:pt>
                <c:pt idx="1">
                  <c:v>309</c:v>
                </c:pt>
                <c:pt idx="2">
                  <c:v>223</c:v>
                </c:pt>
                <c:pt idx="3">
                  <c:v>169</c:v>
                </c:pt>
                <c:pt idx="4">
                  <c:v>138</c:v>
                </c:pt>
                <c:pt idx="5">
                  <c:v>126</c:v>
                </c:pt>
                <c:pt idx="6">
                  <c:v>119</c:v>
                </c:pt>
                <c:pt idx="7">
                  <c:v>83</c:v>
                </c:pt>
                <c:pt idx="8">
                  <c:v>73</c:v>
                </c:pt>
                <c:pt idx="9">
                  <c:v>68</c:v>
                </c:pt>
                <c:pt idx="10">
                  <c:v>67</c:v>
                </c:pt>
                <c:pt idx="11">
                  <c:v>63</c:v>
                </c:pt>
                <c:pt idx="12">
                  <c:v>61</c:v>
                </c:pt>
                <c:pt idx="13">
                  <c:v>59</c:v>
                </c:pt>
                <c:pt idx="14">
                  <c:v>56</c:v>
                </c:pt>
                <c:pt idx="15">
                  <c:v>39</c:v>
                </c:pt>
                <c:pt idx="16">
                  <c:v>32</c:v>
                </c:pt>
              </c:numCache>
            </c:numRef>
          </c:val>
          <c:extLst>
            <c:ext xmlns:c16="http://schemas.microsoft.com/office/drawing/2014/chart" uri="{C3380CC4-5D6E-409C-BE32-E72D297353CC}">
              <c16:uniqueId val="{00000000-2D2A-4F43-8042-BEA253DB23AB}"/>
            </c:ext>
          </c:extLst>
        </c:ser>
        <c:dLbls>
          <c:dLblPos val="outEnd"/>
          <c:showLegendKey val="0"/>
          <c:showVal val="1"/>
          <c:showCatName val="0"/>
          <c:showSerName val="0"/>
          <c:showPercent val="0"/>
          <c:showBubbleSize val="0"/>
        </c:dLbls>
        <c:gapWidth val="77"/>
        <c:overlap val="7"/>
        <c:axId val="1644298383"/>
        <c:axId val="1644292975"/>
      </c:barChart>
      <c:catAx>
        <c:axId val="164429838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50" b="0" i="0" u="none" strike="noStrike" kern="1200" baseline="0">
                <a:solidFill>
                  <a:srgbClr val="006D77"/>
                </a:solidFill>
                <a:latin typeface="Inter" panose="02000503000000020004" pitchFamily="2" charset="0"/>
                <a:ea typeface="+mn-ea"/>
                <a:cs typeface="+mn-cs"/>
              </a:defRPr>
            </a:pPr>
            <a:endParaRPr lang="en-US"/>
          </a:p>
        </c:txPr>
        <c:crossAx val="1644292975"/>
        <c:crosses val="autoZero"/>
        <c:auto val="1"/>
        <c:lblAlgn val="ctr"/>
        <c:lblOffset val="100"/>
        <c:noMultiLvlLbl val="0"/>
      </c:catAx>
      <c:valAx>
        <c:axId val="164429297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6D77"/>
                </a:solidFill>
                <a:latin typeface="+mn-lt"/>
                <a:ea typeface="+mn-ea"/>
                <a:cs typeface="+mn-cs"/>
              </a:defRPr>
            </a:pPr>
            <a:endParaRPr lang="en-US"/>
          </a:p>
        </c:txPr>
        <c:crossAx val="1644298383"/>
        <c:crosses val="autoZero"/>
        <c:crossBetween val="between"/>
      </c:valAx>
      <c:spPr>
        <a:noFill/>
        <a:ln w="0" cmpd="sng">
          <a:solidFill>
            <a:srgbClr val="036666"/>
          </a:solidFill>
        </a:ln>
        <a:effectLst>
          <a:outerShdw blurRad="50800" dist="101600" dir="6000000" sx="31000" sy="31000" algn="ctr" rotWithShape="0">
            <a:srgbClr val="000000">
              <a:alpha val="37000"/>
            </a:srgb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[student-scores (1).xlsx]Pivot Table!PivotTable2</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Inter" panose="02000503000000020004" pitchFamily="2"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9E7A9"/>
          </a:solidFill>
          <a:ln>
            <a:noFill/>
          </a:ln>
          <a:effectLst/>
        </c:spPr>
      </c:pivotFmt>
      <c:pivotFmt>
        <c:idx val="3"/>
        <c:spPr>
          <a:solidFill>
            <a:srgbClr val="EBFDCA"/>
          </a:solidFill>
          <a:ln>
            <a:noFill/>
          </a:ln>
          <a:effectLst/>
        </c:spPr>
      </c:pivotFmt>
      <c:pivotFmt>
        <c:idx val="4"/>
        <c:spPr>
          <a:solidFill>
            <a:srgbClr val="FABEBD"/>
          </a:solidFill>
          <a:ln>
            <a:noFill/>
          </a:ln>
          <a:effectLst/>
        </c:spPr>
      </c:pivotFmt>
      <c:pivotFmt>
        <c:idx val="5"/>
        <c:spPr>
          <a:solidFill>
            <a:srgbClr val="FFD5B7"/>
          </a:solidFill>
          <a:ln>
            <a:noFill/>
          </a:ln>
          <a:effectLst/>
        </c:spPr>
      </c:pivotFmt>
      <c:pivotFmt>
        <c:idx val="6"/>
        <c:spPr>
          <a:solidFill>
            <a:srgbClr val="FFF8C1"/>
          </a:solidFill>
          <a:ln>
            <a:noFill/>
          </a:ln>
          <a:effectLst/>
        </c:spPr>
      </c:pivotFmt>
      <c:pivotFmt>
        <c:idx val="7"/>
        <c:spPr>
          <a:solidFill>
            <a:srgbClr val="F8E89E"/>
          </a:solidFill>
          <a:ln>
            <a:noFill/>
          </a:ln>
          <a:effectLst/>
        </c:spPr>
      </c:pivotFmt>
      <c:pivotFmt>
        <c:idx val="8"/>
        <c:spPr>
          <a:solidFill>
            <a:srgbClr val="FABEBD"/>
          </a:solidFill>
          <a:ln>
            <a:noFill/>
          </a:ln>
          <a:effectLst/>
        </c:spPr>
      </c:pivotFmt>
    </c:pivotFmts>
    <c:plotArea>
      <c:layout>
        <c:manualLayout>
          <c:layoutTarget val="inner"/>
          <c:xMode val="edge"/>
          <c:yMode val="edge"/>
          <c:x val="9.1919661791465435E-2"/>
          <c:y val="0.10500786807343636"/>
          <c:w val="0.87089970797438188"/>
          <c:h val="0.8033571699439972"/>
        </c:manualLayout>
      </c:layout>
      <c:barChart>
        <c:barDir val="col"/>
        <c:grouping val="clustered"/>
        <c:varyColors val="0"/>
        <c:ser>
          <c:idx val="0"/>
          <c:order val="0"/>
          <c:tx>
            <c:strRef>
              <c:f>'Pivot Table'!$C$8</c:f>
              <c:strCache>
                <c:ptCount val="1"/>
                <c:pt idx="0">
                  <c:v>Total</c:v>
                </c:pt>
              </c:strCache>
            </c:strRef>
          </c:tx>
          <c:spPr>
            <a:solidFill>
              <a:schemeClr val="accent1"/>
            </a:solidFill>
            <a:ln>
              <a:noFill/>
            </a:ln>
            <a:effectLst/>
          </c:spPr>
          <c:invertIfNegative val="0"/>
          <c:dPt>
            <c:idx val="0"/>
            <c:invertIfNegative val="0"/>
            <c:bubble3D val="0"/>
            <c:spPr>
              <a:solidFill>
                <a:srgbClr val="FABEBD"/>
              </a:solidFill>
              <a:ln>
                <a:noFill/>
              </a:ln>
              <a:effectLst/>
            </c:spPr>
            <c:extLst>
              <c:ext xmlns:c16="http://schemas.microsoft.com/office/drawing/2014/chart" uri="{C3380CC4-5D6E-409C-BE32-E72D297353CC}">
                <c16:uniqueId val="{00000006-9D44-41EC-AA54-D3BC257D4B0A}"/>
              </c:ext>
            </c:extLst>
          </c:dPt>
          <c:dPt>
            <c:idx val="1"/>
            <c:invertIfNegative val="0"/>
            <c:bubble3D val="0"/>
            <c:spPr>
              <a:solidFill>
                <a:srgbClr val="F8E89E"/>
              </a:solidFill>
              <a:ln>
                <a:noFill/>
              </a:ln>
              <a:effectLst/>
            </c:spPr>
            <c:extLst>
              <c:ext xmlns:c16="http://schemas.microsoft.com/office/drawing/2014/chart" uri="{C3380CC4-5D6E-409C-BE32-E72D297353CC}">
                <c16:uniqueId val="{00000005-9D44-41EC-AA54-D3BC257D4B0A}"/>
              </c:ext>
            </c:extLst>
          </c:dPt>
          <c:dPt>
            <c:idx val="2"/>
            <c:invertIfNegative val="0"/>
            <c:bubble3D val="0"/>
            <c:spPr>
              <a:solidFill>
                <a:srgbClr val="FFF8C1"/>
              </a:solidFill>
              <a:ln>
                <a:noFill/>
              </a:ln>
              <a:effectLst/>
            </c:spPr>
            <c:extLst>
              <c:ext xmlns:c16="http://schemas.microsoft.com/office/drawing/2014/chart" uri="{C3380CC4-5D6E-409C-BE32-E72D297353CC}">
                <c16:uniqueId val="{00000004-9D44-41EC-AA54-D3BC257D4B0A}"/>
              </c:ext>
            </c:extLst>
          </c:dPt>
          <c:dPt>
            <c:idx val="3"/>
            <c:invertIfNegative val="0"/>
            <c:bubble3D val="0"/>
            <c:spPr>
              <a:solidFill>
                <a:srgbClr val="FFD5B7"/>
              </a:solidFill>
              <a:ln>
                <a:noFill/>
              </a:ln>
              <a:effectLst/>
            </c:spPr>
            <c:extLst>
              <c:ext xmlns:c16="http://schemas.microsoft.com/office/drawing/2014/chart" uri="{C3380CC4-5D6E-409C-BE32-E72D297353CC}">
                <c16:uniqueId val="{00000003-9D44-41EC-AA54-D3BC257D4B0A}"/>
              </c:ext>
            </c:extLst>
          </c:dPt>
          <c:dPt>
            <c:idx val="4"/>
            <c:invertIfNegative val="0"/>
            <c:bubble3D val="0"/>
            <c:spPr>
              <a:solidFill>
                <a:srgbClr val="FABEBD"/>
              </a:solidFill>
              <a:ln>
                <a:noFill/>
              </a:ln>
              <a:effectLst/>
            </c:spPr>
            <c:extLst>
              <c:ext xmlns:c16="http://schemas.microsoft.com/office/drawing/2014/chart" uri="{C3380CC4-5D6E-409C-BE32-E72D297353CC}">
                <c16:uniqueId val="{00000002-9D44-41EC-AA54-D3BC257D4B0A}"/>
              </c:ext>
            </c:extLst>
          </c:dPt>
          <c:dPt>
            <c:idx val="5"/>
            <c:invertIfNegative val="0"/>
            <c:bubble3D val="0"/>
            <c:spPr>
              <a:solidFill>
                <a:srgbClr val="EBFDCA"/>
              </a:solidFill>
              <a:ln>
                <a:noFill/>
              </a:ln>
              <a:effectLst/>
            </c:spPr>
            <c:extLst>
              <c:ext xmlns:c16="http://schemas.microsoft.com/office/drawing/2014/chart" uri="{C3380CC4-5D6E-409C-BE32-E72D297353CC}">
                <c16:uniqueId val="{00000001-9D44-41EC-AA54-D3BC257D4B0A}"/>
              </c:ext>
            </c:extLst>
          </c:dPt>
          <c:dPt>
            <c:idx val="6"/>
            <c:invertIfNegative val="0"/>
            <c:bubble3D val="0"/>
            <c:spPr>
              <a:solidFill>
                <a:srgbClr val="C9E7A9"/>
              </a:solidFill>
              <a:ln>
                <a:noFill/>
              </a:ln>
              <a:effectLst/>
            </c:spPr>
            <c:extLst>
              <c:ext xmlns:c16="http://schemas.microsoft.com/office/drawing/2014/chart" uri="{C3380CC4-5D6E-409C-BE32-E72D297353CC}">
                <c16:uniqueId val="{00000000-9D44-41EC-AA54-D3BC257D4B0A}"/>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Inter" panose="02000503000000020004" pitchFamily="2"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Table'!$B$9:$B$16</c:f>
              <c:strCache>
                <c:ptCount val="7"/>
                <c:pt idx="0">
                  <c:v>C</c:v>
                </c:pt>
                <c:pt idx="1">
                  <c:v>B+</c:v>
                </c:pt>
                <c:pt idx="2">
                  <c:v>B-</c:v>
                </c:pt>
                <c:pt idx="3">
                  <c:v>B</c:v>
                </c:pt>
                <c:pt idx="4">
                  <c:v>A+</c:v>
                </c:pt>
                <c:pt idx="5">
                  <c:v>A-</c:v>
                </c:pt>
                <c:pt idx="6">
                  <c:v>A</c:v>
                </c:pt>
              </c:strCache>
            </c:strRef>
          </c:cat>
          <c:val>
            <c:numRef>
              <c:f>'Pivot Table'!$C$9:$C$16</c:f>
              <c:numCache>
                <c:formatCode>General</c:formatCode>
                <c:ptCount val="7"/>
                <c:pt idx="0">
                  <c:v>2</c:v>
                </c:pt>
                <c:pt idx="1">
                  <c:v>199</c:v>
                </c:pt>
                <c:pt idx="2">
                  <c:v>9</c:v>
                </c:pt>
                <c:pt idx="3">
                  <c:v>76</c:v>
                </c:pt>
                <c:pt idx="4">
                  <c:v>161</c:v>
                </c:pt>
                <c:pt idx="5">
                  <c:v>560</c:v>
                </c:pt>
                <c:pt idx="6">
                  <c:v>993</c:v>
                </c:pt>
              </c:numCache>
            </c:numRef>
          </c:val>
          <c:extLst>
            <c:ext xmlns:c16="http://schemas.microsoft.com/office/drawing/2014/chart" uri="{C3380CC4-5D6E-409C-BE32-E72D297353CC}">
              <c16:uniqueId val="{00000000-CBAB-49C5-9057-27294B8142AB}"/>
            </c:ext>
          </c:extLst>
        </c:ser>
        <c:dLbls>
          <c:dLblPos val="outEnd"/>
          <c:showLegendKey val="0"/>
          <c:showVal val="1"/>
          <c:showCatName val="0"/>
          <c:showSerName val="0"/>
          <c:showPercent val="0"/>
          <c:showBubbleSize val="0"/>
        </c:dLbls>
        <c:gapWidth val="182"/>
        <c:axId val="1524291343"/>
        <c:axId val="1524278447"/>
      </c:barChart>
      <c:catAx>
        <c:axId val="1524291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4278447"/>
        <c:crosses val="autoZero"/>
        <c:auto val="1"/>
        <c:lblAlgn val="ctr"/>
        <c:lblOffset val="100"/>
        <c:noMultiLvlLbl val="0"/>
      </c:catAx>
      <c:valAx>
        <c:axId val="1524278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Inter" panose="02000503000000020004" pitchFamily="2" charset="0"/>
                <a:ea typeface="+mn-ea"/>
                <a:cs typeface="+mn-cs"/>
              </a:defRPr>
            </a:pPr>
            <a:endParaRPr lang="en-US"/>
          </a:p>
        </c:txPr>
        <c:crossAx val="1524291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[student-scores (1).xlsx]Pivot Table!PivotTable3</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9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Inter" panose="02000503000000020004" pitchFamily="2"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C8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E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Inter" panose="02000503000000020004" pitchFamily="2"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F7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Inter" panose="02000503000000020004" pitchFamily="2"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B8F5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Inter" panose="02000503000000020004" pitchFamily="2"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95E21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Inter" panose="02000503000000020004" pitchFamily="2"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72CE2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Inter" panose="02000503000000020004" pitchFamily="2"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FF99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Inter" panose="02000503000000020004" pitchFamily="2"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95E214"/>
          </a:solidFill>
          <a:ln>
            <a:noFill/>
          </a:ln>
          <a:effectLst/>
        </c:spPr>
      </c:pivotFmt>
      <c:pivotFmt>
        <c:idx val="16"/>
        <c:spPr>
          <a:solidFill>
            <a:srgbClr val="FFC80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E93385B-7F23-4328-BD68-0828C32DE972}" type="VALUE">
                  <a:rPr lang="en-US" sz="1000">
                    <a:latin typeface="Inter" panose="02000503000000020004" pitchFamily="2" charset="0"/>
                    <a:ea typeface="Inter" panose="02000503000000020004" pitchFamily="2" charset="0"/>
                    <a:cs typeface="Inter" panose="02000503000000020004" pitchFamily="2" charset="0"/>
                  </a:rPr>
                  <a:pPr>
                    <a:defRPr/>
                  </a:pPr>
                  <a:t>[VALUE]</a:t>
                </a:fld>
                <a:endParaRPr lang="en-MY"/>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10202838170828389"/>
          <c:y val="0.10773701371815318"/>
          <c:w val="0.6197471202163789"/>
          <c:h val="0.76886361743411602"/>
        </c:manualLayout>
      </c:layout>
      <c:barChart>
        <c:barDir val="col"/>
        <c:grouping val="clustered"/>
        <c:varyColors val="0"/>
        <c:ser>
          <c:idx val="0"/>
          <c:order val="0"/>
          <c:tx>
            <c:strRef>
              <c:f>'Pivot Table'!$B$21</c:f>
              <c:strCache>
                <c:ptCount val="1"/>
                <c:pt idx="0">
                  <c:v>Average of Math </c:v>
                </c:pt>
              </c:strCache>
            </c:strRef>
          </c:tx>
          <c:spPr>
            <a:solidFill>
              <a:srgbClr val="FF9900"/>
            </a:solidFill>
            <a:ln>
              <a:noFill/>
            </a:ln>
            <a:effectLst/>
          </c:spPr>
          <c:invertIfNegative val="0"/>
          <c:dPt>
            <c:idx val="0"/>
            <c:invertIfNegative val="0"/>
            <c:bubble3D val="0"/>
            <c:spPr>
              <a:solidFill>
                <a:srgbClr val="FF9900"/>
              </a:solidFill>
              <a:ln>
                <a:noFill/>
              </a:ln>
              <a:effectLst/>
            </c:spPr>
            <c:extLst>
              <c:ext xmlns:c16="http://schemas.microsoft.com/office/drawing/2014/chart" uri="{C3380CC4-5D6E-409C-BE32-E72D297353CC}">
                <c16:uniqueId val="{00000000-8519-42EE-A9FA-A74559CA2B16}"/>
              </c:ext>
            </c:extLst>
          </c:dPt>
          <c:dLbls>
            <c:dLbl>
              <c:idx val="0"/>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519-42EE-A9FA-A74559CA2B16}"/>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Inter" panose="02000503000000020004" pitchFamily="2"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Table'!$B$22</c:f>
              <c:strCache>
                <c:ptCount val="1"/>
                <c:pt idx="0">
                  <c:v>Total</c:v>
                </c:pt>
              </c:strCache>
            </c:strRef>
          </c:cat>
          <c:val>
            <c:numRef>
              <c:f>'Pivot Table'!$B$22</c:f>
              <c:numCache>
                <c:formatCode>0.00</c:formatCode>
                <c:ptCount val="1"/>
                <c:pt idx="0">
                  <c:v>83.451999999999998</c:v>
                </c:pt>
              </c:numCache>
            </c:numRef>
          </c:val>
          <c:extLst>
            <c:ext xmlns:c16="http://schemas.microsoft.com/office/drawing/2014/chart" uri="{C3380CC4-5D6E-409C-BE32-E72D297353CC}">
              <c16:uniqueId val="{00000000-077F-4344-BA56-656FD76C0835}"/>
            </c:ext>
          </c:extLst>
        </c:ser>
        <c:ser>
          <c:idx val="1"/>
          <c:order val="1"/>
          <c:tx>
            <c:strRef>
              <c:f>'Pivot Table'!$C$21</c:f>
              <c:strCache>
                <c:ptCount val="1"/>
                <c:pt idx="0">
                  <c:v>Average of History </c:v>
                </c:pt>
              </c:strCache>
            </c:strRef>
          </c:tx>
          <c:spPr>
            <a:solidFill>
              <a:srgbClr val="FFC800"/>
            </a:solidFill>
            <a:ln>
              <a:noFill/>
            </a:ln>
            <a:effectLst/>
          </c:spPr>
          <c:invertIfNegative val="0"/>
          <c:dPt>
            <c:idx val="0"/>
            <c:invertIfNegative val="0"/>
            <c:bubble3D val="0"/>
            <c:spPr>
              <a:solidFill>
                <a:srgbClr val="FFC800"/>
              </a:solidFill>
              <a:ln>
                <a:noFill/>
              </a:ln>
              <a:effectLst/>
            </c:spPr>
            <c:extLst>
              <c:ext xmlns:c16="http://schemas.microsoft.com/office/drawing/2014/chart" uri="{C3380CC4-5D6E-409C-BE32-E72D297353CC}">
                <c16:uniqueId val="{00000002-8519-42EE-A9FA-A74559CA2B16}"/>
              </c:ext>
            </c:extLst>
          </c:dPt>
          <c:dLbls>
            <c:dLbl>
              <c:idx val="0"/>
              <c:tx>
                <c:rich>
                  <a:bodyPr/>
                  <a:lstStyle/>
                  <a:p>
                    <a:fld id="{6E93385B-7F23-4328-BD68-0828C32DE972}" type="VALUE">
                      <a:rPr lang="en-US" sz="1000">
                        <a:latin typeface="Inter" panose="02000503000000020004" pitchFamily="2" charset="0"/>
                        <a:ea typeface="Inter" panose="02000503000000020004" pitchFamily="2" charset="0"/>
                        <a:cs typeface="Inter" panose="02000503000000020004" pitchFamily="2" charset="0"/>
                      </a:rPr>
                      <a:pPr/>
                      <a:t>[VALUE]</a:t>
                    </a:fld>
                    <a:endParaRPr lang="en-MY"/>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8519-42EE-A9FA-A74559CA2B1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Table'!$B$22</c:f>
              <c:strCache>
                <c:ptCount val="1"/>
                <c:pt idx="0">
                  <c:v>Total</c:v>
                </c:pt>
              </c:strCache>
            </c:strRef>
          </c:cat>
          <c:val>
            <c:numRef>
              <c:f>'Pivot Table'!$C$22</c:f>
              <c:numCache>
                <c:formatCode>0.00</c:formatCode>
                <c:ptCount val="1"/>
                <c:pt idx="0">
                  <c:v>80.331999999999994</c:v>
                </c:pt>
              </c:numCache>
            </c:numRef>
          </c:val>
          <c:extLst>
            <c:ext xmlns:c16="http://schemas.microsoft.com/office/drawing/2014/chart" uri="{C3380CC4-5D6E-409C-BE32-E72D297353CC}">
              <c16:uniqueId val="{00000001-077F-4344-BA56-656FD76C0835}"/>
            </c:ext>
          </c:extLst>
        </c:ser>
        <c:ser>
          <c:idx val="2"/>
          <c:order val="2"/>
          <c:tx>
            <c:strRef>
              <c:f>'Pivot Table'!$D$21</c:f>
              <c:strCache>
                <c:ptCount val="1"/>
                <c:pt idx="0">
                  <c:v>Average of Physics </c:v>
                </c:pt>
              </c:strCache>
            </c:strRef>
          </c:tx>
          <c:spPr>
            <a:solidFill>
              <a:srgbClr val="FFE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Inter" panose="02000503000000020004" pitchFamily="2"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Table'!$B$22</c:f>
              <c:strCache>
                <c:ptCount val="1"/>
                <c:pt idx="0">
                  <c:v>Total</c:v>
                </c:pt>
              </c:strCache>
            </c:strRef>
          </c:cat>
          <c:val>
            <c:numRef>
              <c:f>'Pivot Table'!$D$22</c:f>
              <c:numCache>
                <c:formatCode>0.00</c:formatCode>
                <c:ptCount val="1"/>
                <c:pt idx="0">
                  <c:v>81.336500000000001</c:v>
                </c:pt>
              </c:numCache>
            </c:numRef>
          </c:val>
          <c:extLst>
            <c:ext xmlns:c16="http://schemas.microsoft.com/office/drawing/2014/chart" uri="{C3380CC4-5D6E-409C-BE32-E72D297353CC}">
              <c16:uniqueId val="{00000002-077F-4344-BA56-656FD76C0835}"/>
            </c:ext>
          </c:extLst>
        </c:ser>
        <c:ser>
          <c:idx val="3"/>
          <c:order val="3"/>
          <c:tx>
            <c:strRef>
              <c:f>'Pivot Table'!$E$21</c:f>
              <c:strCache>
                <c:ptCount val="1"/>
                <c:pt idx="0">
                  <c:v>Average of Chemistry </c:v>
                </c:pt>
              </c:strCache>
            </c:strRef>
          </c:tx>
          <c:spPr>
            <a:solidFill>
              <a:srgbClr val="FFF7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Inter" panose="02000503000000020004" pitchFamily="2"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Table'!$B$22</c:f>
              <c:strCache>
                <c:ptCount val="1"/>
                <c:pt idx="0">
                  <c:v>Total</c:v>
                </c:pt>
              </c:strCache>
            </c:strRef>
          </c:cat>
          <c:val>
            <c:numRef>
              <c:f>'Pivot Table'!$E$22</c:f>
              <c:numCache>
                <c:formatCode>0.00</c:formatCode>
                <c:ptCount val="1"/>
                <c:pt idx="0">
                  <c:v>79.995000000000005</c:v>
                </c:pt>
              </c:numCache>
            </c:numRef>
          </c:val>
          <c:extLst>
            <c:ext xmlns:c16="http://schemas.microsoft.com/office/drawing/2014/chart" uri="{C3380CC4-5D6E-409C-BE32-E72D297353CC}">
              <c16:uniqueId val="{00000003-077F-4344-BA56-656FD76C0835}"/>
            </c:ext>
          </c:extLst>
        </c:ser>
        <c:ser>
          <c:idx val="4"/>
          <c:order val="4"/>
          <c:tx>
            <c:strRef>
              <c:f>'Pivot Table'!$F$21</c:f>
              <c:strCache>
                <c:ptCount val="1"/>
                <c:pt idx="0">
                  <c:v>Average of Biology </c:v>
                </c:pt>
              </c:strCache>
            </c:strRef>
          </c:tx>
          <c:spPr>
            <a:solidFill>
              <a:srgbClr val="B8F5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Inter" panose="02000503000000020004" pitchFamily="2"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Table'!$B$22</c:f>
              <c:strCache>
                <c:ptCount val="1"/>
                <c:pt idx="0">
                  <c:v>Total</c:v>
                </c:pt>
              </c:strCache>
            </c:strRef>
          </c:cat>
          <c:val>
            <c:numRef>
              <c:f>'Pivot Table'!$F$22</c:f>
              <c:numCache>
                <c:formatCode>0.00</c:formatCode>
                <c:ptCount val="1"/>
                <c:pt idx="0">
                  <c:v>79.581500000000005</c:v>
                </c:pt>
              </c:numCache>
            </c:numRef>
          </c:val>
          <c:extLst>
            <c:ext xmlns:c16="http://schemas.microsoft.com/office/drawing/2014/chart" uri="{C3380CC4-5D6E-409C-BE32-E72D297353CC}">
              <c16:uniqueId val="{00000004-077F-4344-BA56-656FD76C0835}"/>
            </c:ext>
          </c:extLst>
        </c:ser>
        <c:ser>
          <c:idx val="5"/>
          <c:order val="5"/>
          <c:tx>
            <c:strRef>
              <c:f>'Pivot Table'!$G$21</c:f>
              <c:strCache>
                <c:ptCount val="1"/>
                <c:pt idx="0">
                  <c:v>Average of English </c:v>
                </c:pt>
              </c:strCache>
            </c:strRef>
          </c:tx>
          <c:spPr>
            <a:solidFill>
              <a:srgbClr val="95E21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Inter" panose="02000503000000020004" pitchFamily="2"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Table'!$B$22</c:f>
              <c:strCache>
                <c:ptCount val="1"/>
                <c:pt idx="0">
                  <c:v>Total</c:v>
                </c:pt>
              </c:strCache>
            </c:strRef>
          </c:cat>
          <c:val>
            <c:numRef>
              <c:f>'Pivot Table'!$G$22</c:f>
              <c:numCache>
                <c:formatCode>0.00</c:formatCode>
                <c:ptCount val="1"/>
                <c:pt idx="0">
                  <c:v>81.277500000000003</c:v>
                </c:pt>
              </c:numCache>
            </c:numRef>
          </c:val>
          <c:extLst>
            <c:ext xmlns:c16="http://schemas.microsoft.com/office/drawing/2014/chart" uri="{C3380CC4-5D6E-409C-BE32-E72D297353CC}">
              <c16:uniqueId val="{00000005-077F-4344-BA56-656FD76C0835}"/>
            </c:ext>
          </c:extLst>
        </c:ser>
        <c:ser>
          <c:idx val="6"/>
          <c:order val="6"/>
          <c:tx>
            <c:strRef>
              <c:f>'Pivot Table'!$H$21</c:f>
              <c:strCache>
                <c:ptCount val="1"/>
                <c:pt idx="0">
                  <c:v>Average of Geography </c:v>
                </c:pt>
              </c:strCache>
            </c:strRef>
          </c:tx>
          <c:spPr>
            <a:solidFill>
              <a:srgbClr val="72CE2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Inter" panose="02000503000000020004" pitchFamily="2"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Table'!$B$22</c:f>
              <c:strCache>
                <c:ptCount val="1"/>
                <c:pt idx="0">
                  <c:v>Total</c:v>
                </c:pt>
              </c:strCache>
            </c:strRef>
          </c:cat>
          <c:val>
            <c:numRef>
              <c:f>'Pivot Table'!$H$22</c:f>
              <c:numCache>
                <c:formatCode>0.00</c:formatCode>
                <c:ptCount val="1"/>
                <c:pt idx="0">
                  <c:v>80.888000000000005</c:v>
                </c:pt>
              </c:numCache>
            </c:numRef>
          </c:val>
          <c:extLst>
            <c:ext xmlns:c16="http://schemas.microsoft.com/office/drawing/2014/chart" uri="{C3380CC4-5D6E-409C-BE32-E72D297353CC}">
              <c16:uniqueId val="{00000006-077F-4344-BA56-656FD76C0835}"/>
            </c:ext>
          </c:extLst>
        </c:ser>
        <c:dLbls>
          <c:showLegendKey val="0"/>
          <c:showVal val="0"/>
          <c:showCatName val="0"/>
          <c:showSerName val="0"/>
          <c:showPercent val="0"/>
          <c:showBubbleSize val="0"/>
        </c:dLbls>
        <c:gapWidth val="219"/>
        <c:overlap val="-27"/>
        <c:axId val="1858864559"/>
        <c:axId val="1858871631"/>
      </c:barChart>
      <c:catAx>
        <c:axId val="1858864559"/>
        <c:scaling>
          <c:orientation val="minMax"/>
        </c:scaling>
        <c:delete val="1"/>
        <c:axPos val="b"/>
        <c:numFmt formatCode="General" sourceLinked="1"/>
        <c:majorTickMark val="out"/>
        <c:minorTickMark val="none"/>
        <c:tickLblPos val="nextTo"/>
        <c:crossAx val="1858871631"/>
        <c:crosses val="autoZero"/>
        <c:auto val="1"/>
        <c:lblAlgn val="ctr"/>
        <c:lblOffset val="100"/>
        <c:noMultiLvlLbl val="0"/>
      </c:catAx>
      <c:valAx>
        <c:axId val="185887163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Inter" panose="02000503000000020004" pitchFamily="2" charset="0"/>
                <a:ea typeface="+mn-ea"/>
                <a:cs typeface="+mn-cs"/>
              </a:defRPr>
            </a:pPr>
            <a:endParaRPr lang="en-US"/>
          </a:p>
        </c:txPr>
        <c:crossAx val="1858864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[student-scores (1).xlsx]Pivot Table!PivotTable5</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80DED9"/>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Inter" panose="02000503000000020004"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t" anchorCtr="0">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rgbClr val="80DED9"/>
          </a:solidFill>
          <a:ln w="19050">
            <a:solidFill>
              <a:schemeClr val="lt1"/>
            </a:solidFill>
          </a:ln>
          <a:effectLst/>
        </c:spPr>
        <c:dLbl>
          <c:idx val="0"/>
          <c:layout>
            <c:manualLayout>
              <c:x val="-5.3671225135037685E-2"/>
              <c:y val="-0.1234733540613011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Inter" panose="02000503000000020004"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22AAA1"/>
          </a:solidFill>
          <a:ln w="19050">
            <a:solidFill>
              <a:schemeClr val="lt1"/>
            </a:solidFill>
          </a:ln>
          <a:effectLst/>
        </c:spPr>
        <c:dLbl>
          <c:idx val="0"/>
          <c:layout>
            <c:manualLayout>
              <c:x val="0.10490284912757357"/>
              <c:y val="9.3839749086588847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Inter" panose="02000503000000020004"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Table'!$F$3</c:f>
              <c:strCache>
                <c:ptCount val="1"/>
                <c:pt idx="0">
                  <c:v>Total</c:v>
                </c:pt>
              </c:strCache>
            </c:strRef>
          </c:tx>
          <c:spPr>
            <a:solidFill>
              <a:srgbClr val="80DED9"/>
            </a:solidFill>
          </c:spPr>
          <c:explosion val="24"/>
          <c:dPt>
            <c:idx val="0"/>
            <c:bubble3D val="0"/>
            <c:explosion val="7"/>
            <c:spPr>
              <a:solidFill>
                <a:srgbClr val="22AAA1"/>
              </a:solidFill>
              <a:ln w="19050">
                <a:solidFill>
                  <a:schemeClr val="lt1"/>
                </a:solidFill>
              </a:ln>
              <a:effectLst/>
            </c:spPr>
            <c:extLst>
              <c:ext xmlns:c16="http://schemas.microsoft.com/office/drawing/2014/chart" uri="{C3380CC4-5D6E-409C-BE32-E72D297353CC}">
                <c16:uniqueId val="{00000001-A402-4882-A662-3509C73BCE0A}"/>
              </c:ext>
            </c:extLst>
          </c:dPt>
          <c:dPt>
            <c:idx val="1"/>
            <c:bubble3D val="0"/>
            <c:explosion val="0"/>
            <c:spPr>
              <a:solidFill>
                <a:srgbClr val="80DED9"/>
              </a:solidFill>
              <a:ln w="19050">
                <a:solidFill>
                  <a:schemeClr val="lt1"/>
                </a:solidFill>
              </a:ln>
              <a:effectLst/>
            </c:spPr>
            <c:extLst>
              <c:ext xmlns:c16="http://schemas.microsoft.com/office/drawing/2014/chart" uri="{C3380CC4-5D6E-409C-BE32-E72D297353CC}">
                <c16:uniqueId val="{00000007-4569-4DFD-AC99-658FDB9DEF25}"/>
              </c:ext>
            </c:extLst>
          </c:dPt>
          <c:dLbls>
            <c:dLbl>
              <c:idx val="0"/>
              <c:layout>
                <c:manualLayout>
                  <c:x val="0.10490284912757357"/>
                  <c:y val="9.38397490865888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402-4882-A662-3509C73BCE0A}"/>
                </c:ext>
              </c:extLst>
            </c:dLbl>
            <c:dLbl>
              <c:idx val="1"/>
              <c:layout>
                <c:manualLayout>
                  <c:x val="-5.3671225135037685E-2"/>
                  <c:y val="-0.1234733540613011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569-4DFD-AC99-658FDB9DEF25}"/>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Inter" panose="02000503000000020004" pitchFamily="2"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Table'!$E$4:$E$6</c:f>
              <c:strCache>
                <c:ptCount val="2"/>
                <c:pt idx="0">
                  <c:v>False</c:v>
                </c:pt>
                <c:pt idx="1">
                  <c:v>True</c:v>
                </c:pt>
              </c:strCache>
            </c:strRef>
          </c:cat>
          <c:val>
            <c:numRef>
              <c:f>'Pivot Table'!$F$4:$F$6</c:f>
              <c:numCache>
                <c:formatCode>0</c:formatCode>
                <c:ptCount val="2"/>
                <c:pt idx="0">
                  <c:v>1684</c:v>
                </c:pt>
                <c:pt idx="1">
                  <c:v>316</c:v>
                </c:pt>
              </c:numCache>
            </c:numRef>
          </c:val>
          <c:extLst>
            <c:ext xmlns:c16="http://schemas.microsoft.com/office/drawing/2014/chart" uri="{C3380CC4-5D6E-409C-BE32-E72D297353CC}">
              <c16:uniqueId val="{00000006-4569-4DFD-AC99-658FDB9DEF25}"/>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86144516251663183"/>
          <c:y val="0.47640623167028534"/>
          <c:w val="0.10137070719066499"/>
          <c:h val="0.1769784540689860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Inter" panose="02000503000000020004" pitchFamily="2"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[student-scores (1).xlsx]Pivot Table!PivotTable7</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3AA7A3"/>
          </a:solidFill>
          <a:ln>
            <a:noFill/>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Inter" panose="02000503000000020004" pitchFamily="2"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BFD8BD"/>
          </a:solidFill>
          <a:ln>
            <a:noFill/>
          </a:ln>
          <a:effectLst/>
        </c:spPr>
      </c:pivotFmt>
      <c:pivotFmt>
        <c:idx val="3"/>
        <c:spPr>
          <a:solidFill>
            <a:srgbClr val="EDEEC9"/>
          </a:solidFill>
          <a:ln>
            <a:noFill/>
          </a:ln>
          <a:effectLst/>
        </c:spPr>
      </c:pivotFmt>
      <c:pivotFmt>
        <c:idx val="4"/>
        <c:spPr>
          <a:solidFill>
            <a:srgbClr val="77BFA3"/>
          </a:solidFill>
          <a:ln>
            <a:noFill/>
          </a:ln>
          <a:effectLst/>
        </c:spPr>
      </c:pivotFmt>
    </c:pivotFmts>
    <c:plotArea>
      <c:layout>
        <c:manualLayout>
          <c:layoutTarget val="inner"/>
          <c:xMode val="edge"/>
          <c:yMode val="edge"/>
          <c:x val="0.13075378100700619"/>
          <c:y val="5.6244655735694406E-2"/>
          <c:w val="0.82803461698215775"/>
          <c:h val="0.89356082156033778"/>
        </c:manualLayout>
      </c:layout>
      <c:barChart>
        <c:barDir val="col"/>
        <c:grouping val="clustered"/>
        <c:varyColors val="0"/>
        <c:ser>
          <c:idx val="0"/>
          <c:order val="0"/>
          <c:tx>
            <c:strRef>
              <c:f>'Pivot Table'!$F$8</c:f>
              <c:strCache>
                <c:ptCount val="1"/>
                <c:pt idx="0">
                  <c:v>Total</c:v>
                </c:pt>
              </c:strCache>
            </c:strRef>
          </c:tx>
          <c:spPr>
            <a:solidFill>
              <a:srgbClr val="3AA7A3"/>
            </a:solidFill>
            <a:ln>
              <a:noFill/>
            </a:ln>
            <a:effectLst/>
          </c:spPr>
          <c:invertIfNegative val="0"/>
          <c:dPt>
            <c:idx val="0"/>
            <c:invertIfNegative val="0"/>
            <c:bubble3D val="0"/>
            <c:spPr>
              <a:solidFill>
                <a:srgbClr val="77BFA3"/>
              </a:solidFill>
              <a:ln>
                <a:noFill/>
              </a:ln>
              <a:effectLst/>
            </c:spPr>
            <c:extLst>
              <c:ext xmlns:c16="http://schemas.microsoft.com/office/drawing/2014/chart" uri="{C3380CC4-5D6E-409C-BE32-E72D297353CC}">
                <c16:uniqueId val="{00000000-5248-4AD4-A273-9DDBD0E9BA74}"/>
              </c:ext>
            </c:extLst>
          </c:dPt>
          <c:dPt>
            <c:idx val="1"/>
            <c:invertIfNegative val="0"/>
            <c:bubble3D val="0"/>
            <c:spPr>
              <a:solidFill>
                <a:srgbClr val="BFD8BD"/>
              </a:solidFill>
              <a:ln>
                <a:noFill/>
              </a:ln>
              <a:effectLst/>
            </c:spPr>
            <c:extLst>
              <c:ext xmlns:c16="http://schemas.microsoft.com/office/drawing/2014/chart" uri="{C3380CC4-5D6E-409C-BE32-E72D297353CC}">
                <c16:uniqueId val="{00000001-5248-4AD4-A273-9DDBD0E9BA74}"/>
              </c:ext>
            </c:extLst>
          </c:dPt>
          <c:dPt>
            <c:idx val="2"/>
            <c:invertIfNegative val="0"/>
            <c:bubble3D val="0"/>
            <c:spPr>
              <a:solidFill>
                <a:srgbClr val="EDEEC9"/>
              </a:solidFill>
              <a:ln>
                <a:noFill/>
              </a:ln>
              <a:effectLst/>
            </c:spPr>
            <c:extLst>
              <c:ext xmlns:c16="http://schemas.microsoft.com/office/drawing/2014/chart" uri="{C3380CC4-5D6E-409C-BE32-E72D297353CC}">
                <c16:uniqueId val="{00000002-5248-4AD4-A273-9DDBD0E9BA74}"/>
              </c:ext>
            </c:extLst>
          </c:dPt>
          <c:dLbls>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Inter" panose="02000503000000020004" pitchFamily="2"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Table'!$E$9:$E$12</c:f>
              <c:strCache>
                <c:ptCount val="3"/>
                <c:pt idx="0">
                  <c:v>Excellent</c:v>
                </c:pt>
                <c:pt idx="1">
                  <c:v>Good</c:v>
                </c:pt>
                <c:pt idx="2">
                  <c:v>Poor</c:v>
                </c:pt>
              </c:strCache>
            </c:strRef>
          </c:cat>
          <c:val>
            <c:numRef>
              <c:f>'Pivot Table'!$F$9:$F$12</c:f>
              <c:numCache>
                <c:formatCode>0.00</c:formatCode>
                <c:ptCount val="3"/>
                <c:pt idx="0">
                  <c:v>81.851485148514797</c:v>
                </c:pt>
                <c:pt idx="1">
                  <c:v>81.283407480639241</c:v>
                </c:pt>
                <c:pt idx="2">
                  <c:v>78.00615384615385</c:v>
                </c:pt>
              </c:numCache>
            </c:numRef>
          </c:val>
          <c:extLst>
            <c:ext xmlns:c16="http://schemas.microsoft.com/office/drawing/2014/chart" uri="{C3380CC4-5D6E-409C-BE32-E72D297353CC}">
              <c16:uniqueId val="{00000000-6D5B-4611-9133-10A1232EA1E6}"/>
            </c:ext>
          </c:extLst>
        </c:ser>
        <c:dLbls>
          <c:dLblPos val="outEnd"/>
          <c:showLegendKey val="0"/>
          <c:showVal val="1"/>
          <c:showCatName val="0"/>
          <c:showSerName val="0"/>
          <c:showPercent val="0"/>
          <c:showBubbleSize val="0"/>
        </c:dLbls>
        <c:gapWidth val="150"/>
        <c:axId val="1263232271"/>
        <c:axId val="1263239343"/>
      </c:barChart>
      <c:catAx>
        <c:axId val="1263232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Inter'"/>
                <a:ea typeface="+mn-ea"/>
                <a:cs typeface="+mn-cs"/>
              </a:defRPr>
            </a:pPr>
            <a:endParaRPr lang="en-US"/>
          </a:p>
        </c:txPr>
        <c:crossAx val="1263239343"/>
        <c:crosses val="autoZero"/>
        <c:auto val="1"/>
        <c:lblAlgn val="ctr"/>
        <c:lblOffset val="100"/>
        <c:noMultiLvlLbl val="0"/>
      </c:catAx>
      <c:valAx>
        <c:axId val="1263239343"/>
        <c:scaling>
          <c:orientation val="minMax"/>
        </c:scaling>
        <c:delete val="0"/>
        <c:axPos val="l"/>
        <c:majorGridlines>
          <c:spPr>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Inter'"/>
                <a:ea typeface="+mn-ea"/>
                <a:cs typeface="+mn-cs"/>
              </a:defRPr>
            </a:pPr>
            <a:endParaRPr lang="en-US"/>
          </a:p>
        </c:txPr>
        <c:crossAx val="1263232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baseline="0">
          <a:latin typeface="Inte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[student-scores (1).xlsx]Pivot Table!PivotTable10</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22AAA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10" b="0" i="0" u="none" strike="noStrike" kern="1200" baseline="0">
                  <a:solidFill>
                    <a:schemeClr val="tx1">
                      <a:lumMod val="75000"/>
                      <a:lumOff val="25000"/>
                    </a:schemeClr>
                  </a:solidFill>
                  <a:latin typeface="Inter" panose="02000503000000020004"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22AAA1"/>
          </a:solidFill>
          <a:ln w="19050">
            <a:solidFill>
              <a:schemeClr val="lt1"/>
            </a:solidFill>
          </a:ln>
          <a:effectLst/>
        </c:spPr>
        <c:dLbl>
          <c:idx val="0"/>
          <c:layout>
            <c:manualLayout>
              <c:x val="-0.10386473429951695"/>
              <c:y val="-7.3098938357833307E-2"/>
            </c:manualLayout>
          </c:layout>
          <c:spPr>
            <a:noFill/>
            <a:ln>
              <a:noFill/>
            </a:ln>
            <a:effectLst/>
          </c:spPr>
          <c:txPr>
            <a:bodyPr rot="0" spcFirstLastPara="1" vertOverflow="ellipsis" vert="horz" wrap="square" lIns="38100" tIns="19050" rIns="38100" bIns="19050" anchor="ctr" anchorCtr="1">
              <a:spAutoFit/>
            </a:bodyPr>
            <a:lstStyle/>
            <a:p>
              <a:pPr>
                <a:defRPr sz="910" b="0" i="0" u="none" strike="noStrike" kern="1200" baseline="0">
                  <a:solidFill>
                    <a:schemeClr val="tx1">
                      <a:lumMod val="75000"/>
                      <a:lumOff val="25000"/>
                    </a:schemeClr>
                  </a:solidFill>
                  <a:latin typeface="Inter" panose="02000503000000020004"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80DED9"/>
          </a:solidFill>
          <a:ln w="19050">
            <a:solidFill>
              <a:schemeClr val="lt1"/>
            </a:solidFill>
          </a:ln>
          <a:effectLst/>
        </c:spPr>
        <c:dLbl>
          <c:idx val="0"/>
          <c:layout>
            <c:manualLayout>
              <c:x val="9.420289855072464E-2"/>
              <c:y val="5.360588812907767E-2"/>
            </c:manualLayout>
          </c:layout>
          <c:spPr>
            <a:noFill/>
            <a:ln>
              <a:noFill/>
            </a:ln>
            <a:effectLst/>
          </c:spPr>
          <c:txPr>
            <a:bodyPr rot="0" spcFirstLastPara="1" vertOverflow="ellipsis" vert="horz" wrap="square" lIns="38100" tIns="19050" rIns="38100" bIns="19050" anchor="ctr" anchorCtr="1">
              <a:spAutoFit/>
            </a:bodyPr>
            <a:lstStyle/>
            <a:p>
              <a:pPr>
                <a:defRPr sz="910" b="0" i="0" u="none" strike="noStrike" kern="1200" baseline="0">
                  <a:solidFill>
                    <a:schemeClr val="tx1">
                      <a:lumMod val="75000"/>
                      <a:lumOff val="25000"/>
                    </a:schemeClr>
                  </a:solidFill>
                  <a:latin typeface="Inter" panose="02000503000000020004"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Table'!$F$14</c:f>
              <c:strCache>
                <c:ptCount val="1"/>
                <c:pt idx="0">
                  <c:v>Total</c:v>
                </c:pt>
              </c:strCache>
            </c:strRef>
          </c:tx>
          <c:spPr>
            <a:solidFill>
              <a:srgbClr val="22AAA1"/>
            </a:solidFill>
          </c:spPr>
          <c:explosion val="11"/>
          <c:dPt>
            <c:idx val="0"/>
            <c:bubble3D val="0"/>
            <c:spPr>
              <a:solidFill>
                <a:srgbClr val="80DED9"/>
              </a:solidFill>
              <a:ln w="19050">
                <a:solidFill>
                  <a:schemeClr val="lt1"/>
                </a:solidFill>
              </a:ln>
              <a:effectLst/>
            </c:spPr>
            <c:extLst>
              <c:ext xmlns:c16="http://schemas.microsoft.com/office/drawing/2014/chart" uri="{C3380CC4-5D6E-409C-BE32-E72D297353CC}">
                <c16:uniqueId val="{00000001-78B2-42F0-BECB-1597B3376CBE}"/>
              </c:ext>
            </c:extLst>
          </c:dPt>
          <c:dPt>
            <c:idx val="1"/>
            <c:bubble3D val="0"/>
            <c:explosion val="0"/>
            <c:spPr>
              <a:solidFill>
                <a:srgbClr val="22AAA1"/>
              </a:solidFill>
              <a:ln w="19050">
                <a:solidFill>
                  <a:schemeClr val="lt1"/>
                </a:solidFill>
              </a:ln>
              <a:effectLst/>
            </c:spPr>
            <c:extLst>
              <c:ext xmlns:c16="http://schemas.microsoft.com/office/drawing/2014/chart" uri="{C3380CC4-5D6E-409C-BE32-E72D297353CC}">
                <c16:uniqueId val="{00000003-78B2-42F0-BECB-1597B3376CBE}"/>
              </c:ext>
            </c:extLst>
          </c:dPt>
          <c:dLbls>
            <c:dLbl>
              <c:idx val="0"/>
              <c:layout>
                <c:manualLayout>
                  <c:x val="9.420289855072464E-2"/>
                  <c:y val="5.36058881290776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8B2-42F0-BECB-1597B3376CBE}"/>
                </c:ext>
              </c:extLst>
            </c:dLbl>
            <c:dLbl>
              <c:idx val="1"/>
              <c:layout>
                <c:manualLayout>
                  <c:x val="-0.10386473429951695"/>
                  <c:y val="-7.30989383578333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8B2-42F0-BECB-1597B3376CBE}"/>
                </c:ext>
              </c:extLst>
            </c:dLbl>
            <c:spPr>
              <a:noFill/>
              <a:ln>
                <a:noFill/>
              </a:ln>
              <a:effectLst/>
            </c:spPr>
            <c:txPr>
              <a:bodyPr rot="0" spcFirstLastPara="1" vertOverflow="ellipsis" vert="horz" wrap="square" lIns="38100" tIns="19050" rIns="38100" bIns="19050" anchor="ctr" anchorCtr="1">
                <a:spAutoFit/>
              </a:bodyPr>
              <a:lstStyle/>
              <a:p>
                <a:pPr>
                  <a:defRPr sz="910" b="0" i="0" u="none" strike="noStrike" kern="1200" baseline="0">
                    <a:solidFill>
                      <a:schemeClr val="tx1">
                        <a:lumMod val="75000"/>
                        <a:lumOff val="25000"/>
                      </a:schemeClr>
                    </a:solidFill>
                    <a:latin typeface="Inter" panose="02000503000000020004" pitchFamily="2"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Table'!$E$15:$E$17</c:f>
              <c:strCache>
                <c:ptCount val="2"/>
                <c:pt idx="0">
                  <c:v>False</c:v>
                </c:pt>
                <c:pt idx="1">
                  <c:v>True</c:v>
                </c:pt>
              </c:strCache>
            </c:strRef>
          </c:cat>
          <c:val>
            <c:numRef>
              <c:f>'Pivot Table'!$F$15:$F$17</c:f>
              <c:numCache>
                <c:formatCode>0</c:formatCode>
                <c:ptCount val="2"/>
                <c:pt idx="0">
                  <c:v>1592</c:v>
                </c:pt>
                <c:pt idx="1">
                  <c:v>408</c:v>
                </c:pt>
              </c:numCache>
            </c:numRef>
          </c:val>
          <c:extLst>
            <c:ext xmlns:c16="http://schemas.microsoft.com/office/drawing/2014/chart" uri="{C3380CC4-5D6E-409C-BE32-E72D297353CC}">
              <c16:uniqueId val="{00000004-78B2-42F0-BECB-1597B3376CBE}"/>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84230090533399515"/>
          <c:y val="0.43231897233247513"/>
          <c:w val="0.11973553754122979"/>
          <c:h val="0.1662700919668542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Inter" panose="02000503000000020004" pitchFamily="2"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25950</xdr:colOff>
      <xdr:row>11</xdr:row>
      <xdr:rowOff>171450</xdr:rowOff>
    </xdr:from>
    <xdr:to>
      <xdr:col>5</xdr:col>
      <xdr:colOff>1238250</xdr:colOff>
      <xdr:row>20</xdr:row>
      <xdr:rowOff>192037</xdr:rowOff>
    </xdr:to>
    <xdr:graphicFrame macro="">
      <xdr:nvGraphicFramePr>
        <xdr:cNvPr id="11" name="Chart 1">
          <a:extLst>
            <a:ext uri="{FF2B5EF4-FFF2-40B4-BE49-F238E27FC236}">
              <a16:creationId xmlns:a16="http://schemas.microsoft.com/office/drawing/2014/main" id="{FBDF954B-A31C-452F-9C24-EF27559123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15551</xdr:colOff>
      <xdr:row>0</xdr:row>
      <xdr:rowOff>248815</xdr:rowOff>
    </xdr:from>
    <xdr:to>
      <xdr:col>10</xdr:col>
      <xdr:colOff>1253258</xdr:colOff>
      <xdr:row>3</xdr:row>
      <xdr:rowOff>155510</xdr:rowOff>
    </xdr:to>
    <xdr:sp macro="" textlink="">
      <xdr:nvSpPr>
        <xdr:cNvPr id="10" name="Rectangle 9">
          <a:extLst>
            <a:ext uri="{FF2B5EF4-FFF2-40B4-BE49-F238E27FC236}">
              <a16:creationId xmlns:a16="http://schemas.microsoft.com/office/drawing/2014/main" id="{3F2D523D-A085-476C-B18B-83773B2B611D}"/>
            </a:ext>
          </a:extLst>
        </xdr:cNvPr>
        <xdr:cNvSpPr/>
      </xdr:nvSpPr>
      <xdr:spPr>
        <a:xfrm>
          <a:off x="2876939" y="248815"/>
          <a:ext cx="10669401" cy="653144"/>
        </a:xfrm>
        <a:prstGeom prst="rect">
          <a:avLst/>
        </a:prstGeom>
        <a:solidFill>
          <a:srgbClr val="036666"/>
        </a:solidFill>
        <a:ln>
          <a:solidFill>
            <a:srgbClr val="006D77"/>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lvl="0" algn="ctr"/>
          <a:r>
            <a:rPr lang="en-MY" sz="2400" b="1">
              <a:solidFill>
                <a:srgbClr val="EBF2FA"/>
              </a:solidFill>
              <a:latin typeface="Inter Display Black" panose="02000A03000000020004" pitchFamily="2" charset="0"/>
              <a:ea typeface="Inter Display Black" panose="02000A03000000020004" pitchFamily="2" charset="0"/>
              <a:cs typeface="Inter Display Black" panose="02000A03000000020004" pitchFamily="2" charset="0"/>
            </a:rPr>
            <a:t>SLING</a:t>
          </a:r>
          <a:r>
            <a:rPr lang="en-MY" sz="2400" b="1" baseline="0">
              <a:solidFill>
                <a:srgbClr val="EBF2FA"/>
              </a:solidFill>
              <a:latin typeface="Inter Display Black" panose="02000A03000000020004" pitchFamily="2" charset="0"/>
              <a:ea typeface="Inter Display Black" panose="02000A03000000020004" pitchFamily="2" charset="0"/>
              <a:cs typeface="Inter Display Black" panose="02000A03000000020004" pitchFamily="2" charset="0"/>
            </a:rPr>
            <a:t> ACADEMY STUDENT PERFORMANCE DASHBOARD</a:t>
          </a:r>
          <a:endParaRPr lang="en-MY" sz="2400" b="1">
            <a:solidFill>
              <a:srgbClr val="EBF2FA"/>
            </a:solidFill>
            <a:latin typeface="Inter Display Black" panose="02000A03000000020004" pitchFamily="2" charset="0"/>
            <a:ea typeface="Inter Display Black" panose="02000A03000000020004" pitchFamily="2" charset="0"/>
            <a:cs typeface="Inter Display Black" panose="02000A03000000020004" pitchFamily="2" charset="0"/>
          </a:endParaRPr>
        </a:p>
      </xdr:txBody>
    </xdr:sp>
    <xdr:clientData/>
  </xdr:twoCellAnchor>
  <xdr:twoCellAnchor>
    <xdr:from>
      <xdr:col>7</xdr:col>
      <xdr:colOff>26217</xdr:colOff>
      <xdr:row>11</xdr:row>
      <xdr:rowOff>142875</xdr:rowOff>
    </xdr:from>
    <xdr:to>
      <xdr:col>10</xdr:col>
      <xdr:colOff>1257300</xdr:colOff>
      <xdr:row>20</xdr:row>
      <xdr:rowOff>182012</xdr:rowOff>
    </xdr:to>
    <xdr:graphicFrame macro="">
      <xdr:nvGraphicFramePr>
        <xdr:cNvPr id="3" name="Chart 1">
          <a:extLst>
            <a:ext uri="{FF2B5EF4-FFF2-40B4-BE49-F238E27FC236}">
              <a16:creationId xmlns:a16="http://schemas.microsoft.com/office/drawing/2014/main" id="{DCDED14C-8BCE-4F2B-85EA-A7C5101E4F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2954</xdr:colOff>
      <xdr:row>25</xdr:row>
      <xdr:rowOff>6350</xdr:rowOff>
    </xdr:from>
    <xdr:to>
      <xdr:col>6</xdr:col>
      <xdr:colOff>0</xdr:colOff>
      <xdr:row>34</xdr:row>
      <xdr:rowOff>45052</xdr:rowOff>
    </xdr:to>
    <xdr:graphicFrame macro="">
      <xdr:nvGraphicFramePr>
        <xdr:cNvPr id="4" name="Chart 5">
          <a:extLst>
            <a:ext uri="{FF2B5EF4-FFF2-40B4-BE49-F238E27FC236}">
              <a16:creationId xmlns:a16="http://schemas.microsoft.com/office/drawing/2014/main" id="{4FE83F05-2A20-4441-A72B-25EA69AFC2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3174</xdr:colOff>
      <xdr:row>36</xdr:row>
      <xdr:rowOff>200088</xdr:rowOff>
    </xdr:from>
    <xdr:to>
      <xdr:col>6</xdr:col>
      <xdr:colOff>10857</xdr:colOff>
      <xdr:row>47</xdr:row>
      <xdr:rowOff>10856</xdr:rowOff>
    </xdr:to>
    <xdr:graphicFrame macro="">
      <xdr:nvGraphicFramePr>
        <xdr:cNvPr id="6" name="Chart 6">
          <a:extLst>
            <a:ext uri="{FF2B5EF4-FFF2-40B4-BE49-F238E27FC236}">
              <a16:creationId xmlns:a16="http://schemas.microsoft.com/office/drawing/2014/main" id="{DB8BDDDF-97A9-4EE0-9266-B5F368AC9B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31191</xdr:colOff>
      <xdr:row>4</xdr:row>
      <xdr:rowOff>126011</xdr:rowOff>
    </xdr:from>
    <xdr:to>
      <xdr:col>4</xdr:col>
      <xdr:colOff>693470</xdr:colOff>
      <xdr:row>7</xdr:row>
      <xdr:rowOff>121237</xdr:rowOff>
    </xdr:to>
    <xdr:grpSp>
      <xdr:nvGrpSpPr>
        <xdr:cNvPr id="13" name="Group 12">
          <a:extLst>
            <a:ext uri="{FF2B5EF4-FFF2-40B4-BE49-F238E27FC236}">
              <a16:creationId xmlns:a16="http://schemas.microsoft.com/office/drawing/2014/main" id="{78932780-998E-4CB5-9C02-8431B643D2F1}"/>
            </a:ext>
          </a:extLst>
        </xdr:cNvPr>
        <xdr:cNvGrpSpPr/>
      </xdr:nvGrpSpPr>
      <xdr:grpSpPr>
        <a:xfrm>
          <a:off x="2937851" y="1169539"/>
          <a:ext cx="3306321" cy="880807"/>
          <a:chOff x="2893217" y="1135661"/>
          <a:chExt cx="2338624" cy="864000"/>
        </a:xfrm>
        <a:solidFill>
          <a:srgbClr val="83C5BE"/>
        </a:solidFill>
        <a:effectLst>
          <a:outerShdw blurRad="50800" dist="38100" dir="2700000" algn="tl" rotWithShape="0">
            <a:prstClr val="black">
              <a:alpha val="40000"/>
            </a:prstClr>
          </a:outerShdw>
        </a:effectLst>
      </xdr:grpSpPr>
      <xdr:sp macro="" textlink="">
        <xdr:nvSpPr>
          <xdr:cNvPr id="18" name="Rectangle 17">
            <a:extLst>
              <a:ext uri="{FF2B5EF4-FFF2-40B4-BE49-F238E27FC236}">
                <a16:creationId xmlns:a16="http://schemas.microsoft.com/office/drawing/2014/main" id="{FA93111B-9B32-4543-9EF0-37D2BD54FFAE}"/>
              </a:ext>
            </a:extLst>
          </xdr:cNvPr>
          <xdr:cNvSpPr/>
        </xdr:nvSpPr>
        <xdr:spPr>
          <a:xfrm>
            <a:off x="2893217" y="1135661"/>
            <a:ext cx="2338624" cy="864000"/>
          </a:xfrm>
          <a:prstGeom prst="rect">
            <a:avLst/>
          </a:prstGeom>
          <a:solidFill>
            <a:srgbClr val="036666"/>
          </a:solidFill>
          <a:ln w="34925">
            <a:solidFill>
              <a:srgbClr val="006D77"/>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MY" sz="1600" b="1">
                <a:solidFill>
                  <a:srgbClr val="EBF2FA"/>
                </a:solidFill>
                <a:latin typeface="Inter" panose="02000503000000020004" pitchFamily="2" charset="0"/>
                <a:ea typeface="Inter" panose="02000503000000020004" pitchFamily="2" charset="0"/>
                <a:cs typeface="Inter" panose="02000503000000020004" pitchFamily="2" charset="0"/>
              </a:rPr>
              <a:t>Total</a:t>
            </a:r>
            <a:r>
              <a:rPr lang="en-MY" sz="1600" b="1" baseline="0">
                <a:solidFill>
                  <a:srgbClr val="EBF2FA"/>
                </a:solidFill>
                <a:latin typeface="Inter" panose="02000503000000020004" pitchFamily="2" charset="0"/>
                <a:ea typeface="Inter" panose="02000503000000020004" pitchFamily="2" charset="0"/>
                <a:cs typeface="Inter" panose="02000503000000020004" pitchFamily="2" charset="0"/>
              </a:rPr>
              <a:t> Number of Student</a:t>
            </a:r>
            <a:endParaRPr lang="en-MY" sz="1600" b="1">
              <a:solidFill>
                <a:srgbClr val="EBF2FA"/>
              </a:solidFill>
              <a:latin typeface="Inter" panose="02000503000000020004" pitchFamily="2" charset="0"/>
              <a:ea typeface="Inter" panose="02000503000000020004" pitchFamily="2" charset="0"/>
              <a:cs typeface="Inter" panose="02000503000000020004" pitchFamily="2" charset="0"/>
            </a:endParaRPr>
          </a:p>
        </xdr:txBody>
      </xdr:sp>
      <xdr:sp macro="" textlink="'Pivot Table'!H4">
        <xdr:nvSpPr>
          <xdr:cNvPr id="2" name="TextBox 1">
            <a:extLst>
              <a:ext uri="{FF2B5EF4-FFF2-40B4-BE49-F238E27FC236}">
                <a16:creationId xmlns:a16="http://schemas.microsoft.com/office/drawing/2014/main" id="{93B3176D-E032-44EF-B4AB-19BDAC0CA9CE}"/>
              </a:ext>
            </a:extLst>
          </xdr:cNvPr>
          <xdr:cNvSpPr txBox="1"/>
        </xdr:nvSpPr>
        <xdr:spPr>
          <a:xfrm>
            <a:off x="2910905" y="1463684"/>
            <a:ext cx="2304815" cy="455008"/>
          </a:xfrm>
          <a:prstGeom prst="rect">
            <a:avLst/>
          </a:prstGeom>
          <a:noFill/>
          <a:ln w="9525" cmpd="sng">
            <a:noFill/>
          </a:ln>
        </xdr:spPr>
        <xdr:style>
          <a:lnRef idx="0">
            <a:scrgbClr r="0" g="0" b="0"/>
          </a:lnRef>
          <a:fillRef idx="1001">
            <a:schemeClr val="lt1"/>
          </a:fillRef>
          <a:effectRef idx="0">
            <a:scrgbClr r="0" g="0" b="0"/>
          </a:effectRef>
          <a:fontRef idx="minor">
            <a:schemeClr val="dk1"/>
          </a:fontRef>
        </xdr:style>
        <xdr:txBody>
          <a:bodyPr vertOverflow="clip" horzOverflow="clip" wrap="square" rtlCol="0" anchor="ctr"/>
          <a:lstStyle/>
          <a:p>
            <a:pPr algn="ctr"/>
            <a:fld id="{B064A747-F6D7-4DE7-98D0-3015E7D1D764}" type="TxLink">
              <a:rPr lang="en-US" sz="3200" b="1" i="0" u="none" strike="noStrike">
                <a:solidFill>
                  <a:srgbClr val="EBF2FA"/>
                </a:solidFill>
                <a:latin typeface="Inter Display Black" panose="02000A03000000020004" pitchFamily="2" charset="0"/>
                <a:ea typeface="Inter Display Black" panose="02000A03000000020004" pitchFamily="2" charset="0"/>
                <a:cs typeface="Inter Display Black" panose="02000A03000000020004" pitchFamily="2" charset="0"/>
              </a:rPr>
              <a:pPr algn="ctr"/>
              <a:t>2000</a:t>
            </a:fld>
            <a:endParaRPr lang="en-MY" sz="7200" b="1" i="0">
              <a:solidFill>
                <a:srgbClr val="EBF2FA"/>
              </a:solidFill>
              <a:latin typeface="Inter Display Black" panose="02000A03000000020004" pitchFamily="2" charset="0"/>
              <a:ea typeface="Inter Display Black" panose="02000A03000000020004" pitchFamily="2" charset="0"/>
              <a:cs typeface="Inter Display Black" panose="02000A03000000020004" pitchFamily="2" charset="0"/>
            </a:endParaRPr>
          </a:p>
        </xdr:txBody>
      </xdr:sp>
    </xdr:grpSp>
    <xdr:clientData/>
  </xdr:twoCellAnchor>
  <xdr:twoCellAnchor>
    <xdr:from>
      <xdr:col>2</xdr:col>
      <xdr:colOff>15363</xdr:colOff>
      <xdr:row>52</xdr:row>
      <xdr:rowOff>10354</xdr:rowOff>
    </xdr:from>
    <xdr:to>
      <xdr:col>6</xdr:col>
      <xdr:colOff>10857</xdr:colOff>
      <xdr:row>62</xdr:row>
      <xdr:rowOff>38584</xdr:rowOff>
    </xdr:to>
    <xdr:graphicFrame macro="">
      <xdr:nvGraphicFramePr>
        <xdr:cNvPr id="5" name="Chart 1">
          <a:extLst>
            <a:ext uri="{FF2B5EF4-FFF2-40B4-BE49-F238E27FC236}">
              <a16:creationId xmlns:a16="http://schemas.microsoft.com/office/drawing/2014/main" id="{29D2DF38-CFDA-4319-99E7-041E4B3EC3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41861</xdr:colOff>
      <xdr:row>51</xdr:row>
      <xdr:rowOff>246685</xdr:rowOff>
    </xdr:from>
    <xdr:to>
      <xdr:col>10</xdr:col>
      <xdr:colOff>1282860</xdr:colOff>
      <xdr:row>75</xdr:row>
      <xdr:rowOff>0</xdr:rowOff>
    </xdr:to>
    <xdr:graphicFrame macro="">
      <xdr:nvGraphicFramePr>
        <xdr:cNvPr id="7" name="Chart 3">
          <a:extLst>
            <a:ext uri="{FF2B5EF4-FFF2-40B4-BE49-F238E27FC236}">
              <a16:creationId xmlns:a16="http://schemas.microsoft.com/office/drawing/2014/main" id="{F6B6B5C4-76F7-47FF-AD58-7E79823F41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115744</xdr:colOff>
      <xdr:row>7</xdr:row>
      <xdr:rowOff>366533</xdr:rowOff>
    </xdr:from>
    <xdr:to>
      <xdr:col>0</xdr:col>
      <xdr:colOff>2311744</xdr:colOff>
      <xdr:row>12</xdr:row>
      <xdr:rowOff>79200</xdr:rowOff>
    </xdr:to>
    <mc:AlternateContent xmlns:mc="http://schemas.openxmlformats.org/markup-compatibility/2006" xmlns:a14="http://schemas.microsoft.com/office/drawing/2010/main">
      <mc:Choice Requires="a14">
        <xdr:graphicFrame macro="">
          <xdr:nvGraphicFramePr>
            <xdr:cNvPr id="25" name="Gender">
              <a:extLst>
                <a:ext uri="{FF2B5EF4-FFF2-40B4-BE49-F238E27FC236}">
                  <a16:creationId xmlns:a16="http://schemas.microsoft.com/office/drawing/2014/main" id="{77DF1116-9F26-4101-B1AA-0D19C5F6D663}"/>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15744" y="2241295"/>
              <a:ext cx="2196000" cy="1139905"/>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121370</xdr:colOff>
      <xdr:row>23</xdr:row>
      <xdr:rowOff>6553</xdr:rowOff>
    </xdr:from>
    <xdr:to>
      <xdr:col>0</xdr:col>
      <xdr:colOff>2317370</xdr:colOff>
      <xdr:row>27</xdr:row>
      <xdr:rowOff>116238</xdr:rowOff>
    </xdr:to>
    <mc:AlternateContent xmlns:mc="http://schemas.openxmlformats.org/markup-compatibility/2006" xmlns:a14="http://schemas.microsoft.com/office/drawing/2010/main">
      <mc:Choice Requires="a14">
        <xdr:graphicFrame macro="">
          <xdr:nvGraphicFramePr>
            <xdr:cNvPr id="26" name="Part Time &#10;Job">
              <a:extLst>
                <a:ext uri="{FF2B5EF4-FFF2-40B4-BE49-F238E27FC236}">
                  <a16:creationId xmlns:a16="http://schemas.microsoft.com/office/drawing/2014/main" id="{CEAB4729-C829-4C30-B812-8C77B18D4182}"/>
                </a:ext>
              </a:extLst>
            </xdr:cNvPr>
            <xdr:cNvGraphicFramePr/>
          </xdr:nvGraphicFramePr>
          <xdr:xfrm>
            <a:off x="0" y="0"/>
            <a:ext cx="0" cy="0"/>
          </xdr:xfrm>
          <a:graphic>
            <a:graphicData uri="http://schemas.microsoft.com/office/drawing/2010/slicer">
              <sle:slicer xmlns:sle="http://schemas.microsoft.com/office/drawing/2010/slicer" name="Part Time &#10;Job"/>
            </a:graphicData>
          </a:graphic>
        </xdr:graphicFrame>
      </mc:Choice>
      <mc:Fallback xmlns="">
        <xdr:sp macro="" textlink="">
          <xdr:nvSpPr>
            <xdr:cNvPr id="0" name=""/>
            <xdr:cNvSpPr>
              <a:spLocks noTextEdit="1"/>
            </xdr:cNvSpPr>
          </xdr:nvSpPr>
          <xdr:spPr>
            <a:xfrm>
              <a:off x="124545" y="6556489"/>
              <a:ext cx="2189650" cy="1126087"/>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113524</xdr:colOff>
      <xdr:row>28</xdr:row>
      <xdr:rowOff>85783</xdr:rowOff>
    </xdr:from>
    <xdr:to>
      <xdr:col>0</xdr:col>
      <xdr:colOff>2315874</xdr:colOff>
      <xdr:row>32</xdr:row>
      <xdr:rowOff>199256</xdr:rowOff>
    </xdr:to>
    <mc:AlternateContent xmlns:mc="http://schemas.openxmlformats.org/markup-compatibility/2006" xmlns:a14="http://schemas.microsoft.com/office/drawing/2010/main">
      <mc:Choice Requires="a14">
        <xdr:graphicFrame macro="">
          <xdr:nvGraphicFramePr>
            <xdr:cNvPr id="27" name="Extracurricular &#10;Activities">
              <a:extLst>
                <a:ext uri="{FF2B5EF4-FFF2-40B4-BE49-F238E27FC236}">
                  <a16:creationId xmlns:a16="http://schemas.microsoft.com/office/drawing/2014/main" id="{CECACB81-2E46-4282-88C2-9E2668E54434}"/>
                </a:ext>
              </a:extLst>
            </xdr:cNvPr>
            <xdr:cNvGraphicFramePr/>
          </xdr:nvGraphicFramePr>
          <xdr:xfrm>
            <a:off x="0" y="0"/>
            <a:ext cx="0" cy="0"/>
          </xdr:xfrm>
          <a:graphic>
            <a:graphicData uri="http://schemas.microsoft.com/office/drawing/2010/slicer">
              <sle:slicer xmlns:sle="http://schemas.microsoft.com/office/drawing/2010/slicer" name="Extracurricular &#10;Activities"/>
            </a:graphicData>
          </a:graphic>
        </xdr:graphicFrame>
      </mc:Choice>
      <mc:Fallback xmlns="">
        <xdr:sp macro="" textlink="">
          <xdr:nvSpPr>
            <xdr:cNvPr id="0" name=""/>
            <xdr:cNvSpPr>
              <a:spLocks noTextEdit="1"/>
            </xdr:cNvSpPr>
          </xdr:nvSpPr>
          <xdr:spPr>
            <a:xfrm>
              <a:off x="113524" y="7911402"/>
              <a:ext cx="2196000" cy="1129473"/>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114381</xdr:colOff>
      <xdr:row>13</xdr:row>
      <xdr:rowOff>68614</xdr:rowOff>
    </xdr:from>
    <xdr:to>
      <xdr:col>0</xdr:col>
      <xdr:colOff>2313556</xdr:colOff>
      <xdr:row>22</xdr:row>
      <xdr:rowOff>2448</xdr:rowOff>
    </xdr:to>
    <mc:AlternateContent xmlns:mc="http://schemas.openxmlformats.org/markup-compatibility/2006" xmlns:a14="http://schemas.microsoft.com/office/drawing/2010/main">
      <mc:Choice Requires="a14">
        <xdr:graphicFrame macro="">
          <xdr:nvGraphicFramePr>
            <xdr:cNvPr id="28" name="Career &#10;Aspiration">
              <a:extLst>
                <a:ext uri="{FF2B5EF4-FFF2-40B4-BE49-F238E27FC236}">
                  <a16:creationId xmlns:a16="http://schemas.microsoft.com/office/drawing/2014/main" id="{0A8A3ED1-547B-464B-9C8D-849EBEB68770}"/>
                </a:ext>
              </a:extLst>
            </xdr:cNvPr>
            <xdr:cNvGraphicFramePr/>
          </xdr:nvGraphicFramePr>
          <xdr:xfrm>
            <a:off x="0" y="0"/>
            <a:ext cx="0" cy="0"/>
          </xdr:xfrm>
          <a:graphic>
            <a:graphicData uri="http://schemas.microsoft.com/office/drawing/2010/slicer">
              <sle:slicer xmlns:sle="http://schemas.microsoft.com/office/drawing/2010/slicer" name="Career &#10;Aspiration"/>
            </a:graphicData>
          </a:graphic>
        </xdr:graphicFrame>
      </mc:Choice>
      <mc:Fallback xmlns="">
        <xdr:sp macro="" textlink="">
          <xdr:nvSpPr>
            <xdr:cNvPr id="0" name=""/>
            <xdr:cNvSpPr>
              <a:spLocks noTextEdit="1"/>
            </xdr:cNvSpPr>
          </xdr:nvSpPr>
          <xdr:spPr>
            <a:xfrm>
              <a:off x="114381" y="3607129"/>
              <a:ext cx="2202350" cy="2740847"/>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123634</xdr:colOff>
      <xdr:row>32</xdr:row>
      <xdr:rowOff>422803</xdr:rowOff>
    </xdr:from>
    <xdr:to>
      <xdr:col>0</xdr:col>
      <xdr:colOff>2313284</xdr:colOff>
      <xdr:row>38</xdr:row>
      <xdr:rowOff>237203</xdr:rowOff>
    </xdr:to>
    <mc:AlternateContent xmlns:mc="http://schemas.openxmlformats.org/markup-compatibility/2006" xmlns:a14="http://schemas.microsoft.com/office/drawing/2010/main">
      <mc:Choice Requires="a14">
        <xdr:graphicFrame macro="">
          <xdr:nvGraphicFramePr>
            <xdr:cNvPr id="29" name="Attendance &#10;Performance ">
              <a:extLst>
                <a:ext uri="{FF2B5EF4-FFF2-40B4-BE49-F238E27FC236}">
                  <a16:creationId xmlns:a16="http://schemas.microsoft.com/office/drawing/2014/main" id="{7D237813-8165-4AB3-8EB5-D4ADA2EA5C3B}"/>
                </a:ext>
              </a:extLst>
            </xdr:cNvPr>
            <xdr:cNvGraphicFramePr/>
          </xdr:nvGraphicFramePr>
          <xdr:xfrm>
            <a:off x="0" y="0"/>
            <a:ext cx="0" cy="0"/>
          </xdr:xfrm>
          <a:graphic>
            <a:graphicData uri="http://schemas.microsoft.com/office/drawing/2010/slicer">
              <sle:slicer xmlns:sle="http://schemas.microsoft.com/office/drawing/2010/slicer" name="Attendance &#10;Performance "/>
            </a:graphicData>
          </a:graphic>
        </xdr:graphicFrame>
      </mc:Choice>
      <mc:Fallback xmlns="">
        <xdr:sp macro="" textlink="">
          <xdr:nvSpPr>
            <xdr:cNvPr id="0" name=""/>
            <xdr:cNvSpPr>
              <a:spLocks noTextEdit="1"/>
            </xdr:cNvSpPr>
          </xdr:nvSpPr>
          <xdr:spPr>
            <a:xfrm>
              <a:off x="123634" y="9264422"/>
              <a:ext cx="2196000" cy="1556114"/>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561256</xdr:colOff>
      <xdr:row>1</xdr:row>
      <xdr:rowOff>31412</xdr:rowOff>
    </xdr:from>
    <xdr:to>
      <xdr:col>0</xdr:col>
      <xdr:colOff>1969627</xdr:colOff>
      <xdr:row>6</xdr:row>
      <xdr:rowOff>276533</xdr:rowOff>
    </xdr:to>
    <xdr:pic>
      <xdr:nvPicPr>
        <xdr:cNvPr id="9" name="Picture 8">
          <a:extLst>
            <a:ext uri="{FF2B5EF4-FFF2-40B4-BE49-F238E27FC236}">
              <a16:creationId xmlns:a16="http://schemas.microsoft.com/office/drawing/2014/main" id="{5E386E50-7EC4-4B24-97F0-82C9CE19E898}"/>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561256" y="284900"/>
          <a:ext cx="1408371" cy="1512560"/>
        </a:xfrm>
        <a:prstGeom prst="rect">
          <a:avLst/>
        </a:prstGeom>
      </xdr:spPr>
    </xdr:pic>
    <xdr:clientData/>
  </xdr:twoCellAnchor>
  <xdr:twoCellAnchor>
    <xdr:from>
      <xdr:col>8</xdr:col>
      <xdr:colOff>578060</xdr:colOff>
      <xdr:row>4</xdr:row>
      <xdr:rowOff>125895</xdr:rowOff>
    </xdr:from>
    <xdr:to>
      <xdr:col>10</xdr:col>
      <xdr:colOff>1246780</xdr:colOff>
      <xdr:row>7</xdr:row>
      <xdr:rowOff>144767</xdr:rowOff>
    </xdr:to>
    <xdr:grpSp>
      <xdr:nvGrpSpPr>
        <xdr:cNvPr id="14" name="Group 13">
          <a:extLst>
            <a:ext uri="{FF2B5EF4-FFF2-40B4-BE49-F238E27FC236}">
              <a16:creationId xmlns:a16="http://schemas.microsoft.com/office/drawing/2014/main" id="{FBD0DA3D-91D4-41C2-8AED-B18ED75743BD}"/>
            </a:ext>
          </a:extLst>
        </xdr:cNvPr>
        <xdr:cNvGrpSpPr/>
      </xdr:nvGrpSpPr>
      <xdr:grpSpPr>
        <a:xfrm>
          <a:off x="10493515" y="1169423"/>
          <a:ext cx="3358748" cy="898103"/>
          <a:chOff x="5614198" y="1135662"/>
          <a:chExt cx="2338080" cy="868596"/>
        </a:xfrm>
        <a:solidFill>
          <a:srgbClr val="036666"/>
        </a:solidFill>
        <a:effectLst>
          <a:outerShdw blurRad="50800" dist="38100" dir="2700000" algn="tl" rotWithShape="0">
            <a:prstClr val="black">
              <a:alpha val="40000"/>
            </a:prstClr>
          </a:outerShdw>
        </a:effectLst>
      </xdr:grpSpPr>
      <xdr:sp macro="" textlink="">
        <xdr:nvSpPr>
          <xdr:cNvPr id="19" name="Rectangle 18">
            <a:extLst>
              <a:ext uri="{FF2B5EF4-FFF2-40B4-BE49-F238E27FC236}">
                <a16:creationId xmlns:a16="http://schemas.microsoft.com/office/drawing/2014/main" id="{45D859EE-3E94-4FD5-88E2-B5EDD134CEA4}"/>
              </a:ext>
            </a:extLst>
          </xdr:cNvPr>
          <xdr:cNvSpPr/>
        </xdr:nvSpPr>
        <xdr:spPr>
          <a:xfrm>
            <a:off x="5614198" y="1135662"/>
            <a:ext cx="2338080" cy="868596"/>
          </a:xfrm>
          <a:prstGeom prst="rect">
            <a:avLst/>
          </a:prstGeom>
          <a:grpFill/>
          <a:ln w="34925">
            <a:solidFill>
              <a:srgbClr val="006D77"/>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MY" sz="1600" b="1">
                <a:solidFill>
                  <a:srgbClr val="EBF2FA"/>
                </a:solidFill>
                <a:latin typeface="Inter" panose="02000503000000020004" pitchFamily="2" charset="0"/>
                <a:ea typeface="Inter" panose="02000503000000020004" pitchFamily="2" charset="0"/>
                <a:cs typeface="Inter" panose="02000503000000020004" pitchFamily="2" charset="0"/>
              </a:rPr>
              <a:t>% Student by Grade A</a:t>
            </a:r>
          </a:p>
        </xdr:txBody>
      </xdr:sp>
      <xdr:sp macro="" textlink="'Pivot Table'!I7">
        <xdr:nvSpPr>
          <xdr:cNvPr id="32" name="TextBox 31">
            <a:extLst>
              <a:ext uri="{FF2B5EF4-FFF2-40B4-BE49-F238E27FC236}">
                <a16:creationId xmlns:a16="http://schemas.microsoft.com/office/drawing/2014/main" id="{D5EFFB5F-9D9D-4701-B537-497583579A90}"/>
              </a:ext>
            </a:extLst>
          </xdr:cNvPr>
          <xdr:cNvSpPr txBox="1"/>
        </xdr:nvSpPr>
        <xdr:spPr>
          <a:xfrm>
            <a:off x="5627557" y="1475719"/>
            <a:ext cx="2311653" cy="455008"/>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016B172-3080-47CE-858B-2D6F3F5B1428}" type="TxLink">
              <a:rPr lang="en-US" sz="3200" b="1" i="0" u="none" strike="noStrike">
                <a:solidFill>
                  <a:srgbClr val="EBF2FA"/>
                </a:solidFill>
                <a:latin typeface="Inter Display Black" panose="02000A03000000020004" pitchFamily="2" charset="0"/>
                <a:ea typeface="Inter Display Black" panose="02000A03000000020004" pitchFamily="2" charset="0"/>
                <a:cs typeface="Inter Display Black" panose="02000A03000000020004" pitchFamily="2" charset="0"/>
              </a:rPr>
              <a:pPr algn="ctr"/>
              <a:t>49.65%</a:t>
            </a:fld>
            <a:endParaRPr lang="en-MY" sz="1200" b="1">
              <a:solidFill>
                <a:srgbClr val="EBF2FA"/>
              </a:solidFill>
              <a:latin typeface="Inter Display Black" panose="02000A03000000020004" pitchFamily="2" charset="0"/>
              <a:ea typeface="Inter Display Black" panose="02000A03000000020004" pitchFamily="2" charset="0"/>
              <a:cs typeface="Inter Display Black" panose="02000A03000000020004" pitchFamily="2" charset="0"/>
            </a:endParaRPr>
          </a:p>
        </xdr:txBody>
      </xdr:sp>
    </xdr:grpSp>
    <xdr:clientData/>
  </xdr:twoCellAnchor>
  <xdr:twoCellAnchor>
    <xdr:from>
      <xdr:col>4</xdr:col>
      <xdr:colOff>1226707</xdr:colOff>
      <xdr:row>4</xdr:row>
      <xdr:rowOff>125775</xdr:rowOff>
    </xdr:from>
    <xdr:to>
      <xdr:col>8</xdr:col>
      <xdr:colOff>183723</xdr:colOff>
      <xdr:row>7</xdr:row>
      <xdr:rowOff>142875</xdr:rowOff>
    </xdr:to>
    <xdr:sp macro="" textlink="">
      <xdr:nvSpPr>
        <xdr:cNvPr id="21" name="Rectangle 20">
          <a:extLst>
            <a:ext uri="{FF2B5EF4-FFF2-40B4-BE49-F238E27FC236}">
              <a16:creationId xmlns:a16="http://schemas.microsoft.com/office/drawing/2014/main" id="{B3E0A526-EF2B-4096-9736-544CCF9EF9EA}"/>
            </a:ext>
          </a:extLst>
        </xdr:cNvPr>
        <xdr:cNvSpPr/>
      </xdr:nvSpPr>
      <xdr:spPr>
        <a:xfrm>
          <a:off x="6770257" y="1154475"/>
          <a:ext cx="3309941" cy="883875"/>
        </a:xfrm>
        <a:prstGeom prst="rect">
          <a:avLst/>
        </a:prstGeom>
        <a:solidFill>
          <a:srgbClr val="036666"/>
        </a:solidFill>
        <a:ln w="34925">
          <a:solidFill>
            <a:srgbClr val="006D77"/>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MY" sz="1600" b="1">
              <a:solidFill>
                <a:srgbClr val="EBF2FA"/>
              </a:solidFill>
              <a:latin typeface="Inter" panose="02000503000000020004" pitchFamily="2" charset="0"/>
              <a:ea typeface="Inter" panose="02000503000000020004" pitchFamily="2" charset="0"/>
              <a:cs typeface="Inter" panose="02000503000000020004" pitchFamily="2" charset="0"/>
            </a:rPr>
            <a:t>Average</a:t>
          </a:r>
          <a:r>
            <a:rPr lang="en-MY" sz="1600" b="1" baseline="0">
              <a:solidFill>
                <a:srgbClr val="EBF2FA"/>
              </a:solidFill>
              <a:latin typeface="Inter" panose="02000503000000020004" pitchFamily="2" charset="0"/>
              <a:ea typeface="Inter" panose="02000503000000020004" pitchFamily="2" charset="0"/>
              <a:cs typeface="Inter" panose="02000503000000020004" pitchFamily="2" charset="0"/>
            </a:rPr>
            <a:t> Overall Score</a:t>
          </a:r>
          <a:endParaRPr lang="en-MY" sz="1600" b="1">
            <a:solidFill>
              <a:srgbClr val="EBF2FA"/>
            </a:solidFill>
            <a:latin typeface="Inter" panose="02000503000000020004" pitchFamily="2" charset="0"/>
            <a:ea typeface="Inter" panose="02000503000000020004" pitchFamily="2" charset="0"/>
            <a:cs typeface="Inter" panose="02000503000000020004" pitchFamily="2" charset="0"/>
          </a:endParaRPr>
        </a:p>
      </xdr:txBody>
    </xdr:sp>
    <xdr:clientData/>
  </xdr:twoCellAnchor>
  <xdr:twoCellAnchor>
    <xdr:from>
      <xdr:col>4</xdr:col>
      <xdr:colOff>1257300</xdr:colOff>
      <xdr:row>6</xdr:row>
      <xdr:rowOff>0</xdr:rowOff>
    </xdr:from>
    <xdr:to>
      <xdr:col>8</xdr:col>
      <xdr:colOff>158750</xdr:colOff>
      <xdr:row>7</xdr:row>
      <xdr:rowOff>38099</xdr:rowOff>
    </xdr:to>
    <xdr:sp macro="" textlink="'Pivot Table'!I4">
      <xdr:nvSpPr>
        <xdr:cNvPr id="33" name="TextBox 32">
          <a:extLst>
            <a:ext uri="{FF2B5EF4-FFF2-40B4-BE49-F238E27FC236}">
              <a16:creationId xmlns:a16="http://schemas.microsoft.com/office/drawing/2014/main" id="{E5854223-804B-4F6F-A3E2-91BE95297793}"/>
            </a:ext>
          </a:extLst>
        </xdr:cNvPr>
        <xdr:cNvSpPr txBox="1"/>
      </xdr:nvSpPr>
      <xdr:spPr>
        <a:xfrm>
          <a:off x="6800850" y="1543050"/>
          <a:ext cx="3254375" cy="3905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E995E44-E3DD-4FD0-ACB4-9FC034A0889E}" type="TxLink">
            <a:rPr lang="en-US" sz="3200" b="1" i="0" u="none" strike="noStrike">
              <a:solidFill>
                <a:srgbClr val="EBF2FA"/>
              </a:solidFill>
              <a:latin typeface="Inter Display Black" panose="02000A03000000020004" pitchFamily="2" charset="0"/>
              <a:ea typeface="Inter Display Black" panose="02000A03000000020004" pitchFamily="2" charset="0"/>
              <a:cs typeface="Inter Display Black" panose="02000A03000000020004" pitchFamily="2" charset="0"/>
            </a:rPr>
            <a:pPr algn="ctr"/>
            <a:t>80.98</a:t>
          </a:fld>
          <a:endParaRPr lang="en-MY" sz="3200" b="1">
            <a:solidFill>
              <a:srgbClr val="EBF2FA"/>
            </a:solidFill>
            <a:latin typeface="Inter Display Black" panose="02000A03000000020004" pitchFamily="2" charset="0"/>
            <a:ea typeface="Inter Display Black" panose="02000A03000000020004" pitchFamily="2" charset="0"/>
            <a:cs typeface="Inter Display Black" panose="02000A03000000020004" pitchFamily="2" charset="0"/>
          </a:endParaRPr>
        </a:p>
      </xdr:txBody>
    </xdr:sp>
    <xdr:clientData/>
  </xdr:twoCellAnchor>
  <xdr:twoCellAnchor>
    <xdr:from>
      <xdr:col>2</xdr:col>
      <xdr:colOff>0</xdr:colOff>
      <xdr:row>64</xdr:row>
      <xdr:rowOff>199425</xdr:rowOff>
    </xdr:from>
    <xdr:to>
      <xdr:col>6</xdr:col>
      <xdr:colOff>0</xdr:colOff>
      <xdr:row>74</xdr:row>
      <xdr:rowOff>240082</xdr:rowOff>
    </xdr:to>
    <xdr:graphicFrame macro="">
      <xdr:nvGraphicFramePr>
        <xdr:cNvPr id="36" name="Chart 11">
          <a:extLst>
            <a:ext uri="{FF2B5EF4-FFF2-40B4-BE49-F238E27FC236}">
              <a16:creationId xmlns:a16="http://schemas.microsoft.com/office/drawing/2014/main" id="{DDFC6522-9C75-4964-BE3A-6FEEF13169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M YONG KANG" refreshedDate="46124.762916087966" createdVersion="7" refreshedVersion="8" minRefreshableVersion="3" recordCount="2000" xr:uid="{684261B6-58E7-4769-BC97-E958225FE761}">
  <cacheSource type="worksheet">
    <worksheetSource name="Table1"/>
  </cacheSource>
  <cacheFields count="30">
    <cacheField name="ID" numFmtId="0">
      <sharedItems containsSemiMixedTypes="0" containsString="0" containsNumber="1" containsInteger="1" minValue="1" maxValue="2000"/>
    </cacheField>
    <cacheField name="First _x000a_Name" numFmtId="49">
      <sharedItems/>
    </cacheField>
    <cacheField name="Last _x000a_Name" numFmtId="0">
      <sharedItems/>
    </cacheField>
    <cacheField name="Full _x000a_Name" numFmtId="0">
      <sharedItems count="1965">
        <s v="Paul Casey"/>
        <s v="Danielle Sandoval"/>
        <s v="Tina Andrews"/>
        <s v="Tara Clark"/>
        <s v="Anthony Campos"/>
        <s v="Kelly Wade"/>
        <s v="Anthony Smith"/>
        <s v="George Short"/>
        <s v="Stanley Gutierrez"/>
        <s v="Audrey Simpson"/>
        <s v="Gabrielle White"/>
        <s v="Clinton Randolph"/>
        <s v="Patricia Gomez"/>
        <s v="Pamela Jackson"/>
        <s v="Laura Jackson"/>
        <s v="Roger Wiley"/>
        <s v="Vicki Thompson"/>
        <s v="Maxwell Davidson"/>
        <s v="Jonathan Werner"/>
        <s v="Angela Rios"/>
        <s v="Tim Nichols"/>
        <s v="Kyle Willis"/>
        <s v="Shannon Simpson"/>
        <s v="Sean Griffin"/>
        <s v="Cassandra West"/>
        <s v="Patricia Chavez"/>
        <s v="Jason Williams"/>
        <s v="Peter Gibbs"/>
        <s v="Jeffrey Blanchard"/>
        <s v="Carol Hill"/>
        <s v="Angie Miller"/>
        <s v="Cynthia Knapp"/>
        <s v="Timothy Bryant"/>
        <s v="Phyllis Diaz"/>
        <s v="Lisa Burns"/>
        <s v="Kelly Farley"/>
        <s v="Ryan Lee"/>
        <s v="Michael Gilmore"/>
        <s v="Miguel Martinez"/>
        <s v="Christopher Taylor"/>
        <s v="Emily Holloway"/>
        <s v="Jesus Rasmussen"/>
        <s v="Lauren Farmer"/>
        <s v="Pamela Cole"/>
        <s v="David Gillespie"/>
        <s v="Kenneth Davis"/>
        <s v="Elizabeth Martin"/>
        <s v="Billy Soto"/>
        <s v="Kimberly Kelly"/>
        <s v="Sonia Noble"/>
        <s v="Christopher Stewart"/>
        <s v="Sandra Thornton"/>
        <s v="Luke Shannon"/>
        <s v="Lindsay Pruitt"/>
        <s v="Jamie Taylor"/>
        <s v="Jennifer Murphy"/>
        <s v="Melissa Lee"/>
        <s v="David Vaughn"/>
        <s v="Jacob Hanson"/>
        <s v="Casey May"/>
        <s v="Michelle Roman"/>
        <s v="Brittany Koch"/>
        <s v="Brian Lewis"/>
        <s v="Veronica Cameron"/>
        <s v="Eric Reyes"/>
        <s v="Kristy Weber"/>
        <s v="Steven Stephens"/>
        <s v="Henry Davis"/>
        <s v="Raymond Shea"/>
        <s v="Jill Perez"/>
        <s v="Kimberly Bonilla"/>
        <s v="Louis Edwards"/>
        <s v="Michael Hodge"/>
        <s v="Anna Li"/>
        <s v="Andrea Case"/>
        <s v="Jennifer Garcia"/>
        <s v="Rhonda Davenport"/>
        <s v="Chelsea Craig"/>
        <s v="Shawn Chase"/>
        <s v="Elizabeth Calhoun"/>
        <s v="Lisa Harris"/>
        <s v="Carol Snyder"/>
        <s v="Charles Butler"/>
        <s v="James Dawson"/>
        <s v="Dennis Kim"/>
        <s v="Jennifer Berry"/>
        <s v="Yvette Bridges"/>
        <s v="Robert Atkins"/>
        <s v="William Brown"/>
        <s v="Patrick Parker"/>
        <s v="James Santiago"/>
        <s v="Robert Parsons"/>
        <s v="Jacob Brown"/>
        <s v="Natalie Robinson"/>
        <s v="Victoria Jones"/>
        <s v="Natasha Hansen"/>
        <s v="Thomas White"/>
        <s v="Derrick Figueroa"/>
        <s v="Kimberly Ward"/>
        <s v="Rhonda Jones"/>
        <s v="Abigail Perez"/>
        <s v="James Yang"/>
        <s v="Stephen Patton"/>
        <s v="Emma Wright"/>
        <s v="Cynthia Brown"/>
        <s v="Erin Kelley"/>
        <s v="Benjamin Morse"/>
        <s v="Alexandra Gibson"/>
        <s v="Phillip Allen"/>
        <s v="Joshua Gonzalez"/>
        <s v="Erin Jones"/>
        <s v="Charles Hayes"/>
        <s v="Kelsey Brown"/>
        <s v="Robert Turner"/>
        <s v="Robert Hill"/>
        <s v="Alyssa Ritter"/>
        <s v="Beth Bell"/>
        <s v="Andrew Dixon"/>
        <s v="Crystal Walker"/>
        <s v="Jordan Bennett"/>
        <s v="Antonio Caldwell"/>
        <s v="Jacob Reyes"/>
        <s v="Wendy Lewis"/>
        <s v="Jennifer Miller"/>
        <s v="Lisa Ware"/>
        <s v="Brian Lee"/>
        <s v="Mario Taylor"/>
        <s v="Amanda Williamson"/>
        <s v="Michael Miller"/>
        <s v="Amanda Vasquez"/>
        <s v="Chelsea Obrien"/>
        <s v="Tina Perkins"/>
        <s v="Cory Perez"/>
        <s v="Christopher Jenkins"/>
        <s v="Joanne Campos"/>
        <s v="David Patel"/>
        <s v="Michelle Hill"/>
        <s v="Jessica Boyd"/>
        <s v="Lawrence Russell"/>
        <s v="James Singh"/>
        <s v="Marc Villanueva"/>
        <s v="Cathy Wilson"/>
        <s v="Adam Mitchell"/>
        <s v="Sherry Phillips"/>
        <s v="Victor Jones"/>
        <s v="Mark Young"/>
        <s v="Matthew Jackson"/>
        <s v="Tanya Nichols"/>
        <s v="Julie Gray"/>
        <s v="Courtney Perry"/>
        <s v="Stephen Rodriguez"/>
        <s v="Elizabeth Robinson"/>
        <s v="William Graves"/>
        <s v="Nancy Moore"/>
        <s v="Matthew Newman"/>
        <s v="Anita Moore"/>
        <s v="Brian Sanchez"/>
        <s v="Dennis Phillips"/>
        <s v="Michael Rivas"/>
        <s v="Ryan Smith"/>
        <s v="Anthony Sullivan"/>
        <s v="Troy Shepherd"/>
        <s v="Nicholas Clayton"/>
        <s v="Denise Schneider"/>
        <s v="Lisa Silva"/>
        <s v="Laura Reilly"/>
        <s v="Amy Peterson"/>
        <s v="Fernando Sexton"/>
        <s v="Evan Christian"/>
        <s v="Rebecca Norris"/>
        <s v="Erica Marks"/>
        <s v="Rhonda Webster"/>
        <s v="John Bennett"/>
        <s v="Amanda Murphy"/>
        <s v="Jeremy Barnes"/>
        <s v="John Brown"/>
        <s v="Traci Boyd"/>
        <s v="Elizabeth Butler"/>
        <s v="Alex Clark"/>
        <s v="Christopher Wolfe"/>
        <s v="Jason Bell"/>
        <s v="Victoria Donaldson"/>
        <s v="Logan Cox"/>
        <s v="Rachel Hill"/>
        <s v="Jenny Lloyd"/>
        <s v="Joan Cohen"/>
        <s v="Kimberly Lopez"/>
        <s v="Steven Walker"/>
        <s v="Sonia Bowers"/>
        <s v="Penny Perez"/>
        <s v="Mike Harris"/>
        <s v="Vanessa Sweeney"/>
        <s v="Adam Edwards"/>
        <s v="Angelica Johnson"/>
        <s v="Tiffany Hernandez"/>
        <s v="Mark Myers"/>
        <s v="Erica Cochran"/>
        <s v="Karen Watson"/>
        <s v="Kathryn Frazier"/>
        <s v="Anthony Jackson"/>
        <s v="Jordan Perez"/>
        <s v="Jennifer Burgess"/>
        <s v="Christina Davis"/>
        <s v="April Ryan"/>
        <s v="Maxwell Davis"/>
        <s v="Matthew Guzman"/>
        <s v="Robert Mayer"/>
        <s v="Amanda Willis"/>
        <s v="Michele Thomas"/>
        <s v="Tim Turner"/>
        <s v="Joe Strickland"/>
        <s v="Trevor Cruz"/>
        <s v="Melissa Roberts"/>
        <s v="Tammy Miller"/>
        <s v="Chad Morgan"/>
        <s v="Samantha Maldonado"/>
        <s v="Marie Martin"/>
        <s v="Theresa Tucker"/>
        <s v="Joseph Morris"/>
        <s v="Charles Parker"/>
        <s v="Rachel Alvarez"/>
        <s v="Charles Robertson"/>
        <s v="Steven York"/>
        <s v="Robert Dougherty"/>
        <s v="Vanessa Wheeler"/>
        <s v="Emily Mcclure"/>
        <s v="Angela Thomas"/>
        <s v="Roberto Evans"/>
        <s v="Christopher Perez"/>
        <s v="William Torres"/>
        <s v="Lisa Gardner"/>
        <s v="Catherine Owens"/>
        <s v="Keith Summers"/>
        <s v="Linda Adams"/>
        <s v="Michael Wright"/>
        <s v="Kyle James"/>
        <s v="Christopher Cook"/>
        <s v="John Conley"/>
        <s v="David Barnett"/>
        <s v="Peter Garner"/>
        <s v="Douglas Stewart"/>
        <s v="Heidi Jones"/>
        <s v="Jeremy Daniels"/>
        <s v="Dustin Dodson"/>
        <s v="Christopher Cohen"/>
        <s v="Willie Ellis"/>
        <s v="Robert Hawkins"/>
        <s v="Stacy Jordan"/>
        <s v="Robert Swanson"/>
        <s v="Holly Henderson"/>
        <s v="Debra Valdez"/>
        <s v="Vincent Robertson"/>
        <s v="Karen Spencer"/>
        <s v="Nathan Riley"/>
        <s v="Andrea Sutton"/>
        <s v="Tracey Turner"/>
        <s v="Tammy Olsen"/>
        <s v="Sheila Wilkinson"/>
        <s v="Nathan Padilla"/>
        <s v="Sarah Santiago"/>
        <s v="Christopher Cruz"/>
        <s v="Nicholas Sanders"/>
        <s v="Jessica Waters"/>
        <s v="James Miller"/>
        <s v="Adam Kane"/>
        <s v="Patricia Gonzalez"/>
        <s v="Whitney Holmes"/>
        <s v="Rachel Hamilton"/>
        <s v="Melissa Marshall"/>
        <s v="Jacob Henderson"/>
        <s v="Melissa Huerta"/>
        <s v="Kevin Camacho"/>
        <s v="Anthony Martinez"/>
        <s v="Randy Rodriguez"/>
        <s v="Patrick Vazquez"/>
        <s v="Kim Flores"/>
        <s v="Robert Salazar"/>
        <s v="Victoria Vasquez"/>
        <s v="Ricardo Macias"/>
        <s v="Brandi Bauer"/>
        <s v="Jorge Roth"/>
        <s v="Benjamin Davis"/>
        <s v="Nancy Pierce"/>
        <s v="Catherine Weiss"/>
        <s v="Jacob Perez"/>
        <s v="Penny Zuniga"/>
        <s v="Anthony Cox"/>
        <s v="Angela Nelson"/>
        <s v="Lisa White"/>
        <s v="Robin Parker"/>
        <s v="Cynthia Shields"/>
        <s v="Pamela Wilkinson"/>
        <s v="Brenda Nichols"/>
        <s v="Laura Rodriguez"/>
        <s v="Julie Carey"/>
        <s v="Barbara Andrews"/>
        <s v="Tracy Johnson"/>
        <s v="Sarah Oconnor"/>
        <s v="Joseph Landry"/>
        <s v="Terry Chen"/>
        <s v="Heather Faulkner"/>
        <s v="Wanda Baxter"/>
        <s v="Amanda Davis"/>
        <s v="Gina Powell"/>
        <s v="Sabrina Hall"/>
        <s v="Lauren Miller"/>
        <s v="Jessica Diaz"/>
        <s v="Ashley Garcia"/>
        <s v="Miranda Johnson"/>
        <s v="Tracy Johnston"/>
        <s v="Erik Butler"/>
        <s v="Tiffany Jones"/>
        <s v="Brandy Campbell"/>
        <s v="Joel Hicks"/>
        <s v="John Miller"/>
        <s v="Nancy Jones"/>
        <s v="Jody Mueller"/>
        <s v="Steven Fox"/>
        <s v="Taylor Klein"/>
        <s v="David Barron"/>
        <s v="Kevin Thompson"/>
        <s v="Andrea Walters"/>
        <s v="David Wright"/>
        <s v="Anthony Oconnor"/>
        <s v="Laura Miller"/>
        <s v="Steven Barrett"/>
        <s v="Miranda Ruiz"/>
        <s v="Matthew Anderson"/>
        <s v="Kenneth Flores"/>
        <s v="Sydney Johnson"/>
        <s v="Carla Lewis"/>
        <s v="Jeffrey Shannon"/>
        <s v="Angela Park"/>
        <s v="Brandon Smith"/>
        <s v="Kenneth Moody"/>
        <s v="Scott Hughes"/>
        <s v="Cody Jimenez"/>
        <s v="Allen Farmer"/>
        <s v="James Young"/>
        <s v="Laura Dawson"/>
        <s v="Donald Carson"/>
        <s v="Wayne Lane"/>
        <s v="Robert Johnson"/>
        <s v="Melissa Le"/>
        <s v="David Rice"/>
        <s v="Dawn Gomez"/>
        <s v="Ricky Nichols"/>
        <s v="Henry Pitts"/>
        <s v="Christopher Price"/>
        <s v="Aimee Adams"/>
        <s v="Tammy Barry"/>
        <s v="Ryan Hull"/>
        <s v="Samuel Jackson"/>
        <s v="Joshua Smith"/>
        <s v="Sydney Stevenson"/>
        <s v="Christopher Rios"/>
        <s v="Brenda Collins"/>
        <s v="Diana Griffin"/>
        <s v="Gary Gray"/>
        <s v="Kimberly Torres"/>
        <s v="Jeffrey Booker"/>
        <s v="Nicole Buchanan"/>
        <s v="Kristin Johnson"/>
        <s v="Emily Bell"/>
        <s v="Francis Nelson"/>
        <s v="Tracy Harris"/>
        <s v="Sheila Sosa"/>
        <s v="Ashley Mendez"/>
        <s v="Matthew Griffin"/>
        <s v="Timothy Mann"/>
        <s v="Christine Foster"/>
        <s v="Julie Yates"/>
        <s v="William Ballard"/>
        <s v="Kristen Adams"/>
        <s v="Chelsea Mitchell"/>
        <s v="Patrick Everett"/>
        <s v="Carla Parker"/>
        <s v="Casey Galvan"/>
        <s v="Eric Moran"/>
        <s v="Tabitha Hudson"/>
        <s v="Lance Salazar"/>
        <s v="Melissa Williamson"/>
        <s v="James Castro"/>
        <s v="Joseph Johnson"/>
        <s v="Gene Woodward"/>
        <s v="Patricia Watson"/>
        <s v="John Carey"/>
        <s v="Sara Cochran"/>
        <s v="Jamie Suarez"/>
        <s v="Steven Frazier"/>
        <s v="Nicholas Hart"/>
        <s v="Cheryl Arias"/>
        <s v="Marc Brock"/>
        <s v="Timothy Perez"/>
        <s v="Courtney Rodriguez"/>
        <s v="Samantha Clark"/>
        <s v="Francisco Reilly"/>
        <s v="Denise Young"/>
        <s v="Darrell Williams"/>
        <s v="Andrew Smith"/>
        <s v="Teresa Stafford"/>
        <s v="Cory Harris"/>
        <s v="Douglas Irwin"/>
        <s v="Deborah Miller"/>
        <s v="Autumn Hernandez"/>
        <s v="Paul Serrano"/>
        <s v="Evan Holmes"/>
        <s v="Cynthia Baker"/>
        <s v="Sandra Melendez"/>
        <s v="Claudia Munoz"/>
        <s v="Christopher Nguyen"/>
        <s v="David Jennings"/>
        <s v="Joel Morris"/>
        <s v="Rhonda Bradley"/>
        <s v="Melissa Brown"/>
        <s v="Matthew Kramer"/>
        <s v="Austin Bass"/>
        <s v="Jennifer West"/>
        <s v="Patricia Mccormick"/>
        <s v="Sandra Jacobs"/>
        <s v="Jasmine Clark"/>
        <s v="Jeffrey Young"/>
        <s v="Jason Hernandez"/>
        <s v="Christopher Hamilton"/>
        <s v="Monique Peterson"/>
        <s v="Jill Sexton"/>
        <s v="Jennifer Kemp"/>
        <s v="David Harris"/>
        <s v="Cheryl Snyder"/>
        <s v="Nathan Armstrong"/>
        <s v="Patrick Ryan"/>
        <s v="Christian Wilkins"/>
        <s v="Clinton Martin"/>
        <s v="Adriana Sandoval"/>
        <s v="Jeremy Harvey"/>
        <s v="Caitlin Murillo"/>
        <s v="Andrew Green"/>
        <s v="Rodney Bennett"/>
        <s v="Megan Moyer"/>
        <s v="Mathew Burns"/>
        <s v="Tammie Stanley"/>
        <s v="James Glover"/>
        <s v="Michelle Reeves"/>
        <s v="Rhonda Hall"/>
        <s v="Matthew Kidd"/>
        <s v="Joseph Stone"/>
        <s v="Jessica Mendoza"/>
        <s v="Susan Brown"/>
        <s v="Lori Ryan"/>
        <s v="Ryan Cruz"/>
        <s v="Nicholas Johnson"/>
        <s v="Joseph Schmidt"/>
        <s v="Daniel Brown"/>
        <s v="Harold Vazquez"/>
        <s v="Lance Parsons"/>
        <s v="Jill Mathews"/>
        <s v="Crystal Nguyen"/>
        <s v="Susan Perez"/>
        <s v="Brenda Powers"/>
        <s v="Samuel Thompson"/>
        <s v="Taylor Nelson"/>
        <s v="Kimberly West"/>
        <s v="Brad Lee"/>
        <s v="Clayton Green"/>
        <s v="Richard Anderson"/>
        <s v="Antonio Flores"/>
        <s v="Margaret Mullins"/>
        <s v="Michael Ball"/>
        <s v="Allen Booth"/>
        <s v="Stephanie Clark"/>
        <s v="Sharon Nelson"/>
        <s v="Marco Clark"/>
        <s v="Victor Smith"/>
        <s v="Christina Patterson"/>
        <s v="Jerry Knight"/>
        <s v="Madison Jacobs"/>
        <s v="Douglas Watson"/>
        <s v="Manuel Barrett"/>
        <s v="Janet Martin"/>
        <s v="Teresa Flores"/>
        <s v="Anthony Mullins"/>
        <s v="Julie Zamora"/>
        <s v="Maria Nguyen"/>
        <s v="Selena Castro"/>
        <s v="Whitney Miller"/>
        <s v="Brenda Mooney"/>
        <s v="Angela Allen"/>
        <s v="Erica Cohen"/>
        <s v="Kelly Sanders"/>
        <s v="Michael Clark"/>
        <s v="Tammy Fields"/>
        <s v="Steven Pennington"/>
        <s v="Matthew Chavez"/>
        <s v="Stephen Gallagher"/>
        <s v="Victoria Anderson"/>
        <s v="Thomas Schroeder"/>
        <s v="Mark Sanchez"/>
        <s v="Katelyn Moses"/>
        <s v="Corey Davis"/>
        <s v="Susan Klein"/>
        <s v="John Martinez"/>
        <s v="Kendra Robertson"/>
        <s v="Tamara Olson"/>
        <s v="Sara Frazier"/>
        <s v="Morgan Moore"/>
        <s v="Eric Snyder"/>
        <s v="Paul Hale"/>
        <s v="Dale Martinez"/>
        <s v="Sandra Prince"/>
        <s v="Dawn Poole"/>
        <s v="Emily Jordan"/>
        <s v="John Owen"/>
        <s v="Andrew Best"/>
        <s v="Holly Burns"/>
        <s v="Alicia Rodriguez"/>
        <s v="Erin Ray"/>
        <s v="Todd Griffith"/>
        <s v="Melinda Payne"/>
        <s v="Cynthia Williams"/>
        <s v="Jenny Washington"/>
        <s v="Angela Joyce"/>
        <s v="William Alvarado"/>
        <s v="Michael Mercer"/>
        <s v="Erin Miller"/>
        <s v="Robert Heath"/>
        <s v="Deborah Rojas"/>
        <s v="Diana Jones"/>
        <s v="Meredith Clark"/>
        <s v="Christina Garrett"/>
        <s v="Daniel Jackson"/>
        <s v="Bradley Robinson"/>
        <s v="Phyllis Schneider"/>
        <s v="Thomas Clark"/>
        <s v="Gregory Gonzalez"/>
        <s v="Michelle Roth"/>
        <s v="Christopher Murphy"/>
        <s v="Mark Davis"/>
        <s v="Lauren Harrington"/>
        <s v="Michelle Owens"/>
        <s v="Scott Weaver"/>
        <s v="Monica Williams"/>
        <s v="Kathryn Hampton"/>
        <s v="Christina Shields"/>
        <s v="Andrew Thomas"/>
        <s v="Holly Sexton"/>
        <s v="Christopher Peterson"/>
        <s v="Eric Murray"/>
        <s v="Kristina Watson"/>
        <s v="Greg Martin"/>
        <s v="Paul Shaffer"/>
        <s v="Alexander Daniel"/>
        <s v="Carla Davis"/>
        <s v="Chelsea Clark"/>
        <s v="Justin Douglas"/>
        <s v="Charles Reid"/>
        <s v="Courtney Moreno"/>
        <s v="Justin Mitchell"/>
        <s v="Bruce Woods"/>
        <s v="Christopher Hines"/>
        <s v="Theodore Williams"/>
        <s v="Jennifer Valdez"/>
        <s v="Alexandra Day"/>
        <s v="John Pacheco"/>
        <s v="Sherry Brown"/>
        <s v="Douglas Clark"/>
        <s v="Alex Farmer"/>
        <s v="Brandon Gonzales"/>
        <s v="Wayne Trevino"/>
        <s v="Pamela Horne"/>
        <s v="Michael Schaefer"/>
        <s v="Carlos Ramirez"/>
        <s v="Antonio Lucero"/>
        <s v="Terry Ashley"/>
        <s v="Rita Cochran"/>
        <s v="Joseph Gregory"/>
        <s v="Alexandra Robinson"/>
        <s v="Tina Sparks"/>
        <s v="Christopher Buchanan"/>
        <s v="Christina Guerrero"/>
        <s v="Jessica Hutchinson"/>
        <s v="Tyler Carrillo"/>
        <s v="Lindsay Brady"/>
        <s v="Gary Rivera"/>
        <s v="Luke Moore"/>
        <s v="Tanya Green"/>
        <s v="Bryan Lee"/>
        <s v="Melanie Bridges"/>
        <s v="Eric Bowers"/>
        <s v="Meredith Reed"/>
        <s v="David Brown"/>
        <s v="William Johns"/>
        <s v="Eric Patton"/>
        <s v="Wendy Warner"/>
        <s v="Timothy Powell"/>
        <s v="Victoria Thompson"/>
        <s v="Jeremy Brown"/>
        <s v="Barbara Schneider"/>
        <s v="Lindsay Morales"/>
        <s v="Gary Patel"/>
        <s v="Michelle Ortiz"/>
        <s v="Susan Lynch"/>
        <s v="Tammy Hernandez"/>
        <s v="Jennifer Guerra"/>
        <s v="Kelly Schwartz"/>
        <s v="Brittany Orozco"/>
        <s v="Samantha Alvarado"/>
        <s v="Christopher Anderson"/>
        <s v="William Smith"/>
        <s v="Courtney Patterson"/>
        <s v="Kevin Hess"/>
        <s v="Melissa Higgins"/>
        <s v="Elizabeth Chavez"/>
        <s v="Mary Taylor"/>
        <s v="Joshua Parker"/>
        <s v="Joshua Kelly"/>
        <s v="Travis Ross"/>
        <s v="Kenneth Buchanan"/>
        <s v="Ryan Clarke"/>
        <s v="Gina Solomon"/>
        <s v="David Madden"/>
        <s v="William Brennan"/>
        <s v="Judy Mckenzie"/>
        <s v="Logan Lindsey"/>
        <s v="Kyle Williams"/>
        <s v="Mark Padilla"/>
        <s v="Eugene Clark"/>
        <s v="Sean Wagner"/>
        <s v="Christine Larson"/>
        <s v="Melinda Freeman"/>
        <s v="Elizabeth Smith"/>
        <s v="Walter King"/>
        <s v="Lisa Bean"/>
        <s v="Douglas Hayes"/>
        <s v="Heather Jefferson"/>
        <s v="Melinda Byrd"/>
        <s v="Alexander Burnett"/>
        <s v="Maria Campos"/>
        <s v="Lindsey Anthony"/>
        <s v="Darryl Schultz"/>
        <s v="Bethany French"/>
        <s v="Tyler Scott"/>
        <s v="Patricia Hall"/>
        <s v="Ryan Williams"/>
        <s v="Levi Mason"/>
        <s v="Michael Vang"/>
        <s v="April Humphrey"/>
        <s v="Steven Hancock"/>
        <s v="Chelsea Olson"/>
        <s v="Emily Huang"/>
        <s v="Rachel Jones"/>
        <s v="Philip Walker"/>
        <s v="Laura Rivera"/>
        <s v="Pamela Henry"/>
        <s v="Nicole Davidson"/>
        <s v="Jeffery Parker"/>
        <s v="Christopher Banks"/>
        <s v="Tara Griffin"/>
        <s v="Lisa Lloyd"/>
        <s v="Elizabeth Maldonado"/>
        <s v="Samuel Anderson"/>
        <s v="Xavier Johnson"/>
        <s v="Lauren Cordova"/>
        <s v="Amanda Hawkins"/>
        <s v="Donald Coleman"/>
        <s v="Phillip Bennett"/>
        <s v="John George"/>
        <s v="Katherine Moore"/>
        <s v="Jose Dominguez"/>
        <s v="Lauren Morrow"/>
        <s v="Katie Davenport"/>
        <s v="Michelle Martinez"/>
        <s v="Jeremiah Stanley"/>
        <s v="Isaac Tucker"/>
        <s v="Hannah Garcia"/>
        <s v="Thomas Nelson"/>
        <s v="William Kennedy"/>
        <s v="Jennifer Williams"/>
        <s v="Jeffrey Price"/>
        <s v="Zachary Burns"/>
        <s v="Curtis Duffy"/>
        <s v="Allison Alvarado"/>
        <s v="Jeffery Kelley"/>
        <s v="Kenneth Clark"/>
        <s v="Hayley Case"/>
        <s v="Vanessa Martinez"/>
        <s v="Tara Thomas"/>
        <s v="Aaron Williamson"/>
        <s v="Phillip Nelson"/>
        <s v="Michael Hinton"/>
        <s v="Alex Shelton"/>
        <s v="Ross Esparza"/>
        <s v="Lisa Murphy"/>
        <s v="Richard Gibson"/>
        <s v="Jackson Olson"/>
        <s v="Michael Waters"/>
        <s v="Daniel Mcneil"/>
        <s v="James Mcgee"/>
        <s v="Dennis Park"/>
        <s v="Gregory Jones"/>
        <s v="Barbara Petersen"/>
        <s v="Andrea Baker"/>
        <s v="Robert Holmes"/>
        <s v="Autumn Jones"/>
        <s v="Richard Davis"/>
        <s v="Anthony Armstrong"/>
        <s v="Julian Ortiz"/>
        <s v="Melinda Sanchez"/>
        <s v="James Carter"/>
        <s v="Alejandra Johns"/>
        <s v="Susan Long"/>
        <s v="Sharon Allen"/>
        <s v="Leah Brown"/>
        <s v="Maria Barker"/>
        <s v="Kelly Church"/>
        <s v="Michael Walsh"/>
        <s v="Alyssa Gallagher"/>
        <s v="Kelly Morris"/>
        <s v="Ryan Brown"/>
        <s v="Maria Hall"/>
        <s v="Mark Brown"/>
        <s v="William Kerr"/>
        <s v="Jake Gonzalez"/>
        <s v="Theresa Gray"/>
        <s v="Ashley Ayers"/>
        <s v="Ann Mccann"/>
        <s v="Curtis Bennett"/>
        <s v="Debra Gutierrez"/>
        <s v="Linda West"/>
        <s v="Justin Hughes"/>
        <s v="Jose Jackson"/>
        <s v="Larry Smith"/>
        <s v="Austin Dunn"/>
        <s v="Michael Heath"/>
        <s v="Beth Acosta"/>
        <s v="Tracie Weeks"/>
        <s v="Brandi Ray"/>
        <s v="Carla Brandt"/>
        <s v="Thomas Cruz"/>
        <s v="Nicholas Martin"/>
        <s v="Breanna Lee"/>
        <s v="Angie White"/>
        <s v="William Lester"/>
        <s v="Joshua Miller"/>
        <s v="Thomas Stone"/>
        <s v="Sarah King"/>
        <s v="Jeffery Carlson"/>
        <s v="Ashley Gutierrez"/>
        <s v="Adam Herring"/>
        <s v="David Ramirez"/>
        <s v="Angela Brown"/>
        <s v="Eric Jones"/>
        <s v="Angel Garner"/>
        <s v="Lisa Cowan"/>
        <s v="Nicole Perry"/>
        <s v="Annette Wells"/>
        <s v="Ian Scott"/>
        <s v="Kari Hernandez"/>
        <s v="Mary Haynes"/>
        <s v="Raymond Smith"/>
        <s v="Christopher Ayala"/>
        <s v="Jacqueline Frazier"/>
        <s v="Jesse Kelly"/>
        <s v="Teresa Lee"/>
        <s v="Michael Aguirre"/>
        <s v="April Delgado"/>
        <s v="Troy Prince"/>
        <s v="Martha Summers"/>
        <s v="William Dean"/>
        <s v="Cheryl Gutierrez"/>
        <s v="Diane Spears"/>
        <s v="Brian David"/>
        <s v="Heather Brooks"/>
        <s v="Pamela Rodgers"/>
        <s v="Betty Nash"/>
        <s v="Heather Donaldson"/>
        <s v="Ebony Shepherd"/>
        <s v="Sean Thomas"/>
        <s v="Todd Howard"/>
        <s v="Julia Richmond"/>
        <s v="Mary Mccormick"/>
        <s v="Jimmy Warren"/>
        <s v="Henry Spencer"/>
        <s v="Peter Yates"/>
        <s v="Robert Campbell"/>
        <s v="Matthew Conway"/>
        <s v="Tyler Calderon"/>
        <s v="Brittney Moon"/>
        <s v="Tracy White"/>
        <s v="Gregory Welch"/>
        <s v="Caroline Cooper"/>
        <s v="Kelly Rivera"/>
        <s v="Stacey Wilson"/>
        <s v="Craig Graham"/>
        <s v="Earl Santana"/>
        <s v="Lisa Mitchell"/>
        <s v="Michael Williams"/>
        <s v="Jerry Jones"/>
        <s v="Matthew Miles"/>
        <s v="Mary Cox"/>
        <s v="Jessica Young"/>
        <s v="Tiffany Small"/>
        <s v="Mary Wyatt"/>
        <s v="Maria Mercer"/>
        <s v="Erin Moore"/>
        <s v="Kendra Dalton"/>
        <s v="Anthony Gomez"/>
        <s v="Molly Jackson"/>
        <s v="Brianna Gutierrez"/>
        <s v="John Henderson"/>
        <s v="Steven Martin"/>
        <s v="Tina Bowers"/>
        <s v="Luis Jones"/>
        <s v="Jeffrey Thomas"/>
        <s v="Jeffrey Cox"/>
        <s v="Jennifer Bautista"/>
        <s v="Judy Pugh"/>
        <s v="Henry Craig"/>
        <s v="Steven Alvarez"/>
        <s v="Rebecca Mckay"/>
        <s v="James Reynolds"/>
        <s v="Heather Bentley"/>
        <s v="Alexis Hall"/>
        <s v="Ryan Soto"/>
        <s v="Brent Clements"/>
        <s v="Thomas Hernandez"/>
        <s v="Kevin Mack"/>
        <s v="Patrick Kirk"/>
        <s v="Cassandra Hodges"/>
        <s v="Christian Powers"/>
        <s v="Brittany Collier"/>
        <s v="James Bridges"/>
        <s v="Alexander Fowler"/>
        <s v="Andrew Wong"/>
        <s v="Bobby Valdez"/>
        <s v="Mary Bird"/>
        <s v="Andrew Rodriguez"/>
        <s v="Melanie Carter"/>
        <s v="Randy Lopez"/>
        <s v="David Cole"/>
        <s v="Jennifer Baxter"/>
        <s v="Shannon Graham"/>
        <s v="Stephanie Bush"/>
        <s v="Keith Tanner"/>
        <s v="Robert Anderson"/>
        <s v="Matthew Cantu"/>
        <s v="Heather Johnson"/>
        <s v="Lee Taylor"/>
        <s v="Jessica Williams"/>
        <s v="Holly Sanchez"/>
        <s v="James Ray"/>
        <s v="William Hernandez"/>
        <s v="Lisa Brown"/>
        <s v="Kevin York"/>
        <s v="Sarah Nielsen"/>
        <s v="Elizabeth Parks"/>
        <s v="Deborah Moore"/>
        <s v="Michael Anderson"/>
        <s v="Brian Adams"/>
        <s v="Anthony Silva"/>
        <s v="Melinda Velazquez"/>
        <s v="Andre Hoffman"/>
        <s v="Vanessa Coleman"/>
        <s v="Stephanie Hernandez"/>
        <s v="Timothy David"/>
        <s v="Carol Cortez"/>
        <s v="Justin Kelly"/>
        <s v="George King"/>
        <s v="Ashley Craig"/>
        <s v="Patricia Sullivan"/>
        <s v="David Jones"/>
        <s v="Cody Smith"/>
        <s v="Joseph Jackson"/>
        <s v="Brian Morales"/>
        <s v="Melissa Fry"/>
        <s v="Lori Jacobson"/>
        <s v="Jessica Shannon"/>
        <s v="Sharon Ramirez"/>
        <s v="Nicole Rice"/>
        <s v="Alison Webster"/>
        <s v="Alexander Mitchell"/>
        <s v="Bryan Grimes"/>
        <s v="Nicole Mcdonald"/>
        <s v="Christopher Ramirez"/>
        <s v="Lawrence Fields"/>
        <s v="Rebecca Molina"/>
        <s v="John Castillo"/>
        <s v="Sandra Davis"/>
        <s v="Scott Schultz"/>
        <s v="Joseph Harper"/>
        <s v="Ryan Salazar"/>
        <s v="Brenda Davis"/>
        <s v="Chad Taylor"/>
        <s v="Natasha Edwards"/>
        <s v="Pamela Edwards"/>
        <s v="Cynthia Richardson"/>
        <s v="Kevin Ryan"/>
        <s v="Eileen Nicholson"/>
        <s v="Robert Torres"/>
        <s v="Alicia Beltran"/>
        <s v="Jessica Wong"/>
        <s v="Ruben Meyer"/>
        <s v="Megan Alexander"/>
        <s v="Jennifer Gonzalez"/>
        <s v="Carl Ferguson"/>
        <s v="Valerie Romero"/>
        <s v="Laura Romero"/>
        <s v="Heidi Adams"/>
        <s v="Regina Spencer"/>
        <s v="Lee Campbell"/>
        <s v="Noah Mcdaniel"/>
        <s v="Dorothy Mitchell"/>
        <s v="Michael Mccarthy"/>
        <s v="Matthew Jones"/>
        <s v="John Riley"/>
        <s v="Shelly Dominguez"/>
        <s v="Ann Evans"/>
        <s v="David Perez"/>
        <s v="Nicole Bell"/>
        <s v="Amanda Garcia"/>
        <s v="Charles Owens"/>
        <s v="Teresa Henry"/>
        <s v="Luis Frank"/>
        <s v="Timothy Booth"/>
        <s v="Michael Moon"/>
        <s v="Rachel Hall"/>
        <s v="Thomas Nguyen"/>
        <s v="Tiffany Fields"/>
        <s v="Jessica Marshall"/>
        <s v="Maurice Nguyen"/>
        <s v="William Kelly"/>
        <s v="Harry Hunter"/>
        <s v="Gary Gentry"/>
        <s v="Maria Malone"/>
        <s v="Jason Vazquez"/>
        <s v="Patrick West"/>
        <s v="Alexandra Brown"/>
        <s v="Jennifer Torres"/>
        <s v="Daniel Smith"/>
        <s v="Catherine Boyle"/>
        <s v="Amanda Bush"/>
        <s v="Emma Copeland"/>
        <s v="Bradley Avery"/>
        <s v="Danielle Martinez"/>
        <s v="Anna Wolf"/>
        <s v="Megan Whitaker"/>
        <s v="Melissa Richard"/>
        <s v="Richard Small"/>
        <s v="Victor Phillips"/>
        <s v="Madison Callahan"/>
        <s v="Connor Olson"/>
        <s v="Hunter Allen"/>
        <s v="Shannon Johnson"/>
        <s v="Samantha Alexander"/>
        <s v="Justin Lester"/>
        <s v="Hunter Miller"/>
        <s v="Shelia Rogers"/>
        <s v="Laura Walker"/>
        <s v="Ashley Green"/>
        <s v="Beth Bonilla"/>
        <s v="Ray Padilla"/>
        <s v="Jennifer Cummings"/>
        <s v="Daniel Peterson"/>
        <s v="Andrew Miller"/>
        <s v="Scott Jacobson"/>
        <s v="Jennifer Baker"/>
        <s v="Suzanne Morrow"/>
        <s v="Melissa Gonzales"/>
        <s v="Erik Miller"/>
        <s v="Pamela Flores"/>
        <s v="Amanda Hernandez"/>
        <s v="Gregory Schaefer"/>
        <s v="Annette Logan"/>
        <s v="Tamara Long"/>
        <s v="John Baker"/>
        <s v="Justin Lynch"/>
        <s v="Daniel Knight"/>
        <s v="Angelica Jones"/>
        <s v="Lance Nelson"/>
        <s v="Katherine Jacobson"/>
        <s v="Corey Taylor"/>
        <s v="Laura Russell"/>
        <s v="Arthur Harris"/>
        <s v="Victoria Garcia"/>
        <s v="David Gonzales"/>
        <s v="Charles Thomas"/>
        <s v="Oscar Gonzalez"/>
        <s v="Sarah Miller"/>
        <s v="Eric Davis"/>
        <s v="Patrick Martin"/>
        <s v="Susan Schmidt"/>
        <s v="Brett Bell"/>
        <s v="Dennis Summers"/>
        <s v="Nicole Williams"/>
        <s v="Rachel Frye"/>
        <s v="Tyler Cabrera"/>
        <s v="Maureen Jones"/>
        <s v="Pamela Green"/>
        <s v="Jeffery Mcdonald"/>
        <s v="Austin Matthews"/>
        <s v="Jacqueline Allen"/>
        <s v="Joanna Dominguez"/>
        <s v="Brian Griffin"/>
        <s v="Dean Lee"/>
        <s v="Denise Rodriguez"/>
        <s v="Brendan Rivera"/>
        <s v="Jackson Smith"/>
        <s v="Craig Weber"/>
        <s v="Joseph Carpenter"/>
        <s v="Sarah Tucker"/>
        <s v="Steven Hernandez"/>
        <s v="Robert Foley"/>
        <s v="Michael Carr"/>
        <s v="Walter Herrera"/>
        <s v="Sarah Mckinney"/>
        <s v="Jacob Nguyen"/>
        <s v="Mary Garza"/>
        <s v="Jesse Hawkins"/>
        <s v="Jordan Boyd"/>
        <s v="Latoya Mullins"/>
        <s v="Jill Armstrong"/>
        <s v="Aaron Peterson"/>
        <s v="April Greene"/>
        <s v="Theodore Gomez"/>
        <s v="John Gardner"/>
        <s v="Joseph Petersen"/>
        <s v="Matthew Potter"/>
        <s v="Linda Munoz"/>
        <s v="Samantha Stewart"/>
        <s v="Michael Reyes"/>
        <s v="Sarah Murphy"/>
        <s v="Derrick Melton"/>
        <s v="Donna Horne"/>
        <s v="Natasha Butler"/>
        <s v="David Vasquez"/>
        <s v="Christopher Lester"/>
        <s v="Martin Franco"/>
        <s v="Katherine Donaldson"/>
        <s v="Harold Daniels"/>
        <s v="Nichole Harrington"/>
        <s v="Wendy Clark"/>
        <s v="Chelsea Taylor"/>
        <s v="Jeffrey Knight"/>
        <s v="Katelyn Watkins"/>
        <s v="Anne Johnston"/>
        <s v="Rebecca Carpenter"/>
        <s v="Ashley Baker"/>
        <s v="Lacey Norris"/>
        <s v="Angela Moore"/>
        <s v="Maria Obrien"/>
        <s v="Rebecca Larsen"/>
        <s v="Amanda Rodriguez"/>
        <s v="Patrick Clark"/>
        <s v="Janet Morrison"/>
        <s v="James Acosta"/>
        <s v="Richard Burke"/>
        <s v="Donald Contreras"/>
        <s v="Kenneth Mendez"/>
        <s v="Kenneth Sparks"/>
        <s v="Natasha Morales"/>
        <s v="David Mendoza"/>
        <s v="Melissa Wright"/>
        <s v="Cindy Hamilton"/>
        <s v="Nancy Walker"/>
        <s v="Matthew Peterson"/>
        <s v="Grant Mason"/>
        <s v="David Mays"/>
        <s v="Sheryl Parker"/>
        <s v="Ross Sanchez"/>
        <s v="Robert Barnett"/>
        <s v="Dean Sims"/>
        <s v="Jaime Morrison"/>
        <s v="Regina Hernandez"/>
        <s v="Margaret Smith"/>
        <s v="Kyle Garcia"/>
        <s v="Trevor Stark"/>
        <s v="Nathaniel Adams"/>
        <s v="Gabriela Martinez"/>
        <s v="Debra Walter"/>
        <s v="Kimberly Herrera"/>
        <s v="William Fleming"/>
        <s v="Brandon Foster"/>
        <s v="John Wilson"/>
        <s v="George Kerr"/>
        <s v="Kenneth Gilbert"/>
        <s v="Jodi Price"/>
        <s v="Jordan Sheppard"/>
        <s v="Tristan Martinez"/>
        <s v="Sharon Chandler"/>
        <s v="Steven Allen"/>
        <s v="Douglas Robertson"/>
        <s v="Sabrina Zavala"/>
        <s v="Corey Merritt"/>
        <s v="Jennifer Salas"/>
        <s v="John Klein"/>
        <s v="Rachel Grant"/>
        <s v="Jose Wood"/>
        <s v="Michelle Mcdonald"/>
        <s v="Thomas George"/>
        <s v="Charles Torres"/>
        <s v="Jonathan Finley"/>
        <s v="Diana Long"/>
        <s v="Jonathan Johnson"/>
        <s v="Nicole Robinson"/>
        <s v="Rebecca Mckinney"/>
        <s v="Daniel Guerrero"/>
        <s v="Jillian Dominguez"/>
        <s v="Samantha Phillips"/>
        <s v="Dylan Rogers"/>
        <s v="Brittany Spencer"/>
        <s v="Melissa Terry"/>
        <s v="Robin Perez"/>
        <s v="Veronica Hopkins"/>
        <s v="Daniel Lewis"/>
        <s v="Mallory Collins"/>
        <s v="Stephen Sosa"/>
        <s v="Andrew Hunter"/>
        <s v="David Hartman"/>
        <s v="Paul Taylor"/>
        <s v="Brittany Simmons"/>
        <s v="Emma Jones"/>
        <s v="Matthew Aguilar"/>
        <s v="Brett Myers"/>
        <s v="Lisa Alexander"/>
        <s v="Stephanie Allen"/>
        <s v="Rebecca Clark"/>
        <s v="Andrew Sanders"/>
        <s v="Julia Day"/>
        <s v="Amber Levy"/>
        <s v="Nicole Daniel"/>
        <s v="Sarah Wells"/>
        <s v="Laura Stone"/>
        <s v="Katherine Glenn"/>
        <s v="Catherine Mccall"/>
        <s v="Tammy Andrews"/>
        <s v="Kathryn Powell"/>
        <s v="Michael Lutz"/>
        <s v="Brian Myers"/>
        <s v="Maria Adams"/>
        <s v="Ronnie Nguyen"/>
        <s v="Daniel Stephens"/>
        <s v="Brandon Oliver"/>
        <s v="David Vazquez"/>
        <s v="Desiree Moore"/>
        <s v="Jessica Turner"/>
        <s v="Scott Bishop"/>
        <s v="Cassandra Flores"/>
        <s v="Miguel Hernandez"/>
        <s v="Brittany Welch"/>
        <s v="Robert Ross"/>
        <s v="Jennifer White"/>
        <s v="Rebecca Smith"/>
        <s v="Jessica Ferrell"/>
        <s v="Jeremy Montgomery"/>
        <s v="Angel Gilbert"/>
        <s v="Rebecca Roman"/>
        <s v="Frank Lopez"/>
        <s v="Crystal Miller"/>
        <s v="Nicholas Wallace"/>
        <s v="Arthur Brown"/>
        <s v="Corey Monroe"/>
        <s v="Angel Green"/>
        <s v="Tina Anderson"/>
        <s v="Rebecca Khan"/>
        <s v="Terry Dean"/>
        <s v="Tyler Martin"/>
        <s v="Derrick Hartman"/>
        <s v="Mark Stevens"/>
        <s v="Scott Tate"/>
        <s v="Melissa Deleon"/>
        <s v="Nicole Newman"/>
        <s v="Brent Burton"/>
        <s v="Victor Bright"/>
        <s v="Kenneth Turner"/>
        <s v="Lisa Bailey"/>
        <s v="Nancy Fowler"/>
        <s v="Gabriel Wilson"/>
        <s v="Andrea Barrett"/>
        <s v="Hector Cox"/>
        <s v="Michelle Mendoza"/>
        <s v="Adam Wallace"/>
        <s v="Kelly Harris"/>
        <s v="Anthony Clark"/>
        <s v="Randall Wyatt"/>
        <s v="Ryan Sutton"/>
        <s v="Rick Garcia"/>
        <s v="Frank Schmitt"/>
        <s v="Alan Mcgrath"/>
        <s v="Lauren Gomez"/>
        <s v="Katherine Taylor"/>
        <s v="Ashley York"/>
        <s v="Charles Rangel"/>
        <s v="Brooke Burnett"/>
        <s v="Ronald Lane"/>
        <s v="Emma Andrews"/>
        <s v="Nancy Esparza"/>
        <s v="Sean Erickson"/>
        <s v="Heather Davis"/>
        <s v="Kimberly Bailey"/>
        <s v="Tracy Garcia"/>
        <s v="Brenda Rhodes"/>
        <s v="Sarah Brooks"/>
        <s v="Jennifer Beck"/>
        <s v="Allison Bond"/>
        <s v="Jessica Smith"/>
        <s v="Carol Nguyen"/>
        <s v="George Francis"/>
        <s v="Michelle Dixon"/>
        <s v="Linda George"/>
        <s v="Larry Bruce"/>
        <s v="Charles Myers"/>
        <s v="Matthew Boyd"/>
        <s v="Ronald Brewer"/>
        <s v="Kimberly Mcgee"/>
        <s v="Jill Anderson"/>
        <s v="David Coffey"/>
        <s v="Brittany Henderson"/>
        <s v="Holly Richardson"/>
        <s v="Justin Brooks"/>
        <s v="Joan Frederick"/>
        <s v="Loretta Webb"/>
        <s v="Toni Zimmerman"/>
        <s v="Jaime Houston"/>
        <s v="Jacqueline Goodman"/>
        <s v="Brian Crawford"/>
        <s v="John Reynolds"/>
        <s v="Heather Marsh"/>
        <s v="Dawn Flores"/>
        <s v="Christie Lane"/>
        <s v="Traci Johnson"/>
        <s v="Robert Hartman"/>
        <s v="Christopher Porter"/>
        <s v="Phillip Lynch"/>
        <s v="Matthew Green"/>
        <s v="Jesse Johnson"/>
        <s v="Donna Andrews"/>
        <s v="Timothy Hall"/>
        <s v="Amy Hicks"/>
        <s v="Susan Wall"/>
        <s v="David Fields"/>
        <s v="Terri Lyons"/>
        <s v="Betty Nguyen"/>
        <s v="Albert Anderson"/>
        <s v="Katrina Montgomery"/>
        <s v="Samantha Cole"/>
        <s v="Kathleen Potts"/>
        <s v="Melissa Edwards"/>
        <s v="Mark Delgado"/>
        <s v="Derek Bates"/>
        <s v="Ryan Ruiz"/>
        <s v="Charles Gill"/>
        <s v="Amanda Edwards"/>
        <s v="Emily Waters"/>
        <s v="John Stevenson"/>
        <s v="Kevin Hoffman"/>
        <s v="Joseph Mcconnell"/>
        <s v="Shannon Martinez"/>
        <s v="Kenneth Baker"/>
        <s v="Margaret Sanchez"/>
        <s v="Ryan Hensley"/>
        <s v="Sharon Stephenson"/>
        <s v="Shawn Cameron"/>
        <s v="Stephanie Kennedy"/>
        <s v="Hayley Abbott"/>
        <s v="Rachel Jacobs"/>
        <s v="Danielle Tran"/>
        <s v="Autumn Barrett"/>
        <s v="Jennifer Landry"/>
        <s v="Sean Rodriguez"/>
        <s v="Ryan Long"/>
        <s v="Robert Hancock"/>
        <s v="Stephanie Rodriguez"/>
        <s v="Kristen Evans"/>
        <s v="Jaime White"/>
        <s v="Marcus Howard"/>
        <s v="Lucas Jenkins"/>
        <s v="Aaron Ortiz"/>
        <s v="Todd Stephens"/>
        <s v="Denise Blackburn"/>
        <s v="Tyler Green"/>
        <s v="Rebecca Daniel"/>
        <s v="Alexandria Harris"/>
        <s v="Danny Taylor"/>
        <s v="Amanda Evans"/>
        <s v="Scott Owens"/>
        <s v="Jesus Jones"/>
        <s v="April Spence"/>
        <s v="Christopher Lopez"/>
        <s v="Mario Hopkins"/>
        <s v="Cody Burke"/>
        <s v="Candace White"/>
        <s v="Robert Brown"/>
        <s v="Erica Woodward"/>
        <s v="Jennifer Martin"/>
        <s v="David Smith"/>
        <s v="Lori Johnson"/>
        <s v="Martin Garcia"/>
        <s v="Stacy Collins"/>
        <s v="Timothy Bailey"/>
        <s v="Susan Gonzalez"/>
        <s v="Nicole Harris"/>
        <s v="Courtney Moran"/>
        <s v="Gregory Barton"/>
        <s v="Dakota Clark"/>
        <s v="Robin Leonard"/>
        <s v="Edward Smith"/>
        <s v="Julie Little"/>
        <s v="Maureen Norman"/>
        <s v="Jeffrey Andrews"/>
        <s v="Christina Martinez"/>
        <s v="Samuel Becker"/>
        <s v="Carlos Flynn"/>
        <s v="Roberto Martin"/>
        <s v="Jennifer Johnson"/>
        <s v="Anthony Shah"/>
        <s v="Aimee Cook"/>
        <s v="Angela Collins"/>
        <s v="John Jensen"/>
        <s v="Julie Gomez"/>
        <s v="Bryan Mitchell"/>
        <s v="Katie Clark"/>
        <s v="Kathleen Simpson"/>
        <s v="Carolyn Reyes"/>
        <s v="Derrick Ortiz"/>
        <s v="Calvin Huynh"/>
        <s v="Margaret Wells"/>
        <s v="Heather Fitzpatrick"/>
        <s v="Kimberly Wood"/>
        <s v="Gina Kennedy"/>
        <s v="Jeremy Ward"/>
        <s v="Patricia Rhodes"/>
        <s v="Connie Colon"/>
        <s v="Pamela Moyer"/>
        <s v="Rachel Williams"/>
        <s v="Sean Malone"/>
        <s v="Natalie Fitzgerald"/>
        <s v="Kevin Diaz"/>
        <s v="Beth Jones"/>
        <s v="Kathryn Bates"/>
        <s v="Aaron Mcdaniel"/>
        <s v="Angela King"/>
        <s v="Lauren Arias"/>
        <s v="Alyssa Miller"/>
        <s v="Lisa Best"/>
        <s v="Nicole Garcia"/>
        <s v="William Lee"/>
        <s v="Christopher Bowen"/>
        <s v="David Bradford"/>
        <s v="Stephanie Jordan"/>
        <s v="Joseph Blake"/>
        <s v="Christina Velasquez"/>
        <s v="Thomas Calderon"/>
        <s v="Jorge Lee"/>
        <s v="Jasmin Phillips"/>
        <s v="Vincent Wilson"/>
        <s v="Richard Ryan"/>
        <s v="Jesse Garcia"/>
        <s v="James Tate"/>
        <s v="Charles May"/>
        <s v="Jeremiah Lee"/>
        <s v="Debra Reynolds"/>
        <s v="Eric Doyle"/>
        <s v="John Perez"/>
        <s v="Hector Garcia"/>
        <s v="Andres Rodriguez"/>
        <s v="Shelley Murphy"/>
        <s v="Robin Carr"/>
        <s v="Julie Lambert"/>
        <s v="Cynthia Rodriguez"/>
        <s v="Thomas Ball"/>
        <s v="Patricia Pope"/>
        <s v="Bryan Pacheco"/>
        <s v="Steven Richardson"/>
        <s v="Deborah Hood"/>
        <s v="Laura Campbell"/>
        <s v="Bradley Patel"/>
        <s v="Angela Moran"/>
        <s v="Samuel Lee"/>
        <s v="Catherine Miles"/>
        <s v="Joseph Erickson"/>
        <s v="Bradley Cook"/>
        <s v="Tony Montgomery"/>
        <s v="Drew Williams"/>
        <s v="Gwendolyn Martinez"/>
        <s v="Nathan Calhoun"/>
        <s v="Krista Myers"/>
        <s v="Jeremy Bailey"/>
        <s v="Nicholas Lester"/>
        <s v="Jennifer Ford"/>
        <s v="Connor Mitchell"/>
        <s v="Christine Nelson"/>
        <s v="Rebecca Spencer"/>
        <s v="Kyle Rojas"/>
        <s v="Stacy Sanders"/>
        <s v="Taylor Waters"/>
        <s v="Julie Nichols"/>
        <s v="John Lin"/>
        <s v="William Ryan"/>
        <s v="Joseph Phillips"/>
        <s v="Christina Ramirez"/>
        <s v="Laura Baxter"/>
        <s v="Kevin Jackson"/>
        <s v="Kayla Schwartz"/>
        <s v="Jason Myers"/>
        <s v="Mary Arnold"/>
        <s v="Suzanne Owens"/>
        <s v="Misty Stewart"/>
        <s v="Paul Johnson"/>
        <s v="Jordan Rocha"/>
        <s v="Roger Dixon"/>
        <s v="Patricia Garrison"/>
        <s v="Michael Ferguson"/>
        <s v="Melissa Robinson"/>
        <s v="Kathryn Rivera"/>
        <s v="Javier Macdonald"/>
        <s v="Angela Elliott"/>
        <s v="Christine Collins"/>
        <s v="Calvin Taylor"/>
        <s v="Jennifer Contreras"/>
        <s v="Jennifer Mccoy"/>
        <s v="Daniel Thomas"/>
        <s v="Brian Hess"/>
        <s v="Jessica Mathews"/>
        <s v="Kathryn Sanchez"/>
        <s v="Jeremy Cook"/>
        <s v="Olivia Garza"/>
        <s v="Emily Mason"/>
        <s v="Jennifer Gonzales"/>
        <s v="Samantha Rodriguez"/>
        <s v="Anthony Adams"/>
        <s v="Ronald Diaz"/>
        <s v="Dana Lambert"/>
        <s v="Jonathan Mckay"/>
        <s v="Thomas Odom"/>
        <s v="John Wells"/>
        <s v="Richard Castillo"/>
        <s v="Peter Peck"/>
        <s v="Chris Greene"/>
        <s v="Michael Vance"/>
        <s v="Joanne Howard"/>
        <s v="James Clarke"/>
        <s v="Michael Smith"/>
        <s v="Nicole King"/>
        <s v="Ruth Miller"/>
        <s v="Katelyn Roman"/>
        <s v="Allison Hendricks"/>
        <s v="Zachary Lucero"/>
        <s v="Gregory Ryan"/>
        <s v="Jacob Hall"/>
        <s v="Mark Wright"/>
        <s v="Jennifer Wright"/>
        <s v="Kimberly Dyer"/>
        <s v="Nicole Grant"/>
        <s v="Peter Anderson"/>
        <s v="Christine Hernandez"/>
        <s v="Christine Smith"/>
        <s v="Mark Robinson"/>
        <s v="Joan Estrada"/>
        <s v="Shelby Lewis"/>
        <s v="Joshua Williams"/>
        <s v="Cynthia Martinez"/>
        <s v="Kevin Holt"/>
        <s v="Jessica Nolan"/>
        <s v="Timothy Fowler"/>
        <s v="Samantha Ibarra"/>
        <s v="Michelle Guerrero"/>
        <s v="Stephanie Pineda"/>
        <s v="Philip Blair"/>
        <s v="David Jimenez"/>
        <s v="Megan Bright"/>
        <s v="Thomas Montoya"/>
        <s v="Brenda Houston"/>
        <s v="Daniel Lee"/>
        <s v="Stephanie Jones"/>
        <s v="Rachel Salas"/>
        <s v="Oscar Benjamin"/>
        <s v="Debra Brown"/>
        <s v="Jeffrey Conley"/>
        <s v="Cory Cook"/>
        <s v="David Walters"/>
        <s v="Jeffrey Moore"/>
        <s v="Stacey Williams"/>
        <s v="Beth Stephens"/>
        <s v="Lisa Franco"/>
        <s v="Sarah Snow"/>
        <s v="Frederick Lopez"/>
        <s v="Cynthia White"/>
        <s v="Samantha Hopkins"/>
        <s v="Destiny Rhodes"/>
        <s v="Jessica Jones"/>
        <s v="Mark Smith"/>
        <s v="Maureen Cain"/>
        <s v="Jennifer Fuentes"/>
        <s v="Jennifer Arnold"/>
        <s v="Laura Smith"/>
        <s v="David Shaw"/>
        <s v="Diana Russo"/>
        <s v="Hayley Johnson"/>
        <s v="Melissa Jackson"/>
        <s v="Kimberly Miller"/>
        <s v="Andrew Stanley"/>
        <s v="Mindy Jones"/>
        <s v="John Powell"/>
        <s v="Amanda Padilla"/>
        <s v="Kevin Koch"/>
        <s v="Chad Moreno"/>
        <s v="Stephanie Spencer"/>
        <s v="Peter Vargas"/>
        <s v="Kayla Bailey"/>
        <s v="Nancy Hartman"/>
        <s v="Eduardo Brown"/>
        <s v="Craig Carter"/>
        <s v="Michael Harrington"/>
        <s v="Valerie Nichols"/>
        <s v="Brian Garcia"/>
        <s v="Renee Smith"/>
        <s v="Kaitlyn Frazier"/>
        <s v="Jesse Green"/>
        <s v="Kimberly Cooper"/>
        <s v="Matthew Chambers"/>
        <s v="Stephanie Yu"/>
        <s v="Jose Hodge"/>
        <s v="Steve Kelly"/>
        <s v="Justin Morgan"/>
        <s v="Robert Black"/>
        <s v="Gabriella Pierce"/>
        <s v="William Clay"/>
        <s v="Nicholas Shea"/>
        <s v="Heidi Ellis"/>
        <s v="Cassandra Mills"/>
        <s v="Robert Hart"/>
        <s v="Natalie Garrison"/>
        <s v="Melissa Campbell"/>
        <s v="Joshua Cervantes"/>
        <s v="Carlos Long"/>
        <s v="Keith Hunt"/>
        <s v="Kevin Turner"/>
        <s v="Shane Washington"/>
        <s v="Mark Duke"/>
        <s v="Anna Lane"/>
        <s v="Catherine Ibarra"/>
        <s v="Michael James"/>
        <s v="Robert Hernandez"/>
        <s v="Anthony Walton"/>
        <s v="Meghan Lewis"/>
        <s v="Crystal Holland"/>
        <s v="Brian Gibson"/>
        <s v="Eric Heath"/>
        <s v="Holly Dunn"/>
        <s v="Paul Miller"/>
        <s v="Katherine Reyes"/>
        <s v="Paula Hernandez"/>
        <s v="Aaron Ortega"/>
        <s v="Jonathan Carter"/>
        <s v="Christina Nguyen"/>
        <s v="Anita Carter"/>
        <s v="Madeline Holmes"/>
        <s v="Luis Klein"/>
        <s v="Laura Thornton"/>
        <s v="William Ball"/>
        <s v="Kristin Gilbert"/>
        <s v="Aaron Ware"/>
        <s v="Danny Carlson"/>
        <s v="Julie Adkins"/>
        <s v="Jerry Aguirre"/>
        <s v="Jason Thomas"/>
        <s v="Zachary Houston"/>
        <s v="Donna Hoffman"/>
        <s v="Austin Sanders"/>
        <s v="Leslie Mercado"/>
        <s v="Derrick Tucker"/>
        <s v="Kelsey Alexander"/>
        <s v="Rhonda Smith"/>
        <s v="Isaac Santos"/>
        <s v="David Sloan"/>
        <s v="Amanda Peterson"/>
        <s v="Cynthia Weeks"/>
        <s v="Katherine Turner"/>
        <s v="Joseph Patterson"/>
        <s v="Jill Davis"/>
        <s v="Amy Moore"/>
        <s v="Eric Matthews"/>
        <s v="Tamara Bennett"/>
        <s v="Maria Perkins"/>
        <s v="Jillian Reed"/>
        <s v="Melissa Mora"/>
        <s v="Tina Smith"/>
        <s v="Rhonda Munoz"/>
        <s v="Heidi Johnson"/>
        <s v="Joshua Davis"/>
        <s v="Laura Sanders"/>
        <s v="Evan Francis"/>
        <s v="Cynthia Miller"/>
        <s v="Bobby Miller"/>
        <s v="Kayla Krueger"/>
        <s v="Justin Kim"/>
        <s v="Christian Blankenship"/>
        <s v="Todd Williams"/>
        <s v="Victoria Perez"/>
        <s v="Madeline Hart"/>
        <s v="Christopher Meyer"/>
        <s v="Christopher Fleming"/>
        <s v="Karen Ramsey"/>
        <s v="Monica Dalton"/>
        <s v="Gary Odonnell"/>
        <s v="Ann Scott"/>
        <s v="Jessica Jackson"/>
        <s v="Lauren Morrison"/>
        <s v="Alexander Brown"/>
        <s v="Thomas Smith"/>
        <s v="Jonathan Torres"/>
        <s v="Robin Daniel"/>
        <s v="Anthony Peterson"/>
        <s v="Ashley Blankenship"/>
        <s v="Jennifer Stewart"/>
        <s v="James Compton"/>
        <s v="David Bates"/>
        <s v="Stephanie Green"/>
        <s v="Garrett Nichols"/>
        <s v="Erica Lopez"/>
        <s v="Lisa Benitez"/>
        <s v="Stephen Hawkins"/>
        <s v="Natalie Williams"/>
        <s v="Anthony Arnold"/>
        <s v="Deanna Coleman"/>
        <s v="Lisa Barber"/>
        <s v="Stephanie Miller"/>
        <s v="Amy White"/>
        <s v="Beverly Chavez"/>
        <s v="Richard Cortez"/>
        <s v="Kevin Morgan"/>
        <s v="Emily Hebert"/>
        <s v="Lori Roberts"/>
        <s v="Robert Kirby"/>
        <s v="Eric Ross"/>
        <s v="Rachael Perry"/>
        <s v="Kenneth Gallagher"/>
        <s v="Thomas Scott"/>
        <s v="Elizabeth Jones"/>
        <s v="Matthew Bartlett"/>
        <s v="Kendra Perez"/>
        <s v="Daniel Brewer"/>
        <s v="Cody Tyler"/>
        <s v="Nicholas Conrad"/>
        <s v="Emma Morris"/>
        <s v="Charlotte Zuniga"/>
        <s v="Luis Knight"/>
        <s v="Matthew Moore"/>
        <s v="Jennifer Chan"/>
        <s v="Christopher Evans"/>
        <s v="Tara Haynes"/>
        <s v="Jason Flores"/>
        <s v="David Flores"/>
        <s v="Patricia Rivera"/>
        <s v="Alexis Freeman"/>
        <s v="Scott Baxter"/>
        <s v="Kyle Rubio"/>
        <s v="Nancy Montes"/>
        <s v="Andre Graham"/>
        <s v="Christine Rivera"/>
        <s v="William Holt"/>
        <s v="Tammy Morris"/>
        <s v="Kimberly Bates"/>
        <s v="Sheena Murphy"/>
        <s v="Robert Mccall"/>
        <s v="Julie Floyd"/>
        <s v="Barry Taylor"/>
        <s v="Dennis Gonzalez"/>
        <s v="Angel Williams"/>
        <s v="Ronald Palmer"/>
        <s v="Dustin Stanley"/>
        <s v="Jennifer Lewis"/>
        <s v="Mark Gardner"/>
        <s v="Laura Barber"/>
        <s v="Nicole Weeks"/>
        <s v="Ricky Walker"/>
        <s v="Whitney Walls"/>
        <s v="Catherine May"/>
        <s v="Joel Williams"/>
        <s v="Daisy Ellis"/>
        <s v="David Hoffman"/>
        <s v="Rebecca Pearson"/>
        <s v="Mitchell Walker"/>
        <s v="James Sherman"/>
        <s v="Justin Johnson"/>
        <s v="Brenda Morales"/>
        <s v="Jesse Melton"/>
        <s v="Jon Mendoza"/>
        <s v="Samantha Anderson"/>
        <s v="Lindsay Love"/>
        <s v="John Benson"/>
        <s v="Isaiah Cruz"/>
        <s v="Brian Baker"/>
        <s v="Joshua Dillon"/>
        <s v="Christopher Stephens"/>
        <s v="Kimberly Shaw"/>
        <s v="Colleen Vargas"/>
        <s v="Mark Mathews"/>
        <s v="Teresa Lopez"/>
        <s v="Laura Allen"/>
        <s v="Lisa Sosa"/>
        <s v="Drew Nelson"/>
        <s v="Kimberly Brooks"/>
        <s v="Carla Lopez"/>
        <s v="Keith Smith"/>
        <s v="Eric Erickson"/>
        <s v="Juan Baker"/>
        <s v="Kyle Harrison"/>
        <s v="Duane Meyers"/>
        <s v="Marissa May"/>
        <s v="Shane Lopez"/>
        <s v="Eric Obrien"/>
        <s v="Kevin Joyce"/>
        <s v="Thomas Ward"/>
        <s v="Toni Smith"/>
        <s v="Caitlin Moody"/>
        <s v="Justin Ryan"/>
        <s v="Joseph Griffin"/>
        <s v="Dawn Fox"/>
        <s v="David Ochoa"/>
        <s v="Bonnie Brown"/>
        <s v="Michael Evans"/>
        <s v="Molly Meadows"/>
        <s v="Dana Peters"/>
        <s v="Patricia Phelps"/>
        <s v="Maria Jones"/>
        <s v="Anthony Johns"/>
        <s v="David Schmidt"/>
        <s v="Amanda Cox"/>
        <s v="William Patterson"/>
        <s v="Sydney Wood"/>
        <s v="Donald Fischer"/>
        <s v="Anthony Palmer"/>
        <s v="Christina Garcia"/>
        <s v="Misty Anderson"/>
        <s v="Shannon Weber"/>
        <s v="Jennifer Palmer"/>
        <s v="Michael Arnold"/>
        <s v="James Hernandez"/>
        <s v="Erin Cannon"/>
        <s v="Nicole Lee"/>
        <s v="Jacob Ross"/>
        <s v="Morgan Cisneros"/>
        <s v="Amber Stuart"/>
        <s v="Tyler Griffin"/>
        <s v="Daniel Gonzalez"/>
        <s v="Joseph Jones"/>
        <s v="Jessica Hampton"/>
        <s v="Deborah Butler"/>
        <s v="Julie Black"/>
        <s v="Bryan Dorsey"/>
        <s v="Chad Gomez"/>
        <s v="Andrew Clark"/>
        <s v="Brian Wright"/>
        <s v="Thomas Brooks"/>
        <s v="Kimberly Knox"/>
        <s v="Jamie Mccarthy"/>
        <s v="Kristen Werner"/>
        <s v="Jonathan Weiss"/>
        <s v="Tony Hopkins"/>
        <s v="Thomas Buckley"/>
        <s v="Debra Evans"/>
        <s v="Richard Bell"/>
        <s v="Michele Stout"/>
        <s v="Lisa Estes"/>
        <s v="Casey Hall"/>
        <s v="Joshua Cole"/>
        <s v="Andrew Jackson"/>
        <s v="Karen Rodriguez"/>
        <s v="Sara Johnson"/>
        <s v="Alyssa Costa"/>
        <s v="Daniel Poole"/>
        <s v="Ricardo Juarez"/>
        <s v="Tony Castillo"/>
        <s v="Brian Kelly"/>
        <s v="Tyler Moore"/>
        <s v="Sharon Martinez"/>
        <s v="Mary Malone"/>
        <s v="Rebecca Huang"/>
        <s v="Alan Santos"/>
        <s v="Martin Duran"/>
        <s v="Christopher Gutierrez"/>
        <s v="Brandy Maldonado"/>
        <s v="Brenda Sanders"/>
        <s v="Drew Mccann"/>
        <s v="Joshua Ayala"/>
        <s v="Tina Rose"/>
        <s v="William Khan"/>
        <s v="William Avery"/>
        <s v="John Fuller"/>
        <s v="Jeremy Coleman"/>
        <s v="Laura Wright"/>
        <s v="David Luna"/>
        <s v="Christopher Jensen"/>
        <s v="Luis Little"/>
        <s v="Joseph Garcia"/>
        <s v="Michael York"/>
        <s v="Debbie Landry"/>
        <s v="Michael Gordon"/>
        <s v="Melissa Harris"/>
        <s v="Jonathon Wilson"/>
        <s v="Margaret Santos"/>
        <s v="Hailey Arroyo"/>
        <s v="Steven Webster"/>
        <s v="Tina Harrison"/>
        <s v="Andrew Nunez"/>
        <s v="Renee Cruz"/>
        <s v="Victoria Taylor"/>
        <s v="Joseph Dixon"/>
        <s v="Heather Gutierrez"/>
        <s v="Cynthia Hodges"/>
        <s v="Danielle Kelley"/>
        <s v="Michael Mccall"/>
        <s v="Dylan Edwards"/>
        <s v="Franklin Riley"/>
        <s v="Caitlin Duncan"/>
        <s v="Robin Reeves"/>
        <s v="Rebecca Gibbs"/>
        <s v="Peter Santos"/>
        <s v="Daryl Arnold"/>
        <s v="Michael Davis"/>
        <s v="Leslie Cox"/>
        <s v="Jamie Carter"/>
        <s v="Shane Payne"/>
        <s v="Kimberly Haley"/>
        <s v="George Duran"/>
        <s v="Donald Carney"/>
        <s v="Michelle Brown"/>
        <s v="Elizabeth Hawkins"/>
        <s v="Johnny Gomez"/>
        <s v="Christopher Mcconnell"/>
        <s v="Kyle Rodriguez"/>
        <s v="Rhonda Cook"/>
        <s v="Nathan Fitzpatrick"/>
        <s v="John Mitchell"/>
        <s v="Billy Compton"/>
        <s v="Richard Chavez"/>
        <s v="Victor Andrade"/>
        <s v="Gregory Lee"/>
        <s v="Alexandra Blackburn"/>
        <s v="Kristopher Murray"/>
        <s v="Wanda Pearson"/>
        <s v="Denise Rose"/>
        <s v="Andrew Reed"/>
        <s v="David Castro"/>
        <s v="Tim Duncan"/>
        <s v="Joshua Walker"/>
        <s v="Julie Rogers"/>
        <s v="Gina Gilbert"/>
        <s v="Miguel Nicholson"/>
        <s v="Daniel Murray"/>
        <s v="Lauren Ellis"/>
        <s v="Bridget Martin"/>
        <s v="Maureen Hart"/>
        <s v="Sabrina Davis"/>
        <s v="Angela Koch"/>
        <s v="Catherine Coffey"/>
        <s v="Christopher Pace"/>
        <s v="Rachel Reeves"/>
        <s v="Jillian Arroyo"/>
        <s v="Patricia Douglas"/>
        <s v="Brandon Butler"/>
        <s v="Erica Valdez"/>
        <s v="Alexis Byrd"/>
        <s v="James Simpson"/>
        <s v="Nicole Smith"/>
        <s v="Patricia Porter"/>
        <s v="Brian Chan"/>
        <s v="Katherine Norman"/>
        <s v="Pamela Gomez"/>
        <s v="Amy Morrow"/>
        <s v="Luke Hernandez"/>
        <s v="Roberto Rodriguez"/>
        <s v="Carla Jackson"/>
        <s v="Aaron Allen"/>
        <s v="Wendy Burch"/>
        <s v="Sarah Hansen"/>
        <s v="Amy Dominguez"/>
        <s v="Mark Jacobs"/>
        <s v="Melissa Mendoza"/>
        <s v="Bethany Thomas"/>
        <s v="Michael Webb"/>
        <s v="Gregory Cole"/>
        <s v="Jeffrey Miller"/>
        <s v="Rebecca Castillo"/>
        <s v="Amanda Green"/>
        <s v="Joseph Hess"/>
        <s v="Kyle Novak"/>
        <s v="Kara Coleman"/>
        <s v="Daniel Martin"/>
        <s v="Andrea Richards"/>
        <s v="Sydney Clay"/>
        <s v="Jeremy Tran"/>
        <s v="Michael Hayden"/>
        <s v="Antonio Beasley"/>
        <s v="Michelle Lopez"/>
        <s v="Catherine Brooks"/>
        <s v="Anita Gonzalez"/>
        <s v="James Hudson"/>
        <s v="Tracy Martinez"/>
        <s v="Christopher Montgomery"/>
        <s v="Sherri Cruz"/>
        <s v="Elizabeth Adams"/>
        <s v="Melissa Simmons"/>
        <s v="Carol Ramos"/>
        <s v="Michael Adams"/>
        <s v="Michael Wilson"/>
        <s v="Matthew Gonzalez"/>
        <s v="Lisa Palmer"/>
        <s v="Andrew Olson"/>
        <s v="Benjamin Marks"/>
        <s v="Christopher Gonzales"/>
        <s v="Melissa Finley"/>
        <s v="Tracy Hendricks"/>
        <s v="Steven Ramsey"/>
        <s v="Pamela Smith"/>
        <s v="Vicki Jackson"/>
        <s v="Anne Malone"/>
        <s v="Danielle Johnson"/>
        <s v="Willie Miller"/>
        <s v="Andrea Delgado"/>
        <s v="Melanie Clark"/>
        <s v="Jessica Beasley"/>
        <s v="Cindy Bradley"/>
        <s v="Dennis Richardson"/>
        <s v="Peggy Hoover"/>
        <s v="Peter Rice"/>
        <s v="Sabrina Perez"/>
        <s v="Michael Parker"/>
        <s v="David Calderon"/>
        <s v="James Gordon"/>
        <s v="Jennifer Leblanc"/>
        <s v="Paul Bailey"/>
        <s v="Tiffany Smith"/>
        <s v="Victoria Alvarez"/>
        <s v="Willie Elliott"/>
        <s v="James Bryant"/>
        <s v="Kimberly Swanson"/>
        <s v="Beverly Dawson"/>
        <s v="Lisa Stewart"/>
        <s v="Dwayne Sims"/>
        <s v="Ashley Fleming"/>
        <s v="Lisa Stafford"/>
        <s v="Kristin Garcia"/>
        <s v="Eric Adkins"/>
        <s v="Allison Henderson"/>
        <s v="Alison Palmer"/>
        <s v="Shane Parker"/>
        <s v="Debra Gilbert"/>
        <s v="Mary Jackson"/>
        <s v="Joshua Stuart"/>
        <s v="Benjamin Williams"/>
        <s v="David Frank"/>
        <s v="Holly Erickson"/>
        <s v="Charles Miller"/>
        <s v="Samuel Baker"/>
        <s v="Anthony Moore"/>
        <s v="Charlotte Rowe"/>
        <s v="John Peterson"/>
        <s v="Shawn Ochoa"/>
        <s v="Steven Lewis"/>
        <s v="Alan Reynolds"/>
        <s v="Thomas Gilbert"/>
        <s v="Madison Cross"/>
        <s v="Brittany Compton"/>
        <s v="Natalie Smith"/>
      </sharedItems>
    </cacheField>
    <cacheField name="Email" numFmtId="0">
      <sharedItems/>
    </cacheField>
    <cacheField name="Gender" numFmtId="0">
      <sharedItems count="2">
        <s v="Male"/>
        <s v="Female"/>
      </sharedItems>
    </cacheField>
    <cacheField name="Part Time _x000a_Job" numFmtId="0">
      <sharedItems count="4">
        <s v="False"/>
        <s v="True"/>
        <b v="0" u="1"/>
        <b v="1" u="1"/>
      </sharedItems>
    </cacheField>
    <cacheField name="Absence _x000a_Days" numFmtId="2">
      <sharedItems containsSemiMixedTypes="0" containsString="0" containsNumber="1" containsInteger="1" minValue="0" maxValue="10"/>
    </cacheField>
    <cacheField name="Extracurricular _x000a_Activities" numFmtId="0">
      <sharedItems count="4">
        <s v="False"/>
        <s v="True"/>
        <b v="0" u="1"/>
        <b v="1" u="1"/>
      </sharedItems>
    </cacheField>
    <cacheField name="Self Study _x000a_Hours" numFmtId="0">
      <sharedItems containsSemiMixedTypes="0" containsString="0" containsNumber="1" containsInteger="1" minValue="0" maxValue="50"/>
    </cacheField>
    <cacheField name="Career _x000a_Aspiration" numFmtId="0">
      <sharedItems count="17">
        <s v="Lawyer"/>
        <s v="Doctor"/>
        <s v="Government Officer"/>
        <s v="Artist"/>
        <s v="Unknown"/>
        <s v="Software Engineer"/>
        <s v="Teacher"/>
        <s v="Business Owner"/>
        <s v="Scientist"/>
        <s v="Banker"/>
        <s v="Writer"/>
        <s v="Accountant"/>
        <s v="Designer"/>
        <s v="Construction Engineer"/>
        <s v="Game Developer"/>
        <s v="Stock Investor"/>
        <s v="Real Estate Developer"/>
      </sharedItems>
    </cacheField>
    <cacheField name="Math _x000a_Score" numFmtId="0">
      <sharedItems containsSemiMixedTypes="0" containsString="0" containsNumber="1" containsInteger="1" minValue="40" maxValue="100"/>
    </cacheField>
    <cacheField name="Math _x000a_Grade" numFmtId="0">
      <sharedItems/>
    </cacheField>
    <cacheField name="History _x000a_Score" numFmtId="0">
      <sharedItems containsSemiMixedTypes="0" containsString="0" containsNumber="1" containsInteger="1" minValue="50" maxValue="100"/>
    </cacheField>
    <cacheField name="History _x000a_Grade" numFmtId="0">
      <sharedItems/>
    </cacheField>
    <cacheField name="Physics _x000a_Score" numFmtId="0">
      <sharedItems containsSemiMixedTypes="0" containsString="0" containsNumber="1" containsInteger="1" minValue="50" maxValue="100"/>
    </cacheField>
    <cacheField name="Physics _x000a_Grade" numFmtId="0">
      <sharedItems/>
    </cacheField>
    <cacheField name="Chemistry _x000a_Score" numFmtId="0">
      <sharedItems containsSemiMixedTypes="0" containsString="0" containsNumber="1" containsInteger="1" minValue="50" maxValue="100"/>
    </cacheField>
    <cacheField name="Chemistry _x000a_Grade" numFmtId="0">
      <sharedItems/>
    </cacheField>
    <cacheField name="Biology _x000a_Score" numFmtId="0">
      <sharedItems containsSemiMixedTypes="0" containsString="0" containsNumber="1" containsInteger="1" minValue="30" maxValue="100"/>
    </cacheField>
    <cacheField name="Biology _x000a_Grade" numFmtId="0">
      <sharedItems/>
    </cacheField>
    <cacheField name="English _x000a_Score" numFmtId="0">
      <sharedItems containsSemiMixedTypes="0" containsString="0" containsNumber="1" containsInteger="1" minValue="50" maxValue="99"/>
    </cacheField>
    <cacheField name="English _x000a_Grade" numFmtId="0">
      <sharedItems/>
    </cacheField>
    <cacheField name="Geography _x000a_Score" numFmtId="0">
      <sharedItems containsSemiMixedTypes="0" containsString="0" containsNumber="1" containsInteger="1" minValue="60" maxValue="100"/>
    </cacheField>
    <cacheField name="Geography _x000a_Grade" numFmtId="0">
      <sharedItems/>
    </cacheField>
    <cacheField name="Total _x000a_Score" numFmtId="0">
      <sharedItems containsSemiMixedTypes="0" containsString="0" containsNumber="1" containsInteger="1" minValue="414" maxValue="673"/>
    </cacheField>
    <cacheField name="Average _x000a_Score" numFmtId="2">
      <sharedItems containsSemiMixedTypes="0" containsString="0" containsNumber="1" minValue="59.142857142857146" maxValue="96.142857142857139"/>
    </cacheField>
    <cacheField name="Overall _x000a_Grade" numFmtId="0">
      <sharedItems count="7">
        <s v="A"/>
        <s v="A+"/>
        <s v="A-"/>
        <s v="B+"/>
        <s v="B"/>
        <s v="B-"/>
        <s v="C"/>
      </sharedItems>
    </cacheField>
    <cacheField name="Ranking" numFmtId="0">
      <sharedItems containsSemiMixedTypes="0" containsString="0" containsNumber="1" containsInteger="1" minValue="1" maxValue="1999"/>
    </cacheField>
    <cacheField name="Attendance _x000a_Performance " numFmtId="0">
      <sharedItems count="3">
        <s v="Good"/>
        <s v="Excellent"/>
        <s v="Poor"/>
      </sharedItems>
    </cacheField>
  </cacheFields>
  <extLst>
    <ext xmlns:x14="http://schemas.microsoft.com/office/spreadsheetml/2009/9/main" uri="{725AE2AE-9491-48be-B2B4-4EB974FC3084}">
      <x14:pivotCacheDefinition pivotCacheId="7502113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n v="1"/>
    <s v="Paul"/>
    <s v="Casey"/>
    <x v="0"/>
    <s v="paul.casey.1@gslingacademy.com"/>
    <x v="0"/>
    <x v="0"/>
    <n v="3"/>
    <x v="0"/>
    <n v="27"/>
    <x v="0"/>
    <n v="73"/>
    <s v="B+"/>
    <n v="81"/>
    <s v="A"/>
    <n v="93"/>
    <s v="A+"/>
    <n v="97"/>
    <s v="A+"/>
    <n v="63"/>
    <s v="B-"/>
    <n v="80"/>
    <s v="A"/>
    <n v="87"/>
    <s v="A"/>
    <n v="574"/>
    <n v="82"/>
    <x v="0"/>
    <n v="832"/>
    <x v="0"/>
  </r>
  <r>
    <n v="2"/>
    <s v="Danielle"/>
    <s v="Sandoval"/>
    <x v="1"/>
    <s v="danielle.sandoval.2@gslingacademy.com"/>
    <x v="1"/>
    <x v="0"/>
    <n v="2"/>
    <x v="0"/>
    <n v="47"/>
    <x v="1"/>
    <n v="90"/>
    <s v="A+"/>
    <n v="86"/>
    <s v="A"/>
    <n v="96"/>
    <s v="A+"/>
    <n v="100"/>
    <s v="A+"/>
    <n v="90"/>
    <s v="A+"/>
    <n v="88"/>
    <s v="A"/>
    <n v="90"/>
    <s v="A+"/>
    <n v="640"/>
    <n v="91.428571428571431"/>
    <x v="1"/>
    <n v="98"/>
    <x v="1"/>
  </r>
  <r>
    <n v="3"/>
    <s v="Tina"/>
    <s v="Andrews"/>
    <x v="2"/>
    <s v="tina.andrews.3@gslingacademy.com"/>
    <x v="1"/>
    <x v="0"/>
    <n v="9"/>
    <x v="1"/>
    <n v="13"/>
    <x v="2"/>
    <n v="81"/>
    <s v="A"/>
    <n v="97"/>
    <s v="A+"/>
    <n v="95"/>
    <s v="A+"/>
    <n v="96"/>
    <s v="A+"/>
    <n v="65"/>
    <s v="B"/>
    <n v="77"/>
    <s v="A-"/>
    <n v="94"/>
    <s v="A+"/>
    <n v="605"/>
    <n v="86.428571428571431"/>
    <x v="0"/>
    <n v="344"/>
    <x v="2"/>
  </r>
  <r>
    <n v="4"/>
    <s v="Tara"/>
    <s v="Clark"/>
    <x v="3"/>
    <s v="tara.clark.4@gslingacademy.com"/>
    <x v="1"/>
    <x v="0"/>
    <n v="5"/>
    <x v="0"/>
    <n v="3"/>
    <x v="3"/>
    <n v="71"/>
    <s v="B+"/>
    <n v="74"/>
    <s v="B+"/>
    <n v="88"/>
    <s v="A"/>
    <n v="80"/>
    <s v="A"/>
    <n v="89"/>
    <s v="A"/>
    <n v="63"/>
    <s v="B-"/>
    <n v="86"/>
    <s v="A"/>
    <n v="551"/>
    <n v="78.714285714285708"/>
    <x v="2"/>
    <n v="1317"/>
    <x v="0"/>
  </r>
  <r>
    <n v="5"/>
    <s v="Anthony"/>
    <s v="Campos"/>
    <x v="4"/>
    <s v="anthony.campos.5@gslingacademy.com"/>
    <x v="0"/>
    <x v="0"/>
    <n v="5"/>
    <x v="0"/>
    <n v="10"/>
    <x v="4"/>
    <n v="84"/>
    <s v="A"/>
    <n v="77"/>
    <s v="A-"/>
    <n v="65"/>
    <s v="B"/>
    <n v="65"/>
    <s v="B"/>
    <n v="80"/>
    <s v="A"/>
    <n v="74"/>
    <s v="B+"/>
    <n v="76"/>
    <s v="A-"/>
    <n v="521"/>
    <n v="74.428571428571431"/>
    <x v="3"/>
    <n v="1749"/>
    <x v="0"/>
  </r>
  <r>
    <n v="6"/>
    <s v="Kelly"/>
    <s v="Wade"/>
    <x v="5"/>
    <s v="kelly.wade.6@gslingacademy.com"/>
    <x v="1"/>
    <x v="0"/>
    <n v="2"/>
    <x v="0"/>
    <n v="26"/>
    <x v="4"/>
    <n v="93"/>
    <s v="A+"/>
    <n v="100"/>
    <s v="A+"/>
    <n v="67"/>
    <s v="B"/>
    <n v="78"/>
    <s v="A-"/>
    <n v="72"/>
    <s v="B+"/>
    <n v="80"/>
    <s v="A"/>
    <n v="84"/>
    <s v="A"/>
    <n v="574"/>
    <n v="82"/>
    <x v="0"/>
    <n v="832"/>
    <x v="1"/>
  </r>
  <r>
    <n v="7"/>
    <s v="Anthony"/>
    <s v="Smith"/>
    <x v="6"/>
    <s v="anthony.smith.7@gslingacademy.com"/>
    <x v="0"/>
    <x v="0"/>
    <n v="3"/>
    <x v="1"/>
    <n v="23"/>
    <x v="5"/>
    <n v="99"/>
    <s v="A+"/>
    <n v="96"/>
    <s v="A+"/>
    <n v="97"/>
    <s v="A+"/>
    <n v="73"/>
    <s v="B+"/>
    <n v="88"/>
    <s v="A"/>
    <n v="76"/>
    <s v="A-"/>
    <n v="64"/>
    <s v="B-"/>
    <n v="593"/>
    <n v="84.714285714285708"/>
    <x v="0"/>
    <n v="494"/>
    <x v="0"/>
  </r>
  <r>
    <n v="8"/>
    <s v="George"/>
    <s v="Short"/>
    <x v="7"/>
    <s v="george.short.8@gslingacademy.com"/>
    <x v="0"/>
    <x v="1"/>
    <n v="2"/>
    <x v="1"/>
    <n v="34"/>
    <x v="5"/>
    <n v="95"/>
    <s v="A+"/>
    <n v="95"/>
    <s v="A+"/>
    <n v="82"/>
    <s v="A"/>
    <n v="63"/>
    <s v="B-"/>
    <n v="84"/>
    <s v="A"/>
    <n v="70"/>
    <s v="B+"/>
    <n v="85"/>
    <s v="A"/>
    <n v="574"/>
    <n v="82"/>
    <x v="0"/>
    <n v="832"/>
    <x v="1"/>
  </r>
  <r>
    <n v="9"/>
    <s v="Stanley"/>
    <s v="Gutierrez"/>
    <x v="8"/>
    <s v="stanley.gutierrez.9@gslingacademy.com"/>
    <x v="0"/>
    <x v="0"/>
    <n v="6"/>
    <x v="0"/>
    <n v="25"/>
    <x v="4"/>
    <n v="94"/>
    <s v="A+"/>
    <n v="68"/>
    <s v="B"/>
    <n v="94"/>
    <s v="A+"/>
    <n v="85"/>
    <s v="A"/>
    <n v="81"/>
    <s v="A"/>
    <n v="74"/>
    <s v="B+"/>
    <n v="72"/>
    <s v="B+"/>
    <n v="568"/>
    <n v="81.142857142857139"/>
    <x v="0"/>
    <n v="975"/>
    <x v="0"/>
  </r>
  <r>
    <n v="10"/>
    <s v="Audrey"/>
    <s v="Simpson"/>
    <x v="9"/>
    <s v="audrey.simpson.10@gslingacademy.com"/>
    <x v="1"/>
    <x v="0"/>
    <n v="3"/>
    <x v="1"/>
    <n v="18"/>
    <x v="6"/>
    <n v="98"/>
    <s v="A+"/>
    <n v="69"/>
    <s v="B"/>
    <n v="88"/>
    <s v="A"/>
    <n v="71"/>
    <s v="B+"/>
    <n v="67"/>
    <s v="B"/>
    <n v="71"/>
    <s v="B+"/>
    <n v="73"/>
    <s v="B+"/>
    <n v="537"/>
    <n v="76.714285714285708"/>
    <x v="2"/>
    <n v="1553"/>
    <x v="0"/>
  </r>
  <r>
    <n v="11"/>
    <s v="Gabrielle"/>
    <s v="White"/>
    <x v="10"/>
    <s v="gabrielle.white.11@gslingacademy.com"/>
    <x v="1"/>
    <x v="0"/>
    <n v="2"/>
    <x v="0"/>
    <n v="7"/>
    <x v="6"/>
    <n v="65"/>
    <s v="B"/>
    <n v="60"/>
    <s v="B-"/>
    <n v="97"/>
    <s v="A+"/>
    <n v="94"/>
    <s v="A+"/>
    <n v="71"/>
    <s v="B+"/>
    <n v="81"/>
    <s v="A"/>
    <n v="66"/>
    <s v="B"/>
    <n v="534"/>
    <n v="76.285714285714292"/>
    <x v="2"/>
    <n v="1595"/>
    <x v="1"/>
  </r>
  <r>
    <n v="12"/>
    <s v="Clinton"/>
    <s v="Randolph"/>
    <x v="11"/>
    <s v="clinton.randolph.12@gslingacademy.com"/>
    <x v="0"/>
    <x v="0"/>
    <n v="1"/>
    <x v="0"/>
    <n v="7"/>
    <x v="4"/>
    <n v="80"/>
    <s v="A"/>
    <n v="61"/>
    <s v="B-"/>
    <n v="100"/>
    <s v="A+"/>
    <n v="65"/>
    <s v="B"/>
    <n v="87"/>
    <s v="A"/>
    <n v="64"/>
    <s v="B-"/>
    <n v="61"/>
    <s v="B-"/>
    <n v="518"/>
    <n v="74"/>
    <x v="3"/>
    <n v="1775"/>
    <x v="1"/>
  </r>
  <r>
    <n v="13"/>
    <s v="Patricia"/>
    <s v="Gomez"/>
    <x v="12"/>
    <s v="patricia.gomez.13@gslingacademy.com"/>
    <x v="1"/>
    <x v="1"/>
    <n v="7"/>
    <x v="0"/>
    <n v="4"/>
    <x v="7"/>
    <n v="94"/>
    <s v="A+"/>
    <n v="59"/>
    <s v="C"/>
    <n v="69"/>
    <s v="B"/>
    <n v="67"/>
    <s v="B"/>
    <n v="89"/>
    <s v="A"/>
    <n v="65"/>
    <s v="B"/>
    <n v="73"/>
    <s v="B+"/>
    <n v="516"/>
    <n v="73.714285714285708"/>
    <x v="3"/>
    <n v="1792"/>
    <x v="2"/>
  </r>
  <r>
    <n v="14"/>
    <s v="Pamela"/>
    <s v="Jackson"/>
    <x v="13"/>
    <s v="pamela.jackson.14@gslingacademy.com"/>
    <x v="1"/>
    <x v="0"/>
    <n v="10"/>
    <x v="0"/>
    <n v="2"/>
    <x v="7"/>
    <n v="66"/>
    <s v="B"/>
    <n v="94"/>
    <s v="A+"/>
    <n v="86"/>
    <s v="A"/>
    <n v="100"/>
    <s v="A+"/>
    <n v="57"/>
    <s v="C"/>
    <n v="90"/>
    <s v="A+"/>
    <n v="63"/>
    <s v="B-"/>
    <n v="556"/>
    <n v="79.428571428571431"/>
    <x v="2"/>
    <n v="1224"/>
    <x v="2"/>
  </r>
  <r>
    <n v="15"/>
    <s v="Laura"/>
    <s v="Jackson"/>
    <x v="14"/>
    <s v="laura.jackson.15@gslingacademy.com"/>
    <x v="1"/>
    <x v="0"/>
    <n v="3"/>
    <x v="0"/>
    <n v="39"/>
    <x v="1"/>
    <n v="96"/>
    <s v="A+"/>
    <n v="90"/>
    <s v="A+"/>
    <n v="86"/>
    <s v="A"/>
    <n v="92"/>
    <s v="A+"/>
    <n v="92"/>
    <s v="A+"/>
    <n v="95"/>
    <s v="A+"/>
    <n v="87"/>
    <s v="A"/>
    <n v="638"/>
    <n v="91.142857142857139"/>
    <x v="1"/>
    <n v="110"/>
    <x v="0"/>
  </r>
  <r>
    <n v="16"/>
    <s v="Roger"/>
    <s v="Wiley"/>
    <x v="15"/>
    <s v="roger.wiley.16@gslingacademy.com"/>
    <x v="0"/>
    <x v="0"/>
    <n v="6"/>
    <x v="0"/>
    <n v="0"/>
    <x v="7"/>
    <n v="94"/>
    <s v="A+"/>
    <n v="50"/>
    <s v="C"/>
    <n v="78"/>
    <s v="A-"/>
    <n v="64"/>
    <s v="B-"/>
    <n v="79"/>
    <s v="A-"/>
    <n v="74"/>
    <s v="B+"/>
    <n v="84"/>
    <s v="A"/>
    <n v="523"/>
    <n v="74.714285714285708"/>
    <x v="3"/>
    <n v="1727"/>
    <x v="0"/>
  </r>
  <r>
    <n v="17"/>
    <s v="Vicki"/>
    <s v="Thompson"/>
    <x v="16"/>
    <s v="vicki.thompson.17@gslingacademy.com"/>
    <x v="1"/>
    <x v="0"/>
    <n v="3"/>
    <x v="1"/>
    <n v="30"/>
    <x v="8"/>
    <n v="92"/>
    <s v="A+"/>
    <n v="64"/>
    <s v="B-"/>
    <n v="93"/>
    <s v="A+"/>
    <n v="91"/>
    <s v="A+"/>
    <n v="80"/>
    <s v="A"/>
    <n v="89"/>
    <s v="A"/>
    <n v="72"/>
    <s v="B+"/>
    <n v="581"/>
    <n v="83"/>
    <x v="0"/>
    <n v="688"/>
    <x v="0"/>
  </r>
  <r>
    <n v="18"/>
    <s v="Maxwell"/>
    <s v="Davidson"/>
    <x v="17"/>
    <s v="maxwell.davidson.18@gslingacademy.com"/>
    <x v="0"/>
    <x v="0"/>
    <n v="2"/>
    <x v="1"/>
    <n v="28"/>
    <x v="5"/>
    <n v="86"/>
    <s v="A"/>
    <n v="83"/>
    <s v="A"/>
    <n v="85"/>
    <s v="A"/>
    <n v="79"/>
    <s v="A-"/>
    <n v="93"/>
    <s v="A+"/>
    <n v="76"/>
    <s v="A-"/>
    <n v="77"/>
    <s v="A-"/>
    <n v="579"/>
    <n v="82.714285714285708"/>
    <x v="0"/>
    <n v="730"/>
    <x v="1"/>
  </r>
  <r>
    <n v="19"/>
    <s v="Jonathan"/>
    <s v="Werner"/>
    <x v="18"/>
    <s v="jonathan.werner.19@gslingacademy.com"/>
    <x v="0"/>
    <x v="0"/>
    <n v="1"/>
    <x v="0"/>
    <n v="37"/>
    <x v="1"/>
    <n v="92"/>
    <s v="A+"/>
    <n v="87"/>
    <s v="A"/>
    <n v="92"/>
    <s v="A+"/>
    <n v="99"/>
    <s v="A+"/>
    <n v="97"/>
    <s v="A+"/>
    <n v="87"/>
    <s v="A"/>
    <n v="86"/>
    <s v="A"/>
    <n v="640"/>
    <n v="91.428571428571431"/>
    <x v="1"/>
    <n v="98"/>
    <x v="1"/>
  </r>
  <r>
    <n v="20"/>
    <s v="Angela"/>
    <s v="Rios"/>
    <x v="19"/>
    <s v="angela.rios.20@gslingacademy.com"/>
    <x v="1"/>
    <x v="0"/>
    <n v="2"/>
    <x v="0"/>
    <n v="27"/>
    <x v="5"/>
    <n v="99"/>
    <s v="A+"/>
    <n v="65"/>
    <s v="B"/>
    <n v="98"/>
    <s v="A+"/>
    <n v="75"/>
    <s v="A-"/>
    <n v="66"/>
    <s v="B"/>
    <n v="72"/>
    <s v="B+"/>
    <n v="100"/>
    <s v="A+"/>
    <n v="575"/>
    <n v="82.142857142857139"/>
    <x v="0"/>
    <n v="807"/>
    <x v="1"/>
  </r>
  <r>
    <n v="21"/>
    <s v="Tim"/>
    <s v="Nichols"/>
    <x v="20"/>
    <s v="tim.nichols.21@gslingacademy.com"/>
    <x v="0"/>
    <x v="1"/>
    <n v="3"/>
    <x v="0"/>
    <n v="15"/>
    <x v="5"/>
    <n v="100"/>
    <s v="A+"/>
    <n v="90"/>
    <s v="A+"/>
    <n v="72"/>
    <s v="B+"/>
    <n v="98"/>
    <s v="A+"/>
    <n v="73"/>
    <s v="B+"/>
    <n v="97"/>
    <s v="A+"/>
    <n v="72"/>
    <s v="B+"/>
    <n v="602"/>
    <n v="86"/>
    <x v="0"/>
    <n v="380"/>
    <x v="0"/>
  </r>
  <r>
    <n v="22"/>
    <s v="Kyle"/>
    <s v="Willis"/>
    <x v="21"/>
    <s v="kyle.willis.22@gslingacademy.com"/>
    <x v="0"/>
    <x v="0"/>
    <n v="8"/>
    <x v="0"/>
    <n v="4"/>
    <x v="7"/>
    <n v="57"/>
    <s v="C"/>
    <n v="55"/>
    <s v="C"/>
    <n v="78"/>
    <s v="A-"/>
    <n v="94"/>
    <s v="A+"/>
    <n v="83"/>
    <s v="A"/>
    <n v="88"/>
    <s v="A"/>
    <n v="88"/>
    <s v="A"/>
    <n v="543"/>
    <n v="77.571428571428569"/>
    <x v="2"/>
    <n v="1464"/>
    <x v="2"/>
  </r>
  <r>
    <n v="23"/>
    <s v="Shannon"/>
    <s v="Simpson"/>
    <x v="22"/>
    <s v="shannon.simpson.23@gslingacademy.com"/>
    <x v="1"/>
    <x v="0"/>
    <n v="9"/>
    <x v="0"/>
    <n v="2"/>
    <x v="7"/>
    <n v="89"/>
    <s v="A"/>
    <n v="72"/>
    <s v="B+"/>
    <n v="68"/>
    <s v="B"/>
    <n v="72"/>
    <s v="B+"/>
    <n v="71"/>
    <s v="B+"/>
    <n v="54"/>
    <s v="C"/>
    <n v="90"/>
    <s v="A+"/>
    <n v="516"/>
    <n v="73.714285714285708"/>
    <x v="3"/>
    <n v="1792"/>
    <x v="2"/>
  </r>
  <r>
    <n v="24"/>
    <s v="Sean"/>
    <s v="Griffin"/>
    <x v="23"/>
    <s v="sean.griffin.24@gslingacademy.com"/>
    <x v="0"/>
    <x v="0"/>
    <n v="9"/>
    <x v="0"/>
    <n v="1"/>
    <x v="7"/>
    <n v="50"/>
    <s v="C"/>
    <n v="76"/>
    <s v="A-"/>
    <n v="81"/>
    <s v="A"/>
    <n v="55"/>
    <s v="C"/>
    <n v="56"/>
    <s v="C"/>
    <n v="80"/>
    <s v="A"/>
    <n v="79"/>
    <s v="A-"/>
    <n v="477"/>
    <n v="68.142857142857139"/>
    <x v="4"/>
    <n v="1941"/>
    <x v="2"/>
  </r>
  <r>
    <n v="25"/>
    <s v="Cassandra"/>
    <s v="West"/>
    <x v="24"/>
    <s v="cassandra.west.25@gslingacademy.com"/>
    <x v="1"/>
    <x v="0"/>
    <n v="4"/>
    <x v="0"/>
    <n v="35"/>
    <x v="5"/>
    <n v="87"/>
    <s v="A"/>
    <n v="91"/>
    <s v="A+"/>
    <n v="90"/>
    <s v="A+"/>
    <n v="88"/>
    <s v="A"/>
    <n v="95"/>
    <s v="A+"/>
    <n v="88"/>
    <s v="A"/>
    <n v="93"/>
    <s v="A+"/>
    <n v="632"/>
    <n v="90.285714285714292"/>
    <x v="1"/>
    <n v="143"/>
    <x v="0"/>
  </r>
  <r>
    <n v="26"/>
    <s v="Patricia"/>
    <s v="Chavez"/>
    <x v="25"/>
    <s v="patricia.chavez.26@gslingacademy.com"/>
    <x v="1"/>
    <x v="0"/>
    <n v="5"/>
    <x v="0"/>
    <n v="22"/>
    <x v="1"/>
    <n v="92"/>
    <s v="A+"/>
    <n v="86"/>
    <s v="A"/>
    <n v="87"/>
    <s v="A"/>
    <n v="81"/>
    <s v="A"/>
    <n v="93"/>
    <s v="A+"/>
    <n v="90"/>
    <s v="A+"/>
    <n v="99"/>
    <s v="A+"/>
    <n v="628"/>
    <n v="89.714285714285708"/>
    <x v="0"/>
    <n v="164"/>
    <x v="0"/>
  </r>
  <r>
    <n v="27"/>
    <s v="Jason"/>
    <s v="Williams"/>
    <x v="26"/>
    <s v="jason.williams.27@gslingacademy.com"/>
    <x v="0"/>
    <x v="0"/>
    <n v="3"/>
    <x v="0"/>
    <n v="34"/>
    <x v="9"/>
    <n v="100"/>
    <s v="A+"/>
    <n v="77"/>
    <s v="A-"/>
    <n v="80"/>
    <s v="A"/>
    <n v="94"/>
    <s v="A+"/>
    <n v="63"/>
    <s v="B-"/>
    <n v="90"/>
    <s v="A+"/>
    <n v="90"/>
    <s v="A+"/>
    <n v="594"/>
    <n v="84.857142857142861"/>
    <x v="0"/>
    <n v="479"/>
    <x v="0"/>
  </r>
  <r>
    <n v="28"/>
    <s v="Peter"/>
    <s v="Gibbs"/>
    <x v="27"/>
    <s v="peter.gibbs.28@gslingacademy.com"/>
    <x v="0"/>
    <x v="0"/>
    <n v="0"/>
    <x v="0"/>
    <n v="23"/>
    <x v="10"/>
    <n v="64"/>
    <s v="B-"/>
    <n v="75"/>
    <s v="A-"/>
    <n v="93"/>
    <s v="A+"/>
    <n v="79"/>
    <s v="A-"/>
    <n v="81"/>
    <s v="A"/>
    <n v="96"/>
    <s v="A+"/>
    <n v="85"/>
    <s v="A"/>
    <n v="573"/>
    <n v="81.857142857142861"/>
    <x v="0"/>
    <n v="864"/>
    <x v="1"/>
  </r>
  <r>
    <n v="29"/>
    <s v="Jeffrey"/>
    <s v="Blanchard"/>
    <x v="28"/>
    <s v="jeffrey.blanchard.29@gslingacademy.com"/>
    <x v="0"/>
    <x v="0"/>
    <n v="1"/>
    <x v="1"/>
    <n v="17"/>
    <x v="11"/>
    <n v="79"/>
    <s v="A-"/>
    <n v="65"/>
    <s v="B"/>
    <n v="99"/>
    <s v="A+"/>
    <n v="71"/>
    <s v="B+"/>
    <n v="76"/>
    <s v="A-"/>
    <n v="77"/>
    <s v="A-"/>
    <n v="83"/>
    <s v="A"/>
    <n v="550"/>
    <n v="78.571428571428569"/>
    <x v="2"/>
    <n v="1338"/>
    <x v="1"/>
  </r>
  <r>
    <n v="30"/>
    <s v="Carol"/>
    <s v="Hill"/>
    <x v="29"/>
    <s v="carol.hill.30@gslingacademy.com"/>
    <x v="1"/>
    <x v="0"/>
    <n v="3"/>
    <x v="0"/>
    <n v="19"/>
    <x v="11"/>
    <n v="82"/>
    <s v="A"/>
    <n v="100"/>
    <s v="A+"/>
    <n v="61"/>
    <s v="B-"/>
    <n v="97"/>
    <s v="A+"/>
    <n v="30"/>
    <s v="F"/>
    <n v="74"/>
    <s v="B+"/>
    <n v="73"/>
    <s v="B+"/>
    <n v="517"/>
    <n v="73.857142857142861"/>
    <x v="3"/>
    <n v="1781"/>
    <x v="0"/>
  </r>
  <r>
    <n v="31"/>
    <s v="Angie"/>
    <s v="Miller"/>
    <x v="30"/>
    <s v="angie.miller.31@gslingacademy.com"/>
    <x v="1"/>
    <x v="0"/>
    <n v="0"/>
    <x v="0"/>
    <n v="14"/>
    <x v="5"/>
    <n v="88"/>
    <s v="A"/>
    <n v="69"/>
    <s v="B"/>
    <n v="87"/>
    <s v="A"/>
    <n v="100"/>
    <s v="A+"/>
    <n v="88"/>
    <s v="A"/>
    <n v="85"/>
    <s v="A"/>
    <n v="72"/>
    <s v="B+"/>
    <n v="589"/>
    <n v="84.142857142857139"/>
    <x v="0"/>
    <n v="548"/>
    <x v="1"/>
  </r>
  <r>
    <n v="32"/>
    <s v="Cynthia"/>
    <s v="Knapp"/>
    <x v="31"/>
    <s v="cynthia.knapp.32@gslingacademy.com"/>
    <x v="1"/>
    <x v="0"/>
    <n v="4"/>
    <x v="0"/>
    <n v="30"/>
    <x v="12"/>
    <n v="70"/>
    <s v="B+"/>
    <n v="68"/>
    <s v="B"/>
    <n v="92"/>
    <s v="A+"/>
    <n v="74"/>
    <s v="B+"/>
    <n v="82"/>
    <s v="A"/>
    <n v="85"/>
    <s v="A"/>
    <n v="72"/>
    <s v="B+"/>
    <n v="543"/>
    <n v="77.571428571428569"/>
    <x v="2"/>
    <n v="1464"/>
    <x v="0"/>
  </r>
  <r>
    <n v="33"/>
    <s v="Timothy"/>
    <s v="Bryant"/>
    <x v="32"/>
    <s v="timothy.bryant.33@gslingacademy.com"/>
    <x v="0"/>
    <x v="0"/>
    <n v="4"/>
    <x v="0"/>
    <n v="30"/>
    <x v="11"/>
    <n v="77"/>
    <s v="A-"/>
    <n v="96"/>
    <s v="A+"/>
    <n v="98"/>
    <s v="A+"/>
    <n v="89"/>
    <s v="A"/>
    <n v="85"/>
    <s v="A"/>
    <n v="62"/>
    <s v="B-"/>
    <n v="62"/>
    <s v="B-"/>
    <n v="569"/>
    <n v="81.285714285714292"/>
    <x v="0"/>
    <n v="957"/>
    <x v="0"/>
  </r>
  <r>
    <n v="34"/>
    <s v="Phyllis"/>
    <s v="Diaz"/>
    <x v="33"/>
    <s v="phyllis.diaz.34@gslingacademy.com"/>
    <x v="1"/>
    <x v="0"/>
    <n v="1"/>
    <x v="0"/>
    <n v="24"/>
    <x v="9"/>
    <n v="99"/>
    <s v="A+"/>
    <n v="84"/>
    <s v="A"/>
    <n v="84"/>
    <s v="A"/>
    <n v="78"/>
    <s v="A-"/>
    <n v="78"/>
    <s v="A-"/>
    <n v="77"/>
    <s v="A-"/>
    <n v="68"/>
    <s v="B"/>
    <n v="568"/>
    <n v="81.142857142857139"/>
    <x v="0"/>
    <n v="975"/>
    <x v="1"/>
  </r>
  <r>
    <n v="35"/>
    <s v="Lisa"/>
    <s v="Burns"/>
    <x v="34"/>
    <s v="lisa.burns.35@gslingacademy.com"/>
    <x v="1"/>
    <x v="0"/>
    <n v="3"/>
    <x v="1"/>
    <n v="31"/>
    <x v="4"/>
    <n v="90"/>
    <s v="A+"/>
    <n v="93"/>
    <s v="A+"/>
    <n v="91"/>
    <s v="A+"/>
    <n v="80"/>
    <s v="A"/>
    <n v="86"/>
    <s v="A"/>
    <n v="69"/>
    <s v="B"/>
    <n v="62"/>
    <s v="B-"/>
    <n v="571"/>
    <n v="81.571428571428569"/>
    <x v="0"/>
    <n v="915"/>
    <x v="0"/>
  </r>
  <r>
    <n v="36"/>
    <s v="Kelly"/>
    <s v="Farley"/>
    <x v="35"/>
    <s v="kelly.farley.36@gslingacademy.com"/>
    <x v="1"/>
    <x v="0"/>
    <n v="1"/>
    <x v="0"/>
    <n v="21"/>
    <x v="4"/>
    <n v="65"/>
    <s v="B"/>
    <n v="70"/>
    <s v="B+"/>
    <n v="78"/>
    <s v="A-"/>
    <n v="98"/>
    <s v="A+"/>
    <n v="80"/>
    <s v="A"/>
    <n v="66"/>
    <s v="B"/>
    <n v="65"/>
    <s v="B"/>
    <n v="522"/>
    <n v="74.571428571428569"/>
    <x v="3"/>
    <n v="1739"/>
    <x v="1"/>
  </r>
  <r>
    <n v="37"/>
    <s v="Ryan"/>
    <s v="Lee"/>
    <x v="36"/>
    <s v="ryan.lee.37@gslingacademy.com"/>
    <x v="0"/>
    <x v="0"/>
    <n v="2"/>
    <x v="1"/>
    <n v="19"/>
    <x v="13"/>
    <n v="99"/>
    <s v="A+"/>
    <n v="94"/>
    <s v="A+"/>
    <n v="87"/>
    <s v="A"/>
    <n v="71"/>
    <s v="B+"/>
    <n v="89"/>
    <s v="A"/>
    <n v="91"/>
    <s v="A+"/>
    <n v="96"/>
    <s v="A+"/>
    <n v="627"/>
    <n v="89.571428571428569"/>
    <x v="0"/>
    <n v="168"/>
    <x v="1"/>
  </r>
  <r>
    <n v="38"/>
    <s v="Michael"/>
    <s v="Gilmore"/>
    <x v="37"/>
    <s v="michael.gilmore.38@gslingacademy.com"/>
    <x v="0"/>
    <x v="0"/>
    <n v="1"/>
    <x v="0"/>
    <n v="29"/>
    <x v="13"/>
    <n v="92"/>
    <s v="A+"/>
    <n v="100"/>
    <s v="A+"/>
    <n v="85"/>
    <s v="A"/>
    <n v="89"/>
    <s v="A"/>
    <n v="81"/>
    <s v="A"/>
    <n v="91"/>
    <s v="A+"/>
    <n v="88"/>
    <s v="A"/>
    <n v="626"/>
    <n v="89.428571428571431"/>
    <x v="0"/>
    <n v="179"/>
    <x v="1"/>
  </r>
  <r>
    <n v="39"/>
    <s v="Miguel"/>
    <s v="Martinez"/>
    <x v="38"/>
    <s v="miguel.martinez.39@gslingacademy.com"/>
    <x v="0"/>
    <x v="0"/>
    <n v="4"/>
    <x v="0"/>
    <n v="21"/>
    <x v="9"/>
    <n v="77"/>
    <s v="A-"/>
    <n v="64"/>
    <s v="B-"/>
    <n v="64"/>
    <s v="B-"/>
    <n v="88"/>
    <s v="A"/>
    <n v="94"/>
    <s v="A+"/>
    <n v="82"/>
    <s v="A"/>
    <n v="78"/>
    <s v="A-"/>
    <n v="547"/>
    <n v="78.142857142857139"/>
    <x v="2"/>
    <n v="1388"/>
    <x v="0"/>
  </r>
  <r>
    <n v="40"/>
    <s v="Christopher"/>
    <s v="Taylor"/>
    <x v="39"/>
    <s v="christopher.taylor.40@gslingacademy.com"/>
    <x v="0"/>
    <x v="0"/>
    <n v="4"/>
    <x v="0"/>
    <n v="18"/>
    <x v="11"/>
    <n v="92"/>
    <s v="A+"/>
    <n v="60"/>
    <s v="B-"/>
    <n v="66"/>
    <s v="B"/>
    <n v="87"/>
    <s v="A"/>
    <n v="60"/>
    <s v="B-"/>
    <n v="83"/>
    <s v="A"/>
    <n v="95"/>
    <s v="A+"/>
    <n v="543"/>
    <n v="77.571428571428569"/>
    <x v="2"/>
    <n v="1464"/>
    <x v="0"/>
  </r>
  <r>
    <n v="41"/>
    <s v="Emily"/>
    <s v="Holloway"/>
    <x v="40"/>
    <s v="emily.holloway.41@gslingacademy.com"/>
    <x v="1"/>
    <x v="0"/>
    <n v="4"/>
    <x v="0"/>
    <n v="31"/>
    <x v="5"/>
    <n v="85"/>
    <s v="A"/>
    <n v="97"/>
    <s v="A+"/>
    <n v="64"/>
    <s v="B-"/>
    <n v="90"/>
    <s v="A+"/>
    <n v="79"/>
    <s v="A-"/>
    <n v="81"/>
    <s v="A"/>
    <n v="81"/>
    <s v="A"/>
    <n v="577"/>
    <n v="82.428571428571431"/>
    <x v="0"/>
    <n v="769"/>
    <x v="0"/>
  </r>
  <r>
    <n v="42"/>
    <s v="Jesus"/>
    <s v="Rasmussen"/>
    <x v="41"/>
    <s v="jesus.rasmussen.42@gslingacademy.com"/>
    <x v="0"/>
    <x v="1"/>
    <n v="7"/>
    <x v="0"/>
    <n v="4"/>
    <x v="7"/>
    <n v="65"/>
    <s v="B"/>
    <n v="55"/>
    <s v="C"/>
    <n v="66"/>
    <s v="B"/>
    <n v="50"/>
    <s v="C"/>
    <n v="88"/>
    <s v="A"/>
    <n v="56"/>
    <s v="C"/>
    <n v="86"/>
    <s v="A"/>
    <n v="466"/>
    <n v="66.571428571428569"/>
    <x v="4"/>
    <n v="1970"/>
    <x v="2"/>
  </r>
  <r>
    <n v="43"/>
    <s v="Lauren"/>
    <s v="Farmer"/>
    <x v="42"/>
    <s v="lauren.farmer.43@gslingacademy.com"/>
    <x v="1"/>
    <x v="1"/>
    <n v="6"/>
    <x v="0"/>
    <n v="3"/>
    <x v="7"/>
    <n v="93"/>
    <s v="A+"/>
    <n v="94"/>
    <s v="A+"/>
    <n v="92"/>
    <s v="A+"/>
    <n v="77"/>
    <s v="A-"/>
    <n v="87"/>
    <s v="A"/>
    <n v="98"/>
    <s v="A+"/>
    <n v="63"/>
    <s v="B-"/>
    <n v="604"/>
    <n v="86.285714285714292"/>
    <x v="0"/>
    <n v="353"/>
    <x v="0"/>
  </r>
  <r>
    <n v="44"/>
    <s v="Pamela"/>
    <s v="Cole"/>
    <x v="43"/>
    <s v="pamela.cole.44@gslingacademy.com"/>
    <x v="1"/>
    <x v="0"/>
    <n v="4"/>
    <x v="0"/>
    <n v="3"/>
    <x v="14"/>
    <n v="97"/>
    <s v="A+"/>
    <n v="99"/>
    <s v="A+"/>
    <n v="85"/>
    <s v="A"/>
    <n v="96"/>
    <s v="A+"/>
    <n v="91"/>
    <s v="A+"/>
    <n v="68"/>
    <s v="B"/>
    <n v="66"/>
    <s v="B"/>
    <n v="602"/>
    <n v="86"/>
    <x v="0"/>
    <n v="380"/>
    <x v="0"/>
  </r>
  <r>
    <n v="45"/>
    <s v="David"/>
    <s v="Gillespie"/>
    <x v="44"/>
    <s v="david.gillespie.45@gslingacademy.com"/>
    <x v="0"/>
    <x v="1"/>
    <n v="4"/>
    <x v="0"/>
    <n v="3"/>
    <x v="7"/>
    <n v="54"/>
    <s v="C"/>
    <n v="99"/>
    <s v="A+"/>
    <n v="79"/>
    <s v="A-"/>
    <n v="57"/>
    <s v="C"/>
    <n v="53"/>
    <s v="C"/>
    <n v="95"/>
    <s v="A+"/>
    <n v="83"/>
    <s v="A"/>
    <n v="520"/>
    <n v="74.285714285714292"/>
    <x v="3"/>
    <n v="1753"/>
    <x v="0"/>
  </r>
  <r>
    <n v="46"/>
    <s v="Kenneth"/>
    <s v="Davis"/>
    <x v="45"/>
    <s v="kenneth.davis.46@gslingacademy.com"/>
    <x v="0"/>
    <x v="1"/>
    <n v="5"/>
    <x v="1"/>
    <n v="5"/>
    <x v="7"/>
    <n v="88"/>
    <s v="A"/>
    <n v="53"/>
    <s v="C"/>
    <n v="50"/>
    <s v="C"/>
    <n v="58"/>
    <s v="C"/>
    <n v="84"/>
    <s v="A"/>
    <n v="53"/>
    <s v="C"/>
    <n v="96"/>
    <s v="A+"/>
    <n v="482"/>
    <n v="68.857142857142861"/>
    <x v="4"/>
    <n v="1930"/>
    <x v="0"/>
  </r>
  <r>
    <n v="47"/>
    <s v="Elizabeth"/>
    <s v="Martin"/>
    <x v="46"/>
    <s v="elizabeth.martin.47@gslingacademy.com"/>
    <x v="1"/>
    <x v="0"/>
    <n v="5"/>
    <x v="1"/>
    <n v="27"/>
    <x v="0"/>
    <n v="71"/>
    <s v="B+"/>
    <n v="85"/>
    <s v="A"/>
    <n v="93"/>
    <s v="A+"/>
    <n v="68"/>
    <s v="B"/>
    <n v="100"/>
    <s v="A+"/>
    <n v="91"/>
    <s v="A+"/>
    <n v="87"/>
    <s v="A"/>
    <n v="595"/>
    <n v="85"/>
    <x v="0"/>
    <n v="465"/>
    <x v="0"/>
  </r>
  <r>
    <n v="48"/>
    <s v="Billy"/>
    <s v="Soto"/>
    <x v="47"/>
    <s v="billy.soto.48@gslingacademy.com"/>
    <x v="0"/>
    <x v="0"/>
    <n v="0"/>
    <x v="1"/>
    <n v="28"/>
    <x v="15"/>
    <n v="81"/>
    <s v="A"/>
    <n v="98"/>
    <s v="A+"/>
    <n v="74"/>
    <s v="B+"/>
    <n v="70"/>
    <s v="B+"/>
    <n v="97"/>
    <s v="A+"/>
    <n v="65"/>
    <s v="B"/>
    <n v="65"/>
    <s v="B"/>
    <n v="550"/>
    <n v="78.571428571428569"/>
    <x v="2"/>
    <n v="1338"/>
    <x v="1"/>
  </r>
  <r>
    <n v="49"/>
    <s v="Kimberly"/>
    <s v="Kelly"/>
    <x v="48"/>
    <s v="kimberly.kelly.49@gslingacademy.com"/>
    <x v="1"/>
    <x v="0"/>
    <n v="4"/>
    <x v="0"/>
    <n v="32"/>
    <x v="4"/>
    <n v="80"/>
    <s v="A"/>
    <n v="78"/>
    <s v="A-"/>
    <n v="86"/>
    <s v="A"/>
    <n v="80"/>
    <s v="A"/>
    <n v="64"/>
    <s v="B-"/>
    <n v="68"/>
    <s v="B"/>
    <n v="100"/>
    <s v="A+"/>
    <n v="556"/>
    <n v="79.428571428571431"/>
    <x v="2"/>
    <n v="1224"/>
    <x v="0"/>
  </r>
  <r>
    <n v="50"/>
    <s v="Sonia"/>
    <s v="Noble"/>
    <x v="49"/>
    <s v="sonia.noble.50@gslingacademy.com"/>
    <x v="1"/>
    <x v="0"/>
    <n v="0"/>
    <x v="0"/>
    <n v="14"/>
    <x v="11"/>
    <n v="100"/>
    <s v="A+"/>
    <n v="89"/>
    <s v="A"/>
    <n v="90"/>
    <s v="A+"/>
    <n v="93"/>
    <s v="A+"/>
    <n v="30"/>
    <s v="F"/>
    <n v="83"/>
    <s v="A"/>
    <n v="74"/>
    <s v="B+"/>
    <n v="559"/>
    <n v="79.857142857142861"/>
    <x v="2"/>
    <n v="1155"/>
    <x v="1"/>
  </r>
  <r>
    <n v="51"/>
    <s v="Christopher"/>
    <s v="Stewart"/>
    <x v="50"/>
    <s v="christopher.stewart.51@gslingacademy.com"/>
    <x v="0"/>
    <x v="0"/>
    <n v="6"/>
    <x v="1"/>
    <n v="16"/>
    <x v="15"/>
    <n v="76"/>
    <s v="A-"/>
    <n v="72"/>
    <s v="B+"/>
    <n v="96"/>
    <s v="A+"/>
    <n v="65"/>
    <s v="B"/>
    <n v="89"/>
    <s v="A"/>
    <n v="87"/>
    <s v="A"/>
    <n v="94"/>
    <s v="A+"/>
    <n v="579"/>
    <n v="82.714285714285708"/>
    <x v="0"/>
    <n v="730"/>
    <x v="0"/>
  </r>
  <r>
    <n v="52"/>
    <s v="Sandra"/>
    <s v="Thornton"/>
    <x v="51"/>
    <s v="sandra.thornton.52@gslingacademy.com"/>
    <x v="1"/>
    <x v="0"/>
    <n v="2"/>
    <x v="0"/>
    <n v="24"/>
    <x v="0"/>
    <n v="99"/>
    <s v="A+"/>
    <n v="81"/>
    <s v="A"/>
    <n v="73"/>
    <s v="B+"/>
    <n v="70"/>
    <s v="B+"/>
    <n v="85"/>
    <s v="A"/>
    <n v="86"/>
    <s v="A"/>
    <n v="61"/>
    <s v="B-"/>
    <n v="555"/>
    <n v="79.285714285714292"/>
    <x v="2"/>
    <n v="1245"/>
    <x v="1"/>
  </r>
  <r>
    <n v="53"/>
    <s v="Luke"/>
    <s v="Shannon"/>
    <x v="52"/>
    <s v="luke.shannon.53@gslingacademy.com"/>
    <x v="0"/>
    <x v="0"/>
    <n v="9"/>
    <x v="0"/>
    <n v="0"/>
    <x v="7"/>
    <n v="64"/>
    <s v="B-"/>
    <n v="70"/>
    <s v="B+"/>
    <n v="61"/>
    <s v="B-"/>
    <n v="81"/>
    <s v="A"/>
    <n v="82"/>
    <s v="A"/>
    <n v="51"/>
    <s v="C"/>
    <n v="70"/>
    <s v="B+"/>
    <n v="479"/>
    <n v="68.428571428571431"/>
    <x v="4"/>
    <n v="1938"/>
    <x v="2"/>
  </r>
  <r>
    <n v="54"/>
    <s v="Lindsay"/>
    <s v="Pruitt"/>
    <x v="53"/>
    <s v="lindsay.pruitt.54@gslingacademy.com"/>
    <x v="1"/>
    <x v="0"/>
    <n v="3"/>
    <x v="0"/>
    <n v="32"/>
    <x v="9"/>
    <n v="90"/>
    <s v="A+"/>
    <n v="96"/>
    <s v="A+"/>
    <n v="86"/>
    <s v="A"/>
    <n v="61"/>
    <s v="B-"/>
    <n v="89"/>
    <s v="A"/>
    <n v="98"/>
    <s v="A+"/>
    <n v="68"/>
    <s v="B"/>
    <n v="588"/>
    <n v="84"/>
    <x v="0"/>
    <n v="565"/>
    <x v="0"/>
  </r>
  <r>
    <n v="55"/>
    <s v="Jamie"/>
    <s v="Taylor"/>
    <x v="54"/>
    <s v="jamie.taylor.55@gslingacademy.com"/>
    <x v="0"/>
    <x v="0"/>
    <n v="2"/>
    <x v="0"/>
    <n v="3"/>
    <x v="14"/>
    <n v="85"/>
    <s v="A"/>
    <n v="100"/>
    <s v="A+"/>
    <n v="92"/>
    <s v="A+"/>
    <n v="68"/>
    <s v="B"/>
    <n v="60"/>
    <s v="B-"/>
    <n v="77"/>
    <s v="A-"/>
    <n v="83"/>
    <s v="A"/>
    <n v="565"/>
    <n v="80.714285714285708"/>
    <x v="0"/>
    <n v="1035"/>
    <x v="1"/>
  </r>
  <r>
    <n v="56"/>
    <s v="Jennifer"/>
    <s v="Murphy"/>
    <x v="55"/>
    <s v="jennifer.murphy.56@gslingacademy.com"/>
    <x v="1"/>
    <x v="0"/>
    <n v="6"/>
    <x v="0"/>
    <n v="31"/>
    <x v="5"/>
    <n v="91"/>
    <s v="A+"/>
    <n v="60"/>
    <s v="B-"/>
    <n v="84"/>
    <s v="A"/>
    <n v="88"/>
    <s v="A"/>
    <n v="76"/>
    <s v="A-"/>
    <n v="71"/>
    <s v="B+"/>
    <n v="99"/>
    <s v="A+"/>
    <n v="569"/>
    <n v="81.285714285714292"/>
    <x v="0"/>
    <n v="957"/>
    <x v="0"/>
  </r>
  <r>
    <n v="57"/>
    <s v="Melissa"/>
    <s v="Lee"/>
    <x v="56"/>
    <s v="melissa.lee.57@gslingacademy.com"/>
    <x v="1"/>
    <x v="0"/>
    <n v="3"/>
    <x v="0"/>
    <n v="21"/>
    <x v="4"/>
    <n v="95"/>
    <s v="A+"/>
    <n v="72"/>
    <s v="B+"/>
    <n v="79"/>
    <s v="A-"/>
    <n v="86"/>
    <s v="A"/>
    <n v="87"/>
    <s v="A"/>
    <n v="81"/>
    <s v="A"/>
    <n v="62"/>
    <s v="B-"/>
    <n v="562"/>
    <n v="80.285714285714292"/>
    <x v="0"/>
    <n v="1099"/>
    <x v="0"/>
  </r>
  <r>
    <n v="58"/>
    <s v="David"/>
    <s v="Vaughn"/>
    <x v="57"/>
    <s v="david.vaughn.58@gslingacademy.com"/>
    <x v="0"/>
    <x v="1"/>
    <n v="2"/>
    <x v="0"/>
    <n v="18"/>
    <x v="9"/>
    <n v="94"/>
    <s v="A+"/>
    <n v="78"/>
    <s v="A-"/>
    <n v="73"/>
    <s v="B+"/>
    <n v="97"/>
    <s v="A+"/>
    <n v="67"/>
    <s v="B"/>
    <n v="78"/>
    <s v="A-"/>
    <n v="99"/>
    <s v="A+"/>
    <n v="586"/>
    <n v="83.714285714285708"/>
    <x v="0"/>
    <n v="601"/>
    <x v="1"/>
  </r>
  <r>
    <n v="59"/>
    <s v="Jacob"/>
    <s v="Hanson"/>
    <x v="58"/>
    <s v="jacob.hanson.59@gslingacademy.com"/>
    <x v="0"/>
    <x v="0"/>
    <n v="7"/>
    <x v="0"/>
    <n v="26"/>
    <x v="5"/>
    <n v="94"/>
    <s v="A+"/>
    <n v="89"/>
    <s v="A"/>
    <n v="64"/>
    <s v="B-"/>
    <n v="96"/>
    <s v="A+"/>
    <n v="91"/>
    <s v="A+"/>
    <n v="95"/>
    <s v="A+"/>
    <n v="77"/>
    <s v="A-"/>
    <n v="606"/>
    <n v="86.571428571428569"/>
    <x v="0"/>
    <n v="333"/>
    <x v="2"/>
  </r>
  <r>
    <n v="60"/>
    <s v="Casey"/>
    <s v="May"/>
    <x v="59"/>
    <s v="casey.may.60@gslingacademy.com"/>
    <x v="0"/>
    <x v="0"/>
    <n v="4"/>
    <x v="0"/>
    <n v="23"/>
    <x v="5"/>
    <n v="89"/>
    <s v="A"/>
    <n v="99"/>
    <s v="A+"/>
    <n v="90"/>
    <s v="A+"/>
    <n v="79"/>
    <s v="A-"/>
    <n v="85"/>
    <s v="A"/>
    <n v="96"/>
    <s v="A+"/>
    <n v="98"/>
    <s v="A+"/>
    <n v="636"/>
    <n v="90.857142857142861"/>
    <x v="1"/>
    <n v="124"/>
    <x v="0"/>
  </r>
  <r>
    <n v="61"/>
    <s v="Michelle"/>
    <s v="Roman"/>
    <x v="60"/>
    <s v="michelle.roman.61@gslingacademy.com"/>
    <x v="1"/>
    <x v="0"/>
    <n v="2"/>
    <x v="0"/>
    <n v="1"/>
    <x v="14"/>
    <n v="91"/>
    <s v="A+"/>
    <n v="81"/>
    <s v="A"/>
    <n v="88"/>
    <s v="A"/>
    <n v="71"/>
    <s v="B+"/>
    <n v="78"/>
    <s v="A-"/>
    <n v="83"/>
    <s v="A"/>
    <n v="76"/>
    <s v="A-"/>
    <n v="568"/>
    <n v="81.142857142857139"/>
    <x v="0"/>
    <n v="975"/>
    <x v="1"/>
  </r>
  <r>
    <n v="62"/>
    <s v="Brittany"/>
    <s v="Koch"/>
    <x v="61"/>
    <s v="brittany.koch.62@gslingacademy.com"/>
    <x v="1"/>
    <x v="0"/>
    <n v="5"/>
    <x v="0"/>
    <n v="33"/>
    <x v="0"/>
    <n v="83"/>
    <s v="A"/>
    <n v="86"/>
    <s v="A"/>
    <n v="61"/>
    <s v="B-"/>
    <n v="99"/>
    <s v="A+"/>
    <n v="99"/>
    <s v="A+"/>
    <n v="88"/>
    <s v="A"/>
    <n v="73"/>
    <s v="B+"/>
    <n v="589"/>
    <n v="84.142857142857139"/>
    <x v="0"/>
    <n v="548"/>
    <x v="0"/>
  </r>
  <r>
    <n v="63"/>
    <s v="Brian"/>
    <s v="Lewis"/>
    <x v="62"/>
    <s v="brian.lewis.63@gslingacademy.com"/>
    <x v="0"/>
    <x v="0"/>
    <n v="7"/>
    <x v="0"/>
    <n v="2"/>
    <x v="7"/>
    <n v="98"/>
    <s v="A+"/>
    <n v="65"/>
    <s v="B"/>
    <n v="53"/>
    <s v="C"/>
    <n v="64"/>
    <s v="B-"/>
    <n v="52"/>
    <s v="C"/>
    <n v="96"/>
    <s v="A+"/>
    <n v="62"/>
    <s v="B-"/>
    <n v="490"/>
    <n v="70"/>
    <x v="3"/>
    <n v="1911"/>
    <x v="2"/>
  </r>
  <r>
    <n v="64"/>
    <s v="Veronica"/>
    <s v="Cameron"/>
    <x v="63"/>
    <s v="veronica.cameron.64@gslingacademy.com"/>
    <x v="1"/>
    <x v="0"/>
    <n v="1"/>
    <x v="0"/>
    <n v="34"/>
    <x v="9"/>
    <n v="83"/>
    <s v="A"/>
    <n v="97"/>
    <s v="A+"/>
    <n v="65"/>
    <s v="B"/>
    <n v="88"/>
    <s v="A"/>
    <n v="67"/>
    <s v="B"/>
    <n v="95"/>
    <s v="A+"/>
    <n v="69"/>
    <s v="B"/>
    <n v="564"/>
    <n v="80.571428571428569"/>
    <x v="0"/>
    <n v="1056"/>
    <x v="1"/>
  </r>
  <r>
    <n v="65"/>
    <s v="Eric"/>
    <s v="Reyes"/>
    <x v="64"/>
    <s v="eric.reyes.65@gslingacademy.com"/>
    <x v="0"/>
    <x v="0"/>
    <n v="2"/>
    <x v="0"/>
    <n v="18"/>
    <x v="13"/>
    <n v="91"/>
    <s v="A+"/>
    <n v="73"/>
    <s v="B+"/>
    <n v="99"/>
    <s v="A+"/>
    <n v="70"/>
    <s v="B+"/>
    <n v="63"/>
    <s v="B-"/>
    <n v="80"/>
    <s v="A"/>
    <n v="78"/>
    <s v="A-"/>
    <n v="554"/>
    <n v="79.142857142857139"/>
    <x v="2"/>
    <n v="1264"/>
    <x v="1"/>
  </r>
  <r>
    <n v="66"/>
    <s v="Kristy"/>
    <s v="Weber"/>
    <x v="65"/>
    <s v="kristy.weber.66@gslingacademy.com"/>
    <x v="1"/>
    <x v="1"/>
    <n v="6"/>
    <x v="0"/>
    <n v="2"/>
    <x v="7"/>
    <n v="90"/>
    <s v="A+"/>
    <n v="54"/>
    <s v="C"/>
    <n v="77"/>
    <s v="A-"/>
    <n v="74"/>
    <s v="B+"/>
    <n v="76"/>
    <s v="A-"/>
    <n v="96"/>
    <s v="A+"/>
    <n v="88"/>
    <s v="A"/>
    <n v="555"/>
    <n v="79.285714285714292"/>
    <x v="2"/>
    <n v="1245"/>
    <x v="0"/>
  </r>
  <r>
    <n v="67"/>
    <s v="Anthony"/>
    <s v="Smith"/>
    <x v="6"/>
    <s v="anthony.smith.67@gslingacademy.com"/>
    <x v="0"/>
    <x v="0"/>
    <n v="3"/>
    <x v="0"/>
    <n v="27"/>
    <x v="5"/>
    <n v="92"/>
    <s v="A+"/>
    <n v="86"/>
    <s v="A"/>
    <n v="66"/>
    <s v="B"/>
    <n v="69"/>
    <s v="B"/>
    <n v="100"/>
    <s v="A+"/>
    <n v="71"/>
    <s v="B+"/>
    <n v="80"/>
    <s v="A"/>
    <n v="564"/>
    <n v="80.571428571428569"/>
    <x v="0"/>
    <n v="1056"/>
    <x v="0"/>
  </r>
  <r>
    <n v="68"/>
    <s v="Steven"/>
    <s v="Stephens"/>
    <x v="66"/>
    <s v="steven.stephens.68@gslingacademy.com"/>
    <x v="0"/>
    <x v="0"/>
    <n v="2"/>
    <x v="0"/>
    <n v="8"/>
    <x v="16"/>
    <n v="64"/>
    <s v="B-"/>
    <n v="64"/>
    <s v="B-"/>
    <n v="73"/>
    <s v="B+"/>
    <n v="76"/>
    <s v="A-"/>
    <n v="72"/>
    <s v="B+"/>
    <n v="97"/>
    <s v="A+"/>
    <n v="91"/>
    <s v="A+"/>
    <n v="537"/>
    <n v="76.714285714285708"/>
    <x v="2"/>
    <n v="1553"/>
    <x v="1"/>
  </r>
  <r>
    <n v="69"/>
    <s v="Henry"/>
    <s v="Davis"/>
    <x v="67"/>
    <s v="henry.davis.69@gslingacademy.com"/>
    <x v="0"/>
    <x v="0"/>
    <n v="4"/>
    <x v="0"/>
    <n v="14"/>
    <x v="5"/>
    <n v="90"/>
    <s v="A+"/>
    <n v="70"/>
    <s v="B+"/>
    <n v="85"/>
    <s v="A"/>
    <n v="60"/>
    <s v="B-"/>
    <n v="81"/>
    <s v="A"/>
    <n v="71"/>
    <s v="B+"/>
    <n v="88"/>
    <s v="A"/>
    <n v="545"/>
    <n v="77.857142857142861"/>
    <x v="2"/>
    <n v="1432"/>
    <x v="0"/>
  </r>
  <r>
    <n v="70"/>
    <s v="Raymond"/>
    <s v="Shea"/>
    <x v="68"/>
    <s v="raymond.shea.70@gslingacademy.com"/>
    <x v="0"/>
    <x v="0"/>
    <n v="10"/>
    <x v="1"/>
    <n v="22"/>
    <x v="9"/>
    <n v="99"/>
    <s v="A+"/>
    <n v="81"/>
    <s v="A"/>
    <n v="96"/>
    <s v="A+"/>
    <n v="69"/>
    <s v="B"/>
    <n v="91"/>
    <s v="A+"/>
    <n v="87"/>
    <s v="A"/>
    <n v="83"/>
    <s v="A"/>
    <n v="606"/>
    <n v="86.571428571428569"/>
    <x v="0"/>
    <n v="333"/>
    <x v="2"/>
  </r>
  <r>
    <n v="71"/>
    <s v="Jill"/>
    <s v="Perez"/>
    <x v="69"/>
    <s v="jill.perez.71@gslingacademy.com"/>
    <x v="1"/>
    <x v="0"/>
    <n v="1"/>
    <x v="0"/>
    <n v="15"/>
    <x v="12"/>
    <n v="89"/>
    <s v="A"/>
    <n v="66"/>
    <s v="B"/>
    <n v="93"/>
    <s v="A+"/>
    <n v="81"/>
    <s v="A"/>
    <n v="86"/>
    <s v="A"/>
    <n v="88"/>
    <s v="A"/>
    <n v="70"/>
    <s v="B+"/>
    <n v="573"/>
    <n v="81.857142857142861"/>
    <x v="0"/>
    <n v="864"/>
    <x v="1"/>
  </r>
  <r>
    <n v="72"/>
    <s v="Kimberly"/>
    <s v="Bonilla"/>
    <x v="70"/>
    <s v="kimberly.bonilla.72@gslingacademy.com"/>
    <x v="1"/>
    <x v="1"/>
    <n v="3"/>
    <x v="0"/>
    <n v="22"/>
    <x v="10"/>
    <n v="62"/>
    <s v="B-"/>
    <n v="87"/>
    <s v="A"/>
    <n v="93"/>
    <s v="A+"/>
    <n v="83"/>
    <s v="A"/>
    <n v="93"/>
    <s v="A+"/>
    <n v="97"/>
    <s v="A+"/>
    <n v="73"/>
    <s v="B+"/>
    <n v="588"/>
    <n v="84"/>
    <x v="0"/>
    <n v="565"/>
    <x v="0"/>
  </r>
  <r>
    <n v="73"/>
    <s v="Louis"/>
    <s v="Edwards"/>
    <x v="71"/>
    <s v="louis.edwards.73@gslingacademy.com"/>
    <x v="0"/>
    <x v="1"/>
    <n v="10"/>
    <x v="0"/>
    <n v="1"/>
    <x v="7"/>
    <n v="61"/>
    <s v="B-"/>
    <n v="70"/>
    <s v="B+"/>
    <n v="69"/>
    <s v="B"/>
    <n v="64"/>
    <s v="B-"/>
    <n v="59"/>
    <s v="C"/>
    <n v="78"/>
    <s v="A-"/>
    <n v="80"/>
    <s v="A"/>
    <n v="481"/>
    <n v="68.714285714285708"/>
    <x v="4"/>
    <n v="1933"/>
    <x v="2"/>
  </r>
  <r>
    <n v="74"/>
    <s v="Michael"/>
    <s v="Hodge"/>
    <x v="72"/>
    <s v="michael.hodge.74@gslingacademy.com"/>
    <x v="0"/>
    <x v="1"/>
    <n v="8"/>
    <x v="0"/>
    <n v="3"/>
    <x v="7"/>
    <n v="51"/>
    <s v="C"/>
    <n v="54"/>
    <s v="C"/>
    <n v="66"/>
    <s v="B"/>
    <n v="87"/>
    <s v="A"/>
    <n v="99"/>
    <s v="A+"/>
    <n v="58"/>
    <s v="C"/>
    <n v="68"/>
    <s v="B"/>
    <n v="483"/>
    <n v="69"/>
    <x v="4"/>
    <n v="1927"/>
    <x v="2"/>
  </r>
  <r>
    <n v="75"/>
    <s v="Anna"/>
    <s v="Li"/>
    <x v="73"/>
    <s v="anna.li.75@gslingacademy.com"/>
    <x v="1"/>
    <x v="0"/>
    <n v="2"/>
    <x v="0"/>
    <n v="20"/>
    <x v="5"/>
    <n v="85"/>
    <s v="A"/>
    <n v="100"/>
    <s v="A+"/>
    <n v="64"/>
    <s v="B-"/>
    <n v="68"/>
    <s v="B"/>
    <n v="73"/>
    <s v="B+"/>
    <n v="81"/>
    <s v="A"/>
    <n v="87"/>
    <s v="A"/>
    <n v="558"/>
    <n v="79.714285714285708"/>
    <x v="2"/>
    <n v="1178"/>
    <x v="1"/>
  </r>
  <r>
    <n v="76"/>
    <s v="Andrea"/>
    <s v="Case"/>
    <x v="74"/>
    <s v="andrea.case.76@gslingacademy.com"/>
    <x v="1"/>
    <x v="0"/>
    <n v="7"/>
    <x v="1"/>
    <n v="27"/>
    <x v="5"/>
    <n v="99"/>
    <s v="A+"/>
    <n v="90"/>
    <s v="A+"/>
    <n v="96"/>
    <s v="A+"/>
    <n v="92"/>
    <s v="A+"/>
    <n v="100"/>
    <s v="A+"/>
    <n v="98"/>
    <s v="A+"/>
    <n v="77"/>
    <s v="A-"/>
    <n v="652"/>
    <n v="93.142857142857139"/>
    <x v="1"/>
    <n v="46"/>
    <x v="2"/>
  </r>
  <r>
    <n v="77"/>
    <s v="Jennifer"/>
    <s v="Garcia"/>
    <x v="75"/>
    <s v="jennifer.garcia.77@gslingacademy.com"/>
    <x v="1"/>
    <x v="0"/>
    <n v="3"/>
    <x v="0"/>
    <n v="24"/>
    <x v="5"/>
    <n v="87"/>
    <s v="A"/>
    <n v="63"/>
    <s v="B-"/>
    <n v="60"/>
    <s v="B-"/>
    <n v="90"/>
    <s v="A+"/>
    <n v="89"/>
    <s v="A"/>
    <n v="99"/>
    <s v="A+"/>
    <n v="80"/>
    <s v="A"/>
    <n v="568"/>
    <n v="81.142857142857139"/>
    <x v="0"/>
    <n v="975"/>
    <x v="0"/>
  </r>
  <r>
    <n v="78"/>
    <s v="Rhonda"/>
    <s v="Davenport"/>
    <x v="76"/>
    <s v="rhonda.davenport.78@gslingacademy.com"/>
    <x v="1"/>
    <x v="0"/>
    <n v="1"/>
    <x v="1"/>
    <n v="5"/>
    <x v="4"/>
    <n v="75"/>
    <s v="A-"/>
    <n v="91"/>
    <s v="A+"/>
    <n v="80"/>
    <s v="A"/>
    <n v="93"/>
    <s v="A+"/>
    <n v="74"/>
    <s v="B+"/>
    <n v="93"/>
    <s v="A+"/>
    <n v="65"/>
    <s v="B"/>
    <n v="571"/>
    <n v="81.571428571428569"/>
    <x v="0"/>
    <n v="915"/>
    <x v="1"/>
  </r>
  <r>
    <n v="79"/>
    <s v="Chelsea"/>
    <s v="Craig"/>
    <x v="77"/>
    <s v="chelsea.craig.79@gslingacademy.com"/>
    <x v="1"/>
    <x v="0"/>
    <n v="7"/>
    <x v="0"/>
    <n v="34"/>
    <x v="4"/>
    <n v="88"/>
    <s v="A"/>
    <n v="94"/>
    <s v="A+"/>
    <n v="80"/>
    <s v="A"/>
    <n v="63"/>
    <s v="B-"/>
    <n v="68"/>
    <s v="B"/>
    <n v="77"/>
    <s v="A-"/>
    <n v="64"/>
    <s v="B-"/>
    <n v="534"/>
    <n v="76.285714285714292"/>
    <x v="2"/>
    <n v="1595"/>
    <x v="2"/>
  </r>
  <r>
    <n v="80"/>
    <s v="Shawn"/>
    <s v="Chase"/>
    <x v="78"/>
    <s v="shawn.chase.80@gslingacademy.com"/>
    <x v="0"/>
    <x v="0"/>
    <n v="3"/>
    <x v="0"/>
    <n v="16"/>
    <x v="5"/>
    <n v="87"/>
    <s v="A"/>
    <n v="79"/>
    <s v="A-"/>
    <n v="89"/>
    <s v="A"/>
    <n v="68"/>
    <s v="B"/>
    <n v="93"/>
    <s v="A+"/>
    <n v="75"/>
    <s v="A-"/>
    <n v="92"/>
    <s v="A+"/>
    <n v="583"/>
    <n v="83.285714285714292"/>
    <x v="0"/>
    <n v="655"/>
    <x v="0"/>
  </r>
  <r>
    <n v="81"/>
    <s v="Elizabeth"/>
    <s v="Calhoun"/>
    <x v="79"/>
    <s v="elizabeth.calhoun.81@gslingacademy.com"/>
    <x v="1"/>
    <x v="1"/>
    <n v="3"/>
    <x v="0"/>
    <n v="3"/>
    <x v="7"/>
    <n v="87"/>
    <s v="A"/>
    <n v="67"/>
    <s v="B"/>
    <n v="94"/>
    <s v="A+"/>
    <n v="92"/>
    <s v="A+"/>
    <n v="62"/>
    <s v="B-"/>
    <n v="58"/>
    <s v="C"/>
    <n v="65"/>
    <s v="B"/>
    <n v="525"/>
    <n v="75"/>
    <x v="2"/>
    <n v="1704"/>
    <x v="0"/>
  </r>
  <r>
    <n v="82"/>
    <s v="Lisa"/>
    <s v="Harris"/>
    <x v="80"/>
    <s v="lisa.harris.82@gslingacademy.com"/>
    <x v="1"/>
    <x v="0"/>
    <n v="1"/>
    <x v="0"/>
    <n v="15"/>
    <x v="15"/>
    <n v="76"/>
    <s v="A-"/>
    <n v="67"/>
    <s v="B"/>
    <n v="83"/>
    <s v="A"/>
    <n v="85"/>
    <s v="A"/>
    <n v="91"/>
    <s v="A+"/>
    <n v="61"/>
    <s v="B-"/>
    <n v="67"/>
    <s v="B"/>
    <n v="530"/>
    <n v="75.714285714285708"/>
    <x v="2"/>
    <n v="1646"/>
    <x v="1"/>
  </r>
  <r>
    <n v="83"/>
    <s v="Carol"/>
    <s v="Snyder"/>
    <x v="81"/>
    <s v="carol.snyder.83@gslingacademy.com"/>
    <x v="1"/>
    <x v="0"/>
    <n v="7"/>
    <x v="0"/>
    <n v="11"/>
    <x v="2"/>
    <n v="60"/>
    <s v="B-"/>
    <n v="80"/>
    <s v="A"/>
    <n v="61"/>
    <s v="B-"/>
    <n v="63"/>
    <s v="B-"/>
    <n v="95"/>
    <s v="A+"/>
    <n v="92"/>
    <s v="A+"/>
    <n v="75"/>
    <s v="A-"/>
    <n v="526"/>
    <n v="75.142857142857139"/>
    <x v="2"/>
    <n v="1688"/>
    <x v="2"/>
  </r>
  <r>
    <n v="84"/>
    <s v="Charles"/>
    <s v="Butler"/>
    <x v="82"/>
    <s v="charles.butler.84@gslingacademy.com"/>
    <x v="0"/>
    <x v="0"/>
    <n v="7"/>
    <x v="0"/>
    <n v="32"/>
    <x v="8"/>
    <n v="85"/>
    <s v="A"/>
    <n v="65"/>
    <s v="B"/>
    <n v="99"/>
    <s v="A+"/>
    <n v="100"/>
    <s v="A+"/>
    <n v="88"/>
    <s v="A"/>
    <n v="93"/>
    <s v="A+"/>
    <n v="72"/>
    <s v="B+"/>
    <n v="602"/>
    <n v="86"/>
    <x v="0"/>
    <n v="380"/>
    <x v="2"/>
  </r>
  <r>
    <n v="85"/>
    <s v="James"/>
    <s v="Dawson"/>
    <x v="83"/>
    <s v="james.dawson.85@gslingacademy.com"/>
    <x v="0"/>
    <x v="0"/>
    <n v="3"/>
    <x v="0"/>
    <n v="28"/>
    <x v="4"/>
    <n v="73"/>
    <s v="B+"/>
    <n v="67"/>
    <s v="B"/>
    <n v="70"/>
    <s v="B+"/>
    <n v="71"/>
    <s v="B+"/>
    <n v="65"/>
    <s v="B"/>
    <n v="73"/>
    <s v="B+"/>
    <n v="87"/>
    <s v="A"/>
    <n v="506"/>
    <n v="72.285714285714292"/>
    <x v="3"/>
    <n v="1848"/>
    <x v="0"/>
  </r>
  <r>
    <n v="86"/>
    <s v="Dennis"/>
    <s v="Kim"/>
    <x v="84"/>
    <s v="dennis.kim.86@gslingacademy.com"/>
    <x v="0"/>
    <x v="0"/>
    <n v="1"/>
    <x v="0"/>
    <n v="24"/>
    <x v="5"/>
    <n v="85"/>
    <s v="A"/>
    <n v="71"/>
    <s v="B+"/>
    <n v="69"/>
    <s v="B"/>
    <n v="80"/>
    <s v="A"/>
    <n v="70"/>
    <s v="B+"/>
    <n v="77"/>
    <s v="A-"/>
    <n v="66"/>
    <s v="B"/>
    <n v="518"/>
    <n v="74"/>
    <x v="3"/>
    <n v="1775"/>
    <x v="1"/>
  </r>
  <r>
    <n v="87"/>
    <s v="Jennifer"/>
    <s v="Berry"/>
    <x v="85"/>
    <s v="jennifer.berry.87@gslingacademy.com"/>
    <x v="1"/>
    <x v="0"/>
    <n v="2"/>
    <x v="0"/>
    <n v="9"/>
    <x v="2"/>
    <n v="91"/>
    <s v="A+"/>
    <n v="76"/>
    <s v="A-"/>
    <n v="71"/>
    <s v="B+"/>
    <n v="72"/>
    <s v="B+"/>
    <n v="92"/>
    <s v="A+"/>
    <n v="67"/>
    <s v="B"/>
    <n v="90"/>
    <s v="A+"/>
    <n v="559"/>
    <n v="79.857142857142861"/>
    <x v="2"/>
    <n v="1155"/>
    <x v="1"/>
  </r>
  <r>
    <n v="88"/>
    <s v="Yvette"/>
    <s v="Bridges"/>
    <x v="86"/>
    <s v="yvette.bridges.88@gslingacademy.com"/>
    <x v="1"/>
    <x v="0"/>
    <n v="3"/>
    <x v="1"/>
    <n v="14"/>
    <x v="5"/>
    <n v="99"/>
    <s v="A+"/>
    <n v="95"/>
    <s v="A+"/>
    <n v="83"/>
    <s v="A"/>
    <n v="89"/>
    <s v="A"/>
    <n v="81"/>
    <s v="A"/>
    <n v="63"/>
    <s v="B-"/>
    <n v="70"/>
    <s v="B+"/>
    <n v="580"/>
    <n v="82.857142857142861"/>
    <x v="0"/>
    <n v="709"/>
    <x v="0"/>
  </r>
  <r>
    <n v="89"/>
    <s v="Robert"/>
    <s v="Atkins"/>
    <x v="87"/>
    <s v="robert.atkins.89@gslingacademy.com"/>
    <x v="0"/>
    <x v="0"/>
    <n v="3"/>
    <x v="0"/>
    <n v="16"/>
    <x v="15"/>
    <n v="93"/>
    <s v="A+"/>
    <n v="96"/>
    <s v="A+"/>
    <n v="68"/>
    <s v="B"/>
    <n v="87"/>
    <s v="A"/>
    <n v="69"/>
    <s v="B"/>
    <n v="89"/>
    <s v="A"/>
    <n v="100"/>
    <s v="A+"/>
    <n v="602"/>
    <n v="86"/>
    <x v="0"/>
    <n v="380"/>
    <x v="0"/>
  </r>
  <r>
    <n v="90"/>
    <s v="William"/>
    <s v="Brown"/>
    <x v="88"/>
    <s v="william.brown.90@gslingacademy.com"/>
    <x v="0"/>
    <x v="0"/>
    <n v="3"/>
    <x v="0"/>
    <n v="29"/>
    <x v="5"/>
    <n v="89"/>
    <s v="A"/>
    <n v="75"/>
    <s v="A-"/>
    <n v="60"/>
    <s v="B-"/>
    <n v="80"/>
    <s v="A"/>
    <n v="62"/>
    <s v="B-"/>
    <n v="85"/>
    <s v="A"/>
    <n v="73"/>
    <s v="B+"/>
    <n v="524"/>
    <n v="74.857142857142861"/>
    <x v="3"/>
    <n v="1715"/>
    <x v="0"/>
  </r>
  <r>
    <n v="91"/>
    <s v="Patrick"/>
    <s v="Parker"/>
    <x v="89"/>
    <s v="patrick.parker.91@gslingacademy.com"/>
    <x v="0"/>
    <x v="0"/>
    <n v="0"/>
    <x v="0"/>
    <n v="14"/>
    <x v="11"/>
    <n v="95"/>
    <s v="A+"/>
    <n v="78"/>
    <s v="A-"/>
    <n v="95"/>
    <s v="A+"/>
    <n v="73"/>
    <s v="B+"/>
    <n v="32"/>
    <s v="F"/>
    <n v="65"/>
    <s v="B"/>
    <n v="68"/>
    <s v="B"/>
    <n v="506"/>
    <n v="72.285714285714292"/>
    <x v="3"/>
    <n v="1848"/>
    <x v="1"/>
  </r>
  <r>
    <n v="92"/>
    <s v="James"/>
    <s v="Santiago"/>
    <x v="90"/>
    <s v="james.santiago.92@gslingacademy.com"/>
    <x v="0"/>
    <x v="0"/>
    <n v="4"/>
    <x v="0"/>
    <n v="10"/>
    <x v="2"/>
    <n v="68"/>
    <s v="B"/>
    <n v="82"/>
    <s v="A"/>
    <n v="95"/>
    <s v="A+"/>
    <n v="63"/>
    <s v="B-"/>
    <n v="62"/>
    <s v="B-"/>
    <n v="98"/>
    <s v="A+"/>
    <n v="93"/>
    <s v="A+"/>
    <n v="561"/>
    <n v="80.142857142857139"/>
    <x v="0"/>
    <n v="1120"/>
    <x v="0"/>
  </r>
  <r>
    <n v="93"/>
    <s v="Robert"/>
    <s v="Parsons"/>
    <x v="91"/>
    <s v="robert.parsons.93@gslingacademy.com"/>
    <x v="0"/>
    <x v="0"/>
    <n v="5"/>
    <x v="0"/>
    <n v="31"/>
    <x v="5"/>
    <n v="98"/>
    <s v="A+"/>
    <n v="73"/>
    <s v="B+"/>
    <n v="73"/>
    <s v="B+"/>
    <n v="77"/>
    <s v="A-"/>
    <n v="87"/>
    <s v="A"/>
    <n v="98"/>
    <s v="A+"/>
    <n v="83"/>
    <s v="A"/>
    <n v="589"/>
    <n v="84.142857142857139"/>
    <x v="0"/>
    <n v="548"/>
    <x v="0"/>
  </r>
  <r>
    <n v="94"/>
    <s v="Jacob"/>
    <s v="Brown"/>
    <x v="92"/>
    <s v="jacob.brown.94@gslingacademy.com"/>
    <x v="0"/>
    <x v="0"/>
    <n v="4"/>
    <x v="0"/>
    <n v="34"/>
    <x v="15"/>
    <n v="79"/>
    <s v="A-"/>
    <n v="92"/>
    <s v="A+"/>
    <n v="79"/>
    <s v="A-"/>
    <n v="76"/>
    <s v="A-"/>
    <n v="84"/>
    <s v="A"/>
    <n v="67"/>
    <s v="B"/>
    <n v="86"/>
    <s v="A"/>
    <n v="563"/>
    <n v="80.428571428571431"/>
    <x v="0"/>
    <n v="1077"/>
    <x v="0"/>
  </r>
  <r>
    <n v="95"/>
    <s v="Natalie"/>
    <s v="Robinson"/>
    <x v="93"/>
    <s v="natalie.robinson.95@gslingacademy.com"/>
    <x v="1"/>
    <x v="0"/>
    <n v="5"/>
    <x v="0"/>
    <n v="3"/>
    <x v="4"/>
    <n v="78"/>
    <s v="A-"/>
    <n v="79"/>
    <s v="A-"/>
    <n v="73"/>
    <s v="B+"/>
    <n v="96"/>
    <s v="A+"/>
    <n v="64"/>
    <s v="B-"/>
    <n v="93"/>
    <s v="A+"/>
    <n v="85"/>
    <s v="A"/>
    <n v="568"/>
    <n v="81.142857142857139"/>
    <x v="0"/>
    <n v="975"/>
    <x v="0"/>
  </r>
  <r>
    <n v="96"/>
    <s v="Victoria"/>
    <s v="Jones"/>
    <x v="94"/>
    <s v="victoria.jones.96@gslingacademy.com"/>
    <x v="1"/>
    <x v="0"/>
    <n v="2"/>
    <x v="1"/>
    <n v="34"/>
    <x v="5"/>
    <n v="100"/>
    <s v="A+"/>
    <n v="98"/>
    <s v="A+"/>
    <n v="89"/>
    <s v="A"/>
    <n v="85"/>
    <s v="A"/>
    <n v="81"/>
    <s v="A"/>
    <n v="64"/>
    <s v="B-"/>
    <n v="94"/>
    <s v="A+"/>
    <n v="611"/>
    <n v="87.285714285714292"/>
    <x v="0"/>
    <n v="291"/>
    <x v="1"/>
  </r>
  <r>
    <n v="97"/>
    <s v="Natasha"/>
    <s v="Hansen"/>
    <x v="95"/>
    <s v="natasha.hansen.97@gslingacademy.com"/>
    <x v="1"/>
    <x v="0"/>
    <n v="3"/>
    <x v="1"/>
    <n v="2"/>
    <x v="3"/>
    <n v="86"/>
    <s v="A"/>
    <n v="76"/>
    <s v="A-"/>
    <n v="84"/>
    <s v="A"/>
    <n v="93"/>
    <s v="A+"/>
    <n v="76"/>
    <s v="A-"/>
    <n v="69"/>
    <s v="B"/>
    <n v="91"/>
    <s v="A+"/>
    <n v="575"/>
    <n v="82.142857142857139"/>
    <x v="0"/>
    <n v="807"/>
    <x v="0"/>
  </r>
  <r>
    <n v="98"/>
    <s v="Thomas"/>
    <s v="White"/>
    <x v="96"/>
    <s v="thomas.white.98@gslingacademy.com"/>
    <x v="0"/>
    <x v="0"/>
    <n v="3"/>
    <x v="0"/>
    <n v="4"/>
    <x v="16"/>
    <n v="87"/>
    <s v="A"/>
    <n v="89"/>
    <s v="A"/>
    <n v="93"/>
    <s v="A+"/>
    <n v="98"/>
    <s v="A+"/>
    <n v="79"/>
    <s v="A-"/>
    <n v="72"/>
    <s v="B+"/>
    <n v="88"/>
    <s v="A"/>
    <n v="606"/>
    <n v="86.571428571428569"/>
    <x v="0"/>
    <n v="333"/>
    <x v="0"/>
  </r>
  <r>
    <n v="99"/>
    <s v="Derrick"/>
    <s v="Figueroa"/>
    <x v="97"/>
    <s v="derrick.figueroa.99@gslingacademy.com"/>
    <x v="0"/>
    <x v="1"/>
    <n v="0"/>
    <x v="0"/>
    <n v="28"/>
    <x v="0"/>
    <n v="100"/>
    <s v="A+"/>
    <n v="93"/>
    <s v="A+"/>
    <n v="85"/>
    <s v="A"/>
    <n v="61"/>
    <s v="B-"/>
    <n v="96"/>
    <s v="A+"/>
    <n v="83"/>
    <s v="A"/>
    <n v="86"/>
    <s v="A"/>
    <n v="604"/>
    <n v="86.285714285714292"/>
    <x v="0"/>
    <n v="353"/>
    <x v="1"/>
  </r>
  <r>
    <n v="100"/>
    <s v="Kimberly"/>
    <s v="Ward"/>
    <x v="98"/>
    <s v="kimberly.ward.100@gslingacademy.com"/>
    <x v="1"/>
    <x v="0"/>
    <n v="0"/>
    <x v="0"/>
    <n v="5"/>
    <x v="14"/>
    <n v="85"/>
    <s v="A"/>
    <n v="89"/>
    <s v="A"/>
    <n v="94"/>
    <s v="A+"/>
    <n v="69"/>
    <s v="B"/>
    <n v="99"/>
    <s v="A+"/>
    <n v="93"/>
    <s v="A+"/>
    <n v="98"/>
    <s v="A+"/>
    <n v="627"/>
    <n v="89.571428571428569"/>
    <x v="0"/>
    <n v="168"/>
    <x v="1"/>
  </r>
  <r>
    <n v="101"/>
    <s v="Rhonda"/>
    <s v="Jones"/>
    <x v="99"/>
    <s v="rhonda.jones.101@gslingacademy.com"/>
    <x v="1"/>
    <x v="0"/>
    <n v="2"/>
    <x v="0"/>
    <n v="4"/>
    <x v="3"/>
    <n v="87"/>
    <s v="A"/>
    <n v="73"/>
    <s v="B+"/>
    <n v="98"/>
    <s v="A+"/>
    <n v="91"/>
    <s v="A+"/>
    <n v="79"/>
    <s v="A-"/>
    <n v="60"/>
    <s v="B-"/>
    <n v="77"/>
    <s v="A-"/>
    <n v="565"/>
    <n v="80.714285714285708"/>
    <x v="0"/>
    <n v="1035"/>
    <x v="1"/>
  </r>
  <r>
    <n v="102"/>
    <s v="Abigail"/>
    <s v="Perez"/>
    <x v="100"/>
    <s v="abigail.perez.102@gslingacademy.com"/>
    <x v="1"/>
    <x v="0"/>
    <n v="2"/>
    <x v="0"/>
    <n v="25"/>
    <x v="5"/>
    <n v="96"/>
    <s v="A+"/>
    <n v="80"/>
    <s v="A"/>
    <n v="100"/>
    <s v="A+"/>
    <n v="61"/>
    <s v="B-"/>
    <n v="81"/>
    <s v="A"/>
    <n v="98"/>
    <s v="A+"/>
    <n v="65"/>
    <s v="B"/>
    <n v="581"/>
    <n v="83"/>
    <x v="0"/>
    <n v="688"/>
    <x v="1"/>
  </r>
  <r>
    <n v="103"/>
    <s v="James"/>
    <s v="Yang"/>
    <x v="101"/>
    <s v="james.yang.103@gslingacademy.com"/>
    <x v="0"/>
    <x v="0"/>
    <n v="5"/>
    <x v="0"/>
    <n v="29"/>
    <x v="10"/>
    <n v="76"/>
    <s v="A-"/>
    <n v="87"/>
    <s v="A"/>
    <n v="64"/>
    <s v="B-"/>
    <n v="74"/>
    <s v="B+"/>
    <n v="73"/>
    <s v="B+"/>
    <n v="90"/>
    <s v="A+"/>
    <n v="99"/>
    <s v="A+"/>
    <n v="563"/>
    <n v="80.428571428571431"/>
    <x v="0"/>
    <n v="1077"/>
    <x v="0"/>
  </r>
  <r>
    <n v="104"/>
    <s v="Stephen"/>
    <s v="Patton"/>
    <x v="102"/>
    <s v="stephen.patton.104@gslingacademy.com"/>
    <x v="0"/>
    <x v="1"/>
    <n v="6"/>
    <x v="0"/>
    <n v="1"/>
    <x v="3"/>
    <n v="90"/>
    <s v="A+"/>
    <n v="80"/>
    <s v="A"/>
    <n v="63"/>
    <s v="B-"/>
    <n v="94"/>
    <s v="A+"/>
    <n v="64"/>
    <s v="B-"/>
    <n v="70"/>
    <s v="B+"/>
    <n v="79"/>
    <s v="A-"/>
    <n v="540"/>
    <n v="77.142857142857139"/>
    <x v="2"/>
    <n v="1513"/>
    <x v="0"/>
  </r>
  <r>
    <n v="105"/>
    <s v="Emma"/>
    <s v="Wright"/>
    <x v="103"/>
    <s v="emma.wright.105@gslingacademy.com"/>
    <x v="1"/>
    <x v="0"/>
    <n v="7"/>
    <x v="0"/>
    <n v="2"/>
    <x v="7"/>
    <n v="65"/>
    <s v="B"/>
    <n v="60"/>
    <s v="B-"/>
    <n v="100"/>
    <s v="A+"/>
    <n v="91"/>
    <s v="A+"/>
    <n v="87"/>
    <s v="A"/>
    <n v="78"/>
    <s v="A-"/>
    <n v="99"/>
    <s v="A+"/>
    <n v="580"/>
    <n v="82.857142857142861"/>
    <x v="0"/>
    <n v="709"/>
    <x v="2"/>
  </r>
  <r>
    <n v="106"/>
    <s v="Cynthia"/>
    <s v="Brown"/>
    <x v="104"/>
    <s v="cynthia.brown.106@gslingacademy.com"/>
    <x v="1"/>
    <x v="0"/>
    <n v="2"/>
    <x v="0"/>
    <n v="0"/>
    <x v="16"/>
    <n v="98"/>
    <s v="A+"/>
    <n v="97"/>
    <s v="A+"/>
    <n v="62"/>
    <s v="B-"/>
    <n v="89"/>
    <s v="A"/>
    <n v="62"/>
    <s v="B-"/>
    <n v="95"/>
    <s v="A+"/>
    <n v="77"/>
    <s v="A-"/>
    <n v="580"/>
    <n v="82.857142857142861"/>
    <x v="0"/>
    <n v="709"/>
    <x v="1"/>
  </r>
  <r>
    <n v="107"/>
    <s v="Erin"/>
    <s v="Kelley"/>
    <x v="105"/>
    <s v="erin.kelley.107@gslingacademy.com"/>
    <x v="1"/>
    <x v="0"/>
    <n v="3"/>
    <x v="0"/>
    <n v="16"/>
    <x v="11"/>
    <n v="91"/>
    <s v="A+"/>
    <n v="80"/>
    <s v="A"/>
    <n v="97"/>
    <s v="A+"/>
    <n v="89"/>
    <s v="A"/>
    <n v="94"/>
    <s v="A+"/>
    <n v="95"/>
    <s v="A+"/>
    <n v="84"/>
    <s v="A"/>
    <n v="630"/>
    <n v="90"/>
    <x v="1"/>
    <n v="154"/>
    <x v="0"/>
  </r>
  <r>
    <n v="108"/>
    <s v="Benjamin"/>
    <s v="Morse"/>
    <x v="106"/>
    <s v="benjamin.morse.108@gslingacademy.com"/>
    <x v="0"/>
    <x v="0"/>
    <n v="3"/>
    <x v="1"/>
    <n v="31"/>
    <x v="8"/>
    <n v="86"/>
    <s v="A"/>
    <n v="81"/>
    <s v="A"/>
    <n v="83"/>
    <s v="A"/>
    <n v="81"/>
    <s v="A"/>
    <n v="81"/>
    <s v="A"/>
    <n v="77"/>
    <s v="A-"/>
    <n v="86"/>
    <s v="A"/>
    <n v="575"/>
    <n v="82.142857142857139"/>
    <x v="0"/>
    <n v="807"/>
    <x v="0"/>
  </r>
  <r>
    <n v="109"/>
    <s v="Alexandra"/>
    <s v="Gibson"/>
    <x v="107"/>
    <s v="alexandra.gibson.109@gslingacademy.com"/>
    <x v="1"/>
    <x v="0"/>
    <n v="1"/>
    <x v="0"/>
    <n v="4"/>
    <x v="4"/>
    <n v="91"/>
    <s v="A+"/>
    <n v="93"/>
    <s v="A+"/>
    <n v="72"/>
    <s v="B+"/>
    <n v="61"/>
    <s v="B-"/>
    <n v="61"/>
    <s v="B-"/>
    <n v="87"/>
    <s v="A"/>
    <n v="95"/>
    <s v="A+"/>
    <n v="560"/>
    <n v="80"/>
    <x v="0"/>
    <n v="1134"/>
    <x v="1"/>
  </r>
  <r>
    <n v="110"/>
    <s v="Phillip"/>
    <s v="Allen"/>
    <x v="108"/>
    <s v="phillip.allen.110@gslingacademy.com"/>
    <x v="0"/>
    <x v="0"/>
    <n v="5"/>
    <x v="1"/>
    <n v="13"/>
    <x v="11"/>
    <n v="78"/>
    <s v="A-"/>
    <n v="69"/>
    <s v="B"/>
    <n v="82"/>
    <s v="A"/>
    <n v="60"/>
    <s v="B-"/>
    <n v="64"/>
    <s v="B-"/>
    <n v="77"/>
    <s v="A-"/>
    <n v="82"/>
    <s v="A"/>
    <n v="512"/>
    <n v="73.142857142857139"/>
    <x v="3"/>
    <n v="1815"/>
    <x v="0"/>
  </r>
  <r>
    <n v="111"/>
    <s v="Joshua"/>
    <s v="Gonzalez"/>
    <x v="109"/>
    <s v="joshua.gonzalez.111@gslingacademy.com"/>
    <x v="0"/>
    <x v="0"/>
    <n v="4"/>
    <x v="0"/>
    <n v="24"/>
    <x v="15"/>
    <n v="76"/>
    <s v="A-"/>
    <n v="89"/>
    <s v="A"/>
    <n v="89"/>
    <s v="A"/>
    <n v="83"/>
    <s v="A"/>
    <n v="89"/>
    <s v="A"/>
    <n v="90"/>
    <s v="A+"/>
    <n v="64"/>
    <s v="B-"/>
    <n v="580"/>
    <n v="82.857142857142861"/>
    <x v="0"/>
    <n v="709"/>
    <x v="0"/>
  </r>
  <r>
    <n v="112"/>
    <s v="Erin"/>
    <s v="Jones"/>
    <x v="110"/>
    <s v="erin.jones.112@gslingacademy.com"/>
    <x v="1"/>
    <x v="1"/>
    <n v="9"/>
    <x v="0"/>
    <n v="2"/>
    <x v="7"/>
    <n v="82"/>
    <s v="A"/>
    <n v="54"/>
    <s v="C"/>
    <n v="85"/>
    <s v="A"/>
    <n v="57"/>
    <s v="C"/>
    <n v="50"/>
    <s v="C"/>
    <n v="54"/>
    <s v="C"/>
    <n v="76"/>
    <s v="A-"/>
    <n v="458"/>
    <n v="65.428571428571431"/>
    <x v="4"/>
    <n v="1983"/>
    <x v="2"/>
  </r>
  <r>
    <n v="113"/>
    <s v="Charles"/>
    <s v="Hayes"/>
    <x v="111"/>
    <s v="charles.hayes.113@gslingacademy.com"/>
    <x v="0"/>
    <x v="1"/>
    <n v="2"/>
    <x v="1"/>
    <n v="4"/>
    <x v="7"/>
    <n v="45"/>
    <s v="D"/>
    <n v="85"/>
    <s v="A"/>
    <n v="94"/>
    <s v="A+"/>
    <n v="76"/>
    <s v="A-"/>
    <n v="57"/>
    <s v="C"/>
    <n v="93"/>
    <s v="A+"/>
    <n v="86"/>
    <s v="A"/>
    <n v="536"/>
    <n v="76.571428571428569"/>
    <x v="2"/>
    <n v="1567"/>
    <x v="1"/>
  </r>
  <r>
    <n v="114"/>
    <s v="Kelsey"/>
    <s v="Brown"/>
    <x v="112"/>
    <s v="kelsey.brown.114@gslingacademy.com"/>
    <x v="1"/>
    <x v="0"/>
    <n v="1"/>
    <x v="0"/>
    <n v="22"/>
    <x v="9"/>
    <n v="92"/>
    <s v="A+"/>
    <n v="75"/>
    <s v="A-"/>
    <n v="65"/>
    <s v="B"/>
    <n v="97"/>
    <s v="A+"/>
    <n v="61"/>
    <s v="B-"/>
    <n v="76"/>
    <s v="A-"/>
    <n v="81"/>
    <s v="A"/>
    <n v="547"/>
    <n v="78.142857142857139"/>
    <x v="2"/>
    <n v="1388"/>
    <x v="1"/>
  </r>
  <r>
    <n v="115"/>
    <s v="Robert"/>
    <s v="Turner"/>
    <x v="113"/>
    <s v="robert.turner.115@gslingacademy.com"/>
    <x v="0"/>
    <x v="0"/>
    <n v="6"/>
    <x v="1"/>
    <n v="0"/>
    <x v="7"/>
    <n v="43"/>
    <s v="D"/>
    <n v="65"/>
    <s v="B"/>
    <n v="91"/>
    <s v="A+"/>
    <n v="75"/>
    <s v="A-"/>
    <n v="64"/>
    <s v="B-"/>
    <n v="94"/>
    <s v="A+"/>
    <n v="100"/>
    <s v="A+"/>
    <n v="532"/>
    <n v="76"/>
    <x v="2"/>
    <n v="1622"/>
    <x v="0"/>
  </r>
  <r>
    <n v="116"/>
    <s v="Robert"/>
    <s v="Hill"/>
    <x v="114"/>
    <s v="robert.hill.116@gslingacademy.com"/>
    <x v="0"/>
    <x v="0"/>
    <n v="2"/>
    <x v="0"/>
    <n v="24"/>
    <x v="4"/>
    <n v="96"/>
    <s v="A+"/>
    <n v="66"/>
    <s v="B"/>
    <n v="69"/>
    <s v="B"/>
    <n v="65"/>
    <s v="B"/>
    <n v="72"/>
    <s v="B+"/>
    <n v="84"/>
    <s v="A"/>
    <n v="77"/>
    <s v="A-"/>
    <n v="529"/>
    <n v="75.571428571428569"/>
    <x v="2"/>
    <n v="1664"/>
    <x v="1"/>
  </r>
  <r>
    <n v="117"/>
    <s v="Alyssa"/>
    <s v="Ritter"/>
    <x v="115"/>
    <s v="alyssa.ritter.117@gslingacademy.com"/>
    <x v="1"/>
    <x v="0"/>
    <n v="6"/>
    <x v="0"/>
    <n v="1"/>
    <x v="7"/>
    <n v="78"/>
    <s v="A-"/>
    <n v="71"/>
    <s v="B+"/>
    <n v="50"/>
    <s v="C"/>
    <n v="55"/>
    <s v="C"/>
    <n v="54"/>
    <s v="C"/>
    <n v="97"/>
    <s v="A+"/>
    <n v="95"/>
    <s v="A+"/>
    <n v="500"/>
    <n v="71.428571428571431"/>
    <x v="3"/>
    <n v="1875"/>
    <x v="0"/>
  </r>
  <r>
    <n v="118"/>
    <s v="Beth"/>
    <s v="Bell"/>
    <x v="116"/>
    <s v="beth.bell.118@gslingacademy.com"/>
    <x v="1"/>
    <x v="0"/>
    <n v="1"/>
    <x v="0"/>
    <n v="19"/>
    <x v="4"/>
    <n v="68"/>
    <s v="B"/>
    <n v="96"/>
    <s v="A+"/>
    <n v="64"/>
    <s v="B-"/>
    <n v="70"/>
    <s v="B+"/>
    <n v="74"/>
    <s v="B+"/>
    <n v="63"/>
    <s v="B-"/>
    <n v="75"/>
    <s v="A-"/>
    <n v="510"/>
    <n v="72.857142857142861"/>
    <x v="3"/>
    <n v="1828"/>
    <x v="1"/>
  </r>
  <r>
    <n v="119"/>
    <s v="Andrew"/>
    <s v="Dixon"/>
    <x v="117"/>
    <s v="andrew.dixon.119@gslingacademy.com"/>
    <x v="0"/>
    <x v="0"/>
    <n v="1"/>
    <x v="1"/>
    <n v="19"/>
    <x v="5"/>
    <n v="93"/>
    <s v="A+"/>
    <n v="73"/>
    <s v="B+"/>
    <n v="94"/>
    <s v="A+"/>
    <n v="65"/>
    <s v="B"/>
    <n v="60"/>
    <s v="B-"/>
    <n v="63"/>
    <s v="B-"/>
    <n v="93"/>
    <s v="A+"/>
    <n v="541"/>
    <n v="77.285714285714292"/>
    <x v="2"/>
    <n v="1493"/>
    <x v="1"/>
  </r>
  <r>
    <n v="120"/>
    <s v="Crystal"/>
    <s v="Walker"/>
    <x v="118"/>
    <s v="crystal.walker.120@gslingacademy.com"/>
    <x v="1"/>
    <x v="0"/>
    <n v="6"/>
    <x v="0"/>
    <n v="5"/>
    <x v="7"/>
    <n v="55"/>
    <s v="C"/>
    <n v="93"/>
    <s v="A+"/>
    <n v="67"/>
    <s v="B"/>
    <n v="74"/>
    <s v="B+"/>
    <n v="55"/>
    <s v="C"/>
    <n v="60"/>
    <s v="B-"/>
    <n v="64"/>
    <s v="B-"/>
    <n v="468"/>
    <n v="66.857142857142861"/>
    <x v="4"/>
    <n v="1965"/>
    <x v="0"/>
  </r>
  <r>
    <n v="121"/>
    <s v="Jordan"/>
    <s v="Bennett"/>
    <x v="119"/>
    <s v="jordan.bennett.121@gslingacademy.com"/>
    <x v="1"/>
    <x v="1"/>
    <n v="0"/>
    <x v="0"/>
    <n v="13"/>
    <x v="6"/>
    <n v="66"/>
    <s v="B"/>
    <n v="90"/>
    <s v="A+"/>
    <n v="83"/>
    <s v="A"/>
    <n v="80"/>
    <s v="A"/>
    <n v="76"/>
    <s v="A-"/>
    <n v="90"/>
    <s v="A+"/>
    <n v="91"/>
    <s v="A+"/>
    <n v="576"/>
    <n v="82.285714285714292"/>
    <x v="0"/>
    <n v="789"/>
    <x v="1"/>
  </r>
  <r>
    <n v="122"/>
    <s v="Antonio"/>
    <s v="Caldwell"/>
    <x v="120"/>
    <s v="antonio.caldwell.122@gslingacademy.com"/>
    <x v="0"/>
    <x v="0"/>
    <n v="4"/>
    <x v="0"/>
    <n v="26"/>
    <x v="1"/>
    <n v="98"/>
    <s v="A+"/>
    <n v="92"/>
    <s v="A+"/>
    <n v="91"/>
    <s v="A+"/>
    <n v="99"/>
    <s v="A+"/>
    <n v="97"/>
    <s v="A+"/>
    <n v="88"/>
    <s v="A"/>
    <n v="75"/>
    <s v="A-"/>
    <n v="640"/>
    <n v="91.428571428571431"/>
    <x v="1"/>
    <n v="98"/>
    <x v="0"/>
  </r>
  <r>
    <n v="123"/>
    <s v="Jacob"/>
    <s v="Reyes"/>
    <x v="121"/>
    <s v="jacob.reyes.123@gslingacademy.com"/>
    <x v="0"/>
    <x v="0"/>
    <n v="4"/>
    <x v="0"/>
    <n v="41"/>
    <x v="1"/>
    <n v="94"/>
    <s v="A+"/>
    <n v="94"/>
    <s v="A+"/>
    <n v="94"/>
    <s v="A+"/>
    <n v="89"/>
    <s v="A"/>
    <n v="85"/>
    <s v="A"/>
    <n v="86"/>
    <s v="A"/>
    <n v="85"/>
    <s v="A"/>
    <n v="627"/>
    <n v="89.571428571428569"/>
    <x v="0"/>
    <n v="168"/>
    <x v="0"/>
  </r>
  <r>
    <n v="124"/>
    <s v="Wendy"/>
    <s v="Lewis"/>
    <x v="122"/>
    <s v="wendy.lewis.124@gslingacademy.com"/>
    <x v="1"/>
    <x v="0"/>
    <n v="3"/>
    <x v="0"/>
    <n v="47"/>
    <x v="1"/>
    <n v="96"/>
    <s v="A+"/>
    <n v="100"/>
    <s v="A+"/>
    <n v="96"/>
    <s v="A+"/>
    <n v="91"/>
    <s v="A+"/>
    <n v="91"/>
    <s v="A+"/>
    <n v="96"/>
    <s v="A+"/>
    <n v="89"/>
    <s v="A"/>
    <n v="659"/>
    <n v="94.142857142857139"/>
    <x v="1"/>
    <n v="21"/>
    <x v="0"/>
  </r>
  <r>
    <n v="125"/>
    <s v="Jennifer"/>
    <s v="Miller"/>
    <x v="123"/>
    <s v="jennifer.miller.125@gslingacademy.com"/>
    <x v="1"/>
    <x v="0"/>
    <n v="2"/>
    <x v="0"/>
    <n v="9"/>
    <x v="4"/>
    <n v="69"/>
    <s v="B"/>
    <n v="62"/>
    <s v="B-"/>
    <n v="82"/>
    <s v="A"/>
    <n v="89"/>
    <s v="A"/>
    <n v="81"/>
    <s v="A"/>
    <n v="72"/>
    <s v="B+"/>
    <n v="71"/>
    <s v="B+"/>
    <n v="526"/>
    <n v="75.142857142857139"/>
    <x v="2"/>
    <n v="1688"/>
    <x v="1"/>
  </r>
  <r>
    <n v="126"/>
    <s v="Lisa"/>
    <s v="Ware"/>
    <x v="124"/>
    <s v="lisa.ware.126@gslingacademy.com"/>
    <x v="1"/>
    <x v="0"/>
    <n v="4"/>
    <x v="0"/>
    <n v="7"/>
    <x v="4"/>
    <n v="77"/>
    <s v="A-"/>
    <n v="95"/>
    <s v="A+"/>
    <n v="98"/>
    <s v="A+"/>
    <n v="69"/>
    <s v="B"/>
    <n v="60"/>
    <s v="B-"/>
    <n v="89"/>
    <s v="A"/>
    <n v="71"/>
    <s v="B+"/>
    <n v="559"/>
    <n v="79.857142857142861"/>
    <x v="2"/>
    <n v="1155"/>
    <x v="0"/>
  </r>
  <r>
    <n v="127"/>
    <s v="Brian"/>
    <s v="Lee"/>
    <x v="125"/>
    <s v="brian.lee.127@gslingacademy.com"/>
    <x v="0"/>
    <x v="0"/>
    <n v="1"/>
    <x v="0"/>
    <n v="3"/>
    <x v="14"/>
    <n v="89"/>
    <s v="A"/>
    <n v="67"/>
    <s v="B"/>
    <n v="86"/>
    <s v="A"/>
    <n v="87"/>
    <s v="A"/>
    <n v="87"/>
    <s v="A"/>
    <n v="68"/>
    <s v="B"/>
    <n v="78"/>
    <s v="A-"/>
    <n v="562"/>
    <n v="80.285714285714292"/>
    <x v="0"/>
    <n v="1099"/>
    <x v="1"/>
  </r>
  <r>
    <n v="128"/>
    <s v="Mario"/>
    <s v="Taylor"/>
    <x v="126"/>
    <s v="mario.taylor.128@gslingacademy.com"/>
    <x v="0"/>
    <x v="0"/>
    <n v="4"/>
    <x v="1"/>
    <n v="14"/>
    <x v="11"/>
    <n v="96"/>
    <s v="A+"/>
    <n v="67"/>
    <s v="B"/>
    <n v="80"/>
    <s v="A"/>
    <n v="83"/>
    <s v="A"/>
    <n v="86"/>
    <s v="A"/>
    <n v="77"/>
    <s v="A-"/>
    <n v="75"/>
    <s v="A-"/>
    <n v="564"/>
    <n v="80.571428571428569"/>
    <x v="0"/>
    <n v="1056"/>
    <x v="0"/>
  </r>
  <r>
    <n v="129"/>
    <s v="Amanda"/>
    <s v="Williamson"/>
    <x v="127"/>
    <s v="amanda.williamson.129@gslingacademy.com"/>
    <x v="1"/>
    <x v="0"/>
    <n v="4"/>
    <x v="0"/>
    <n v="26"/>
    <x v="4"/>
    <n v="82"/>
    <s v="A"/>
    <n v="70"/>
    <s v="B+"/>
    <n v="80"/>
    <s v="A"/>
    <n v="70"/>
    <s v="B+"/>
    <n v="96"/>
    <s v="A+"/>
    <n v="69"/>
    <s v="B"/>
    <n v="86"/>
    <s v="A"/>
    <n v="553"/>
    <n v="79"/>
    <x v="2"/>
    <n v="1284"/>
    <x v="0"/>
  </r>
  <r>
    <n v="130"/>
    <s v="Michael"/>
    <s v="Miller"/>
    <x v="128"/>
    <s v="michael.miller.130@gslingacademy.com"/>
    <x v="0"/>
    <x v="0"/>
    <n v="6"/>
    <x v="1"/>
    <n v="27"/>
    <x v="4"/>
    <n v="99"/>
    <s v="A+"/>
    <n v="97"/>
    <s v="A+"/>
    <n v="64"/>
    <s v="B-"/>
    <n v="90"/>
    <s v="A+"/>
    <n v="87"/>
    <s v="A"/>
    <n v="68"/>
    <s v="B"/>
    <n v="69"/>
    <s v="B"/>
    <n v="574"/>
    <n v="82"/>
    <x v="0"/>
    <n v="832"/>
    <x v="0"/>
  </r>
  <r>
    <n v="131"/>
    <s v="Amanda"/>
    <s v="Vasquez"/>
    <x v="129"/>
    <s v="amanda.vasquez.131@gslingacademy.com"/>
    <x v="1"/>
    <x v="1"/>
    <n v="5"/>
    <x v="0"/>
    <n v="25"/>
    <x v="15"/>
    <n v="96"/>
    <s v="A+"/>
    <n v="73"/>
    <s v="B+"/>
    <n v="90"/>
    <s v="A+"/>
    <n v="85"/>
    <s v="A"/>
    <n v="63"/>
    <s v="B-"/>
    <n v="84"/>
    <s v="A"/>
    <n v="87"/>
    <s v="A"/>
    <n v="578"/>
    <n v="82.571428571428569"/>
    <x v="0"/>
    <n v="752"/>
    <x v="0"/>
  </r>
  <r>
    <n v="132"/>
    <s v="Chelsea"/>
    <s v="Obrien"/>
    <x v="130"/>
    <s v="chelsea.obrien.132@gslingacademy.com"/>
    <x v="1"/>
    <x v="1"/>
    <n v="4"/>
    <x v="0"/>
    <n v="16"/>
    <x v="9"/>
    <n v="95"/>
    <s v="A+"/>
    <n v="82"/>
    <s v="A"/>
    <n v="66"/>
    <s v="B"/>
    <n v="63"/>
    <s v="B-"/>
    <n v="67"/>
    <s v="B"/>
    <n v="92"/>
    <s v="A+"/>
    <n v="69"/>
    <s v="B"/>
    <n v="534"/>
    <n v="76.285714285714292"/>
    <x v="2"/>
    <n v="1595"/>
    <x v="0"/>
  </r>
  <r>
    <n v="133"/>
    <s v="Tina"/>
    <s v="Perkins"/>
    <x v="131"/>
    <s v="tina.perkins.133@gslingacademy.com"/>
    <x v="1"/>
    <x v="0"/>
    <n v="4"/>
    <x v="0"/>
    <n v="27"/>
    <x v="5"/>
    <n v="90"/>
    <s v="A+"/>
    <n v="63"/>
    <s v="B-"/>
    <n v="69"/>
    <s v="B"/>
    <n v="80"/>
    <s v="A"/>
    <n v="99"/>
    <s v="A+"/>
    <n v="69"/>
    <s v="B"/>
    <n v="79"/>
    <s v="A-"/>
    <n v="549"/>
    <n v="78.428571428571431"/>
    <x v="2"/>
    <n v="1355"/>
    <x v="0"/>
  </r>
  <r>
    <n v="134"/>
    <s v="Cory"/>
    <s v="Perez"/>
    <x v="132"/>
    <s v="cory.perez.134@gslingacademy.com"/>
    <x v="0"/>
    <x v="1"/>
    <n v="6"/>
    <x v="0"/>
    <n v="0"/>
    <x v="7"/>
    <n v="88"/>
    <s v="A"/>
    <n v="52"/>
    <s v="C"/>
    <n v="53"/>
    <s v="C"/>
    <n v="56"/>
    <s v="C"/>
    <n v="85"/>
    <s v="A"/>
    <n v="93"/>
    <s v="A+"/>
    <n v="78"/>
    <s v="A-"/>
    <n v="505"/>
    <n v="72.142857142857139"/>
    <x v="3"/>
    <n v="1854"/>
    <x v="0"/>
  </r>
  <r>
    <n v="135"/>
    <s v="Christopher"/>
    <s v="Jenkins"/>
    <x v="133"/>
    <s v="christopher.jenkins.135@gslingacademy.com"/>
    <x v="0"/>
    <x v="0"/>
    <n v="1"/>
    <x v="0"/>
    <n v="3"/>
    <x v="12"/>
    <n v="87"/>
    <s v="A"/>
    <n v="62"/>
    <s v="B-"/>
    <n v="87"/>
    <s v="A"/>
    <n v="96"/>
    <s v="A+"/>
    <n v="85"/>
    <s v="A"/>
    <n v="90"/>
    <s v="A+"/>
    <n v="74"/>
    <s v="B+"/>
    <n v="581"/>
    <n v="83"/>
    <x v="0"/>
    <n v="688"/>
    <x v="1"/>
  </r>
  <r>
    <n v="136"/>
    <s v="Joanne"/>
    <s v="Campos"/>
    <x v="134"/>
    <s v="joanne.campos.136@gslingacademy.com"/>
    <x v="1"/>
    <x v="0"/>
    <n v="2"/>
    <x v="0"/>
    <n v="6"/>
    <x v="12"/>
    <n v="62"/>
    <s v="B-"/>
    <n v="83"/>
    <s v="A"/>
    <n v="84"/>
    <s v="A"/>
    <n v="75"/>
    <s v="A-"/>
    <n v="83"/>
    <s v="A"/>
    <n v="85"/>
    <s v="A"/>
    <n v="86"/>
    <s v="A"/>
    <n v="558"/>
    <n v="79.714285714285708"/>
    <x v="2"/>
    <n v="1178"/>
    <x v="1"/>
  </r>
  <r>
    <n v="137"/>
    <s v="David"/>
    <s v="Patel"/>
    <x v="135"/>
    <s v="david.patel.137@gslingacademy.com"/>
    <x v="0"/>
    <x v="0"/>
    <n v="2"/>
    <x v="0"/>
    <n v="12"/>
    <x v="9"/>
    <n v="85"/>
    <s v="A"/>
    <n v="65"/>
    <s v="B"/>
    <n v="60"/>
    <s v="B-"/>
    <n v="78"/>
    <s v="A-"/>
    <n v="81"/>
    <s v="A"/>
    <n v="96"/>
    <s v="A+"/>
    <n v="76"/>
    <s v="A-"/>
    <n v="541"/>
    <n v="77.285714285714292"/>
    <x v="2"/>
    <n v="1493"/>
    <x v="1"/>
  </r>
  <r>
    <n v="138"/>
    <s v="Michelle"/>
    <s v="Hill"/>
    <x v="136"/>
    <s v="michelle.hill.138@gslingacademy.com"/>
    <x v="1"/>
    <x v="0"/>
    <n v="1"/>
    <x v="1"/>
    <n v="11"/>
    <x v="9"/>
    <n v="79"/>
    <s v="A-"/>
    <n v="97"/>
    <s v="A+"/>
    <n v="76"/>
    <s v="A-"/>
    <n v="67"/>
    <s v="B"/>
    <n v="61"/>
    <s v="B-"/>
    <n v="90"/>
    <s v="A+"/>
    <n v="95"/>
    <s v="A+"/>
    <n v="565"/>
    <n v="80.714285714285708"/>
    <x v="0"/>
    <n v="1035"/>
    <x v="1"/>
  </r>
  <r>
    <n v="139"/>
    <s v="Jessica"/>
    <s v="Boyd"/>
    <x v="137"/>
    <s v="jessica.boyd.139@gslingacademy.com"/>
    <x v="1"/>
    <x v="0"/>
    <n v="4"/>
    <x v="0"/>
    <n v="23"/>
    <x v="5"/>
    <n v="90"/>
    <s v="A+"/>
    <n v="94"/>
    <s v="A+"/>
    <n v="98"/>
    <s v="A+"/>
    <n v="96"/>
    <s v="A+"/>
    <n v="68"/>
    <s v="B"/>
    <n v="82"/>
    <s v="A"/>
    <n v="81"/>
    <s v="A"/>
    <n v="609"/>
    <n v="87"/>
    <x v="0"/>
    <n v="309"/>
    <x v="0"/>
  </r>
  <r>
    <n v="140"/>
    <s v="Lawrence"/>
    <s v="Russell"/>
    <x v="138"/>
    <s v="lawrence.russell.140@gslingacademy.com"/>
    <x v="0"/>
    <x v="0"/>
    <n v="2"/>
    <x v="0"/>
    <n v="23"/>
    <x v="1"/>
    <n v="97"/>
    <s v="A+"/>
    <n v="71"/>
    <s v="B+"/>
    <n v="82"/>
    <s v="A"/>
    <n v="80"/>
    <s v="A"/>
    <n v="97"/>
    <s v="A+"/>
    <n v="93"/>
    <s v="A+"/>
    <n v="78"/>
    <s v="A-"/>
    <n v="598"/>
    <n v="85.428571428571431"/>
    <x v="0"/>
    <n v="436"/>
    <x v="1"/>
  </r>
  <r>
    <n v="141"/>
    <s v="James"/>
    <s v="Singh"/>
    <x v="139"/>
    <s v="james.singh.141@gslingacademy.com"/>
    <x v="0"/>
    <x v="0"/>
    <n v="0"/>
    <x v="0"/>
    <n v="16"/>
    <x v="5"/>
    <n v="88"/>
    <s v="A"/>
    <n v="69"/>
    <s v="B"/>
    <n v="87"/>
    <s v="A"/>
    <n v="81"/>
    <s v="A"/>
    <n v="77"/>
    <s v="A-"/>
    <n v="67"/>
    <s v="B"/>
    <n v="93"/>
    <s v="A+"/>
    <n v="562"/>
    <n v="80.285714285714292"/>
    <x v="0"/>
    <n v="1099"/>
    <x v="1"/>
  </r>
  <r>
    <n v="142"/>
    <s v="Marc"/>
    <s v="Villanueva"/>
    <x v="140"/>
    <s v="marc.villanueva.142@gslingacademy.com"/>
    <x v="0"/>
    <x v="1"/>
    <n v="2"/>
    <x v="1"/>
    <n v="3"/>
    <x v="3"/>
    <n v="71"/>
    <s v="B+"/>
    <n v="85"/>
    <s v="A"/>
    <n v="77"/>
    <s v="A-"/>
    <n v="89"/>
    <s v="A"/>
    <n v="98"/>
    <s v="A+"/>
    <n v="63"/>
    <s v="B-"/>
    <n v="100"/>
    <s v="A+"/>
    <n v="583"/>
    <n v="83.285714285714292"/>
    <x v="0"/>
    <n v="655"/>
    <x v="1"/>
  </r>
  <r>
    <n v="143"/>
    <s v="Cathy"/>
    <s v="Wilson"/>
    <x v="141"/>
    <s v="cathy.wilson.143@gslingacademy.com"/>
    <x v="1"/>
    <x v="0"/>
    <n v="1"/>
    <x v="0"/>
    <n v="29"/>
    <x v="0"/>
    <n v="70"/>
    <s v="B+"/>
    <n v="99"/>
    <s v="A+"/>
    <n v="79"/>
    <s v="A-"/>
    <n v="96"/>
    <s v="A+"/>
    <n v="60"/>
    <s v="B-"/>
    <n v="97"/>
    <s v="A+"/>
    <n v="100"/>
    <s v="A+"/>
    <n v="601"/>
    <n v="85.857142857142861"/>
    <x v="0"/>
    <n v="394"/>
    <x v="1"/>
  </r>
  <r>
    <n v="144"/>
    <s v="Adam"/>
    <s v="Mitchell"/>
    <x v="142"/>
    <s v="adam.mitchell.144@gslingacademy.com"/>
    <x v="0"/>
    <x v="0"/>
    <n v="3"/>
    <x v="1"/>
    <n v="18"/>
    <x v="5"/>
    <n v="93"/>
    <s v="A+"/>
    <n v="68"/>
    <s v="B"/>
    <n v="76"/>
    <s v="A-"/>
    <n v="99"/>
    <s v="A+"/>
    <n v="80"/>
    <s v="A"/>
    <n v="80"/>
    <s v="A"/>
    <n v="75"/>
    <s v="A-"/>
    <n v="571"/>
    <n v="81.571428571428569"/>
    <x v="0"/>
    <n v="915"/>
    <x v="0"/>
  </r>
  <r>
    <n v="145"/>
    <s v="Sherry"/>
    <s v="Phillips"/>
    <x v="143"/>
    <s v="sherry.phillips.145@gslingacademy.com"/>
    <x v="1"/>
    <x v="0"/>
    <n v="0"/>
    <x v="0"/>
    <n v="3"/>
    <x v="14"/>
    <n v="92"/>
    <s v="A+"/>
    <n v="79"/>
    <s v="A-"/>
    <n v="81"/>
    <s v="A"/>
    <n v="61"/>
    <s v="B-"/>
    <n v="86"/>
    <s v="A"/>
    <n v="72"/>
    <s v="B+"/>
    <n v="88"/>
    <s v="A"/>
    <n v="559"/>
    <n v="79.857142857142861"/>
    <x v="2"/>
    <n v="1155"/>
    <x v="1"/>
  </r>
  <r>
    <n v="146"/>
    <s v="Victor"/>
    <s v="Jones"/>
    <x v="144"/>
    <s v="victor.jones.146@gslingacademy.com"/>
    <x v="0"/>
    <x v="0"/>
    <n v="3"/>
    <x v="0"/>
    <n v="6"/>
    <x v="16"/>
    <n v="83"/>
    <s v="A"/>
    <n v="72"/>
    <s v="B+"/>
    <n v="68"/>
    <s v="B"/>
    <n v="94"/>
    <s v="A+"/>
    <n v="100"/>
    <s v="A+"/>
    <n v="98"/>
    <s v="A+"/>
    <n v="92"/>
    <s v="A+"/>
    <n v="607"/>
    <n v="86.714285714285708"/>
    <x v="0"/>
    <n v="325"/>
    <x v="0"/>
  </r>
  <r>
    <n v="147"/>
    <s v="Mark"/>
    <s v="Young"/>
    <x v="145"/>
    <s v="mark.young.147@gslingacademy.com"/>
    <x v="0"/>
    <x v="0"/>
    <n v="8"/>
    <x v="0"/>
    <n v="2"/>
    <x v="7"/>
    <n v="68"/>
    <s v="B"/>
    <n v="97"/>
    <s v="A+"/>
    <n v="51"/>
    <s v="C"/>
    <n v="93"/>
    <s v="A+"/>
    <n v="68"/>
    <s v="B"/>
    <n v="58"/>
    <s v="C"/>
    <n v="78"/>
    <s v="A-"/>
    <n v="513"/>
    <n v="73.285714285714292"/>
    <x v="3"/>
    <n v="1810"/>
    <x v="2"/>
  </r>
  <r>
    <n v="148"/>
    <s v="Matthew"/>
    <s v="Jackson"/>
    <x v="146"/>
    <s v="matthew.jackson.148@gslingacademy.com"/>
    <x v="0"/>
    <x v="0"/>
    <n v="0"/>
    <x v="0"/>
    <n v="34"/>
    <x v="0"/>
    <n v="92"/>
    <s v="A+"/>
    <n v="90"/>
    <s v="A+"/>
    <n v="65"/>
    <s v="B"/>
    <n v="79"/>
    <s v="A-"/>
    <n v="96"/>
    <s v="A+"/>
    <n v="87"/>
    <s v="A"/>
    <n v="74"/>
    <s v="B+"/>
    <n v="583"/>
    <n v="83.285714285714292"/>
    <x v="0"/>
    <n v="655"/>
    <x v="1"/>
  </r>
  <r>
    <n v="149"/>
    <s v="Tanya"/>
    <s v="Nichols"/>
    <x v="147"/>
    <s v="tanya.nichols.149@gslingacademy.com"/>
    <x v="1"/>
    <x v="0"/>
    <n v="4"/>
    <x v="1"/>
    <n v="22"/>
    <x v="4"/>
    <n v="69"/>
    <s v="B"/>
    <n v="91"/>
    <s v="A+"/>
    <n v="82"/>
    <s v="A"/>
    <n v="99"/>
    <s v="A+"/>
    <n v="94"/>
    <s v="A+"/>
    <n v="75"/>
    <s v="A-"/>
    <n v="74"/>
    <s v="B+"/>
    <n v="584"/>
    <n v="83.428571428571431"/>
    <x v="0"/>
    <n v="635"/>
    <x v="0"/>
  </r>
  <r>
    <n v="150"/>
    <s v="Julie"/>
    <s v="Gray"/>
    <x v="148"/>
    <s v="julie.gray.150@gslingacademy.com"/>
    <x v="1"/>
    <x v="1"/>
    <n v="5"/>
    <x v="0"/>
    <n v="4"/>
    <x v="7"/>
    <n v="76"/>
    <s v="A-"/>
    <n v="72"/>
    <s v="B+"/>
    <n v="72"/>
    <s v="B+"/>
    <n v="65"/>
    <s v="B"/>
    <n v="82"/>
    <s v="A"/>
    <n v="71"/>
    <s v="B+"/>
    <n v="93"/>
    <s v="A+"/>
    <n v="531"/>
    <n v="75.857142857142861"/>
    <x v="2"/>
    <n v="1637"/>
    <x v="0"/>
  </r>
  <r>
    <n v="151"/>
    <s v="Courtney"/>
    <s v="Perry"/>
    <x v="149"/>
    <s v="courtney.perry.151@gslingacademy.com"/>
    <x v="1"/>
    <x v="0"/>
    <n v="3"/>
    <x v="0"/>
    <n v="3"/>
    <x v="4"/>
    <n v="86"/>
    <s v="A"/>
    <n v="92"/>
    <s v="A+"/>
    <n v="79"/>
    <s v="A-"/>
    <n v="73"/>
    <s v="B+"/>
    <n v="73"/>
    <s v="B+"/>
    <n v="61"/>
    <s v="B-"/>
    <n v="60"/>
    <s v="B-"/>
    <n v="524"/>
    <n v="74.857142857142861"/>
    <x v="3"/>
    <n v="1715"/>
    <x v="0"/>
  </r>
  <r>
    <n v="152"/>
    <s v="Stephen"/>
    <s v="Rodriguez"/>
    <x v="150"/>
    <s v="stephen.rodriguez.152@gslingacademy.com"/>
    <x v="0"/>
    <x v="1"/>
    <n v="10"/>
    <x v="0"/>
    <n v="2"/>
    <x v="7"/>
    <n v="41"/>
    <s v="D"/>
    <n v="57"/>
    <s v="C"/>
    <n v="97"/>
    <s v="A+"/>
    <n v="56"/>
    <s v="C"/>
    <n v="50"/>
    <s v="C"/>
    <n v="98"/>
    <s v="A+"/>
    <n v="83"/>
    <s v="A"/>
    <n v="482"/>
    <n v="68.857142857142861"/>
    <x v="4"/>
    <n v="1930"/>
    <x v="2"/>
  </r>
  <r>
    <n v="153"/>
    <s v="Elizabeth"/>
    <s v="Robinson"/>
    <x v="151"/>
    <s v="elizabeth.robinson.153@gslingacademy.com"/>
    <x v="1"/>
    <x v="0"/>
    <n v="5"/>
    <x v="0"/>
    <n v="18"/>
    <x v="4"/>
    <n v="91"/>
    <s v="A+"/>
    <n v="100"/>
    <s v="A+"/>
    <n v="84"/>
    <s v="A"/>
    <n v="72"/>
    <s v="B+"/>
    <n v="84"/>
    <s v="A"/>
    <n v="90"/>
    <s v="A+"/>
    <n v="82"/>
    <s v="A"/>
    <n v="603"/>
    <n v="86.142857142857139"/>
    <x v="0"/>
    <n v="370"/>
    <x v="0"/>
  </r>
  <r>
    <n v="154"/>
    <s v="William"/>
    <s v="Graves"/>
    <x v="152"/>
    <s v="william.graves.154@gslingacademy.com"/>
    <x v="0"/>
    <x v="0"/>
    <n v="0"/>
    <x v="0"/>
    <n v="8"/>
    <x v="16"/>
    <n v="78"/>
    <s v="A-"/>
    <n v="67"/>
    <s v="B"/>
    <n v="82"/>
    <s v="A"/>
    <n v="70"/>
    <s v="B+"/>
    <n v="65"/>
    <s v="B"/>
    <n v="68"/>
    <s v="B"/>
    <n v="81"/>
    <s v="A"/>
    <n v="511"/>
    <n v="73"/>
    <x v="3"/>
    <n v="1823"/>
    <x v="1"/>
  </r>
  <r>
    <n v="155"/>
    <s v="Nancy"/>
    <s v="Moore"/>
    <x v="153"/>
    <s v="nancy.moore.155@gslingacademy.com"/>
    <x v="1"/>
    <x v="0"/>
    <n v="1"/>
    <x v="0"/>
    <n v="33"/>
    <x v="5"/>
    <n v="89"/>
    <s v="A"/>
    <n v="73"/>
    <s v="B+"/>
    <n v="85"/>
    <s v="A"/>
    <n v="84"/>
    <s v="A"/>
    <n v="73"/>
    <s v="B+"/>
    <n v="81"/>
    <s v="A"/>
    <n v="98"/>
    <s v="A+"/>
    <n v="583"/>
    <n v="83.285714285714292"/>
    <x v="0"/>
    <n v="655"/>
    <x v="1"/>
  </r>
  <r>
    <n v="156"/>
    <s v="Matthew"/>
    <s v="Newman"/>
    <x v="154"/>
    <s v="matthew.newman.156@gslingacademy.com"/>
    <x v="0"/>
    <x v="0"/>
    <n v="0"/>
    <x v="1"/>
    <n v="13"/>
    <x v="4"/>
    <n v="96"/>
    <s v="A+"/>
    <n v="71"/>
    <s v="B+"/>
    <n v="88"/>
    <s v="A"/>
    <n v="74"/>
    <s v="B+"/>
    <n v="80"/>
    <s v="A"/>
    <n v="92"/>
    <s v="A+"/>
    <n v="65"/>
    <s v="B"/>
    <n v="566"/>
    <n v="80.857142857142861"/>
    <x v="0"/>
    <n v="1019"/>
    <x v="1"/>
  </r>
  <r>
    <n v="157"/>
    <s v="Anita"/>
    <s v="Moore"/>
    <x v="155"/>
    <s v="anita.moore.157@gslingacademy.com"/>
    <x v="1"/>
    <x v="0"/>
    <n v="0"/>
    <x v="1"/>
    <n v="17"/>
    <x v="4"/>
    <n v="66"/>
    <s v="B"/>
    <n v="99"/>
    <s v="A+"/>
    <n v="85"/>
    <s v="A"/>
    <n v="90"/>
    <s v="A+"/>
    <n v="76"/>
    <s v="A-"/>
    <n v="64"/>
    <s v="B-"/>
    <n v="95"/>
    <s v="A+"/>
    <n v="575"/>
    <n v="82.142857142857139"/>
    <x v="0"/>
    <n v="807"/>
    <x v="1"/>
  </r>
  <r>
    <n v="158"/>
    <s v="Brian"/>
    <s v="Sanchez"/>
    <x v="156"/>
    <s v="brian.sanchez.158@gslingacademy.com"/>
    <x v="0"/>
    <x v="1"/>
    <n v="8"/>
    <x v="0"/>
    <n v="1"/>
    <x v="7"/>
    <n v="97"/>
    <s v="A+"/>
    <n v="54"/>
    <s v="C"/>
    <n v="62"/>
    <s v="B-"/>
    <n v="66"/>
    <s v="B"/>
    <n v="58"/>
    <s v="C"/>
    <n v="69"/>
    <s v="B"/>
    <n v="96"/>
    <s v="A+"/>
    <n v="502"/>
    <n v="71.714285714285708"/>
    <x v="3"/>
    <n v="1866"/>
    <x v="2"/>
  </r>
  <r>
    <n v="159"/>
    <s v="Dennis"/>
    <s v="Phillips"/>
    <x v="157"/>
    <s v="dennis.phillips.159@gslingacademy.com"/>
    <x v="0"/>
    <x v="1"/>
    <n v="7"/>
    <x v="1"/>
    <n v="3"/>
    <x v="7"/>
    <n v="49"/>
    <s v="D"/>
    <n v="64"/>
    <s v="B-"/>
    <n v="97"/>
    <s v="A+"/>
    <n v="61"/>
    <s v="B-"/>
    <n v="62"/>
    <s v="B-"/>
    <n v="72"/>
    <s v="B+"/>
    <n v="65"/>
    <s v="B"/>
    <n v="470"/>
    <n v="67.142857142857139"/>
    <x v="4"/>
    <n v="1961"/>
    <x v="2"/>
  </r>
  <r>
    <n v="160"/>
    <s v="Michael"/>
    <s v="Rivas"/>
    <x v="158"/>
    <s v="michael.rivas.160@gslingacademy.com"/>
    <x v="0"/>
    <x v="1"/>
    <n v="4"/>
    <x v="1"/>
    <n v="33"/>
    <x v="4"/>
    <n v="88"/>
    <s v="A"/>
    <n v="66"/>
    <s v="B"/>
    <n v="96"/>
    <s v="A+"/>
    <n v="82"/>
    <s v="A"/>
    <n v="65"/>
    <s v="B"/>
    <n v="76"/>
    <s v="A-"/>
    <n v="79"/>
    <s v="A-"/>
    <n v="552"/>
    <n v="78.857142857142861"/>
    <x v="2"/>
    <n v="1306"/>
    <x v="0"/>
  </r>
  <r>
    <n v="161"/>
    <s v="Ryan"/>
    <s v="Smith"/>
    <x v="159"/>
    <s v="ryan.smith.161@gslingacademy.com"/>
    <x v="0"/>
    <x v="0"/>
    <n v="1"/>
    <x v="0"/>
    <n v="12"/>
    <x v="4"/>
    <n v="92"/>
    <s v="A+"/>
    <n v="64"/>
    <s v="B-"/>
    <n v="77"/>
    <s v="A-"/>
    <n v="61"/>
    <s v="B-"/>
    <n v="76"/>
    <s v="A-"/>
    <n v="72"/>
    <s v="B+"/>
    <n v="87"/>
    <s v="A"/>
    <n v="529"/>
    <n v="75.571428571428569"/>
    <x v="2"/>
    <n v="1664"/>
    <x v="1"/>
  </r>
  <r>
    <n v="162"/>
    <s v="Anthony"/>
    <s v="Sullivan"/>
    <x v="160"/>
    <s v="anthony.sullivan.162@gslingacademy.com"/>
    <x v="0"/>
    <x v="1"/>
    <n v="3"/>
    <x v="0"/>
    <n v="24"/>
    <x v="13"/>
    <n v="96"/>
    <s v="A+"/>
    <n v="66"/>
    <s v="B"/>
    <n v="92"/>
    <s v="A+"/>
    <n v="88"/>
    <s v="A"/>
    <n v="65"/>
    <s v="B"/>
    <n v="76"/>
    <s v="A-"/>
    <n v="72"/>
    <s v="B+"/>
    <n v="555"/>
    <n v="79.285714285714292"/>
    <x v="2"/>
    <n v="1245"/>
    <x v="0"/>
  </r>
  <r>
    <n v="163"/>
    <s v="Troy"/>
    <s v="Shepherd"/>
    <x v="161"/>
    <s v="troy.shepherd.163@gslingacademy.com"/>
    <x v="0"/>
    <x v="0"/>
    <n v="4"/>
    <x v="0"/>
    <n v="33"/>
    <x v="13"/>
    <n v="86"/>
    <s v="A"/>
    <n v="88"/>
    <s v="A"/>
    <n v="99"/>
    <s v="A+"/>
    <n v="79"/>
    <s v="A-"/>
    <n v="93"/>
    <s v="A+"/>
    <n v="97"/>
    <s v="A+"/>
    <n v="91"/>
    <s v="A+"/>
    <n v="633"/>
    <n v="90.428571428571431"/>
    <x v="1"/>
    <n v="137"/>
    <x v="0"/>
  </r>
  <r>
    <n v="164"/>
    <s v="Nicholas"/>
    <s v="Clayton"/>
    <x v="162"/>
    <s v="nicholas.clayton.164@gslingacademy.com"/>
    <x v="0"/>
    <x v="0"/>
    <n v="1"/>
    <x v="1"/>
    <n v="44"/>
    <x v="1"/>
    <n v="86"/>
    <s v="A"/>
    <n v="100"/>
    <s v="A+"/>
    <n v="100"/>
    <s v="A+"/>
    <n v="96"/>
    <s v="A+"/>
    <n v="95"/>
    <s v="A+"/>
    <n v="97"/>
    <s v="A+"/>
    <n v="93"/>
    <s v="A+"/>
    <n v="667"/>
    <n v="95.285714285714292"/>
    <x v="1"/>
    <n v="6"/>
    <x v="1"/>
  </r>
  <r>
    <n v="165"/>
    <s v="Denise"/>
    <s v="Schneider"/>
    <x v="163"/>
    <s v="denise.schneider.165@gslingacademy.com"/>
    <x v="1"/>
    <x v="0"/>
    <n v="1"/>
    <x v="0"/>
    <n v="15"/>
    <x v="6"/>
    <n v="88"/>
    <s v="A"/>
    <n v="72"/>
    <s v="B+"/>
    <n v="96"/>
    <s v="A+"/>
    <n v="60"/>
    <s v="B-"/>
    <n v="90"/>
    <s v="A+"/>
    <n v="80"/>
    <s v="A"/>
    <n v="88"/>
    <s v="A"/>
    <n v="574"/>
    <n v="82"/>
    <x v="0"/>
    <n v="832"/>
    <x v="1"/>
  </r>
  <r>
    <n v="166"/>
    <s v="Lisa"/>
    <s v="Silva"/>
    <x v="164"/>
    <s v="lisa.silva.166@gslingacademy.com"/>
    <x v="1"/>
    <x v="0"/>
    <n v="2"/>
    <x v="0"/>
    <n v="5"/>
    <x v="14"/>
    <n v="92"/>
    <s v="A+"/>
    <n v="81"/>
    <s v="A"/>
    <n v="99"/>
    <s v="A+"/>
    <n v="98"/>
    <s v="A+"/>
    <n v="77"/>
    <s v="A-"/>
    <n v="80"/>
    <s v="A"/>
    <n v="73"/>
    <s v="B+"/>
    <n v="600"/>
    <n v="85.714285714285708"/>
    <x v="0"/>
    <n v="406"/>
    <x v="1"/>
  </r>
  <r>
    <n v="167"/>
    <s v="Laura"/>
    <s v="Reilly"/>
    <x v="165"/>
    <s v="laura.reilly.167@gslingacademy.com"/>
    <x v="1"/>
    <x v="1"/>
    <n v="7"/>
    <x v="0"/>
    <n v="5"/>
    <x v="7"/>
    <n v="87"/>
    <s v="A"/>
    <n v="76"/>
    <s v="A-"/>
    <n v="71"/>
    <s v="B+"/>
    <n v="65"/>
    <s v="B"/>
    <n v="64"/>
    <s v="B-"/>
    <n v="81"/>
    <s v="A"/>
    <n v="61"/>
    <s v="B-"/>
    <n v="505"/>
    <n v="72.142857142857139"/>
    <x v="3"/>
    <n v="1854"/>
    <x v="2"/>
  </r>
  <r>
    <n v="168"/>
    <s v="Amy"/>
    <s v="Peterson"/>
    <x v="166"/>
    <s v="amy.peterson.168@gslingacademy.com"/>
    <x v="1"/>
    <x v="0"/>
    <n v="5"/>
    <x v="0"/>
    <n v="22"/>
    <x v="4"/>
    <n v="89"/>
    <s v="A"/>
    <n v="94"/>
    <s v="A+"/>
    <n v="67"/>
    <s v="B"/>
    <n v="68"/>
    <s v="B"/>
    <n v="69"/>
    <s v="B"/>
    <n v="92"/>
    <s v="A+"/>
    <n v="76"/>
    <s v="A-"/>
    <n v="555"/>
    <n v="79.285714285714292"/>
    <x v="2"/>
    <n v="1245"/>
    <x v="0"/>
  </r>
  <r>
    <n v="169"/>
    <s v="Fernando"/>
    <s v="Sexton"/>
    <x v="167"/>
    <s v="fernando.sexton.169@gslingacademy.com"/>
    <x v="0"/>
    <x v="0"/>
    <n v="1"/>
    <x v="0"/>
    <n v="9"/>
    <x v="4"/>
    <n v="97"/>
    <s v="A+"/>
    <n v="96"/>
    <s v="A+"/>
    <n v="66"/>
    <s v="B"/>
    <n v="96"/>
    <s v="A+"/>
    <n v="71"/>
    <s v="B+"/>
    <n v="97"/>
    <s v="A+"/>
    <n v="66"/>
    <s v="B"/>
    <n v="589"/>
    <n v="84.142857142857139"/>
    <x v="0"/>
    <n v="548"/>
    <x v="1"/>
  </r>
  <r>
    <n v="170"/>
    <s v="Evan"/>
    <s v="Christian"/>
    <x v="168"/>
    <s v="evan.christian.170@gslingacademy.com"/>
    <x v="0"/>
    <x v="0"/>
    <n v="4"/>
    <x v="1"/>
    <n v="34"/>
    <x v="5"/>
    <n v="100"/>
    <s v="A+"/>
    <n v="62"/>
    <s v="B-"/>
    <n v="67"/>
    <s v="B"/>
    <n v="97"/>
    <s v="A+"/>
    <n v="73"/>
    <s v="B+"/>
    <n v="84"/>
    <s v="A"/>
    <n v="99"/>
    <s v="A+"/>
    <n v="582"/>
    <n v="83.142857142857139"/>
    <x v="0"/>
    <n v="670"/>
    <x v="0"/>
  </r>
  <r>
    <n v="171"/>
    <s v="Rebecca"/>
    <s v="Norris"/>
    <x v="169"/>
    <s v="rebecca.norris.171@gslingacademy.com"/>
    <x v="1"/>
    <x v="0"/>
    <n v="1"/>
    <x v="0"/>
    <n v="34"/>
    <x v="0"/>
    <n v="91"/>
    <s v="A+"/>
    <n v="98"/>
    <s v="A+"/>
    <n v="76"/>
    <s v="A-"/>
    <n v="99"/>
    <s v="A+"/>
    <n v="65"/>
    <s v="B"/>
    <n v="98"/>
    <s v="A+"/>
    <n v="71"/>
    <s v="B+"/>
    <n v="598"/>
    <n v="85.428571428571431"/>
    <x v="0"/>
    <n v="436"/>
    <x v="1"/>
  </r>
  <r>
    <n v="172"/>
    <s v="Erica"/>
    <s v="Marks"/>
    <x v="170"/>
    <s v="erica.marks.172@gslingacademy.com"/>
    <x v="1"/>
    <x v="0"/>
    <n v="4"/>
    <x v="0"/>
    <n v="25"/>
    <x v="15"/>
    <n v="81"/>
    <s v="A"/>
    <n v="87"/>
    <s v="A"/>
    <n v="65"/>
    <s v="B"/>
    <n v="85"/>
    <s v="A"/>
    <n v="74"/>
    <s v="B+"/>
    <n v="64"/>
    <s v="B-"/>
    <n v="81"/>
    <s v="A"/>
    <n v="537"/>
    <n v="76.714285714285708"/>
    <x v="2"/>
    <n v="1553"/>
    <x v="0"/>
  </r>
  <r>
    <n v="173"/>
    <s v="Rhonda"/>
    <s v="Webster"/>
    <x v="171"/>
    <s v="rhonda.webster.173@gslingacademy.com"/>
    <x v="1"/>
    <x v="0"/>
    <n v="5"/>
    <x v="1"/>
    <n v="31"/>
    <x v="11"/>
    <n v="82"/>
    <s v="A"/>
    <n v="66"/>
    <s v="B"/>
    <n v="89"/>
    <s v="A"/>
    <n v="76"/>
    <s v="A-"/>
    <n v="68"/>
    <s v="B"/>
    <n v="83"/>
    <s v="A"/>
    <n v="79"/>
    <s v="A-"/>
    <n v="543"/>
    <n v="77.571428571428569"/>
    <x v="2"/>
    <n v="1464"/>
    <x v="0"/>
  </r>
  <r>
    <n v="174"/>
    <s v="John"/>
    <s v="Bennett"/>
    <x v="172"/>
    <s v="john.bennett.174@gslingacademy.com"/>
    <x v="0"/>
    <x v="0"/>
    <n v="1"/>
    <x v="0"/>
    <n v="33"/>
    <x v="0"/>
    <n v="100"/>
    <s v="A+"/>
    <n v="96"/>
    <s v="A+"/>
    <n v="75"/>
    <s v="A-"/>
    <n v="68"/>
    <s v="B"/>
    <n v="77"/>
    <s v="A-"/>
    <n v="97"/>
    <s v="A+"/>
    <n v="81"/>
    <s v="A"/>
    <n v="594"/>
    <n v="84.857142857142861"/>
    <x v="0"/>
    <n v="479"/>
    <x v="1"/>
  </r>
  <r>
    <n v="175"/>
    <s v="Amanda"/>
    <s v="Murphy"/>
    <x v="173"/>
    <s v="amanda.murphy.175@gslingacademy.com"/>
    <x v="1"/>
    <x v="0"/>
    <n v="10"/>
    <x v="1"/>
    <n v="3"/>
    <x v="7"/>
    <n v="65"/>
    <s v="B"/>
    <n v="100"/>
    <s v="A+"/>
    <n v="80"/>
    <s v="A"/>
    <n v="83"/>
    <s v="A"/>
    <n v="57"/>
    <s v="C"/>
    <n v="81"/>
    <s v="A"/>
    <n v="81"/>
    <s v="A"/>
    <n v="547"/>
    <n v="78.142857142857139"/>
    <x v="2"/>
    <n v="1388"/>
    <x v="2"/>
  </r>
  <r>
    <n v="176"/>
    <s v="Jeremy"/>
    <s v="Barnes"/>
    <x v="174"/>
    <s v="jeremy.barnes.176@gslingacademy.com"/>
    <x v="0"/>
    <x v="0"/>
    <n v="2"/>
    <x v="0"/>
    <n v="20"/>
    <x v="4"/>
    <n v="68"/>
    <s v="B"/>
    <n v="100"/>
    <s v="A+"/>
    <n v="89"/>
    <s v="A"/>
    <n v="75"/>
    <s v="A-"/>
    <n v="84"/>
    <s v="A"/>
    <n v="78"/>
    <s v="A-"/>
    <n v="90"/>
    <s v="A+"/>
    <n v="584"/>
    <n v="83.428571428571431"/>
    <x v="0"/>
    <n v="635"/>
    <x v="1"/>
  </r>
  <r>
    <n v="177"/>
    <s v="John"/>
    <s v="Brown"/>
    <x v="175"/>
    <s v="john.brown.177@gslingacademy.com"/>
    <x v="0"/>
    <x v="0"/>
    <n v="3"/>
    <x v="0"/>
    <n v="15"/>
    <x v="11"/>
    <n v="97"/>
    <s v="A+"/>
    <n v="92"/>
    <s v="A+"/>
    <n v="95"/>
    <s v="A+"/>
    <n v="75"/>
    <s v="A-"/>
    <n v="95"/>
    <s v="A+"/>
    <n v="90"/>
    <s v="A+"/>
    <n v="83"/>
    <s v="A"/>
    <n v="627"/>
    <n v="89.571428571428569"/>
    <x v="0"/>
    <n v="168"/>
    <x v="0"/>
  </r>
  <r>
    <n v="178"/>
    <s v="Traci"/>
    <s v="Boyd"/>
    <x v="176"/>
    <s v="traci.boyd.178@gslingacademy.com"/>
    <x v="1"/>
    <x v="0"/>
    <n v="3"/>
    <x v="0"/>
    <n v="26"/>
    <x v="9"/>
    <n v="76"/>
    <s v="A-"/>
    <n v="94"/>
    <s v="A+"/>
    <n v="77"/>
    <s v="A-"/>
    <n v="88"/>
    <s v="A"/>
    <n v="85"/>
    <s v="A"/>
    <n v="91"/>
    <s v="A+"/>
    <n v="61"/>
    <s v="B-"/>
    <n v="572"/>
    <n v="81.714285714285708"/>
    <x v="0"/>
    <n v="890"/>
    <x v="0"/>
  </r>
  <r>
    <n v="179"/>
    <s v="Elizabeth"/>
    <s v="Butler"/>
    <x v="177"/>
    <s v="elizabeth.butler.179@gslingacademy.com"/>
    <x v="1"/>
    <x v="0"/>
    <n v="5"/>
    <x v="0"/>
    <n v="35"/>
    <x v="5"/>
    <n v="91"/>
    <s v="A+"/>
    <n v="99"/>
    <s v="A+"/>
    <n v="94"/>
    <s v="A+"/>
    <n v="94"/>
    <s v="A+"/>
    <n v="95"/>
    <s v="A+"/>
    <n v="98"/>
    <s v="A+"/>
    <n v="89"/>
    <s v="A"/>
    <n v="660"/>
    <n v="94.285714285714292"/>
    <x v="1"/>
    <n v="17"/>
    <x v="0"/>
  </r>
  <r>
    <n v="180"/>
    <s v="Alex"/>
    <s v="Clark"/>
    <x v="178"/>
    <s v="alex.clark.180@gslingacademy.com"/>
    <x v="0"/>
    <x v="0"/>
    <n v="4"/>
    <x v="0"/>
    <n v="12"/>
    <x v="13"/>
    <n v="85"/>
    <s v="A"/>
    <n v="73"/>
    <s v="B+"/>
    <n v="89"/>
    <s v="A"/>
    <n v="73"/>
    <s v="B+"/>
    <n v="97"/>
    <s v="A+"/>
    <n v="66"/>
    <s v="B"/>
    <n v="79"/>
    <s v="A-"/>
    <n v="562"/>
    <n v="80.285714285714292"/>
    <x v="0"/>
    <n v="1099"/>
    <x v="0"/>
  </r>
  <r>
    <n v="181"/>
    <s v="Christopher"/>
    <s v="Wolfe"/>
    <x v="179"/>
    <s v="christopher.wolfe.181@gslingacademy.com"/>
    <x v="0"/>
    <x v="0"/>
    <n v="2"/>
    <x v="1"/>
    <n v="5"/>
    <x v="4"/>
    <n v="68"/>
    <s v="B"/>
    <n v="69"/>
    <s v="B"/>
    <n v="86"/>
    <s v="A"/>
    <n v="87"/>
    <s v="A"/>
    <n v="72"/>
    <s v="B+"/>
    <n v="80"/>
    <s v="A"/>
    <n v="93"/>
    <s v="A+"/>
    <n v="555"/>
    <n v="79.285714285714292"/>
    <x v="2"/>
    <n v="1245"/>
    <x v="1"/>
  </r>
  <r>
    <n v="182"/>
    <s v="Jason"/>
    <s v="Bell"/>
    <x v="180"/>
    <s v="jason.bell.182@gslingacademy.com"/>
    <x v="0"/>
    <x v="0"/>
    <n v="1"/>
    <x v="0"/>
    <n v="31"/>
    <x v="0"/>
    <n v="73"/>
    <s v="B+"/>
    <n v="99"/>
    <s v="A+"/>
    <n v="75"/>
    <s v="A-"/>
    <n v="70"/>
    <s v="B+"/>
    <n v="100"/>
    <s v="A+"/>
    <n v="86"/>
    <s v="A"/>
    <n v="62"/>
    <s v="B-"/>
    <n v="565"/>
    <n v="80.714285714285708"/>
    <x v="0"/>
    <n v="1035"/>
    <x v="1"/>
  </r>
  <r>
    <n v="183"/>
    <s v="Victoria"/>
    <s v="Donaldson"/>
    <x v="181"/>
    <s v="victoria.donaldson.183@gslingacademy.com"/>
    <x v="1"/>
    <x v="0"/>
    <n v="3"/>
    <x v="1"/>
    <n v="28"/>
    <x v="4"/>
    <n v="65"/>
    <s v="B"/>
    <n v="90"/>
    <s v="A+"/>
    <n v="75"/>
    <s v="A-"/>
    <n v="96"/>
    <s v="A+"/>
    <n v="91"/>
    <s v="A+"/>
    <n v="93"/>
    <s v="A+"/>
    <n v="85"/>
    <s v="A"/>
    <n v="595"/>
    <n v="85"/>
    <x v="0"/>
    <n v="465"/>
    <x v="0"/>
  </r>
  <r>
    <n v="184"/>
    <s v="Logan"/>
    <s v="Cox"/>
    <x v="182"/>
    <s v="logan.cox.184@gslingacademy.com"/>
    <x v="0"/>
    <x v="0"/>
    <n v="8"/>
    <x v="1"/>
    <n v="5"/>
    <x v="7"/>
    <n v="46"/>
    <s v="D"/>
    <n v="79"/>
    <s v="A-"/>
    <n v="75"/>
    <s v="A-"/>
    <n v="86"/>
    <s v="A"/>
    <n v="91"/>
    <s v="A+"/>
    <n v="88"/>
    <s v="A"/>
    <n v="77"/>
    <s v="A-"/>
    <n v="542"/>
    <n v="77.428571428571431"/>
    <x v="2"/>
    <n v="1478"/>
    <x v="2"/>
  </r>
  <r>
    <n v="185"/>
    <s v="Rachel"/>
    <s v="Hill"/>
    <x v="183"/>
    <s v="rachel.hill.185@gslingacademy.com"/>
    <x v="1"/>
    <x v="0"/>
    <n v="1"/>
    <x v="0"/>
    <n v="33"/>
    <x v="5"/>
    <n v="92"/>
    <s v="A+"/>
    <n v="84"/>
    <s v="A"/>
    <n v="85"/>
    <s v="A"/>
    <n v="77"/>
    <s v="A-"/>
    <n v="81"/>
    <s v="A"/>
    <n v="69"/>
    <s v="B"/>
    <n v="95"/>
    <s v="A+"/>
    <n v="583"/>
    <n v="83.285714285714292"/>
    <x v="0"/>
    <n v="655"/>
    <x v="1"/>
  </r>
  <r>
    <n v="186"/>
    <s v="Jenny"/>
    <s v="Lloyd"/>
    <x v="184"/>
    <s v="jenny.lloyd.186@gslingacademy.com"/>
    <x v="1"/>
    <x v="0"/>
    <n v="3"/>
    <x v="0"/>
    <n v="2"/>
    <x v="3"/>
    <n v="69"/>
    <s v="B"/>
    <n v="78"/>
    <s v="A-"/>
    <n v="69"/>
    <s v="B"/>
    <n v="70"/>
    <s v="B+"/>
    <n v="100"/>
    <s v="A+"/>
    <n v="88"/>
    <s v="A"/>
    <n v="85"/>
    <s v="A"/>
    <n v="559"/>
    <n v="79.857142857142861"/>
    <x v="2"/>
    <n v="1155"/>
    <x v="0"/>
  </r>
  <r>
    <n v="187"/>
    <s v="Joan"/>
    <s v="Cohen"/>
    <x v="185"/>
    <s v="joan.cohen.187@gslingacademy.com"/>
    <x v="1"/>
    <x v="0"/>
    <n v="5"/>
    <x v="1"/>
    <n v="9"/>
    <x v="16"/>
    <n v="78"/>
    <s v="A-"/>
    <n v="99"/>
    <s v="A+"/>
    <n v="64"/>
    <s v="B-"/>
    <n v="99"/>
    <s v="A+"/>
    <n v="65"/>
    <s v="B"/>
    <n v="84"/>
    <s v="A"/>
    <n v="80"/>
    <s v="A"/>
    <n v="569"/>
    <n v="81.285714285714292"/>
    <x v="0"/>
    <n v="957"/>
    <x v="0"/>
  </r>
  <r>
    <n v="188"/>
    <s v="Kimberly"/>
    <s v="Lopez"/>
    <x v="186"/>
    <s v="kimberly.lopez.188@gslingacademy.com"/>
    <x v="1"/>
    <x v="1"/>
    <n v="2"/>
    <x v="1"/>
    <n v="0"/>
    <x v="7"/>
    <n v="92"/>
    <s v="A+"/>
    <n v="62"/>
    <s v="B-"/>
    <n v="86"/>
    <s v="A"/>
    <n v="97"/>
    <s v="A+"/>
    <n v="54"/>
    <s v="C"/>
    <n v="76"/>
    <s v="A-"/>
    <n v="76"/>
    <s v="A-"/>
    <n v="543"/>
    <n v="77.571428571428569"/>
    <x v="2"/>
    <n v="1464"/>
    <x v="1"/>
  </r>
  <r>
    <n v="189"/>
    <s v="Steven"/>
    <s v="Walker"/>
    <x v="187"/>
    <s v="steven.walker.189@gslingacademy.com"/>
    <x v="0"/>
    <x v="0"/>
    <n v="5"/>
    <x v="0"/>
    <n v="26"/>
    <x v="4"/>
    <n v="70"/>
    <s v="B+"/>
    <n v="77"/>
    <s v="A-"/>
    <n v="91"/>
    <s v="A+"/>
    <n v="96"/>
    <s v="A+"/>
    <n v="100"/>
    <s v="A+"/>
    <n v="89"/>
    <s v="A"/>
    <n v="67"/>
    <s v="B"/>
    <n v="590"/>
    <n v="84.285714285714292"/>
    <x v="0"/>
    <n v="531"/>
    <x v="0"/>
  </r>
  <r>
    <n v="190"/>
    <s v="Sonia"/>
    <s v="Bowers"/>
    <x v="188"/>
    <s v="sonia.bowers.190@gslingacademy.com"/>
    <x v="1"/>
    <x v="0"/>
    <n v="5"/>
    <x v="0"/>
    <n v="30"/>
    <x v="8"/>
    <n v="95"/>
    <s v="A+"/>
    <n v="79"/>
    <s v="A-"/>
    <n v="98"/>
    <s v="A+"/>
    <n v="95"/>
    <s v="A+"/>
    <n v="89"/>
    <s v="A"/>
    <n v="99"/>
    <s v="A+"/>
    <n v="87"/>
    <s v="A"/>
    <n v="642"/>
    <n v="91.714285714285708"/>
    <x v="1"/>
    <n v="90"/>
    <x v="0"/>
  </r>
  <r>
    <n v="191"/>
    <s v="Penny"/>
    <s v="Perez"/>
    <x v="189"/>
    <s v="penny.perez.191@gslingacademy.com"/>
    <x v="1"/>
    <x v="0"/>
    <n v="7"/>
    <x v="0"/>
    <n v="1"/>
    <x v="14"/>
    <n v="99"/>
    <s v="A+"/>
    <n v="82"/>
    <s v="A"/>
    <n v="93"/>
    <s v="A+"/>
    <n v="83"/>
    <s v="A"/>
    <n v="92"/>
    <s v="A+"/>
    <n v="90"/>
    <s v="A+"/>
    <n v="60"/>
    <s v="B-"/>
    <n v="599"/>
    <n v="85.571428571428569"/>
    <x v="0"/>
    <n v="426"/>
    <x v="2"/>
  </r>
  <r>
    <n v="192"/>
    <s v="Mike"/>
    <s v="Harris"/>
    <x v="190"/>
    <s v="mike.harris.192@gslingacademy.com"/>
    <x v="0"/>
    <x v="0"/>
    <n v="1"/>
    <x v="1"/>
    <n v="26"/>
    <x v="5"/>
    <n v="96"/>
    <s v="A+"/>
    <n v="66"/>
    <s v="B"/>
    <n v="79"/>
    <s v="A-"/>
    <n v="80"/>
    <s v="A"/>
    <n v="88"/>
    <s v="A"/>
    <n v="61"/>
    <s v="B-"/>
    <n v="85"/>
    <s v="A"/>
    <n v="555"/>
    <n v="79.285714285714292"/>
    <x v="2"/>
    <n v="1245"/>
    <x v="1"/>
  </r>
  <r>
    <n v="193"/>
    <s v="Vanessa"/>
    <s v="Sweeney"/>
    <x v="191"/>
    <s v="vanessa.sweeney.193@gslingacademy.com"/>
    <x v="1"/>
    <x v="0"/>
    <n v="2"/>
    <x v="0"/>
    <n v="2"/>
    <x v="14"/>
    <n v="85"/>
    <s v="A"/>
    <n v="90"/>
    <s v="A+"/>
    <n v="85"/>
    <s v="A"/>
    <n v="74"/>
    <s v="B+"/>
    <n v="96"/>
    <s v="A+"/>
    <n v="71"/>
    <s v="B+"/>
    <n v="80"/>
    <s v="A"/>
    <n v="581"/>
    <n v="83"/>
    <x v="0"/>
    <n v="688"/>
    <x v="1"/>
  </r>
  <r>
    <n v="194"/>
    <s v="Adam"/>
    <s v="Edwards"/>
    <x v="192"/>
    <s v="adam.edwards.194@gslingacademy.com"/>
    <x v="0"/>
    <x v="0"/>
    <n v="5"/>
    <x v="0"/>
    <n v="9"/>
    <x v="15"/>
    <n v="91"/>
    <s v="A+"/>
    <n v="94"/>
    <s v="A+"/>
    <n v="82"/>
    <s v="A"/>
    <n v="100"/>
    <s v="A+"/>
    <n v="68"/>
    <s v="B"/>
    <n v="66"/>
    <s v="B"/>
    <n v="69"/>
    <s v="B"/>
    <n v="570"/>
    <n v="81.428571428571431"/>
    <x v="0"/>
    <n v="937"/>
    <x v="0"/>
  </r>
  <r>
    <n v="195"/>
    <s v="Angelica"/>
    <s v="Johnson"/>
    <x v="193"/>
    <s v="angelica.johnson.195@gslingacademy.com"/>
    <x v="1"/>
    <x v="0"/>
    <n v="2"/>
    <x v="0"/>
    <n v="30"/>
    <x v="8"/>
    <n v="85"/>
    <s v="A"/>
    <n v="64"/>
    <s v="B-"/>
    <n v="93"/>
    <s v="A+"/>
    <n v="80"/>
    <s v="A"/>
    <n v="82"/>
    <s v="A"/>
    <n v="70"/>
    <s v="B+"/>
    <n v="94"/>
    <s v="A+"/>
    <n v="568"/>
    <n v="81.142857142857139"/>
    <x v="0"/>
    <n v="975"/>
    <x v="1"/>
  </r>
  <r>
    <n v="196"/>
    <s v="Tiffany"/>
    <s v="Hernandez"/>
    <x v="194"/>
    <s v="tiffany.hernandez.196@gslingacademy.com"/>
    <x v="1"/>
    <x v="0"/>
    <n v="3"/>
    <x v="0"/>
    <n v="24"/>
    <x v="15"/>
    <n v="94"/>
    <s v="A+"/>
    <n v="73"/>
    <s v="B+"/>
    <n v="61"/>
    <s v="B-"/>
    <n v="68"/>
    <s v="B"/>
    <n v="65"/>
    <s v="B"/>
    <n v="85"/>
    <s v="A"/>
    <n v="67"/>
    <s v="B"/>
    <n v="513"/>
    <n v="73.285714285714292"/>
    <x v="3"/>
    <n v="1810"/>
    <x v="0"/>
  </r>
  <r>
    <n v="197"/>
    <s v="Mark"/>
    <s v="Myers"/>
    <x v="195"/>
    <s v="mark.myers.197@gslingacademy.com"/>
    <x v="0"/>
    <x v="0"/>
    <n v="4"/>
    <x v="0"/>
    <n v="21"/>
    <x v="5"/>
    <n v="95"/>
    <s v="A+"/>
    <n v="69"/>
    <s v="B"/>
    <n v="62"/>
    <s v="B-"/>
    <n v="87"/>
    <s v="A"/>
    <n v="84"/>
    <s v="A"/>
    <n v="83"/>
    <s v="A"/>
    <n v="64"/>
    <s v="B-"/>
    <n v="544"/>
    <n v="77.714285714285708"/>
    <x v="2"/>
    <n v="1446"/>
    <x v="0"/>
  </r>
  <r>
    <n v="198"/>
    <s v="Erica"/>
    <s v="Cochran"/>
    <x v="196"/>
    <s v="erica.cochran.198@gslingacademy.com"/>
    <x v="1"/>
    <x v="0"/>
    <n v="2"/>
    <x v="0"/>
    <n v="14"/>
    <x v="6"/>
    <n v="69"/>
    <s v="B"/>
    <n v="90"/>
    <s v="A+"/>
    <n v="83"/>
    <s v="A"/>
    <n v="70"/>
    <s v="B+"/>
    <n v="83"/>
    <s v="A"/>
    <n v="91"/>
    <s v="A+"/>
    <n v="67"/>
    <s v="B"/>
    <n v="553"/>
    <n v="79"/>
    <x v="2"/>
    <n v="1284"/>
    <x v="1"/>
  </r>
  <r>
    <n v="199"/>
    <s v="Karen"/>
    <s v="Watson"/>
    <x v="197"/>
    <s v="karen.watson.199@gslingacademy.com"/>
    <x v="1"/>
    <x v="0"/>
    <n v="1"/>
    <x v="0"/>
    <n v="24"/>
    <x v="5"/>
    <n v="95"/>
    <s v="A+"/>
    <n v="72"/>
    <s v="B+"/>
    <n v="94"/>
    <s v="A+"/>
    <n v="96"/>
    <s v="A+"/>
    <n v="91"/>
    <s v="A+"/>
    <n v="61"/>
    <s v="B-"/>
    <n v="94"/>
    <s v="A+"/>
    <n v="603"/>
    <n v="86.142857142857139"/>
    <x v="0"/>
    <n v="370"/>
    <x v="1"/>
  </r>
  <r>
    <n v="200"/>
    <s v="Kathryn"/>
    <s v="Frazier"/>
    <x v="198"/>
    <s v="kathryn.frazier.200@gslingacademy.com"/>
    <x v="1"/>
    <x v="0"/>
    <n v="3"/>
    <x v="0"/>
    <n v="34"/>
    <x v="0"/>
    <n v="94"/>
    <s v="A+"/>
    <n v="88"/>
    <s v="A"/>
    <n v="65"/>
    <s v="B"/>
    <n v="88"/>
    <s v="A"/>
    <n v="60"/>
    <s v="B-"/>
    <n v="81"/>
    <s v="A"/>
    <n v="78"/>
    <s v="A-"/>
    <n v="554"/>
    <n v="79.142857142857139"/>
    <x v="2"/>
    <n v="1264"/>
    <x v="0"/>
  </r>
  <r>
    <n v="201"/>
    <s v="Anthony"/>
    <s v="Jackson"/>
    <x v="199"/>
    <s v="anthony.jackson.201@gslingacademy.com"/>
    <x v="0"/>
    <x v="0"/>
    <n v="1"/>
    <x v="1"/>
    <n v="34"/>
    <x v="11"/>
    <n v="82"/>
    <s v="A"/>
    <n v="81"/>
    <s v="A"/>
    <n v="100"/>
    <s v="A+"/>
    <n v="81"/>
    <s v="A"/>
    <n v="60"/>
    <s v="B-"/>
    <n v="79"/>
    <s v="A-"/>
    <n v="96"/>
    <s v="A+"/>
    <n v="579"/>
    <n v="82.714285714285708"/>
    <x v="0"/>
    <n v="730"/>
    <x v="1"/>
  </r>
  <r>
    <n v="202"/>
    <s v="Jordan"/>
    <s v="Perez"/>
    <x v="200"/>
    <s v="jordan.perez.202@gslingacademy.com"/>
    <x v="0"/>
    <x v="0"/>
    <n v="6"/>
    <x v="1"/>
    <n v="27"/>
    <x v="5"/>
    <n v="99"/>
    <s v="A+"/>
    <n v="73"/>
    <s v="B+"/>
    <n v="91"/>
    <s v="A+"/>
    <n v="91"/>
    <s v="A+"/>
    <n v="93"/>
    <s v="A+"/>
    <n v="80"/>
    <s v="A"/>
    <n v="100"/>
    <s v="A+"/>
    <n v="627"/>
    <n v="89.571428571428569"/>
    <x v="0"/>
    <n v="168"/>
    <x v="0"/>
  </r>
  <r>
    <n v="203"/>
    <s v="Jennifer"/>
    <s v="Burgess"/>
    <x v="201"/>
    <s v="jennifer.burgess.203@gslingacademy.com"/>
    <x v="1"/>
    <x v="0"/>
    <n v="3"/>
    <x v="0"/>
    <n v="16"/>
    <x v="11"/>
    <n v="85"/>
    <s v="A"/>
    <n v="62"/>
    <s v="B-"/>
    <n v="84"/>
    <s v="A"/>
    <n v="80"/>
    <s v="A"/>
    <n v="37"/>
    <s v="F"/>
    <n v="80"/>
    <s v="A"/>
    <n v="71"/>
    <s v="B+"/>
    <n v="499"/>
    <n v="71.285714285714292"/>
    <x v="3"/>
    <n v="1882"/>
    <x v="0"/>
  </r>
  <r>
    <n v="204"/>
    <s v="Christina"/>
    <s v="Davis"/>
    <x v="202"/>
    <s v="christina.davis.204@gslingacademy.com"/>
    <x v="1"/>
    <x v="0"/>
    <n v="1"/>
    <x v="1"/>
    <n v="21"/>
    <x v="11"/>
    <n v="100"/>
    <s v="A+"/>
    <n v="87"/>
    <s v="A"/>
    <n v="60"/>
    <s v="B-"/>
    <n v="92"/>
    <s v="A+"/>
    <n v="46"/>
    <s v="D"/>
    <n v="67"/>
    <s v="B"/>
    <n v="96"/>
    <s v="A+"/>
    <n v="548"/>
    <n v="78.285714285714292"/>
    <x v="2"/>
    <n v="1374"/>
    <x v="1"/>
  </r>
  <r>
    <n v="205"/>
    <s v="April"/>
    <s v="Ryan"/>
    <x v="203"/>
    <s v="april.ryan.205@gslingacademy.com"/>
    <x v="1"/>
    <x v="0"/>
    <n v="1"/>
    <x v="0"/>
    <n v="1"/>
    <x v="3"/>
    <n v="98"/>
    <s v="A+"/>
    <n v="95"/>
    <s v="A+"/>
    <n v="90"/>
    <s v="A+"/>
    <n v="81"/>
    <s v="A"/>
    <n v="82"/>
    <s v="A"/>
    <n v="86"/>
    <s v="A"/>
    <n v="98"/>
    <s v="A+"/>
    <n v="630"/>
    <n v="90"/>
    <x v="1"/>
    <n v="154"/>
    <x v="1"/>
  </r>
  <r>
    <n v="206"/>
    <s v="Maxwell"/>
    <s v="Davis"/>
    <x v="204"/>
    <s v="maxwell.davis.206@gslingacademy.com"/>
    <x v="0"/>
    <x v="0"/>
    <n v="3"/>
    <x v="0"/>
    <n v="17"/>
    <x v="5"/>
    <n v="97"/>
    <s v="A+"/>
    <n v="78"/>
    <s v="A-"/>
    <n v="81"/>
    <s v="A"/>
    <n v="67"/>
    <s v="B"/>
    <n v="90"/>
    <s v="A+"/>
    <n v="95"/>
    <s v="A+"/>
    <n v="79"/>
    <s v="A-"/>
    <n v="587"/>
    <n v="83.857142857142861"/>
    <x v="0"/>
    <n v="583"/>
    <x v="0"/>
  </r>
  <r>
    <n v="207"/>
    <s v="Matthew"/>
    <s v="Guzman"/>
    <x v="205"/>
    <s v="matthew.guzman.207@gslingacademy.com"/>
    <x v="0"/>
    <x v="0"/>
    <n v="5"/>
    <x v="0"/>
    <n v="0"/>
    <x v="4"/>
    <n v="99"/>
    <s v="A+"/>
    <n v="86"/>
    <s v="A"/>
    <n v="68"/>
    <s v="B"/>
    <n v="94"/>
    <s v="A+"/>
    <n v="97"/>
    <s v="A+"/>
    <n v="77"/>
    <s v="A-"/>
    <n v="92"/>
    <s v="A+"/>
    <n v="613"/>
    <n v="87.571428571428569"/>
    <x v="0"/>
    <n v="271"/>
    <x v="0"/>
  </r>
  <r>
    <n v="208"/>
    <s v="Robert"/>
    <s v="Mayer"/>
    <x v="206"/>
    <s v="robert.mayer.208@gslingacademy.com"/>
    <x v="0"/>
    <x v="0"/>
    <n v="3"/>
    <x v="1"/>
    <n v="12"/>
    <x v="11"/>
    <n v="99"/>
    <s v="A+"/>
    <n v="73"/>
    <s v="B+"/>
    <n v="77"/>
    <s v="A-"/>
    <n v="74"/>
    <s v="B+"/>
    <n v="62"/>
    <s v="B-"/>
    <n v="68"/>
    <s v="B"/>
    <n v="99"/>
    <s v="A+"/>
    <n v="552"/>
    <n v="78.857142857142861"/>
    <x v="2"/>
    <n v="1306"/>
    <x v="0"/>
  </r>
  <r>
    <n v="209"/>
    <s v="Amanda"/>
    <s v="Willis"/>
    <x v="207"/>
    <s v="amanda.willis.209@gslingacademy.com"/>
    <x v="1"/>
    <x v="0"/>
    <n v="2"/>
    <x v="0"/>
    <n v="22"/>
    <x v="9"/>
    <n v="75"/>
    <s v="A-"/>
    <n v="83"/>
    <s v="A"/>
    <n v="70"/>
    <s v="B+"/>
    <n v="71"/>
    <s v="B+"/>
    <n v="86"/>
    <s v="A"/>
    <n v="95"/>
    <s v="A+"/>
    <n v="76"/>
    <s v="A-"/>
    <n v="556"/>
    <n v="79.428571428571431"/>
    <x v="2"/>
    <n v="1224"/>
    <x v="1"/>
  </r>
  <r>
    <n v="210"/>
    <s v="Michele"/>
    <s v="Thomas"/>
    <x v="208"/>
    <s v="michele.thomas.210@gslingacademy.com"/>
    <x v="1"/>
    <x v="0"/>
    <n v="1"/>
    <x v="1"/>
    <n v="14"/>
    <x v="6"/>
    <n v="63"/>
    <s v="B-"/>
    <n v="80"/>
    <s v="A"/>
    <n v="99"/>
    <s v="A+"/>
    <n v="78"/>
    <s v="A-"/>
    <n v="60"/>
    <s v="B-"/>
    <n v="84"/>
    <s v="A"/>
    <n v="86"/>
    <s v="A"/>
    <n v="550"/>
    <n v="78.571428571428569"/>
    <x v="2"/>
    <n v="1338"/>
    <x v="1"/>
  </r>
  <r>
    <n v="211"/>
    <s v="Tim"/>
    <s v="Turner"/>
    <x v="209"/>
    <s v="tim.turner.211@gslingacademy.com"/>
    <x v="0"/>
    <x v="0"/>
    <n v="0"/>
    <x v="0"/>
    <n v="41"/>
    <x v="1"/>
    <n v="96"/>
    <s v="A+"/>
    <n v="88"/>
    <s v="A"/>
    <n v="90"/>
    <s v="A+"/>
    <n v="100"/>
    <s v="A+"/>
    <n v="94"/>
    <s v="A+"/>
    <n v="87"/>
    <s v="A"/>
    <n v="96"/>
    <s v="A+"/>
    <n v="651"/>
    <n v="93"/>
    <x v="1"/>
    <n v="51"/>
    <x v="1"/>
  </r>
  <r>
    <n v="212"/>
    <s v="Joe"/>
    <s v="Strickland"/>
    <x v="210"/>
    <s v="joe.strickland.212@gslingacademy.com"/>
    <x v="0"/>
    <x v="0"/>
    <n v="4"/>
    <x v="0"/>
    <n v="32"/>
    <x v="13"/>
    <n v="91"/>
    <s v="A+"/>
    <n v="73"/>
    <s v="B+"/>
    <n v="86"/>
    <s v="A"/>
    <n v="73"/>
    <s v="B+"/>
    <n v="84"/>
    <s v="A"/>
    <n v="60"/>
    <s v="B-"/>
    <n v="71"/>
    <s v="B+"/>
    <n v="538"/>
    <n v="76.857142857142861"/>
    <x v="2"/>
    <n v="1537"/>
    <x v="0"/>
  </r>
  <r>
    <n v="213"/>
    <s v="Trevor"/>
    <s v="Cruz"/>
    <x v="211"/>
    <s v="trevor.cruz.213@gslingacademy.com"/>
    <x v="0"/>
    <x v="1"/>
    <n v="1"/>
    <x v="0"/>
    <n v="4"/>
    <x v="7"/>
    <n v="52"/>
    <s v="C"/>
    <n v="58"/>
    <s v="C"/>
    <n v="60"/>
    <s v="B-"/>
    <n v="97"/>
    <s v="A+"/>
    <n v="93"/>
    <s v="A+"/>
    <n v="89"/>
    <s v="A"/>
    <n v="68"/>
    <s v="B"/>
    <n v="517"/>
    <n v="73.857142857142861"/>
    <x v="3"/>
    <n v="1781"/>
    <x v="1"/>
  </r>
  <r>
    <n v="214"/>
    <s v="Melissa"/>
    <s v="Roberts"/>
    <x v="212"/>
    <s v="melissa.roberts.214@gslingacademy.com"/>
    <x v="1"/>
    <x v="0"/>
    <n v="1"/>
    <x v="0"/>
    <n v="22"/>
    <x v="1"/>
    <n v="99"/>
    <s v="A+"/>
    <n v="71"/>
    <s v="B+"/>
    <n v="80"/>
    <s v="A"/>
    <n v="82"/>
    <s v="A"/>
    <n v="95"/>
    <s v="A+"/>
    <n v="64"/>
    <s v="B-"/>
    <n v="64"/>
    <s v="B-"/>
    <n v="555"/>
    <n v="79.285714285714292"/>
    <x v="2"/>
    <n v="1245"/>
    <x v="1"/>
  </r>
  <r>
    <n v="215"/>
    <s v="Tammy"/>
    <s v="Miller"/>
    <x v="213"/>
    <s v="tammy.miller.215@gslingacademy.com"/>
    <x v="1"/>
    <x v="0"/>
    <n v="3"/>
    <x v="0"/>
    <n v="17"/>
    <x v="9"/>
    <n v="84"/>
    <s v="A"/>
    <n v="62"/>
    <s v="B-"/>
    <n v="92"/>
    <s v="A+"/>
    <n v="74"/>
    <s v="B+"/>
    <n v="73"/>
    <s v="B+"/>
    <n v="98"/>
    <s v="A+"/>
    <n v="91"/>
    <s v="A+"/>
    <n v="574"/>
    <n v="82"/>
    <x v="0"/>
    <n v="832"/>
    <x v="0"/>
  </r>
  <r>
    <n v="216"/>
    <s v="Chad"/>
    <s v="Morgan"/>
    <x v="214"/>
    <s v="chad.morgan.216@gslingacademy.com"/>
    <x v="0"/>
    <x v="0"/>
    <n v="2"/>
    <x v="0"/>
    <n v="2"/>
    <x v="3"/>
    <n v="100"/>
    <s v="A+"/>
    <n v="90"/>
    <s v="A+"/>
    <n v="82"/>
    <s v="A"/>
    <n v="79"/>
    <s v="A-"/>
    <n v="94"/>
    <s v="A+"/>
    <n v="83"/>
    <s v="A"/>
    <n v="78"/>
    <s v="A-"/>
    <n v="606"/>
    <n v="86.571428571428569"/>
    <x v="0"/>
    <n v="333"/>
    <x v="1"/>
  </r>
  <r>
    <n v="217"/>
    <s v="Samantha"/>
    <s v="Maldonado"/>
    <x v="215"/>
    <s v="samantha.maldonado.217@gslingacademy.com"/>
    <x v="1"/>
    <x v="0"/>
    <n v="4"/>
    <x v="0"/>
    <n v="33"/>
    <x v="9"/>
    <n v="82"/>
    <s v="A"/>
    <n v="71"/>
    <s v="B+"/>
    <n v="93"/>
    <s v="A+"/>
    <n v="90"/>
    <s v="A+"/>
    <n v="90"/>
    <s v="A+"/>
    <n v="76"/>
    <s v="A-"/>
    <n v="97"/>
    <s v="A+"/>
    <n v="599"/>
    <n v="85.571428571428569"/>
    <x v="0"/>
    <n v="426"/>
    <x v="0"/>
  </r>
  <r>
    <n v="218"/>
    <s v="Marie"/>
    <s v="Martin"/>
    <x v="216"/>
    <s v="marie.martin.218@gslingacademy.com"/>
    <x v="1"/>
    <x v="0"/>
    <n v="5"/>
    <x v="0"/>
    <n v="29"/>
    <x v="9"/>
    <n v="75"/>
    <s v="A-"/>
    <n v="88"/>
    <s v="A"/>
    <n v="65"/>
    <s v="B"/>
    <n v="80"/>
    <s v="A"/>
    <n v="76"/>
    <s v="A-"/>
    <n v="94"/>
    <s v="A+"/>
    <n v="97"/>
    <s v="A+"/>
    <n v="575"/>
    <n v="82.142857142857139"/>
    <x v="0"/>
    <n v="807"/>
    <x v="0"/>
  </r>
  <r>
    <n v="219"/>
    <s v="Theresa"/>
    <s v="Tucker"/>
    <x v="217"/>
    <s v="theresa.tucker.219@gslingacademy.com"/>
    <x v="1"/>
    <x v="1"/>
    <n v="1"/>
    <x v="0"/>
    <n v="27"/>
    <x v="4"/>
    <n v="66"/>
    <s v="B"/>
    <n v="71"/>
    <s v="B+"/>
    <n v="94"/>
    <s v="A+"/>
    <n v="72"/>
    <s v="B+"/>
    <n v="96"/>
    <s v="A+"/>
    <n v="70"/>
    <s v="B+"/>
    <n v="63"/>
    <s v="B-"/>
    <n v="532"/>
    <n v="76"/>
    <x v="2"/>
    <n v="1622"/>
    <x v="1"/>
  </r>
  <r>
    <n v="220"/>
    <s v="Joseph"/>
    <s v="Morris"/>
    <x v="218"/>
    <s v="joseph.morris.220@gslingacademy.com"/>
    <x v="0"/>
    <x v="0"/>
    <n v="6"/>
    <x v="1"/>
    <n v="34"/>
    <x v="9"/>
    <n v="99"/>
    <s v="A+"/>
    <n v="88"/>
    <s v="A"/>
    <n v="72"/>
    <s v="B+"/>
    <n v="76"/>
    <s v="A-"/>
    <n v="68"/>
    <s v="B"/>
    <n v="92"/>
    <s v="A+"/>
    <n v="72"/>
    <s v="B+"/>
    <n v="567"/>
    <n v="81"/>
    <x v="0"/>
    <n v="994"/>
    <x v="0"/>
  </r>
  <r>
    <n v="221"/>
    <s v="Charles"/>
    <s v="Parker"/>
    <x v="219"/>
    <s v="charles.parker.221@gslingacademy.com"/>
    <x v="0"/>
    <x v="0"/>
    <n v="3"/>
    <x v="0"/>
    <n v="2"/>
    <x v="16"/>
    <n v="99"/>
    <s v="A+"/>
    <n v="76"/>
    <s v="A-"/>
    <n v="94"/>
    <s v="A+"/>
    <n v="88"/>
    <s v="A"/>
    <n v="75"/>
    <s v="A-"/>
    <n v="66"/>
    <s v="B"/>
    <n v="84"/>
    <s v="A"/>
    <n v="582"/>
    <n v="83.142857142857139"/>
    <x v="0"/>
    <n v="670"/>
    <x v="0"/>
  </r>
  <r>
    <n v="222"/>
    <s v="Rachel"/>
    <s v="Alvarez"/>
    <x v="220"/>
    <s v="rachel.alvarez.222@gslingacademy.com"/>
    <x v="1"/>
    <x v="0"/>
    <n v="3"/>
    <x v="0"/>
    <n v="22"/>
    <x v="5"/>
    <n v="95"/>
    <s v="A+"/>
    <n v="87"/>
    <s v="A"/>
    <n v="79"/>
    <s v="A-"/>
    <n v="95"/>
    <s v="A+"/>
    <n v="84"/>
    <s v="A"/>
    <n v="90"/>
    <s v="A+"/>
    <n v="74"/>
    <s v="B+"/>
    <n v="604"/>
    <n v="86.285714285714292"/>
    <x v="0"/>
    <n v="353"/>
    <x v="0"/>
  </r>
  <r>
    <n v="223"/>
    <s v="Charles"/>
    <s v="Robertson"/>
    <x v="221"/>
    <s v="charles.robertson.223@gslingacademy.com"/>
    <x v="0"/>
    <x v="0"/>
    <n v="7"/>
    <x v="0"/>
    <n v="33"/>
    <x v="5"/>
    <n v="99"/>
    <s v="A+"/>
    <n v="61"/>
    <s v="B-"/>
    <n v="75"/>
    <s v="A-"/>
    <n v="68"/>
    <s v="B"/>
    <n v="66"/>
    <s v="B"/>
    <n v="90"/>
    <s v="A+"/>
    <n v="99"/>
    <s v="A+"/>
    <n v="558"/>
    <n v="79.714285714285708"/>
    <x v="2"/>
    <n v="1178"/>
    <x v="2"/>
  </r>
  <r>
    <n v="224"/>
    <s v="Steven"/>
    <s v="York"/>
    <x v="222"/>
    <s v="steven.york.224@gslingacademy.com"/>
    <x v="0"/>
    <x v="0"/>
    <n v="5"/>
    <x v="0"/>
    <n v="17"/>
    <x v="12"/>
    <n v="65"/>
    <s v="B"/>
    <n v="72"/>
    <s v="B+"/>
    <n v="96"/>
    <s v="A+"/>
    <n v="69"/>
    <s v="B"/>
    <n v="78"/>
    <s v="A-"/>
    <n v="93"/>
    <s v="A+"/>
    <n v="72"/>
    <s v="B+"/>
    <n v="545"/>
    <n v="77.857142857142861"/>
    <x v="2"/>
    <n v="1432"/>
    <x v="0"/>
  </r>
  <r>
    <n v="225"/>
    <s v="Robert"/>
    <s v="Dougherty"/>
    <x v="223"/>
    <s v="robert.dougherty.225@gslingacademy.com"/>
    <x v="0"/>
    <x v="0"/>
    <n v="7"/>
    <x v="0"/>
    <n v="4"/>
    <x v="7"/>
    <n v="85"/>
    <s v="A"/>
    <n v="55"/>
    <s v="C"/>
    <n v="74"/>
    <s v="B+"/>
    <n v="71"/>
    <s v="B+"/>
    <n v="66"/>
    <s v="B"/>
    <n v="50"/>
    <s v="C"/>
    <n v="99"/>
    <s v="A+"/>
    <n v="500"/>
    <n v="71.428571428571431"/>
    <x v="3"/>
    <n v="1875"/>
    <x v="2"/>
  </r>
  <r>
    <n v="226"/>
    <s v="Vanessa"/>
    <s v="Wheeler"/>
    <x v="224"/>
    <s v="vanessa.wheeler.226@gslingacademy.com"/>
    <x v="1"/>
    <x v="0"/>
    <n v="7"/>
    <x v="1"/>
    <n v="3"/>
    <x v="7"/>
    <n v="69"/>
    <s v="B"/>
    <n v="78"/>
    <s v="A-"/>
    <n v="57"/>
    <s v="C"/>
    <n v="72"/>
    <s v="B+"/>
    <n v="71"/>
    <s v="B+"/>
    <n v="96"/>
    <s v="A+"/>
    <n v="87"/>
    <s v="A"/>
    <n v="530"/>
    <n v="75.714285714285708"/>
    <x v="2"/>
    <n v="1646"/>
    <x v="2"/>
  </r>
  <r>
    <n v="227"/>
    <s v="Emily"/>
    <s v="Mcclure"/>
    <x v="225"/>
    <s v="emily.mcclure.227@gslingacademy.com"/>
    <x v="1"/>
    <x v="0"/>
    <n v="7"/>
    <x v="0"/>
    <n v="3"/>
    <x v="7"/>
    <n v="75"/>
    <s v="A-"/>
    <n v="76"/>
    <s v="A-"/>
    <n v="88"/>
    <s v="A"/>
    <n v="65"/>
    <s v="B"/>
    <n v="97"/>
    <s v="A+"/>
    <n v="83"/>
    <s v="A"/>
    <n v="85"/>
    <s v="A"/>
    <n v="569"/>
    <n v="81.285714285714292"/>
    <x v="0"/>
    <n v="957"/>
    <x v="2"/>
  </r>
  <r>
    <n v="228"/>
    <s v="Angela"/>
    <s v="Thomas"/>
    <x v="226"/>
    <s v="angela.thomas.228@gslingacademy.com"/>
    <x v="1"/>
    <x v="0"/>
    <n v="7"/>
    <x v="1"/>
    <n v="17"/>
    <x v="5"/>
    <n v="91"/>
    <s v="A+"/>
    <n v="78"/>
    <s v="A-"/>
    <n v="72"/>
    <s v="B+"/>
    <n v="69"/>
    <s v="B"/>
    <n v="77"/>
    <s v="A-"/>
    <n v="91"/>
    <s v="A+"/>
    <n v="96"/>
    <s v="A+"/>
    <n v="574"/>
    <n v="82"/>
    <x v="0"/>
    <n v="832"/>
    <x v="2"/>
  </r>
  <r>
    <n v="229"/>
    <s v="Roberto"/>
    <s v="Evans"/>
    <x v="227"/>
    <s v="roberto.evans.229@gslingacademy.com"/>
    <x v="0"/>
    <x v="0"/>
    <n v="3"/>
    <x v="0"/>
    <n v="6"/>
    <x v="16"/>
    <n v="92"/>
    <s v="A+"/>
    <n v="95"/>
    <s v="A+"/>
    <n v="61"/>
    <s v="B-"/>
    <n v="98"/>
    <s v="A+"/>
    <n v="89"/>
    <s v="A"/>
    <n v="85"/>
    <s v="A"/>
    <n v="80"/>
    <s v="A"/>
    <n v="600"/>
    <n v="85.714285714285708"/>
    <x v="0"/>
    <n v="406"/>
    <x v="0"/>
  </r>
  <r>
    <n v="230"/>
    <s v="Christopher"/>
    <s v="Perez"/>
    <x v="228"/>
    <s v="christopher.perez.230@gslingacademy.com"/>
    <x v="0"/>
    <x v="0"/>
    <n v="7"/>
    <x v="0"/>
    <n v="9"/>
    <x v="4"/>
    <n v="62"/>
    <s v="B-"/>
    <n v="64"/>
    <s v="B-"/>
    <n v="65"/>
    <s v="B"/>
    <n v="86"/>
    <s v="A"/>
    <n v="67"/>
    <s v="B"/>
    <n v="94"/>
    <s v="A+"/>
    <n v="68"/>
    <s v="B"/>
    <n v="506"/>
    <n v="72.285714285714292"/>
    <x v="3"/>
    <n v="1848"/>
    <x v="2"/>
  </r>
  <r>
    <n v="231"/>
    <s v="William"/>
    <s v="Torres"/>
    <x v="229"/>
    <s v="william.torres.231@gslingacademy.com"/>
    <x v="0"/>
    <x v="1"/>
    <n v="2"/>
    <x v="0"/>
    <n v="35"/>
    <x v="5"/>
    <n v="87"/>
    <s v="A"/>
    <n v="91"/>
    <s v="A+"/>
    <n v="98"/>
    <s v="A+"/>
    <n v="94"/>
    <s v="A+"/>
    <n v="100"/>
    <s v="A+"/>
    <n v="87"/>
    <s v="A"/>
    <n v="89"/>
    <s v="A"/>
    <n v="646"/>
    <n v="92.285714285714292"/>
    <x v="1"/>
    <n v="73"/>
    <x v="1"/>
  </r>
  <r>
    <n v="232"/>
    <s v="Lisa"/>
    <s v="Gardner"/>
    <x v="230"/>
    <s v="lisa.gardner.232@gslingacademy.com"/>
    <x v="1"/>
    <x v="0"/>
    <n v="3"/>
    <x v="0"/>
    <n v="17"/>
    <x v="5"/>
    <n v="97"/>
    <s v="A+"/>
    <n v="88"/>
    <s v="A"/>
    <n v="87"/>
    <s v="A"/>
    <n v="61"/>
    <s v="B-"/>
    <n v="86"/>
    <s v="A"/>
    <n v="92"/>
    <s v="A+"/>
    <n v="94"/>
    <s v="A+"/>
    <n v="605"/>
    <n v="86.428571428571431"/>
    <x v="0"/>
    <n v="344"/>
    <x v="0"/>
  </r>
  <r>
    <n v="233"/>
    <s v="Catherine"/>
    <s v="Owens"/>
    <x v="231"/>
    <s v="catherine.owens.233@gslingacademy.com"/>
    <x v="1"/>
    <x v="0"/>
    <n v="1"/>
    <x v="0"/>
    <n v="7"/>
    <x v="2"/>
    <n v="97"/>
    <s v="A+"/>
    <n v="92"/>
    <s v="A+"/>
    <n v="79"/>
    <s v="A-"/>
    <n v="88"/>
    <s v="A"/>
    <n v="92"/>
    <s v="A+"/>
    <n v="99"/>
    <s v="A+"/>
    <n v="85"/>
    <s v="A"/>
    <n v="632"/>
    <n v="90.285714285714292"/>
    <x v="1"/>
    <n v="143"/>
    <x v="1"/>
  </r>
  <r>
    <n v="234"/>
    <s v="Keith"/>
    <s v="Summers"/>
    <x v="232"/>
    <s v="keith.summers.234@gslingacademy.com"/>
    <x v="0"/>
    <x v="0"/>
    <n v="5"/>
    <x v="0"/>
    <n v="16"/>
    <x v="12"/>
    <n v="98"/>
    <s v="A+"/>
    <n v="88"/>
    <s v="A"/>
    <n v="92"/>
    <s v="A+"/>
    <n v="84"/>
    <s v="A"/>
    <n v="90"/>
    <s v="A+"/>
    <n v="90"/>
    <s v="A+"/>
    <n v="71"/>
    <s v="B+"/>
    <n v="613"/>
    <n v="87.571428571428569"/>
    <x v="0"/>
    <n v="271"/>
    <x v="0"/>
  </r>
  <r>
    <n v="235"/>
    <s v="Linda"/>
    <s v="Adams"/>
    <x v="233"/>
    <s v="linda.adams.235@gslingacademy.com"/>
    <x v="1"/>
    <x v="0"/>
    <n v="1"/>
    <x v="0"/>
    <n v="20"/>
    <x v="5"/>
    <n v="96"/>
    <s v="A+"/>
    <n v="67"/>
    <s v="B"/>
    <n v="88"/>
    <s v="A"/>
    <n v="95"/>
    <s v="A+"/>
    <n v="82"/>
    <s v="A"/>
    <n v="75"/>
    <s v="A-"/>
    <n v="84"/>
    <s v="A"/>
    <n v="587"/>
    <n v="83.857142857142861"/>
    <x v="0"/>
    <n v="583"/>
    <x v="1"/>
  </r>
  <r>
    <n v="236"/>
    <s v="Michael"/>
    <s v="Wright"/>
    <x v="234"/>
    <s v="michael.wright.236@gslingacademy.com"/>
    <x v="0"/>
    <x v="1"/>
    <n v="7"/>
    <x v="0"/>
    <n v="0"/>
    <x v="7"/>
    <n v="98"/>
    <s v="A+"/>
    <n v="89"/>
    <s v="A"/>
    <n v="81"/>
    <s v="A"/>
    <n v="56"/>
    <s v="C"/>
    <n v="72"/>
    <s v="B+"/>
    <n v="74"/>
    <s v="B+"/>
    <n v="94"/>
    <s v="A+"/>
    <n v="564"/>
    <n v="80.571428571428569"/>
    <x v="0"/>
    <n v="1056"/>
    <x v="2"/>
  </r>
  <r>
    <n v="237"/>
    <s v="Kyle"/>
    <s v="James"/>
    <x v="235"/>
    <s v="kyle.james.237@gslingacademy.com"/>
    <x v="0"/>
    <x v="0"/>
    <n v="2"/>
    <x v="0"/>
    <n v="27"/>
    <x v="0"/>
    <n v="87"/>
    <s v="A"/>
    <n v="82"/>
    <s v="A"/>
    <n v="95"/>
    <s v="A+"/>
    <n v="81"/>
    <s v="A"/>
    <n v="85"/>
    <s v="A"/>
    <n v="84"/>
    <s v="A"/>
    <n v="73"/>
    <s v="B+"/>
    <n v="587"/>
    <n v="83.857142857142861"/>
    <x v="0"/>
    <n v="583"/>
    <x v="1"/>
  </r>
  <r>
    <n v="238"/>
    <s v="Christopher"/>
    <s v="Cook"/>
    <x v="236"/>
    <s v="christopher.cook.238@gslingacademy.com"/>
    <x v="0"/>
    <x v="0"/>
    <n v="0"/>
    <x v="0"/>
    <n v="24"/>
    <x v="13"/>
    <n v="96"/>
    <s v="A+"/>
    <n v="80"/>
    <s v="A"/>
    <n v="86"/>
    <s v="A"/>
    <n v="94"/>
    <s v="A+"/>
    <n v="63"/>
    <s v="B-"/>
    <n v="72"/>
    <s v="B+"/>
    <n v="75"/>
    <s v="A-"/>
    <n v="566"/>
    <n v="80.857142857142861"/>
    <x v="0"/>
    <n v="1019"/>
    <x v="1"/>
  </r>
  <r>
    <n v="239"/>
    <s v="John"/>
    <s v="Conley"/>
    <x v="237"/>
    <s v="john.conley.239@gslingacademy.com"/>
    <x v="0"/>
    <x v="0"/>
    <n v="2"/>
    <x v="0"/>
    <n v="30"/>
    <x v="4"/>
    <n v="82"/>
    <s v="A"/>
    <n v="74"/>
    <s v="B+"/>
    <n v="77"/>
    <s v="A-"/>
    <n v="95"/>
    <s v="A+"/>
    <n v="81"/>
    <s v="A"/>
    <n v="76"/>
    <s v="A-"/>
    <n v="91"/>
    <s v="A+"/>
    <n v="576"/>
    <n v="82.285714285714292"/>
    <x v="0"/>
    <n v="789"/>
    <x v="1"/>
  </r>
  <r>
    <n v="240"/>
    <s v="David"/>
    <s v="Barnett"/>
    <x v="238"/>
    <s v="david.barnett.240@gslingacademy.com"/>
    <x v="0"/>
    <x v="0"/>
    <n v="6"/>
    <x v="0"/>
    <n v="20"/>
    <x v="5"/>
    <n v="100"/>
    <s v="A+"/>
    <n v="72"/>
    <s v="B+"/>
    <n v="99"/>
    <s v="A+"/>
    <n v="64"/>
    <s v="B-"/>
    <n v="70"/>
    <s v="B+"/>
    <n v="93"/>
    <s v="A+"/>
    <n v="67"/>
    <s v="B"/>
    <n v="565"/>
    <n v="80.714285714285708"/>
    <x v="0"/>
    <n v="1035"/>
    <x v="0"/>
  </r>
  <r>
    <n v="241"/>
    <s v="Peter"/>
    <s v="Garner"/>
    <x v="239"/>
    <s v="peter.garner.241@gslingacademy.com"/>
    <x v="0"/>
    <x v="0"/>
    <n v="0"/>
    <x v="0"/>
    <n v="27"/>
    <x v="5"/>
    <n v="91"/>
    <s v="A+"/>
    <n v="81"/>
    <s v="A"/>
    <n v="91"/>
    <s v="A+"/>
    <n v="76"/>
    <s v="A-"/>
    <n v="100"/>
    <s v="A+"/>
    <n v="92"/>
    <s v="A+"/>
    <n v="87"/>
    <s v="A"/>
    <n v="618"/>
    <n v="88.285714285714292"/>
    <x v="0"/>
    <n v="229"/>
    <x v="1"/>
  </r>
  <r>
    <n v="242"/>
    <s v="Douglas"/>
    <s v="Stewart"/>
    <x v="240"/>
    <s v="douglas.stewart.242@gslingacademy.com"/>
    <x v="0"/>
    <x v="0"/>
    <n v="6"/>
    <x v="0"/>
    <n v="2"/>
    <x v="7"/>
    <n v="87"/>
    <s v="A"/>
    <n v="62"/>
    <s v="B-"/>
    <n v="85"/>
    <s v="A"/>
    <n v="64"/>
    <s v="B-"/>
    <n v="63"/>
    <s v="B-"/>
    <n v="61"/>
    <s v="B-"/>
    <n v="85"/>
    <s v="A"/>
    <n v="507"/>
    <n v="72.428571428571431"/>
    <x v="3"/>
    <n v="1844"/>
    <x v="0"/>
  </r>
  <r>
    <n v="243"/>
    <s v="Heidi"/>
    <s v="Jones"/>
    <x v="241"/>
    <s v="heidi.jones.243@gslingacademy.com"/>
    <x v="1"/>
    <x v="0"/>
    <n v="6"/>
    <x v="0"/>
    <n v="16"/>
    <x v="9"/>
    <n v="75"/>
    <s v="A-"/>
    <n v="95"/>
    <s v="A+"/>
    <n v="84"/>
    <s v="A"/>
    <n v="87"/>
    <s v="A"/>
    <n v="78"/>
    <s v="A-"/>
    <n v="82"/>
    <s v="A"/>
    <n v="86"/>
    <s v="A"/>
    <n v="587"/>
    <n v="83.857142857142861"/>
    <x v="0"/>
    <n v="583"/>
    <x v="0"/>
  </r>
  <r>
    <n v="244"/>
    <s v="Jeremy"/>
    <s v="Daniels"/>
    <x v="242"/>
    <s v="jeremy.daniels.244@gslingacademy.com"/>
    <x v="0"/>
    <x v="1"/>
    <n v="1"/>
    <x v="0"/>
    <n v="27"/>
    <x v="9"/>
    <n v="86"/>
    <s v="A"/>
    <n v="78"/>
    <s v="A-"/>
    <n v="61"/>
    <s v="B-"/>
    <n v="71"/>
    <s v="B+"/>
    <n v="94"/>
    <s v="A+"/>
    <n v="92"/>
    <s v="A+"/>
    <n v="65"/>
    <s v="B"/>
    <n v="547"/>
    <n v="78.142857142857139"/>
    <x v="2"/>
    <n v="1388"/>
    <x v="1"/>
  </r>
  <r>
    <n v="245"/>
    <s v="Dustin"/>
    <s v="Dodson"/>
    <x v="243"/>
    <s v="dustin.dodson.245@gslingacademy.com"/>
    <x v="0"/>
    <x v="0"/>
    <n v="4"/>
    <x v="1"/>
    <n v="24"/>
    <x v="11"/>
    <n v="94"/>
    <s v="A+"/>
    <n v="62"/>
    <s v="B-"/>
    <n v="97"/>
    <s v="A+"/>
    <n v="96"/>
    <s v="A+"/>
    <n v="74"/>
    <s v="B+"/>
    <n v="68"/>
    <s v="B"/>
    <n v="69"/>
    <s v="B"/>
    <n v="560"/>
    <n v="80"/>
    <x v="0"/>
    <n v="1134"/>
    <x v="0"/>
  </r>
  <r>
    <n v="246"/>
    <s v="Christopher"/>
    <s v="Cohen"/>
    <x v="244"/>
    <s v="christopher.cohen.246@gslingacademy.com"/>
    <x v="0"/>
    <x v="0"/>
    <n v="4"/>
    <x v="0"/>
    <n v="23"/>
    <x v="11"/>
    <n v="99"/>
    <s v="A+"/>
    <n v="64"/>
    <s v="B-"/>
    <n v="92"/>
    <s v="A+"/>
    <n v="78"/>
    <s v="A-"/>
    <n v="30"/>
    <s v="F"/>
    <n v="78"/>
    <s v="A-"/>
    <n v="88"/>
    <s v="A"/>
    <n v="529"/>
    <n v="75.571428571428569"/>
    <x v="2"/>
    <n v="1664"/>
    <x v="0"/>
  </r>
  <r>
    <n v="247"/>
    <s v="Willie"/>
    <s v="Ellis"/>
    <x v="245"/>
    <s v="willie.ellis.247@gslingacademy.com"/>
    <x v="0"/>
    <x v="0"/>
    <n v="1"/>
    <x v="0"/>
    <n v="15"/>
    <x v="2"/>
    <n v="84"/>
    <s v="A"/>
    <n v="91"/>
    <s v="A+"/>
    <n v="94"/>
    <s v="A+"/>
    <n v="66"/>
    <s v="B"/>
    <n v="78"/>
    <s v="A-"/>
    <n v="71"/>
    <s v="B+"/>
    <n v="93"/>
    <s v="A+"/>
    <n v="577"/>
    <n v="82.428571428571431"/>
    <x v="0"/>
    <n v="769"/>
    <x v="1"/>
  </r>
  <r>
    <n v="248"/>
    <s v="Robert"/>
    <s v="Hawkins"/>
    <x v="246"/>
    <s v="robert.hawkins.248@gslingacademy.com"/>
    <x v="0"/>
    <x v="0"/>
    <n v="3"/>
    <x v="0"/>
    <n v="25"/>
    <x v="15"/>
    <n v="92"/>
    <s v="A+"/>
    <n v="81"/>
    <s v="A"/>
    <n v="68"/>
    <s v="B"/>
    <n v="96"/>
    <s v="A+"/>
    <n v="99"/>
    <s v="A+"/>
    <n v="92"/>
    <s v="A+"/>
    <n v="79"/>
    <s v="A-"/>
    <n v="607"/>
    <n v="86.714285714285708"/>
    <x v="0"/>
    <n v="325"/>
    <x v="0"/>
  </r>
  <r>
    <n v="249"/>
    <s v="Stacy"/>
    <s v="Jordan"/>
    <x v="247"/>
    <s v="stacy.jordan.249@gslingacademy.com"/>
    <x v="1"/>
    <x v="0"/>
    <n v="2"/>
    <x v="0"/>
    <n v="32"/>
    <x v="5"/>
    <n v="95"/>
    <s v="A+"/>
    <n v="84"/>
    <s v="A"/>
    <n v="95"/>
    <s v="A+"/>
    <n v="72"/>
    <s v="B+"/>
    <n v="62"/>
    <s v="B-"/>
    <n v="80"/>
    <s v="A"/>
    <n v="83"/>
    <s v="A"/>
    <n v="571"/>
    <n v="81.571428571428569"/>
    <x v="0"/>
    <n v="915"/>
    <x v="1"/>
  </r>
  <r>
    <n v="250"/>
    <s v="Robert"/>
    <s v="Swanson"/>
    <x v="248"/>
    <s v="robert.swanson.250@gslingacademy.com"/>
    <x v="0"/>
    <x v="0"/>
    <n v="3"/>
    <x v="0"/>
    <n v="35"/>
    <x v="0"/>
    <n v="90"/>
    <s v="A+"/>
    <n v="88"/>
    <s v="A"/>
    <n v="94"/>
    <s v="A+"/>
    <n v="99"/>
    <s v="A+"/>
    <n v="92"/>
    <s v="A+"/>
    <n v="87"/>
    <s v="A"/>
    <n v="97"/>
    <s v="A+"/>
    <n v="647"/>
    <n v="92.428571428571431"/>
    <x v="1"/>
    <n v="68"/>
    <x v="0"/>
  </r>
  <r>
    <n v="251"/>
    <s v="Holly"/>
    <s v="Henderson"/>
    <x v="249"/>
    <s v="holly.henderson.251@gslingacademy.com"/>
    <x v="1"/>
    <x v="0"/>
    <n v="3"/>
    <x v="0"/>
    <n v="3"/>
    <x v="3"/>
    <n v="93"/>
    <s v="A+"/>
    <n v="100"/>
    <s v="A+"/>
    <n v="87"/>
    <s v="A"/>
    <n v="66"/>
    <s v="B"/>
    <n v="85"/>
    <s v="A"/>
    <n v="96"/>
    <s v="A+"/>
    <n v="87"/>
    <s v="A"/>
    <n v="614"/>
    <n v="87.714285714285708"/>
    <x v="0"/>
    <n v="260"/>
    <x v="0"/>
  </r>
  <r>
    <n v="252"/>
    <s v="Debra"/>
    <s v="Valdez"/>
    <x v="250"/>
    <s v="debra.valdez.252@gslingacademy.com"/>
    <x v="1"/>
    <x v="0"/>
    <n v="1"/>
    <x v="0"/>
    <n v="28"/>
    <x v="12"/>
    <n v="69"/>
    <s v="B"/>
    <n v="63"/>
    <s v="B-"/>
    <n v="88"/>
    <s v="A"/>
    <n v="73"/>
    <s v="B+"/>
    <n v="83"/>
    <s v="A"/>
    <n v="74"/>
    <s v="B+"/>
    <n v="94"/>
    <s v="A+"/>
    <n v="544"/>
    <n v="77.714285714285708"/>
    <x v="2"/>
    <n v="1446"/>
    <x v="1"/>
  </r>
  <r>
    <n v="253"/>
    <s v="Vincent"/>
    <s v="Robertson"/>
    <x v="251"/>
    <s v="vincent.robertson.253@gslingacademy.com"/>
    <x v="0"/>
    <x v="0"/>
    <n v="1"/>
    <x v="0"/>
    <n v="3"/>
    <x v="14"/>
    <n v="97"/>
    <s v="A+"/>
    <n v="80"/>
    <s v="A"/>
    <n v="80"/>
    <s v="A"/>
    <n v="65"/>
    <s v="B"/>
    <n v="91"/>
    <s v="A+"/>
    <n v="67"/>
    <s v="B"/>
    <n v="84"/>
    <s v="A"/>
    <n v="564"/>
    <n v="80.571428571428569"/>
    <x v="0"/>
    <n v="1056"/>
    <x v="1"/>
  </r>
  <r>
    <n v="254"/>
    <s v="Karen"/>
    <s v="Spencer"/>
    <x v="252"/>
    <s v="karen.spencer.254@gslingacademy.com"/>
    <x v="1"/>
    <x v="0"/>
    <n v="0"/>
    <x v="0"/>
    <n v="21"/>
    <x v="11"/>
    <n v="76"/>
    <s v="A-"/>
    <n v="72"/>
    <s v="B+"/>
    <n v="80"/>
    <s v="A"/>
    <n v="92"/>
    <s v="A+"/>
    <n v="41"/>
    <s v="D"/>
    <n v="90"/>
    <s v="A+"/>
    <n v="78"/>
    <s v="A-"/>
    <n v="529"/>
    <n v="75.571428571428569"/>
    <x v="2"/>
    <n v="1664"/>
    <x v="1"/>
  </r>
  <r>
    <n v="255"/>
    <s v="Nathan"/>
    <s v="Riley"/>
    <x v="253"/>
    <s v="nathan.riley.255@gslingacademy.com"/>
    <x v="0"/>
    <x v="0"/>
    <n v="3"/>
    <x v="0"/>
    <n v="35"/>
    <x v="4"/>
    <n v="85"/>
    <s v="A"/>
    <n v="85"/>
    <s v="A"/>
    <n v="92"/>
    <s v="A+"/>
    <n v="86"/>
    <s v="A"/>
    <n v="99"/>
    <s v="A+"/>
    <n v="86"/>
    <s v="A"/>
    <n v="93"/>
    <s v="A+"/>
    <n v="626"/>
    <n v="89.428571428571431"/>
    <x v="0"/>
    <n v="179"/>
    <x v="0"/>
  </r>
  <r>
    <n v="256"/>
    <s v="Andrea"/>
    <s v="Sutton"/>
    <x v="254"/>
    <s v="andrea.sutton.256@gslingacademy.com"/>
    <x v="1"/>
    <x v="0"/>
    <n v="7"/>
    <x v="1"/>
    <n v="35"/>
    <x v="5"/>
    <n v="91"/>
    <s v="A+"/>
    <n v="87"/>
    <s v="A"/>
    <n v="89"/>
    <s v="A"/>
    <n v="97"/>
    <s v="A+"/>
    <n v="93"/>
    <s v="A+"/>
    <n v="87"/>
    <s v="A"/>
    <n v="100"/>
    <s v="A+"/>
    <n v="644"/>
    <n v="92"/>
    <x v="1"/>
    <n v="83"/>
    <x v="2"/>
  </r>
  <r>
    <n v="257"/>
    <s v="Tracey"/>
    <s v="Turner"/>
    <x v="255"/>
    <s v="tracey.turner.257@gslingacademy.com"/>
    <x v="1"/>
    <x v="0"/>
    <n v="7"/>
    <x v="1"/>
    <n v="14"/>
    <x v="11"/>
    <n v="82"/>
    <s v="A"/>
    <n v="95"/>
    <s v="A+"/>
    <n v="92"/>
    <s v="A+"/>
    <n v="62"/>
    <s v="B-"/>
    <n v="73"/>
    <s v="B+"/>
    <n v="75"/>
    <s v="A-"/>
    <n v="93"/>
    <s v="A+"/>
    <n v="572"/>
    <n v="81.714285714285708"/>
    <x v="0"/>
    <n v="890"/>
    <x v="2"/>
  </r>
  <r>
    <n v="258"/>
    <s v="Tammy"/>
    <s v="Olsen"/>
    <x v="256"/>
    <s v="tammy.olsen.258@gslingacademy.com"/>
    <x v="1"/>
    <x v="1"/>
    <n v="7"/>
    <x v="0"/>
    <n v="1"/>
    <x v="7"/>
    <n v="59"/>
    <s v="C"/>
    <n v="56"/>
    <s v="C"/>
    <n v="87"/>
    <s v="A"/>
    <n v="97"/>
    <s v="A+"/>
    <n v="62"/>
    <s v="B-"/>
    <n v="74"/>
    <s v="B+"/>
    <n v="61"/>
    <s v="B-"/>
    <n v="496"/>
    <n v="70.857142857142861"/>
    <x v="3"/>
    <n v="1892"/>
    <x v="2"/>
  </r>
  <r>
    <n v="259"/>
    <s v="Sheila"/>
    <s v="Wilkinson"/>
    <x v="257"/>
    <s v="sheila.wilkinson.259@gslingacademy.com"/>
    <x v="1"/>
    <x v="0"/>
    <n v="9"/>
    <x v="1"/>
    <n v="0"/>
    <x v="7"/>
    <n v="78"/>
    <s v="A-"/>
    <n v="71"/>
    <s v="B+"/>
    <n v="73"/>
    <s v="B+"/>
    <n v="51"/>
    <s v="C"/>
    <n v="80"/>
    <s v="A"/>
    <n v="84"/>
    <s v="A"/>
    <n v="65"/>
    <s v="B"/>
    <n v="502"/>
    <n v="71.714285714285708"/>
    <x v="3"/>
    <n v="1866"/>
    <x v="2"/>
  </r>
  <r>
    <n v="260"/>
    <s v="Nathan"/>
    <s v="Padilla"/>
    <x v="258"/>
    <s v="nathan.padilla.260@gslingacademy.com"/>
    <x v="0"/>
    <x v="0"/>
    <n v="2"/>
    <x v="0"/>
    <n v="12"/>
    <x v="13"/>
    <n v="89"/>
    <s v="A"/>
    <n v="65"/>
    <s v="B"/>
    <n v="82"/>
    <s v="A"/>
    <n v="65"/>
    <s v="B"/>
    <n v="76"/>
    <s v="A-"/>
    <n v="95"/>
    <s v="A+"/>
    <n v="62"/>
    <s v="B-"/>
    <n v="534"/>
    <n v="76.285714285714292"/>
    <x v="2"/>
    <n v="1595"/>
    <x v="1"/>
  </r>
  <r>
    <n v="261"/>
    <s v="Sarah"/>
    <s v="Santiago"/>
    <x v="259"/>
    <s v="sarah.santiago.261@gslingacademy.com"/>
    <x v="1"/>
    <x v="0"/>
    <n v="3"/>
    <x v="0"/>
    <n v="35"/>
    <x v="5"/>
    <n v="86"/>
    <s v="A"/>
    <n v="91"/>
    <s v="A+"/>
    <n v="92"/>
    <s v="A+"/>
    <n v="96"/>
    <s v="A+"/>
    <n v="90"/>
    <s v="A+"/>
    <n v="96"/>
    <s v="A+"/>
    <n v="90"/>
    <s v="A+"/>
    <n v="641"/>
    <n v="91.571428571428569"/>
    <x v="1"/>
    <n v="94"/>
    <x v="0"/>
  </r>
  <r>
    <n v="262"/>
    <s v="Christopher"/>
    <s v="Cruz"/>
    <x v="260"/>
    <s v="christopher.cruz.262@gslingacademy.com"/>
    <x v="0"/>
    <x v="0"/>
    <n v="4"/>
    <x v="0"/>
    <n v="2"/>
    <x v="3"/>
    <n v="76"/>
    <s v="A-"/>
    <n v="93"/>
    <s v="A+"/>
    <n v="65"/>
    <s v="B"/>
    <n v="95"/>
    <s v="A+"/>
    <n v="76"/>
    <s v="A-"/>
    <n v="88"/>
    <s v="A"/>
    <n v="88"/>
    <s v="A"/>
    <n v="581"/>
    <n v="83"/>
    <x v="0"/>
    <n v="688"/>
    <x v="0"/>
  </r>
  <r>
    <n v="263"/>
    <s v="Nicholas"/>
    <s v="Sanders"/>
    <x v="261"/>
    <s v="nicholas.sanders.263@gslingacademy.com"/>
    <x v="0"/>
    <x v="1"/>
    <n v="2"/>
    <x v="0"/>
    <n v="16"/>
    <x v="4"/>
    <n v="79"/>
    <s v="A-"/>
    <n v="68"/>
    <s v="B"/>
    <n v="63"/>
    <s v="B-"/>
    <n v="72"/>
    <s v="B+"/>
    <n v="81"/>
    <s v="A"/>
    <n v="67"/>
    <s v="B"/>
    <n v="67"/>
    <s v="B"/>
    <n v="497"/>
    <n v="71"/>
    <x v="3"/>
    <n v="1888"/>
    <x v="1"/>
  </r>
  <r>
    <n v="264"/>
    <s v="Jessica"/>
    <s v="Waters"/>
    <x v="262"/>
    <s v="jessica.waters.264@gslingacademy.com"/>
    <x v="1"/>
    <x v="0"/>
    <n v="3"/>
    <x v="0"/>
    <n v="31"/>
    <x v="0"/>
    <n v="91"/>
    <s v="A+"/>
    <n v="96"/>
    <s v="A+"/>
    <n v="77"/>
    <s v="A-"/>
    <n v="76"/>
    <s v="A-"/>
    <n v="80"/>
    <s v="A"/>
    <n v="97"/>
    <s v="A+"/>
    <n v="80"/>
    <s v="A"/>
    <n v="597"/>
    <n v="85.285714285714292"/>
    <x v="0"/>
    <n v="446"/>
    <x v="0"/>
  </r>
  <r>
    <n v="265"/>
    <s v="James"/>
    <s v="Miller"/>
    <x v="263"/>
    <s v="james.miller.265@gslingacademy.com"/>
    <x v="0"/>
    <x v="0"/>
    <n v="5"/>
    <x v="0"/>
    <n v="4"/>
    <x v="7"/>
    <n v="89"/>
    <s v="A"/>
    <n v="66"/>
    <s v="B"/>
    <n v="80"/>
    <s v="A"/>
    <n v="77"/>
    <s v="A-"/>
    <n v="60"/>
    <s v="B-"/>
    <n v="88"/>
    <s v="A"/>
    <n v="74"/>
    <s v="B+"/>
    <n v="534"/>
    <n v="76.285714285714292"/>
    <x v="2"/>
    <n v="1595"/>
    <x v="0"/>
  </r>
  <r>
    <n v="266"/>
    <s v="Adam"/>
    <s v="Kane"/>
    <x v="264"/>
    <s v="adam.kane.266@gslingacademy.com"/>
    <x v="0"/>
    <x v="0"/>
    <n v="3"/>
    <x v="0"/>
    <n v="19"/>
    <x v="4"/>
    <n v="97"/>
    <s v="A+"/>
    <n v="94"/>
    <s v="A+"/>
    <n v="81"/>
    <s v="A"/>
    <n v="97"/>
    <s v="A+"/>
    <n v="79"/>
    <s v="A-"/>
    <n v="86"/>
    <s v="A"/>
    <n v="63"/>
    <s v="B-"/>
    <n v="597"/>
    <n v="85.285714285714292"/>
    <x v="0"/>
    <n v="446"/>
    <x v="0"/>
  </r>
  <r>
    <n v="267"/>
    <s v="Patricia"/>
    <s v="Gonzalez"/>
    <x v="265"/>
    <s v="patricia.gonzalez.267@gslingacademy.com"/>
    <x v="1"/>
    <x v="0"/>
    <n v="3"/>
    <x v="1"/>
    <n v="15"/>
    <x v="9"/>
    <n v="100"/>
    <s v="A+"/>
    <n v="86"/>
    <s v="A"/>
    <n v="74"/>
    <s v="B+"/>
    <n v="96"/>
    <s v="A+"/>
    <n v="80"/>
    <s v="A"/>
    <n v="99"/>
    <s v="A+"/>
    <n v="76"/>
    <s v="A-"/>
    <n v="611"/>
    <n v="87.285714285714292"/>
    <x v="0"/>
    <n v="291"/>
    <x v="0"/>
  </r>
  <r>
    <n v="268"/>
    <s v="Whitney"/>
    <s v="Holmes"/>
    <x v="266"/>
    <s v="whitney.holmes.268@gslingacademy.com"/>
    <x v="1"/>
    <x v="0"/>
    <n v="1"/>
    <x v="0"/>
    <n v="30"/>
    <x v="1"/>
    <n v="96"/>
    <s v="A+"/>
    <n v="68"/>
    <s v="B"/>
    <n v="87"/>
    <s v="A"/>
    <n v="96"/>
    <s v="A+"/>
    <n v="91"/>
    <s v="A+"/>
    <n v="68"/>
    <s v="B"/>
    <n v="65"/>
    <s v="B"/>
    <n v="571"/>
    <n v="81.571428571428569"/>
    <x v="0"/>
    <n v="915"/>
    <x v="1"/>
  </r>
  <r>
    <n v="269"/>
    <s v="Rachel"/>
    <s v="Hamilton"/>
    <x v="267"/>
    <s v="rachel.hamilton.269@gslingacademy.com"/>
    <x v="1"/>
    <x v="0"/>
    <n v="7"/>
    <x v="0"/>
    <n v="17"/>
    <x v="9"/>
    <n v="94"/>
    <s v="A+"/>
    <n v="64"/>
    <s v="B-"/>
    <n v="100"/>
    <s v="A+"/>
    <n v="71"/>
    <s v="B+"/>
    <n v="84"/>
    <s v="A"/>
    <n v="92"/>
    <s v="A+"/>
    <n v="99"/>
    <s v="A+"/>
    <n v="604"/>
    <n v="86.285714285714292"/>
    <x v="0"/>
    <n v="353"/>
    <x v="2"/>
  </r>
  <r>
    <n v="270"/>
    <s v="Melissa"/>
    <s v="Marshall"/>
    <x v="268"/>
    <s v="melissa.marshall.270@gslingacademy.com"/>
    <x v="1"/>
    <x v="0"/>
    <n v="2"/>
    <x v="0"/>
    <n v="23"/>
    <x v="5"/>
    <n v="98"/>
    <s v="A+"/>
    <n v="68"/>
    <s v="B"/>
    <n v="80"/>
    <s v="A"/>
    <n v="75"/>
    <s v="A-"/>
    <n v="80"/>
    <s v="A"/>
    <n v="81"/>
    <s v="A"/>
    <n v="60"/>
    <s v="B-"/>
    <n v="542"/>
    <n v="77.428571428571431"/>
    <x v="2"/>
    <n v="1478"/>
    <x v="1"/>
  </r>
  <r>
    <n v="271"/>
    <s v="Jacob"/>
    <s v="Henderson"/>
    <x v="269"/>
    <s v="jacob.henderson.271@gslingacademy.com"/>
    <x v="0"/>
    <x v="0"/>
    <n v="1"/>
    <x v="0"/>
    <n v="3"/>
    <x v="7"/>
    <n v="53"/>
    <s v="C"/>
    <n v="71"/>
    <s v="B+"/>
    <n v="98"/>
    <s v="A+"/>
    <n v="95"/>
    <s v="A+"/>
    <n v="94"/>
    <s v="A+"/>
    <n v="71"/>
    <s v="B+"/>
    <n v="77"/>
    <s v="A-"/>
    <n v="559"/>
    <n v="79.857142857142861"/>
    <x v="2"/>
    <n v="1155"/>
    <x v="1"/>
  </r>
  <r>
    <n v="272"/>
    <s v="Melissa"/>
    <s v="Huerta"/>
    <x v="270"/>
    <s v="melissa.huerta.272@gslingacademy.com"/>
    <x v="1"/>
    <x v="0"/>
    <n v="7"/>
    <x v="0"/>
    <n v="4"/>
    <x v="7"/>
    <n v="44"/>
    <s v="D"/>
    <n v="64"/>
    <s v="B-"/>
    <n v="58"/>
    <s v="C"/>
    <n v="66"/>
    <s v="B"/>
    <n v="87"/>
    <s v="A"/>
    <n v="62"/>
    <s v="B-"/>
    <n v="68"/>
    <s v="B"/>
    <n v="449"/>
    <n v="64.142857142857139"/>
    <x v="5"/>
    <n v="1993"/>
    <x v="2"/>
  </r>
  <r>
    <n v="273"/>
    <s v="Kevin"/>
    <s v="Camacho"/>
    <x v="271"/>
    <s v="kevin.camacho.273@gslingacademy.com"/>
    <x v="0"/>
    <x v="0"/>
    <n v="0"/>
    <x v="0"/>
    <n v="25"/>
    <x v="4"/>
    <n v="85"/>
    <s v="A"/>
    <n v="70"/>
    <s v="B+"/>
    <n v="73"/>
    <s v="B+"/>
    <n v="95"/>
    <s v="A+"/>
    <n v="100"/>
    <s v="A+"/>
    <n v="70"/>
    <s v="B+"/>
    <n v="94"/>
    <s v="A+"/>
    <n v="587"/>
    <n v="83.857142857142861"/>
    <x v="0"/>
    <n v="583"/>
    <x v="1"/>
  </r>
  <r>
    <n v="274"/>
    <s v="Anthony"/>
    <s v="Martinez"/>
    <x v="272"/>
    <s v="anthony.martinez.274@gslingacademy.com"/>
    <x v="0"/>
    <x v="1"/>
    <n v="10"/>
    <x v="0"/>
    <n v="1"/>
    <x v="7"/>
    <n v="51"/>
    <s v="C"/>
    <n v="91"/>
    <s v="A+"/>
    <n v="67"/>
    <s v="B"/>
    <n v="79"/>
    <s v="A-"/>
    <n v="58"/>
    <s v="C"/>
    <n v="52"/>
    <s v="C"/>
    <n v="75"/>
    <s v="A-"/>
    <n v="473"/>
    <n v="67.571428571428569"/>
    <x v="4"/>
    <n v="1952"/>
    <x v="2"/>
  </r>
  <r>
    <n v="275"/>
    <s v="Randy"/>
    <s v="Rodriguez"/>
    <x v="273"/>
    <s v="randy.rodriguez.275@gslingacademy.com"/>
    <x v="0"/>
    <x v="0"/>
    <n v="1"/>
    <x v="0"/>
    <n v="24"/>
    <x v="0"/>
    <n v="90"/>
    <s v="A+"/>
    <n v="89"/>
    <s v="A"/>
    <n v="82"/>
    <s v="A"/>
    <n v="74"/>
    <s v="B+"/>
    <n v="67"/>
    <s v="B"/>
    <n v="92"/>
    <s v="A+"/>
    <n v="82"/>
    <s v="A"/>
    <n v="576"/>
    <n v="82.285714285714292"/>
    <x v="0"/>
    <n v="789"/>
    <x v="1"/>
  </r>
  <r>
    <n v="276"/>
    <s v="Patrick"/>
    <s v="Vazquez"/>
    <x v="274"/>
    <s v="patrick.vazquez.276@gslingacademy.com"/>
    <x v="0"/>
    <x v="0"/>
    <n v="1"/>
    <x v="0"/>
    <n v="15"/>
    <x v="5"/>
    <n v="100"/>
    <s v="A+"/>
    <n v="92"/>
    <s v="A+"/>
    <n v="90"/>
    <s v="A+"/>
    <n v="66"/>
    <s v="B"/>
    <n v="73"/>
    <s v="B+"/>
    <n v="68"/>
    <s v="B"/>
    <n v="70"/>
    <s v="B+"/>
    <n v="559"/>
    <n v="79.857142857142861"/>
    <x v="2"/>
    <n v="1155"/>
    <x v="1"/>
  </r>
  <r>
    <n v="277"/>
    <s v="Kim"/>
    <s v="Flores"/>
    <x v="275"/>
    <s v="kim.flores.277@gslingacademy.com"/>
    <x v="1"/>
    <x v="1"/>
    <n v="7"/>
    <x v="0"/>
    <n v="1"/>
    <x v="7"/>
    <n v="95"/>
    <s v="A+"/>
    <n v="73"/>
    <s v="B+"/>
    <n v="61"/>
    <s v="B-"/>
    <n v="91"/>
    <s v="A+"/>
    <n v="84"/>
    <s v="A"/>
    <n v="92"/>
    <s v="A+"/>
    <n v="94"/>
    <s v="A+"/>
    <n v="590"/>
    <n v="84.285714285714292"/>
    <x v="0"/>
    <n v="531"/>
    <x v="2"/>
  </r>
  <r>
    <n v="278"/>
    <s v="Robert"/>
    <s v="Salazar"/>
    <x v="276"/>
    <s v="robert.salazar.278@gslingacademy.com"/>
    <x v="0"/>
    <x v="0"/>
    <n v="1"/>
    <x v="1"/>
    <n v="33"/>
    <x v="0"/>
    <n v="76"/>
    <s v="A-"/>
    <n v="81"/>
    <s v="A"/>
    <n v="96"/>
    <s v="A+"/>
    <n v="74"/>
    <s v="B+"/>
    <n v="75"/>
    <s v="A-"/>
    <n v="80"/>
    <s v="A"/>
    <n v="98"/>
    <s v="A+"/>
    <n v="580"/>
    <n v="82.857142857142861"/>
    <x v="0"/>
    <n v="709"/>
    <x v="1"/>
  </r>
  <r>
    <n v="279"/>
    <s v="Victoria"/>
    <s v="Vasquez"/>
    <x v="277"/>
    <s v="victoria.vasquez.279@gslingacademy.com"/>
    <x v="1"/>
    <x v="0"/>
    <n v="1"/>
    <x v="0"/>
    <n v="11"/>
    <x v="12"/>
    <n v="71"/>
    <s v="B+"/>
    <n v="98"/>
    <s v="A+"/>
    <n v="96"/>
    <s v="A+"/>
    <n v="60"/>
    <s v="B-"/>
    <n v="90"/>
    <s v="A+"/>
    <n v="79"/>
    <s v="A-"/>
    <n v="72"/>
    <s v="B+"/>
    <n v="566"/>
    <n v="80.857142857142861"/>
    <x v="0"/>
    <n v="1019"/>
    <x v="1"/>
  </r>
  <r>
    <n v="280"/>
    <s v="Ricardo"/>
    <s v="Macias"/>
    <x v="278"/>
    <s v="ricardo.macias.280@gslingacademy.com"/>
    <x v="0"/>
    <x v="0"/>
    <n v="3"/>
    <x v="0"/>
    <n v="10"/>
    <x v="9"/>
    <n v="95"/>
    <s v="A+"/>
    <n v="60"/>
    <s v="B-"/>
    <n v="87"/>
    <s v="A"/>
    <n v="71"/>
    <s v="B+"/>
    <n v="91"/>
    <s v="A+"/>
    <n v="84"/>
    <s v="A"/>
    <n v="98"/>
    <s v="A+"/>
    <n v="586"/>
    <n v="83.714285714285708"/>
    <x v="0"/>
    <n v="601"/>
    <x v="0"/>
  </r>
  <r>
    <n v="281"/>
    <s v="Brandi"/>
    <s v="Bauer"/>
    <x v="279"/>
    <s v="brandi.bauer.281@gslingacademy.com"/>
    <x v="1"/>
    <x v="0"/>
    <n v="7"/>
    <x v="1"/>
    <n v="15"/>
    <x v="5"/>
    <n v="92"/>
    <s v="A+"/>
    <n v="88"/>
    <s v="A"/>
    <n v="76"/>
    <s v="A-"/>
    <n v="93"/>
    <s v="A+"/>
    <n v="69"/>
    <s v="B"/>
    <n v="75"/>
    <s v="A-"/>
    <n v="97"/>
    <s v="A+"/>
    <n v="590"/>
    <n v="84.285714285714292"/>
    <x v="0"/>
    <n v="531"/>
    <x v="2"/>
  </r>
  <r>
    <n v="282"/>
    <s v="Jorge"/>
    <s v="Roth"/>
    <x v="280"/>
    <s v="jorge.roth.282@gslingacademy.com"/>
    <x v="0"/>
    <x v="0"/>
    <n v="5"/>
    <x v="0"/>
    <n v="34"/>
    <x v="8"/>
    <n v="82"/>
    <s v="A"/>
    <n v="95"/>
    <s v="A+"/>
    <n v="96"/>
    <s v="A+"/>
    <n v="100"/>
    <s v="A+"/>
    <n v="89"/>
    <s v="A"/>
    <n v="64"/>
    <s v="B-"/>
    <n v="91"/>
    <s v="A+"/>
    <n v="617"/>
    <n v="88.142857142857139"/>
    <x v="0"/>
    <n v="235"/>
    <x v="0"/>
  </r>
  <r>
    <n v="283"/>
    <s v="Benjamin"/>
    <s v="Davis"/>
    <x v="281"/>
    <s v="benjamin.davis.283@gslingacademy.com"/>
    <x v="0"/>
    <x v="0"/>
    <n v="3"/>
    <x v="0"/>
    <n v="30"/>
    <x v="0"/>
    <n v="85"/>
    <s v="A"/>
    <n v="94"/>
    <s v="A+"/>
    <n v="83"/>
    <s v="A"/>
    <n v="76"/>
    <s v="A-"/>
    <n v="77"/>
    <s v="A-"/>
    <n v="81"/>
    <s v="A"/>
    <n v="92"/>
    <s v="A+"/>
    <n v="588"/>
    <n v="84"/>
    <x v="0"/>
    <n v="565"/>
    <x v="0"/>
  </r>
  <r>
    <n v="284"/>
    <s v="Nancy"/>
    <s v="Pierce"/>
    <x v="282"/>
    <s v="nancy.pierce.284@gslingacademy.com"/>
    <x v="1"/>
    <x v="1"/>
    <n v="4"/>
    <x v="1"/>
    <n v="4"/>
    <x v="3"/>
    <n v="82"/>
    <s v="A"/>
    <n v="85"/>
    <s v="A"/>
    <n v="75"/>
    <s v="A-"/>
    <n v="92"/>
    <s v="A+"/>
    <n v="76"/>
    <s v="A-"/>
    <n v="95"/>
    <s v="A+"/>
    <n v="85"/>
    <s v="A"/>
    <n v="590"/>
    <n v="84.285714285714292"/>
    <x v="0"/>
    <n v="531"/>
    <x v="0"/>
  </r>
  <r>
    <n v="285"/>
    <s v="Catherine"/>
    <s v="Weiss"/>
    <x v="283"/>
    <s v="catherine.weiss.285@gslingacademy.com"/>
    <x v="1"/>
    <x v="0"/>
    <n v="2"/>
    <x v="0"/>
    <n v="28"/>
    <x v="15"/>
    <n v="98"/>
    <s v="A+"/>
    <n v="77"/>
    <s v="A-"/>
    <n v="94"/>
    <s v="A+"/>
    <n v="63"/>
    <s v="B-"/>
    <n v="69"/>
    <s v="B"/>
    <n v="88"/>
    <s v="A"/>
    <n v="100"/>
    <s v="A+"/>
    <n v="589"/>
    <n v="84.142857142857139"/>
    <x v="0"/>
    <n v="548"/>
    <x v="1"/>
  </r>
  <r>
    <n v="286"/>
    <s v="Jacob"/>
    <s v="Perez"/>
    <x v="284"/>
    <s v="jacob.perez.286@gslingacademy.com"/>
    <x v="0"/>
    <x v="0"/>
    <n v="5"/>
    <x v="1"/>
    <n v="29"/>
    <x v="1"/>
    <n v="93"/>
    <s v="A+"/>
    <n v="96"/>
    <s v="A+"/>
    <n v="94"/>
    <s v="A+"/>
    <n v="84"/>
    <s v="A"/>
    <n v="91"/>
    <s v="A+"/>
    <n v="67"/>
    <s v="B"/>
    <n v="68"/>
    <s v="B"/>
    <n v="593"/>
    <n v="84.714285714285708"/>
    <x v="0"/>
    <n v="494"/>
    <x v="0"/>
  </r>
  <r>
    <n v="287"/>
    <s v="Penny"/>
    <s v="Zuniga"/>
    <x v="285"/>
    <s v="penny.zuniga.287@gslingacademy.com"/>
    <x v="1"/>
    <x v="0"/>
    <n v="7"/>
    <x v="1"/>
    <n v="30"/>
    <x v="0"/>
    <n v="84"/>
    <s v="A"/>
    <n v="97"/>
    <s v="A+"/>
    <n v="60"/>
    <s v="B-"/>
    <n v="100"/>
    <s v="A+"/>
    <n v="83"/>
    <s v="A"/>
    <n v="88"/>
    <s v="A"/>
    <n v="94"/>
    <s v="A+"/>
    <n v="606"/>
    <n v="86.571428571428569"/>
    <x v="0"/>
    <n v="333"/>
    <x v="2"/>
  </r>
  <r>
    <n v="288"/>
    <s v="Anthony"/>
    <s v="Cox"/>
    <x v="286"/>
    <s v="anthony.cox.288@gslingacademy.com"/>
    <x v="0"/>
    <x v="0"/>
    <n v="4"/>
    <x v="0"/>
    <n v="31"/>
    <x v="4"/>
    <n v="81"/>
    <s v="A"/>
    <n v="95"/>
    <s v="A+"/>
    <n v="76"/>
    <s v="A-"/>
    <n v="60"/>
    <s v="B-"/>
    <n v="61"/>
    <s v="B-"/>
    <n v="98"/>
    <s v="A+"/>
    <n v="77"/>
    <s v="A-"/>
    <n v="548"/>
    <n v="78.285714285714292"/>
    <x v="2"/>
    <n v="1374"/>
    <x v="0"/>
  </r>
  <r>
    <n v="289"/>
    <s v="Angela"/>
    <s v="Nelson"/>
    <x v="287"/>
    <s v="angela.nelson.289@gslingacademy.com"/>
    <x v="1"/>
    <x v="0"/>
    <n v="8"/>
    <x v="0"/>
    <n v="1"/>
    <x v="7"/>
    <n v="62"/>
    <s v="B-"/>
    <n v="64"/>
    <s v="B-"/>
    <n v="84"/>
    <s v="A"/>
    <n v="67"/>
    <s v="B"/>
    <n v="78"/>
    <s v="A-"/>
    <n v="51"/>
    <s v="C"/>
    <n v="62"/>
    <s v="B-"/>
    <n v="468"/>
    <n v="66.857142857142861"/>
    <x v="4"/>
    <n v="1965"/>
    <x v="2"/>
  </r>
  <r>
    <n v="290"/>
    <s v="Lisa"/>
    <s v="White"/>
    <x v="288"/>
    <s v="lisa.white.290@gslingacademy.com"/>
    <x v="1"/>
    <x v="0"/>
    <n v="6"/>
    <x v="0"/>
    <n v="16"/>
    <x v="5"/>
    <n v="92"/>
    <s v="A+"/>
    <n v="70"/>
    <s v="B+"/>
    <n v="60"/>
    <s v="B-"/>
    <n v="94"/>
    <s v="A+"/>
    <n v="87"/>
    <s v="A"/>
    <n v="90"/>
    <s v="A+"/>
    <n v="86"/>
    <s v="A"/>
    <n v="579"/>
    <n v="82.714285714285708"/>
    <x v="0"/>
    <n v="730"/>
    <x v="0"/>
  </r>
  <r>
    <n v="291"/>
    <s v="Robin"/>
    <s v="Parker"/>
    <x v="289"/>
    <s v="robin.parker.291@gslingacademy.com"/>
    <x v="1"/>
    <x v="0"/>
    <n v="2"/>
    <x v="1"/>
    <n v="18"/>
    <x v="6"/>
    <n v="64"/>
    <s v="B-"/>
    <n v="93"/>
    <s v="A+"/>
    <n v="61"/>
    <s v="B-"/>
    <n v="61"/>
    <s v="B-"/>
    <n v="74"/>
    <s v="B+"/>
    <n v="94"/>
    <s v="A+"/>
    <n v="64"/>
    <s v="B-"/>
    <n v="511"/>
    <n v="73"/>
    <x v="3"/>
    <n v="1823"/>
    <x v="1"/>
  </r>
  <r>
    <n v="292"/>
    <s v="Cynthia"/>
    <s v="Shields"/>
    <x v="290"/>
    <s v="cynthia.shields.292@gslingacademy.com"/>
    <x v="1"/>
    <x v="1"/>
    <n v="1"/>
    <x v="0"/>
    <n v="4"/>
    <x v="14"/>
    <n v="89"/>
    <s v="A"/>
    <n v="67"/>
    <s v="B"/>
    <n v="97"/>
    <s v="A+"/>
    <n v="67"/>
    <s v="B"/>
    <n v="75"/>
    <s v="A-"/>
    <n v="94"/>
    <s v="A+"/>
    <n v="93"/>
    <s v="A+"/>
    <n v="582"/>
    <n v="83.142857142857139"/>
    <x v="0"/>
    <n v="670"/>
    <x v="1"/>
  </r>
  <r>
    <n v="293"/>
    <s v="Pamela"/>
    <s v="Wilkinson"/>
    <x v="291"/>
    <s v="pamela.wilkinson.293@gslingacademy.com"/>
    <x v="1"/>
    <x v="0"/>
    <n v="8"/>
    <x v="0"/>
    <n v="32"/>
    <x v="11"/>
    <n v="99"/>
    <s v="A+"/>
    <n v="88"/>
    <s v="A"/>
    <n v="84"/>
    <s v="A"/>
    <n v="87"/>
    <s v="A"/>
    <n v="36"/>
    <s v="F"/>
    <n v="96"/>
    <s v="A+"/>
    <n v="86"/>
    <s v="A"/>
    <n v="576"/>
    <n v="82.285714285714292"/>
    <x v="0"/>
    <n v="789"/>
    <x v="2"/>
  </r>
  <r>
    <n v="294"/>
    <s v="Brenda"/>
    <s v="Nichols"/>
    <x v="292"/>
    <s v="brenda.nichols.294@gslingacademy.com"/>
    <x v="1"/>
    <x v="0"/>
    <n v="2"/>
    <x v="0"/>
    <n v="12"/>
    <x v="9"/>
    <n v="95"/>
    <s v="A+"/>
    <n v="82"/>
    <s v="A"/>
    <n v="93"/>
    <s v="A+"/>
    <n v="99"/>
    <s v="A+"/>
    <n v="66"/>
    <s v="B"/>
    <n v="93"/>
    <s v="A+"/>
    <n v="86"/>
    <s v="A"/>
    <n v="614"/>
    <n v="87.714285714285708"/>
    <x v="0"/>
    <n v="260"/>
    <x v="1"/>
  </r>
  <r>
    <n v="295"/>
    <s v="Laura"/>
    <s v="Rodriguez"/>
    <x v="293"/>
    <s v="laura.rodriguez.295@gslingacademy.com"/>
    <x v="1"/>
    <x v="1"/>
    <n v="6"/>
    <x v="0"/>
    <n v="5"/>
    <x v="12"/>
    <n v="72"/>
    <s v="B+"/>
    <n v="92"/>
    <s v="A+"/>
    <n v="67"/>
    <s v="B"/>
    <n v="100"/>
    <s v="A+"/>
    <n v="70"/>
    <s v="B+"/>
    <n v="94"/>
    <s v="A+"/>
    <n v="81"/>
    <s v="A"/>
    <n v="576"/>
    <n v="82.285714285714292"/>
    <x v="0"/>
    <n v="789"/>
    <x v="0"/>
  </r>
  <r>
    <n v="296"/>
    <s v="Julie"/>
    <s v="Carey"/>
    <x v="294"/>
    <s v="julie.carey.296@gslingacademy.com"/>
    <x v="1"/>
    <x v="0"/>
    <n v="2"/>
    <x v="1"/>
    <n v="15"/>
    <x v="2"/>
    <n v="68"/>
    <s v="B"/>
    <n v="89"/>
    <s v="A"/>
    <n v="68"/>
    <s v="B"/>
    <n v="90"/>
    <s v="A+"/>
    <n v="68"/>
    <s v="B"/>
    <n v="99"/>
    <s v="A+"/>
    <n v="74"/>
    <s v="B+"/>
    <n v="556"/>
    <n v="79.428571428571431"/>
    <x v="2"/>
    <n v="1224"/>
    <x v="1"/>
  </r>
  <r>
    <n v="297"/>
    <s v="Barbara"/>
    <s v="Andrews"/>
    <x v="295"/>
    <s v="barbara.andrews.297@gslingacademy.com"/>
    <x v="1"/>
    <x v="0"/>
    <n v="3"/>
    <x v="0"/>
    <n v="31"/>
    <x v="11"/>
    <n v="92"/>
    <s v="A+"/>
    <n v="69"/>
    <s v="B"/>
    <n v="78"/>
    <s v="A-"/>
    <n v="68"/>
    <s v="B"/>
    <n v="70"/>
    <s v="B+"/>
    <n v="80"/>
    <s v="A"/>
    <n v="73"/>
    <s v="B+"/>
    <n v="530"/>
    <n v="75.714285714285708"/>
    <x v="2"/>
    <n v="1646"/>
    <x v="0"/>
  </r>
  <r>
    <n v="298"/>
    <s v="Tracy"/>
    <s v="Johnson"/>
    <x v="296"/>
    <s v="tracy.johnson.298@gslingacademy.com"/>
    <x v="0"/>
    <x v="0"/>
    <n v="2"/>
    <x v="0"/>
    <n v="2"/>
    <x v="14"/>
    <n v="97"/>
    <s v="A+"/>
    <n v="74"/>
    <s v="B+"/>
    <n v="97"/>
    <s v="A+"/>
    <n v="60"/>
    <s v="B-"/>
    <n v="65"/>
    <s v="B"/>
    <n v="90"/>
    <s v="A+"/>
    <n v="97"/>
    <s v="A+"/>
    <n v="580"/>
    <n v="82.857142857142861"/>
    <x v="0"/>
    <n v="709"/>
    <x v="1"/>
  </r>
  <r>
    <n v="299"/>
    <s v="Sarah"/>
    <s v="Oconnor"/>
    <x v="297"/>
    <s v="sarah.oconnor.299@gslingacademy.com"/>
    <x v="1"/>
    <x v="0"/>
    <n v="1"/>
    <x v="0"/>
    <n v="2"/>
    <x v="4"/>
    <n v="81"/>
    <s v="A"/>
    <n v="92"/>
    <s v="A+"/>
    <n v="94"/>
    <s v="A+"/>
    <n v="77"/>
    <s v="A-"/>
    <n v="84"/>
    <s v="A"/>
    <n v="63"/>
    <s v="B-"/>
    <n v="64"/>
    <s v="B-"/>
    <n v="555"/>
    <n v="79.285714285714292"/>
    <x v="2"/>
    <n v="1245"/>
    <x v="1"/>
  </r>
  <r>
    <n v="300"/>
    <s v="Joseph"/>
    <s v="Landry"/>
    <x v="298"/>
    <s v="joseph.landry.300@gslingacademy.com"/>
    <x v="0"/>
    <x v="0"/>
    <n v="3"/>
    <x v="0"/>
    <n v="20"/>
    <x v="5"/>
    <n v="88"/>
    <s v="A"/>
    <n v="60"/>
    <s v="B-"/>
    <n v="81"/>
    <s v="A"/>
    <n v="85"/>
    <s v="A"/>
    <n v="87"/>
    <s v="A"/>
    <n v="90"/>
    <s v="A+"/>
    <n v="76"/>
    <s v="A-"/>
    <n v="567"/>
    <n v="81"/>
    <x v="0"/>
    <n v="994"/>
    <x v="0"/>
  </r>
  <r>
    <n v="301"/>
    <s v="Terry"/>
    <s v="Chen"/>
    <x v="299"/>
    <s v="terry.chen.301@gslingacademy.com"/>
    <x v="0"/>
    <x v="0"/>
    <n v="1"/>
    <x v="1"/>
    <n v="11"/>
    <x v="15"/>
    <n v="76"/>
    <s v="A-"/>
    <n v="82"/>
    <s v="A"/>
    <n v="70"/>
    <s v="B+"/>
    <n v="72"/>
    <s v="B+"/>
    <n v="78"/>
    <s v="A-"/>
    <n v="60"/>
    <s v="B-"/>
    <n v="81"/>
    <s v="A"/>
    <n v="519"/>
    <n v="74.142857142857139"/>
    <x v="3"/>
    <n v="1766"/>
    <x v="1"/>
  </r>
  <r>
    <n v="302"/>
    <s v="Heather"/>
    <s v="Faulkner"/>
    <x v="300"/>
    <s v="heather.faulkner.302@gslingacademy.com"/>
    <x v="1"/>
    <x v="0"/>
    <n v="10"/>
    <x v="0"/>
    <n v="26"/>
    <x v="9"/>
    <n v="77"/>
    <s v="A-"/>
    <n v="62"/>
    <s v="B-"/>
    <n v="97"/>
    <s v="A+"/>
    <n v="82"/>
    <s v="A"/>
    <n v="74"/>
    <s v="B+"/>
    <n v="98"/>
    <s v="A+"/>
    <n v="95"/>
    <s v="A+"/>
    <n v="585"/>
    <n v="83.571428571428569"/>
    <x v="0"/>
    <n v="615"/>
    <x v="2"/>
  </r>
  <r>
    <n v="303"/>
    <s v="Wanda"/>
    <s v="Baxter"/>
    <x v="301"/>
    <s v="wanda.baxter.303@gslingacademy.com"/>
    <x v="1"/>
    <x v="0"/>
    <n v="3"/>
    <x v="0"/>
    <n v="22"/>
    <x v="11"/>
    <n v="89"/>
    <s v="A"/>
    <n v="81"/>
    <s v="A"/>
    <n v="99"/>
    <s v="A+"/>
    <n v="71"/>
    <s v="B+"/>
    <n v="67"/>
    <s v="B"/>
    <n v="74"/>
    <s v="B+"/>
    <n v="89"/>
    <s v="A"/>
    <n v="570"/>
    <n v="81.428571428571431"/>
    <x v="0"/>
    <n v="937"/>
    <x v="0"/>
  </r>
  <r>
    <n v="304"/>
    <s v="Amanda"/>
    <s v="Davis"/>
    <x v="302"/>
    <s v="amanda.davis.304@gslingacademy.com"/>
    <x v="1"/>
    <x v="0"/>
    <n v="1"/>
    <x v="1"/>
    <n v="12"/>
    <x v="2"/>
    <n v="65"/>
    <s v="B"/>
    <n v="69"/>
    <s v="B"/>
    <n v="66"/>
    <s v="B"/>
    <n v="65"/>
    <s v="B"/>
    <n v="90"/>
    <s v="A+"/>
    <n v="76"/>
    <s v="A-"/>
    <n v="60"/>
    <s v="B-"/>
    <n v="491"/>
    <n v="70.142857142857139"/>
    <x v="3"/>
    <n v="1907"/>
    <x v="1"/>
  </r>
  <r>
    <n v="305"/>
    <s v="Gina"/>
    <s v="Powell"/>
    <x v="303"/>
    <s v="gina.powell.305@gslingacademy.com"/>
    <x v="1"/>
    <x v="1"/>
    <n v="10"/>
    <x v="0"/>
    <n v="4"/>
    <x v="7"/>
    <n v="82"/>
    <s v="A"/>
    <n v="55"/>
    <s v="C"/>
    <n v="76"/>
    <s v="A-"/>
    <n v="63"/>
    <s v="B-"/>
    <n v="70"/>
    <s v="B+"/>
    <n v="61"/>
    <s v="B-"/>
    <n v="60"/>
    <s v="B-"/>
    <n v="467"/>
    <n v="66.714285714285708"/>
    <x v="4"/>
    <n v="1967"/>
    <x v="2"/>
  </r>
  <r>
    <n v="306"/>
    <s v="Sabrina"/>
    <s v="Hall"/>
    <x v="304"/>
    <s v="sabrina.hall.306@gslingacademy.com"/>
    <x v="1"/>
    <x v="0"/>
    <n v="3"/>
    <x v="0"/>
    <n v="34"/>
    <x v="9"/>
    <n v="77"/>
    <s v="A-"/>
    <n v="60"/>
    <s v="B-"/>
    <n v="61"/>
    <s v="B-"/>
    <n v="91"/>
    <s v="A+"/>
    <n v="62"/>
    <s v="B-"/>
    <n v="78"/>
    <s v="A-"/>
    <n v="91"/>
    <s v="A+"/>
    <n v="520"/>
    <n v="74.285714285714292"/>
    <x v="3"/>
    <n v="1753"/>
    <x v="0"/>
  </r>
  <r>
    <n v="307"/>
    <s v="Lauren"/>
    <s v="Miller"/>
    <x v="305"/>
    <s v="lauren.miller.307@gslingacademy.com"/>
    <x v="1"/>
    <x v="0"/>
    <n v="0"/>
    <x v="0"/>
    <n v="9"/>
    <x v="6"/>
    <n v="66"/>
    <s v="B"/>
    <n v="70"/>
    <s v="B+"/>
    <n v="88"/>
    <s v="A"/>
    <n v="70"/>
    <s v="B+"/>
    <n v="62"/>
    <s v="B-"/>
    <n v="70"/>
    <s v="B+"/>
    <n v="75"/>
    <s v="A-"/>
    <n v="501"/>
    <n v="71.571428571428569"/>
    <x v="3"/>
    <n v="1872"/>
    <x v="1"/>
  </r>
  <r>
    <n v="308"/>
    <s v="Jessica"/>
    <s v="Diaz"/>
    <x v="306"/>
    <s v="jessica.diaz.308@gslingacademy.com"/>
    <x v="1"/>
    <x v="0"/>
    <n v="5"/>
    <x v="0"/>
    <n v="43"/>
    <x v="1"/>
    <n v="90"/>
    <s v="A+"/>
    <n v="96"/>
    <s v="A+"/>
    <n v="100"/>
    <s v="A+"/>
    <n v="87"/>
    <s v="A"/>
    <n v="100"/>
    <s v="A+"/>
    <n v="90"/>
    <s v="A+"/>
    <n v="89"/>
    <s v="A"/>
    <n v="652"/>
    <n v="93.142857142857139"/>
    <x v="1"/>
    <n v="46"/>
    <x v="0"/>
  </r>
  <r>
    <n v="309"/>
    <s v="Ashley"/>
    <s v="Garcia"/>
    <x v="307"/>
    <s v="ashley.garcia.309@gslingacademy.com"/>
    <x v="1"/>
    <x v="0"/>
    <n v="2"/>
    <x v="0"/>
    <n v="1"/>
    <x v="16"/>
    <n v="73"/>
    <s v="B+"/>
    <n v="87"/>
    <s v="A"/>
    <n v="90"/>
    <s v="A+"/>
    <n v="96"/>
    <s v="A+"/>
    <n v="61"/>
    <s v="B-"/>
    <n v="61"/>
    <s v="B-"/>
    <n v="76"/>
    <s v="A-"/>
    <n v="544"/>
    <n v="77.714285714285708"/>
    <x v="2"/>
    <n v="1446"/>
    <x v="1"/>
  </r>
  <r>
    <n v="310"/>
    <s v="Miranda"/>
    <s v="Johnson"/>
    <x v="308"/>
    <s v="miranda.johnson.310@gslingacademy.com"/>
    <x v="1"/>
    <x v="0"/>
    <n v="2"/>
    <x v="0"/>
    <n v="19"/>
    <x v="5"/>
    <n v="89"/>
    <s v="A"/>
    <n v="64"/>
    <s v="B-"/>
    <n v="74"/>
    <s v="B+"/>
    <n v="97"/>
    <s v="A+"/>
    <n v="95"/>
    <s v="A+"/>
    <n v="77"/>
    <s v="A-"/>
    <n v="88"/>
    <s v="A"/>
    <n v="584"/>
    <n v="83.428571428571431"/>
    <x v="0"/>
    <n v="635"/>
    <x v="1"/>
  </r>
  <r>
    <n v="311"/>
    <s v="Tracy"/>
    <s v="Johnston"/>
    <x v="309"/>
    <s v="tracy.johnston.311@gslingacademy.com"/>
    <x v="1"/>
    <x v="1"/>
    <n v="4"/>
    <x v="0"/>
    <n v="2"/>
    <x v="7"/>
    <n v="72"/>
    <s v="B+"/>
    <n v="55"/>
    <s v="C"/>
    <n v="54"/>
    <s v="C"/>
    <n v="62"/>
    <s v="B-"/>
    <n v="75"/>
    <s v="A-"/>
    <n v="79"/>
    <s v="A-"/>
    <n v="96"/>
    <s v="A+"/>
    <n v="493"/>
    <n v="70.428571428571431"/>
    <x v="3"/>
    <n v="1903"/>
    <x v="0"/>
  </r>
  <r>
    <n v="312"/>
    <s v="Erik"/>
    <s v="Butler"/>
    <x v="310"/>
    <s v="erik.butler.312@gslingacademy.com"/>
    <x v="0"/>
    <x v="0"/>
    <n v="1"/>
    <x v="0"/>
    <n v="34"/>
    <x v="8"/>
    <n v="87"/>
    <s v="A"/>
    <n v="90"/>
    <s v="A+"/>
    <n v="89"/>
    <s v="A"/>
    <n v="88"/>
    <s v="A"/>
    <n v="93"/>
    <s v="A+"/>
    <n v="87"/>
    <s v="A"/>
    <n v="70"/>
    <s v="B+"/>
    <n v="604"/>
    <n v="86.285714285714292"/>
    <x v="0"/>
    <n v="353"/>
    <x v="1"/>
  </r>
  <r>
    <n v="313"/>
    <s v="Tiffany"/>
    <s v="Jones"/>
    <x v="311"/>
    <s v="tiffany.jones.313@gslingacademy.com"/>
    <x v="1"/>
    <x v="0"/>
    <n v="4"/>
    <x v="1"/>
    <n v="31"/>
    <x v="8"/>
    <n v="75"/>
    <s v="A-"/>
    <n v="98"/>
    <s v="A+"/>
    <n v="96"/>
    <s v="A+"/>
    <n v="85"/>
    <s v="A"/>
    <n v="81"/>
    <s v="A"/>
    <n v="69"/>
    <s v="B"/>
    <n v="90"/>
    <s v="A+"/>
    <n v="594"/>
    <n v="84.857142857142861"/>
    <x v="0"/>
    <n v="479"/>
    <x v="0"/>
  </r>
  <r>
    <n v="314"/>
    <s v="Brandy"/>
    <s v="Campbell"/>
    <x v="312"/>
    <s v="brandy.campbell.314@gslingacademy.com"/>
    <x v="1"/>
    <x v="0"/>
    <n v="4"/>
    <x v="0"/>
    <n v="11"/>
    <x v="6"/>
    <n v="80"/>
    <s v="A"/>
    <n v="85"/>
    <s v="A"/>
    <n v="98"/>
    <s v="A+"/>
    <n v="99"/>
    <s v="A+"/>
    <n v="92"/>
    <s v="A+"/>
    <n v="70"/>
    <s v="B+"/>
    <n v="96"/>
    <s v="A+"/>
    <n v="620"/>
    <n v="88.571428571428569"/>
    <x v="0"/>
    <n v="215"/>
    <x v="0"/>
  </r>
  <r>
    <n v="315"/>
    <s v="Joel"/>
    <s v="Hicks"/>
    <x v="313"/>
    <s v="joel.hicks.315@gslingacademy.com"/>
    <x v="0"/>
    <x v="0"/>
    <n v="2"/>
    <x v="0"/>
    <n v="35"/>
    <x v="4"/>
    <n v="85"/>
    <s v="A"/>
    <n v="87"/>
    <s v="A"/>
    <n v="87"/>
    <s v="A"/>
    <n v="90"/>
    <s v="A+"/>
    <n v="91"/>
    <s v="A+"/>
    <n v="91"/>
    <s v="A+"/>
    <n v="99"/>
    <s v="A+"/>
    <n v="630"/>
    <n v="90"/>
    <x v="1"/>
    <n v="154"/>
    <x v="1"/>
  </r>
  <r>
    <n v="316"/>
    <s v="John"/>
    <s v="Miller"/>
    <x v="314"/>
    <s v="john.miller.316@gslingacademy.com"/>
    <x v="0"/>
    <x v="0"/>
    <n v="4"/>
    <x v="0"/>
    <n v="20"/>
    <x v="5"/>
    <n v="92"/>
    <s v="A+"/>
    <n v="93"/>
    <s v="A+"/>
    <n v="74"/>
    <s v="B+"/>
    <n v="76"/>
    <s v="A-"/>
    <n v="79"/>
    <s v="A-"/>
    <n v="65"/>
    <s v="B"/>
    <n v="74"/>
    <s v="B+"/>
    <n v="553"/>
    <n v="79"/>
    <x v="2"/>
    <n v="1284"/>
    <x v="0"/>
  </r>
  <r>
    <n v="317"/>
    <s v="Nancy"/>
    <s v="Jones"/>
    <x v="315"/>
    <s v="nancy.jones.317@gslingacademy.com"/>
    <x v="1"/>
    <x v="1"/>
    <n v="0"/>
    <x v="0"/>
    <n v="22"/>
    <x v="4"/>
    <n v="63"/>
    <s v="B-"/>
    <n v="60"/>
    <s v="B-"/>
    <n v="92"/>
    <s v="A+"/>
    <n v="88"/>
    <s v="A"/>
    <n v="90"/>
    <s v="A+"/>
    <n v="68"/>
    <s v="B"/>
    <n v="100"/>
    <s v="A+"/>
    <n v="561"/>
    <n v="80.142857142857139"/>
    <x v="0"/>
    <n v="1120"/>
    <x v="1"/>
  </r>
  <r>
    <n v="318"/>
    <s v="Jody"/>
    <s v="Mueller"/>
    <x v="316"/>
    <s v="jody.mueller.318@gslingacademy.com"/>
    <x v="1"/>
    <x v="0"/>
    <n v="3"/>
    <x v="0"/>
    <n v="2"/>
    <x v="14"/>
    <n v="99"/>
    <s v="A+"/>
    <n v="99"/>
    <s v="A+"/>
    <n v="87"/>
    <s v="A"/>
    <n v="80"/>
    <s v="A"/>
    <n v="89"/>
    <s v="A"/>
    <n v="78"/>
    <s v="A-"/>
    <n v="87"/>
    <s v="A"/>
    <n v="619"/>
    <n v="88.428571428571431"/>
    <x v="0"/>
    <n v="221"/>
    <x v="0"/>
  </r>
  <r>
    <n v="319"/>
    <s v="Steven"/>
    <s v="Fox"/>
    <x v="317"/>
    <s v="steven.fox.319@gslingacademy.com"/>
    <x v="0"/>
    <x v="0"/>
    <n v="7"/>
    <x v="0"/>
    <n v="1"/>
    <x v="7"/>
    <n v="87"/>
    <s v="A"/>
    <n v="88"/>
    <s v="A"/>
    <n v="51"/>
    <s v="C"/>
    <n v="96"/>
    <s v="A+"/>
    <n v="77"/>
    <s v="A-"/>
    <n v="71"/>
    <s v="B+"/>
    <n v="61"/>
    <s v="B-"/>
    <n v="531"/>
    <n v="75.857142857142861"/>
    <x v="2"/>
    <n v="1637"/>
    <x v="2"/>
  </r>
  <r>
    <n v="320"/>
    <s v="Taylor"/>
    <s v="Klein"/>
    <x v="318"/>
    <s v="taylor.klein.320@gslingacademy.com"/>
    <x v="1"/>
    <x v="0"/>
    <n v="4"/>
    <x v="0"/>
    <n v="34"/>
    <x v="5"/>
    <n v="87"/>
    <s v="A"/>
    <n v="84"/>
    <s v="A"/>
    <n v="62"/>
    <s v="B-"/>
    <n v="76"/>
    <s v="A-"/>
    <n v="89"/>
    <s v="A"/>
    <n v="83"/>
    <s v="A"/>
    <n v="93"/>
    <s v="A+"/>
    <n v="574"/>
    <n v="82"/>
    <x v="0"/>
    <n v="832"/>
    <x v="0"/>
  </r>
  <r>
    <n v="321"/>
    <s v="David"/>
    <s v="Barron"/>
    <x v="319"/>
    <s v="david.barron.321@gslingacademy.com"/>
    <x v="0"/>
    <x v="1"/>
    <n v="6"/>
    <x v="0"/>
    <n v="17"/>
    <x v="5"/>
    <n v="90"/>
    <s v="A+"/>
    <n v="75"/>
    <s v="A-"/>
    <n v="71"/>
    <s v="B+"/>
    <n v="64"/>
    <s v="B-"/>
    <n v="97"/>
    <s v="A+"/>
    <n v="89"/>
    <s v="A"/>
    <n v="88"/>
    <s v="A"/>
    <n v="574"/>
    <n v="82"/>
    <x v="0"/>
    <n v="832"/>
    <x v="0"/>
  </r>
  <r>
    <n v="322"/>
    <s v="Kevin"/>
    <s v="Thompson"/>
    <x v="320"/>
    <s v="kevin.thompson.322@gslingacademy.com"/>
    <x v="0"/>
    <x v="0"/>
    <n v="6"/>
    <x v="0"/>
    <n v="34"/>
    <x v="1"/>
    <n v="94"/>
    <s v="A+"/>
    <n v="83"/>
    <s v="A"/>
    <n v="99"/>
    <s v="A+"/>
    <n v="100"/>
    <s v="A+"/>
    <n v="94"/>
    <s v="A+"/>
    <n v="91"/>
    <s v="A+"/>
    <n v="69"/>
    <s v="B"/>
    <n v="630"/>
    <n v="90"/>
    <x v="1"/>
    <n v="154"/>
    <x v="0"/>
  </r>
  <r>
    <n v="323"/>
    <s v="Andrea"/>
    <s v="Walters"/>
    <x v="321"/>
    <s v="andrea.walters.323@gslingacademy.com"/>
    <x v="1"/>
    <x v="1"/>
    <n v="5"/>
    <x v="0"/>
    <n v="25"/>
    <x v="4"/>
    <n v="86"/>
    <s v="A"/>
    <n v="76"/>
    <s v="A-"/>
    <n v="81"/>
    <s v="A"/>
    <n v="83"/>
    <s v="A"/>
    <n v="81"/>
    <s v="A"/>
    <n v="70"/>
    <s v="B+"/>
    <n v="65"/>
    <s v="B"/>
    <n v="542"/>
    <n v="77.428571428571431"/>
    <x v="2"/>
    <n v="1478"/>
    <x v="0"/>
  </r>
  <r>
    <n v="324"/>
    <s v="David"/>
    <s v="Wright"/>
    <x v="322"/>
    <s v="david.wright.324@gslingacademy.com"/>
    <x v="0"/>
    <x v="0"/>
    <n v="3"/>
    <x v="0"/>
    <n v="8"/>
    <x v="4"/>
    <n v="96"/>
    <s v="A+"/>
    <n v="81"/>
    <s v="A"/>
    <n v="95"/>
    <s v="A+"/>
    <n v="78"/>
    <s v="A-"/>
    <n v="79"/>
    <s v="A-"/>
    <n v="65"/>
    <s v="B"/>
    <n v="86"/>
    <s v="A"/>
    <n v="580"/>
    <n v="82.857142857142861"/>
    <x v="0"/>
    <n v="709"/>
    <x v="0"/>
  </r>
  <r>
    <n v="325"/>
    <s v="Anthony"/>
    <s v="Oconnor"/>
    <x v="323"/>
    <s v="anthony.oconnor.325@gslingacademy.com"/>
    <x v="0"/>
    <x v="0"/>
    <n v="3"/>
    <x v="0"/>
    <n v="4"/>
    <x v="4"/>
    <n v="75"/>
    <s v="A-"/>
    <n v="69"/>
    <s v="B"/>
    <n v="85"/>
    <s v="A"/>
    <n v="73"/>
    <s v="B+"/>
    <n v="79"/>
    <s v="A-"/>
    <n v="93"/>
    <s v="A+"/>
    <n v="74"/>
    <s v="B+"/>
    <n v="548"/>
    <n v="78.285714285714292"/>
    <x v="2"/>
    <n v="1374"/>
    <x v="0"/>
  </r>
  <r>
    <n v="326"/>
    <s v="Laura"/>
    <s v="Miller"/>
    <x v="324"/>
    <s v="laura.miller.326@gslingacademy.com"/>
    <x v="1"/>
    <x v="0"/>
    <n v="1"/>
    <x v="1"/>
    <n v="26"/>
    <x v="0"/>
    <n v="74"/>
    <s v="B+"/>
    <n v="92"/>
    <s v="A+"/>
    <n v="81"/>
    <s v="A"/>
    <n v="79"/>
    <s v="A-"/>
    <n v="74"/>
    <s v="B+"/>
    <n v="85"/>
    <s v="A"/>
    <n v="86"/>
    <s v="A"/>
    <n v="571"/>
    <n v="81.571428571428569"/>
    <x v="0"/>
    <n v="915"/>
    <x v="1"/>
  </r>
  <r>
    <n v="327"/>
    <s v="Steven"/>
    <s v="Barrett"/>
    <x v="325"/>
    <s v="steven.barrett.327@gslingacademy.com"/>
    <x v="0"/>
    <x v="0"/>
    <n v="1"/>
    <x v="0"/>
    <n v="13"/>
    <x v="10"/>
    <n v="96"/>
    <s v="A+"/>
    <n v="91"/>
    <s v="A+"/>
    <n v="96"/>
    <s v="A+"/>
    <n v="69"/>
    <s v="B"/>
    <n v="70"/>
    <s v="B+"/>
    <n v="99"/>
    <s v="A+"/>
    <n v="70"/>
    <s v="B+"/>
    <n v="591"/>
    <n v="84.428571428571431"/>
    <x v="0"/>
    <n v="515"/>
    <x v="1"/>
  </r>
  <r>
    <n v="328"/>
    <s v="Miranda"/>
    <s v="Ruiz"/>
    <x v="326"/>
    <s v="miranda.ruiz.328@gslingacademy.com"/>
    <x v="1"/>
    <x v="0"/>
    <n v="1"/>
    <x v="1"/>
    <n v="4"/>
    <x v="2"/>
    <n v="79"/>
    <s v="A-"/>
    <n v="77"/>
    <s v="A-"/>
    <n v="62"/>
    <s v="B-"/>
    <n v="98"/>
    <s v="A+"/>
    <n v="76"/>
    <s v="A-"/>
    <n v="99"/>
    <s v="A+"/>
    <n v="82"/>
    <s v="A"/>
    <n v="573"/>
    <n v="81.857142857142861"/>
    <x v="0"/>
    <n v="864"/>
    <x v="1"/>
  </r>
  <r>
    <n v="329"/>
    <s v="Matthew"/>
    <s v="Anderson"/>
    <x v="327"/>
    <s v="matthew.anderson.329@gslingacademy.com"/>
    <x v="0"/>
    <x v="0"/>
    <n v="2"/>
    <x v="0"/>
    <n v="27"/>
    <x v="0"/>
    <n v="70"/>
    <s v="B+"/>
    <n v="88"/>
    <s v="A"/>
    <n v="60"/>
    <s v="B-"/>
    <n v="68"/>
    <s v="B"/>
    <n v="66"/>
    <s v="B"/>
    <n v="82"/>
    <s v="A"/>
    <n v="60"/>
    <s v="B-"/>
    <n v="494"/>
    <n v="70.571428571428569"/>
    <x v="3"/>
    <n v="1897"/>
    <x v="1"/>
  </r>
  <r>
    <n v="330"/>
    <s v="Kenneth"/>
    <s v="Flores"/>
    <x v="328"/>
    <s v="kenneth.flores.330@gslingacademy.com"/>
    <x v="0"/>
    <x v="0"/>
    <n v="5"/>
    <x v="0"/>
    <n v="32"/>
    <x v="4"/>
    <n v="79"/>
    <s v="A-"/>
    <n v="91"/>
    <s v="A+"/>
    <n v="62"/>
    <s v="B-"/>
    <n v="87"/>
    <s v="A"/>
    <n v="80"/>
    <s v="A"/>
    <n v="65"/>
    <s v="B"/>
    <n v="94"/>
    <s v="A+"/>
    <n v="558"/>
    <n v="79.714285714285708"/>
    <x v="2"/>
    <n v="1178"/>
    <x v="0"/>
  </r>
  <r>
    <n v="331"/>
    <s v="Sydney"/>
    <s v="Johnson"/>
    <x v="329"/>
    <s v="sydney.johnson.331@gslingacademy.com"/>
    <x v="1"/>
    <x v="0"/>
    <n v="1"/>
    <x v="0"/>
    <n v="25"/>
    <x v="5"/>
    <n v="91"/>
    <s v="A+"/>
    <n v="65"/>
    <s v="B"/>
    <n v="86"/>
    <s v="A"/>
    <n v="66"/>
    <s v="B"/>
    <n v="88"/>
    <s v="A"/>
    <n v="85"/>
    <s v="A"/>
    <n v="60"/>
    <s v="B-"/>
    <n v="541"/>
    <n v="77.285714285714292"/>
    <x v="2"/>
    <n v="1493"/>
    <x v="1"/>
  </r>
  <r>
    <n v="332"/>
    <s v="Carla"/>
    <s v="Lewis"/>
    <x v="330"/>
    <s v="carla.lewis.332@gslingacademy.com"/>
    <x v="1"/>
    <x v="0"/>
    <n v="1"/>
    <x v="0"/>
    <n v="13"/>
    <x v="12"/>
    <n v="90"/>
    <s v="A+"/>
    <n v="72"/>
    <s v="B+"/>
    <n v="78"/>
    <s v="A-"/>
    <n v="61"/>
    <s v="B-"/>
    <n v="78"/>
    <s v="A-"/>
    <n v="88"/>
    <s v="A"/>
    <n v="74"/>
    <s v="B+"/>
    <n v="541"/>
    <n v="77.285714285714292"/>
    <x v="2"/>
    <n v="1493"/>
    <x v="1"/>
  </r>
  <r>
    <n v="333"/>
    <s v="Jeffrey"/>
    <s v="Shannon"/>
    <x v="331"/>
    <s v="jeffrey.shannon.333@gslingacademy.com"/>
    <x v="0"/>
    <x v="0"/>
    <n v="1"/>
    <x v="0"/>
    <n v="31"/>
    <x v="13"/>
    <n v="87"/>
    <s v="A"/>
    <n v="100"/>
    <s v="A+"/>
    <n v="86"/>
    <s v="A"/>
    <n v="60"/>
    <s v="B-"/>
    <n v="80"/>
    <s v="A"/>
    <n v="78"/>
    <s v="A-"/>
    <n v="96"/>
    <s v="A+"/>
    <n v="587"/>
    <n v="83.857142857142861"/>
    <x v="0"/>
    <n v="583"/>
    <x v="1"/>
  </r>
  <r>
    <n v="334"/>
    <s v="Angela"/>
    <s v="Park"/>
    <x v="332"/>
    <s v="angela.park.334@gslingacademy.com"/>
    <x v="1"/>
    <x v="0"/>
    <n v="3"/>
    <x v="0"/>
    <n v="8"/>
    <x v="6"/>
    <n v="69"/>
    <s v="B"/>
    <n v="99"/>
    <s v="A+"/>
    <n v="78"/>
    <s v="A-"/>
    <n v="85"/>
    <s v="A"/>
    <n v="98"/>
    <s v="A+"/>
    <n v="86"/>
    <s v="A"/>
    <n v="73"/>
    <s v="B+"/>
    <n v="588"/>
    <n v="84"/>
    <x v="0"/>
    <n v="565"/>
    <x v="0"/>
  </r>
  <r>
    <n v="335"/>
    <s v="Brandon"/>
    <s v="Smith"/>
    <x v="333"/>
    <s v="brandon.smith.335@gslingacademy.com"/>
    <x v="0"/>
    <x v="1"/>
    <n v="9"/>
    <x v="0"/>
    <n v="0"/>
    <x v="7"/>
    <n v="66"/>
    <s v="B"/>
    <n v="99"/>
    <s v="A+"/>
    <n v="50"/>
    <s v="C"/>
    <n v="62"/>
    <s v="B-"/>
    <n v="97"/>
    <s v="A+"/>
    <n v="60"/>
    <s v="B-"/>
    <n v="84"/>
    <s v="A"/>
    <n v="518"/>
    <n v="74"/>
    <x v="3"/>
    <n v="1775"/>
    <x v="2"/>
  </r>
  <r>
    <n v="336"/>
    <s v="Kenneth"/>
    <s v="Moody"/>
    <x v="334"/>
    <s v="kenneth.moody.336@gslingacademy.com"/>
    <x v="0"/>
    <x v="0"/>
    <n v="7"/>
    <x v="0"/>
    <n v="6"/>
    <x v="2"/>
    <n v="65"/>
    <s v="B"/>
    <n v="95"/>
    <s v="A+"/>
    <n v="78"/>
    <s v="A-"/>
    <n v="65"/>
    <s v="B"/>
    <n v="74"/>
    <s v="B+"/>
    <n v="69"/>
    <s v="B"/>
    <n v="63"/>
    <s v="B-"/>
    <n v="509"/>
    <n v="72.714285714285708"/>
    <x v="3"/>
    <n v="1835"/>
    <x v="2"/>
  </r>
  <r>
    <n v="337"/>
    <s v="Scott"/>
    <s v="Hughes"/>
    <x v="335"/>
    <s v="scott.hughes.337@gslingacademy.com"/>
    <x v="0"/>
    <x v="0"/>
    <n v="2"/>
    <x v="0"/>
    <n v="7"/>
    <x v="2"/>
    <n v="83"/>
    <s v="A"/>
    <n v="81"/>
    <s v="A"/>
    <n v="88"/>
    <s v="A"/>
    <n v="82"/>
    <s v="A"/>
    <n v="97"/>
    <s v="A+"/>
    <n v="83"/>
    <s v="A"/>
    <n v="74"/>
    <s v="B+"/>
    <n v="588"/>
    <n v="84"/>
    <x v="0"/>
    <n v="565"/>
    <x v="1"/>
  </r>
  <r>
    <n v="338"/>
    <s v="Cody"/>
    <s v="Jimenez"/>
    <x v="336"/>
    <s v="cody.jimenez.338@gslingacademy.com"/>
    <x v="0"/>
    <x v="0"/>
    <n v="1"/>
    <x v="0"/>
    <n v="32"/>
    <x v="0"/>
    <n v="100"/>
    <s v="A+"/>
    <n v="89"/>
    <s v="A"/>
    <n v="95"/>
    <s v="A+"/>
    <n v="63"/>
    <s v="B-"/>
    <n v="67"/>
    <s v="B"/>
    <n v="92"/>
    <s v="A+"/>
    <n v="75"/>
    <s v="A-"/>
    <n v="581"/>
    <n v="83"/>
    <x v="0"/>
    <n v="688"/>
    <x v="1"/>
  </r>
  <r>
    <n v="339"/>
    <s v="Allen"/>
    <s v="Farmer"/>
    <x v="337"/>
    <s v="allen.farmer.339@gslingacademy.com"/>
    <x v="0"/>
    <x v="0"/>
    <n v="5"/>
    <x v="1"/>
    <n v="30"/>
    <x v="5"/>
    <n v="85"/>
    <s v="A"/>
    <n v="70"/>
    <s v="B+"/>
    <n v="78"/>
    <s v="A-"/>
    <n v="66"/>
    <s v="B"/>
    <n v="69"/>
    <s v="B"/>
    <n v="62"/>
    <s v="B-"/>
    <n v="100"/>
    <s v="A+"/>
    <n v="530"/>
    <n v="75.714285714285708"/>
    <x v="2"/>
    <n v="1646"/>
    <x v="0"/>
  </r>
  <r>
    <n v="340"/>
    <s v="James"/>
    <s v="Young"/>
    <x v="338"/>
    <s v="james.young.340@gslingacademy.com"/>
    <x v="0"/>
    <x v="0"/>
    <n v="9"/>
    <x v="0"/>
    <n v="4"/>
    <x v="7"/>
    <n v="45"/>
    <s v="D"/>
    <n v="98"/>
    <s v="A+"/>
    <n v="95"/>
    <s v="A+"/>
    <n v="66"/>
    <s v="B"/>
    <n v="84"/>
    <s v="A"/>
    <n v="83"/>
    <s v="A"/>
    <n v="100"/>
    <s v="A+"/>
    <n v="571"/>
    <n v="81.571428571428569"/>
    <x v="0"/>
    <n v="915"/>
    <x v="2"/>
  </r>
  <r>
    <n v="341"/>
    <s v="Laura"/>
    <s v="Dawson"/>
    <x v="339"/>
    <s v="laura.dawson.341@gslingacademy.com"/>
    <x v="1"/>
    <x v="0"/>
    <n v="5"/>
    <x v="0"/>
    <n v="15"/>
    <x v="2"/>
    <n v="73"/>
    <s v="B+"/>
    <n v="75"/>
    <s v="A-"/>
    <n v="94"/>
    <s v="A+"/>
    <n v="82"/>
    <s v="A"/>
    <n v="71"/>
    <s v="B+"/>
    <n v="90"/>
    <s v="A+"/>
    <n v="75"/>
    <s v="A-"/>
    <n v="560"/>
    <n v="80"/>
    <x v="0"/>
    <n v="1134"/>
    <x v="0"/>
  </r>
  <r>
    <n v="342"/>
    <s v="Donald"/>
    <s v="Carson"/>
    <x v="340"/>
    <s v="donald.carson.342@gslingacademy.com"/>
    <x v="0"/>
    <x v="0"/>
    <n v="2"/>
    <x v="0"/>
    <n v="2"/>
    <x v="14"/>
    <n v="95"/>
    <s v="A+"/>
    <n v="83"/>
    <s v="A"/>
    <n v="96"/>
    <s v="A+"/>
    <n v="97"/>
    <s v="A+"/>
    <n v="72"/>
    <s v="B+"/>
    <n v="77"/>
    <s v="A-"/>
    <n v="61"/>
    <s v="B-"/>
    <n v="581"/>
    <n v="83"/>
    <x v="0"/>
    <n v="688"/>
    <x v="1"/>
  </r>
  <r>
    <n v="343"/>
    <s v="Wayne"/>
    <s v="Lane"/>
    <x v="341"/>
    <s v="wayne.lane.343@gslingacademy.com"/>
    <x v="0"/>
    <x v="0"/>
    <n v="8"/>
    <x v="1"/>
    <n v="32"/>
    <x v="0"/>
    <n v="96"/>
    <s v="A+"/>
    <n v="95"/>
    <s v="A+"/>
    <n v="61"/>
    <s v="B-"/>
    <n v="72"/>
    <s v="B+"/>
    <n v="71"/>
    <s v="B+"/>
    <n v="83"/>
    <s v="A"/>
    <n v="96"/>
    <s v="A+"/>
    <n v="574"/>
    <n v="82"/>
    <x v="0"/>
    <n v="832"/>
    <x v="2"/>
  </r>
  <r>
    <n v="344"/>
    <s v="Robert"/>
    <s v="Johnson"/>
    <x v="342"/>
    <s v="robert.johnson.344@gslingacademy.com"/>
    <x v="0"/>
    <x v="0"/>
    <n v="2"/>
    <x v="0"/>
    <n v="24"/>
    <x v="13"/>
    <n v="94"/>
    <s v="A+"/>
    <n v="72"/>
    <s v="B+"/>
    <n v="96"/>
    <s v="A+"/>
    <n v="93"/>
    <s v="A+"/>
    <n v="93"/>
    <s v="A+"/>
    <n v="79"/>
    <s v="A-"/>
    <n v="64"/>
    <s v="B-"/>
    <n v="591"/>
    <n v="84.428571428571431"/>
    <x v="0"/>
    <n v="515"/>
    <x v="1"/>
  </r>
  <r>
    <n v="345"/>
    <s v="Melissa"/>
    <s v="Le"/>
    <x v="343"/>
    <s v="melissa.le.345@gslingacademy.com"/>
    <x v="1"/>
    <x v="0"/>
    <n v="1"/>
    <x v="0"/>
    <n v="18"/>
    <x v="6"/>
    <n v="92"/>
    <s v="A+"/>
    <n v="69"/>
    <s v="B"/>
    <n v="69"/>
    <s v="B"/>
    <n v="60"/>
    <s v="B-"/>
    <n v="90"/>
    <s v="A+"/>
    <n v="88"/>
    <s v="A"/>
    <n v="95"/>
    <s v="A+"/>
    <n v="563"/>
    <n v="80.428571428571431"/>
    <x v="0"/>
    <n v="1077"/>
    <x v="1"/>
  </r>
  <r>
    <n v="346"/>
    <s v="David"/>
    <s v="Rice"/>
    <x v="344"/>
    <s v="david.rice.346@gslingacademy.com"/>
    <x v="0"/>
    <x v="1"/>
    <n v="10"/>
    <x v="0"/>
    <n v="5"/>
    <x v="7"/>
    <n v="56"/>
    <s v="C"/>
    <n v="52"/>
    <s v="C"/>
    <n v="76"/>
    <s v="A-"/>
    <n v="95"/>
    <s v="A+"/>
    <n v="54"/>
    <s v="C"/>
    <n v="59"/>
    <s v="C"/>
    <n v="85"/>
    <s v="A"/>
    <n v="477"/>
    <n v="68.142857142857139"/>
    <x v="4"/>
    <n v="1941"/>
    <x v="2"/>
  </r>
  <r>
    <n v="347"/>
    <s v="Dawn"/>
    <s v="Gomez"/>
    <x v="345"/>
    <s v="dawn.gomez.347@gslingacademy.com"/>
    <x v="1"/>
    <x v="1"/>
    <n v="3"/>
    <x v="0"/>
    <n v="24"/>
    <x v="9"/>
    <n v="85"/>
    <s v="A"/>
    <n v="74"/>
    <s v="B+"/>
    <n v="65"/>
    <s v="B"/>
    <n v="76"/>
    <s v="A-"/>
    <n v="100"/>
    <s v="A+"/>
    <n v="95"/>
    <s v="A+"/>
    <n v="68"/>
    <s v="B"/>
    <n v="563"/>
    <n v="80.428571428571431"/>
    <x v="0"/>
    <n v="1077"/>
    <x v="0"/>
  </r>
  <r>
    <n v="348"/>
    <s v="Ricky"/>
    <s v="Nichols"/>
    <x v="346"/>
    <s v="ricky.nichols.348@gslingacademy.com"/>
    <x v="0"/>
    <x v="0"/>
    <n v="1"/>
    <x v="0"/>
    <n v="16"/>
    <x v="12"/>
    <n v="65"/>
    <s v="B"/>
    <n v="90"/>
    <s v="A+"/>
    <n v="68"/>
    <s v="B"/>
    <n v="99"/>
    <s v="A+"/>
    <n v="74"/>
    <s v="B+"/>
    <n v="82"/>
    <s v="A"/>
    <n v="86"/>
    <s v="A"/>
    <n v="564"/>
    <n v="80.571428571428569"/>
    <x v="0"/>
    <n v="1056"/>
    <x v="1"/>
  </r>
  <r>
    <n v="349"/>
    <s v="Henry"/>
    <s v="Pitts"/>
    <x v="347"/>
    <s v="henry.pitts.349@gslingacademy.com"/>
    <x v="0"/>
    <x v="0"/>
    <n v="1"/>
    <x v="0"/>
    <n v="15"/>
    <x v="10"/>
    <n v="64"/>
    <s v="B-"/>
    <n v="81"/>
    <s v="A"/>
    <n v="95"/>
    <s v="A+"/>
    <n v="87"/>
    <s v="A"/>
    <n v="86"/>
    <s v="A"/>
    <n v="91"/>
    <s v="A+"/>
    <n v="80"/>
    <s v="A"/>
    <n v="584"/>
    <n v="83.428571428571431"/>
    <x v="0"/>
    <n v="635"/>
    <x v="1"/>
  </r>
  <r>
    <n v="350"/>
    <s v="Christopher"/>
    <s v="Price"/>
    <x v="348"/>
    <s v="christopher.price.350@gslingacademy.com"/>
    <x v="0"/>
    <x v="0"/>
    <n v="3"/>
    <x v="0"/>
    <n v="26"/>
    <x v="5"/>
    <n v="100"/>
    <s v="A+"/>
    <n v="88"/>
    <s v="A"/>
    <n v="94"/>
    <s v="A+"/>
    <n v="67"/>
    <s v="B"/>
    <n v="62"/>
    <s v="B-"/>
    <n v="66"/>
    <s v="B"/>
    <n v="96"/>
    <s v="A+"/>
    <n v="573"/>
    <n v="81.857142857142861"/>
    <x v="0"/>
    <n v="864"/>
    <x v="0"/>
  </r>
  <r>
    <n v="351"/>
    <s v="Aimee"/>
    <s v="Adams"/>
    <x v="349"/>
    <s v="aimee.adams.351@gslingacademy.com"/>
    <x v="1"/>
    <x v="0"/>
    <n v="3"/>
    <x v="0"/>
    <n v="15"/>
    <x v="6"/>
    <n v="76"/>
    <s v="A-"/>
    <n v="64"/>
    <s v="B-"/>
    <n v="64"/>
    <s v="B-"/>
    <n v="60"/>
    <s v="B-"/>
    <n v="75"/>
    <s v="A-"/>
    <n v="92"/>
    <s v="A+"/>
    <n v="61"/>
    <s v="B-"/>
    <n v="492"/>
    <n v="70.285714285714292"/>
    <x v="3"/>
    <n v="1905"/>
    <x v="0"/>
  </r>
  <r>
    <n v="352"/>
    <s v="Tammy"/>
    <s v="Barry"/>
    <x v="350"/>
    <s v="tammy.barry.352@gslingacademy.com"/>
    <x v="1"/>
    <x v="0"/>
    <n v="1"/>
    <x v="0"/>
    <n v="5"/>
    <x v="14"/>
    <n v="97"/>
    <s v="A+"/>
    <n v="76"/>
    <s v="A-"/>
    <n v="91"/>
    <s v="A+"/>
    <n v="76"/>
    <s v="A-"/>
    <n v="89"/>
    <s v="A"/>
    <n v="60"/>
    <s v="B-"/>
    <n v="85"/>
    <s v="A"/>
    <n v="574"/>
    <n v="82"/>
    <x v="0"/>
    <n v="832"/>
    <x v="1"/>
  </r>
  <r>
    <n v="353"/>
    <s v="Ryan"/>
    <s v="Hull"/>
    <x v="351"/>
    <s v="ryan.hull.353@gslingacademy.com"/>
    <x v="0"/>
    <x v="0"/>
    <n v="1"/>
    <x v="1"/>
    <n v="14"/>
    <x v="4"/>
    <n v="95"/>
    <s v="A+"/>
    <n v="98"/>
    <s v="A+"/>
    <n v="98"/>
    <s v="A+"/>
    <n v="83"/>
    <s v="A"/>
    <n v="77"/>
    <s v="A-"/>
    <n v="93"/>
    <s v="A+"/>
    <n v="83"/>
    <s v="A"/>
    <n v="627"/>
    <n v="89.571428571428569"/>
    <x v="0"/>
    <n v="168"/>
    <x v="1"/>
  </r>
  <r>
    <n v="354"/>
    <s v="Samuel"/>
    <s v="Jackson"/>
    <x v="352"/>
    <s v="samuel.jackson.354@gslingacademy.com"/>
    <x v="0"/>
    <x v="0"/>
    <n v="4"/>
    <x v="0"/>
    <n v="1"/>
    <x v="14"/>
    <n v="85"/>
    <s v="A"/>
    <n v="64"/>
    <s v="B-"/>
    <n v="90"/>
    <s v="A+"/>
    <n v="94"/>
    <s v="A+"/>
    <n v="68"/>
    <s v="B"/>
    <n v="97"/>
    <s v="A+"/>
    <n v="61"/>
    <s v="B-"/>
    <n v="559"/>
    <n v="79.857142857142861"/>
    <x v="2"/>
    <n v="1155"/>
    <x v="0"/>
  </r>
  <r>
    <n v="355"/>
    <s v="Joshua"/>
    <s v="Smith"/>
    <x v="353"/>
    <s v="joshua.smith.355@gslingacademy.com"/>
    <x v="0"/>
    <x v="0"/>
    <n v="5"/>
    <x v="0"/>
    <n v="10"/>
    <x v="13"/>
    <n v="86"/>
    <s v="A"/>
    <n v="91"/>
    <s v="A+"/>
    <n v="96"/>
    <s v="A+"/>
    <n v="60"/>
    <s v="B-"/>
    <n v="91"/>
    <s v="A+"/>
    <n v="73"/>
    <s v="B+"/>
    <n v="88"/>
    <s v="A"/>
    <n v="585"/>
    <n v="83.571428571428569"/>
    <x v="0"/>
    <n v="615"/>
    <x v="0"/>
  </r>
  <r>
    <n v="356"/>
    <s v="Sydney"/>
    <s v="Stevenson"/>
    <x v="354"/>
    <s v="sydney.stevenson.356@gslingacademy.com"/>
    <x v="1"/>
    <x v="0"/>
    <n v="6"/>
    <x v="0"/>
    <n v="5"/>
    <x v="7"/>
    <n v="100"/>
    <s v="A+"/>
    <n v="58"/>
    <s v="C"/>
    <n v="58"/>
    <s v="C"/>
    <n v="100"/>
    <s v="A+"/>
    <n v="60"/>
    <s v="B-"/>
    <n v="52"/>
    <s v="C"/>
    <n v="82"/>
    <s v="A"/>
    <n v="510"/>
    <n v="72.857142857142861"/>
    <x v="3"/>
    <n v="1828"/>
    <x v="0"/>
  </r>
  <r>
    <n v="357"/>
    <s v="Christopher"/>
    <s v="Rios"/>
    <x v="355"/>
    <s v="christopher.rios.357@gslingacademy.com"/>
    <x v="0"/>
    <x v="0"/>
    <n v="2"/>
    <x v="0"/>
    <n v="26"/>
    <x v="4"/>
    <n v="65"/>
    <s v="B"/>
    <n v="77"/>
    <s v="A-"/>
    <n v="66"/>
    <s v="B"/>
    <n v="100"/>
    <s v="A+"/>
    <n v="88"/>
    <s v="A"/>
    <n v="77"/>
    <s v="A-"/>
    <n v="62"/>
    <s v="B-"/>
    <n v="535"/>
    <n v="76.428571428571431"/>
    <x v="2"/>
    <n v="1578"/>
    <x v="1"/>
  </r>
  <r>
    <n v="358"/>
    <s v="Brenda"/>
    <s v="Collins"/>
    <x v="356"/>
    <s v="brenda.collins.358@gslingacademy.com"/>
    <x v="1"/>
    <x v="0"/>
    <n v="2"/>
    <x v="1"/>
    <n v="26"/>
    <x v="0"/>
    <n v="71"/>
    <s v="B+"/>
    <n v="81"/>
    <s v="A"/>
    <n v="99"/>
    <s v="A+"/>
    <n v="74"/>
    <s v="B+"/>
    <n v="74"/>
    <s v="B+"/>
    <n v="82"/>
    <s v="A"/>
    <n v="67"/>
    <s v="B"/>
    <n v="548"/>
    <n v="78.285714285714292"/>
    <x v="2"/>
    <n v="1374"/>
    <x v="1"/>
  </r>
  <r>
    <n v="359"/>
    <s v="Diana"/>
    <s v="Griffin"/>
    <x v="357"/>
    <s v="diana.griffin.359@gslingacademy.com"/>
    <x v="1"/>
    <x v="0"/>
    <n v="2"/>
    <x v="0"/>
    <n v="14"/>
    <x v="2"/>
    <n v="80"/>
    <s v="A"/>
    <n v="94"/>
    <s v="A+"/>
    <n v="97"/>
    <s v="A+"/>
    <n v="83"/>
    <s v="A"/>
    <n v="84"/>
    <s v="A"/>
    <n v="77"/>
    <s v="A-"/>
    <n v="79"/>
    <s v="A-"/>
    <n v="594"/>
    <n v="84.857142857142861"/>
    <x v="0"/>
    <n v="479"/>
    <x v="1"/>
  </r>
  <r>
    <n v="360"/>
    <s v="Gary"/>
    <s v="Gray"/>
    <x v="358"/>
    <s v="gary.gray.360@gslingacademy.com"/>
    <x v="0"/>
    <x v="0"/>
    <n v="7"/>
    <x v="1"/>
    <n v="21"/>
    <x v="13"/>
    <n v="91"/>
    <s v="A+"/>
    <n v="76"/>
    <s v="A-"/>
    <n v="96"/>
    <s v="A+"/>
    <n v="77"/>
    <s v="A-"/>
    <n v="99"/>
    <s v="A+"/>
    <n v="64"/>
    <s v="B-"/>
    <n v="83"/>
    <s v="A"/>
    <n v="586"/>
    <n v="83.714285714285708"/>
    <x v="0"/>
    <n v="601"/>
    <x v="2"/>
  </r>
  <r>
    <n v="361"/>
    <s v="Kimberly"/>
    <s v="Torres"/>
    <x v="359"/>
    <s v="kimberly.torres.361@gslingacademy.com"/>
    <x v="1"/>
    <x v="0"/>
    <n v="2"/>
    <x v="0"/>
    <n v="32"/>
    <x v="5"/>
    <n v="91"/>
    <s v="A+"/>
    <n v="87"/>
    <s v="A"/>
    <n v="88"/>
    <s v="A"/>
    <n v="82"/>
    <s v="A"/>
    <n v="95"/>
    <s v="A+"/>
    <n v="70"/>
    <s v="B+"/>
    <n v="87"/>
    <s v="A"/>
    <n v="600"/>
    <n v="85.714285714285708"/>
    <x v="0"/>
    <n v="406"/>
    <x v="1"/>
  </r>
  <r>
    <n v="362"/>
    <s v="Jeffrey"/>
    <s v="Booker"/>
    <x v="360"/>
    <s v="jeffrey.booker.362@gslingacademy.com"/>
    <x v="0"/>
    <x v="0"/>
    <n v="0"/>
    <x v="0"/>
    <n v="30"/>
    <x v="5"/>
    <n v="100"/>
    <s v="A+"/>
    <n v="86"/>
    <s v="A"/>
    <n v="81"/>
    <s v="A"/>
    <n v="100"/>
    <s v="A+"/>
    <n v="66"/>
    <s v="B"/>
    <n v="98"/>
    <s v="A+"/>
    <n v="97"/>
    <s v="A+"/>
    <n v="628"/>
    <n v="89.714285714285708"/>
    <x v="0"/>
    <n v="164"/>
    <x v="1"/>
  </r>
  <r>
    <n v="363"/>
    <s v="Nicole"/>
    <s v="Buchanan"/>
    <x v="361"/>
    <s v="nicole.buchanan.363@gslingacademy.com"/>
    <x v="1"/>
    <x v="0"/>
    <n v="3"/>
    <x v="0"/>
    <n v="13"/>
    <x v="6"/>
    <n v="92"/>
    <s v="A+"/>
    <n v="79"/>
    <s v="A-"/>
    <n v="71"/>
    <s v="B+"/>
    <n v="65"/>
    <s v="B"/>
    <n v="99"/>
    <s v="A+"/>
    <n v="91"/>
    <s v="A+"/>
    <n v="98"/>
    <s v="A+"/>
    <n v="595"/>
    <n v="85"/>
    <x v="0"/>
    <n v="465"/>
    <x v="0"/>
  </r>
  <r>
    <n v="364"/>
    <s v="Kristin"/>
    <s v="Johnson"/>
    <x v="362"/>
    <s v="kristin.johnson.364@gslingacademy.com"/>
    <x v="1"/>
    <x v="0"/>
    <n v="7"/>
    <x v="0"/>
    <n v="33"/>
    <x v="9"/>
    <n v="89"/>
    <s v="A"/>
    <n v="76"/>
    <s v="A-"/>
    <n v="95"/>
    <s v="A+"/>
    <n v="83"/>
    <s v="A"/>
    <n v="84"/>
    <s v="A"/>
    <n v="96"/>
    <s v="A+"/>
    <n v="61"/>
    <s v="B-"/>
    <n v="584"/>
    <n v="83.428571428571431"/>
    <x v="0"/>
    <n v="635"/>
    <x v="2"/>
  </r>
  <r>
    <n v="365"/>
    <s v="Emily"/>
    <s v="Bell"/>
    <x v="363"/>
    <s v="emily.bell.365@gslingacademy.com"/>
    <x v="1"/>
    <x v="0"/>
    <n v="3"/>
    <x v="0"/>
    <n v="15"/>
    <x v="11"/>
    <n v="93"/>
    <s v="A+"/>
    <n v="92"/>
    <s v="A+"/>
    <n v="92"/>
    <s v="A+"/>
    <n v="76"/>
    <s v="A-"/>
    <n v="49"/>
    <s v="D"/>
    <n v="93"/>
    <s v="A+"/>
    <n v="75"/>
    <s v="A-"/>
    <n v="570"/>
    <n v="81.428571428571431"/>
    <x v="0"/>
    <n v="937"/>
    <x v="0"/>
  </r>
  <r>
    <n v="366"/>
    <s v="Francis"/>
    <s v="Nelson"/>
    <x v="364"/>
    <s v="francis.nelson.366@gslingacademy.com"/>
    <x v="0"/>
    <x v="0"/>
    <n v="10"/>
    <x v="0"/>
    <n v="33"/>
    <x v="4"/>
    <n v="81"/>
    <s v="A"/>
    <n v="64"/>
    <s v="B-"/>
    <n v="67"/>
    <s v="B"/>
    <n v="74"/>
    <s v="B+"/>
    <n v="65"/>
    <s v="B"/>
    <n v="94"/>
    <s v="A+"/>
    <n v="96"/>
    <s v="A+"/>
    <n v="541"/>
    <n v="77.285714285714292"/>
    <x v="2"/>
    <n v="1493"/>
    <x v="2"/>
  </r>
  <r>
    <n v="367"/>
    <s v="Tracy"/>
    <s v="Harris"/>
    <x v="365"/>
    <s v="tracy.harris.367@gslingacademy.com"/>
    <x v="0"/>
    <x v="0"/>
    <n v="2"/>
    <x v="0"/>
    <n v="11"/>
    <x v="12"/>
    <n v="70"/>
    <s v="B+"/>
    <n v="73"/>
    <s v="B+"/>
    <n v="70"/>
    <s v="B+"/>
    <n v="67"/>
    <s v="B"/>
    <n v="96"/>
    <s v="A+"/>
    <n v="86"/>
    <s v="A"/>
    <n v="89"/>
    <s v="A"/>
    <n v="551"/>
    <n v="78.714285714285708"/>
    <x v="2"/>
    <n v="1317"/>
    <x v="1"/>
  </r>
  <r>
    <n v="368"/>
    <s v="Sheila"/>
    <s v="Sosa"/>
    <x v="366"/>
    <s v="sheila.sosa.368@gslingacademy.com"/>
    <x v="1"/>
    <x v="0"/>
    <n v="2"/>
    <x v="0"/>
    <n v="30"/>
    <x v="4"/>
    <n v="61"/>
    <s v="B-"/>
    <n v="70"/>
    <s v="B+"/>
    <n v="89"/>
    <s v="A"/>
    <n v="97"/>
    <s v="A+"/>
    <n v="60"/>
    <s v="B-"/>
    <n v="79"/>
    <s v="A-"/>
    <n v="79"/>
    <s v="A-"/>
    <n v="535"/>
    <n v="76.428571428571431"/>
    <x v="2"/>
    <n v="1578"/>
    <x v="1"/>
  </r>
  <r>
    <n v="369"/>
    <s v="Ashley"/>
    <s v="Mendez"/>
    <x v="367"/>
    <s v="ashley.mendez.369@gslingacademy.com"/>
    <x v="1"/>
    <x v="0"/>
    <n v="7"/>
    <x v="0"/>
    <n v="2"/>
    <x v="7"/>
    <n v="62"/>
    <s v="B-"/>
    <n v="53"/>
    <s v="C"/>
    <n v="78"/>
    <s v="A-"/>
    <n v="77"/>
    <s v="A-"/>
    <n v="59"/>
    <s v="C"/>
    <n v="95"/>
    <s v="A+"/>
    <n v="80"/>
    <s v="A"/>
    <n v="504"/>
    <n v="72"/>
    <x v="3"/>
    <n v="1858"/>
    <x v="2"/>
  </r>
  <r>
    <n v="370"/>
    <s v="Matthew"/>
    <s v="Griffin"/>
    <x v="368"/>
    <s v="matthew.griffin.370@gslingacademy.com"/>
    <x v="0"/>
    <x v="0"/>
    <n v="3"/>
    <x v="0"/>
    <n v="4"/>
    <x v="15"/>
    <n v="83"/>
    <s v="A"/>
    <n v="61"/>
    <s v="B-"/>
    <n v="79"/>
    <s v="A-"/>
    <n v="99"/>
    <s v="A+"/>
    <n v="66"/>
    <s v="B"/>
    <n v="60"/>
    <s v="B-"/>
    <n v="76"/>
    <s v="A-"/>
    <n v="524"/>
    <n v="74.857142857142861"/>
    <x v="3"/>
    <n v="1715"/>
    <x v="0"/>
  </r>
  <r>
    <n v="371"/>
    <s v="Timothy"/>
    <s v="Mann"/>
    <x v="369"/>
    <s v="timothy.mann.371@gslingacademy.com"/>
    <x v="0"/>
    <x v="0"/>
    <n v="3"/>
    <x v="0"/>
    <n v="32"/>
    <x v="5"/>
    <n v="85"/>
    <s v="A"/>
    <n v="96"/>
    <s v="A+"/>
    <n v="87"/>
    <s v="A"/>
    <n v="63"/>
    <s v="B-"/>
    <n v="69"/>
    <s v="B"/>
    <n v="69"/>
    <s v="B"/>
    <n v="81"/>
    <s v="A"/>
    <n v="550"/>
    <n v="78.571428571428569"/>
    <x v="2"/>
    <n v="1338"/>
    <x v="0"/>
  </r>
  <r>
    <n v="372"/>
    <s v="Christine"/>
    <s v="Foster"/>
    <x v="370"/>
    <s v="christine.foster.372@gslingacademy.com"/>
    <x v="1"/>
    <x v="1"/>
    <n v="7"/>
    <x v="0"/>
    <n v="0"/>
    <x v="7"/>
    <n v="83"/>
    <s v="A"/>
    <n v="55"/>
    <s v="C"/>
    <n v="87"/>
    <s v="A"/>
    <n v="74"/>
    <s v="B+"/>
    <n v="73"/>
    <s v="B+"/>
    <n v="77"/>
    <s v="A-"/>
    <n v="61"/>
    <s v="B-"/>
    <n v="510"/>
    <n v="72.857142857142861"/>
    <x v="3"/>
    <n v="1828"/>
    <x v="2"/>
  </r>
  <r>
    <n v="373"/>
    <s v="Julie"/>
    <s v="Yates"/>
    <x v="371"/>
    <s v="julie.yates.373@gslingacademy.com"/>
    <x v="1"/>
    <x v="0"/>
    <n v="2"/>
    <x v="0"/>
    <n v="4"/>
    <x v="7"/>
    <n v="73"/>
    <s v="B+"/>
    <n v="95"/>
    <s v="A+"/>
    <n v="54"/>
    <s v="C"/>
    <n v="94"/>
    <s v="A+"/>
    <n v="99"/>
    <s v="A+"/>
    <n v="58"/>
    <s v="C"/>
    <n v="94"/>
    <s v="A+"/>
    <n v="567"/>
    <n v="81"/>
    <x v="0"/>
    <n v="994"/>
    <x v="1"/>
  </r>
  <r>
    <n v="374"/>
    <s v="William"/>
    <s v="Ballard"/>
    <x v="372"/>
    <s v="william.ballard.374@gslingacademy.com"/>
    <x v="0"/>
    <x v="1"/>
    <n v="10"/>
    <x v="1"/>
    <n v="0"/>
    <x v="7"/>
    <n v="61"/>
    <s v="B-"/>
    <n v="65"/>
    <s v="B"/>
    <n v="73"/>
    <s v="B+"/>
    <n v="78"/>
    <s v="A-"/>
    <n v="77"/>
    <s v="A-"/>
    <n v="97"/>
    <s v="A+"/>
    <n v="96"/>
    <s v="A+"/>
    <n v="547"/>
    <n v="78.142857142857139"/>
    <x v="2"/>
    <n v="1388"/>
    <x v="2"/>
  </r>
  <r>
    <n v="375"/>
    <s v="Kristen"/>
    <s v="Adams"/>
    <x v="373"/>
    <s v="kristen.adams.375@gslingacademy.com"/>
    <x v="1"/>
    <x v="0"/>
    <n v="5"/>
    <x v="1"/>
    <n v="21"/>
    <x v="4"/>
    <n v="77"/>
    <s v="A-"/>
    <n v="72"/>
    <s v="B+"/>
    <n v="81"/>
    <s v="A"/>
    <n v="63"/>
    <s v="B-"/>
    <n v="69"/>
    <s v="B"/>
    <n v="73"/>
    <s v="B+"/>
    <n v="80"/>
    <s v="A"/>
    <n v="515"/>
    <n v="73.571428571428569"/>
    <x v="3"/>
    <n v="1798"/>
    <x v="0"/>
  </r>
  <r>
    <n v="376"/>
    <s v="Chelsea"/>
    <s v="Mitchell"/>
    <x v="374"/>
    <s v="chelsea.mitchell.376@gslingacademy.com"/>
    <x v="1"/>
    <x v="0"/>
    <n v="2"/>
    <x v="0"/>
    <n v="29"/>
    <x v="10"/>
    <n v="77"/>
    <s v="A-"/>
    <n v="87"/>
    <s v="A"/>
    <n v="65"/>
    <s v="B"/>
    <n v="91"/>
    <s v="A+"/>
    <n v="71"/>
    <s v="B+"/>
    <n v="90"/>
    <s v="A+"/>
    <n v="90"/>
    <s v="A+"/>
    <n v="571"/>
    <n v="81.571428571428569"/>
    <x v="0"/>
    <n v="915"/>
    <x v="1"/>
  </r>
  <r>
    <n v="377"/>
    <s v="Patrick"/>
    <s v="Everett"/>
    <x v="375"/>
    <s v="patrick.everett.377@gslingacademy.com"/>
    <x v="0"/>
    <x v="0"/>
    <n v="3"/>
    <x v="0"/>
    <n v="32"/>
    <x v="4"/>
    <n v="99"/>
    <s v="A+"/>
    <n v="94"/>
    <s v="A+"/>
    <n v="94"/>
    <s v="A+"/>
    <n v="62"/>
    <s v="B-"/>
    <n v="68"/>
    <s v="B"/>
    <n v="79"/>
    <s v="A-"/>
    <n v="68"/>
    <s v="B"/>
    <n v="564"/>
    <n v="80.571428571428569"/>
    <x v="0"/>
    <n v="1056"/>
    <x v="0"/>
  </r>
  <r>
    <n v="378"/>
    <s v="Carla"/>
    <s v="Parker"/>
    <x v="376"/>
    <s v="carla.parker.378@gslingacademy.com"/>
    <x v="1"/>
    <x v="0"/>
    <n v="7"/>
    <x v="0"/>
    <n v="14"/>
    <x v="4"/>
    <n v="73"/>
    <s v="B+"/>
    <n v="69"/>
    <s v="B"/>
    <n v="94"/>
    <s v="A+"/>
    <n v="78"/>
    <s v="A-"/>
    <n v="76"/>
    <s v="A-"/>
    <n v="63"/>
    <s v="B-"/>
    <n v="71"/>
    <s v="B+"/>
    <n v="524"/>
    <n v="74.857142857142861"/>
    <x v="3"/>
    <n v="1715"/>
    <x v="2"/>
  </r>
  <r>
    <n v="379"/>
    <s v="Casey"/>
    <s v="Galvan"/>
    <x v="377"/>
    <s v="casey.galvan.379@gslingacademy.com"/>
    <x v="0"/>
    <x v="0"/>
    <n v="1"/>
    <x v="0"/>
    <n v="25"/>
    <x v="0"/>
    <n v="95"/>
    <s v="A+"/>
    <n v="89"/>
    <s v="A"/>
    <n v="96"/>
    <s v="A+"/>
    <n v="89"/>
    <s v="A"/>
    <n v="60"/>
    <s v="B-"/>
    <n v="99"/>
    <s v="A+"/>
    <n v="93"/>
    <s v="A+"/>
    <n v="621"/>
    <n v="88.714285714285708"/>
    <x v="0"/>
    <n v="214"/>
    <x v="1"/>
  </r>
  <r>
    <n v="380"/>
    <s v="Eric"/>
    <s v="Moran"/>
    <x v="378"/>
    <s v="eric.moran.380@gslingacademy.com"/>
    <x v="0"/>
    <x v="0"/>
    <n v="7"/>
    <x v="1"/>
    <n v="4"/>
    <x v="4"/>
    <n v="94"/>
    <s v="A+"/>
    <n v="79"/>
    <s v="A-"/>
    <n v="92"/>
    <s v="A+"/>
    <n v="100"/>
    <s v="A+"/>
    <n v="93"/>
    <s v="A+"/>
    <n v="63"/>
    <s v="B-"/>
    <n v="98"/>
    <s v="A+"/>
    <n v="619"/>
    <n v="88.428571428571431"/>
    <x v="0"/>
    <n v="221"/>
    <x v="2"/>
  </r>
  <r>
    <n v="381"/>
    <s v="Tabitha"/>
    <s v="Hudson"/>
    <x v="379"/>
    <s v="tabitha.hudson.381@gslingacademy.com"/>
    <x v="1"/>
    <x v="0"/>
    <n v="2"/>
    <x v="1"/>
    <n v="32"/>
    <x v="15"/>
    <n v="75"/>
    <s v="A-"/>
    <n v="83"/>
    <s v="A"/>
    <n v="85"/>
    <s v="A"/>
    <n v="65"/>
    <s v="B"/>
    <n v="76"/>
    <s v="A-"/>
    <n v="94"/>
    <s v="A+"/>
    <n v="60"/>
    <s v="B-"/>
    <n v="538"/>
    <n v="76.857142857142861"/>
    <x v="2"/>
    <n v="1537"/>
    <x v="1"/>
  </r>
  <r>
    <n v="382"/>
    <s v="Lance"/>
    <s v="Salazar"/>
    <x v="380"/>
    <s v="lance.salazar.382@gslingacademy.com"/>
    <x v="0"/>
    <x v="0"/>
    <n v="2"/>
    <x v="0"/>
    <n v="7"/>
    <x v="4"/>
    <n v="66"/>
    <s v="B"/>
    <n v="83"/>
    <s v="A"/>
    <n v="77"/>
    <s v="A-"/>
    <n v="91"/>
    <s v="A+"/>
    <n v="84"/>
    <s v="A"/>
    <n v="74"/>
    <s v="B+"/>
    <n v="62"/>
    <s v="B-"/>
    <n v="537"/>
    <n v="76.714285714285708"/>
    <x v="2"/>
    <n v="1553"/>
    <x v="1"/>
  </r>
  <r>
    <n v="383"/>
    <s v="Melissa"/>
    <s v="Williamson"/>
    <x v="381"/>
    <s v="melissa.williamson.383@gslingacademy.com"/>
    <x v="1"/>
    <x v="1"/>
    <n v="1"/>
    <x v="0"/>
    <n v="22"/>
    <x v="5"/>
    <n v="91"/>
    <s v="A+"/>
    <n v="79"/>
    <s v="A-"/>
    <n v="89"/>
    <s v="A"/>
    <n v="74"/>
    <s v="B+"/>
    <n v="79"/>
    <s v="A-"/>
    <n v="74"/>
    <s v="B+"/>
    <n v="61"/>
    <s v="B-"/>
    <n v="547"/>
    <n v="78.142857142857139"/>
    <x v="2"/>
    <n v="1388"/>
    <x v="1"/>
  </r>
  <r>
    <n v="384"/>
    <s v="James"/>
    <s v="Castro"/>
    <x v="382"/>
    <s v="james.castro.384@gslingacademy.com"/>
    <x v="0"/>
    <x v="0"/>
    <n v="5"/>
    <x v="0"/>
    <n v="3"/>
    <x v="4"/>
    <n v="81"/>
    <s v="A"/>
    <n v="61"/>
    <s v="B-"/>
    <n v="75"/>
    <s v="A-"/>
    <n v="65"/>
    <s v="B"/>
    <n v="90"/>
    <s v="A+"/>
    <n v="92"/>
    <s v="A+"/>
    <n v="80"/>
    <s v="A"/>
    <n v="544"/>
    <n v="77.714285714285708"/>
    <x v="2"/>
    <n v="1446"/>
    <x v="0"/>
  </r>
  <r>
    <n v="385"/>
    <s v="Joseph"/>
    <s v="Johnson"/>
    <x v="383"/>
    <s v="joseph.johnson.385@gslingacademy.com"/>
    <x v="0"/>
    <x v="1"/>
    <n v="8"/>
    <x v="0"/>
    <n v="1"/>
    <x v="7"/>
    <n v="71"/>
    <s v="B+"/>
    <n v="69"/>
    <s v="B"/>
    <n v="69"/>
    <s v="B"/>
    <n v="67"/>
    <s v="B"/>
    <n v="70"/>
    <s v="B+"/>
    <n v="78"/>
    <s v="A-"/>
    <n v="66"/>
    <s v="B"/>
    <n v="490"/>
    <n v="70"/>
    <x v="3"/>
    <n v="1911"/>
    <x v="2"/>
  </r>
  <r>
    <n v="386"/>
    <s v="Gene"/>
    <s v="Woodward"/>
    <x v="384"/>
    <s v="gene.woodward.386@gslingacademy.com"/>
    <x v="0"/>
    <x v="0"/>
    <n v="4"/>
    <x v="1"/>
    <n v="23"/>
    <x v="10"/>
    <n v="77"/>
    <s v="A-"/>
    <n v="94"/>
    <s v="A+"/>
    <n v="97"/>
    <s v="A+"/>
    <n v="77"/>
    <s v="A-"/>
    <n v="63"/>
    <s v="B-"/>
    <n v="98"/>
    <s v="A+"/>
    <n v="98"/>
    <s v="A+"/>
    <n v="604"/>
    <n v="86.285714285714292"/>
    <x v="0"/>
    <n v="353"/>
    <x v="0"/>
  </r>
  <r>
    <n v="387"/>
    <s v="Patricia"/>
    <s v="Watson"/>
    <x v="385"/>
    <s v="patricia.watson.387@gslingacademy.com"/>
    <x v="1"/>
    <x v="0"/>
    <n v="0"/>
    <x v="0"/>
    <n v="42"/>
    <x v="1"/>
    <n v="91"/>
    <s v="A+"/>
    <n v="87"/>
    <s v="A"/>
    <n v="93"/>
    <s v="A+"/>
    <n v="85"/>
    <s v="A"/>
    <n v="98"/>
    <s v="A+"/>
    <n v="85"/>
    <s v="A"/>
    <n v="95"/>
    <s v="A+"/>
    <n v="634"/>
    <n v="90.571428571428569"/>
    <x v="1"/>
    <n v="131"/>
    <x v="1"/>
  </r>
  <r>
    <n v="388"/>
    <s v="John"/>
    <s v="Carey"/>
    <x v="386"/>
    <s v="john.carey.388@gslingacademy.com"/>
    <x v="0"/>
    <x v="0"/>
    <n v="1"/>
    <x v="0"/>
    <n v="30"/>
    <x v="8"/>
    <n v="83"/>
    <s v="A"/>
    <n v="98"/>
    <s v="A+"/>
    <n v="100"/>
    <s v="A+"/>
    <n v="93"/>
    <s v="A+"/>
    <n v="100"/>
    <s v="A+"/>
    <n v="77"/>
    <s v="A-"/>
    <n v="76"/>
    <s v="A-"/>
    <n v="627"/>
    <n v="89.571428571428569"/>
    <x v="0"/>
    <n v="168"/>
    <x v="1"/>
  </r>
  <r>
    <n v="389"/>
    <s v="Sara"/>
    <s v="Cochran"/>
    <x v="387"/>
    <s v="sara.cochran.389@gslingacademy.com"/>
    <x v="1"/>
    <x v="0"/>
    <n v="1"/>
    <x v="0"/>
    <n v="1"/>
    <x v="7"/>
    <n v="75"/>
    <s v="A-"/>
    <n v="51"/>
    <s v="C"/>
    <n v="70"/>
    <s v="B+"/>
    <n v="84"/>
    <s v="A"/>
    <n v="66"/>
    <s v="B"/>
    <n v="64"/>
    <s v="B-"/>
    <n v="88"/>
    <s v="A"/>
    <n v="498"/>
    <n v="71.142857142857139"/>
    <x v="3"/>
    <n v="1884"/>
    <x v="1"/>
  </r>
  <r>
    <n v="390"/>
    <s v="Jamie"/>
    <s v="Suarez"/>
    <x v="388"/>
    <s v="jamie.suarez.390@gslingacademy.com"/>
    <x v="1"/>
    <x v="1"/>
    <n v="3"/>
    <x v="1"/>
    <n v="17"/>
    <x v="5"/>
    <n v="86"/>
    <s v="A"/>
    <n v="96"/>
    <s v="A+"/>
    <n v="68"/>
    <s v="B"/>
    <n v="71"/>
    <s v="B+"/>
    <n v="86"/>
    <s v="A"/>
    <n v="94"/>
    <s v="A+"/>
    <n v="89"/>
    <s v="A"/>
    <n v="590"/>
    <n v="84.285714285714292"/>
    <x v="0"/>
    <n v="531"/>
    <x v="0"/>
  </r>
  <r>
    <n v="391"/>
    <s v="Steven"/>
    <s v="Frazier"/>
    <x v="389"/>
    <s v="steven.frazier.391@gslingacademy.com"/>
    <x v="0"/>
    <x v="0"/>
    <n v="2"/>
    <x v="0"/>
    <n v="48"/>
    <x v="1"/>
    <n v="86"/>
    <s v="A"/>
    <n v="88"/>
    <s v="A"/>
    <n v="89"/>
    <s v="A"/>
    <n v="89"/>
    <s v="A"/>
    <n v="98"/>
    <s v="A+"/>
    <n v="89"/>
    <s v="A"/>
    <n v="96"/>
    <s v="A+"/>
    <n v="635"/>
    <n v="90.714285714285708"/>
    <x v="1"/>
    <n v="128"/>
    <x v="1"/>
  </r>
  <r>
    <n v="392"/>
    <s v="Nicholas"/>
    <s v="Hart"/>
    <x v="390"/>
    <s v="nicholas.hart.392@gslingacademy.com"/>
    <x v="0"/>
    <x v="0"/>
    <n v="4"/>
    <x v="1"/>
    <n v="24"/>
    <x v="5"/>
    <n v="85"/>
    <s v="A"/>
    <n v="67"/>
    <s v="B"/>
    <n v="60"/>
    <s v="B-"/>
    <n v="82"/>
    <s v="A"/>
    <n v="77"/>
    <s v="A-"/>
    <n v="72"/>
    <s v="B+"/>
    <n v="72"/>
    <s v="B+"/>
    <n v="515"/>
    <n v="73.571428571428569"/>
    <x v="3"/>
    <n v="1798"/>
    <x v="0"/>
  </r>
  <r>
    <n v="393"/>
    <s v="Cheryl"/>
    <s v="Arias"/>
    <x v="391"/>
    <s v="cheryl.arias.393@gslingacademy.com"/>
    <x v="1"/>
    <x v="0"/>
    <n v="6"/>
    <x v="0"/>
    <n v="31"/>
    <x v="10"/>
    <n v="62"/>
    <s v="B-"/>
    <n v="81"/>
    <s v="A"/>
    <n v="80"/>
    <s v="A"/>
    <n v="88"/>
    <s v="A"/>
    <n v="78"/>
    <s v="A-"/>
    <n v="94"/>
    <s v="A+"/>
    <n v="85"/>
    <s v="A"/>
    <n v="568"/>
    <n v="81.142857142857139"/>
    <x v="0"/>
    <n v="975"/>
    <x v="0"/>
  </r>
  <r>
    <n v="394"/>
    <s v="Marc"/>
    <s v="Brock"/>
    <x v="392"/>
    <s v="marc.brock.394@gslingacademy.com"/>
    <x v="0"/>
    <x v="1"/>
    <n v="7"/>
    <x v="0"/>
    <n v="0"/>
    <x v="7"/>
    <n v="100"/>
    <s v="A+"/>
    <n v="65"/>
    <s v="B"/>
    <n v="67"/>
    <s v="B"/>
    <n v="61"/>
    <s v="B-"/>
    <n v="76"/>
    <s v="A-"/>
    <n v="58"/>
    <s v="C"/>
    <n v="84"/>
    <s v="A"/>
    <n v="511"/>
    <n v="73"/>
    <x v="3"/>
    <n v="1823"/>
    <x v="2"/>
  </r>
  <r>
    <n v="395"/>
    <s v="Timothy"/>
    <s v="Perez"/>
    <x v="393"/>
    <s v="timothy.perez.395@gslingacademy.com"/>
    <x v="0"/>
    <x v="0"/>
    <n v="9"/>
    <x v="0"/>
    <n v="2"/>
    <x v="7"/>
    <n v="79"/>
    <s v="A-"/>
    <n v="86"/>
    <s v="A"/>
    <n v="97"/>
    <s v="A+"/>
    <n v="60"/>
    <s v="B-"/>
    <n v="66"/>
    <s v="B"/>
    <n v="74"/>
    <s v="B+"/>
    <n v="96"/>
    <s v="A+"/>
    <n v="558"/>
    <n v="79.714285714285708"/>
    <x v="2"/>
    <n v="1178"/>
    <x v="2"/>
  </r>
  <r>
    <n v="396"/>
    <s v="Courtney"/>
    <s v="Rodriguez"/>
    <x v="394"/>
    <s v="courtney.rodriguez.396@gslingacademy.com"/>
    <x v="1"/>
    <x v="0"/>
    <n v="1"/>
    <x v="0"/>
    <n v="24"/>
    <x v="0"/>
    <n v="99"/>
    <s v="A+"/>
    <n v="97"/>
    <s v="A+"/>
    <n v="68"/>
    <s v="B"/>
    <n v="85"/>
    <s v="A"/>
    <n v="86"/>
    <s v="A"/>
    <n v="85"/>
    <s v="A"/>
    <n v="73"/>
    <s v="B+"/>
    <n v="593"/>
    <n v="84.714285714285708"/>
    <x v="0"/>
    <n v="494"/>
    <x v="1"/>
  </r>
  <r>
    <n v="397"/>
    <s v="Samantha"/>
    <s v="Clark"/>
    <x v="395"/>
    <s v="samantha.clark.397@gslingacademy.com"/>
    <x v="1"/>
    <x v="0"/>
    <n v="7"/>
    <x v="0"/>
    <n v="2"/>
    <x v="7"/>
    <n v="46"/>
    <s v="D"/>
    <n v="65"/>
    <s v="B"/>
    <n v="97"/>
    <s v="A+"/>
    <n v="100"/>
    <s v="A+"/>
    <n v="56"/>
    <s v="C"/>
    <n v="73"/>
    <s v="B+"/>
    <n v="95"/>
    <s v="A+"/>
    <n v="532"/>
    <n v="76"/>
    <x v="2"/>
    <n v="1622"/>
    <x v="2"/>
  </r>
  <r>
    <n v="398"/>
    <s v="Francisco"/>
    <s v="Reilly"/>
    <x v="396"/>
    <s v="francisco.reilly.398@gslingacademy.com"/>
    <x v="0"/>
    <x v="0"/>
    <n v="0"/>
    <x v="0"/>
    <n v="32"/>
    <x v="5"/>
    <n v="85"/>
    <s v="A"/>
    <n v="97"/>
    <s v="A+"/>
    <n v="88"/>
    <s v="A"/>
    <n v="61"/>
    <s v="B-"/>
    <n v="80"/>
    <s v="A"/>
    <n v="80"/>
    <s v="A"/>
    <n v="84"/>
    <s v="A"/>
    <n v="575"/>
    <n v="82.142857142857139"/>
    <x v="0"/>
    <n v="807"/>
    <x v="1"/>
  </r>
  <r>
    <n v="399"/>
    <s v="Denise"/>
    <s v="Young"/>
    <x v="397"/>
    <s v="denise.young.399@gslingacademy.com"/>
    <x v="1"/>
    <x v="0"/>
    <n v="2"/>
    <x v="0"/>
    <n v="4"/>
    <x v="2"/>
    <n v="85"/>
    <s v="A"/>
    <n v="68"/>
    <s v="B"/>
    <n v="89"/>
    <s v="A"/>
    <n v="64"/>
    <s v="B-"/>
    <n v="79"/>
    <s v="A-"/>
    <n v="66"/>
    <s v="B"/>
    <n v="66"/>
    <s v="B"/>
    <n v="517"/>
    <n v="73.857142857142861"/>
    <x v="3"/>
    <n v="1781"/>
    <x v="1"/>
  </r>
  <r>
    <n v="400"/>
    <s v="Darrell"/>
    <s v="Williams"/>
    <x v="398"/>
    <s v="darrell.williams.400@gslingacademy.com"/>
    <x v="0"/>
    <x v="0"/>
    <n v="4"/>
    <x v="0"/>
    <n v="32"/>
    <x v="5"/>
    <n v="85"/>
    <s v="A"/>
    <n v="87"/>
    <s v="A"/>
    <n v="91"/>
    <s v="A+"/>
    <n v="63"/>
    <s v="B-"/>
    <n v="95"/>
    <s v="A+"/>
    <n v="88"/>
    <s v="A"/>
    <n v="62"/>
    <s v="B-"/>
    <n v="571"/>
    <n v="81.571428571428569"/>
    <x v="0"/>
    <n v="915"/>
    <x v="0"/>
  </r>
  <r>
    <n v="401"/>
    <s v="Andrew"/>
    <s v="Smith"/>
    <x v="399"/>
    <s v="andrew.smith.401@gslingacademy.com"/>
    <x v="0"/>
    <x v="0"/>
    <n v="3"/>
    <x v="0"/>
    <n v="16"/>
    <x v="15"/>
    <n v="99"/>
    <s v="A+"/>
    <n v="86"/>
    <s v="A"/>
    <n v="90"/>
    <s v="A+"/>
    <n v="100"/>
    <s v="A+"/>
    <n v="96"/>
    <s v="A+"/>
    <n v="77"/>
    <s v="A-"/>
    <n v="60"/>
    <s v="B-"/>
    <n v="608"/>
    <n v="86.857142857142861"/>
    <x v="0"/>
    <n v="318"/>
    <x v="0"/>
  </r>
  <r>
    <n v="402"/>
    <s v="Teresa"/>
    <s v="Stafford"/>
    <x v="400"/>
    <s v="teresa.stafford.402@gslingacademy.com"/>
    <x v="1"/>
    <x v="0"/>
    <n v="1"/>
    <x v="0"/>
    <n v="20"/>
    <x v="9"/>
    <n v="84"/>
    <s v="A"/>
    <n v="92"/>
    <s v="A+"/>
    <n v="63"/>
    <s v="B-"/>
    <n v="91"/>
    <s v="A+"/>
    <n v="89"/>
    <s v="A"/>
    <n v="92"/>
    <s v="A+"/>
    <n v="76"/>
    <s v="A-"/>
    <n v="587"/>
    <n v="83.857142857142861"/>
    <x v="0"/>
    <n v="583"/>
    <x v="1"/>
  </r>
  <r>
    <n v="403"/>
    <s v="Cory"/>
    <s v="Harris"/>
    <x v="401"/>
    <s v="cory.harris.403@gslingacademy.com"/>
    <x v="0"/>
    <x v="0"/>
    <n v="4"/>
    <x v="0"/>
    <n v="28"/>
    <x v="13"/>
    <n v="85"/>
    <s v="A"/>
    <n v="72"/>
    <s v="B+"/>
    <n v="87"/>
    <s v="A"/>
    <n v="72"/>
    <s v="B+"/>
    <n v="68"/>
    <s v="B"/>
    <n v="85"/>
    <s v="A"/>
    <n v="78"/>
    <s v="A-"/>
    <n v="547"/>
    <n v="78.142857142857139"/>
    <x v="2"/>
    <n v="1388"/>
    <x v="0"/>
  </r>
  <r>
    <n v="404"/>
    <s v="Douglas"/>
    <s v="Irwin"/>
    <x v="402"/>
    <s v="douglas.irwin.404@gslingacademy.com"/>
    <x v="0"/>
    <x v="0"/>
    <n v="7"/>
    <x v="0"/>
    <n v="30"/>
    <x v="5"/>
    <n v="100"/>
    <s v="A+"/>
    <n v="79"/>
    <s v="A-"/>
    <n v="92"/>
    <s v="A+"/>
    <n v="92"/>
    <s v="A+"/>
    <n v="67"/>
    <s v="B"/>
    <n v="68"/>
    <s v="B"/>
    <n v="72"/>
    <s v="B+"/>
    <n v="570"/>
    <n v="81.428571428571431"/>
    <x v="0"/>
    <n v="937"/>
    <x v="2"/>
  </r>
  <r>
    <n v="405"/>
    <s v="Deborah"/>
    <s v="Miller"/>
    <x v="403"/>
    <s v="deborah.miller.405@gslingacademy.com"/>
    <x v="1"/>
    <x v="0"/>
    <n v="3"/>
    <x v="0"/>
    <n v="17"/>
    <x v="9"/>
    <n v="86"/>
    <s v="A"/>
    <n v="61"/>
    <s v="B-"/>
    <n v="68"/>
    <s v="B"/>
    <n v="91"/>
    <s v="A+"/>
    <n v="60"/>
    <s v="B-"/>
    <n v="86"/>
    <s v="A"/>
    <n v="62"/>
    <s v="B-"/>
    <n v="514"/>
    <n v="73.428571428571431"/>
    <x v="3"/>
    <n v="1805"/>
    <x v="0"/>
  </r>
  <r>
    <n v="406"/>
    <s v="Autumn"/>
    <s v="Hernandez"/>
    <x v="404"/>
    <s v="autumn.hernandez.406@gslingacademy.com"/>
    <x v="1"/>
    <x v="0"/>
    <n v="5"/>
    <x v="0"/>
    <n v="25"/>
    <x v="4"/>
    <n v="79"/>
    <s v="A-"/>
    <n v="70"/>
    <s v="B+"/>
    <n v="71"/>
    <s v="B+"/>
    <n v="95"/>
    <s v="A+"/>
    <n v="79"/>
    <s v="A-"/>
    <n v="77"/>
    <s v="A-"/>
    <n v="68"/>
    <s v="B"/>
    <n v="539"/>
    <n v="77"/>
    <x v="2"/>
    <n v="1531"/>
    <x v="0"/>
  </r>
  <r>
    <n v="407"/>
    <s v="Paul"/>
    <s v="Serrano"/>
    <x v="405"/>
    <s v="paul.serrano.407@gslingacademy.com"/>
    <x v="0"/>
    <x v="0"/>
    <n v="5"/>
    <x v="0"/>
    <n v="18"/>
    <x v="11"/>
    <n v="76"/>
    <s v="A-"/>
    <n v="82"/>
    <s v="A"/>
    <n v="76"/>
    <s v="A-"/>
    <n v="71"/>
    <s v="B+"/>
    <n v="70"/>
    <s v="B+"/>
    <n v="89"/>
    <s v="A"/>
    <n v="76"/>
    <s v="A-"/>
    <n v="540"/>
    <n v="77.142857142857139"/>
    <x v="2"/>
    <n v="1513"/>
    <x v="0"/>
  </r>
  <r>
    <n v="408"/>
    <s v="Matthew"/>
    <s v="Griffin"/>
    <x v="368"/>
    <s v="matthew.griffin.408@gslingacademy.com"/>
    <x v="0"/>
    <x v="1"/>
    <n v="1"/>
    <x v="0"/>
    <n v="23"/>
    <x v="5"/>
    <n v="96"/>
    <s v="A+"/>
    <n v="63"/>
    <s v="B-"/>
    <n v="69"/>
    <s v="B"/>
    <n v="67"/>
    <s v="B"/>
    <n v="69"/>
    <s v="B"/>
    <n v="92"/>
    <s v="A+"/>
    <n v="77"/>
    <s v="A-"/>
    <n v="533"/>
    <n v="76.142857142857139"/>
    <x v="2"/>
    <n v="1613"/>
    <x v="1"/>
  </r>
  <r>
    <n v="409"/>
    <s v="Evan"/>
    <s v="Holmes"/>
    <x v="406"/>
    <s v="evan.holmes.409@gslingacademy.com"/>
    <x v="0"/>
    <x v="0"/>
    <n v="4"/>
    <x v="1"/>
    <n v="23"/>
    <x v="5"/>
    <n v="100"/>
    <s v="A+"/>
    <n v="77"/>
    <s v="A-"/>
    <n v="75"/>
    <s v="A-"/>
    <n v="74"/>
    <s v="B+"/>
    <n v="80"/>
    <s v="A"/>
    <n v="94"/>
    <s v="A+"/>
    <n v="74"/>
    <s v="B+"/>
    <n v="574"/>
    <n v="82"/>
    <x v="0"/>
    <n v="832"/>
    <x v="0"/>
  </r>
  <r>
    <n v="410"/>
    <s v="Cynthia"/>
    <s v="Baker"/>
    <x v="407"/>
    <s v="cynthia.baker.410@gslingacademy.com"/>
    <x v="1"/>
    <x v="0"/>
    <n v="6"/>
    <x v="0"/>
    <n v="21"/>
    <x v="5"/>
    <n v="88"/>
    <s v="A"/>
    <n v="84"/>
    <s v="A"/>
    <n v="87"/>
    <s v="A"/>
    <n v="97"/>
    <s v="A+"/>
    <n v="94"/>
    <s v="A+"/>
    <n v="87"/>
    <s v="A"/>
    <n v="85"/>
    <s v="A"/>
    <n v="622"/>
    <n v="88.857142857142861"/>
    <x v="0"/>
    <n v="208"/>
    <x v="0"/>
  </r>
  <r>
    <n v="411"/>
    <s v="Sandra"/>
    <s v="Melendez"/>
    <x v="408"/>
    <s v="sandra.melendez.411@gslingacademy.com"/>
    <x v="1"/>
    <x v="0"/>
    <n v="3"/>
    <x v="0"/>
    <n v="27"/>
    <x v="5"/>
    <n v="96"/>
    <s v="A+"/>
    <n v="76"/>
    <s v="A-"/>
    <n v="98"/>
    <s v="A+"/>
    <n v="89"/>
    <s v="A"/>
    <n v="93"/>
    <s v="A+"/>
    <n v="85"/>
    <s v="A"/>
    <n v="75"/>
    <s v="A-"/>
    <n v="612"/>
    <n v="87.428571428571431"/>
    <x v="0"/>
    <n v="283"/>
    <x v="0"/>
  </r>
  <r>
    <n v="412"/>
    <s v="Claudia"/>
    <s v="Munoz"/>
    <x v="409"/>
    <s v="claudia.munoz.412@gslingacademy.com"/>
    <x v="1"/>
    <x v="0"/>
    <n v="5"/>
    <x v="0"/>
    <n v="14"/>
    <x v="5"/>
    <n v="92"/>
    <s v="A+"/>
    <n v="66"/>
    <s v="B"/>
    <n v="96"/>
    <s v="A+"/>
    <n v="71"/>
    <s v="B+"/>
    <n v="87"/>
    <s v="A"/>
    <n v="89"/>
    <s v="A"/>
    <n v="61"/>
    <s v="B-"/>
    <n v="562"/>
    <n v="80.285714285714292"/>
    <x v="0"/>
    <n v="1099"/>
    <x v="0"/>
  </r>
  <r>
    <n v="413"/>
    <s v="Christopher"/>
    <s v="Nguyen"/>
    <x v="410"/>
    <s v="christopher.nguyen.413@gslingacademy.com"/>
    <x v="0"/>
    <x v="0"/>
    <n v="2"/>
    <x v="1"/>
    <n v="37"/>
    <x v="1"/>
    <n v="87"/>
    <s v="A"/>
    <n v="93"/>
    <s v="A+"/>
    <n v="99"/>
    <s v="A+"/>
    <n v="100"/>
    <s v="A+"/>
    <n v="97"/>
    <s v="A+"/>
    <n v="92"/>
    <s v="A+"/>
    <n v="90"/>
    <s v="A+"/>
    <n v="658"/>
    <n v="94"/>
    <x v="1"/>
    <n v="24"/>
    <x v="1"/>
  </r>
  <r>
    <n v="414"/>
    <s v="David"/>
    <s v="Jennings"/>
    <x v="411"/>
    <s v="david.jennings.414@gslingacademy.com"/>
    <x v="0"/>
    <x v="0"/>
    <n v="3"/>
    <x v="0"/>
    <n v="29"/>
    <x v="11"/>
    <n v="95"/>
    <s v="A+"/>
    <n v="82"/>
    <s v="A"/>
    <n v="74"/>
    <s v="B+"/>
    <n v="87"/>
    <s v="A"/>
    <n v="36"/>
    <s v="F"/>
    <n v="61"/>
    <s v="B-"/>
    <n v="88"/>
    <s v="A"/>
    <n v="523"/>
    <n v="74.714285714285708"/>
    <x v="3"/>
    <n v="1727"/>
    <x v="0"/>
  </r>
  <r>
    <n v="415"/>
    <s v="Joel"/>
    <s v="Morris"/>
    <x v="412"/>
    <s v="joel.morris.415@gslingacademy.com"/>
    <x v="0"/>
    <x v="1"/>
    <n v="6"/>
    <x v="0"/>
    <n v="4"/>
    <x v="7"/>
    <n v="44"/>
    <s v="D"/>
    <n v="76"/>
    <s v="A-"/>
    <n v="56"/>
    <s v="C"/>
    <n v="71"/>
    <s v="B+"/>
    <n v="66"/>
    <s v="B"/>
    <n v="54"/>
    <s v="C"/>
    <n v="91"/>
    <s v="A+"/>
    <n v="458"/>
    <n v="65.428571428571431"/>
    <x v="4"/>
    <n v="1983"/>
    <x v="0"/>
  </r>
  <r>
    <n v="416"/>
    <s v="Rhonda"/>
    <s v="Bradley"/>
    <x v="413"/>
    <s v="rhonda.bradley.416@gslingacademy.com"/>
    <x v="1"/>
    <x v="0"/>
    <n v="3"/>
    <x v="0"/>
    <n v="16"/>
    <x v="9"/>
    <n v="78"/>
    <s v="A-"/>
    <n v="89"/>
    <s v="A"/>
    <n v="68"/>
    <s v="B"/>
    <n v="63"/>
    <s v="B-"/>
    <n v="81"/>
    <s v="A"/>
    <n v="92"/>
    <s v="A+"/>
    <n v="97"/>
    <s v="A+"/>
    <n v="568"/>
    <n v="81.142857142857139"/>
    <x v="0"/>
    <n v="975"/>
    <x v="0"/>
  </r>
  <r>
    <n v="417"/>
    <s v="Melissa"/>
    <s v="Brown"/>
    <x v="414"/>
    <s v="melissa.brown.417@gslingacademy.com"/>
    <x v="1"/>
    <x v="0"/>
    <n v="4"/>
    <x v="0"/>
    <n v="30"/>
    <x v="11"/>
    <n v="95"/>
    <s v="A+"/>
    <n v="78"/>
    <s v="A-"/>
    <n v="93"/>
    <s v="A+"/>
    <n v="85"/>
    <s v="A"/>
    <n v="48"/>
    <s v="D"/>
    <n v="68"/>
    <s v="B"/>
    <n v="75"/>
    <s v="A-"/>
    <n v="542"/>
    <n v="77.428571428571431"/>
    <x v="2"/>
    <n v="1478"/>
    <x v="0"/>
  </r>
  <r>
    <n v="418"/>
    <s v="Matthew"/>
    <s v="Kramer"/>
    <x v="415"/>
    <s v="matthew.kramer.418@gslingacademy.com"/>
    <x v="0"/>
    <x v="1"/>
    <n v="7"/>
    <x v="0"/>
    <n v="1"/>
    <x v="7"/>
    <n v="57"/>
    <s v="C"/>
    <n v="56"/>
    <s v="C"/>
    <n v="53"/>
    <s v="C"/>
    <n v="75"/>
    <s v="A-"/>
    <n v="98"/>
    <s v="A+"/>
    <n v="92"/>
    <s v="A+"/>
    <n v="73"/>
    <s v="B+"/>
    <n v="504"/>
    <n v="72"/>
    <x v="3"/>
    <n v="1858"/>
    <x v="2"/>
  </r>
  <r>
    <n v="419"/>
    <s v="Austin"/>
    <s v="Bass"/>
    <x v="416"/>
    <s v="austin.bass.419@gslingacademy.com"/>
    <x v="0"/>
    <x v="0"/>
    <n v="3"/>
    <x v="1"/>
    <n v="24"/>
    <x v="5"/>
    <n v="86"/>
    <s v="A"/>
    <n v="99"/>
    <s v="A+"/>
    <n v="95"/>
    <s v="A+"/>
    <n v="94"/>
    <s v="A+"/>
    <n v="92"/>
    <s v="A+"/>
    <n v="90"/>
    <s v="A+"/>
    <n v="77"/>
    <s v="A-"/>
    <n v="633"/>
    <n v="90.428571428571431"/>
    <x v="1"/>
    <n v="137"/>
    <x v="0"/>
  </r>
  <r>
    <n v="420"/>
    <s v="Jennifer"/>
    <s v="West"/>
    <x v="417"/>
    <s v="jennifer.west.420@gslingacademy.com"/>
    <x v="1"/>
    <x v="0"/>
    <n v="2"/>
    <x v="0"/>
    <n v="35"/>
    <x v="10"/>
    <n v="92"/>
    <s v="A+"/>
    <n v="97"/>
    <s v="A+"/>
    <n v="100"/>
    <s v="A+"/>
    <n v="91"/>
    <s v="A+"/>
    <n v="95"/>
    <s v="A+"/>
    <n v="90"/>
    <s v="A+"/>
    <n v="95"/>
    <s v="A+"/>
    <n v="660"/>
    <n v="94.285714285714292"/>
    <x v="1"/>
    <n v="17"/>
    <x v="1"/>
  </r>
  <r>
    <n v="421"/>
    <s v="Patricia"/>
    <s v="Mccormick"/>
    <x v="418"/>
    <s v="patricia.mccormick.421@gslingacademy.com"/>
    <x v="1"/>
    <x v="0"/>
    <n v="1"/>
    <x v="0"/>
    <n v="14"/>
    <x v="6"/>
    <n v="69"/>
    <s v="B"/>
    <n v="69"/>
    <s v="B"/>
    <n v="84"/>
    <s v="A"/>
    <n v="100"/>
    <s v="A+"/>
    <n v="69"/>
    <s v="B"/>
    <n v="77"/>
    <s v="A-"/>
    <n v="87"/>
    <s v="A"/>
    <n v="555"/>
    <n v="79.285714285714292"/>
    <x v="2"/>
    <n v="1245"/>
    <x v="1"/>
  </r>
  <r>
    <n v="422"/>
    <s v="Sandra"/>
    <s v="Jacobs"/>
    <x v="419"/>
    <s v="sandra.jacobs.422@gslingacademy.com"/>
    <x v="1"/>
    <x v="0"/>
    <n v="1"/>
    <x v="0"/>
    <n v="3"/>
    <x v="12"/>
    <n v="91"/>
    <s v="A+"/>
    <n v="62"/>
    <s v="B-"/>
    <n v="75"/>
    <s v="A-"/>
    <n v="60"/>
    <s v="B-"/>
    <n v="82"/>
    <s v="A"/>
    <n v="91"/>
    <s v="A+"/>
    <n v="96"/>
    <s v="A+"/>
    <n v="557"/>
    <n v="79.571428571428569"/>
    <x v="2"/>
    <n v="1200"/>
    <x v="1"/>
  </r>
  <r>
    <n v="423"/>
    <s v="Jasmine"/>
    <s v="Clark"/>
    <x v="420"/>
    <s v="jasmine.clark.423@gslingacademy.com"/>
    <x v="1"/>
    <x v="0"/>
    <n v="4"/>
    <x v="0"/>
    <n v="15"/>
    <x v="11"/>
    <n v="79"/>
    <s v="A-"/>
    <n v="79"/>
    <s v="A-"/>
    <n v="97"/>
    <s v="A+"/>
    <n v="78"/>
    <s v="A-"/>
    <n v="31"/>
    <s v="F"/>
    <n v="99"/>
    <s v="A+"/>
    <n v="84"/>
    <s v="A"/>
    <n v="547"/>
    <n v="78.142857142857139"/>
    <x v="2"/>
    <n v="1388"/>
    <x v="0"/>
  </r>
  <r>
    <n v="424"/>
    <s v="Jeffrey"/>
    <s v="Young"/>
    <x v="421"/>
    <s v="jeffrey.young.424@gslingacademy.com"/>
    <x v="0"/>
    <x v="0"/>
    <n v="5"/>
    <x v="0"/>
    <n v="23"/>
    <x v="5"/>
    <n v="93"/>
    <s v="A+"/>
    <n v="96"/>
    <s v="A+"/>
    <n v="80"/>
    <s v="A"/>
    <n v="64"/>
    <s v="B-"/>
    <n v="91"/>
    <s v="A+"/>
    <n v="68"/>
    <s v="B"/>
    <n v="71"/>
    <s v="B+"/>
    <n v="563"/>
    <n v="80.428571428571431"/>
    <x v="0"/>
    <n v="1077"/>
    <x v="0"/>
  </r>
  <r>
    <n v="425"/>
    <s v="Jason"/>
    <s v="Hernandez"/>
    <x v="422"/>
    <s v="jason.hernandez.425@gslingacademy.com"/>
    <x v="0"/>
    <x v="0"/>
    <n v="6"/>
    <x v="0"/>
    <n v="19"/>
    <x v="4"/>
    <n v="90"/>
    <s v="A+"/>
    <n v="79"/>
    <s v="A-"/>
    <n v="90"/>
    <s v="A+"/>
    <n v="73"/>
    <s v="B+"/>
    <n v="76"/>
    <s v="A-"/>
    <n v="68"/>
    <s v="B"/>
    <n v="95"/>
    <s v="A+"/>
    <n v="571"/>
    <n v="81.571428571428569"/>
    <x v="0"/>
    <n v="915"/>
    <x v="0"/>
  </r>
  <r>
    <n v="426"/>
    <s v="Christopher"/>
    <s v="Hamilton"/>
    <x v="423"/>
    <s v="christopher.hamilton.426@gslingacademy.com"/>
    <x v="0"/>
    <x v="0"/>
    <n v="3"/>
    <x v="0"/>
    <n v="33"/>
    <x v="1"/>
    <n v="99"/>
    <s v="A+"/>
    <n v="68"/>
    <s v="B"/>
    <n v="100"/>
    <s v="A+"/>
    <n v="95"/>
    <s v="A+"/>
    <n v="95"/>
    <s v="A+"/>
    <n v="88"/>
    <s v="A"/>
    <n v="83"/>
    <s v="A"/>
    <n v="628"/>
    <n v="89.714285714285708"/>
    <x v="0"/>
    <n v="164"/>
    <x v="0"/>
  </r>
  <r>
    <n v="427"/>
    <s v="Monique"/>
    <s v="Peterson"/>
    <x v="424"/>
    <s v="monique.peterson.427@gslingacademy.com"/>
    <x v="1"/>
    <x v="0"/>
    <n v="0"/>
    <x v="0"/>
    <n v="14"/>
    <x v="9"/>
    <n v="90"/>
    <s v="A+"/>
    <n v="69"/>
    <s v="B"/>
    <n v="81"/>
    <s v="A"/>
    <n v="92"/>
    <s v="A+"/>
    <n v="65"/>
    <s v="B"/>
    <n v="89"/>
    <s v="A"/>
    <n v="69"/>
    <s v="B"/>
    <n v="555"/>
    <n v="79.285714285714292"/>
    <x v="2"/>
    <n v="1245"/>
    <x v="1"/>
  </r>
  <r>
    <n v="428"/>
    <s v="Jill"/>
    <s v="Sexton"/>
    <x v="425"/>
    <s v="jill.sexton.428@gslingacademy.com"/>
    <x v="1"/>
    <x v="0"/>
    <n v="1"/>
    <x v="1"/>
    <n v="0"/>
    <x v="3"/>
    <n v="71"/>
    <s v="B+"/>
    <n v="84"/>
    <s v="A"/>
    <n v="66"/>
    <s v="B"/>
    <n v="75"/>
    <s v="A-"/>
    <n v="93"/>
    <s v="A+"/>
    <n v="84"/>
    <s v="A"/>
    <n v="69"/>
    <s v="B"/>
    <n v="542"/>
    <n v="77.428571428571431"/>
    <x v="2"/>
    <n v="1478"/>
    <x v="1"/>
  </r>
  <r>
    <n v="429"/>
    <s v="Jennifer"/>
    <s v="Kemp"/>
    <x v="426"/>
    <s v="jennifer.kemp.429@gslingacademy.com"/>
    <x v="1"/>
    <x v="0"/>
    <n v="1"/>
    <x v="0"/>
    <n v="34"/>
    <x v="0"/>
    <n v="98"/>
    <s v="A+"/>
    <n v="93"/>
    <s v="A+"/>
    <n v="67"/>
    <s v="B"/>
    <n v="74"/>
    <s v="B+"/>
    <n v="81"/>
    <s v="A"/>
    <n v="87"/>
    <s v="A"/>
    <n v="76"/>
    <s v="A-"/>
    <n v="576"/>
    <n v="82.285714285714292"/>
    <x v="0"/>
    <n v="789"/>
    <x v="1"/>
  </r>
  <r>
    <n v="430"/>
    <s v="David"/>
    <s v="Harris"/>
    <x v="427"/>
    <s v="david.harris.430@gslingacademy.com"/>
    <x v="0"/>
    <x v="0"/>
    <n v="5"/>
    <x v="0"/>
    <n v="33"/>
    <x v="8"/>
    <n v="94"/>
    <s v="A+"/>
    <n v="99"/>
    <s v="A+"/>
    <n v="83"/>
    <s v="A"/>
    <n v="94"/>
    <s v="A+"/>
    <n v="93"/>
    <s v="A+"/>
    <n v="95"/>
    <s v="A+"/>
    <n v="93"/>
    <s v="A+"/>
    <n v="651"/>
    <n v="93"/>
    <x v="1"/>
    <n v="51"/>
    <x v="0"/>
  </r>
  <r>
    <n v="431"/>
    <s v="Cheryl"/>
    <s v="Snyder"/>
    <x v="428"/>
    <s v="cheryl.snyder.431@gslingacademy.com"/>
    <x v="1"/>
    <x v="0"/>
    <n v="7"/>
    <x v="0"/>
    <n v="7"/>
    <x v="15"/>
    <n v="92"/>
    <s v="A+"/>
    <n v="89"/>
    <s v="A"/>
    <n v="79"/>
    <s v="A-"/>
    <n v="76"/>
    <s v="A-"/>
    <n v="86"/>
    <s v="A"/>
    <n v="61"/>
    <s v="B-"/>
    <n v="81"/>
    <s v="A"/>
    <n v="564"/>
    <n v="80.571428571428569"/>
    <x v="0"/>
    <n v="1056"/>
    <x v="2"/>
  </r>
  <r>
    <n v="432"/>
    <s v="Nathan"/>
    <s v="Armstrong"/>
    <x v="429"/>
    <s v="nathan.armstrong.432@gslingacademy.com"/>
    <x v="0"/>
    <x v="0"/>
    <n v="2"/>
    <x v="0"/>
    <n v="18"/>
    <x v="5"/>
    <n v="100"/>
    <s v="A+"/>
    <n v="96"/>
    <s v="A+"/>
    <n v="74"/>
    <s v="B+"/>
    <n v="61"/>
    <s v="B-"/>
    <n v="87"/>
    <s v="A"/>
    <n v="94"/>
    <s v="A+"/>
    <n v="60"/>
    <s v="B-"/>
    <n v="572"/>
    <n v="81.714285714285708"/>
    <x v="0"/>
    <n v="890"/>
    <x v="1"/>
  </r>
  <r>
    <n v="433"/>
    <s v="Patrick"/>
    <s v="Ryan"/>
    <x v="430"/>
    <s v="patrick.ryan.433@gslingacademy.com"/>
    <x v="0"/>
    <x v="0"/>
    <n v="9"/>
    <x v="0"/>
    <n v="4"/>
    <x v="7"/>
    <n v="48"/>
    <s v="D"/>
    <n v="55"/>
    <s v="C"/>
    <n v="86"/>
    <s v="A"/>
    <n v="51"/>
    <s v="C"/>
    <n v="54"/>
    <s v="C"/>
    <n v="94"/>
    <s v="A+"/>
    <n v="61"/>
    <s v="B-"/>
    <n v="449"/>
    <n v="64.142857142857139"/>
    <x v="5"/>
    <n v="1993"/>
    <x v="2"/>
  </r>
  <r>
    <n v="434"/>
    <s v="Christian"/>
    <s v="Wilkins"/>
    <x v="431"/>
    <s v="christian.wilkins.434@gslingacademy.com"/>
    <x v="0"/>
    <x v="0"/>
    <n v="6"/>
    <x v="0"/>
    <n v="10"/>
    <x v="16"/>
    <n v="63"/>
    <s v="B-"/>
    <n v="87"/>
    <s v="A"/>
    <n v="71"/>
    <s v="B+"/>
    <n v="68"/>
    <s v="B"/>
    <n v="66"/>
    <s v="B"/>
    <n v="67"/>
    <s v="B"/>
    <n v="99"/>
    <s v="A+"/>
    <n v="521"/>
    <n v="74.428571428571431"/>
    <x v="3"/>
    <n v="1749"/>
    <x v="0"/>
  </r>
  <r>
    <n v="435"/>
    <s v="Clinton"/>
    <s v="Martin"/>
    <x v="432"/>
    <s v="clinton.martin.435@gslingacademy.com"/>
    <x v="0"/>
    <x v="1"/>
    <n v="2"/>
    <x v="0"/>
    <n v="22"/>
    <x v="5"/>
    <n v="89"/>
    <s v="A"/>
    <n v="83"/>
    <s v="A"/>
    <n v="89"/>
    <s v="A"/>
    <n v="91"/>
    <s v="A+"/>
    <n v="94"/>
    <s v="A+"/>
    <n v="93"/>
    <s v="A+"/>
    <n v="69"/>
    <s v="B"/>
    <n v="608"/>
    <n v="86.857142857142861"/>
    <x v="0"/>
    <n v="318"/>
    <x v="1"/>
  </r>
  <r>
    <n v="436"/>
    <s v="Adriana"/>
    <s v="Sandoval"/>
    <x v="433"/>
    <s v="adriana.sandoval.436@gslingacademy.com"/>
    <x v="1"/>
    <x v="0"/>
    <n v="5"/>
    <x v="0"/>
    <n v="28"/>
    <x v="15"/>
    <n v="88"/>
    <s v="A"/>
    <n v="90"/>
    <s v="A+"/>
    <n v="93"/>
    <s v="A+"/>
    <n v="81"/>
    <s v="A"/>
    <n v="88"/>
    <s v="A"/>
    <n v="90"/>
    <s v="A+"/>
    <n v="74"/>
    <s v="B+"/>
    <n v="604"/>
    <n v="86.285714285714292"/>
    <x v="0"/>
    <n v="353"/>
    <x v="0"/>
  </r>
  <r>
    <n v="437"/>
    <s v="Jeremy"/>
    <s v="Harvey"/>
    <x v="434"/>
    <s v="jeremy.harvey.437@gslingacademy.com"/>
    <x v="0"/>
    <x v="0"/>
    <n v="2"/>
    <x v="0"/>
    <n v="2"/>
    <x v="16"/>
    <n v="98"/>
    <s v="A+"/>
    <n v="87"/>
    <s v="A"/>
    <n v="67"/>
    <s v="B"/>
    <n v="97"/>
    <s v="A+"/>
    <n v="62"/>
    <s v="B-"/>
    <n v="60"/>
    <s v="B-"/>
    <n v="79"/>
    <s v="A-"/>
    <n v="550"/>
    <n v="78.571428571428569"/>
    <x v="2"/>
    <n v="1338"/>
    <x v="1"/>
  </r>
  <r>
    <n v="438"/>
    <s v="Caitlin"/>
    <s v="Murillo"/>
    <x v="435"/>
    <s v="caitlin.murillo.438@gslingacademy.com"/>
    <x v="1"/>
    <x v="0"/>
    <n v="1"/>
    <x v="0"/>
    <n v="0"/>
    <x v="7"/>
    <n v="92"/>
    <s v="A+"/>
    <n v="86"/>
    <s v="A"/>
    <n v="88"/>
    <s v="A"/>
    <n v="75"/>
    <s v="A-"/>
    <n v="60"/>
    <s v="B-"/>
    <n v="50"/>
    <s v="C"/>
    <n v="79"/>
    <s v="A-"/>
    <n v="530"/>
    <n v="75.714285714285708"/>
    <x v="2"/>
    <n v="1646"/>
    <x v="1"/>
  </r>
  <r>
    <n v="439"/>
    <s v="Andrew"/>
    <s v="Green"/>
    <x v="436"/>
    <s v="andrew.green.439@gslingacademy.com"/>
    <x v="0"/>
    <x v="0"/>
    <n v="3"/>
    <x v="0"/>
    <n v="24"/>
    <x v="1"/>
    <n v="80"/>
    <s v="A"/>
    <n v="60"/>
    <s v="B-"/>
    <n v="100"/>
    <s v="A+"/>
    <n v="99"/>
    <s v="A+"/>
    <n v="98"/>
    <s v="A+"/>
    <n v="75"/>
    <s v="A-"/>
    <n v="94"/>
    <s v="A+"/>
    <n v="606"/>
    <n v="86.571428571428569"/>
    <x v="0"/>
    <n v="333"/>
    <x v="0"/>
  </r>
  <r>
    <n v="440"/>
    <s v="Rodney"/>
    <s v="Bennett"/>
    <x v="437"/>
    <s v="rodney.bennett.440@gslingacademy.com"/>
    <x v="0"/>
    <x v="0"/>
    <n v="2"/>
    <x v="0"/>
    <n v="15"/>
    <x v="13"/>
    <n v="92"/>
    <s v="A+"/>
    <n v="63"/>
    <s v="B-"/>
    <n v="91"/>
    <s v="A+"/>
    <n v="65"/>
    <s v="B"/>
    <n v="69"/>
    <s v="B"/>
    <n v="94"/>
    <s v="A+"/>
    <n v="98"/>
    <s v="A+"/>
    <n v="572"/>
    <n v="81.714285714285708"/>
    <x v="0"/>
    <n v="890"/>
    <x v="1"/>
  </r>
  <r>
    <n v="441"/>
    <s v="Megan"/>
    <s v="Moyer"/>
    <x v="438"/>
    <s v="megan.moyer.441@gslingacademy.com"/>
    <x v="1"/>
    <x v="1"/>
    <n v="2"/>
    <x v="0"/>
    <n v="1"/>
    <x v="3"/>
    <n v="82"/>
    <s v="A"/>
    <n v="95"/>
    <s v="A+"/>
    <n v="68"/>
    <s v="B"/>
    <n v="64"/>
    <s v="B-"/>
    <n v="97"/>
    <s v="A+"/>
    <n v="99"/>
    <s v="A+"/>
    <n v="60"/>
    <s v="B-"/>
    <n v="565"/>
    <n v="80.714285714285708"/>
    <x v="0"/>
    <n v="1035"/>
    <x v="1"/>
  </r>
  <r>
    <n v="442"/>
    <s v="Mathew"/>
    <s v="Burns"/>
    <x v="439"/>
    <s v="mathew.burns.442@gslingacademy.com"/>
    <x v="0"/>
    <x v="0"/>
    <n v="1"/>
    <x v="0"/>
    <n v="8"/>
    <x v="15"/>
    <n v="84"/>
    <s v="A"/>
    <n v="74"/>
    <s v="B+"/>
    <n v="74"/>
    <s v="B+"/>
    <n v="75"/>
    <s v="A-"/>
    <n v="99"/>
    <s v="A+"/>
    <n v="99"/>
    <s v="A+"/>
    <n v="85"/>
    <s v="A"/>
    <n v="590"/>
    <n v="84.285714285714292"/>
    <x v="0"/>
    <n v="531"/>
    <x v="1"/>
  </r>
  <r>
    <n v="443"/>
    <s v="Tammie"/>
    <s v="Stanley"/>
    <x v="440"/>
    <s v="tammie.stanley.443@gslingacademy.com"/>
    <x v="1"/>
    <x v="0"/>
    <n v="7"/>
    <x v="0"/>
    <n v="9"/>
    <x v="6"/>
    <n v="61"/>
    <s v="B-"/>
    <n v="70"/>
    <s v="B+"/>
    <n v="65"/>
    <s v="B"/>
    <n v="67"/>
    <s v="B"/>
    <n v="93"/>
    <s v="A+"/>
    <n v="81"/>
    <s v="A"/>
    <n v="63"/>
    <s v="B-"/>
    <n v="500"/>
    <n v="71.428571428571431"/>
    <x v="3"/>
    <n v="1875"/>
    <x v="2"/>
  </r>
  <r>
    <n v="444"/>
    <s v="James"/>
    <s v="Glover"/>
    <x v="441"/>
    <s v="james.glover.444@gslingacademy.com"/>
    <x v="0"/>
    <x v="0"/>
    <n v="4"/>
    <x v="0"/>
    <n v="33"/>
    <x v="5"/>
    <n v="99"/>
    <s v="A+"/>
    <n v="87"/>
    <s v="A"/>
    <n v="98"/>
    <s v="A+"/>
    <n v="76"/>
    <s v="A-"/>
    <n v="65"/>
    <s v="B"/>
    <n v="94"/>
    <s v="A+"/>
    <n v="67"/>
    <s v="B"/>
    <n v="586"/>
    <n v="83.714285714285708"/>
    <x v="0"/>
    <n v="601"/>
    <x v="0"/>
  </r>
  <r>
    <n v="445"/>
    <s v="Michelle"/>
    <s v="Reeves"/>
    <x v="442"/>
    <s v="michelle.reeves.445@gslingacademy.com"/>
    <x v="1"/>
    <x v="0"/>
    <n v="3"/>
    <x v="0"/>
    <n v="32"/>
    <x v="11"/>
    <n v="83"/>
    <s v="A"/>
    <n v="69"/>
    <s v="B"/>
    <n v="90"/>
    <s v="A+"/>
    <n v="78"/>
    <s v="A-"/>
    <n v="39"/>
    <s v="F"/>
    <n v="95"/>
    <s v="A+"/>
    <n v="82"/>
    <s v="A"/>
    <n v="536"/>
    <n v="76.571428571428569"/>
    <x v="2"/>
    <n v="1567"/>
    <x v="0"/>
  </r>
  <r>
    <n v="446"/>
    <s v="Rhonda"/>
    <s v="Hall"/>
    <x v="443"/>
    <s v="rhonda.hall.446@gslingacademy.com"/>
    <x v="1"/>
    <x v="1"/>
    <n v="9"/>
    <x v="0"/>
    <n v="4"/>
    <x v="7"/>
    <n v="56"/>
    <s v="C"/>
    <n v="90"/>
    <s v="A+"/>
    <n v="95"/>
    <s v="A+"/>
    <n v="59"/>
    <s v="C"/>
    <n v="91"/>
    <s v="A+"/>
    <n v="77"/>
    <s v="A-"/>
    <n v="99"/>
    <s v="A+"/>
    <n v="567"/>
    <n v="81"/>
    <x v="0"/>
    <n v="994"/>
    <x v="2"/>
  </r>
  <r>
    <n v="447"/>
    <s v="Matthew"/>
    <s v="Kidd"/>
    <x v="444"/>
    <s v="matthew.kidd.447@gslingacademy.com"/>
    <x v="0"/>
    <x v="0"/>
    <n v="2"/>
    <x v="0"/>
    <n v="2"/>
    <x v="7"/>
    <n v="65"/>
    <s v="B"/>
    <n v="64"/>
    <s v="B-"/>
    <n v="52"/>
    <s v="C"/>
    <n v="56"/>
    <s v="C"/>
    <n v="63"/>
    <s v="B-"/>
    <n v="82"/>
    <s v="A"/>
    <n v="83"/>
    <s v="A"/>
    <n v="465"/>
    <n v="66.428571428571431"/>
    <x v="4"/>
    <n v="1971"/>
    <x v="1"/>
  </r>
  <r>
    <n v="448"/>
    <s v="Joseph"/>
    <s v="Stone"/>
    <x v="445"/>
    <s v="joseph.stone.448@gslingacademy.com"/>
    <x v="0"/>
    <x v="0"/>
    <n v="3"/>
    <x v="0"/>
    <n v="20"/>
    <x v="12"/>
    <n v="94"/>
    <s v="A+"/>
    <n v="61"/>
    <s v="B-"/>
    <n v="77"/>
    <s v="A-"/>
    <n v="73"/>
    <s v="B+"/>
    <n v="79"/>
    <s v="A-"/>
    <n v="65"/>
    <s v="B"/>
    <n v="89"/>
    <s v="A"/>
    <n v="538"/>
    <n v="76.857142857142861"/>
    <x v="2"/>
    <n v="1537"/>
    <x v="0"/>
  </r>
  <r>
    <n v="449"/>
    <s v="Jessica"/>
    <s v="Mendoza"/>
    <x v="446"/>
    <s v="jessica.mendoza.449@gslingacademy.com"/>
    <x v="1"/>
    <x v="0"/>
    <n v="1"/>
    <x v="0"/>
    <n v="21"/>
    <x v="5"/>
    <n v="90"/>
    <s v="A+"/>
    <n v="96"/>
    <s v="A+"/>
    <n v="73"/>
    <s v="B+"/>
    <n v="89"/>
    <s v="A"/>
    <n v="93"/>
    <s v="A+"/>
    <n v="87"/>
    <s v="A"/>
    <n v="96"/>
    <s v="A+"/>
    <n v="624"/>
    <n v="89.142857142857139"/>
    <x v="0"/>
    <n v="194"/>
    <x v="1"/>
  </r>
  <r>
    <n v="450"/>
    <s v="Susan"/>
    <s v="Brown"/>
    <x v="447"/>
    <s v="susan.brown.450@gslingacademy.com"/>
    <x v="1"/>
    <x v="0"/>
    <n v="3"/>
    <x v="0"/>
    <n v="29"/>
    <x v="0"/>
    <n v="94"/>
    <s v="A+"/>
    <n v="82"/>
    <s v="A"/>
    <n v="81"/>
    <s v="A"/>
    <n v="90"/>
    <s v="A+"/>
    <n v="76"/>
    <s v="A-"/>
    <n v="97"/>
    <s v="A+"/>
    <n v="86"/>
    <s v="A"/>
    <n v="606"/>
    <n v="86.571428571428569"/>
    <x v="0"/>
    <n v="333"/>
    <x v="0"/>
  </r>
  <r>
    <n v="451"/>
    <s v="Lori"/>
    <s v="Ryan"/>
    <x v="448"/>
    <s v="lori.ryan.451@gslingacademy.com"/>
    <x v="1"/>
    <x v="0"/>
    <n v="3"/>
    <x v="0"/>
    <n v="13"/>
    <x v="4"/>
    <n v="89"/>
    <s v="A"/>
    <n v="87"/>
    <s v="A"/>
    <n v="63"/>
    <s v="B-"/>
    <n v="83"/>
    <s v="A"/>
    <n v="64"/>
    <s v="B-"/>
    <n v="85"/>
    <s v="A"/>
    <n v="72"/>
    <s v="B+"/>
    <n v="543"/>
    <n v="77.571428571428569"/>
    <x v="2"/>
    <n v="1464"/>
    <x v="0"/>
  </r>
  <r>
    <n v="452"/>
    <s v="Ryan"/>
    <s v="Cruz"/>
    <x v="449"/>
    <s v="ryan.cruz.452@gslingacademy.com"/>
    <x v="0"/>
    <x v="0"/>
    <n v="1"/>
    <x v="0"/>
    <n v="24"/>
    <x v="11"/>
    <n v="89"/>
    <s v="A"/>
    <n v="67"/>
    <s v="B"/>
    <n v="68"/>
    <s v="B"/>
    <n v="93"/>
    <s v="A+"/>
    <n v="98"/>
    <s v="A+"/>
    <n v="75"/>
    <s v="A-"/>
    <n v="88"/>
    <s v="A"/>
    <n v="578"/>
    <n v="82.571428571428569"/>
    <x v="0"/>
    <n v="752"/>
    <x v="1"/>
  </r>
  <r>
    <n v="453"/>
    <s v="Nicholas"/>
    <s v="Johnson"/>
    <x v="450"/>
    <s v="nicholas.johnson.453@gslingacademy.com"/>
    <x v="0"/>
    <x v="0"/>
    <n v="7"/>
    <x v="0"/>
    <n v="30"/>
    <x v="1"/>
    <n v="88"/>
    <s v="A"/>
    <n v="98"/>
    <s v="A+"/>
    <n v="87"/>
    <s v="A"/>
    <n v="85"/>
    <s v="A"/>
    <n v="96"/>
    <s v="A+"/>
    <n v="77"/>
    <s v="A-"/>
    <n v="96"/>
    <s v="A+"/>
    <n v="627"/>
    <n v="89.571428571428569"/>
    <x v="0"/>
    <n v="168"/>
    <x v="2"/>
  </r>
  <r>
    <n v="454"/>
    <s v="Joseph"/>
    <s v="Schmidt"/>
    <x v="451"/>
    <s v="joseph.schmidt.454@gslingacademy.com"/>
    <x v="0"/>
    <x v="0"/>
    <n v="1"/>
    <x v="0"/>
    <n v="25"/>
    <x v="15"/>
    <n v="76"/>
    <s v="A-"/>
    <n v="94"/>
    <s v="A+"/>
    <n v="90"/>
    <s v="A+"/>
    <n v="75"/>
    <s v="A-"/>
    <n v="92"/>
    <s v="A+"/>
    <n v="86"/>
    <s v="A"/>
    <n v="87"/>
    <s v="A"/>
    <n v="600"/>
    <n v="85.714285714285708"/>
    <x v="0"/>
    <n v="406"/>
    <x v="1"/>
  </r>
  <r>
    <n v="455"/>
    <s v="Daniel"/>
    <s v="Brown"/>
    <x v="452"/>
    <s v="daniel.brown.455@gslingacademy.com"/>
    <x v="0"/>
    <x v="0"/>
    <n v="1"/>
    <x v="0"/>
    <n v="1"/>
    <x v="12"/>
    <n v="88"/>
    <s v="A"/>
    <n v="78"/>
    <s v="A-"/>
    <n v="84"/>
    <s v="A"/>
    <n v="96"/>
    <s v="A+"/>
    <n v="92"/>
    <s v="A+"/>
    <n v="99"/>
    <s v="A+"/>
    <n v="97"/>
    <s v="A+"/>
    <n v="634"/>
    <n v="90.571428571428569"/>
    <x v="1"/>
    <n v="131"/>
    <x v="1"/>
  </r>
  <r>
    <n v="456"/>
    <s v="Harold"/>
    <s v="Vazquez"/>
    <x v="453"/>
    <s v="harold.vazquez.456@gslingacademy.com"/>
    <x v="0"/>
    <x v="0"/>
    <n v="4"/>
    <x v="0"/>
    <n v="27"/>
    <x v="5"/>
    <n v="88"/>
    <s v="A"/>
    <n v="76"/>
    <s v="A-"/>
    <n v="80"/>
    <s v="A"/>
    <n v="72"/>
    <s v="B+"/>
    <n v="100"/>
    <s v="A+"/>
    <n v="69"/>
    <s v="B"/>
    <n v="71"/>
    <s v="B+"/>
    <n v="556"/>
    <n v="79.428571428571431"/>
    <x v="2"/>
    <n v="1224"/>
    <x v="0"/>
  </r>
  <r>
    <n v="457"/>
    <s v="Lance"/>
    <s v="Parsons"/>
    <x v="454"/>
    <s v="lance.parsons.457@gslingacademy.com"/>
    <x v="0"/>
    <x v="0"/>
    <n v="0"/>
    <x v="1"/>
    <n v="4"/>
    <x v="16"/>
    <n v="54"/>
    <s v="C"/>
    <n v="88"/>
    <s v="A"/>
    <n v="82"/>
    <s v="A"/>
    <n v="89"/>
    <s v="A"/>
    <n v="72"/>
    <s v="B+"/>
    <n v="60"/>
    <s v="B-"/>
    <n v="69"/>
    <s v="B"/>
    <n v="514"/>
    <n v="73.428571428571431"/>
    <x v="3"/>
    <n v="1805"/>
    <x v="1"/>
  </r>
  <r>
    <n v="458"/>
    <s v="Jill"/>
    <s v="Mathews"/>
    <x v="455"/>
    <s v="jill.mathews.458@gslingacademy.com"/>
    <x v="1"/>
    <x v="0"/>
    <n v="2"/>
    <x v="1"/>
    <n v="32"/>
    <x v="9"/>
    <n v="87"/>
    <s v="A"/>
    <n v="87"/>
    <s v="A"/>
    <n v="76"/>
    <s v="A-"/>
    <n v="67"/>
    <s v="B"/>
    <n v="68"/>
    <s v="B"/>
    <n v="89"/>
    <s v="A"/>
    <n v="77"/>
    <s v="A-"/>
    <n v="551"/>
    <n v="78.714285714285708"/>
    <x v="2"/>
    <n v="1317"/>
    <x v="1"/>
  </r>
  <r>
    <n v="459"/>
    <s v="Crystal"/>
    <s v="Nguyen"/>
    <x v="456"/>
    <s v="crystal.nguyen.459@gslingacademy.com"/>
    <x v="1"/>
    <x v="0"/>
    <n v="1"/>
    <x v="0"/>
    <n v="1"/>
    <x v="3"/>
    <n v="95"/>
    <s v="A+"/>
    <n v="73"/>
    <s v="B+"/>
    <n v="79"/>
    <s v="A-"/>
    <n v="81"/>
    <s v="A"/>
    <n v="82"/>
    <s v="A"/>
    <n v="69"/>
    <s v="B"/>
    <n v="100"/>
    <s v="A+"/>
    <n v="579"/>
    <n v="82.714285714285708"/>
    <x v="0"/>
    <n v="730"/>
    <x v="1"/>
  </r>
  <r>
    <n v="460"/>
    <s v="Susan"/>
    <s v="Perez"/>
    <x v="457"/>
    <s v="susan.perez.460@gslingacademy.com"/>
    <x v="1"/>
    <x v="0"/>
    <n v="2"/>
    <x v="0"/>
    <n v="32"/>
    <x v="12"/>
    <n v="72"/>
    <s v="B+"/>
    <n v="72"/>
    <s v="B+"/>
    <n v="68"/>
    <s v="B"/>
    <n v="81"/>
    <s v="A"/>
    <n v="95"/>
    <s v="A+"/>
    <n v="90"/>
    <s v="A+"/>
    <n v="99"/>
    <s v="A+"/>
    <n v="577"/>
    <n v="82.428571428571431"/>
    <x v="0"/>
    <n v="769"/>
    <x v="1"/>
  </r>
  <r>
    <n v="461"/>
    <s v="Brenda"/>
    <s v="Powers"/>
    <x v="458"/>
    <s v="brenda.powers.461@gslingacademy.com"/>
    <x v="1"/>
    <x v="0"/>
    <n v="1"/>
    <x v="1"/>
    <n v="4"/>
    <x v="16"/>
    <n v="95"/>
    <s v="A+"/>
    <n v="76"/>
    <s v="A-"/>
    <n v="70"/>
    <s v="B+"/>
    <n v="89"/>
    <s v="A"/>
    <n v="88"/>
    <s v="A"/>
    <n v="87"/>
    <s v="A"/>
    <n v="62"/>
    <s v="B-"/>
    <n v="567"/>
    <n v="81"/>
    <x v="0"/>
    <n v="994"/>
    <x v="1"/>
  </r>
  <r>
    <n v="462"/>
    <s v="Samuel"/>
    <s v="Thompson"/>
    <x v="459"/>
    <s v="samuel.thompson.462@gslingacademy.com"/>
    <x v="0"/>
    <x v="0"/>
    <n v="4"/>
    <x v="0"/>
    <n v="28"/>
    <x v="5"/>
    <n v="91"/>
    <s v="A+"/>
    <n v="97"/>
    <s v="A+"/>
    <n v="86"/>
    <s v="A"/>
    <n v="77"/>
    <s v="A-"/>
    <n v="83"/>
    <s v="A"/>
    <n v="79"/>
    <s v="A-"/>
    <n v="62"/>
    <s v="B-"/>
    <n v="575"/>
    <n v="82.142857142857139"/>
    <x v="0"/>
    <n v="807"/>
    <x v="0"/>
  </r>
  <r>
    <n v="463"/>
    <s v="Taylor"/>
    <s v="Nelson"/>
    <x v="460"/>
    <s v="taylor.nelson.463@gslingacademy.com"/>
    <x v="1"/>
    <x v="0"/>
    <n v="3"/>
    <x v="1"/>
    <n v="32"/>
    <x v="0"/>
    <n v="79"/>
    <s v="A-"/>
    <n v="81"/>
    <s v="A"/>
    <n v="63"/>
    <s v="B-"/>
    <n v="79"/>
    <s v="A-"/>
    <n v="96"/>
    <s v="A+"/>
    <n v="96"/>
    <s v="A+"/>
    <n v="89"/>
    <s v="A"/>
    <n v="583"/>
    <n v="83.285714285714292"/>
    <x v="0"/>
    <n v="655"/>
    <x v="0"/>
  </r>
  <r>
    <n v="464"/>
    <s v="Kimberly"/>
    <s v="West"/>
    <x v="461"/>
    <s v="kimberly.west.464@gslingacademy.com"/>
    <x v="1"/>
    <x v="0"/>
    <n v="1"/>
    <x v="0"/>
    <n v="33"/>
    <x v="1"/>
    <n v="80"/>
    <s v="A"/>
    <n v="71"/>
    <s v="B+"/>
    <n v="94"/>
    <s v="A+"/>
    <n v="92"/>
    <s v="A+"/>
    <n v="92"/>
    <s v="A+"/>
    <n v="60"/>
    <s v="B-"/>
    <n v="78"/>
    <s v="A-"/>
    <n v="567"/>
    <n v="81"/>
    <x v="0"/>
    <n v="994"/>
    <x v="1"/>
  </r>
  <r>
    <n v="465"/>
    <s v="Brad"/>
    <s v="Lee"/>
    <x v="462"/>
    <s v="brad.lee.465@gslingacademy.com"/>
    <x v="0"/>
    <x v="1"/>
    <n v="2"/>
    <x v="0"/>
    <n v="4"/>
    <x v="7"/>
    <n v="86"/>
    <s v="A"/>
    <n v="90"/>
    <s v="A+"/>
    <n v="88"/>
    <s v="A"/>
    <n v="73"/>
    <s v="B+"/>
    <n v="50"/>
    <s v="C"/>
    <n v="93"/>
    <s v="A+"/>
    <n v="71"/>
    <s v="B+"/>
    <n v="551"/>
    <n v="78.714285714285708"/>
    <x v="2"/>
    <n v="1317"/>
    <x v="1"/>
  </r>
  <r>
    <n v="466"/>
    <s v="Clayton"/>
    <s v="Green"/>
    <x v="463"/>
    <s v="clayton.green.466@gslingacademy.com"/>
    <x v="0"/>
    <x v="0"/>
    <n v="1"/>
    <x v="0"/>
    <n v="31"/>
    <x v="5"/>
    <n v="88"/>
    <s v="A"/>
    <n v="88"/>
    <s v="A"/>
    <n v="90"/>
    <s v="A+"/>
    <n v="67"/>
    <s v="B"/>
    <n v="77"/>
    <s v="A-"/>
    <n v="83"/>
    <s v="A"/>
    <n v="64"/>
    <s v="B-"/>
    <n v="557"/>
    <n v="79.571428571428569"/>
    <x v="2"/>
    <n v="1200"/>
    <x v="1"/>
  </r>
  <r>
    <n v="467"/>
    <s v="Richard"/>
    <s v="Anderson"/>
    <x v="464"/>
    <s v="richard.anderson.467@gslingacademy.com"/>
    <x v="0"/>
    <x v="0"/>
    <n v="5"/>
    <x v="0"/>
    <n v="17"/>
    <x v="13"/>
    <n v="83"/>
    <s v="A"/>
    <n v="95"/>
    <s v="A+"/>
    <n v="86"/>
    <s v="A"/>
    <n v="80"/>
    <s v="A"/>
    <n v="64"/>
    <s v="B-"/>
    <n v="66"/>
    <s v="B"/>
    <n v="97"/>
    <s v="A+"/>
    <n v="571"/>
    <n v="81.571428571428569"/>
    <x v="0"/>
    <n v="915"/>
    <x v="0"/>
  </r>
  <r>
    <n v="468"/>
    <s v="Antonio"/>
    <s v="Flores"/>
    <x v="465"/>
    <s v="antonio.flores.468@gslingacademy.com"/>
    <x v="0"/>
    <x v="0"/>
    <n v="2"/>
    <x v="0"/>
    <n v="23"/>
    <x v="1"/>
    <n v="84"/>
    <s v="A"/>
    <n v="84"/>
    <s v="A"/>
    <n v="80"/>
    <s v="A"/>
    <n v="97"/>
    <s v="A+"/>
    <n v="87"/>
    <s v="A"/>
    <n v="97"/>
    <s v="A+"/>
    <n v="91"/>
    <s v="A+"/>
    <n v="620"/>
    <n v="88.571428571428569"/>
    <x v="0"/>
    <n v="215"/>
    <x v="1"/>
  </r>
  <r>
    <n v="469"/>
    <s v="Margaret"/>
    <s v="Mullins"/>
    <x v="466"/>
    <s v="margaret.mullins.469@gslingacademy.com"/>
    <x v="1"/>
    <x v="0"/>
    <n v="0"/>
    <x v="0"/>
    <n v="29"/>
    <x v="5"/>
    <n v="85"/>
    <s v="A"/>
    <n v="82"/>
    <s v="A"/>
    <n v="81"/>
    <s v="A"/>
    <n v="85"/>
    <s v="A"/>
    <n v="72"/>
    <s v="B+"/>
    <n v="90"/>
    <s v="A+"/>
    <n v="71"/>
    <s v="B+"/>
    <n v="566"/>
    <n v="80.857142857142861"/>
    <x v="0"/>
    <n v="1019"/>
    <x v="1"/>
  </r>
  <r>
    <n v="470"/>
    <s v="Michael"/>
    <s v="Ball"/>
    <x v="467"/>
    <s v="michael.ball.470@gslingacademy.com"/>
    <x v="0"/>
    <x v="0"/>
    <n v="2"/>
    <x v="0"/>
    <n v="19"/>
    <x v="5"/>
    <n v="91"/>
    <s v="A+"/>
    <n v="85"/>
    <s v="A"/>
    <n v="96"/>
    <s v="A+"/>
    <n v="83"/>
    <s v="A"/>
    <n v="74"/>
    <s v="B+"/>
    <n v="87"/>
    <s v="A"/>
    <n v="74"/>
    <s v="B+"/>
    <n v="590"/>
    <n v="84.285714285714292"/>
    <x v="0"/>
    <n v="531"/>
    <x v="1"/>
  </r>
  <r>
    <n v="471"/>
    <s v="Allen"/>
    <s v="Booth"/>
    <x v="468"/>
    <s v="allen.booth.471@gslingacademy.com"/>
    <x v="0"/>
    <x v="1"/>
    <n v="4"/>
    <x v="1"/>
    <n v="26"/>
    <x v="9"/>
    <n v="83"/>
    <s v="A"/>
    <n v="71"/>
    <s v="B+"/>
    <n v="94"/>
    <s v="A+"/>
    <n v="60"/>
    <s v="B-"/>
    <n v="63"/>
    <s v="B-"/>
    <n v="93"/>
    <s v="A+"/>
    <n v="67"/>
    <s v="B"/>
    <n v="531"/>
    <n v="75.857142857142861"/>
    <x v="2"/>
    <n v="1637"/>
    <x v="0"/>
  </r>
  <r>
    <n v="472"/>
    <s v="Stephanie"/>
    <s v="Clark"/>
    <x v="469"/>
    <s v="stephanie.clark.472@gslingacademy.com"/>
    <x v="1"/>
    <x v="0"/>
    <n v="7"/>
    <x v="0"/>
    <n v="7"/>
    <x v="16"/>
    <n v="97"/>
    <s v="A+"/>
    <n v="93"/>
    <s v="A+"/>
    <n v="99"/>
    <s v="A+"/>
    <n v="98"/>
    <s v="A+"/>
    <n v="96"/>
    <s v="A+"/>
    <n v="79"/>
    <s v="A-"/>
    <n v="88"/>
    <s v="A"/>
    <n v="650"/>
    <n v="92.857142857142861"/>
    <x v="1"/>
    <n v="56"/>
    <x v="2"/>
  </r>
  <r>
    <n v="473"/>
    <s v="Sharon"/>
    <s v="Nelson"/>
    <x v="470"/>
    <s v="sharon.nelson.473@gslingacademy.com"/>
    <x v="1"/>
    <x v="0"/>
    <n v="6"/>
    <x v="0"/>
    <n v="4"/>
    <x v="16"/>
    <n v="63"/>
    <s v="B-"/>
    <n v="68"/>
    <s v="B"/>
    <n v="92"/>
    <s v="A+"/>
    <n v="73"/>
    <s v="B+"/>
    <n v="66"/>
    <s v="B"/>
    <n v="69"/>
    <s v="B"/>
    <n v="87"/>
    <s v="A"/>
    <n v="518"/>
    <n v="74"/>
    <x v="3"/>
    <n v="1775"/>
    <x v="0"/>
  </r>
  <r>
    <n v="474"/>
    <s v="Marco"/>
    <s v="Clark"/>
    <x v="471"/>
    <s v="marco.clark.474@gslingacademy.com"/>
    <x v="0"/>
    <x v="0"/>
    <n v="6"/>
    <x v="0"/>
    <n v="22"/>
    <x v="1"/>
    <n v="92"/>
    <s v="A+"/>
    <n v="98"/>
    <s v="A+"/>
    <n v="90"/>
    <s v="A+"/>
    <n v="82"/>
    <s v="A"/>
    <n v="86"/>
    <s v="A"/>
    <n v="86"/>
    <s v="A"/>
    <n v="89"/>
    <s v="A"/>
    <n v="623"/>
    <n v="89"/>
    <x v="0"/>
    <n v="201"/>
    <x v="0"/>
  </r>
  <r>
    <n v="475"/>
    <s v="Victor"/>
    <s v="Smith"/>
    <x v="472"/>
    <s v="victor.smith.475@gslingacademy.com"/>
    <x v="0"/>
    <x v="1"/>
    <n v="6"/>
    <x v="1"/>
    <n v="4"/>
    <x v="7"/>
    <n v="78"/>
    <s v="A-"/>
    <n v="78"/>
    <s v="A-"/>
    <n v="64"/>
    <s v="B-"/>
    <n v="94"/>
    <s v="A+"/>
    <n v="79"/>
    <s v="A-"/>
    <n v="92"/>
    <s v="A+"/>
    <n v="63"/>
    <s v="B-"/>
    <n v="548"/>
    <n v="78.285714285714292"/>
    <x v="2"/>
    <n v="1374"/>
    <x v="0"/>
  </r>
  <r>
    <n v="476"/>
    <s v="Christina"/>
    <s v="Patterson"/>
    <x v="473"/>
    <s v="christina.patterson.476@gslingacademy.com"/>
    <x v="1"/>
    <x v="0"/>
    <n v="3"/>
    <x v="0"/>
    <n v="29"/>
    <x v="0"/>
    <n v="78"/>
    <s v="A-"/>
    <n v="90"/>
    <s v="A+"/>
    <n v="69"/>
    <s v="B"/>
    <n v="100"/>
    <s v="A+"/>
    <n v="90"/>
    <s v="A+"/>
    <n v="91"/>
    <s v="A+"/>
    <n v="90"/>
    <s v="A+"/>
    <n v="608"/>
    <n v="86.857142857142861"/>
    <x v="0"/>
    <n v="318"/>
    <x v="0"/>
  </r>
  <r>
    <n v="477"/>
    <s v="Jerry"/>
    <s v="Knight"/>
    <x v="474"/>
    <s v="jerry.knight.477@gslingacademy.com"/>
    <x v="0"/>
    <x v="0"/>
    <n v="8"/>
    <x v="1"/>
    <n v="21"/>
    <x v="15"/>
    <n v="89"/>
    <s v="A"/>
    <n v="60"/>
    <s v="B-"/>
    <n v="93"/>
    <s v="A+"/>
    <n v="79"/>
    <s v="A-"/>
    <n v="72"/>
    <s v="B+"/>
    <n v="76"/>
    <s v="A-"/>
    <n v="85"/>
    <s v="A"/>
    <n v="554"/>
    <n v="79.142857142857139"/>
    <x v="2"/>
    <n v="1264"/>
    <x v="2"/>
  </r>
  <r>
    <n v="478"/>
    <s v="Madison"/>
    <s v="Jacobs"/>
    <x v="475"/>
    <s v="madison.jacobs.478@gslingacademy.com"/>
    <x v="1"/>
    <x v="0"/>
    <n v="3"/>
    <x v="0"/>
    <n v="5"/>
    <x v="16"/>
    <n v="53"/>
    <s v="C"/>
    <n v="87"/>
    <s v="A"/>
    <n v="100"/>
    <s v="A+"/>
    <n v="84"/>
    <s v="A"/>
    <n v="63"/>
    <s v="B-"/>
    <n v="62"/>
    <s v="B-"/>
    <n v="95"/>
    <s v="A+"/>
    <n v="544"/>
    <n v="77.714285714285708"/>
    <x v="2"/>
    <n v="1446"/>
    <x v="0"/>
  </r>
  <r>
    <n v="479"/>
    <s v="Douglas"/>
    <s v="Watson"/>
    <x v="476"/>
    <s v="douglas.watson.479@gslingacademy.com"/>
    <x v="0"/>
    <x v="0"/>
    <n v="5"/>
    <x v="0"/>
    <n v="15"/>
    <x v="4"/>
    <n v="63"/>
    <s v="B-"/>
    <n v="84"/>
    <s v="A"/>
    <n v="60"/>
    <s v="B-"/>
    <n v="85"/>
    <s v="A"/>
    <n v="91"/>
    <s v="A+"/>
    <n v="83"/>
    <s v="A"/>
    <n v="84"/>
    <s v="A"/>
    <n v="550"/>
    <n v="78.571428571428569"/>
    <x v="2"/>
    <n v="1338"/>
    <x v="0"/>
  </r>
  <r>
    <n v="480"/>
    <s v="Manuel"/>
    <s v="Barrett"/>
    <x v="477"/>
    <s v="manuel.barrett.480@gslingacademy.com"/>
    <x v="0"/>
    <x v="0"/>
    <n v="3"/>
    <x v="1"/>
    <n v="10"/>
    <x v="4"/>
    <n v="100"/>
    <s v="A+"/>
    <n v="98"/>
    <s v="A+"/>
    <n v="71"/>
    <s v="B+"/>
    <n v="100"/>
    <s v="A+"/>
    <n v="71"/>
    <s v="B+"/>
    <n v="92"/>
    <s v="A+"/>
    <n v="63"/>
    <s v="B-"/>
    <n v="595"/>
    <n v="85"/>
    <x v="0"/>
    <n v="465"/>
    <x v="0"/>
  </r>
  <r>
    <n v="481"/>
    <s v="Janet"/>
    <s v="Martin"/>
    <x v="478"/>
    <s v="janet.martin.481@gslingacademy.com"/>
    <x v="1"/>
    <x v="1"/>
    <n v="7"/>
    <x v="0"/>
    <n v="2"/>
    <x v="7"/>
    <n v="79"/>
    <s v="A-"/>
    <n v="54"/>
    <s v="C"/>
    <n v="81"/>
    <s v="A"/>
    <n v="87"/>
    <s v="A"/>
    <n v="67"/>
    <s v="B"/>
    <n v="74"/>
    <s v="B+"/>
    <n v="85"/>
    <s v="A"/>
    <n v="527"/>
    <n v="75.285714285714292"/>
    <x v="2"/>
    <n v="1683"/>
    <x v="2"/>
  </r>
  <r>
    <n v="482"/>
    <s v="Teresa"/>
    <s v="Flores"/>
    <x v="479"/>
    <s v="teresa.flores.482@gslingacademy.com"/>
    <x v="1"/>
    <x v="0"/>
    <n v="4"/>
    <x v="1"/>
    <n v="0"/>
    <x v="16"/>
    <n v="93"/>
    <s v="A+"/>
    <n v="77"/>
    <s v="A-"/>
    <n v="71"/>
    <s v="B+"/>
    <n v="62"/>
    <s v="B-"/>
    <n v="94"/>
    <s v="A+"/>
    <n v="69"/>
    <s v="B"/>
    <n v="72"/>
    <s v="B+"/>
    <n v="538"/>
    <n v="76.857142857142861"/>
    <x v="2"/>
    <n v="1537"/>
    <x v="0"/>
  </r>
  <r>
    <n v="483"/>
    <s v="Anthony"/>
    <s v="Mullins"/>
    <x v="480"/>
    <s v="anthony.mullins.483@gslingacademy.com"/>
    <x v="0"/>
    <x v="0"/>
    <n v="5"/>
    <x v="1"/>
    <n v="3"/>
    <x v="3"/>
    <n v="97"/>
    <s v="A+"/>
    <n v="88"/>
    <s v="A"/>
    <n v="67"/>
    <s v="B"/>
    <n v="72"/>
    <s v="B+"/>
    <n v="83"/>
    <s v="A"/>
    <n v="87"/>
    <s v="A"/>
    <n v="62"/>
    <s v="B-"/>
    <n v="556"/>
    <n v="79.428571428571431"/>
    <x v="2"/>
    <n v="1224"/>
    <x v="0"/>
  </r>
  <r>
    <n v="484"/>
    <s v="Julie"/>
    <s v="Zamora"/>
    <x v="481"/>
    <s v="julie.zamora.484@gslingacademy.com"/>
    <x v="1"/>
    <x v="0"/>
    <n v="6"/>
    <x v="1"/>
    <n v="1"/>
    <x v="4"/>
    <n v="76"/>
    <s v="A-"/>
    <n v="82"/>
    <s v="A"/>
    <n v="93"/>
    <s v="A+"/>
    <n v="98"/>
    <s v="A+"/>
    <n v="98"/>
    <s v="A+"/>
    <n v="60"/>
    <s v="B-"/>
    <n v="65"/>
    <s v="B"/>
    <n v="572"/>
    <n v="81.714285714285708"/>
    <x v="0"/>
    <n v="890"/>
    <x v="0"/>
  </r>
  <r>
    <n v="485"/>
    <s v="Maria"/>
    <s v="Nguyen"/>
    <x v="482"/>
    <s v="maria.nguyen.485@gslingacademy.com"/>
    <x v="1"/>
    <x v="0"/>
    <n v="3"/>
    <x v="1"/>
    <n v="26"/>
    <x v="11"/>
    <n v="84"/>
    <s v="A"/>
    <n v="83"/>
    <s v="A"/>
    <n v="80"/>
    <s v="A"/>
    <n v="91"/>
    <s v="A+"/>
    <n v="88"/>
    <s v="A"/>
    <n v="61"/>
    <s v="B-"/>
    <n v="61"/>
    <s v="B-"/>
    <n v="548"/>
    <n v="78.285714285714292"/>
    <x v="2"/>
    <n v="1374"/>
    <x v="0"/>
  </r>
  <r>
    <n v="486"/>
    <s v="Selena"/>
    <s v="Castro"/>
    <x v="483"/>
    <s v="selena.castro.486@gslingacademy.com"/>
    <x v="1"/>
    <x v="1"/>
    <n v="5"/>
    <x v="0"/>
    <n v="2"/>
    <x v="7"/>
    <n v="56"/>
    <s v="C"/>
    <n v="96"/>
    <s v="A+"/>
    <n v="65"/>
    <s v="B"/>
    <n v="61"/>
    <s v="B-"/>
    <n v="78"/>
    <s v="A-"/>
    <n v="77"/>
    <s v="A-"/>
    <n v="95"/>
    <s v="A+"/>
    <n v="528"/>
    <n v="75.428571428571431"/>
    <x v="2"/>
    <n v="1678"/>
    <x v="0"/>
  </r>
  <r>
    <n v="487"/>
    <s v="Whitney"/>
    <s v="Miller"/>
    <x v="484"/>
    <s v="whitney.miller.487@gslingacademy.com"/>
    <x v="1"/>
    <x v="0"/>
    <n v="3"/>
    <x v="0"/>
    <n v="21"/>
    <x v="4"/>
    <n v="97"/>
    <s v="A+"/>
    <n v="89"/>
    <s v="A"/>
    <n v="94"/>
    <s v="A+"/>
    <n v="91"/>
    <s v="A+"/>
    <n v="95"/>
    <s v="A+"/>
    <n v="70"/>
    <s v="B+"/>
    <n v="75"/>
    <s v="A-"/>
    <n v="611"/>
    <n v="87.285714285714292"/>
    <x v="0"/>
    <n v="291"/>
    <x v="0"/>
  </r>
  <r>
    <n v="488"/>
    <s v="Brenda"/>
    <s v="Mooney"/>
    <x v="485"/>
    <s v="brenda.mooney.488@gslingacademy.com"/>
    <x v="1"/>
    <x v="0"/>
    <n v="10"/>
    <x v="0"/>
    <n v="5"/>
    <x v="7"/>
    <n v="67"/>
    <s v="B"/>
    <n v="60"/>
    <s v="B-"/>
    <n v="97"/>
    <s v="A+"/>
    <n v="53"/>
    <s v="C"/>
    <n v="93"/>
    <s v="A+"/>
    <n v="78"/>
    <s v="A-"/>
    <n v="81"/>
    <s v="A"/>
    <n v="529"/>
    <n v="75.571428571428569"/>
    <x v="2"/>
    <n v="1664"/>
    <x v="2"/>
  </r>
  <r>
    <n v="489"/>
    <s v="Angela"/>
    <s v="Allen"/>
    <x v="486"/>
    <s v="angela.allen.489@gslingacademy.com"/>
    <x v="1"/>
    <x v="1"/>
    <n v="10"/>
    <x v="0"/>
    <n v="5"/>
    <x v="7"/>
    <n v="97"/>
    <s v="A+"/>
    <n v="93"/>
    <s v="A+"/>
    <n v="64"/>
    <s v="B-"/>
    <n v="74"/>
    <s v="B+"/>
    <n v="94"/>
    <s v="A+"/>
    <n v="74"/>
    <s v="B+"/>
    <n v="76"/>
    <s v="A-"/>
    <n v="572"/>
    <n v="81.714285714285708"/>
    <x v="0"/>
    <n v="890"/>
    <x v="2"/>
  </r>
  <r>
    <n v="490"/>
    <s v="Erica"/>
    <s v="Cohen"/>
    <x v="487"/>
    <s v="erica.cohen.490@gslingacademy.com"/>
    <x v="1"/>
    <x v="0"/>
    <n v="5"/>
    <x v="0"/>
    <n v="0"/>
    <x v="7"/>
    <n v="100"/>
    <s v="A+"/>
    <n v="67"/>
    <s v="B"/>
    <n v="50"/>
    <s v="C"/>
    <n v="78"/>
    <s v="A-"/>
    <n v="73"/>
    <s v="B+"/>
    <n v="90"/>
    <s v="A+"/>
    <n v="91"/>
    <s v="A+"/>
    <n v="549"/>
    <n v="78.428571428571431"/>
    <x v="2"/>
    <n v="1355"/>
    <x v="0"/>
  </r>
  <r>
    <n v="491"/>
    <s v="Kelly"/>
    <s v="Sanders"/>
    <x v="488"/>
    <s v="kelly.sanders.491@gslingacademy.com"/>
    <x v="1"/>
    <x v="0"/>
    <n v="5"/>
    <x v="1"/>
    <n v="10"/>
    <x v="6"/>
    <n v="83"/>
    <s v="A"/>
    <n v="61"/>
    <s v="B-"/>
    <n v="76"/>
    <s v="A-"/>
    <n v="75"/>
    <s v="A-"/>
    <n v="62"/>
    <s v="B-"/>
    <n v="79"/>
    <s v="A-"/>
    <n v="94"/>
    <s v="A+"/>
    <n v="530"/>
    <n v="75.714285714285708"/>
    <x v="2"/>
    <n v="1646"/>
    <x v="0"/>
  </r>
  <r>
    <n v="492"/>
    <s v="Michael"/>
    <s v="Clark"/>
    <x v="489"/>
    <s v="michael.clark.492@gslingacademy.com"/>
    <x v="0"/>
    <x v="0"/>
    <n v="5"/>
    <x v="0"/>
    <n v="2"/>
    <x v="3"/>
    <n v="85"/>
    <s v="A"/>
    <n v="63"/>
    <s v="B-"/>
    <n v="83"/>
    <s v="A"/>
    <n v="83"/>
    <s v="A"/>
    <n v="69"/>
    <s v="B"/>
    <n v="94"/>
    <s v="A+"/>
    <n v="80"/>
    <s v="A"/>
    <n v="557"/>
    <n v="79.571428571428569"/>
    <x v="2"/>
    <n v="1200"/>
    <x v="0"/>
  </r>
  <r>
    <n v="493"/>
    <s v="Tammy"/>
    <s v="Fields"/>
    <x v="490"/>
    <s v="tammy.fields.493@gslingacademy.com"/>
    <x v="1"/>
    <x v="0"/>
    <n v="5"/>
    <x v="1"/>
    <n v="24"/>
    <x v="9"/>
    <n v="100"/>
    <s v="A+"/>
    <n v="96"/>
    <s v="A+"/>
    <n v="97"/>
    <s v="A+"/>
    <n v="64"/>
    <s v="B-"/>
    <n v="76"/>
    <s v="A-"/>
    <n v="77"/>
    <s v="A-"/>
    <n v="61"/>
    <s v="B-"/>
    <n v="571"/>
    <n v="81.571428571428569"/>
    <x v="0"/>
    <n v="915"/>
    <x v="0"/>
  </r>
  <r>
    <n v="494"/>
    <s v="Steven"/>
    <s v="Pennington"/>
    <x v="491"/>
    <s v="steven.pennington.494@gslingacademy.com"/>
    <x v="0"/>
    <x v="0"/>
    <n v="4"/>
    <x v="0"/>
    <n v="46"/>
    <x v="1"/>
    <n v="92"/>
    <s v="A+"/>
    <n v="98"/>
    <s v="A+"/>
    <n v="99"/>
    <s v="A+"/>
    <n v="86"/>
    <s v="A"/>
    <n v="100"/>
    <s v="A+"/>
    <n v="86"/>
    <s v="A"/>
    <n v="87"/>
    <s v="A"/>
    <n v="648"/>
    <n v="92.571428571428569"/>
    <x v="1"/>
    <n v="65"/>
    <x v="0"/>
  </r>
  <r>
    <n v="495"/>
    <s v="Matthew"/>
    <s v="Chavez"/>
    <x v="492"/>
    <s v="matthew.chavez.495@gslingacademy.com"/>
    <x v="0"/>
    <x v="0"/>
    <n v="3"/>
    <x v="0"/>
    <n v="31"/>
    <x v="10"/>
    <n v="88"/>
    <s v="A"/>
    <n v="98"/>
    <s v="A+"/>
    <n v="65"/>
    <s v="B"/>
    <n v="68"/>
    <s v="B"/>
    <n v="99"/>
    <s v="A+"/>
    <n v="94"/>
    <s v="A+"/>
    <n v="79"/>
    <s v="A-"/>
    <n v="591"/>
    <n v="84.428571428571431"/>
    <x v="0"/>
    <n v="515"/>
    <x v="0"/>
  </r>
  <r>
    <n v="496"/>
    <s v="Stephen"/>
    <s v="Gallagher"/>
    <x v="493"/>
    <s v="stephen.gallagher.496@gslingacademy.com"/>
    <x v="0"/>
    <x v="0"/>
    <n v="1"/>
    <x v="0"/>
    <n v="33"/>
    <x v="0"/>
    <n v="95"/>
    <s v="A+"/>
    <n v="82"/>
    <s v="A"/>
    <n v="62"/>
    <s v="B-"/>
    <n v="76"/>
    <s v="A-"/>
    <n v="64"/>
    <s v="B-"/>
    <n v="91"/>
    <s v="A+"/>
    <n v="79"/>
    <s v="A-"/>
    <n v="549"/>
    <n v="78.428571428571431"/>
    <x v="2"/>
    <n v="1355"/>
    <x v="1"/>
  </r>
  <r>
    <n v="497"/>
    <s v="Victoria"/>
    <s v="Anderson"/>
    <x v="494"/>
    <s v="victoria.anderson.497@gslingacademy.com"/>
    <x v="1"/>
    <x v="0"/>
    <n v="5"/>
    <x v="0"/>
    <n v="26"/>
    <x v="15"/>
    <n v="76"/>
    <s v="A-"/>
    <n v="81"/>
    <s v="A"/>
    <n v="84"/>
    <s v="A"/>
    <n v="80"/>
    <s v="A"/>
    <n v="80"/>
    <s v="A"/>
    <n v="84"/>
    <s v="A"/>
    <n v="70"/>
    <s v="B+"/>
    <n v="555"/>
    <n v="79.285714285714292"/>
    <x v="2"/>
    <n v="1245"/>
    <x v="0"/>
  </r>
  <r>
    <n v="498"/>
    <s v="Thomas"/>
    <s v="Schroeder"/>
    <x v="495"/>
    <s v="thomas.schroeder.498@gslingacademy.com"/>
    <x v="0"/>
    <x v="0"/>
    <n v="2"/>
    <x v="0"/>
    <n v="19"/>
    <x v="11"/>
    <n v="79"/>
    <s v="A-"/>
    <n v="93"/>
    <s v="A+"/>
    <n v="72"/>
    <s v="B+"/>
    <n v="97"/>
    <s v="A+"/>
    <n v="69"/>
    <s v="B"/>
    <n v="78"/>
    <s v="A-"/>
    <n v="87"/>
    <s v="A"/>
    <n v="575"/>
    <n v="82.142857142857139"/>
    <x v="0"/>
    <n v="807"/>
    <x v="1"/>
  </r>
  <r>
    <n v="499"/>
    <s v="Mark"/>
    <s v="Sanchez"/>
    <x v="496"/>
    <s v="mark.sanchez.499@gslingacademy.com"/>
    <x v="0"/>
    <x v="0"/>
    <n v="3"/>
    <x v="0"/>
    <n v="25"/>
    <x v="5"/>
    <n v="93"/>
    <s v="A+"/>
    <n v="70"/>
    <s v="B+"/>
    <n v="84"/>
    <s v="A"/>
    <n v="68"/>
    <s v="B"/>
    <n v="71"/>
    <s v="B+"/>
    <n v="85"/>
    <s v="A"/>
    <n v="70"/>
    <s v="B+"/>
    <n v="541"/>
    <n v="77.285714285714292"/>
    <x v="2"/>
    <n v="1493"/>
    <x v="0"/>
  </r>
  <r>
    <n v="500"/>
    <s v="Katelyn"/>
    <s v="Moses"/>
    <x v="497"/>
    <s v="katelyn.moses.500@gslingacademy.com"/>
    <x v="1"/>
    <x v="0"/>
    <n v="3"/>
    <x v="0"/>
    <n v="24"/>
    <x v="11"/>
    <n v="79"/>
    <s v="A-"/>
    <n v="96"/>
    <s v="A+"/>
    <n v="78"/>
    <s v="A-"/>
    <n v="90"/>
    <s v="A+"/>
    <n v="94"/>
    <s v="A+"/>
    <n v="76"/>
    <s v="A-"/>
    <n v="88"/>
    <s v="A"/>
    <n v="601"/>
    <n v="85.857142857142861"/>
    <x v="0"/>
    <n v="394"/>
    <x v="0"/>
  </r>
  <r>
    <n v="501"/>
    <s v="Corey"/>
    <s v="Davis"/>
    <x v="498"/>
    <s v="corey.davis.501@gslingacademy.com"/>
    <x v="0"/>
    <x v="0"/>
    <n v="1"/>
    <x v="0"/>
    <n v="21"/>
    <x v="15"/>
    <n v="98"/>
    <s v="A+"/>
    <n v="99"/>
    <s v="A+"/>
    <n v="72"/>
    <s v="B+"/>
    <n v="100"/>
    <s v="A+"/>
    <n v="94"/>
    <s v="A+"/>
    <n v="77"/>
    <s v="A-"/>
    <n v="84"/>
    <s v="A"/>
    <n v="624"/>
    <n v="89.142857142857139"/>
    <x v="0"/>
    <n v="194"/>
    <x v="1"/>
  </r>
  <r>
    <n v="502"/>
    <s v="Susan"/>
    <s v="Klein"/>
    <x v="499"/>
    <s v="susan.klein.502@gslingacademy.com"/>
    <x v="1"/>
    <x v="1"/>
    <n v="8"/>
    <x v="1"/>
    <n v="0"/>
    <x v="7"/>
    <n v="93"/>
    <s v="A+"/>
    <n v="99"/>
    <s v="A+"/>
    <n v="81"/>
    <s v="A"/>
    <n v="67"/>
    <s v="B"/>
    <n v="87"/>
    <s v="A"/>
    <n v="76"/>
    <s v="A-"/>
    <n v="60"/>
    <s v="B-"/>
    <n v="563"/>
    <n v="80.428571428571431"/>
    <x v="0"/>
    <n v="1077"/>
    <x v="2"/>
  </r>
  <r>
    <n v="503"/>
    <s v="John"/>
    <s v="Martinez"/>
    <x v="500"/>
    <s v="john.martinez.503@gslingacademy.com"/>
    <x v="0"/>
    <x v="0"/>
    <n v="4"/>
    <x v="0"/>
    <n v="30"/>
    <x v="9"/>
    <n v="91"/>
    <s v="A+"/>
    <n v="79"/>
    <s v="A-"/>
    <n v="78"/>
    <s v="A-"/>
    <n v="95"/>
    <s v="A+"/>
    <n v="86"/>
    <s v="A"/>
    <n v="89"/>
    <s v="A"/>
    <n v="100"/>
    <s v="A+"/>
    <n v="618"/>
    <n v="88.285714285714292"/>
    <x v="0"/>
    <n v="229"/>
    <x v="0"/>
  </r>
  <r>
    <n v="504"/>
    <s v="Kendra"/>
    <s v="Robertson"/>
    <x v="501"/>
    <s v="kendra.robertson.504@gslingacademy.com"/>
    <x v="1"/>
    <x v="0"/>
    <n v="4"/>
    <x v="0"/>
    <n v="32"/>
    <x v="5"/>
    <n v="86"/>
    <s v="A"/>
    <n v="99"/>
    <s v="A+"/>
    <n v="77"/>
    <s v="A-"/>
    <n v="61"/>
    <s v="B-"/>
    <n v="72"/>
    <s v="B+"/>
    <n v="92"/>
    <s v="A+"/>
    <n v="70"/>
    <s v="B+"/>
    <n v="557"/>
    <n v="79.571428571428569"/>
    <x v="2"/>
    <n v="1200"/>
    <x v="0"/>
  </r>
  <r>
    <n v="505"/>
    <s v="Tamara"/>
    <s v="Olson"/>
    <x v="502"/>
    <s v="tamara.olson.505@gslingacademy.com"/>
    <x v="1"/>
    <x v="0"/>
    <n v="8"/>
    <x v="0"/>
    <n v="15"/>
    <x v="4"/>
    <n v="81"/>
    <s v="A"/>
    <n v="80"/>
    <s v="A"/>
    <n v="85"/>
    <s v="A"/>
    <n v="93"/>
    <s v="A+"/>
    <n v="68"/>
    <s v="B"/>
    <n v="75"/>
    <s v="A-"/>
    <n v="90"/>
    <s v="A+"/>
    <n v="572"/>
    <n v="81.714285714285708"/>
    <x v="0"/>
    <n v="890"/>
    <x v="2"/>
  </r>
  <r>
    <n v="506"/>
    <s v="Sara"/>
    <s v="Frazier"/>
    <x v="503"/>
    <s v="sara.frazier.506@gslingacademy.com"/>
    <x v="1"/>
    <x v="0"/>
    <n v="6"/>
    <x v="0"/>
    <n v="15"/>
    <x v="2"/>
    <n v="97"/>
    <s v="A+"/>
    <n v="94"/>
    <s v="A+"/>
    <n v="94"/>
    <s v="A+"/>
    <n v="83"/>
    <s v="A"/>
    <n v="91"/>
    <s v="A+"/>
    <n v="65"/>
    <s v="B"/>
    <n v="96"/>
    <s v="A+"/>
    <n v="620"/>
    <n v="88.571428571428569"/>
    <x v="0"/>
    <n v="215"/>
    <x v="0"/>
  </r>
  <r>
    <n v="507"/>
    <s v="Morgan"/>
    <s v="Moore"/>
    <x v="504"/>
    <s v="morgan.moore.507@gslingacademy.com"/>
    <x v="1"/>
    <x v="0"/>
    <n v="3"/>
    <x v="1"/>
    <n v="4"/>
    <x v="14"/>
    <n v="90"/>
    <s v="A+"/>
    <n v="95"/>
    <s v="A+"/>
    <n v="89"/>
    <s v="A"/>
    <n v="93"/>
    <s v="A+"/>
    <n v="92"/>
    <s v="A+"/>
    <n v="99"/>
    <s v="A+"/>
    <n v="88"/>
    <s v="A"/>
    <n v="646"/>
    <n v="92.285714285714292"/>
    <x v="1"/>
    <n v="73"/>
    <x v="0"/>
  </r>
  <r>
    <n v="508"/>
    <s v="Eric"/>
    <s v="Snyder"/>
    <x v="505"/>
    <s v="eric.snyder.508@gslingacademy.com"/>
    <x v="0"/>
    <x v="0"/>
    <n v="1"/>
    <x v="1"/>
    <n v="27"/>
    <x v="5"/>
    <n v="90"/>
    <s v="A+"/>
    <n v="91"/>
    <s v="A+"/>
    <n v="62"/>
    <s v="B-"/>
    <n v="82"/>
    <s v="A"/>
    <n v="76"/>
    <s v="A-"/>
    <n v="70"/>
    <s v="B+"/>
    <n v="64"/>
    <s v="B-"/>
    <n v="535"/>
    <n v="76.428571428571431"/>
    <x v="2"/>
    <n v="1578"/>
    <x v="1"/>
  </r>
  <r>
    <n v="509"/>
    <s v="Paul"/>
    <s v="Hale"/>
    <x v="506"/>
    <s v="paul.hale.509@gslingacademy.com"/>
    <x v="0"/>
    <x v="0"/>
    <n v="5"/>
    <x v="0"/>
    <n v="33"/>
    <x v="13"/>
    <n v="82"/>
    <s v="A"/>
    <n v="92"/>
    <s v="A+"/>
    <n v="95"/>
    <s v="A+"/>
    <n v="61"/>
    <s v="B-"/>
    <n v="84"/>
    <s v="A"/>
    <n v="81"/>
    <s v="A"/>
    <n v="82"/>
    <s v="A"/>
    <n v="577"/>
    <n v="82.428571428571431"/>
    <x v="0"/>
    <n v="769"/>
    <x v="0"/>
  </r>
  <r>
    <n v="510"/>
    <s v="Dale"/>
    <s v="Martinez"/>
    <x v="507"/>
    <s v="dale.martinez.510@gslingacademy.com"/>
    <x v="0"/>
    <x v="0"/>
    <n v="7"/>
    <x v="0"/>
    <n v="25"/>
    <x v="5"/>
    <n v="91"/>
    <s v="A+"/>
    <n v="94"/>
    <s v="A+"/>
    <n v="89"/>
    <s v="A"/>
    <n v="74"/>
    <s v="B+"/>
    <n v="60"/>
    <s v="B-"/>
    <n v="77"/>
    <s v="A-"/>
    <n v="77"/>
    <s v="A-"/>
    <n v="562"/>
    <n v="80.285714285714292"/>
    <x v="0"/>
    <n v="1099"/>
    <x v="2"/>
  </r>
  <r>
    <n v="511"/>
    <s v="Sandra"/>
    <s v="Prince"/>
    <x v="508"/>
    <s v="sandra.prince.511@gslingacademy.com"/>
    <x v="1"/>
    <x v="0"/>
    <n v="0"/>
    <x v="0"/>
    <n v="29"/>
    <x v="0"/>
    <n v="70"/>
    <s v="B+"/>
    <n v="94"/>
    <s v="A+"/>
    <n v="67"/>
    <s v="B"/>
    <n v="74"/>
    <s v="B+"/>
    <n v="84"/>
    <s v="A"/>
    <n v="95"/>
    <s v="A+"/>
    <n v="65"/>
    <s v="B"/>
    <n v="549"/>
    <n v="78.428571428571431"/>
    <x v="2"/>
    <n v="1355"/>
    <x v="1"/>
  </r>
  <r>
    <n v="512"/>
    <s v="Dawn"/>
    <s v="Poole"/>
    <x v="509"/>
    <s v="dawn.poole.512@gslingacademy.com"/>
    <x v="1"/>
    <x v="0"/>
    <n v="2"/>
    <x v="0"/>
    <n v="13"/>
    <x v="4"/>
    <n v="60"/>
    <s v="B-"/>
    <n v="75"/>
    <s v="A-"/>
    <n v="70"/>
    <s v="B+"/>
    <n v="96"/>
    <s v="A+"/>
    <n v="63"/>
    <s v="B-"/>
    <n v="82"/>
    <s v="A"/>
    <n v="80"/>
    <s v="A"/>
    <n v="526"/>
    <n v="75.142857142857139"/>
    <x v="2"/>
    <n v="1688"/>
    <x v="1"/>
  </r>
  <r>
    <n v="513"/>
    <s v="Emily"/>
    <s v="Jordan"/>
    <x v="510"/>
    <s v="emily.jordan.513@gslingacademy.com"/>
    <x v="1"/>
    <x v="0"/>
    <n v="3"/>
    <x v="0"/>
    <n v="49"/>
    <x v="1"/>
    <n v="85"/>
    <s v="A"/>
    <n v="96"/>
    <s v="A+"/>
    <n v="99"/>
    <s v="A+"/>
    <n v="94"/>
    <s v="A+"/>
    <n v="95"/>
    <s v="A+"/>
    <n v="92"/>
    <s v="A+"/>
    <n v="95"/>
    <s v="A+"/>
    <n v="656"/>
    <n v="93.714285714285708"/>
    <x v="1"/>
    <n v="28"/>
    <x v="0"/>
  </r>
  <r>
    <n v="514"/>
    <s v="John"/>
    <s v="Owen"/>
    <x v="511"/>
    <s v="john.owen.514@gslingacademy.com"/>
    <x v="0"/>
    <x v="0"/>
    <n v="6"/>
    <x v="0"/>
    <n v="34"/>
    <x v="0"/>
    <n v="82"/>
    <s v="A"/>
    <n v="85"/>
    <s v="A"/>
    <n v="72"/>
    <s v="B+"/>
    <n v="69"/>
    <s v="B"/>
    <n v="63"/>
    <s v="B-"/>
    <n v="99"/>
    <s v="A+"/>
    <n v="68"/>
    <s v="B"/>
    <n v="538"/>
    <n v="76.857142857142861"/>
    <x v="2"/>
    <n v="1537"/>
    <x v="0"/>
  </r>
  <r>
    <n v="515"/>
    <s v="Andrew"/>
    <s v="Best"/>
    <x v="512"/>
    <s v="andrew.best.515@gslingacademy.com"/>
    <x v="0"/>
    <x v="1"/>
    <n v="4"/>
    <x v="0"/>
    <n v="28"/>
    <x v="13"/>
    <n v="83"/>
    <s v="A"/>
    <n v="79"/>
    <s v="A-"/>
    <n v="92"/>
    <s v="A+"/>
    <n v="69"/>
    <s v="B"/>
    <n v="85"/>
    <s v="A"/>
    <n v="71"/>
    <s v="B+"/>
    <n v="95"/>
    <s v="A+"/>
    <n v="574"/>
    <n v="82"/>
    <x v="0"/>
    <n v="832"/>
    <x v="0"/>
  </r>
  <r>
    <n v="516"/>
    <s v="Holly"/>
    <s v="Burns"/>
    <x v="513"/>
    <s v="holly.burns.516@gslingacademy.com"/>
    <x v="1"/>
    <x v="0"/>
    <n v="2"/>
    <x v="0"/>
    <n v="44"/>
    <x v="1"/>
    <n v="96"/>
    <s v="A+"/>
    <n v="88"/>
    <s v="A"/>
    <n v="100"/>
    <s v="A+"/>
    <n v="95"/>
    <s v="A+"/>
    <n v="85"/>
    <s v="A"/>
    <n v="94"/>
    <s v="A+"/>
    <n v="93"/>
    <s v="A+"/>
    <n v="651"/>
    <n v="93"/>
    <x v="1"/>
    <n v="51"/>
    <x v="1"/>
  </r>
  <r>
    <n v="517"/>
    <s v="Alicia"/>
    <s v="Rodriguez"/>
    <x v="514"/>
    <s v="alicia.rodriguez.517@gslingacademy.com"/>
    <x v="1"/>
    <x v="0"/>
    <n v="1"/>
    <x v="0"/>
    <n v="14"/>
    <x v="5"/>
    <n v="85"/>
    <s v="A"/>
    <n v="87"/>
    <s v="A"/>
    <n v="78"/>
    <s v="A-"/>
    <n v="72"/>
    <s v="B+"/>
    <n v="91"/>
    <s v="A+"/>
    <n v="88"/>
    <s v="A"/>
    <n v="93"/>
    <s v="A+"/>
    <n v="594"/>
    <n v="84.857142857142861"/>
    <x v="0"/>
    <n v="479"/>
    <x v="1"/>
  </r>
  <r>
    <n v="518"/>
    <s v="Erin"/>
    <s v="Ray"/>
    <x v="515"/>
    <s v="erin.ray.518@gslingacademy.com"/>
    <x v="1"/>
    <x v="0"/>
    <n v="4"/>
    <x v="0"/>
    <n v="1"/>
    <x v="16"/>
    <n v="95"/>
    <s v="A+"/>
    <n v="61"/>
    <s v="B-"/>
    <n v="84"/>
    <s v="A"/>
    <n v="98"/>
    <s v="A+"/>
    <n v="63"/>
    <s v="B-"/>
    <n v="66"/>
    <s v="B"/>
    <n v="80"/>
    <s v="A"/>
    <n v="547"/>
    <n v="78.142857142857139"/>
    <x v="2"/>
    <n v="1388"/>
    <x v="0"/>
  </r>
  <r>
    <n v="519"/>
    <s v="Todd"/>
    <s v="Griffith"/>
    <x v="516"/>
    <s v="todd.griffith.519@gslingacademy.com"/>
    <x v="0"/>
    <x v="0"/>
    <n v="6"/>
    <x v="0"/>
    <n v="22"/>
    <x v="5"/>
    <n v="97"/>
    <s v="A+"/>
    <n v="92"/>
    <s v="A+"/>
    <n v="87"/>
    <s v="A"/>
    <n v="61"/>
    <s v="B-"/>
    <n v="75"/>
    <s v="A-"/>
    <n v="62"/>
    <s v="B-"/>
    <n v="94"/>
    <s v="A+"/>
    <n v="568"/>
    <n v="81.142857142857139"/>
    <x v="0"/>
    <n v="975"/>
    <x v="0"/>
  </r>
  <r>
    <n v="520"/>
    <s v="Melinda"/>
    <s v="Payne"/>
    <x v="517"/>
    <s v="melinda.payne.520@gslingacademy.com"/>
    <x v="1"/>
    <x v="0"/>
    <n v="2"/>
    <x v="0"/>
    <n v="11"/>
    <x v="6"/>
    <n v="95"/>
    <s v="A+"/>
    <n v="69"/>
    <s v="B"/>
    <n v="91"/>
    <s v="A+"/>
    <n v="97"/>
    <s v="A+"/>
    <n v="89"/>
    <s v="A"/>
    <n v="84"/>
    <s v="A"/>
    <n v="66"/>
    <s v="B"/>
    <n v="591"/>
    <n v="84.428571428571431"/>
    <x v="0"/>
    <n v="515"/>
    <x v="1"/>
  </r>
  <r>
    <n v="521"/>
    <s v="Cynthia"/>
    <s v="Williams"/>
    <x v="518"/>
    <s v="cynthia.williams.521@gslingacademy.com"/>
    <x v="1"/>
    <x v="0"/>
    <n v="3"/>
    <x v="0"/>
    <n v="2"/>
    <x v="4"/>
    <n v="69"/>
    <s v="B"/>
    <n v="98"/>
    <s v="A+"/>
    <n v="77"/>
    <s v="A-"/>
    <n v="63"/>
    <s v="B-"/>
    <n v="88"/>
    <s v="A"/>
    <n v="64"/>
    <s v="B-"/>
    <n v="60"/>
    <s v="B-"/>
    <n v="519"/>
    <n v="74.142857142857139"/>
    <x v="3"/>
    <n v="1766"/>
    <x v="0"/>
  </r>
  <r>
    <n v="522"/>
    <s v="Jenny"/>
    <s v="Washington"/>
    <x v="519"/>
    <s v="jenny.washington.522@gslingacademy.com"/>
    <x v="1"/>
    <x v="0"/>
    <n v="9"/>
    <x v="0"/>
    <n v="3"/>
    <x v="7"/>
    <n v="84"/>
    <s v="A"/>
    <n v="55"/>
    <s v="C"/>
    <n v="65"/>
    <s v="B"/>
    <n v="62"/>
    <s v="B-"/>
    <n v="56"/>
    <s v="C"/>
    <n v="91"/>
    <s v="A+"/>
    <n v="81"/>
    <s v="A"/>
    <n v="494"/>
    <n v="70.571428571428569"/>
    <x v="3"/>
    <n v="1897"/>
    <x v="2"/>
  </r>
  <r>
    <n v="523"/>
    <s v="Angela"/>
    <s v="Joyce"/>
    <x v="520"/>
    <s v="angela.joyce.523@gslingacademy.com"/>
    <x v="1"/>
    <x v="0"/>
    <n v="5"/>
    <x v="0"/>
    <n v="28"/>
    <x v="9"/>
    <n v="92"/>
    <s v="A+"/>
    <n v="100"/>
    <s v="A+"/>
    <n v="100"/>
    <s v="A+"/>
    <n v="98"/>
    <s v="A+"/>
    <n v="83"/>
    <s v="A"/>
    <n v="75"/>
    <s v="A-"/>
    <n v="72"/>
    <s v="B+"/>
    <n v="620"/>
    <n v="88.571428571428569"/>
    <x v="0"/>
    <n v="215"/>
    <x v="0"/>
  </r>
  <r>
    <n v="524"/>
    <s v="William"/>
    <s v="Alvarado"/>
    <x v="521"/>
    <s v="william.alvarado.524@gslingacademy.com"/>
    <x v="0"/>
    <x v="1"/>
    <n v="2"/>
    <x v="0"/>
    <n v="0"/>
    <x v="7"/>
    <n v="87"/>
    <s v="A"/>
    <n v="95"/>
    <s v="A+"/>
    <n v="78"/>
    <s v="A-"/>
    <n v="82"/>
    <s v="A"/>
    <n v="53"/>
    <s v="C"/>
    <n v="59"/>
    <s v="C"/>
    <n v="66"/>
    <s v="B"/>
    <n v="520"/>
    <n v="74.285714285714292"/>
    <x v="3"/>
    <n v="1753"/>
    <x v="1"/>
  </r>
  <r>
    <n v="525"/>
    <s v="Michael"/>
    <s v="Mercer"/>
    <x v="522"/>
    <s v="michael.mercer.525@gslingacademy.com"/>
    <x v="0"/>
    <x v="0"/>
    <n v="5"/>
    <x v="0"/>
    <n v="22"/>
    <x v="9"/>
    <n v="97"/>
    <s v="A+"/>
    <n v="87"/>
    <s v="A"/>
    <n v="90"/>
    <s v="A+"/>
    <n v="70"/>
    <s v="B+"/>
    <n v="96"/>
    <s v="A+"/>
    <n v="75"/>
    <s v="A-"/>
    <n v="93"/>
    <s v="A+"/>
    <n v="608"/>
    <n v="86.857142857142861"/>
    <x v="0"/>
    <n v="318"/>
    <x v="0"/>
  </r>
  <r>
    <n v="526"/>
    <s v="Erin"/>
    <s v="Miller"/>
    <x v="523"/>
    <s v="erin.miller.526@gslingacademy.com"/>
    <x v="1"/>
    <x v="1"/>
    <n v="8"/>
    <x v="0"/>
    <n v="3"/>
    <x v="7"/>
    <n v="92"/>
    <s v="A+"/>
    <n v="96"/>
    <s v="A+"/>
    <n v="77"/>
    <s v="A-"/>
    <n v="95"/>
    <s v="A+"/>
    <n v="63"/>
    <s v="B-"/>
    <n v="57"/>
    <s v="C"/>
    <n v="90"/>
    <s v="A+"/>
    <n v="570"/>
    <n v="81.428571428571431"/>
    <x v="0"/>
    <n v="937"/>
    <x v="2"/>
  </r>
  <r>
    <n v="527"/>
    <s v="Robert"/>
    <s v="Heath"/>
    <x v="524"/>
    <s v="robert.heath.527@gslingacademy.com"/>
    <x v="0"/>
    <x v="0"/>
    <n v="2"/>
    <x v="0"/>
    <n v="25"/>
    <x v="4"/>
    <n v="72"/>
    <s v="B+"/>
    <n v="91"/>
    <s v="A+"/>
    <n v="68"/>
    <s v="B"/>
    <n v="79"/>
    <s v="A-"/>
    <n v="98"/>
    <s v="A+"/>
    <n v="71"/>
    <s v="B+"/>
    <n v="89"/>
    <s v="A"/>
    <n v="568"/>
    <n v="81.142857142857139"/>
    <x v="0"/>
    <n v="975"/>
    <x v="1"/>
  </r>
  <r>
    <n v="528"/>
    <s v="Deborah"/>
    <s v="Rojas"/>
    <x v="525"/>
    <s v="deborah.rojas.528@gslingacademy.com"/>
    <x v="1"/>
    <x v="0"/>
    <n v="3"/>
    <x v="1"/>
    <n v="1"/>
    <x v="7"/>
    <n v="50"/>
    <s v="C"/>
    <n v="55"/>
    <s v="C"/>
    <n v="96"/>
    <s v="A+"/>
    <n v="72"/>
    <s v="B+"/>
    <n v="55"/>
    <s v="C"/>
    <n v="50"/>
    <s v="C"/>
    <n v="64"/>
    <s v="B-"/>
    <n v="442"/>
    <n v="63.142857142857146"/>
    <x v="5"/>
    <n v="1997"/>
    <x v="0"/>
  </r>
  <r>
    <n v="529"/>
    <s v="Diana"/>
    <s v="Jones"/>
    <x v="526"/>
    <s v="diana.jones.529@gslingacademy.com"/>
    <x v="1"/>
    <x v="0"/>
    <n v="7"/>
    <x v="0"/>
    <n v="37"/>
    <x v="1"/>
    <n v="97"/>
    <s v="A+"/>
    <n v="96"/>
    <s v="A+"/>
    <n v="93"/>
    <s v="A+"/>
    <n v="94"/>
    <s v="A+"/>
    <n v="91"/>
    <s v="A+"/>
    <n v="96"/>
    <s v="A+"/>
    <n v="87"/>
    <s v="A"/>
    <n v="654"/>
    <n v="93.428571428571431"/>
    <x v="1"/>
    <n v="37"/>
    <x v="2"/>
  </r>
  <r>
    <n v="530"/>
    <s v="Meredith"/>
    <s v="Clark"/>
    <x v="527"/>
    <s v="meredith.clark.530@gslingacademy.com"/>
    <x v="1"/>
    <x v="0"/>
    <n v="3"/>
    <x v="1"/>
    <n v="28"/>
    <x v="5"/>
    <n v="89"/>
    <s v="A"/>
    <n v="77"/>
    <s v="A-"/>
    <n v="69"/>
    <s v="B"/>
    <n v="72"/>
    <s v="B+"/>
    <n v="63"/>
    <s v="B-"/>
    <n v="84"/>
    <s v="A"/>
    <n v="99"/>
    <s v="A+"/>
    <n v="553"/>
    <n v="79"/>
    <x v="2"/>
    <n v="1284"/>
    <x v="0"/>
  </r>
  <r>
    <n v="531"/>
    <s v="Christina"/>
    <s v="Garrett"/>
    <x v="528"/>
    <s v="christina.garrett.531@gslingacademy.com"/>
    <x v="1"/>
    <x v="0"/>
    <n v="3"/>
    <x v="0"/>
    <n v="30"/>
    <x v="8"/>
    <n v="77"/>
    <s v="A-"/>
    <n v="76"/>
    <s v="A-"/>
    <n v="90"/>
    <s v="A+"/>
    <n v="95"/>
    <s v="A+"/>
    <n v="94"/>
    <s v="A+"/>
    <n v="99"/>
    <s v="A+"/>
    <n v="94"/>
    <s v="A+"/>
    <n v="625"/>
    <n v="89.285714285714292"/>
    <x v="0"/>
    <n v="187"/>
    <x v="0"/>
  </r>
  <r>
    <n v="532"/>
    <s v="Daniel"/>
    <s v="Jackson"/>
    <x v="529"/>
    <s v="daniel.jackson.532@gslingacademy.com"/>
    <x v="0"/>
    <x v="0"/>
    <n v="1"/>
    <x v="0"/>
    <n v="19"/>
    <x v="15"/>
    <n v="91"/>
    <s v="A+"/>
    <n v="89"/>
    <s v="A"/>
    <n v="66"/>
    <s v="B"/>
    <n v="69"/>
    <s v="B"/>
    <n v="100"/>
    <s v="A+"/>
    <n v="88"/>
    <s v="A"/>
    <n v="79"/>
    <s v="A-"/>
    <n v="582"/>
    <n v="83.142857142857139"/>
    <x v="0"/>
    <n v="670"/>
    <x v="1"/>
  </r>
  <r>
    <n v="533"/>
    <s v="Bradley"/>
    <s v="Robinson"/>
    <x v="530"/>
    <s v="bradley.robinson.533@gslingacademy.com"/>
    <x v="0"/>
    <x v="1"/>
    <n v="7"/>
    <x v="0"/>
    <n v="2"/>
    <x v="7"/>
    <n v="64"/>
    <s v="B-"/>
    <n v="92"/>
    <s v="A+"/>
    <n v="70"/>
    <s v="B+"/>
    <n v="81"/>
    <s v="A"/>
    <n v="85"/>
    <s v="A"/>
    <n v="55"/>
    <s v="C"/>
    <n v="76"/>
    <s v="A-"/>
    <n v="523"/>
    <n v="74.714285714285708"/>
    <x v="3"/>
    <n v="1727"/>
    <x v="2"/>
  </r>
  <r>
    <n v="534"/>
    <s v="Phyllis"/>
    <s v="Schneider"/>
    <x v="531"/>
    <s v="phyllis.schneider.534@gslingacademy.com"/>
    <x v="1"/>
    <x v="1"/>
    <n v="4"/>
    <x v="0"/>
    <n v="26"/>
    <x v="4"/>
    <n v="71"/>
    <s v="B+"/>
    <n v="87"/>
    <s v="A"/>
    <n v="63"/>
    <s v="B-"/>
    <n v="73"/>
    <s v="B+"/>
    <n v="89"/>
    <s v="A"/>
    <n v="77"/>
    <s v="A-"/>
    <n v="66"/>
    <s v="B"/>
    <n v="526"/>
    <n v="75.142857142857139"/>
    <x v="2"/>
    <n v="1688"/>
    <x v="0"/>
  </r>
  <r>
    <n v="535"/>
    <s v="Thomas"/>
    <s v="Clark"/>
    <x v="532"/>
    <s v="thomas.clark.535@gslingacademy.com"/>
    <x v="0"/>
    <x v="0"/>
    <n v="10"/>
    <x v="1"/>
    <n v="0"/>
    <x v="7"/>
    <n v="56"/>
    <s v="C"/>
    <n v="79"/>
    <s v="A-"/>
    <n v="74"/>
    <s v="B+"/>
    <n v="66"/>
    <s v="B"/>
    <n v="92"/>
    <s v="A+"/>
    <n v="57"/>
    <s v="C"/>
    <n v="61"/>
    <s v="B-"/>
    <n v="485"/>
    <n v="69.285714285714292"/>
    <x v="4"/>
    <n v="1923"/>
    <x v="2"/>
  </r>
  <r>
    <n v="536"/>
    <s v="Gregory"/>
    <s v="Gonzalez"/>
    <x v="533"/>
    <s v="gregory.gonzalez.536@gslingacademy.com"/>
    <x v="0"/>
    <x v="0"/>
    <n v="4"/>
    <x v="0"/>
    <n v="5"/>
    <x v="14"/>
    <n v="87"/>
    <s v="A"/>
    <n v="70"/>
    <s v="B+"/>
    <n v="98"/>
    <s v="A+"/>
    <n v="64"/>
    <s v="B-"/>
    <n v="65"/>
    <s v="B"/>
    <n v="78"/>
    <s v="A-"/>
    <n v="83"/>
    <s v="A"/>
    <n v="545"/>
    <n v="77.857142857142861"/>
    <x v="2"/>
    <n v="1432"/>
    <x v="0"/>
  </r>
  <r>
    <n v="537"/>
    <s v="Michelle"/>
    <s v="Roth"/>
    <x v="534"/>
    <s v="michelle.roth.537@gslingacademy.com"/>
    <x v="1"/>
    <x v="0"/>
    <n v="0"/>
    <x v="0"/>
    <n v="17"/>
    <x v="5"/>
    <n v="99"/>
    <s v="A+"/>
    <n v="69"/>
    <s v="B"/>
    <n v="85"/>
    <s v="A"/>
    <n v="91"/>
    <s v="A+"/>
    <n v="77"/>
    <s v="A-"/>
    <n v="88"/>
    <s v="A"/>
    <n v="75"/>
    <s v="A-"/>
    <n v="584"/>
    <n v="83.428571428571431"/>
    <x v="0"/>
    <n v="635"/>
    <x v="1"/>
  </r>
  <r>
    <n v="538"/>
    <s v="Christopher"/>
    <s v="Murphy"/>
    <x v="535"/>
    <s v="christopher.murphy.538@gslingacademy.com"/>
    <x v="0"/>
    <x v="0"/>
    <n v="2"/>
    <x v="0"/>
    <n v="26"/>
    <x v="0"/>
    <n v="98"/>
    <s v="A+"/>
    <n v="88"/>
    <s v="A"/>
    <n v="76"/>
    <s v="A-"/>
    <n v="72"/>
    <s v="B+"/>
    <n v="92"/>
    <s v="A+"/>
    <n v="81"/>
    <s v="A"/>
    <n v="89"/>
    <s v="A"/>
    <n v="596"/>
    <n v="85.142857142857139"/>
    <x v="0"/>
    <n v="458"/>
    <x v="1"/>
  </r>
  <r>
    <n v="539"/>
    <s v="Mark"/>
    <s v="Davis"/>
    <x v="536"/>
    <s v="mark.davis.539@gslingacademy.com"/>
    <x v="0"/>
    <x v="0"/>
    <n v="2"/>
    <x v="0"/>
    <n v="32"/>
    <x v="4"/>
    <n v="87"/>
    <s v="A"/>
    <n v="83"/>
    <s v="A"/>
    <n v="74"/>
    <s v="B+"/>
    <n v="61"/>
    <s v="B-"/>
    <n v="81"/>
    <s v="A"/>
    <n v="72"/>
    <s v="B+"/>
    <n v="98"/>
    <s v="A+"/>
    <n v="556"/>
    <n v="79.428571428571431"/>
    <x v="2"/>
    <n v="1224"/>
    <x v="1"/>
  </r>
  <r>
    <n v="540"/>
    <s v="Lauren"/>
    <s v="Harrington"/>
    <x v="537"/>
    <s v="lauren.harrington.540@gslingacademy.com"/>
    <x v="1"/>
    <x v="0"/>
    <n v="6"/>
    <x v="1"/>
    <n v="16"/>
    <x v="5"/>
    <n v="88"/>
    <s v="A"/>
    <n v="96"/>
    <s v="A+"/>
    <n v="90"/>
    <s v="A+"/>
    <n v="92"/>
    <s v="A+"/>
    <n v="68"/>
    <s v="B"/>
    <n v="97"/>
    <s v="A+"/>
    <n v="73"/>
    <s v="B+"/>
    <n v="604"/>
    <n v="86.285714285714292"/>
    <x v="0"/>
    <n v="353"/>
    <x v="0"/>
  </r>
  <r>
    <n v="541"/>
    <s v="Michelle"/>
    <s v="Owens"/>
    <x v="538"/>
    <s v="michelle.owens.541@gslingacademy.com"/>
    <x v="1"/>
    <x v="1"/>
    <n v="8"/>
    <x v="0"/>
    <n v="2"/>
    <x v="7"/>
    <n v="71"/>
    <s v="B+"/>
    <n v="52"/>
    <s v="C"/>
    <n v="53"/>
    <s v="C"/>
    <n v="64"/>
    <s v="B-"/>
    <n v="89"/>
    <s v="A"/>
    <n v="76"/>
    <s v="A-"/>
    <n v="70"/>
    <s v="B+"/>
    <n v="475"/>
    <n v="67.857142857142861"/>
    <x v="4"/>
    <n v="1947"/>
    <x v="2"/>
  </r>
  <r>
    <n v="542"/>
    <s v="Scott"/>
    <s v="Weaver"/>
    <x v="539"/>
    <s v="scott.weaver.542@gslingacademy.com"/>
    <x v="0"/>
    <x v="0"/>
    <n v="2"/>
    <x v="0"/>
    <n v="35"/>
    <x v="13"/>
    <n v="96"/>
    <s v="A+"/>
    <n v="90"/>
    <s v="A+"/>
    <n v="91"/>
    <s v="A+"/>
    <n v="95"/>
    <s v="A+"/>
    <n v="99"/>
    <s v="A+"/>
    <n v="95"/>
    <s v="A+"/>
    <n v="99"/>
    <s v="A+"/>
    <n v="665"/>
    <n v="95"/>
    <x v="1"/>
    <n v="9"/>
    <x v="1"/>
  </r>
  <r>
    <n v="543"/>
    <s v="Monica"/>
    <s v="Williams"/>
    <x v="540"/>
    <s v="monica.williams.543@gslingacademy.com"/>
    <x v="1"/>
    <x v="0"/>
    <n v="0"/>
    <x v="0"/>
    <n v="17"/>
    <x v="11"/>
    <n v="81"/>
    <s v="A"/>
    <n v="95"/>
    <s v="A+"/>
    <n v="99"/>
    <s v="A+"/>
    <n v="65"/>
    <s v="B"/>
    <n v="56"/>
    <s v="C"/>
    <n v="79"/>
    <s v="A-"/>
    <n v="98"/>
    <s v="A+"/>
    <n v="573"/>
    <n v="81.857142857142861"/>
    <x v="0"/>
    <n v="864"/>
    <x v="1"/>
  </r>
  <r>
    <n v="544"/>
    <s v="Kathryn"/>
    <s v="Hampton"/>
    <x v="541"/>
    <s v="kathryn.hampton.544@gslingacademy.com"/>
    <x v="1"/>
    <x v="0"/>
    <n v="9"/>
    <x v="0"/>
    <n v="3"/>
    <x v="7"/>
    <n v="94"/>
    <s v="A+"/>
    <n v="92"/>
    <s v="A+"/>
    <n v="63"/>
    <s v="B-"/>
    <n v="84"/>
    <s v="A"/>
    <n v="79"/>
    <s v="A-"/>
    <n v="66"/>
    <s v="B"/>
    <n v="96"/>
    <s v="A+"/>
    <n v="574"/>
    <n v="82"/>
    <x v="0"/>
    <n v="832"/>
    <x v="2"/>
  </r>
  <r>
    <n v="545"/>
    <s v="Christina"/>
    <s v="Shields"/>
    <x v="542"/>
    <s v="christina.shields.545@gslingacademy.com"/>
    <x v="1"/>
    <x v="1"/>
    <n v="3"/>
    <x v="0"/>
    <n v="47"/>
    <x v="1"/>
    <n v="94"/>
    <s v="A+"/>
    <n v="87"/>
    <s v="A"/>
    <n v="98"/>
    <s v="A+"/>
    <n v="90"/>
    <s v="A+"/>
    <n v="92"/>
    <s v="A+"/>
    <n v="88"/>
    <s v="A"/>
    <n v="100"/>
    <s v="A+"/>
    <n v="649"/>
    <n v="92.714285714285708"/>
    <x v="1"/>
    <n v="62"/>
    <x v="0"/>
  </r>
  <r>
    <n v="546"/>
    <s v="Andrew"/>
    <s v="Thomas"/>
    <x v="543"/>
    <s v="andrew.thomas.546@gslingacademy.com"/>
    <x v="0"/>
    <x v="0"/>
    <n v="0"/>
    <x v="0"/>
    <n v="29"/>
    <x v="0"/>
    <n v="98"/>
    <s v="A+"/>
    <n v="87"/>
    <s v="A"/>
    <n v="75"/>
    <s v="A-"/>
    <n v="63"/>
    <s v="B-"/>
    <n v="85"/>
    <s v="A"/>
    <n v="88"/>
    <s v="A"/>
    <n v="75"/>
    <s v="A-"/>
    <n v="571"/>
    <n v="81.571428571428569"/>
    <x v="0"/>
    <n v="915"/>
    <x v="1"/>
  </r>
  <r>
    <n v="547"/>
    <s v="Holly"/>
    <s v="Sexton"/>
    <x v="544"/>
    <s v="holly.sexton.547@gslingacademy.com"/>
    <x v="1"/>
    <x v="0"/>
    <n v="10"/>
    <x v="0"/>
    <n v="5"/>
    <x v="7"/>
    <n v="100"/>
    <s v="A+"/>
    <n v="58"/>
    <s v="C"/>
    <n v="54"/>
    <s v="C"/>
    <n v="97"/>
    <s v="A+"/>
    <n v="58"/>
    <s v="C"/>
    <n v="51"/>
    <s v="C"/>
    <n v="80"/>
    <s v="A"/>
    <n v="498"/>
    <n v="71.142857142857139"/>
    <x v="3"/>
    <n v="1884"/>
    <x v="2"/>
  </r>
  <r>
    <n v="548"/>
    <s v="Christopher"/>
    <s v="Peterson"/>
    <x v="545"/>
    <s v="christopher.peterson.548@gslingacademy.com"/>
    <x v="0"/>
    <x v="0"/>
    <n v="3"/>
    <x v="1"/>
    <n v="12"/>
    <x v="12"/>
    <n v="66"/>
    <s v="B"/>
    <n v="89"/>
    <s v="A"/>
    <n v="65"/>
    <s v="B"/>
    <n v="99"/>
    <s v="A+"/>
    <n v="84"/>
    <s v="A"/>
    <n v="84"/>
    <s v="A"/>
    <n v="86"/>
    <s v="A"/>
    <n v="573"/>
    <n v="81.857142857142861"/>
    <x v="0"/>
    <n v="864"/>
    <x v="0"/>
  </r>
  <r>
    <n v="549"/>
    <s v="Eric"/>
    <s v="Murray"/>
    <x v="546"/>
    <s v="eric.murray.549@gslingacademy.com"/>
    <x v="0"/>
    <x v="0"/>
    <n v="2"/>
    <x v="0"/>
    <n v="35"/>
    <x v="1"/>
    <n v="94"/>
    <s v="A+"/>
    <n v="99"/>
    <s v="A+"/>
    <n v="97"/>
    <s v="A+"/>
    <n v="94"/>
    <s v="A+"/>
    <n v="85"/>
    <s v="A"/>
    <n v="97"/>
    <s v="A+"/>
    <n v="97"/>
    <s v="A+"/>
    <n v="663"/>
    <n v="94.714285714285708"/>
    <x v="1"/>
    <n v="11"/>
    <x v="1"/>
  </r>
  <r>
    <n v="550"/>
    <s v="Kristina"/>
    <s v="Watson"/>
    <x v="547"/>
    <s v="kristina.watson.550@gslingacademy.com"/>
    <x v="1"/>
    <x v="1"/>
    <n v="0"/>
    <x v="0"/>
    <n v="3"/>
    <x v="14"/>
    <n v="83"/>
    <s v="A"/>
    <n v="90"/>
    <s v="A+"/>
    <n v="93"/>
    <s v="A+"/>
    <n v="89"/>
    <s v="A"/>
    <n v="64"/>
    <s v="B-"/>
    <n v="63"/>
    <s v="B-"/>
    <n v="82"/>
    <s v="A"/>
    <n v="564"/>
    <n v="80.571428571428569"/>
    <x v="0"/>
    <n v="1056"/>
    <x v="1"/>
  </r>
  <r>
    <n v="551"/>
    <s v="Greg"/>
    <s v="Martin"/>
    <x v="548"/>
    <s v="greg.martin.551@gslingacademy.com"/>
    <x v="0"/>
    <x v="1"/>
    <n v="8"/>
    <x v="0"/>
    <n v="2"/>
    <x v="7"/>
    <n v="92"/>
    <s v="A+"/>
    <n v="54"/>
    <s v="C"/>
    <n v="50"/>
    <s v="C"/>
    <n v="88"/>
    <s v="A"/>
    <n v="90"/>
    <s v="A+"/>
    <n v="91"/>
    <s v="A+"/>
    <n v="95"/>
    <s v="A+"/>
    <n v="560"/>
    <n v="80"/>
    <x v="0"/>
    <n v="1134"/>
    <x v="2"/>
  </r>
  <r>
    <n v="552"/>
    <s v="Paul"/>
    <s v="Shaffer"/>
    <x v="549"/>
    <s v="paul.shaffer.552@gslingacademy.com"/>
    <x v="0"/>
    <x v="0"/>
    <n v="10"/>
    <x v="0"/>
    <n v="35"/>
    <x v="5"/>
    <n v="93"/>
    <s v="A+"/>
    <n v="100"/>
    <s v="A+"/>
    <n v="90"/>
    <s v="A+"/>
    <n v="94"/>
    <s v="A+"/>
    <n v="97"/>
    <s v="A+"/>
    <n v="98"/>
    <s v="A+"/>
    <n v="98"/>
    <s v="A+"/>
    <n v="670"/>
    <n v="95.714285714285708"/>
    <x v="1"/>
    <n v="4"/>
    <x v="2"/>
  </r>
  <r>
    <n v="553"/>
    <s v="Alexander"/>
    <s v="Daniel"/>
    <x v="550"/>
    <s v="alexander.daniel.553@gslingacademy.com"/>
    <x v="0"/>
    <x v="1"/>
    <n v="1"/>
    <x v="0"/>
    <n v="7"/>
    <x v="2"/>
    <n v="69"/>
    <s v="B"/>
    <n v="92"/>
    <s v="A+"/>
    <n v="84"/>
    <s v="A"/>
    <n v="98"/>
    <s v="A+"/>
    <n v="98"/>
    <s v="A+"/>
    <n v="83"/>
    <s v="A"/>
    <n v="87"/>
    <s v="A"/>
    <n v="611"/>
    <n v="87.285714285714292"/>
    <x v="0"/>
    <n v="291"/>
    <x v="1"/>
  </r>
  <r>
    <n v="554"/>
    <s v="Carla"/>
    <s v="Davis"/>
    <x v="551"/>
    <s v="carla.davis.554@gslingacademy.com"/>
    <x v="1"/>
    <x v="0"/>
    <n v="4"/>
    <x v="0"/>
    <n v="15"/>
    <x v="5"/>
    <n v="94"/>
    <s v="A+"/>
    <n v="71"/>
    <s v="B+"/>
    <n v="63"/>
    <s v="B-"/>
    <n v="73"/>
    <s v="B+"/>
    <n v="66"/>
    <s v="B"/>
    <n v="90"/>
    <s v="A+"/>
    <n v="91"/>
    <s v="A+"/>
    <n v="548"/>
    <n v="78.285714285714292"/>
    <x v="2"/>
    <n v="1374"/>
    <x v="0"/>
  </r>
  <r>
    <n v="555"/>
    <s v="Chelsea"/>
    <s v="Clark"/>
    <x v="552"/>
    <s v="chelsea.clark.555@gslingacademy.com"/>
    <x v="1"/>
    <x v="0"/>
    <n v="1"/>
    <x v="0"/>
    <n v="3"/>
    <x v="15"/>
    <n v="100"/>
    <s v="A+"/>
    <n v="92"/>
    <s v="A+"/>
    <n v="95"/>
    <s v="A+"/>
    <n v="90"/>
    <s v="A+"/>
    <n v="67"/>
    <s v="B"/>
    <n v="81"/>
    <s v="A"/>
    <n v="66"/>
    <s v="B"/>
    <n v="591"/>
    <n v="84.428571428571431"/>
    <x v="0"/>
    <n v="515"/>
    <x v="1"/>
  </r>
  <r>
    <n v="556"/>
    <s v="Justin"/>
    <s v="Douglas"/>
    <x v="553"/>
    <s v="justin.douglas.556@gslingacademy.com"/>
    <x v="0"/>
    <x v="0"/>
    <n v="2"/>
    <x v="0"/>
    <n v="35"/>
    <x v="4"/>
    <n v="96"/>
    <s v="A+"/>
    <n v="92"/>
    <s v="A+"/>
    <n v="98"/>
    <s v="A+"/>
    <n v="100"/>
    <s v="A+"/>
    <n v="94"/>
    <s v="A+"/>
    <n v="93"/>
    <s v="A+"/>
    <n v="86"/>
    <s v="A"/>
    <n v="659"/>
    <n v="94.142857142857139"/>
    <x v="1"/>
    <n v="21"/>
    <x v="1"/>
  </r>
  <r>
    <n v="557"/>
    <s v="Charles"/>
    <s v="Reid"/>
    <x v="554"/>
    <s v="charles.reid.557@gslingacademy.com"/>
    <x v="0"/>
    <x v="0"/>
    <n v="3"/>
    <x v="1"/>
    <n v="28"/>
    <x v="0"/>
    <n v="76"/>
    <s v="A-"/>
    <n v="87"/>
    <s v="A"/>
    <n v="99"/>
    <s v="A+"/>
    <n v="69"/>
    <s v="B"/>
    <n v="89"/>
    <s v="A"/>
    <n v="93"/>
    <s v="A+"/>
    <n v="85"/>
    <s v="A"/>
    <n v="598"/>
    <n v="85.428571428571431"/>
    <x v="0"/>
    <n v="436"/>
    <x v="0"/>
  </r>
  <r>
    <n v="558"/>
    <s v="Courtney"/>
    <s v="Moreno"/>
    <x v="555"/>
    <s v="courtney.moreno.558@gslingacademy.com"/>
    <x v="1"/>
    <x v="0"/>
    <n v="9"/>
    <x v="0"/>
    <n v="4"/>
    <x v="7"/>
    <n v="77"/>
    <s v="A-"/>
    <n v="62"/>
    <s v="B-"/>
    <n v="94"/>
    <s v="A+"/>
    <n v="65"/>
    <s v="B"/>
    <n v="77"/>
    <s v="A-"/>
    <n v="77"/>
    <s v="A-"/>
    <n v="95"/>
    <s v="A+"/>
    <n v="547"/>
    <n v="78.142857142857139"/>
    <x v="2"/>
    <n v="1388"/>
    <x v="2"/>
  </r>
  <r>
    <n v="559"/>
    <s v="Justin"/>
    <s v="Mitchell"/>
    <x v="556"/>
    <s v="justin.mitchell.559@gslingacademy.com"/>
    <x v="0"/>
    <x v="0"/>
    <n v="1"/>
    <x v="1"/>
    <n v="4"/>
    <x v="3"/>
    <n v="84"/>
    <s v="A"/>
    <n v="67"/>
    <s v="B"/>
    <n v="79"/>
    <s v="A-"/>
    <n v="60"/>
    <s v="B-"/>
    <n v="69"/>
    <s v="B"/>
    <n v="80"/>
    <s v="A"/>
    <n v="98"/>
    <s v="A+"/>
    <n v="537"/>
    <n v="76.714285714285708"/>
    <x v="2"/>
    <n v="1553"/>
    <x v="1"/>
  </r>
  <r>
    <n v="560"/>
    <s v="Bruce"/>
    <s v="Woods"/>
    <x v="557"/>
    <s v="bruce.woods.560@gslingacademy.com"/>
    <x v="0"/>
    <x v="0"/>
    <n v="3"/>
    <x v="1"/>
    <n v="16"/>
    <x v="5"/>
    <n v="95"/>
    <s v="A+"/>
    <n v="61"/>
    <s v="B-"/>
    <n v="68"/>
    <s v="B"/>
    <n v="75"/>
    <s v="A-"/>
    <n v="64"/>
    <s v="B-"/>
    <n v="76"/>
    <s v="A-"/>
    <n v="66"/>
    <s v="B"/>
    <n v="505"/>
    <n v="72.142857142857139"/>
    <x v="3"/>
    <n v="1854"/>
    <x v="0"/>
  </r>
  <r>
    <n v="561"/>
    <s v="Christopher"/>
    <s v="Hines"/>
    <x v="558"/>
    <s v="christopher.hines.561@gslingacademy.com"/>
    <x v="0"/>
    <x v="0"/>
    <n v="1"/>
    <x v="0"/>
    <n v="26"/>
    <x v="11"/>
    <n v="90"/>
    <s v="A+"/>
    <n v="64"/>
    <s v="B-"/>
    <n v="94"/>
    <s v="A+"/>
    <n v="84"/>
    <s v="A"/>
    <n v="66"/>
    <s v="B"/>
    <n v="61"/>
    <s v="B-"/>
    <n v="72"/>
    <s v="B+"/>
    <n v="531"/>
    <n v="75.857142857142861"/>
    <x v="2"/>
    <n v="1637"/>
    <x v="1"/>
  </r>
  <r>
    <n v="562"/>
    <s v="Theodore"/>
    <s v="Williams"/>
    <x v="559"/>
    <s v="theodore.williams.562@gslingacademy.com"/>
    <x v="0"/>
    <x v="0"/>
    <n v="3"/>
    <x v="0"/>
    <n v="30"/>
    <x v="4"/>
    <n v="96"/>
    <s v="A+"/>
    <n v="89"/>
    <s v="A"/>
    <n v="73"/>
    <s v="B+"/>
    <n v="75"/>
    <s v="A-"/>
    <n v="99"/>
    <s v="A+"/>
    <n v="89"/>
    <s v="A"/>
    <n v="71"/>
    <s v="B+"/>
    <n v="592"/>
    <n v="84.571428571428569"/>
    <x v="0"/>
    <n v="505"/>
    <x v="0"/>
  </r>
  <r>
    <n v="563"/>
    <s v="Jennifer"/>
    <s v="Valdez"/>
    <x v="560"/>
    <s v="jennifer.valdez.563@gslingacademy.com"/>
    <x v="1"/>
    <x v="1"/>
    <n v="6"/>
    <x v="0"/>
    <n v="2"/>
    <x v="7"/>
    <n v="80"/>
    <s v="A"/>
    <n v="81"/>
    <s v="A"/>
    <n v="92"/>
    <s v="A+"/>
    <n v="73"/>
    <s v="B+"/>
    <n v="71"/>
    <s v="B+"/>
    <n v="71"/>
    <s v="B+"/>
    <n v="84"/>
    <s v="A"/>
    <n v="552"/>
    <n v="78.857142857142861"/>
    <x v="2"/>
    <n v="1306"/>
    <x v="0"/>
  </r>
  <r>
    <n v="564"/>
    <s v="Alexandra"/>
    <s v="Day"/>
    <x v="561"/>
    <s v="alexandra.day.564@gslingacademy.com"/>
    <x v="1"/>
    <x v="0"/>
    <n v="2"/>
    <x v="0"/>
    <n v="34"/>
    <x v="5"/>
    <n v="87"/>
    <s v="A"/>
    <n v="83"/>
    <s v="A"/>
    <n v="75"/>
    <s v="A-"/>
    <n v="73"/>
    <s v="B+"/>
    <n v="92"/>
    <s v="A+"/>
    <n v="91"/>
    <s v="A+"/>
    <n v="71"/>
    <s v="B+"/>
    <n v="572"/>
    <n v="81.714285714285708"/>
    <x v="0"/>
    <n v="890"/>
    <x v="1"/>
  </r>
  <r>
    <n v="565"/>
    <s v="John"/>
    <s v="Pacheco"/>
    <x v="562"/>
    <s v="john.pacheco.565@gslingacademy.com"/>
    <x v="0"/>
    <x v="0"/>
    <n v="10"/>
    <x v="0"/>
    <n v="0"/>
    <x v="7"/>
    <n v="94"/>
    <s v="A+"/>
    <n v="75"/>
    <s v="A-"/>
    <n v="91"/>
    <s v="A+"/>
    <n v="64"/>
    <s v="B-"/>
    <n v="67"/>
    <s v="B"/>
    <n v="93"/>
    <s v="A+"/>
    <n v="65"/>
    <s v="B"/>
    <n v="549"/>
    <n v="78.428571428571431"/>
    <x v="2"/>
    <n v="1355"/>
    <x v="2"/>
  </r>
  <r>
    <n v="566"/>
    <s v="Sherry"/>
    <s v="Brown"/>
    <x v="563"/>
    <s v="sherry.brown.566@gslingacademy.com"/>
    <x v="1"/>
    <x v="0"/>
    <n v="10"/>
    <x v="1"/>
    <n v="3"/>
    <x v="3"/>
    <n v="87"/>
    <s v="A"/>
    <n v="82"/>
    <s v="A"/>
    <n v="88"/>
    <s v="A"/>
    <n v="100"/>
    <s v="A+"/>
    <n v="73"/>
    <s v="B+"/>
    <n v="96"/>
    <s v="A+"/>
    <n v="75"/>
    <s v="A-"/>
    <n v="601"/>
    <n v="85.857142857142861"/>
    <x v="0"/>
    <n v="394"/>
    <x v="2"/>
  </r>
  <r>
    <n v="567"/>
    <s v="Douglas"/>
    <s v="Clark"/>
    <x v="564"/>
    <s v="douglas.clark.567@gslingacademy.com"/>
    <x v="0"/>
    <x v="0"/>
    <n v="2"/>
    <x v="0"/>
    <n v="30"/>
    <x v="5"/>
    <n v="95"/>
    <s v="A+"/>
    <n v="97"/>
    <s v="A+"/>
    <n v="88"/>
    <s v="A"/>
    <n v="77"/>
    <s v="A-"/>
    <n v="96"/>
    <s v="A+"/>
    <n v="96"/>
    <s v="A+"/>
    <n v="74"/>
    <s v="B+"/>
    <n v="623"/>
    <n v="89"/>
    <x v="0"/>
    <n v="201"/>
    <x v="1"/>
  </r>
  <r>
    <n v="568"/>
    <s v="Alex"/>
    <s v="Farmer"/>
    <x v="565"/>
    <s v="alex.farmer.568@gslingacademy.com"/>
    <x v="0"/>
    <x v="1"/>
    <n v="3"/>
    <x v="1"/>
    <n v="15"/>
    <x v="13"/>
    <n v="85"/>
    <s v="A"/>
    <n v="96"/>
    <s v="A+"/>
    <n v="82"/>
    <s v="A"/>
    <n v="64"/>
    <s v="B-"/>
    <n v="82"/>
    <s v="A"/>
    <n v="94"/>
    <s v="A+"/>
    <n v="81"/>
    <s v="A"/>
    <n v="584"/>
    <n v="83.428571428571431"/>
    <x v="0"/>
    <n v="635"/>
    <x v="0"/>
  </r>
  <r>
    <n v="569"/>
    <s v="Brandon"/>
    <s v="Gonzales"/>
    <x v="566"/>
    <s v="brandon.gonzales.569@gslingacademy.com"/>
    <x v="0"/>
    <x v="0"/>
    <n v="8"/>
    <x v="1"/>
    <n v="1"/>
    <x v="7"/>
    <n v="67"/>
    <s v="B"/>
    <n v="65"/>
    <s v="B"/>
    <n v="77"/>
    <s v="A-"/>
    <n v="72"/>
    <s v="B+"/>
    <n v="94"/>
    <s v="A+"/>
    <n v="88"/>
    <s v="A"/>
    <n v="77"/>
    <s v="A-"/>
    <n v="540"/>
    <n v="77.142857142857139"/>
    <x v="2"/>
    <n v="1513"/>
    <x v="2"/>
  </r>
  <r>
    <n v="570"/>
    <s v="Wayne"/>
    <s v="Trevino"/>
    <x v="567"/>
    <s v="wayne.trevino.570@gslingacademy.com"/>
    <x v="0"/>
    <x v="0"/>
    <n v="3"/>
    <x v="1"/>
    <n v="6"/>
    <x v="2"/>
    <n v="84"/>
    <s v="A"/>
    <n v="100"/>
    <s v="A+"/>
    <n v="92"/>
    <s v="A+"/>
    <n v="82"/>
    <s v="A"/>
    <n v="85"/>
    <s v="A"/>
    <n v="70"/>
    <s v="B+"/>
    <n v="69"/>
    <s v="B"/>
    <n v="582"/>
    <n v="83.142857142857139"/>
    <x v="0"/>
    <n v="670"/>
    <x v="0"/>
  </r>
  <r>
    <n v="571"/>
    <s v="Pamela"/>
    <s v="Horne"/>
    <x v="568"/>
    <s v="pamela.horne.571@gslingacademy.com"/>
    <x v="1"/>
    <x v="0"/>
    <n v="7"/>
    <x v="1"/>
    <n v="1"/>
    <x v="14"/>
    <n v="83"/>
    <s v="A"/>
    <n v="88"/>
    <s v="A"/>
    <n v="90"/>
    <s v="A+"/>
    <n v="100"/>
    <s v="A+"/>
    <n v="71"/>
    <s v="B+"/>
    <n v="98"/>
    <s v="A+"/>
    <n v="96"/>
    <s v="A+"/>
    <n v="626"/>
    <n v="89.428571428571431"/>
    <x v="0"/>
    <n v="179"/>
    <x v="2"/>
  </r>
  <r>
    <n v="572"/>
    <s v="Michael"/>
    <s v="Schaefer"/>
    <x v="569"/>
    <s v="michael.schaefer.572@gslingacademy.com"/>
    <x v="0"/>
    <x v="1"/>
    <n v="9"/>
    <x v="1"/>
    <n v="5"/>
    <x v="7"/>
    <n v="67"/>
    <s v="B"/>
    <n v="78"/>
    <s v="A-"/>
    <n v="68"/>
    <s v="B"/>
    <n v="51"/>
    <s v="C"/>
    <n v="77"/>
    <s v="A-"/>
    <n v="72"/>
    <s v="B+"/>
    <n v="78"/>
    <s v="A-"/>
    <n v="491"/>
    <n v="70.142857142857139"/>
    <x v="3"/>
    <n v="1907"/>
    <x v="2"/>
  </r>
  <r>
    <n v="573"/>
    <s v="Carlos"/>
    <s v="Ramirez"/>
    <x v="570"/>
    <s v="carlos.ramirez.573@gslingacademy.com"/>
    <x v="0"/>
    <x v="0"/>
    <n v="1"/>
    <x v="0"/>
    <n v="30"/>
    <x v="9"/>
    <n v="75"/>
    <s v="A-"/>
    <n v="92"/>
    <s v="A+"/>
    <n v="72"/>
    <s v="B+"/>
    <n v="88"/>
    <s v="A"/>
    <n v="92"/>
    <s v="A+"/>
    <n v="77"/>
    <s v="A-"/>
    <n v="84"/>
    <s v="A"/>
    <n v="580"/>
    <n v="82.857142857142861"/>
    <x v="0"/>
    <n v="709"/>
    <x v="1"/>
  </r>
  <r>
    <n v="574"/>
    <s v="Antonio"/>
    <s v="Lucero"/>
    <x v="571"/>
    <s v="antonio.lucero.574@gslingacademy.com"/>
    <x v="0"/>
    <x v="0"/>
    <n v="3"/>
    <x v="1"/>
    <n v="8"/>
    <x v="2"/>
    <n v="67"/>
    <s v="B"/>
    <n v="76"/>
    <s v="A-"/>
    <n v="70"/>
    <s v="B+"/>
    <n v="73"/>
    <s v="B+"/>
    <n v="81"/>
    <s v="A"/>
    <n v="85"/>
    <s v="A"/>
    <n v="80"/>
    <s v="A"/>
    <n v="532"/>
    <n v="76"/>
    <x v="2"/>
    <n v="1622"/>
    <x v="0"/>
  </r>
  <r>
    <n v="575"/>
    <s v="Terry"/>
    <s v="Ashley"/>
    <x v="572"/>
    <s v="terry.ashley.575@gslingacademy.com"/>
    <x v="0"/>
    <x v="1"/>
    <n v="9"/>
    <x v="0"/>
    <n v="5"/>
    <x v="7"/>
    <n v="67"/>
    <s v="B"/>
    <n v="54"/>
    <s v="C"/>
    <n v="51"/>
    <s v="C"/>
    <n v="72"/>
    <s v="B+"/>
    <n v="75"/>
    <s v="A-"/>
    <n v="60"/>
    <s v="B-"/>
    <n v="88"/>
    <s v="A"/>
    <n v="467"/>
    <n v="66.714285714285708"/>
    <x v="4"/>
    <n v="1967"/>
    <x v="2"/>
  </r>
  <r>
    <n v="576"/>
    <s v="Rita"/>
    <s v="Cochran"/>
    <x v="573"/>
    <s v="rita.cochran.576@gslingacademy.com"/>
    <x v="1"/>
    <x v="0"/>
    <n v="1"/>
    <x v="0"/>
    <n v="5"/>
    <x v="3"/>
    <n v="72"/>
    <s v="B+"/>
    <n v="91"/>
    <s v="A+"/>
    <n v="78"/>
    <s v="A-"/>
    <n v="97"/>
    <s v="A+"/>
    <n v="86"/>
    <s v="A"/>
    <n v="93"/>
    <s v="A+"/>
    <n v="77"/>
    <s v="A-"/>
    <n v="594"/>
    <n v="84.857142857142861"/>
    <x v="0"/>
    <n v="479"/>
    <x v="1"/>
  </r>
  <r>
    <n v="577"/>
    <s v="Joseph"/>
    <s v="Gregory"/>
    <x v="574"/>
    <s v="joseph.gregory.577@gslingacademy.com"/>
    <x v="0"/>
    <x v="0"/>
    <n v="4"/>
    <x v="0"/>
    <n v="4"/>
    <x v="2"/>
    <n v="78"/>
    <s v="A-"/>
    <n v="98"/>
    <s v="A+"/>
    <n v="76"/>
    <s v="A-"/>
    <n v="68"/>
    <s v="B"/>
    <n v="86"/>
    <s v="A"/>
    <n v="91"/>
    <s v="A+"/>
    <n v="82"/>
    <s v="A"/>
    <n v="579"/>
    <n v="82.714285714285708"/>
    <x v="0"/>
    <n v="730"/>
    <x v="0"/>
  </r>
  <r>
    <n v="578"/>
    <s v="Alexandra"/>
    <s v="Robinson"/>
    <x v="575"/>
    <s v="alexandra.robinson.578@gslingacademy.com"/>
    <x v="1"/>
    <x v="0"/>
    <n v="1"/>
    <x v="0"/>
    <n v="47"/>
    <x v="1"/>
    <n v="85"/>
    <s v="A"/>
    <n v="87"/>
    <s v="A"/>
    <n v="92"/>
    <s v="A+"/>
    <n v="96"/>
    <s v="A+"/>
    <n v="92"/>
    <s v="A+"/>
    <n v="90"/>
    <s v="A+"/>
    <n v="88"/>
    <s v="A"/>
    <n v="630"/>
    <n v="90"/>
    <x v="1"/>
    <n v="154"/>
    <x v="1"/>
  </r>
  <r>
    <n v="579"/>
    <s v="Tina"/>
    <s v="Sparks"/>
    <x v="576"/>
    <s v="tina.sparks.579@gslingacademy.com"/>
    <x v="1"/>
    <x v="0"/>
    <n v="3"/>
    <x v="1"/>
    <n v="16"/>
    <x v="15"/>
    <n v="100"/>
    <s v="A+"/>
    <n v="70"/>
    <s v="B+"/>
    <n v="69"/>
    <s v="B"/>
    <n v="61"/>
    <s v="B-"/>
    <n v="100"/>
    <s v="A+"/>
    <n v="65"/>
    <s v="B"/>
    <n v="81"/>
    <s v="A"/>
    <n v="546"/>
    <n v="78"/>
    <x v="2"/>
    <n v="1411"/>
    <x v="0"/>
  </r>
  <r>
    <n v="580"/>
    <s v="Christopher"/>
    <s v="Buchanan"/>
    <x v="577"/>
    <s v="christopher.buchanan.580@gslingacademy.com"/>
    <x v="0"/>
    <x v="1"/>
    <n v="5"/>
    <x v="0"/>
    <n v="3"/>
    <x v="7"/>
    <n v="56"/>
    <s v="C"/>
    <n v="59"/>
    <s v="C"/>
    <n v="89"/>
    <s v="A"/>
    <n v="68"/>
    <s v="B"/>
    <n v="79"/>
    <s v="A-"/>
    <n v="83"/>
    <s v="A"/>
    <n v="68"/>
    <s v="B"/>
    <n v="502"/>
    <n v="71.714285714285708"/>
    <x v="3"/>
    <n v="1866"/>
    <x v="0"/>
  </r>
  <r>
    <n v="581"/>
    <s v="Christina"/>
    <s v="Guerrero"/>
    <x v="578"/>
    <s v="christina.guerrero.581@gslingacademy.com"/>
    <x v="1"/>
    <x v="0"/>
    <n v="5"/>
    <x v="1"/>
    <n v="32"/>
    <x v="8"/>
    <n v="93"/>
    <s v="A+"/>
    <n v="75"/>
    <s v="A-"/>
    <n v="83"/>
    <s v="A"/>
    <n v="99"/>
    <s v="A+"/>
    <n v="100"/>
    <s v="A+"/>
    <n v="91"/>
    <s v="A+"/>
    <n v="74"/>
    <s v="B+"/>
    <n v="615"/>
    <n v="87.857142857142861"/>
    <x v="0"/>
    <n v="251"/>
    <x v="0"/>
  </r>
  <r>
    <n v="582"/>
    <s v="Jessica"/>
    <s v="Hutchinson"/>
    <x v="579"/>
    <s v="jessica.hutchinson.582@gslingacademy.com"/>
    <x v="1"/>
    <x v="0"/>
    <n v="2"/>
    <x v="0"/>
    <n v="31"/>
    <x v="9"/>
    <n v="89"/>
    <s v="A"/>
    <n v="91"/>
    <s v="A+"/>
    <n v="85"/>
    <s v="A"/>
    <n v="69"/>
    <s v="B"/>
    <n v="76"/>
    <s v="A-"/>
    <n v="92"/>
    <s v="A+"/>
    <n v="94"/>
    <s v="A+"/>
    <n v="596"/>
    <n v="85.142857142857139"/>
    <x v="0"/>
    <n v="458"/>
    <x v="1"/>
  </r>
  <r>
    <n v="583"/>
    <s v="Tyler"/>
    <s v="Carrillo"/>
    <x v="580"/>
    <s v="tyler.carrillo.583@gslingacademy.com"/>
    <x v="0"/>
    <x v="0"/>
    <n v="3"/>
    <x v="0"/>
    <n v="6"/>
    <x v="16"/>
    <n v="59"/>
    <s v="C"/>
    <n v="88"/>
    <s v="A"/>
    <n v="74"/>
    <s v="B+"/>
    <n v="92"/>
    <s v="A+"/>
    <n v="72"/>
    <s v="B+"/>
    <n v="97"/>
    <s v="A+"/>
    <n v="64"/>
    <s v="B-"/>
    <n v="546"/>
    <n v="78"/>
    <x v="2"/>
    <n v="1411"/>
    <x v="0"/>
  </r>
  <r>
    <n v="584"/>
    <s v="Lindsay"/>
    <s v="Brady"/>
    <x v="581"/>
    <s v="lindsay.brady.584@gslingacademy.com"/>
    <x v="1"/>
    <x v="0"/>
    <n v="3"/>
    <x v="0"/>
    <n v="16"/>
    <x v="4"/>
    <n v="99"/>
    <s v="A+"/>
    <n v="70"/>
    <s v="B+"/>
    <n v="74"/>
    <s v="B+"/>
    <n v="65"/>
    <s v="B"/>
    <n v="99"/>
    <s v="A+"/>
    <n v="74"/>
    <s v="B+"/>
    <n v="62"/>
    <s v="B-"/>
    <n v="543"/>
    <n v="77.571428571428569"/>
    <x v="2"/>
    <n v="1464"/>
    <x v="0"/>
  </r>
  <r>
    <n v="585"/>
    <s v="Gary"/>
    <s v="Rivera"/>
    <x v="582"/>
    <s v="gary.rivera.585@gslingacademy.com"/>
    <x v="0"/>
    <x v="0"/>
    <n v="6"/>
    <x v="0"/>
    <n v="34"/>
    <x v="0"/>
    <n v="89"/>
    <s v="A"/>
    <n v="89"/>
    <s v="A"/>
    <n v="85"/>
    <s v="A"/>
    <n v="74"/>
    <s v="B+"/>
    <n v="78"/>
    <s v="A-"/>
    <n v="87"/>
    <s v="A"/>
    <n v="82"/>
    <s v="A"/>
    <n v="584"/>
    <n v="83.428571428571431"/>
    <x v="0"/>
    <n v="635"/>
    <x v="0"/>
  </r>
  <r>
    <n v="586"/>
    <s v="Luke"/>
    <s v="Moore"/>
    <x v="583"/>
    <s v="luke.moore.586@gslingacademy.com"/>
    <x v="0"/>
    <x v="0"/>
    <n v="3"/>
    <x v="0"/>
    <n v="26"/>
    <x v="5"/>
    <n v="86"/>
    <s v="A"/>
    <n v="63"/>
    <s v="B-"/>
    <n v="78"/>
    <s v="A-"/>
    <n v="78"/>
    <s v="A-"/>
    <n v="80"/>
    <s v="A"/>
    <n v="67"/>
    <s v="B"/>
    <n v="97"/>
    <s v="A+"/>
    <n v="549"/>
    <n v="78.428571428571431"/>
    <x v="2"/>
    <n v="1355"/>
    <x v="0"/>
  </r>
  <r>
    <n v="587"/>
    <s v="Tanya"/>
    <s v="Green"/>
    <x v="584"/>
    <s v="tanya.green.587@gslingacademy.com"/>
    <x v="1"/>
    <x v="0"/>
    <n v="6"/>
    <x v="0"/>
    <n v="21"/>
    <x v="9"/>
    <n v="79"/>
    <s v="A-"/>
    <n v="65"/>
    <s v="B"/>
    <n v="91"/>
    <s v="A+"/>
    <n v="65"/>
    <s v="B"/>
    <n v="61"/>
    <s v="B-"/>
    <n v="88"/>
    <s v="A"/>
    <n v="95"/>
    <s v="A+"/>
    <n v="544"/>
    <n v="77.714285714285708"/>
    <x v="2"/>
    <n v="1446"/>
    <x v="0"/>
  </r>
  <r>
    <n v="588"/>
    <s v="Bryan"/>
    <s v="Lee"/>
    <x v="585"/>
    <s v="bryan.lee.588@gslingacademy.com"/>
    <x v="0"/>
    <x v="0"/>
    <n v="3"/>
    <x v="0"/>
    <n v="46"/>
    <x v="1"/>
    <n v="96"/>
    <s v="A+"/>
    <n v="89"/>
    <s v="A"/>
    <n v="91"/>
    <s v="A+"/>
    <n v="90"/>
    <s v="A+"/>
    <n v="90"/>
    <s v="A+"/>
    <n v="91"/>
    <s v="A+"/>
    <n v="99"/>
    <s v="A+"/>
    <n v="646"/>
    <n v="92.285714285714292"/>
    <x v="1"/>
    <n v="73"/>
    <x v="0"/>
  </r>
  <r>
    <n v="589"/>
    <s v="Melanie"/>
    <s v="Bridges"/>
    <x v="586"/>
    <s v="melanie.bridges.589@gslingacademy.com"/>
    <x v="1"/>
    <x v="0"/>
    <n v="6"/>
    <x v="0"/>
    <n v="48"/>
    <x v="1"/>
    <n v="95"/>
    <s v="A+"/>
    <n v="90"/>
    <s v="A+"/>
    <n v="85"/>
    <s v="A"/>
    <n v="90"/>
    <s v="A+"/>
    <n v="96"/>
    <s v="A+"/>
    <n v="89"/>
    <s v="A"/>
    <n v="96"/>
    <s v="A+"/>
    <n v="641"/>
    <n v="91.571428571428569"/>
    <x v="1"/>
    <n v="94"/>
    <x v="0"/>
  </r>
  <r>
    <n v="590"/>
    <s v="Eric"/>
    <s v="Bowers"/>
    <x v="587"/>
    <s v="eric.bowers.590@gslingacademy.com"/>
    <x v="0"/>
    <x v="1"/>
    <n v="1"/>
    <x v="0"/>
    <n v="46"/>
    <x v="1"/>
    <n v="96"/>
    <s v="A+"/>
    <n v="85"/>
    <s v="A"/>
    <n v="90"/>
    <s v="A+"/>
    <n v="95"/>
    <s v="A+"/>
    <n v="100"/>
    <s v="A+"/>
    <n v="96"/>
    <s v="A+"/>
    <n v="88"/>
    <s v="A"/>
    <n v="650"/>
    <n v="92.857142857142861"/>
    <x v="1"/>
    <n v="56"/>
    <x v="1"/>
  </r>
  <r>
    <n v="591"/>
    <s v="Meredith"/>
    <s v="Reed"/>
    <x v="588"/>
    <s v="meredith.reed.591@gslingacademy.com"/>
    <x v="1"/>
    <x v="1"/>
    <n v="3"/>
    <x v="0"/>
    <n v="28"/>
    <x v="4"/>
    <n v="95"/>
    <s v="A+"/>
    <n v="80"/>
    <s v="A"/>
    <n v="64"/>
    <s v="B-"/>
    <n v="97"/>
    <s v="A+"/>
    <n v="85"/>
    <s v="A"/>
    <n v="94"/>
    <s v="A+"/>
    <n v="60"/>
    <s v="B-"/>
    <n v="575"/>
    <n v="82.142857142857139"/>
    <x v="0"/>
    <n v="807"/>
    <x v="0"/>
  </r>
  <r>
    <n v="592"/>
    <s v="David"/>
    <s v="Brown"/>
    <x v="589"/>
    <s v="david.brown.592@gslingacademy.com"/>
    <x v="0"/>
    <x v="1"/>
    <n v="4"/>
    <x v="0"/>
    <n v="2"/>
    <x v="4"/>
    <n v="80"/>
    <s v="A"/>
    <n v="62"/>
    <s v="B-"/>
    <n v="84"/>
    <s v="A"/>
    <n v="95"/>
    <s v="A+"/>
    <n v="71"/>
    <s v="B+"/>
    <n v="85"/>
    <s v="A"/>
    <n v="87"/>
    <s v="A"/>
    <n v="564"/>
    <n v="80.571428571428569"/>
    <x v="0"/>
    <n v="1056"/>
    <x v="0"/>
  </r>
  <r>
    <n v="593"/>
    <s v="William"/>
    <s v="Johns"/>
    <x v="590"/>
    <s v="william.johns.593@gslingacademy.com"/>
    <x v="0"/>
    <x v="1"/>
    <n v="0"/>
    <x v="0"/>
    <n v="32"/>
    <x v="15"/>
    <n v="86"/>
    <s v="A"/>
    <n v="70"/>
    <s v="B+"/>
    <n v="73"/>
    <s v="B+"/>
    <n v="85"/>
    <s v="A"/>
    <n v="67"/>
    <s v="B"/>
    <n v="91"/>
    <s v="A+"/>
    <n v="98"/>
    <s v="A+"/>
    <n v="570"/>
    <n v="81.428571428571431"/>
    <x v="0"/>
    <n v="937"/>
    <x v="1"/>
  </r>
  <r>
    <n v="594"/>
    <s v="Eric"/>
    <s v="Patton"/>
    <x v="591"/>
    <s v="eric.patton.594@gslingacademy.com"/>
    <x v="0"/>
    <x v="1"/>
    <n v="10"/>
    <x v="0"/>
    <n v="5"/>
    <x v="7"/>
    <n v="42"/>
    <s v="D"/>
    <n v="95"/>
    <s v="A+"/>
    <n v="99"/>
    <s v="A+"/>
    <n v="61"/>
    <s v="B-"/>
    <n v="62"/>
    <s v="B-"/>
    <n v="77"/>
    <s v="A-"/>
    <n v="99"/>
    <s v="A+"/>
    <n v="535"/>
    <n v="76.428571428571431"/>
    <x v="2"/>
    <n v="1578"/>
    <x v="2"/>
  </r>
  <r>
    <n v="595"/>
    <s v="Wendy"/>
    <s v="Warner"/>
    <x v="592"/>
    <s v="wendy.warner.595@gslingacademy.com"/>
    <x v="1"/>
    <x v="0"/>
    <n v="4"/>
    <x v="0"/>
    <n v="31"/>
    <x v="0"/>
    <n v="80"/>
    <s v="A"/>
    <n v="93"/>
    <s v="A+"/>
    <n v="93"/>
    <s v="A+"/>
    <n v="94"/>
    <s v="A+"/>
    <n v="81"/>
    <s v="A"/>
    <n v="81"/>
    <s v="A"/>
    <n v="78"/>
    <s v="A-"/>
    <n v="600"/>
    <n v="85.714285714285708"/>
    <x v="0"/>
    <n v="406"/>
    <x v="0"/>
  </r>
  <r>
    <n v="596"/>
    <s v="Timothy"/>
    <s v="Powell"/>
    <x v="593"/>
    <s v="timothy.powell.596@gslingacademy.com"/>
    <x v="0"/>
    <x v="0"/>
    <n v="4"/>
    <x v="1"/>
    <n v="1"/>
    <x v="3"/>
    <n v="79"/>
    <s v="A-"/>
    <n v="97"/>
    <s v="A+"/>
    <n v="100"/>
    <s v="A+"/>
    <n v="94"/>
    <s v="A+"/>
    <n v="65"/>
    <s v="B"/>
    <n v="62"/>
    <s v="B-"/>
    <n v="76"/>
    <s v="A-"/>
    <n v="573"/>
    <n v="81.857142857142861"/>
    <x v="0"/>
    <n v="864"/>
    <x v="0"/>
  </r>
  <r>
    <n v="597"/>
    <s v="Victoria"/>
    <s v="Thompson"/>
    <x v="594"/>
    <s v="victoria.thompson.597@gslingacademy.com"/>
    <x v="1"/>
    <x v="1"/>
    <n v="9"/>
    <x v="1"/>
    <n v="4"/>
    <x v="7"/>
    <n v="43"/>
    <s v="D"/>
    <n v="63"/>
    <s v="B-"/>
    <n v="91"/>
    <s v="A+"/>
    <n v="67"/>
    <s v="B"/>
    <n v="74"/>
    <s v="B+"/>
    <n v="71"/>
    <s v="B+"/>
    <n v="88"/>
    <s v="A"/>
    <n v="497"/>
    <n v="71"/>
    <x v="3"/>
    <n v="1888"/>
    <x v="2"/>
  </r>
  <r>
    <n v="598"/>
    <s v="Jeremy"/>
    <s v="Brown"/>
    <x v="595"/>
    <s v="jeremy.brown.598@gslingacademy.com"/>
    <x v="0"/>
    <x v="0"/>
    <n v="2"/>
    <x v="1"/>
    <n v="8"/>
    <x v="16"/>
    <n v="58"/>
    <s v="C"/>
    <n v="84"/>
    <s v="A"/>
    <n v="95"/>
    <s v="A+"/>
    <n v="66"/>
    <s v="B"/>
    <n v="99"/>
    <s v="A+"/>
    <n v="91"/>
    <s v="A+"/>
    <n v="70"/>
    <s v="B+"/>
    <n v="563"/>
    <n v="80.428571428571431"/>
    <x v="0"/>
    <n v="1077"/>
    <x v="1"/>
  </r>
  <r>
    <n v="599"/>
    <s v="Barbara"/>
    <s v="Schneider"/>
    <x v="596"/>
    <s v="barbara.schneider.599@gslingacademy.com"/>
    <x v="1"/>
    <x v="0"/>
    <n v="3"/>
    <x v="1"/>
    <n v="23"/>
    <x v="11"/>
    <n v="86"/>
    <s v="A"/>
    <n v="73"/>
    <s v="B+"/>
    <n v="83"/>
    <s v="A"/>
    <n v="93"/>
    <s v="A+"/>
    <n v="46"/>
    <s v="D"/>
    <n v="91"/>
    <s v="A+"/>
    <n v="70"/>
    <s v="B+"/>
    <n v="542"/>
    <n v="77.428571428571431"/>
    <x v="2"/>
    <n v="1478"/>
    <x v="0"/>
  </r>
  <r>
    <n v="600"/>
    <s v="Lindsay"/>
    <s v="Morales"/>
    <x v="597"/>
    <s v="lindsay.morales.600@gslingacademy.com"/>
    <x v="1"/>
    <x v="0"/>
    <n v="1"/>
    <x v="0"/>
    <n v="23"/>
    <x v="1"/>
    <n v="96"/>
    <s v="A+"/>
    <n v="91"/>
    <s v="A+"/>
    <n v="97"/>
    <s v="A+"/>
    <n v="84"/>
    <s v="A"/>
    <n v="89"/>
    <s v="A"/>
    <n v="82"/>
    <s v="A"/>
    <n v="75"/>
    <s v="A-"/>
    <n v="614"/>
    <n v="87.714285714285708"/>
    <x v="0"/>
    <n v="260"/>
    <x v="1"/>
  </r>
  <r>
    <n v="601"/>
    <s v="Gary"/>
    <s v="Patel"/>
    <x v="598"/>
    <s v="gary.patel.601@gslingacademy.com"/>
    <x v="0"/>
    <x v="0"/>
    <n v="1"/>
    <x v="0"/>
    <n v="28"/>
    <x v="0"/>
    <n v="91"/>
    <s v="A+"/>
    <n v="88"/>
    <s v="A"/>
    <n v="98"/>
    <s v="A+"/>
    <n v="89"/>
    <s v="A"/>
    <n v="75"/>
    <s v="A-"/>
    <n v="91"/>
    <s v="A+"/>
    <n v="92"/>
    <s v="A+"/>
    <n v="624"/>
    <n v="89.142857142857139"/>
    <x v="0"/>
    <n v="194"/>
    <x v="1"/>
  </r>
  <r>
    <n v="602"/>
    <s v="Michelle"/>
    <s v="Ortiz"/>
    <x v="599"/>
    <s v="michelle.ortiz.602@gslingacademy.com"/>
    <x v="1"/>
    <x v="0"/>
    <n v="1"/>
    <x v="0"/>
    <n v="7"/>
    <x v="4"/>
    <n v="85"/>
    <s v="A"/>
    <n v="62"/>
    <s v="B-"/>
    <n v="77"/>
    <s v="A-"/>
    <n v="62"/>
    <s v="B-"/>
    <n v="80"/>
    <s v="A"/>
    <n v="88"/>
    <s v="A"/>
    <n v="83"/>
    <s v="A"/>
    <n v="537"/>
    <n v="76.714285714285708"/>
    <x v="2"/>
    <n v="1553"/>
    <x v="1"/>
  </r>
  <r>
    <n v="603"/>
    <s v="Susan"/>
    <s v="Lynch"/>
    <x v="600"/>
    <s v="susan.lynch.603@gslingacademy.com"/>
    <x v="1"/>
    <x v="0"/>
    <n v="0"/>
    <x v="0"/>
    <n v="5"/>
    <x v="3"/>
    <n v="87"/>
    <s v="A"/>
    <n v="91"/>
    <s v="A+"/>
    <n v="93"/>
    <s v="A+"/>
    <n v="92"/>
    <s v="A+"/>
    <n v="97"/>
    <s v="A+"/>
    <n v="95"/>
    <s v="A+"/>
    <n v="99"/>
    <s v="A+"/>
    <n v="654"/>
    <n v="93.428571428571431"/>
    <x v="1"/>
    <n v="37"/>
    <x v="1"/>
  </r>
  <r>
    <n v="604"/>
    <s v="Tammy"/>
    <s v="Hernandez"/>
    <x v="601"/>
    <s v="tammy.hernandez.604@gslingacademy.com"/>
    <x v="1"/>
    <x v="0"/>
    <n v="2"/>
    <x v="0"/>
    <n v="4"/>
    <x v="4"/>
    <n v="60"/>
    <s v="B-"/>
    <n v="91"/>
    <s v="A+"/>
    <n v="85"/>
    <s v="A"/>
    <n v="67"/>
    <s v="B"/>
    <n v="98"/>
    <s v="A+"/>
    <n v="61"/>
    <s v="B-"/>
    <n v="64"/>
    <s v="B-"/>
    <n v="526"/>
    <n v="75.142857142857139"/>
    <x v="2"/>
    <n v="1688"/>
    <x v="1"/>
  </r>
  <r>
    <n v="605"/>
    <s v="Jennifer"/>
    <s v="Guerra"/>
    <x v="602"/>
    <s v="jennifer.guerra.605@gslingacademy.com"/>
    <x v="1"/>
    <x v="0"/>
    <n v="2"/>
    <x v="0"/>
    <n v="26"/>
    <x v="4"/>
    <n v="76"/>
    <s v="A-"/>
    <n v="85"/>
    <s v="A"/>
    <n v="67"/>
    <s v="B"/>
    <n v="60"/>
    <s v="B-"/>
    <n v="100"/>
    <s v="A+"/>
    <n v="63"/>
    <s v="B-"/>
    <n v="64"/>
    <s v="B-"/>
    <n v="515"/>
    <n v="73.571428571428569"/>
    <x v="3"/>
    <n v="1798"/>
    <x v="1"/>
  </r>
  <r>
    <n v="606"/>
    <s v="Kelly"/>
    <s v="Schwartz"/>
    <x v="603"/>
    <s v="kelly.schwartz.606@gslingacademy.com"/>
    <x v="1"/>
    <x v="0"/>
    <n v="4"/>
    <x v="1"/>
    <n v="33"/>
    <x v="0"/>
    <n v="84"/>
    <s v="A"/>
    <n v="89"/>
    <s v="A"/>
    <n v="74"/>
    <s v="B+"/>
    <n v="79"/>
    <s v="A-"/>
    <n v="86"/>
    <s v="A"/>
    <n v="93"/>
    <s v="A+"/>
    <n v="95"/>
    <s v="A+"/>
    <n v="600"/>
    <n v="85.714285714285708"/>
    <x v="0"/>
    <n v="406"/>
    <x v="0"/>
  </r>
  <r>
    <n v="607"/>
    <s v="Brittany"/>
    <s v="Orozco"/>
    <x v="604"/>
    <s v="brittany.orozco.607@gslingacademy.com"/>
    <x v="1"/>
    <x v="0"/>
    <n v="4"/>
    <x v="1"/>
    <n v="34"/>
    <x v="0"/>
    <n v="87"/>
    <s v="A"/>
    <n v="94"/>
    <s v="A+"/>
    <n v="74"/>
    <s v="B+"/>
    <n v="84"/>
    <s v="A"/>
    <n v="77"/>
    <s v="A-"/>
    <n v="82"/>
    <s v="A"/>
    <n v="85"/>
    <s v="A"/>
    <n v="583"/>
    <n v="83.285714285714292"/>
    <x v="0"/>
    <n v="655"/>
    <x v="0"/>
  </r>
  <r>
    <n v="608"/>
    <s v="Samantha"/>
    <s v="Alvarado"/>
    <x v="605"/>
    <s v="samantha.alvarado.608@gslingacademy.com"/>
    <x v="1"/>
    <x v="1"/>
    <n v="4"/>
    <x v="0"/>
    <n v="16"/>
    <x v="11"/>
    <n v="82"/>
    <s v="A"/>
    <n v="79"/>
    <s v="A-"/>
    <n v="64"/>
    <s v="B-"/>
    <n v="75"/>
    <s v="A-"/>
    <n v="93"/>
    <s v="A+"/>
    <n v="82"/>
    <s v="A"/>
    <n v="60"/>
    <s v="B-"/>
    <n v="535"/>
    <n v="76.428571428571431"/>
    <x v="2"/>
    <n v="1578"/>
    <x v="0"/>
  </r>
  <r>
    <n v="609"/>
    <s v="Christopher"/>
    <s v="Anderson"/>
    <x v="606"/>
    <s v="christopher.anderson.609@gslingacademy.com"/>
    <x v="0"/>
    <x v="0"/>
    <n v="4"/>
    <x v="0"/>
    <n v="3"/>
    <x v="7"/>
    <n v="64"/>
    <s v="B-"/>
    <n v="61"/>
    <s v="B-"/>
    <n v="73"/>
    <s v="B+"/>
    <n v="70"/>
    <s v="B+"/>
    <n v="87"/>
    <s v="A"/>
    <n v="75"/>
    <s v="A-"/>
    <n v="100"/>
    <s v="A+"/>
    <n v="530"/>
    <n v="75.714285714285708"/>
    <x v="2"/>
    <n v="1646"/>
    <x v="0"/>
  </r>
  <r>
    <n v="610"/>
    <s v="William"/>
    <s v="Smith"/>
    <x v="607"/>
    <s v="william.smith.610@gslingacademy.com"/>
    <x v="0"/>
    <x v="0"/>
    <n v="3"/>
    <x v="0"/>
    <n v="25"/>
    <x v="0"/>
    <n v="77"/>
    <s v="A-"/>
    <n v="80"/>
    <s v="A"/>
    <n v="88"/>
    <s v="A"/>
    <n v="84"/>
    <s v="A"/>
    <n v="84"/>
    <s v="A"/>
    <n v="92"/>
    <s v="A+"/>
    <n v="82"/>
    <s v="A"/>
    <n v="587"/>
    <n v="83.857142857142861"/>
    <x v="0"/>
    <n v="583"/>
    <x v="0"/>
  </r>
  <r>
    <n v="611"/>
    <s v="Courtney"/>
    <s v="Patterson"/>
    <x v="608"/>
    <s v="courtney.patterson.611@gslingacademy.com"/>
    <x v="1"/>
    <x v="0"/>
    <n v="0"/>
    <x v="0"/>
    <n v="4"/>
    <x v="15"/>
    <n v="86"/>
    <s v="A"/>
    <n v="82"/>
    <s v="A"/>
    <n v="90"/>
    <s v="A+"/>
    <n v="69"/>
    <s v="B"/>
    <n v="66"/>
    <s v="B"/>
    <n v="93"/>
    <s v="A+"/>
    <n v="94"/>
    <s v="A+"/>
    <n v="580"/>
    <n v="82.857142857142861"/>
    <x v="0"/>
    <n v="709"/>
    <x v="1"/>
  </r>
  <r>
    <n v="612"/>
    <s v="Kevin"/>
    <s v="Hess"/>
    <x v="609"/>
    <s v="kevin.hess.612@gslingacademy.com"/>
    <x v="0"/>
    <x v="0"/>
    <n v="0"/>
    <x v="0"/>
    <n v="4"/>
    <x v="16"/>
    <n v="81"/>
    <s v="A"/>
    <n v="84"/>
    <s v="A"/>
    <n v="76"/>
    <s v="A-"/>
    <n v="88"/>
    <s v="A"/>
    <n v="84"/>
    <s v="A"/>
    <n v="89"/>
    <s v="A"/>
    <n v="87"/>
    <s v="A"/>
    <n v="589"/>
    <n v="84.142857142857139"/>
    <x v="0"/>
    <n v="548"/>
    <x v="1"/>
  </r>
  <r>
    <n v="613"/>
    <s v="Melissa"/>
    <s v="Higgins"/>
    <x v="610"/>
    <s v="melissa.higgins.613@gslingacademy.com"/>
    <x v="1"/>
    <x v="0"/>
    <n v="3"/>
    <x v="0"/>
    <n v="21"/>
    <x v="5"/>
    <n v="91"/>
    <s v="A+"/>
    <n v="90"/>
    <s v="A+"/>
    <n v="92"/>
    <s v="A+"/>
    <n v="78"/>
    <s v="A-"/>
    <n v="67"/>
    <s v="B"/>
    <n v="86"/>
    <s v="A"/>
    <n v="71"/>
    <s v="B+"/>
    <n v="575"/>
    <n v="82.142857142857139"/>
    <x v="0"/>
    <n v="807"/>
    <x v="0"/>
  </r>
  <r>
    <n v="614"/>
    <s v="Elizabeth"/>
    <s v="Chavez"/>
    <x v="611"/>
    <s v="elizabeth.chavez.614@gslingacademy.com"/>
    <x v="1"/>
    <x v="0"/>
    <n v="7"/>
    <x v="0"/>
    <n v="4"/>
    <x v="7"/>
    <n v="72"/>
    <s v="B+"/>
    <n v="99"/>
    <s v="A+"/>
    <n v="61"/>
    <s v="B-"/>
    <n v="67"/>
    <s v="B"/>
    <n v="95"/>
    <s v="A+"/>
    <n v="98"/>
    <s v="A+"/>
    <n v="89"/>
    <s v="A"/>
    <n v="581"/>
    <n v="83"/>
    <x v="0"/>
    <n v="688"/>
    <x v="2"/>
  </r>
  <r>
    <n v="615"/>
    <s v="Mary"/>
    <s v="Taylor"/>
    <x v="612"/>
    <s v="mary.taylor.615@gslingacademy.com"/>
    <x v="1"/>
    <x v="0"/>
    <n v="3"/>
    <x v="0"/>
    <n v="24"/>
    <x v="10"/>
    <n v="80"/>
    <s v="A"/>
    <n v="70"/>
    <s v="B+"/>
    <n v="80"/>
    <s v="A"/>
    <n v="96"/>
    <s v="A+"/>
    <n v="72"/>
    <s v="B+"/>
    <n v="99"/>
    <s v="A+"/>
    <n v="65"/>
    <s v="B"/>
    <n v="562"/>
    <n v="80.285714285714292"/>
    <x v="0"/>
    <n v="1099"/>
    <x v="0"/>
  </r>
  <r>
    <n v="616"/>
    <s v="Joshua"/>
    <s v="Parker"/>
    <x v="613"/>
    <s v="joshua.parker.616@gslingacademy.com"/>
    <x v="0"/>
    <x v="0"/>
    <n v="2"/>
    <x v="0"/>
    <n v="16"/>
    <x v="4"/>
    <n v="90"/>
    <s v="A+"/>
    <n v="89"/>
    <s v="A"/>
    <n v="98"/>
    <s v="A+"/>
    <n v="70"/>
    <s v="B+"/>
    <n v="79"/>
    <s v="A-"/>
    <n v="60"/>
    <s v="B-"/>
    <n v="92"/>
    <s v="A+"/>
    <n v="578"/>
    <n v="82.571428571428569"/>
    <x v="0"/>
    <n v="752"/>
    <x v="1"/>
  </r>
  <r>
    <n v="617"/>
    <s v="Joshua"/>
    <s v="Kelly"/>
    <x v="614"/>
    <s v="joshua.kelly.617@gslingacademy.com"/>
    <x v="0"/>
    <x v="0"/>
    <n v="10"/>
    <x v="0"/>
    <n v="2"/>
    <x v="7"/>
    <n v="72"/>
    <s v="B+"/>
    <n v="51"/>
    <s v="C"/>
    <n v="52"/>
    <s v="C"/>
    <n v="98"/>
    <s v="A+"/>
    <n v="50"/>
    <s v="C"/>
    <n v="90"/>
    <s v="A+"/>
    <n v="63"/>
    <s v="B-"/>
    <n v="476"/>
    <n v="68"/>
    <x v="4"/>
    <n v="1944"/>
    <x v="2"/>
  </r>
  <r>
    <n v="618"/>
    <s v="Travis"/>
    <s v="Ross"/>
    <x v="615"/>
    <s v="travis.ross.618@gslingacademy.com"/>
    <x v="0"/>
    <x v="0"/>
    <n v="3"/>
    <x v="0"/>
    <n v="35"/>
    <x v="5"/>
    <n v="93"/>
    <s v="A+"/>
    <n v="85"/>
    <s v="A"/>
    <n v="89"/>
    <s v="A"/>
    <n v="93"/>
    <s v="A+"/>
    <n v="90"/>
    <s v="A+"/>
    <n v="91"/>
    <s v="A+"/>
    <n v="88"/>
    <s v="A"/>
    <n v="629"/>
    <n v="89.857142857142861"/>
    <x v="0"/>
    <n v="162"/>
    <x v="0"/>
  </r>
  <r>
    <n v="619"/>
    <s v="Kenneth"/>
    <s v="Buchanan"/>
    <x v="616"/>
    <s v="kenneth.buchanan.619@gslingacademy.com"/>
    <x v="0"/>
    <x v="0"/>
    <n v="2"/>
    <x v="0"/>
    <n v="24"/>
    <x v="1"/>
    <n v="95"/>
    <s v="A+"/>
    <n v="85"/>
    <s v="A"/>
    <n v="90"/>
    <s v="A+"/>
    <n v="94"/>
    <s v="A+"/>
    <n v="91"/>
    <s v="A+"/>
    <n v="84"/>
    <s v="A"/>
    <n v="85"/>
    <s v="A"/>
    <n v="624"/>
    <n v="89.142857142857139"/>
    <x v="0"/>
    <n v="194"/>
    <x v="1"/>
  </r>
  <r>
    <n v="620"/>
    <s v="Ryan"/>
    <s v="Clarke"/>
    <x v="617"/>
    <s v="ryan.clarke.620@gslingacademy.com"/>
    <x v="0"/>
    <x v="0"/>
    <n v="2"/>
    <x v="1"/>
    <n v="46"/>
    <x v="1"/>
    <n v="86"/>
    <s v="A"/>
    <n v="93"/>
    <s v="A+"/>
    <n v="89"/>
    <s v="A"/>
    <n v="90"/>
    <s v="A+"/>
    <n v="100"/>
    <s v="A+"/>
    <n v="86"/>
    <s v="A"/>
    <n v="93"/>
    <s v="A+"/>
    <n v="637"/>
    <n v="91"/>
    <x v="1"/>
    <n v="115"/>
    <x v="1"/>
  </r>
  <r>
    <n v="621"/>
    <s v="Gina"/>
    <s v="Solomon"/>
    <x v="618"/>
    <s v="gina.solomon.621@gslingacademy.com"/>
    <x v="1"/>
    <x v="0"/>
    <n v="6"/>
    <x v="0"/>
    <n v="1"/>
    <x v="7"/>
    <n v="89"/>
    <s v="A"/>
    <n v="55"/>
    <s v="C"/>
    <n v="89"/>
    <s v="A"/>
    <n v="67"/>
    <s v="B"/>
    <n v="55"/>
    <s v="C"/>
    <n v="64"/>
    <s v="B-"/>
    <n v="70"/>
    <s v="B+"/>
    <n v="489"/>
    <n v="69.857142857142861"/>
    <x v="4"/>
    <n v="1914"/>
    <x v="0"/>
  </r>
  <r>
    <n v="622"/>
    <s v="David"/>
    <s v="Madden"/>
    <x v="619"/>
    <s v="david.madden.622@gslingacademy.com"/>
    <x v="0"/>
    <x v="0"/>
    <n v="5"/>
    <x v="0"/>
    <n v="26"/>
    <x v="4"/>
    <n v="90"/>
    <s v="A+"/>
    <n v="75"/>
    <s v="A-"/>
    <n v="67"/>
    <s v="B"/>
    <n v="85"/>
    <s v="A"/>
    <n v="64"/>
    <s v="B-"/>
    <n v="95"/>
    <s v="A+"/>
    <n v="96"/>
    <s v="A+"/>
    <n v="572"/>
    <n v="81.714285714285708"/>
    <x v="0"/>
    <n v="890"/>
    <x v="0"/>
  </r>
  <r>
    <n v="623"/>
    <s v="William"/>
    <s v="Brennan"/>
    <x v="620"/>
    <s v="william.brennan.623@gslingacademy.com"/>
    <x v="0"/>
    <x v="0"/>
    <n v="1"/>
    <x v="0"/>
    <n v="5"/>
    <x v="4"/>
    <n v="79"/>
    <s v="A-"/>
    <n v="95"/>
    <s v="A+"/>
    <n v="81"/>
    <s v="A"/>
    <n v="67"/>
    <s v="B"/>
    <n v="66"/>
    <s v="B"/>
    <n v="71"/>
    <s v="B+"/>
    <n v="66"/>
    <s v="B"/>
    <n v="525"/>
    <n v="75"/>
    <x v="2"/>
    <n v="1704"/>
    <x v="1"/>
  </r>
  <r>
    <n v="624"/>
    <s v="Judy"/>
    <s v="Mckenzie"/>
    <x v="621"/>
    <s v="judy.mckenzie.624@gslingacademy.com"/>
    <x v="1"/>
    <x v="1"/>
    <n v="5"/>
    <x v="0"/>
    <n v="17"/>
    <x v="6"/>
    <n v="86"/>
    <s v="A"/>
    <n v="88"/>
    <s v="A"/>
    <n v="98"/>
    <s v="A+"/>
    <n v="66"/>
    <s v="B"/>
    <n v="62"/>
    <s v="B-"/>
    <n v="95"/>
    <s v="A+"/>
    <n v="90"/>
    <s v="A+"/>
    <n v="585"/>
    <n v="83.571428571428569"/>
    <x v="0"/>
    <n v="615"/>
    <x v="0"/>
  </r>
  <r>
    <n v="625"/>
    <s v="Logan"/>
    <s v="Lindsey"/>
    <x v="622"/>
    <s v="logan.lindsey.625@gslingacademy.com"/>
    <x v="0"/>
    <x v="0"/>
    <n v="3"/>
    <x v="0"/>
    <n v="4"/>
    <x v="3"/>
    <n v="83"/>
    <s v="A"/>
    <n v="78"/>
    <s v="A-"/>
    <n v="68"/>
    <s v="B"/>
    <n v="72"/>
    <s v="B+"/>
    <n v="77"/>
    <s v="A-"/>
    <n v="89"/>
    <s v="A"/>
    <n v="70"/>
    <s v="B+"/>
    <n v="537"/>
    <n v="76.714285714285708"/>
    <x v="2"/>
    <n v="1553"/>
    <x v="0"/>
  </r>
  <r>
    <n v="626"/>
    <s v="Kyle"/>
    <s v="Williams"/>
    <x v="623"/>
    <s v="kyle.williams.626@gslingacademy.com"/>
    <x v="0"/>
    <x v="0"/>
    <n v="6"/>
    <x v="0"/>
    <n v="27"/>
    <x v="0"/>
    <n v="85"/>
    <s v="A"/>
    <n v="92"/>
    <s v="A+"/>
    <n v="62"/>
    <s v="B-"/>
    <n v="95"/>
    <s v="A+"/>
    <n v="65"/>
    <s v="B"/>
    <n v="89"/>
    <s v="A"/>
    <n v="95"/>
    <s v="A+"/>
    <n v="583"/>
    <n v="83.285714285714292"/>
    <x v="0"/>
    <n v="655"/>
    <x v="0"/>
  </r>
  <r>
    <n v="627"/>
    <s v="Mark"/>
    <s v="Padilla"/>
    <x v="624"/>
    <s v="mark.padilla.627@gslingacademy.com"/>
    <x v="0"/>
    <x v="0"/>
    <n v="3"/>
    <x v="0"/>
    <n v="0"/>
    <x v="3"/>
    <n v="66"/>
    <s v="B"/>
    <n v="78"/>
    <s v="A-"/>
    <n v="86"/>
    <s v="A"/>
    <n v="87"/>
    <s v="A"/>
    <n v="64"/>
    <s v="B-"/>
    <n v="65"/>
    <s v="B"/>
    <n v="64"/>
    <s v="B-"/>
    <n v="510"/>
    <n v="72.857142857142861"/>
    <x v="3"/>
    <n v="1828"/>
    <x v="0"/>
  </r>
  <r>
    <n v="628"/>
    <s v="Eugene"/>
    <s v="Clark"/>
    <x v="625"/>
    <s v="eugene.clark.628@gslingacademy.com"/>
    <x v="0"/>
    <x v="0"/>
    <n v="6"/>
    <x v="1"/>
    <n v="16"/>
    <x v="11"/>
    <n v="93"/>
    <s v="A+"/>
    <n v="80"/>
    <s v="A"/>
    <n v="60"/>
    <s v="B-"/>
    <n v="62"/>
    <s v="B-"/>
    <n v="43"/>
    <s v="D"/>
    <n v="68"/>
    <s v="B"/>
    <n v="67"/>
    <s v="B"/>
    <n v="473"/>
    <n v="67.571428571428569"/>
    <x v="4"/>
    <n v="1952"/>
    <x v="0"/>
  </r>
  <r>
    <n v="629"/>
    <s v="Sean"/>
    <s v="Wagner"/>
    <x v="626"/>
    <s v="sean.wagner.629@gslingacademy.com"/>
    <x v="0"/>
    <x v="0"/>
    <n v="6"/>
    <x v="1"/>
    <n v="14"/>
    <x v="4"/>
    <n v="65"/>
    <s v="B"/>
    <n v="89"/>
    <s v="A"/>
    <n v="79"/>
    <s v="A-"/>
    <n v="95"/>
    <s v="A+"/>
    <n v="71"/>
    <s v="B+"/>
    <n v="61"/>
    <s v="B-"/>
    <n v="62"/>
    <s v="B-"/>
    <n v="522"/>
    <n v="74.571428571428569"/>
    <x v="3"/>
    <n v="1739"/>
    <x v="0"/>
  </r>
  <r>
    <n v="630"/>
    <s v="Christine"/>
    <s v="Larson"/>
    <x v="627"/>
    <s v="christine.larson.630@gslingacademy.com"/>
    <x v="1"/>
    <x v="1"/>
    <n v="2"/>
    <x v="0"/>
    <n v="5"/>
    <x v="16"/>
    <n v="52"/>
    <s v="C"/>
    <n v="66"/>
    <s v="B"/>
    <n v="98"/>
    <s v="A+"/>
    <n v="83"/>
    <s v="A"/>
    <n v="92"/>
    <s v="A+"/>
    <n v="82"/>
    <s v="A"/>
    <n v="91"/>
    <s v="A+"/>
    <n v="564"/>
    <n v="80.571428571428569"/>
    <x v="0"/>
    <n v="1056"/>
    <x v="1"/>
  </r>
  <r>
    <n v="631"/>
    <s v="Melinda"/>
    <s v="Freeman"/>
    <x v="628"/>
    <s v="melinda.freeman.631@gslingacademy.com"/>
    <x v="1"/>
    <x v="0"/>
    <n v="3"/>
    <x v="1"/>
    <n v="31"/>
    <x v="9"/>
    <n v="90"/>
    <s v="A+"/>
    <n v="80"/>
    <s v="A"/>
    <n v="84"/>
    <s v="A"/>
    <n v="70"/>
    <s v="B+"/>
    <n v="65"/>
    <s v="B"/>
    <n v="89"/>
    <s v="A"/>
    <n v="64"/>
    <s v="B-"/>
    <n v="542"/>
    <n v="77.428571428571431"/>
    <x v="2"/>
    <n v="1478"/>
    <x v="0"/>
  </r>
  <r>
    <n v="632"/>
    <s v="Elizabeth"/>
    <s v="Smith"/>
    <x v="629"/>
    <s v="elizabeth.smith.632@gslingacademy.com"/>
    <x v="1"/>
    <x v="0"/>
    <n v="2"/>
    <x v="1"/>
    <n v="4"/>
    <x v="3"/>
    <n v="83"/>
    <s v="A"/>
    <n v="89"/>
    <s v="A"/>
    <n v="99"/>
    <s v="A+"/>
    <n v="100"/>
    <s v="A+"/>
    <n v="73"/>
    <s v="B+"/>
    <n v="86"/>
    <s v="A"/>
    <n v="88"/>
    <s v="A"/>
    <n v="618"/>
    <n v="88.285714285714292"/>
    <x v="0"/>
    <n v="229"/>
    <x v="1"/>
  </r>
  <r>
    <n v="633"/>
    <s v="Walter"/>
    <s v="King"/>
    <x v="630"/>
    <s v="walter.king.633@gslingacademy.com"/>
    <x v="0"/>
    <x v="0"/>
    <n v="1"/>
    <x v="0"/>
    <n v="5"/>
    <x v="3"/>
    <n v="62"/>
    <s v="B-"/>
    <n v="89"/>
    <s v="A"/>
    <n v="72"/>
    <s v="B+"/>
    <n v="68"/>
    <s v="B"/>
    <n v="85"/>
    <s v="A"/>
    <n v="80"/>
    <s v="A"/>
    <n v="75"/>
    <s v="A-"/>
    <n v="531"/>
    <n v="75.857142857142861"/>
    <x v="2"/>
    <n v="1637"/>
    <x v="1"/>
  </r>
  <r>
    <n v="634"/>
    <s v="Lisa"/>
    <s v="Bean"/>
    <x v="631"/>
    <s v="lisa.bean.634@gslingacademy.com"/>
    <x v="1"/>
    <x v="0"/>
    <n v="1"/>
    <x v="0"/>
    <n v="11"/>
    <x v="10"/>
    <n v="98"/>
    <s v="A+"/>
    <n v="72"/>
    <s v="B+"/>
    <n v="99"/>
    <s v="A+"/>
    <n v="84"/>
    <s v="A"/>
    <n v="60"/>
    <s v="B-"/>
    <n v="95"/>
    <s v="A+"/>
    <n v="93"/>
    <s v="A+"/>
    <n v="601"/>
    <n v="85.857142857142861"/>
    <x v="0"/>
    <n v="394"/>
    <x v="1"/>
  </r>
  <r>
    <n v="635"/>
    <s v="Douglas"/>
    <s v="Hayes"/>
    <x v="632"/>
    <s v="douglas.hayes.635@gslingacademy.com"/>
    <x v="0"/>
    <x v="0"/>
    <n v="8"/>
    <x v="1"/>
    <n v="12"/>
    <x v="4"/>
    <n v="76"/>
    <s v="A-"/>
    <n v="75"/>
    <s v="A-"/>
    <n v="74"/>
    <s v="B+"/>
    <n v="67"/>
    <s v="B"/>
    <n v="76"/>
    <s v="A-"/>
    <n v="82"/>
    <s v="A"/>
    <n v="79"/>
    <s v="A-"/>
    <n v="529"/>
    <n v="75.571428571428569"/>
    <x v="2"/>
    <n v="1664"/>
    <x v="2"/>
  </r>
  <r>
    <n v="636"/>
    <s v="Heather"/>
    <s v="Jefferson"/>
    <x v="633"/>
    <s v="heather.jefferson.636@gslingacademy.com"/>
    <x v="1"/>
    <x v="0"/>
    <n v="0"/>
    <x v="0"/>
    <n v="5"/>
    <x v="14"/>
    <n v="97"/>
    <s v="A+"/>
    <n v="62"/>
    <s v="B-"/>
    <n v="98"/>
    <s v="A+"/>
    <n v="70"/>
    <s v="B+"/>
    <n v="67"/>
    <s v="B"/>
    <n v="71"/>
    <s v="B+"/>
    <n v="70"/>
    <s v="B+"/>
    <n v="535"/>
    <n v="76.428571428571431"/>
    <x v="2"/>
    <n v="1578"/>
    <x v="1"/>
  </r>
  <r>
    <n v="637"/>
    <s v="Melinda"/>
    <s v="Byrd"/>
    <x v="634"/>
    <s v="melinda.byrd.637@gslingacademy.com"/>
    <x v="1"/>
    <x v="1"/>
    <n v="6"/>
    <x v="0"/>
    <n v="1"/>
    <x v="7"/>
    <n v="63"/>
    <s v="B-"/>
    <n v="60"/>
    <s v="B-"/>
    <n v="95"/>
    <s v="A+"/>
    <n v="99"/>
    <s v="A+"/>
    <n v="87"/>
    <s v="A"/>
    <n v="58"/>
    <s v="C"/>
    <n v="66"/>
    <s v="B"/>
    <n v="528"/>
    <n v="75.428571428571431"/>
    <x v="2"/>
    <n v="1678"/>
    <x v="0"/>
  </r>
  <r>
    <n v="638"/>
    <s v="Alexander"/>
    <s v="Burnett"/>
    <x v="635"/>
    <s v="alexander.burnett.638@gslingacademy.com"/>
    <x v="0"/>
    <x v="0"/>
    <n v="5"/>
    <x v="0"/>
    <n v="2"/>
    <x v="3"/>
    <n v="98"/>
    <s v="A+"/>
    <n v="99"/>
    <s v="A+"/>
    <n v="64"/>
    <s v="B-"/>
    <n v="88"/>
    <s v="A"/>
    <n v="72"/>
    <s v="B+"/>
    <n v="87"/>
    <s v="A"/>
    <n v="99"/>
    <s v="A+"/>
    <n v="607"/>
    <n v="86.714285714285708"/>
    <x v="0"/>
    <n v="325"/>
    <x v="0"/>
  </r>
  <r>
    <n v="639"/>
    <s v="Maria"/>
    <s v="Campos"/>
    <x v="636"/>
    <s v="maria.campos.639@gslingacademy.com"/>
    <x v="1"/>
    <x v="1"/>
    <n v="10"/>
    <x v="0"/>
    <n v="1"/>
    <x v="7"/>
    <n v="78"/>
    <s v="A-"/>
    <n v="84"/>
    <s v="A"/>
    <n v="84"/>
    <s v="A"/>
    <n v="61"/>
    <s v="B-"/>
    <n v="88"/>
    <s v="A"/>
    <n v="67"/>
    <s v="B"/>
    <n v="92"/>
    <s v="A+"/>
    <n v="554"/>
    <n v="79.142857142857139"/>
    <x v="2"/>
    <n v="1264"/>
    <x v="2"/>
  </r>
  <r>
    <n v="640"/>
    <s v="Lindsey"/>
    <s v="Anthony"/>
    <x v="637"/>
    <s v="lindsey.anthony.640@gslingacademy.com"/>
    <x v="1"/>
    <x v="0"/>
    <n v="2"/>
    <x v="1"/>
    <n v="30"/>
    <x v="15"/>
    <n v="85"/>
    <s v="A"/>
    <n v="77"/>
    <s v="A-"/>
    <n v="89"/>
    <s v="A"/>
    <n v="77"/>
    <s v="A-"/>
    <n v="84"/>
    <s v="A"/>
    <n v="71"/>
    <s v="B+"/>
    <n v="71"/>
    <s v="B+"/>
    <n v="554"/>
    <n v="79.142857142857139"/>
    <x v="2"/>
    <n v="1264"/>
    <x v="1"/>
  </r>
  <r>
    <n v="641"/>
    <s v="Darryl"/>
    <s v="Schultz"/>
    <x v="638"/>
    <s v="darryl.schultz.641@gslingacademy.com"/>
    <x v="0"/>
    <x v="0"/>
    <n v="6"/>
    <x v="0"/>
    <n v="0"/>
    <x v="7"/>
    <n v="59"/>
    <s v="C"/>
    <n v="100"/>
    <s v="A+"/>
    <n v="84"/>
    <s v="A"/>
    <n v="93"/>
    <s v="A+"/>
    <n v="70"/>
    <s v="B+"/>
    <n v="56"/>
    <s v="C"/>
    <n v="74"/>
    <s v="B+"/>
    <n v="536"/>
    <n v="76.571428571428569"/>
    <x v="2"/>
    <n v="1567"/>
    <x v="0"/>
  </r>
  <r>
    <n v="642"/>
    <s v="Bethany"/>
    <s v="French"/>
    <x v="639"/>
    <s v="bethany.french.642@gslingacademy.com"/>
    <x v="1"/>
    <x v="0"/>
    <n v="2"/>
    <x v="1"/>
    <n v="6"/>
    <x v="4"/>
    <n v="99"/>
    <s v="A+"/>
    <n v="77"/>
    <s v="A-"/>
    <n v="88"/>
    <s v="A"/>
    <n v="60"/>
    <s v="B-"/>
    <n v="93"/>
    <s v="A+"/>
    <n v="61"/>
    <s v="B-"/>
    <n v="96"/>
    <s v="A+"/>
    <n v="574"/>
    <n v="82"/>
    <x v="0"/>
    <n v="832"/>
    <x v="1"/>
  </r>
  <r>
    <n v="643"/>
    <s v="Tyler"/>
    <s v="Scott"/>
    <x v="640"/>
    <s v="tyler.scott.643@gslingacademy.com"/>
    <x v="0"/>
    <x v="0"/>
    <n v="6"/>
    <x v="1"/>
    <n v="24"/>
    <x v="11"/>
    <n v="76"/>
    <s v="A-"/>
    <n v="62"/>
    <s v="B-"/>
    <n v="86"/>
    <s v="A"/>
    <n v="80"/>
    <s v="A"/>
    <n v="47"/>
    <s v="D"/>
    <n v="85"/>
    <s v="A"/>
    <n v="71"/>
    <s v="B+"/>
    <n v="507"/>
    <n v="72.428571428571431"/>
    <x v="3"/>
    <n v="1844"/>
    <x v="0"/>
  </r>
  <r>
    <n v="644"/>
    <s v="Patricia"/>
    <s v="Hall"/>
    <x v="641"/>
    <s v="patricia.hall.644@gslingacademy.com"/>
    <x v="1"/>
    <x v="0"/>
    <n v="7"/>
    <x v="0"/>
    <n v="26"/>
    <x v="0"/>
    <n v="80"/>
    <s v="A"/>
    <n v="90"/>
    <s v="A+"/>
    <n v="85"/>
    <s v="A"/>
    <n v="89"/>
    <s v="A"/>
    <n v="85"/>
    <s v="A"/>
    <n v="80"/>
    <s v="A"/>
    <n v="68"/>
    <s v="B"/>
    <n v="577"/>
    <n v="82.428571428571431"/>
    <x v="0"/>
    <n v="769"/>
    <x v="2"/>
  </r>
  <r>
    <n v="645"/>
    <s v="Ryan"/>
    <s v="Williams"/>
    <x v="642"/>
    <s v="ryan.williams.645@gslingacademy.com"/>
    <x v="0"/>
    <x v="0"/>
    <n v="7"/>
    <x v="0"/>
    <n v="0"/>
    <x v="7"/>
    <n v="82"/>
    <s v="A"/>
    <n v="74"/>
    <s v="B+"/>
    <n v="92"/>
    <s v="A+"/>
    <n v="50"/>
    <s v="C"/>
    <n v="77"/>
    <s v="A-"/>
    <n v="98"/>
    <s v="A+"/>
    <n v="100"/>
    <s v="A+"/>
    <n v="573"/>
    <n v="81.857142857142861"/>
    <x v="0"/>
    <n v="864"/>
    <x v="2"/>
  </r>
  <r>
    <n v="646"/>
    <s v="Levi"/>
    <s v="Mason"/>
    <x v="643"/>
    <s v="levi.mason.646@gslingacademy.com"/>
    <x v="0"/>
    <x v="0"/>
    <n v="1"/>
    <x v="0"/>
    <n v="18"/>
    <x v="5"/>
    <n v="89"/>
    <s v="A"/>
    <n v="64"/>
    <s v="B-"/>
    <n v="72"/>
    <s v="B+"/>
    <n v="61"/>
    <s v="B-"/>
    <n v="75"/>
    <s v="A-"/>
    <n v="68"/>
    <s v="B"/>
    <n v="83"/>
    <s v="A"/>
    <n v="512"/>
    <n v="73.142857142857139"/>
    <x v="3"/>
    <n v="1815"/>
    <x v="1"/>
  </r>
  <r>
    <n v="647"/>
    <s v="Michael"/>
    <s v="Vang"/>
    <x v="644"/>
    <s v="michael.vang.647@gslingacademy.com"/>
    <x v="0"/>
    <x v="0"/>
    <n v="4"/>
    <x v="0"/>
    <n v="20"/>
    <x v="5"/>
    <n v="89"/>
    <s v="A"/>
    <n v="79"/>
    <s v="A-"/>
    <n v="75"/>
    <s v="A-"/>
    <n v="80"/>
    <s v="A"/>
    <n v="97"/>
    <s v="A+"/>
    <n v="94"/>
    <s v="A+"/>
    <n v="68"/>
    <s v="B"/>
    <n v="582"/>
    <n v="83.142857142857139"/>
    <x v="0"/>
    <n v="670"/>
    <x v="0"/>
  </r>
  <r>
    <n v="648"/>
    <s v="April"/>
    <s v="Humphrey"/>
    <x v="645"/>
    <s v="april.humphrey.648@gslingacademy.com"/>
    <x v="1"/>
    <x v="0"/>
    <n v="0"/>
    <x v="0"/>
    <n v="23"/>
    <x v="5"/>
    <n v="86"/>
    <s v="A"/>
    <n v="89"/>
    <s v="A"/>
    <n v="94"/>
    <s v="A+"/>
    <n v="95"/>
    <s v="A+"/>
    <n v="60"/>
    <s v="B-"/>
    <n v="90"/>
    <s v="A+"/>
    <n v="90"/>
    <s v="A+"/>
    <n v="604"/>
    <n v="86.285714285714292"/>
    <x v="0"/>
    <n v="353"/>
    <x v="1"/>
  </r>
  <r>
    <n v="649"/>
    <s v="Steven"/>
    <s v="Hancock"/>
    <x v="646"/>
    <s v="steven.hancock.649@gslingacademy.com"/>
    <x v="0"/>
    <x v="1"/>
    <n v="4"/>
    <x v="0"/>
    <n v="4"/>
    <x v="7"/>
    <n v="65"/>
    <s v="B"/>
    <n v="76"/>
    <s v="A-"/>
    <n v="92"/>
    <s v="A+"/>
    <n v="86"/>
    <s v="A"/>
    <n v="93"/>
    <s v="A+"/>
    <n v="61"/>
    <s v="B-"/>
    <n v="97"/>
    <s v="A+"/>
    <n v="570"/>
    <n v="81.428571428571431"/>
    <x v="0"/>
    <n v="937"/>
    <x v="0"/>
  </r>
  <r>
    <n v="650"/>
    <s v="Chelsea"/>
    <s v="Olson"/>
    <x v="647"/>
    <s v="chelsea.olson.650@gslingacademy.com"/>
    <x v="1"/>
    <x v="0"/>
    <n v="4"/>
    <x v="0"/>
    <n v="30"/>
    <x v="9"/>
    <n v="77"/>
    <s v="A-"/>
    <n v="95"/>
    <s v="A+"/>
    <n v="77"/>
    <s v="A-"/>
    <n v="84"/>
    <s v="A"/>
    <n v="60"/>
    <s v="B-"/>
    <n v="90"/>
    <s v="A+"/>
    <n v="89"/>
    <s v="A"/>
    <n v="572"/>
    <n v="81.714285714285708"/>
    <x v="0"/>
    <n v="890"/>
    <x v="0"/>
  </r>
  <r>
    <n v="651"/>
    <s v="Emily"/>
    <s v="Huang"/>
    <x v="648"/>
    <s v="emily.huang.651@gslingacademy.com"/>
    <x v="1"/>
    <x v="0"/>
    <n v="4"/>
    <x v="0"/>
    <n v="34"/>
    <x v="9"/>
    <n v="88"/>
    <s v="A"/>
    <n v="85"/>
    <s v="A"/>
    <n v="68"/>
    <s v="B"/>
    <n v="62"/>
    <s v="B-"/>
    <n v="64"/>
    <s v="B-"/>
    <n v="99"/>
    <s v="A+"/>
    <n v="66"/>
    <s v="B"/>
    <n v="532"/>
    <n v="76"/>
    <x v="2"/>
    <n v="1622"/>
    <x v="0"/>
  </r>
  <r>
    <n v="652"/>
    <s v="Rachel"/>
    <s v="Jones"/>
    <x v="649"/>
    <s v="rachel.jones.652@gslingacademy.com"/>
    <x v="1"/>
    <x v="0"/>
    <n v="1"/>
    <x v="0"/>
    <n v="26"/>
    <x v="11"/>
    <n v="98"/>
    <s v="A+"/>
    <n v="77"/>
    <s v="A-"/>
    <n v="94"/>
    <s v="A+"/>
    <n v="87"/>
    <s v="A"/>
    <n v="44"/>
    <s v="D"/>
    <n v="85"/>
    <s v="A"/>
    <n v="61"/>
    <s v="B-"/>
    <n v="546"/>
    <n v="78"/>
    <x v="2"/>
    <n v="1411"/>
    <x v="1"/>
  </r>
  <r>
    <n v="653"/>
    <s v="Philip"/>
    <s v="Walker"/>
    <x v="650"/>
    <s v="philip.walker.653@gslingacademy.com"/>
    <x v="0"/>
    <x v="0"/>
    <n v="5"/>
    <x v="0"/>
    <n v="27"/>
    <x v="0"/>
    <n v="84"/>
    <s v="A"/>
    <n v="86"/>
    <s v="A"/>
    <n v="90"/>
    <s v="A+"/>
    <n v="80"/>
    <s v="A"/>
    <n v="72"/>
    <s v="B+"/>
    <n v="99"/>
    <s v="A+"/>
    <n v="85"/>
    <s v="A"/>
    <n v="596"/>
    <n v="85.142857142857139"/>
    <x v="0"/>
    <n v="458"/>
    <x v="0"/>
  </r>
  <r>
    <n v="654"/>
    <s v="Laura"/>
    <s v="Rivera"/>
    <x v="651"/>
    <s v="laura.rivera.654@gslingacademy.com"/>
    <x v="1"/>
    <x v="0"/>
    <n v="1"/>
    <x v="1"/>
    <n v="18"/>
    <x v="5"/>
    <n v="91"/>
    <s v="A+"/>
    <n v="85"/>
    <s v="A"/>
    <n v="66"/>
    <s v="B"/>
    <n v="83"/>
    <s v="A"/>
    <n v="70"/>
    <s v="B+"/>
    <n v="71"/>
    <s v="B+"/>
    <n v="80"/>
    <s v="A"/>
    <n v="546"/>
    <n v="78"/>
    <x v="2"/>
    <n v="1411"/>
    <x v="1"/>
  </r>
  <r>
    <n v="655"/>
    <s v="Pamela"/>
    <s v="Henry"/>
    <x v="652"/>
    <s v="pamela.henry.655@gslingacademy.com"/>
    <x v="1"/>
    <x v="0"/>
    <n v="4"/>
    <x v="0"/>
    <n v="39"/>
    <x v="1"/>
    <n v="97"/>
    <s v="A+"/>
    <n v="95"/>
    <s v="A+"/>
    <n v="94"/>
    <s v="A+"/>
    <n v="90"/>
    <s v="A+"/>
    <n v="86"/>
    <s v="A"/>
    <n v="85"/>
    <s v="A"/>
    <n v="95"/>
    <s v="A+"/>
    <n v="642"/>
    <n v="91.714285714285708"/>
    <x v="1"/>
    <n v="90"/>
    <x v="0"/>
  </r>
  <r>
    <n v="656"/>
    <s v="Nicole"/>
    <s v="Davidson"/>
    <x v="653"/>
    <s v="nicole.davidson.656@gslingacademy.com"/>
    <x v="1"/>
    <x v="0"/>
    <n v="7"/>
    <x v="1"/>
    <n v="29"/>
    <x v="9"/>
    <n v="77"/>
    <s v="A-"/>
    <n v="88"/>
    <s v="A"/>
    <n v="63"/>
    <s v="B-"/>
    <n v="87"/>
    <s v="A"/>
    <n v="71"/>
    <s v="B+"/>
    <n v="93"/>
    <s v="A+"/>
    <n v="84"/>
    <s v="A"/>
    <n v="563"/>
    <n v="80.428571428571431"/>
    <x v="0"/>
    <n v="1077"/>
    <x v="2"/>
  </r>
  <r>
    <n v="657"/>
    <s v="Jeffery"/>
    <s v="Parker"/>
    <x v="654"/>
    <s v="jeffery.parker.657@gslingacademy.com"/>
    <x v="0"/>
    <x v="0"/>
    <n v="0"/>
    <x v="1"/>
    <n v="27"/>
    <x v="1"/>
    <n v="100"/>
    <s v="A+"/>
    <n v="84"/>
    <s v="A"/>
    <n v="93"/>
    <s v="A+"/>
    <n v="96"/>
    <s v="A+"/>
    <n v="97"/>
    <s v="A+"/>
    <n v="70"/>
    <s v="B+"/>
    <n v="95"/>
    <s v="A+"/>
    <n v="635"/>
    <n v="90.714285714285708"/>
    <x v="1"/>
    <n v="128"/>
    <x v="1"/>
  </r>
  <r>
    <n v="658"/>
    <s v="Christopher"/>
    <s v="Banks"/>
    <x v="655"/>
    <s v="christopher.banks.658@gslingacademy.com"/>
    <x v="0"/>
    <x v="1"/>
    <n v="3"/>
    <x v="1"/>
    <n v="17"/>
    <x v="5"/>
    <n v="93"/>
    <s v="A+"/>
    <n v="70"/>
    <s v="B+"/>
    <n v="62"/>
    <s v="B-"/>
    <n v="99"/>
    <s v="A+"/>
    <n v="63"/>
    <s v="B-"/>
    <n v="83"/>
    <s v="A"/>
    <n v="60"/>
    <s v="B-"/>
    <n v="530"/>
    <n v="75.714285714285708"/>
    <x v="2"/>
    <n v="1646"/>
    <x v="0"/>
  </r>
  <r>
    <n v="659"/>
    <s v="Tara"/>
    <s v="Griffin"/>
    <x v="656"/>
    <s v="tara.griffin.659@gslingacademy.com"/>
    <x v="1"/>
    <x v="1"/>
    <n v="5"/>
    <x v="1"/>
    <n v="31"/>
    <x v="9"/>
    <n v="93"/>
    <s v="A+"/>
    <n v="99"/>
    <s v="A+"/>
    <n v="79"/>
    <s v="A-"/>
    <n v="78"/>
    <s v="A-"/>
    <n v="64"/>
    <s v="B-"/>
    <n v="87"/>
    <s v="A"/>
    <n v="76"/>
    <s v="A-"/>
    <n v="576"/>
    <n v="82.285714285714292"/>
    <x v="0"/>
    <n v="789"/>
    <x v="0"/>
  </r>
  <r>
    <n v="660"/>
    <s v="Lisa"/>
    <s v="Lloyd"/>
    <x v="657"/>
    <s v="lisa.lloyd.660@gslingacademy.com"/>
    <x v="1"/>
    <x v="1"/>
    <n v="4"/>
    <x v="0"/>
    <n v="13"/>
    <x v="9"/>
    <n v="94"/>
    <s v="A+"/>
    <n v="89"/>
    <s v="A"/>
    <n v="74"/>
    <s v="B+"/>
    <n v="75"/>
    <s v="A-"/>
    <n v="73"/>
    <s v="B+"/>
    <n v="78"/>
    <s v="A-"/>
    <n v="61"/>
    <s v="B-"/>
    <n v="544"/>
    <n v="77.714285714285708"/>
    <x v="2"/>
    <n v="1446"/>
    <x v="0"/>
  </r>
  <r>
    <n v="661"/>
    <s v="Elizabeth"/>
    <s v="Maldonado"/>
    <x v="658"/>
    <s v="elizabeth.maldonado.661@gslingacademy.com"/>
    <x v="1"/>
    <x v="0"/>
    <n v="4"/>
    <x v="1"/>
    <n v="12"/>
    <x v="9"/>
    <n v="88"/>
    <s v="A"/>
    <n v="86"/>
    <s v="A"/>
    <n v="79"/>
    <s v="A-"/>
    <n v="93"/>
    <s v="A+"/>
    <n v="68"/>
    <s v="B"/>
    <n v="92"/>
    <s v="A+"/>
    <n v="99"/>
    <s v="A+"/>
    <n v="605"/>
    <n v="86.428571428571431"/>
    <x v="0"/>
    <n v="344"/>
    <x v="0"/>
  </r>
  <r>
    <n v="662"/>
    <s v="Samuel"/>
    <s v="Anderson"/>
    <x v="659"/>
    <s v="samuel.anderson.662@gslingacademy.com"/>
    <x v="0"/>
    <x v="1"/>
    <n v="10"/>
    <x v="0"/>
    <n v="0"/>
    <x v="7"/>
    <n v="93"/>
    <s v="A+"/>
    <n v="95"/>
    <s v="A+"/>
    <n v="94"/>
    <s v="A+"/>
    <n v="70"/>
    <s v="B+"/>
    <n v="83"/>
    <s v="A"/>
    <n v="86"/>
    <s v="A"/>
    <n v="94"/>
    <s v="A+"/>
    <n v="615"/>
    <n v="87.857142857142861"/>
    <x v="0"/>
    <n v="251"/>
    <x v="2"/>
  </r>
  <r>
    <n v="663"/>
    <s v="Xavier"/>
    <s v="Johnson"/>
    <x v="660"/>
    <s v="xavier.johnson.663@gslingacademy.com"/>
    <x v="0"/>
    <x v="0"/>
    <n v="2"/>
    <x v="1"/>
    <n v="21"/>
    <x v="13"/>
    <n v="83"/>
    <s v="A"/>
    <n v="75"/>
    <s v="A-"/>
    <n v="84"/>
    <s v="A"/>
    <n v="68"/>
    <s v="B"/>
    <n v="95"/>
    <s v="A+"/>
    <n v="80"/>
    <s v="A"/>
    <n v="88"/>
    <s v="A"/>
    <n v="573"/>
    <n v="81.857142857142861"/>
    <x v="0"/>
    <n v="864"/>
    <x v="1"/>
  </r>
  <r>
    <n v="664"/>
    <s v="Lauren"/>
    <s v="Cordova"/>
    <x v="661"/>
    <s v="lauren.cordova.664@gslingacademy.com"/>
    <x v="1"/>
    <x v="1"/>
    <n v="3"/>
    <x v="0"/>
    <n v="28"/>
    <x v="0"/>
    <n v="96"/>
    <s v="A+"/>
    <n v="93"/>
    <s v="A+"/>
    <n v="100"/>
    <s v="A+"/>
    <n v="96"/>
    <s v="A+"/>
    <n v="97"/>
    <s v="A+"/>
    <n v="81"/>
    <s v="A"/>
    <n v="72"/>
    <s v="B+"/>
    <n v="635"/>
    <n v="90.714285714285708"/>
    <x v="1"/>
    <n v="128"/>
    <x v="0"/>
  </r>
  <r>
    <n v="665"/>
    <s v="Amanda"/>
    <s v="Hawkins"/>
    <x v="662"/>
    <s v="amanda.hawkins.665@gslingacademy.com"/>
    <x v="1"/>
    <x v="1"/>
    <n v="8"/>
    <x v="0"/>
    <n v="35"/>
    <x v="11"/>
    <n v="87"/>
    <s v="A"/>
    <n v="88"/>
    <s v="A"/>
    <n v="93"/>
    <s v="A+"/>
    <n v="88"/>
    <s v="A"/>
    <n v="96"/>
    <s v="A+"/>
    <n v="85"/>
    <s v="A"/>
    <n v="94"/>
    <s v="A+"/>
    <n v="631"/>
    <n v="90.142857142857139"/>
    <x v="1"/>
    <n v="151"/>
    <x v="2"/>
  </r>
  <r>
    <n v="666"/>
    <s v="Donald"/>
    <s v="Coleman"/>
    <x v="663"/>
    <s v="donald.coleman.666@gslingacademy.com"/>
    <x v="0"/>
    <x v="0"/>
    <n v="9"/>
    <x v="1"/>
    <n v="24"/>
    <x v="0"/>
    <n v="95"/>
    <s v="A+"/>
    <n v="82"/>
    <s v="A"/>
    <n v="84"/>
    <s v="A"/>
    <n v="69"/>
    <s v="B"/>
    <n v="63"/>
    <s v="B-"/>
    <n v="85"/>
    <s v="A"/>
    <n v="69"/>
    <s v="B"/>
    <n v="547"/>
    <n v="78.142857142857139"/>
    <x v="2"/>
    <n v="1388"/>
    <x v="2"/>
  </r>
  <r>
    <n v="667"/>
    <s v="Phillip"/>
    <s v="Bennett"/>
    <x v="664"/>
    <s v="phillip.bennett.667@gslingacademy.com"/>
    <x v="0"/>
    <x v="0"/>
    <n v="1"/>
    <x v="0"/>
    <n v="28"/>
    <x v="11"/>
    <n v="87"/>
    <s v="A"/>
    <n v="87"/>
    <s v="A"/>
    <n v="86"/>
    <s v="A"/>
    <n v="84"/>
    <s v="A"/>
    <n v="66"/>
    <s v="B"/>
    <n v="83"/>
    <s v="A"/>
    <n v="81"/>
    <s v="A"/>
    <n v="574"/>
    <n v="82"/>
    <x v="0"/>
    <n v="832"/>
    <x v="1"/>
  </r>
  <r>
    <n v="668"/>
    <s v="John"/>
    <s v="George"/>
    <x v="665"/>
    <s v="john.george.668@gslingacademy.com"/>
    <x v="0"/>
    <x v="0"/>
    <n v="9"/>
    <x v="0"/>
    <n v="0"/>
    <x v="7"/>
    <n v="43"/>
    <s v="D"/>
    <n v="95"/>
    <s v="A+"/>
    <n v="64"/>
    <s v="B-"/>
    <n v="95"/>
    <s v="A+"/>
    <n v="66"/>
    <s v="B"/>
    <n v="67"/>
    <s v="B"/>
    <n v="74"/>
    <s v="B+"/>
    <n v="504"/>
    <n v="72"/>
    <x v="3"/>
    <n v="1858"/>
    <x v="2"/>
  </r>
  <r>
    <n v="669"/>
    <s v="Katherine"/>
    <s v="Moore"/>
    <x v="666"/>
    <s v="katherine.moore.669@gslingacademy.com"/>
    <x v="1"/>
    <x v="1"/>
    <n v="6"/>
    <x v="0"/>
    <n v="0"/>
    <x v="7"/>
    <n v="40"/>
    <s v="D"/>
    <n v="100"/>
    <s v="A+"/>
    <n v="88"/>
    <s v="A"/>
    <n v="79"/>
    <s v="A-"/>
    <n v="71"/>
    <s v="B+"/>
    <n v="86"/>
    <s v="A"/>
    <n v="89"/>
    <s v="A"/>
    <n v="553"/>
    <n v="79"/>
    <x v="2"/>
    <n v="1284"/>
    <x v="0"/>
  </r>
  <r>
    <n v="670"/>
    <s v="Jose"/>
    <s v="Dominguez"/>
    <x v="667"/>
    <s v="jose.dominguez.670@gslingacademy.com"/>
    <x v="0"/>
    <x v="0"/>
    <n v="2"/>
    <x v="0"/>
    <n v="3"/>
    <x v="16"/>
    <n v="64"/>
    <s v="B-"/>
    <n v="70"/>
    <s v="B+"/>
    <n v="98"/>
    <s v="A+"/>
    <n v="82"/>
    <s v="A"/>
    <n v="100"/>
    <s v="A+"/>
    <n v="72"/>
    <s v="B+"/>
    <n v="78"/>
    <s v="A-"/>
    <n v="564"/>
    <n v="80.571428571428569"/>
    <x v="0"/>
    <n v="1056"/>
    <x v="1"/>
  </r>
  <r>
    <n v="671"/>
    <s v="Lauren"/>
    <s v="Morrow"/>
    <x v="668"/>
    <s v="lauren.morrow.671@gslingacademy.com"/>
    <x v="1"/>
    <x v="0"/>
    <n v="3"/>
    <x v="0"/>
    <n v="16"/>
    <x v="4"/>
    <n v="72"/>
    <s v="B+"/>
    <n v="79"/>
    <s v="A-"/>
    <n v="95"/>
    <s v="A+"/>
    <n v="68"/>
    <s v="B"/>
    <n v="75"/>
    <s v="A-"/>
    <n v="70"/>
    <s v="B+"/>
    <n v="88"/>
    <s v="A"/>
    <n v="547"/>
    <n v="78.142857142857139"/>
    <x v="2"/>
    <n v="1388"/>
    <x v="0"/>
  </r>
  <r>
    <n v="672"/>
    <s v="Katie"/>
    <s v="Davenport"/>
    <x v="669"/>
    <s v="katie.davenport.672@gslingacademy.com"/>
    <x v="1"/>
    <x v="0"/>
    <n v="2"/>
    <x v="0"/>
    <n v="26"/>
    <x v="0"/>
    <n v="77"/>
    <s v="A-"/>
    <n v="96"/>
    <s v="A+"/>
    <n v="86"/>
    <s v="A"/>
    <n v="84"/>
    <s v="A"/>
    <n v="90"/>
    <s v="A+"/>
    <n v="85"/>
    <s v="A"/>
    <n v="91"/>
    <s v="A+"/>
    <n v="609"/>
    <n v="87"/>
    <x v="0"/>
    <n v="309"/>
    <x v="1"/>
  </r>
  <r>
    <n v="673"/>
    <s v="Michelle"/>
    <s v="Martinez"/>
    <x v="670"/>
    <s v="michelle.martinez.673@gslingacademy.com"/>
    <x v="1"/>
    <x v="1"/>
    <n v="10"/>
    <x v="1"/>
    <n v="4"/>
    <x v="7"/>
    <n v="40"/>
    <s v="D"/>
    <n v="86"/>
    <s v="A"/>
    <n v="53"/>
    <s v="C"/>
    <n v="63"/>
    <s v="B-"/>
    <n v="50"/>
    <s v="C"/>
    <n v="87"/>
    <s v="A"/>
    <n v="77"/>
    <s v="A-"/>
    <n v="456"/>
    <n v="65.142857142857139"/>
    <x v="4"/>
    <n v="1987"/>
    <x v="2"/>
  </r>
  <r>
    <n v="674"/>
    <s v="Jeremiah"/>
    <s v="Stanley"/>
    <x v="671"/>
    <s v="jeremiah.stanley.674@gslingacademy.com"/>
    <x v="0"/>
    <x v="0"/>
    <n v="2"/>
    <x v="0"/>
    <n v="24"/>
    <x v="13"/>
    <n v="100"/>
    <s v="A+"/>
    <n v="89"/>
    <s v="A"/>
    <n v="90"/>
    <s v="A+"/>
    <n v="96"/>
    <s v="A+"/>
    <n v="72"/>
    <s v="B+"/>
    <n v="90"/>
    <s v="A+"/>
    <n v="86"/>
    <s v="A"/>
    <n v="623"/>
    <n v="89"/>
    <x v="0"/>
    <n v="201"/>
    <x v="1"/>
  </r>
  <r>
    <n v="675"/>
    <s v="Isaac"/>
    <s v="Tucker"/>
    <x v="672"/>
    <s v="isaac.tucker.675@gslingacademy.com"/>
    <x v="0"/>
    <x v="0"/>
    <n v="5"/>
    <x v="1"/>
    <n v="22"/>
    <x v="5"/>
    <n v="89"/>
    <s v="A"/>
    <n v="93"/>
    <s v="A+"/>
    <n v="95"/>
    <s v="A+"/>
    <n v="88"/>
    <s v="A"/>
    <n v="72"/>
    <s v="B+"/>
    <n v="76"/>
    <s v="A-"/>
    <n v="71"/>
    <s v="B+"/>
    <n v="584"/>
    <n v="83.428571428571431"/>
    <x v="0"/>
    <n v="635"/>
    <x v="0"/>
  </r>
  <r>
    <n v="676"/>
    <s v="Hannah"/>
    <s v="Garcia"/>
    <x v="673"/>
    <s v="hannah.garcia.676@gslingacademy.com"/>
    <x v="1"/>
    <x v="1"/>
    <n v="2"/>
    <x v="0"/>
    <n v="14"/>
    <x v="5"/>
    <n v="97"/>
    <s v="A+"/>
    <n v="74"/>
    <s v="B+"/>
    <n v="76"/>
    <s v="A-"/>
    <n v="72"/>
    <s v="B+"/>
    <n v="62"/>
    <s v="B-"/>
    <n v="69"/>
    <s v="B"/>
    <n v="90"/>
    <s v="A+"/>
    <n v="540"/>
    <n v="77.142857142857139"/>
    <x v="2"/>
    <n v="1513"/>
    <x v="1"/>
  </r>
  <r>
    <n v="677"/>
    <s v="Thomas"/>
    <s v="Nelson"/>
    <x v="674"/>
    <s v="thomas.nelson.677@gslingacademy.com"/>
    <x v="0"/>
    <x v="0"/>
    <n v="2"/>
    <x v="0"/>
    <n v="21"/>
    <x v="4"/>
    <n v="100"/>
    <s v="A+"/>
    <n v="77"/>
    <s v="A-"/>
    <n v="74"/>
    <s v="B+"/>
    <n v="61"/>
    <s v="B-"/>
    <n v="81"/>
    <s v="A"/>
    <n v="96"/>
    <s v="A+"/>
    <n v="96"/>
    <s v="A+"/>
    <n v="585"/>
    <n v="83.571428571428569"/>
    <x v="0"/>
    <n v="615"/>
    <x v="1"/>
  </r>
  <r>
    <n v="678"/>
    <s v="William"/>
    <s v="Kennedy"/>
    <x v="675"/>
    <s v="william.kennedy.678@gslingacademy.com"/>
    <x v="0"/>
    <x v="0"/>
    <n v="4"/>
    <x v="0"/>
    <n v="29"/>
    <x v="0"/>
    <n v="81"/>
    <s v="A"/>
    <n v="88"/>
    <s v="A"/>
    <n v="85"/>
    <s v="A"/>
    <n v="89"/>
    <s v="A"/>
    <n v="81"/>
    <s v="A"/>
    <n v="91"/>
    <s v="A+"/>
    <n v="98"/>
    <s v="A+"/>
    <n v="613"/>
    <n v="87.571428571428569"/>
    <x v="0"/>
    <n v="271"/>
    <x v="0"/>
  </r>
  <r>
    <n v="679"/>
    <s v="Jennifer"/>
    <s v="Williams"/>
    <x v="676"/>
    <s v="jennifer.williams.679@gslingacademy.com"/>
    <x v="1"/>
    <x v="0"/>
    <n v="6"/>
    <x v="0"/>
    <n v="3"/>
    <x v="7"/>
    <n v="100"/>
    <s v="A+"/>
    <n v="91"/>
    <s v="A+"/>
    <n v="53"/>
    <s v="C"/>
    <n v="78"/>
    <s v="A-"/>
    <n v="55"/>
    <s v="C"/>
    <n v="91"/>
    <s v="A+"/>
    <n v="74"/>
    <s v="B+"/>
    <n v="542"/>
    <n v="77.428571428571431"/>
    <x v="2"/>
    <n v="1478"/>
    <x v="0"/>
  </r>
  <r>
    <n v="680"/>
    <s v="Jeffrey"/>
    <s v="Price"/>
    <x v="677"/>
    <s v="jeffrey.price.680@gslingacademy.com"/>
    <x v="0"/>
    <x v="0"/>
    <n v="2"/>
    <x v="0"/>
    <n v="4"/>
    <x v="12"/>
    <n v="80"/>
    <s v="A"/>
    <n v="65"/>
    <s v="B"/>
    <n v="96"/>
    <s v="A+"/>
    <n v="73"/>
    <s v="B+"/>
    <n v="84"/>
    <s v="A"/>
    <n v="92"/>
    <s v="A+"/>
    <n v="73"/>
    <s v="B+"/>
    <n v="563"/>
    <n v="80.428571428571431"/>
    <x v="0"/>
    <n v="1077"/>
    <x v="1"/>
  </r>
  <r>
    <n v="681"/>
    <s v="Zachary"/>
    <s v="Burns"/>
    <x v="678"/>
    <s v="zachary.burns.681@gslingacademy.com"/>
    <x v="0"/>
    <x v="0"/>
    <n v="5"/>
    <x v="0"/>
    <n v="19"/>
    <x v="11"/>
    <n v="79"/>
    <s v="A-"/>
    <n v="88"/>
    <s v="A"/>
    <n v="83"/>
    <s v="A"/>
    <n v="84"/>
    <s v="A"/>
    <n v="78"/>
    <s v="A-"/>
    <n v="72"/>
    <s v="B+"/>
    <n v="79"/>
    <s v="A-"/>
    <n v="563"/>
    <n v="80.428571428571431"/>
    <x v="0"/>
    <n v="1077"/>
    <x v="0"/>
  </r>
  <r>
    <n v="682"/>
    <s v="Curtis"/>
    <s v="Duffy"/>
    <x v="679"/>
    <s v="curtis.duffy.682@gslingacademy.com"/>
    <x v="0"/>
    <x v="0"/>
    <n v="3"/>
    <x v="0"/>
    <n v="33"/>
    <x v="5"/>
    <n v="96"/>
    <s v="A+"/>
    <n v="64"/>
    <s v="B-"/>
    <n v="100"/>
    <s v="A+"/>
    <n v="87"/>
    <s v="A"/>
    <n v="88"/>
    <s v="A"/>
    <n v="60"/>
    <s v="B-"/>
    <n v="62"/>
    <s v="B-"/>
    <n v="557"/>
    <n v="79.571428571428569"/>
    <x v="2"/>
    <n v="1200"/>
    <x v="0"/>
  </r>
  <r>
    <n v="683"/>
    <s v="Allison"/>
    <s v="Alvarado"/>
    <x v="680"/>
    <s v="allison.alvarado.683@gslingacademy.com"/>
    <x v="1"/>
    <x v="0"/>
    <n v="1"/>
    <x v="0"/>
    <n v="24"/>
    <x v="11"/>
    <n v="95"/>
    <s v="A+"/>
    <n v="81"/>
    <s v="A"/>
    <n v="91"/>
    <s v="A+"/>
    <n v="62"/>
    <s v="B-"/>
    <n v="36"/>
    <s v="F"/>
    <n v="79"/>
    <s v="A-"/>
    <n v="69"/>
    <s v="B"/>
    <n v="513"/>
    <n v="73.285714285714292"/>
    <x v="3"/>
    <n v="1810"/>
    <x v="1"/>
  </r>
  <r>
    <n v="684"/>
    <s v="Jeffery"/>
    <s v="Kelley"/>
    <x v="681"/>
    <s v="jeffery.kelley.684@gslingacademy.com"/>
    <x v="0"/>
    <x v="0"/>
    <n v="4"/>
    <x v="0"/>
    <n v="29"/>
    <x v="4"/>
    <n v="86"/>
    <s v="A"/>
    <n v="68"/>
    <s v="B"/>
    <n v="65"/>
    <s v="B"/>
    <n v="64"/>
    <s v="B-"/>
    <n v="95"/>
    <s v="A+"/>
    <n v="82"/>
    <s v="A"/>
    <n v="87"/>
    <s v="A"/>
    <n v="547"/>
    <n v="78.142857142857139"/>
    <x v="2"/>
    <n v="1388"/>
    <x v="0"/>
  </r>
  <r>
    <n v="685"/>
    <s v="Kenneth"/>
    <s v="Clark"/>
    <x v="682"/>
    <s v="kenneth.clark.685@gslingacademy.com"/>
    <x v="0"/>
    <x v="0"/>
    <n v="1"/>
    <x v="1"/>
    <n v="27"/>
    <x v="0"/>
    <n v="86"/>
    <s v="A"/>
    <n v="97"/>
    <s v="A+"/>
    <n v="72"/>
    <s v="B+"/>
    <n v="90"/>
    <s v="A+"/>
    <n v="95"/>
    <s v="A+"/>
    <n v="99"/>
    <s v="A+"/>
    <n v="76"/>
    <s v="A-"/>
    <n v="615"/>
    <n v="87.857142857142861"/>
    <x v="0"/>
    <n v="251"/>
    <x v="1"/>
  </r>
  <r>
    <n v="686"/>
    <s v="Hayley"/>
    <s v="Case"/>
    <x v="683"/>
    <s v="hayley.case.686@gslingacademy.com"/>
    <x v="1"/>
    <x v="0"/>
    <n v="2"/>
    <x v="0"/>
    <n v="20"/>
    <x v="4"/>
    <n v="87"/>
    <s v="A"/>
    <n v="68"/>
    <s v="B"/>
    <n v="66"/>
    <s v="B"/>
    <n v="83"/>
    <s v="A"/>
    <n v="92"/>
    <s v="A+"/>
    <n v="81"/>
    <s v="A"/>
    <n v="80"/>
    <s v="A"/>
    <n v="557"/>
    <n v="79.571428571428569"/>
    <x v="2"/>
    <n v="1200"/>
    <x v="1"/>
  </r>
  <r>
    <n v="687"/>
    <s v="Vanessa"/>
    <s v="Martinez"/>
    <x v="684"/>
    <s v="vanessa.martinez.687@gslingacademy.com"/>
    <x v="1"/>
    <x v="0"/>
    <n v="0"/>
    <x v="0"/>
    <n v="35"/>
    <x v="11"/>
    <n v="94"/>
    <s v="A+"/>
    <n v="87"/>
    <s v="A"/>
    <n v="100"/>
    <s v="A+"/>
    <n v="90"/>
    <s v="A+"/>
    <n v="86"/>
    <s v="A"/>
    <n v="86"/>
    <s v="A"/>
    <n v="90"/>
    <s v="A+"/>
    <n v="633"/>
    <n v="90.428571428571431"/>
    <x v="1"/>
    <n v="137"/>
    <x v="1"/>
  </r>
  <r>
    <n v="688"/>
    <s v="Tara"/>
    <s v="Thomas"/>
    <x v="685"/>
    <s v="tara.thomas.688@gslingacademy.com"/>
    <x v="1"/>
    <x v="0"/>
    <n v="0"/>
    <x v="0"/>
    <n v="29"/>
    <x v="1"/>
    <n v="88"/>
    <s v="A"/>
    <n v="71"/>
    <s v="B+"/>
    <n v="87"/>
    <s v="A"/>
    <n v="85"/>
    <s v="A"/>
    <n v="100"/>
    <s v="A+"/>
    <n v="78"/>
    <s v="A-"/>
    <n v="78"/>
    <s v="A-"/>
    <n v="587"/>
    <n v="83.857142857142861"/>
    <x v="0"/>
    <n v="583"/>
    <x v="1"/>
  </r>
  <r>
    <n v="689"/>
    <s v="Aaron"/>
    <s v="Williamson"/>
    <x v="686"/>
    <s v="aaron.williamson.689@gslingacademy.com"/>
    <x v="0"/>
    <x v="0"/>
    <n v="2"/>
    <x v="1"/>
    <n v="0"/>
    <x v="3"/>
    <n v="88"/>
    <s v="A"/>
    <n v="69"/>
    <s v="B"/>
    <n v="76"/>
    <s v="A-"/>
    <n v="64"/>
    <s v="B-"/>
    <n v="90"/>
    <s v="A+"/>
    <n v="78"/>
    <s v="A-"/>
    <n v="80"/>
    <s v="A"/>
    <n v="545"/>
    <n v="77.857142857142861"/>
    <x v="2"/>
    <n v="1432"/>
    <x v="1"/>
  </r>
  <r>
    <n v="690"/>
    <s v="Phillip"/>
    <s v="Nelson"/>
    <x v="687"/>
    <s v="phillip.nelson.690@gslingacademy.com"/>
    <x v="0"/>
    <x v="0"/>
    <n v="3"/>
    <x v="0"/>
    <n v="10"/>
    <x v="4"/>
    <n v="76"/>
    <s v="A-"/>
    <n v="61"/>
    <s v="B-"/>
    <n v="68"/>
    <s v="B"/>
    <n v="88"/>
    <s v="A"/>
    <n v="86"/>
    <s v="A"/>
    <n v="87"/>
    <s v="A"/>
    <n v="66"/>
    <s v="B"/>
    <n v="532"/>
    <n v="76"/>
    <x v="2"/>
    <n v="1622"/>
    <x v="0"/>
  </r>
  <r>
    <n v="691"/>
    <s v="Michael"/>
    <s v="Hinton"/>
    <x v="688"/>
    <s v="michael.hinton.691@gslingacademy.com"/>
    <x v="0"/>
    <x v="0"/>
    <n v="1"/>
    <x v="1"/>
    <n v="29"/>
    <x v="13"/>
    <n v="84"/>
    <s v="A"/>
    <n v="66"/>
    <s v="B"/>
    <n v="99"/>
    <s v="A+"/>
    <n v="80"/>
    <s v="A"/>
    <n v="71"/>
    <s v="B+"/>
    <n v="88"/>
    <s v="A"/>
    <n v="89"/>
    <s v="A"/>
    <n v="577"/>
    <n v="82.428571428571431"/>
    <x v="0"/>
    <n v="769"/>
    <x v="1"/>
  </r>
  <r>
    <n v="692"/>
    <s v="Alex"/>
    <s v="Shelton"/>
    <x v="689"/>
    <s v="alex.shelton.692@gslingacademy.com"/>
    <x v="0"/>
    <x v="0"/>
    <n v="0"/>
    <x v="1"/>
    <n v="17"/>
    <x v="5"/>
    <n v="96"/>
    <s v="A+"/>
    <n v="77"/>
    <s v="A-"/>
    <n v="91"/>
    <s v="A+"/>
    <n v="85"/>
    <s v="A"/>
    <n v="69"/>
    <s v="B"/>
    <n v="91"/>
    <s v="A+"/>
    <n v="91"/>
    <s v="A+"/>
    <n v="600"/>
    <n v="85.714285714285708"/>
    <x v="0"/>
    <n v="406"/>
    <x v="1"/>
  </r>
  <r>
    <n v="693"/>
    <s v="Ross"/>
    <s v="Esparza"/>
    <x v="690"/>
    <s v="ross.esparza.693@gslingacademy.com"/>
    <x v="0"/>
    <x v="1"/>
    <n v="10"/>
    <x v="0"/>
    <n v="1"/>
    <x v="7"/>
    <n v="57"/>
    <s v="C"/>
    <n v="75"/>
    <s v="A-"/>
    <n v="64"/>
    <s v="B-"/>
    <n v="85"/>
    <s v="A"/>
    <n v="53"/>
    <s v="C"/>
    <n v="95"/>
    <s v="A+"/>
    <n v="81"/>
    <s v="A"/>
    <n v="510"/>
    <n v="72.857142857142861"/>
    <x v="3"/>
    <n v="1828"/>
    <x v="2"/>
  </r>
  <r>
    <n v="694"/>
    <s v="Lisa"/>
    <s v="Murphy"/>
    <x v="691"/>
    <s v="lisa.murphy.694@gslingacademy.com"/>
    <x v="1"/>
    <x v="0"/>
    <n v="1"/>
    <x v="0"/>
    <n v="14"/>
    <x v="6"/>
    <n v="93"/>
    <s v="A+"/>
    <n v="79"/>
    <s v="A-"/>
    <n v="82"/>
    <s v="A"/>
    <n v="67"/>
    <s v="B"/>
    <n v="64"/>
    <s v="B-"/>
    <n v="90"/>
    <s v="A+"/>
    <n v="65"/>
    <s v="B"/>
    <n v="540"/>
    <n v="77.142857142857139"/>
    <x v="2"/>
    <n v="1513"/>
    <x v="1"/>
  </r>
  <r>
    <n v="695"/>
    <s v="Richard"/>
    <s v="Gibson"/>
    <x v="692"/>
    <s v="richard.gibson.695@gslingacademy.com"/>
    <x v="0"/>
    <x v="0"/>
    <n v="1"/>
    <x v="0"/>
    <n v="24"/>
    <x v="4"/>
    <n v="88"/>
    <s v="A"/>
    <n v="84"/>
    <s v="A"/>
    <n v="61"/>
    <s v="B-"/>
    <n v="61"/>
    <s v="B-"/>
    <n v="79"/>
    <s v="A-"/>
    <n v="62"/>
    <s v="B-"/>
    <n v="99"/>
    <s v="A+"/>
    <n v="534"/>
    <n v="76.285714285714292"/>
    <x v="2"/>
    <n v="1595"/>
    <x v="1"/>
  </r>
  <r>
    <n v="696"/>
    <s v="Jackson"/>
    <s v="Olson"/>
    <x v="693"/>
    <s v="jackson.olson.696@gslingacademy.com"/>
    <x v="0"/>
    <x v="0"/>
    <n v="2"/>
    <x v="0"/>
    <n v="35"/>
    <x v="13"/>
    <n v="89"/>
    <s v="A"/>
    <n v="99"/>
    <s v="A+"/>
    <n v="86"/>
    <s v="A"/>
    <n v="97"/>
    <s v="A+"/>
    <n v="98"/>
    <s v="A+"/>
    <n v="97"/>
    <s v="A+"/>
    <n v="93"/>
    <s v="A+"/>
    <n v="659"/>
    <n v="94.142857142857139"/>
    <x v="1"/>
    <n v="21"/>
    <x v="1"/>
  </r>
  <r>
    <n v="697"/>
    <s v="Michael"/>
    <s v="Waters"/>
    <x v="694"/>
    <s v="michael.waters.697@gslingacademy.com"/>
    <x v="0"/>
    <x v="0"/>
    <n v="3"/>
    <x v="0"/>
    <n v="19"/>
    <x v="13"/>
    <n v="80"/>
    <s v="A"/>
    <n v="88"/>
    <s v="A"/>
    <n v="94"/>
    <s v="A+"/>
    <n v="94"/>
    <s v="A+"/>
    <n v="100"/>
    <s v="A+"/>
    <n v="99"/>
    <s v="A+"/>
    <n v="99"/>
    <s v="A+"/>
    <n v="654"/>
    <n v="93.428571428571431"/>
    <x v="1"/>
    <n v="37"/>
    <x v="0"/>
  </r>
  <r>
    <n v="698"/>
    <s v="Daniel"/>
    <s v="Mcneil"/>
    <x v="695"/>
    <s v="daniel.mcneil.698@gslingacademy.com"/>
    <x v="0"/>
    <x v="0"/>
    <n v="6"/>
    <x v="0"/>
    <n v="23"/>
    <x v="9"/>
    <n v="94"/>
    <s v="A+"/>
    <n v="92"/>
    <s v="A+"/>
    <n v="61"/>
    <s v="B-"/>
    <n v="87"/>
    <s v="A"/>
    <n v="61"/>
    <s v="B-"/>
    <n v="94"/>
    <s v="A+"/>
    <n v="69"/>
    <s v="B"/>
    <n v="558"/>
    <n v="79.714285714285708"/>
    <x v="2"/>
    <n v="1178"/>
    <x v="0"/>
  </r>
  <r>
    <n v="699"/>
    <s v="James"/>
    <s v="Mcgee"/>
    <x v="696"/>
    <s v="james.mcgee.699@gslingacademy.com"/>
    <x v="0"/>
    <x v="0"/>
    <n v="9"/>
    <x v="0"/>
    <n v="14"/>
    <x v="13"/>
    <n v="99"/>
    <s v="A+"/>
    <n v="74"/>
    <s v="B+"/>
    <n v="98"/>
    <s v="A+"/>
    <n v="69"/>
    <s v="B"/>
    <n v="69"/>
    <s v="B"/>
    <n v="64"/>
    <s v="B-"/>
    <n v="96"/>
    <s v="A+"/>
    <n v="569"/>
    <n v="81.285714285714292"/>
    <x v="0"/>
    <n v="957"/>
    <x v="2"/>
  </r>
  <r>
    <n v="700"/>
    <s v="Dennis"/>
    <s v="Park"/>
    <x v="697"/>
    <s v="dennis.park.700@gslingacademy.com"/>
    <x v="0"/>
    <x v="0"/>
    <n v="2"/>
    <x v="0"/>
    <n v="21"/>
    <x v="9"/>
    <n v="81"/>
    <s v="A"/>
    <n v="72"/>
    <s v="B+"/>
    <n v="87"/>
    <s v="A"/>
    <n v="62"/>
    <s v="B-"/>
    <n v="69"/>
    <s v="B"/>
    <n v="93"/>
    <s v="A+"/>
    <n v="72"/>
    <s v="B+"/>
    <n v="536"/>
    <n v="76.571428571428569"/>
    <x v="2"/>
    <n v="1567"/>
    <x v="1"/>
  </r>
  <r>
    <n v="701"/>
    <s v="Gregory"/>
    <s v="Jones"/>
    <x v="698"/>
    <s v="gregory.jones.701@gslingacademy.com"/>
    <x v="0"/>
    <x v="0"/>
    <n v="6"/>
    <x v="0"/>
    <n v="18"/>
    <x v="4"/>
    <n v="91"/>
    <s v="A+"/>
    <n v="61"/>
    <s v="B-"/>
    <n v="95"/>
    <s v="A+"/>
    <n v="82"/>
    <s v="A"/>
    <n v="77"/>
    <s v="A-"/>
    <n v="87"/>
    <s v="A"/>
    <n v="95"/>
    <s v="A+"/>
    <n v="588"/>
    <n v="84"/>
    <x v="0"/>
    <n v="565"/>
    <x v="0"/>
  </r>
  <r>
    <n v="702"/>
    <s v="Barbara"/>
    <s v="Petersen"/>
    <x v="699"/>
    <s v="barbara.petersen.702@gslingacademy.com"/>
    <x v="1"/>
    <x v="0"/>
    <n v="2"/>
    <x v="1"/>
    <n v="16"/>
    <x v="10"/>
    <n v="71"/>
    <s v="B+"/>
    <n v="100"/>
    <s v="A+"/>
    <n v="99"/>
    <s v="A+"/>
    <n v="95"/>
    <s v="A+"/>
    <n v="91"/>
    <s v="A+"/>
    <n v="96"/>
    <s v="A+"/>
    <n v="96"/>
    <s v="A+"/>
    <n v="648"/>
    <n v="92.571428571428569"/>
    <x v="1"/>
    <n v="65"/>
    <x v="1"/>
  </r>
  <r>
    <n v="703"/>
    <s v="Andrea"/>
    <s v="Baker"/>
    <x v="700"/>
    <s v="andrea.baker.703@gslingacademy.com"/>
    <x v="1"/>
    <x v="0"/>
    <n v="4"/>
    <x v="0"/>
    <n v="2"/>
    <x v="4"/>
    <n v="61"/>
    <s v="B-"/>
    <n v="66"/>
    <s v="B"/>
    <n v="78"/>
    <s v="A-"/>
    <n v="79"/>
    <s v="A-"/>
    <n v="79"/>
    <s v="A-"/>
    <n v="96"/>
    <s v="A+"/>
    <n v="81"/>
    <s v="A"/>
    <n v="540"/>
    <n v="77.142857142857139"/>
    <x v="2"/>
    <n v="1513"/>
    <x v="0"/>
  </r>
  <r>
    <n v="704"/>
    <s v="Robert"/>
    <s v="Holmes"/>
    <x v="701"/>
    <s v="robert.holmes.704@gslingacademy.com"/>
    <x v="0"/>
    <x v="0"/>
    <n v="5"/>
    <x v="1"/>
    <n v="16"/>
    <x v="4"/>
    <n v="87"/>
    <s v="A"/>
    <n v="89"/>
    <s v="A"/>
    <n v="60"/>
    <s v="B-"/>
    <n v="66"/>
    <s v="B"/>
    <n v="79"/>
    <s v="A-"/>
    <n v="81"/>
    <s v="A"/>
    <n v="65"/>
    <s v="B"/>
    <n v="527"/>
    <n v="75.285714285714292"/>
    <x v="2"/>
    <n v="1683"/>
    <x v="0"/>
  </r>
  <r>
    <n v="705"/>
    <s v="Autumn"/>
    <s v="Jones"/>
    <x v="702"/>
    <s v="autumn.jones.705@gslingacademy.com"/>
    <x v="1"/>
    <x v="0"/>
    <n v="0"/>
    <x v="0"/>
    <n v="29"/>
    <x v="5"/>
    <n v="93"/>
    <s v="A+"/>
    <n v="69"/>
    <s v="B"/>
    <n v="79"/>
    <s v="A-"/>
    <n v="78"/>
    <s v="A-"/>
    <n v="77"/>
    <s v="A-"/>
    <n v="73"/>
    <s v="B+"/>
    <n v="77"/>
    <s v="A-"/>
    <n v="546"/>
    <n v="78"/>
    <x v="2"/>
    <n v="1411"/>
    <x v="1"/>
  </r>
  <r>
    <n v="706"/>
    <s v="Richard"/>
    <s v="Davis"/>
    <x v="703"/>
    <s v="richard.davis.706@gslingacademy.com"/>
    <x v="0"/>
    <x v="0"/>
    <n v="5"/>
    <x v="0"/>
    <n v="35"/>
    <x v="11"/>
    <n v="92"/>
    <s v="A+"/>
    <n v="88"/>
    <s v="A"/>
    <n v="87"/>
    <s v="A"/>
    <n v="98"/>
    <s v="A+"/>
    <n v="96"/>
    <s v="A+"/>
    <n v="85"/>
    <s v="A"/>
    <n v="96"/>
    <s v="A+"/>
    <n v="642"/>
    <n v="91.714285714285708"/>
    <x v="1"/>
    <n v="90"/>
    <x v="0"/>
  </r>
  <r>
    <n v="707"/>
    <s v="Anthony"/>
    <s v="Armstrong"/>
    <x v="704"/>
    <s v="anthony.armstrong.707@gslingacademy.com"/>
    <x v="0"/>
    <x v="0"/>
    <n v="2"/>
    <x v="0"/>
    <n v="11"/>
    <x v="9"/>
    <n v="96"/>
    <s v="A+"/>
    <n v="87"/>
    <s v="A"/>
    <n v="99"/>
    <s v="A+"/>
    <n v="65"/>
    <s v="B"/>
    <n v="98"/>
    <s v="A+"/>
    <n v="79"/>
    <s v="A-"/>
    <n v="93"/>
    <s v="A+"/>
    <n v="617"/>
    <n v="88.142857142857139"/>
    <x v="0"/>
    <n v="235"/>
    <x v="1"/>
  </r>
  <r>
    <n v="708"/>
    <s v="Julian"/>
    <s v="Ortiz"/>
    <x v="705"/>
    <s v="julian.ortiz.708@gslingacademy.com"/>
    <x v="0"/>
    <x v="0"/>
    <n v="3"/>
    <x v="0"/>
    <n v="4"/>
    <x v="3"/>
    <n v="83"/>
    <s v="A"/>
    <n v="75"/>
    <s v="A-"/>
    <n v="77"/>
    <s v="A-"/>
    <n v="61"/>
    <s v="B-"/>
    <n v="93"/>
    <s v="A+"/>
    <n v="61"/>
    <s v="B-"/>
    <n v="75"/>
    <s v="A-"/>
    <n v="525"/>
    <n v="75"/>
    <x v="2"/>
    <n v="1704"/>
    <x v="0"/>
  </r>
  <r>
    <n v="709"/>
    <s v="Melinda"/>
    <s v="Sanchez"/>
    <x v="706"/>
    <s v="melinda.sanchez.709@gslingacademy.com"/>
    <x v="1"/>
    <x v="0"/>
    <n v="0"/>
    <x v="0"/>
    <n v="15"/>
    <x v="6"/>
    <n v="78"/>
    <s v="A-"/>
    <n v="84"/>
    <s v="A"/>
    <n v="79"/>
    <s v="A-"/>
    <n v="96"/>
    <s v="A+"/>
    <n v="76"/>
    <s v="A-"/>
    <n v="71"/>
    <s v="B+"/>
    <n v="71"/>
    <s v="B+"/>
    <n v="555"/>
    <n v="79.285714285714292"/>
    <x v="2"/>
    <n v="1245"/>
    <x v="1"/>
  </r>
  <r>
    <n v="710"/>
    <s v="James"/>
    <s v="Carter"/>
    <x v="707"/>
    <s v="james.carter.710@gslingacademy.com"/>
    <x v="0"/>
    <x v="1"/>
    <n v="10"/>
    <x v="0"/>
    <n v="25"/>
    <x v="9"/>
    <n v="82"/>
    <s v="A"/>
    <n v="74"/>
    <s v="B+"/>
    <n v="84"/>
    <s v="A"/>
    <n v="74"/>
    <s v="B+"/>
    <n v="86"/>
    <s v="A"/>
    <n v="81"/>
    <s v="A"/>
    <n v="100"/>
    <s v="A+"/>
    <n v="581"/>
    <n v="83"/>
    <x v="0"/>
    <n v="688"/>
    <x v="2"/>
  </r>
  <r>
    <n v="711"/>
    <s v="Alejandra"/>
    <s v="Johns"/>
    <x v="708"/>
    <s v="alejandra.johns.711@gslingacademy.com"/>
    <x v="1"/>
    <x v="0"/>
    <n v="1"/>
    <x v="0"/>
    <n v="31"/>
    <x v="11"/>
    <n v="94"/>
    <s v="A+"/>
    <n v="91"/>
    <s v="A+"/>
    <n v="68"/>
    <s v="B"/>
    <n v="61"/>
    <s v="B-"/>
    <n v="34"/>
    <s v="F"/>
    <n v="60"/>
    <s v="B-"/>
    <n v="63"/>
    <s v="B-"/>
    <n v="471"/>
    <n v="67.285714285714292"/>
    <x v="4"/>
    <n v="1957"/>
    <x v="1"/>
  </r>
  <r>
    <n v="712"/>
    <s v="Susan"/>
    <s v="Long"/>
    <x v="709"/>
    <s v="susan.long.712@gslingacademy.com"/>
    <x v="1"/>
    <x v="0"/>
    <n v="7"/>
    <x v="0"/>
    <n v="30"/>
    <x v="1"/>
    <n v="93"/>
    <s v="A+"/>
    <n v="73"/>
    <s v="B+"/>
    <n v="97"/>
    <s v="A+"/>
    <n v="89"/>
    <s v="A"/>
    <n v="88"/>
    <s v="A"/>
    <n v="63"/>
    <s v="B-"/>
    <n v="70"/>
    <s v="B+"/>
    <n v="573"/>
    <n v="81.857142857142861"/>
    <x v="0"/>
    <n v="864"/>
    <x v="2"/>
  </r>
  <r>
    <n v="713"/>
    <s v="Sharon"/>
    <s v="Allen"/>
    <x v="710"/>
    <s v="sharon.allen.713@gslingacademy.com"/>
    <x v="1"/>
    <x v="0"/>
    <n v="3"/>
    <x v="0"/>
    <n v="17"/>
    <x v="6"/>
    <n v="80"/>
    <s v="A"/>
    <n v="95"/>
    <s v="A+"/>
    <n v="98"/>
    <s v="A+"/>
    <n v="95"/>
    <s v="A+"/>
    <n v="96"/>
    <s v="A+"/>
    <n v="97"/>
    <s v="A+"/>
    <n v="85"/>
    <s v="A"/>
    <n v="646"/>
    <n v="92.285714285714292"/>
    <x v="1"/>
    <n v="73"/>
    <x v="0"/>
  </r>
  <r>
    <n v="714"/>
    <s v="Leah"/>
    <s v="Brown"/>
    <x v="711"/>
    <s v="leah.brown.714@gslingacademy.com"/>
    <x v="1"/>
    <x v="0"/>
    <n v="10"/>
    <x v="0"/>
    <n v="0"/>
    <x v="7"/>
    <n v="55"/>
    <s v="C"/>
    <n v="99"/>
    <s v="A+"/>
    <n v="71"/>
    <s v="B+"/>
    <n v="94"/>
    <s v="A+"/>
    <n v="69"/>
    <s v="B"/>
    <n v="87"/>
    <s v="A"/>
    <n v="84"/>
    <s v="A"/>
    <n v="559"/>
    <n v="79.857142857142861"/>
    <x v="2"/>
    <n v="1155"/>
    <x v="2"/>
  </r>
  <r>
    <n v="715"/>
    <s v="Maria"/>
    <s v="Barker"/>
    <x v="712"/>
    <s v="maria.barker.715@gslingacademy.com"/>
    <x v="1"/>
    <x v="1"/>
    <n v="2"/>
    <x v="0"/>
    <n v="10"/>
    <x v="2"/>
    <n v="94"/>
    <s v="A+"/>
    <n v="71"/>
    <s v="B+"/>
    <n v="83"/>
    <s v="A"/>
    <n v="76"/>
    <s v="A-"/>
    <n v="99"/>
    <s v="A+"/>
    <n v="95"/>
    <s v="A+"/>
    <n v="94"/>
    <s v="A+"/>
    <n v="612"/>
    <n v="87.428571428571431"/>
    <x v="0"/>
    <n v="283"/>
    <x v="1"/>
  </r>
  <r>
    <n v="716"/>
    <s v="Kelly"/>
    <s v="Church"/>
    <x v="713"/>
    <s v="kelly.church.716@gslingacademy.com"/>
    <x v="1"/>
    <x v="0"/>
    <n v="2"/>
    <x v="0"/>
    <n v="22"/>
    <x v="10"/>
    <n v="72"/>
    <s v="B+"/>
    <n v="72"/>
    <s v="B+"/>
    <n v="85"/>
    <s v="A"/>
    <n v="90"/>
    <s v="A+"/>
    <n v="75"/>
    <s v="A-"/>
    <n v="94"/>
    <s v="A+"/>
    <n v="65"/>
    <s v="B"/>
    <n v="553"/>
    <n v="79"/>
    <x v="2"/>
    <n v="1284"/>
    <x v="1"/>
  </r>
  <r>
    <n v="717"/>
    <s v="Michael"/>
    <s v="Walsh"/>
    <x v="714"/>
    <s v="michael.walsh.717@gslingacademy.com"/>
    <x v="0"/>
    <x v="0"/>
    <n v="3"/>
    <x v="0"/>
    <n v="16"/>
    <x v="5"/>
    <n v="98"/>
    <s v="A+"/>
    <n v="89"/>
    <s v="A"/>
    <n v="75"/>
    <s v="A-"/>
    <n v="68"/>
    <s v="B"/>
    <n v="87"/>
    <s v="A"/>
    <n v="69"/>
    <s v="B"/>
    <n v="96"/>
    <s v="A+"/>
    <n v="582"/>
    <n v="83.142857142857139"/>
    <x v="0"/>
    <n v="670"/>
    <x v="0"/>
  </r>
  <r>
    <n v="718"/>
    <s v="Alyssa"/>
    <s v="Gallagher"/>
    <x v="715"/>
    <s v="alyssa.gallagher.718@gslingacademy.com"/>
    <x v="1"/>
    <x v="0"/>
    <n v="2"/>
    <x v="0"/>
    <n v="11"/>
    <x v="4"/>
    <n v="71"/>
    <s v="B+"/>
    <n v="98"/>
    <s v="A+"/>
    <n v="66"/>
    <s v="B"/>
    <n v="65"/>
    <s v="B"/>
    <n v="78"/>
    <s v="A-"/>
    <n v="81"/>
    <s v="A"/>
    <n v="82"/>
    <s v="A"/>
    <n v="541"/>
    <n v="77.285714285714292"/>
    <x v="2"/>
    <n v="1493"/>
    <x v="1"/>
  </r>
  <r>
    <n v="719"/>
    <s v="Kelly"/>
    <s v="Morris"/>
    <x v="716"/>
    <s v="kelly.morris.719@gslingacademy.com"/>
    <x v="1"/>
    <x v="0"/>
    <n v="3"/>
    <x v="0"/>
    <n v="35"/>
    <x v="5"/>
    <n v="99"/>
    <s v="A+"/>
    <n v="95"/>
    <s v="A+"/>
    <n v="89"/>
    <s v="A"/>
    <n v="90"/>
    <s v="A+"/>
    <n v="95"/>
    <s v="A+"/>
    <n v="98"/>
    <s v="A+"/>
    <n v="99"/>
    <s v="A+"/>
    <n v="665"/>
    <n v="95"/>
    <x v="1"/>
    <n v="9"/>
    <x v="0"/>
  </r>
  <r>
    <n v="720"/>
    <s v="Ryan"/>
    <s v="Brown"/>
    <x v="717"/>
    <s v="ryan.brown.720@gslingacademy.com"/>
    <x v="0"/>
    <x v="0"/>
    <n v="1"/>
    <x v="0"/>
    <n v="25"/>
    <x v="15"/>
    <n v="97"/>
    <s v="A+"/>
    <n v="67"/>
    <s v="B"/>
    <n v="86"/>
    <s v="A"/>
    <n v="95"/>
    <s v="A+"/>
    <n v="65"/>
    <s v="B"/>
    <n v="91"/>
    <s v="A+"/>
    <n v="76"/>
    <s v="A-"/>
    <n v="577"/>
    <n v="82.428571428571431"/>
    <x v="0"/>
    <n v="769"/>
    <x v="1"/>
  </r>
  <r>
    <n v="721"/>
    <s v="Maria"/>
    <s v="Hall"/>
    <x v="718"/>
    <s v="maria.hall.721@gslingacademy.com"/>
    <x v="1"/>
    <x v="0"/>
    <n v="9"/>
    <x v="0"/>
    <n v="5"/>
    <x v="7"/>
    <n v="85"/>
    <s v="A"/>
    <n v="64"/>
    <s v="B-"/>
    <n v="99"/>
    <s v="A+"/>
    <n v="93"/>
    <s v="A+"/>
    <n v="89"/>
    <s v="A"/>
    <n v="61"/>
    <s v="B-"/>
    <n v="67"/>
    <s v="B"/>
    <n v="558"/>
    <n v="79.714285714285708"/>
    <x v="2"/>
    <n v="1178"/>
    <x v="2"/>
  </r>
  <r>
    <n v="722"/>
    <s v="Mark"/>
    <s v="Brown"/>
    <x v="719"/>
    <s v="mark.brown.722@gslingacademy.com"/>
    <x v="0"/>
    <x v="0"/>
    <n v="2"/>
    <x v="1"/>
    <n v="35"/>
    <x v="4"/>
    <n v="100"/>
    <s v="A+"/>
    <n v="88"/>
    <s v="A"/>
    <n v="98"/>
    <s v="A+"/>
    <n v="90"/>
    <s v="A+"/>
    <n v="93"/>
    <s v="A+"/>
    <n v="95"/>
    <s v="A+"/>
    <n v="98"/>
    <s v="A+"/>
    <n v="662"/>
    <n v="94.571428571428569"/>
    <x v="1"/>
    <n v="13"/>
    <x v="1"/>
  </r>
  <r>
    <n v="723"/>
    <s v="William"/>
    <s v="Kerr"/>
    <x v="720"/>
    <s v="william.kerr.723@gslingacademy.com"/>
    <x v="0"/>
    <x v="0"/>
    <n v="4"/>
    <x v="0"/>
    <n v="15"/>
    <x v="9"/>
    <n v="89"/>
    <s v="A"/>
    <n v="63"/>
    <s v="B-"/>
    <n v="73"/>
    <s v="B+"/>
    <n v="83"/>
    <s v="A"/>
    <n v="74"/>
    <s v="B+"/>
    <n v="91"/>
    <s v="A+"/>
    <n v="83"/>
    <s v="A"/>
    <n v="556"/>
    <n v="79.428571428571431"/>
    <x v="2"/>
    <n v="1224"/>
    <x v="0"/>
  </r>
  <r>
    <n v="724"/>
    <s v="Jake"/>
    <s v="Gonzalez"/>
    <x v="721"/>
    <s v="jake.gonzalez.724@gslingacademy.com"/>
    <x v="0"/>
    <x v="0"/>
    <n v="4"/>
    <x v="1"/>
    <n v="21"/>
    <x v="9"/>
    <n v="76"/>
    <s v="A-"/>
    <n v="87"/>
    <s v="A"/>
    <n v="63"/>
    <s v="B-"/>
    <n v="92"/>
    <s v="A+"/>
    <n v="93"/>
    <s v="A+"/>
    <n v="87"/>
    <s v="A"/>
    <n v="88"/>
    <s v="A"/>
    <n v="586"/>
    <n v="83.714285714285708"/>
    <x v="0"/>
    <n v="601"/>
    <x v="0"/>
  </r>
  <r>
    <n v="725"/>
    <s v="Theresa"/>
    <s v="Gray"/>
    <x v="722"/>
    <s v="theresa.gray.725@gslingacademy.com"/>
    <x v="1"/>
    <x v="0"/>
    <n v="2"/>
    <x v="0"/>
    <n v="3"/>
    <x v="12"/>
    <n v="100"/>
    <s v="A+"/>
    <n v="68"/>
    <s v="B"/>
    <n v="80"/>
    <s v="A"/>
    <n v="75"/>
    <s v="A-"/>
    <n v="85"/>
    <s v="A"/>
    <n v="82"/>
    <s v="A"/>
    <n v="85"/>
    <s v="A"/>
    <n v="575"/>
    <n v="82.142857142857139"/>
    <x v="0"/>
    <n v="807"/>
    <x v="1"/>
  </r>
  <r>
    <n v="726"/>
    <s v="Ashley"/>
    <s v="Ayers"/>
    <x v="723"/>
    <s v="ashley.ayers.726@gslingacademy.com"/>
    <x v="1"/>
    <x v="0"/>
    <n v="1"/>
    <x v="0"/>
    <n v="1"/>
    <x v="16"/>
    <n v="77"/>
    <s v="A-"/>
    <n v="99"/>
    <s v="A+"/>
    <n v="99"/>
    <s v="A+"/>
    <n v="76"/>
    <s v="A-"/>
    <n v="70"/>
    <s v="B+"/>
    <n v="80"/>
    <s v="A"/>
    <n v="90"/>
    <s v="A+"/>
    <n v="591"/>
    <n v="84.428571428571431"/>
    <x v="0"/>
    <n v="515"/>
    <x v="1"/>
  </r>
  <r>
    <n v="727"/>
    <s v="Ann"/>
    <s v="Mccann"/>
    <x v="724"/>
    <s v="ann.mccann.727@gslingacademy.com"/>
    <x v="1"/>
    <x v="0"/>
    <n v="1"/>
    <x v="0"/>
    <n v="32"/>
    <x v="5"/>
    <n v="85"/>
    <s v="A"/>
    <n v="86"/>
    <s v="A"/>
    <n v="84"/>
    <s v="A"/>
    <n v="81"/>
    <s v="A"/>
    <n v="92"/>
    <s v="A+"/>
    <n v="84"/>
    <s v="A"/>
    <n v="93"/>
    <s v="A+"/>
    <n v="605"/>
    <n v="86.428571428571431"/>
    <x v="0"/>
    <n v="344"/>
    <x v="1"/>
  </r>
  <r>
    <n v="728"/>
    <s v="Curtis"/>
    <s v="Bennett"/>
    <x v="725"/>
    <s v="curtis.bennett.728@gslingacademy.com"/>
    <x v="0"/>
    <x v="0"/>
    <n v="6"/>
    <x v="1"/>
    <n v="25"/>
    <x v="0"/>
    <n v="70"/>
    <s v="B+"/>
    <n v="83"/>
    <s v="A"/>
    <n v="63"/>
    <s v="B-"/>
    <n v="86"/>
    <s v="A"/>
    <n v="97"/>
    <s v="A+"/>
    <n v="88"/>
    <s v="A"/>
    <n v="79"/>
    <s v="A-"/>
    <n v="566"/>
    <n v="80.857142857142861"/>
    <x v="0"/>
    <n v="1019"/>
    <x v="0"/>
  </r>
  <r>
    <n v="729"/>
    <s v="Debra"/>
    <s v="Gutierrez"/>
    <x v="726"/>
    <s v="debra.gutierrez.729@gslingacademy.com"/>
    <x v="1"/>
    <x v="0"/>
    <n v="9"/>
    <x v="0"/>
    <n v="26"/>
    <x v="0"/>
    <n v="76"/>
    <s v="A-"/>
    <n v="83"/>
    <s v="A"/>
    <n v="90"/>
    <s v="A+"/>
    <n v="68"/>
    <s v="B"/>
    <n v="96"/>
    <s v="A+"/>
    <n v="94"/>
    <s v="A+"/>
    <n v="87"/>
    <s v="A"/>
    <n v="594"/>
    <n v="84.857142857142861"/>
    <x v="0"/>
    <n v="479"/>
    <x v="2"/>
  </r>
  <r>
    <n v="730"/>
    <s v="Linda"/>
    <s v="West"/>
    <x v="727"/>
    <s v="linda.west.730@gslingacademy.com"/>
    <x v="1"/>
    <x v="1"/>
    <n v="7"/>
    <x v="0"/>
    <n v="34"/>
    <x v="0"/>
    <n v="75"/>
    <s v="A-"/>
    <n v="82"/>
    <s v="A"/>
    <n v="89"/>
    <s v="A"/>
    <n v="65"/>
    <s v="B"/>
    <n v="85"/>
    <s v="A"/>
    <n v="89"/>
    <s v="A"/>
    <n v="81"/>
    <s v="A"/>
    <n v="566"/>
    <n v="80.857142857142861"/>
    <x v="0"/>
    <n v="1019"/>
    <x v="2"/>
  </r>
  <r>
    <n v="731"/>
    <s v="Justin"/>
    <s v="Hughes"/>
    <x v="728"/>
    <s v="justin.hughes.731@gslingacademy.com"/>
    <x v="0"/>
    <x v="0"/>
    <n v="2"/>
    <x v="1"/>
    <n v="25"/>
    <x v="15"/>
    <n v="97"/>
    <s v="A+"/>
    <n v="65"/>
    <s v="B"/>
    <n v="96"/>
    <s v="A+"/>
    <n v="87"/>
    <s v="A"/>
    <n v="87"/>
    <s v="A"/>
    <n v="95"/>
    <s v="A+"/>
    <n v="100"/>
    <s v="A+"/>
    <n v="627"/>
    <n v="89.571428571428569"/>
    <x v="0"/>
    <n v="168"/>
    <x v="1"/>
  </r>
  <r>
    <n v="732"/>
    <s v="Jose"/>
    <s v="Jackson"/>
    <x v="729"/>
    <s v="jose.jackson.732@gslingacademy.com"/>
    <x v="0"/>
    <x v="1"/>
    <n v="10"/>
    <x v="0"/>
    <n v="3"/>
    <x v="7"/>
    <n v="72"/>
    <s v="B+"/>
    <n v="81"/>
    <s v="A"/>
    <n v="61"/>
    <s v="B-"/>
    <n v="73"/>
    <s v="B+"/>
    <n v="96"/>
    <s v="A+"/>
    <n v="72"/>
    <s v="B+"/>
    <n v="86"/>
    <s v="A"/>
    <n v="541"/>
    <n v="77.285714285714292"/>
    <x v="2"/>
    <n v="1493"/>
    <x v="2"/>
  </r>
  <r>
    <n v="733"/>
    <s v="Larry"/>
    <s v="Smith"/>
    <x v="730"/>
    <s v="larry.smith.733@gslingacademy.com"/>
    <x v="0"/>
    <x v="1"/>
    <n v="3"/>
    <x v="0"/>
    <n v="12"/>
    <x v="15"/>
    <n v="84"/>
    <s v="A"/>
    <n v="69"/>
    <s v="B"/>
    <n v="68"/>
    <s v="B"/>
    <n v="92"/>
    <s v="A+"/>
    <n v="86"/>
    <s v="A"/>
    <n v="67"/>
    <s v="B"/>
    <n v="73"/>
    <s v="B+"/>
    <n v="539"/>
    <n v="77"/>
    <x v="2"/>
    <n v="1531"/>
    <x v="0"/>
  </r>
  <r>
    <n v="734"/>
    <s v="Austin"/>
    <s v="Dunn"/>
    <x v="731"/>
    <s v="austin.dunn.734@gslingacademy.com"/>
    <x v="0"/>
    <x v="0"/>
    <n v="1"/>
    <x v="0"/>
    <n v="25"/>
    <x v="4"/>
    <n v="84"/>
    <s v="A"/>
    <n v="94"/>
    <s v="A+"/>
    <n v="65"/>
    <s v="B"/>
    <n v="74"/>
    <s v="B+"/>
    <n v="92"/>
    <s v="A+"/>
    <n v="81"/>
    <s v="A"/>
    <n v="79"/>
    <s v="A-"/>
    <n v="569"/>
    <n v="81.285714285714292"/>
    <x v="0"/>
    <n v="957"/>
    <x v="1"/>
  </r>
  <r>
    <n v="735"/>
    <s v="Michael"/>
    <s v="Heath"/>
    <x v="732"/>
    <s v="michael.heath.735@gslingacademy.com"/>
    <x v="0"/>
    <x v="0"/>
    <n v="6"/>
    <x v="0"/>
    <n v="50"/>
    <x v="1"/>
    <n v="94"/>
    <s v="A+"/>
    <n v="87"/>
    <s v="A"/>
    <n v="99"/>
    <s v="A+"/>
    <n v="99"/>
    <s v="A+"/>
    <n v="86"/>
    <s v="A"/>
    <n v="86"/>
    <s v="A"/>
    <n v="85"/>
    <s v="A"/>
    <n v="636"/>
    <n v="90.857142857142861"/>
    <x v="1"/>
    <n v="124"/>
    <x v="0"/>
  </r>
  <r>
    <n v="736"/>
    <s v="Beth"/>
    <s v="Acosta"/>
    <x v="733"/>
    <s v="beth.acosta.736@gslingacademy.com"/>
    <x v="1"/>
    <x v="0"/>
    <n v="7"/>
    <x v="0"/>
    <n v="15"/>
    <x v="12"/>
    <n v="80"/>
    <s v="A"/>
    <n v="91"/>
    <s v="A+"/>
    <n v="100"/>
    <s v="A+"/>
    <n v="87"/>
    <s v="A"/>
    <n v="87"/>
    <s v="A"/>
    <n v="94"/>
    <s v="A+"/>
    <n v="100"/>
    <s v="A+"/>
    <n v="639"/>
    <n v="91.285714285714292"/>
    <x v="1"/>
    <n v="106"/>
    <x v="2"/>
  </r>
  <r>
    <n v="737"/>
    <s v="Tracie"/>
    <s v="Weeks"/>
    <x v="734"/>
    <s v="tracie.weeks.737@gslingacademy.com"/>
    <x v="1"/>
    <x v="0"/>
    <n v="0"/>
    <x v="0"/>
    <n v="34"/>
    <x v="5"/>
    <n v="87"/>
    <s v="A"/>
    <n v="98"/>
    <s v="A+"/>
    <n v="79"/>
    <s v="A-"/>
    <n v="87"/>
    <s v="A"/>
    <n v="92"/>
    <s v="A+"/>
    <n v="80"/>
    <s v="A"/>
    <n v="93"/>
    <s v="A+"/>
    <n v="616"/>
    <n v="88"/>
    <x v="0"/>
    <n v="243"/>
    <x v="1"/>
  </r>
  <r>
    <n v="738"/>
    <s v="Brandi"/>
    <s v="Ray"/>
    <x v="735"/>
    <s v="brandi.ray.738@gslingacademy.com"/>
    <x v="1"/>
    <x v="0"/>
    <n v="6"/>
    <x v="0"/>
    <n v="27"/>
    <x v="15"/>
    <n v="93"/>
    <s v="A+"/>
    <n v="94"/>
    <s v="A+"/>
    <n v="87"/>
    <s v="A"/>
    <n v="92"/>
    <s v="A+"/>
    <n v="99"/>
    <s v="A+"/>
    <n v="93"/>
    <s v="A+"/>
    <n v="88"/>
    <s v="A"/>
    <n v="646"/>
    <n v="92.285714285714292"/>
    <x v="1"/>
    <n v="73"/>
    <x v="0"/>
  </r>
  <r>
    <n v="739"/>
    <s v="Carla"/>
    <s v="Brandt"/>
    <x v="736"/>
    <s v="carla.brandt.739@gslingacademy.com"/>
    <x v="1"/>
    <x v="0"/>
    <n v="1"/>
    <x v="0"/>
    <n v="5"/>
    <x v="14"/>
    <n v="87"/>
    <s v="A"/>
    <n v="69"/>
    <s v="B"/>
    <n v="96"/>
    <s v="A+"/>
    <n v="61"/>
    <s v="B-"/>
    <n v="72"/>
    <s v="B+"/>
    <n v="78"/>
    <s v="A-"/>
    <n v="99"/>
    <s v="A+"/>
    <n v="562"/>
    <n v="80.285714285714292"/>
    <x v="0"/>
    <n v="1099"/>
    <x v="1"/>
  </r>
  <r>
    <n v="740"/>
    <s v="Thomas"/>
    <s v="Cruz"/>
    <x v="737"/>
    <s v="thomas.cruz.740@gslingacademy.com"/>
    <x v="0"/>
    <x v="0"/>
    <n v="10"/>
    <x v="1"/>
    <n v="0"/>
    <x v="7"/>
    <n v="64"/>
    <s v="B-"/>
    <n v="51"/>
    <s v="C"/>
    <n v="70"/>
    <s v="B+"/>
    <n v="94"/>
    <s v="A+"/>
    <n v="86"/>
    <s v="A"/>
    <n v="65"/>
    <s v="B"/>
    <n v="80"/>
    <s v="A"/>
    <n v="510"/>
    <n v="72.857142857142861"/>
    <x v="3"/>
    <n v="1828"/>
    <x v="2"/>
  </r>
  <r>
    <n v="741"/>
    <s v="Nicholas"/>
    <s v="Martin"/>
    <x v="738"/>
    <s v="nicholas.martin.741@gslingacademy.com"/>
    <x v="0"/>
    <x v="0"/>
    <n v="5"/>
    <x v="0"/>
    <n v="15"/>
    <x v="5"/>
    <n v="96"/>
    <s v="A+"/>
    <n v="73"/>
    <s v="B+"/>
    <n v="91"/>
    <s v="A+"/>
    <n v="71"/>
    <s v="B+"/>
    <n v="72"/>
    <s v="B+"/>
    <n v="74"/>
    <s v="B+"/>
    <n v="76"/>
    <s v="A-"/>
    <n v="553"/>
    <n v="79"/>
    <x v="2"/>
    <n v="1284"/>
    <x v="0"/>
  </r>
  <r>
    <n v="742"/>
    <s v="Breanna"/>
    <s v="Lee"/>
    <x v="739"/>
    <s v="breanna.lee.742@gslingacademy.com"/>
    <x v="1"/>
    <x v="0"/>
    <n v="2"/>
    <x v="1"/>
    <n v="31"/>
    <x v="8"/>
    <n v="97"/>
    <s v="A+"/>
    <n v="62"/>
    <s v="B-"/>
    <n v="93"/>
    <s v="A+"/>
    <n v="80"/>
    <s v="A"/>
    <n v="96"/>
    <s v="A+"/>
    <n v="94"/>
    <s v="A+"/>
    <n v="67"/>
    <s v="B"/>
    <n v="589"/>
    <n v="84.142857142857139"/>
    <x v="0"/>
    <n v="548"/>
    <x v="1"/>
  </r>
  <r>
    <n v="743"/>
    <s v="Angie"/>
    <s v="White"/>
    <x v="740"/>
    <s v="angie.white.743@gslingacademy.com"/>
    <x v="1"/>
    <x v="0"/>
    <n v="6"/>
    <x v="0"/>
    <n v="0"/>
    <x v="3"/>
    <n v="62"/>
    <s v="B-"/>
    <n v="79"/>
    <s v="A-"/>
    <n v="75"/>
    <s v="A-"/>
    <n v="65"/>
    <s v="B"/>
    <n v="71"/>
    <s v="B+"/>
    <n v="75"/>
    <s v="A-"/>
    <n v="93"/>
    <s v="A+"/>
    <n v="520"/>
    <n v="74.285714285714292"/>
    <x v="3"/>
    <n v="1753"/>
    <x v="0"/>
  </r>
  <r>
    <n v="744"/>
    <s v="William"/>
    <s v="Lester"/>
    <x v="741"/>
    <s v="william.lester.744@gslingacademy.com"/>
    <x v="0"/>
    <x v="1"/>
    <n v="1"/>
    <x v="0"/>
    <n v="5"/>
    <x v="7"/>
    <n v="97"/>
    <s v="A+"/>
    <n v="79"/>
    <s v="A-"/>
    <n v="96"/>
    <s v="A+"/>
    <n v="94"/>
    <s v="A+"/>
    <n v="59"/>
    <s v="C"/>
    <n v="83"/>
    <s v="A"/>
    <n v="64"/>
    <s v="B-"/>
    <n v="572"/>
    <n v="81.714285714285708"/>
    <x v="0"/>
    <n v="890"/>
    <x v="1"/>
  </r>
  <r>
    <n v="745"/>
    <s v="Joshua"/>
    <s v="Miller"/>
    <x v="742"/>
    <s v="joshua.miller.745@gslingacademy.com"/>
    <x v="0"/>
    <x v="0"/>
    <n v="3"/>
    <x v="0"/>
    <n v="35"/>
    <x v="5"/>
    <n v="85"/>
    <s v="A"/>
    <n v="100"/>
    <s v="A+"/>
    <n v="90"/>
    <s v="A+"/>
    <n v="93"/>
    <s v="A+"/>
    <n v="94"/>
    <s v="A+"/>
    <n v="97"/>
    <s v="A+"/>
    <n v="98"/>
    <s v="A+"/>
    <n v="657"/>
    <n v="93.857142857142861"/>
    <x v="1"/>
    <n v="26"/>
    <x v="0"/>
  </r>
  <r>
    <n v="746"/>
    <s v="Thomas"/>
    <s v="Stone"/>
    <x v="743"/>
    <s v="thomas.stone.746@gslingacademy.com"/>
    <x v="0"/>
    <x v="0"/>
    <n v="0"/>
    <x v="0"/>
    <n v="27"/>
    <x v="4"/>
    <n v="68"/>
    <s v="B"/>
    <n v="95"/>
    <s v="A+"/>
    <n v="66"/>
    <s v="B"/>
    <n v="65"/>
    <s v="B"/>
    <n v="89"/>
    <s v="A"/>
    <n v="84"/>
    <s v="A"/>
    <n v="100"/>
    <s v="A+"/>
    <n v="567"/>
    <n v="81"/>
    <x v="0"/>
    <n v="994"/>
    <x v="1"/>
  </r>
  <r>
    <n v="747"/>
    <s v="Sarah"/>
    <s v="King"/>
    <x v="744"/>
    <s v="sarah.king.747@gslingacademy.com"/>
    <x v="1"/>
    <x v="1"/>
    <n v="7"/>
    <x v="0"/>
    <n v="1"/>
    <x v="7"/>
    <n v="45"/>
    <s v="D"/>
    <n v="68"/>
    <s v="B"/>
    <n v="99"/>
    <s v="A+"/>
    <n v="91"/>
    <s v="A+"/>
    <n v="88"/>
    <s v="A"/>
    <n v="63"/>
    <s v="B-"/>
    <n v="61"/>
    <s v="B-"/>
    <n v="515"/>
    <n v="73.571428571428569"/>
    <x v="3"/>
    <n v="1798"/>
    <x v="2"/>
  </r>
  <r>
    <n v="748"/>
    <s v="Jeffery"/>
    <s v="Carlson"/>
    <x v="745"/>
    <s v="jeffery.carlson.748@gslingacademy.com"/>
    <x v="0"/>
    <x v="1"/>
    <n v="6"/>
    <x v="0"/>
    <n v="2"/>
    <x v="7"/>
    <n v="86"/>
    <s v="A"/>
    <n v="79"/>
    <s v="A-"/>
    <n v="86"/>
    <s v="A"/>
    <n v="73"/>
    <s v="B+"/>
    <n v="53"/>
    <s v="C"/>
    <n v="84"/>
    <s v="A"/>
    <n v="79"/>
    <s v="A-"/>
    <n v="540"/>
    <n v="77.142857142857139"/>
    <x v="2"/>
    <n v="1513"/>
    <x v="0"/>
  </r>
  <r>
    <n v="749"/>
    <s v="Ashley"/>
    <s v="Gutierrez"/>
    <x v="746"/>
    <s v="ashley.gutierrez.749@gslingacademy.com"/>
    <x v="1"/>
    <x v="0"/>
    <n v="10"/>
    <x v="0"/>
    <n v="34"/>
    <x v="5"/>
    <n v="97"/>
    <s v="A+"/>
    <n v="94"/>
    <s v="A+"/>
    <n v="73"/>
    <s v="B+"/>
    <n v="98"/>
    <s v="A+"/>
    <n v="87"/>
    <s v="A"/>
    <n v="97"/>
    <s v="A+"/>
    <n v="98"/>
    <s v="A+"/>
    <n v="644"/>
    <n v="92"/>
    <x v="1"/>
    <n v="83"/>
    <x v="2"/>
  </r>
  <r>
    <n v="750"/>
    <s v="Adam"/>
    <s v="Herring"/>
    <x v="747"/>
    <s v="adam.herring.750@gslingacademy.com"/>
    <x v="0"/>
    <x v="1"/>
    <n v="2"/>
    <x v="1"/>
    <n v="18"/>
    <x v="5"/>
    <n v="93"/>
    <s v="A+"/>
    <n v="67"/>
    <s v="B"/>
    <n v="65"/>
    <s v="B"/>
    <n v="61"/>
    <s v="B-"/>
    <n v="61"/>
    <s v="B-"/>
    <n v="96"/>
    <s v="A+"/>
    <n v="65"/>
    <s v="B"/>
    <n v="508"/>
    <n v="72.571428571428569"/>
    <x v="3"/>
    <n v="1840"/>
    <x v="1"/>
  </r>
  <r>
    <n v="751"/>
    <s v="David"/>
    <s v="Ramirez"/>
    <x v="748"/>
    <s v="david.ramirez.751@gslingacademy.com"/>
    <x v="0"/>
    <x v="0"/>
    <n v="1"/>
    <x v="0"/>
    <n v="14"/>
    <x v="5"/>
    <n v="85"/>
    <s v="A"/>
    <n v="93"/>
    <s v="A+"/>
    <n v="75"/>
    <s v="A-"/>
    <n v="72"/>
    <s v="B+"/>
    <n v="84"/>
    <s v="A"/>
    <n v="63"/>
    <s v="B-"/>
    <n v="63"/>
    <s v="B-"/>
    <n v="535"/>
    <n v="76.428571428571431"/>
    <x v="2"/>
    <n v="1578"/>
    <x v="1"/>
  </r>
  <r>
    <n v="752"/>
    <s v="Angela"/>
    <s v="Brown"/>
    <x v="749"/>
    <s v="angela.brown.752@gslingacademy.com"/>
    <x v="1"/>
    <x v="0"/>
    <n v="1"/>
    <x v="0"/>
    <n v="6"/>
    <x v="12"/>
    <n v="88"/>
    <s v="A"/>
    <n v="88"/>
    <s v="A"/>
    <n v="98"/>
    <s v="A+"/>
    <n v="92"/>
    <s v="A+"/>
    <n v="71"/>
    <s v="B+"/>
    <n v="66"/>
    <s v="B"/>
    <n v="90"/>
    <s v="A+"/>
    <n v="593"/>
    <n v="84.714285714285708"/>
    <x v="0"/>
    <n v="494"/>
    <x v="1"/>
  </r>
  <r>
    <n v="753"/>
    <s v="Eric"/>
    <s v="Jones"/>
    <x v="750"/>
    <s v="eric.jones.753@gslingacademy.com"/>
    <x v="0"/>
    <x v="0"/>
    <n v="5"/>
    <x v="1"/>
    <n v="2"/>
    <x v="3"/>
    <n v="100"/>
    <s v="A+"/>
    <n v="67"/>
    <s v="B"/>
    <n v="98"/>
    <s v="A+"/>
    <n v="71"/>
    <s v="B+"/>
    <n v="92"/>
    <s v="A+"/>
    <n v="79"/>
    <s v="A-"/>
    <n v="99"/>
    <s v="A+"/>
    <n v="606"/>
    <n v="86.571428571428569"/>
    <x v="0"/>
    <n v="333"/>
    <x v="0"/>
  </r>
  <r>
    <n v="754"/>
    <s v="Angel"/>
    <s v="Garner"/>
    <x v="751"/>
    <s v="angel.garner.754@gslingacademy.com"/>
    <x v="0"/>
    <x v="0"/>
    <n v="2"/>
    <x v="0"/>
    <n v="19"/>
    <x v="5"/>
    <n v="93"/>
    <s v="A+"/>
    <n v="74"/>
    <s v="B+"/>
    <n v="88"/>
    <s v="A"/>
    <n v="92"/>
    <s v="A+"/>
    <n v="77"/>
    <s v="A-"/>
    <n v="89"/>
    <s v="A"/>
    <n v="96"/>
    <s v="A+"/>
    <n v="609"/>
    <n v="87"/>
    <x v="0"/>
    <n v="309"/>
    <x v="1"/>
  </r>
  <r>
    <n v="755"/>
    <s v="Lisa"/>
    <s v="Cowan"/>
    <x v="752"/>
    <s v="lisa.cowan.755@gslingacademy.com"/>
    <x v="1"/>
    <x v="0"/>
    <n v="1"/>
    <x v="0"/>
    <n v="1"/>
    <x v="3"/>
    <n v="70"/>
    <s v="B+"/>
    <n v="63"/>
    <s v="B-"/>
    <n v="73"/>
    <s v="B+"/>
    <n v="97"/>
    <s v="A+"/>
    <n v="63"/>
    <s v="B-"/>
    <n v="61"/>
    <s v="B-"/>
    <n v="90"/>
    <s v="A+"/>
    <n v="517"/>
    <n v="73.857142857142861"/>
    <x v="3"/>
    <n v="1781"/>
    <x v="1"/>
  </r>
  <r>
    <n v="756"/>
    <s v="Nicole"/>
    <s v="Perry"/>
    <x v="753"/>
    <s v="nicole.perry.756@gslingacademy.com"/>
    <x v="1"/>
    <x v="0"/>
    <n v="2"/>
    <x v="0"/>
    <n v="13"/>
    <x v="9"/>
    <n v="82"/>
    <s v="A"/>
    <n v="67"/>
    <s v="B"/>
    <n v="94"/>
    <s v="A+"/>
    <n v="88"/>
    <s v="A"/>
    <n v="86"/>
    <s v="A"/>
    <n v="89"/>
    <s v="A"/>
    <n v="98"/>
    <s v="A+"/>
    <n v="604"/>
    <n v="86.285714285714292"/>
    <x v="0"/>
    <n v="353"/>
    <x v="1"/>
  </r>
  <r>
    <n v="757"/>
    <s v="Annette"/>
    <s v="Wells"/>
    <x v="754"/>
    <s v="annette.wells.757@gslingacademy.com"/>
    <x v="1"/>
    <x v="1"/>
    <n v="8"/>
    <x v="0"/>
    <n v="3"/>
    <x v="7"/>
    <n v="41"/>
    <s v="D"/>
    <n v="76"/>
    <s v="A-"/>
    <n v="94"/>
    <s v="A+"/>
    <n v="93"/>
    <s v="A+"/>
    <n v="79"/>
    <s v="A-"/>
    <n v="84"/>
    <s v="A"/>
    <n v="96"/>
    <s v="A+"/>
    <n v="563"/>
    <n v="80.428571428571431"/>
    <x v="0"/>
    <n v="1077"/>
    <x v="2"/>
  </r>
  <r>
    <n v="758"/>
    <s v="Ian"/>
    <s v="Scott"/>
    <x v="755"/>
    <s v="ian.scott.758@gslingacademy.com"/>
    <x v="0"/>
    <x v="0"/>
    <n v="2"/>
    <x v="0"/>
    <n v="21"/>
    <x v="9"/>
    <n v="94"/>
    <s v="A+"/>
    <n v="74"/>
    <s v="B+"/>
    <n v="74"/>
    <s v="B+"/>
    <n v="89"/>
    <s v="A"/>
    <n v="67"/>
    <s v="B"/>
    <n v="93"/>
    <s v="A+"/>
    <n v="96"/>
    <s v="A+"/>
    <n v="587"/>
    <n v="83.857142857142861"/>
    <x v="0"/>
    <n v="583"/>
    <x v="1"/>
  </r>
  <r>
    <n v="759"/>
    <s v="Kari"/>
    <s v="Hernandez"/>
    <x v="756"/>
    <s v="kari.hernandez.759@gslingacademy.com"/>
    <x v="1"/>
    <x v="1"/>
    <n v="2"/>
    <x v="0"/>
    <n v="29"/>
    <x v="12"/>
    <n v="67"/>
    <s v="B"/>
    <n v="69"/>
    <s v="B"/>
    <n v="75"/>
    <s v="A-"/>
    <n v="94"/>
    <s v="A+"/>
    <n v="98"/>
    <s v="A+"/>
    <n v="80"/>
    <s v="A"/>
    <n v="74"/>
    <s v="B+"/>
    <n v="557"/>
    <n v="79.571428571428569"/>
    <x v="2"/>
    <n v="1200"/>
    <x v="1"/>
  </r>
  <r>
    <n v="760"/>
    <s v="Mary"/>
    <s v="Haynes"/>
    <x v="757"/>
    <s v="mary.haynes.760@gslingacademy.com"/>
    <x v="1"/>
    <x v="0"/>
    <n v="0"/>
    <x v="1"/>
    <n v="11"/>
    <x v="2"/>
    <n v="89"/>
    <s v="A"/>
    <n v="75"/>
    <s v="A-"/>
    <n v="64"/>
    <s v="B-"/>
    <n v="81"/>
    <s v="A"/>
    <n v="66"/>
    <s v="B"/>
    <n v="82"/>
    <s v="A"/>
    <n v="92"/>
    <s v="A+"/>
    <n v="549"/>
    <n v="78.428571428571431"/>
    <x v="2"/>
    <n v="1355"/>
    <x v="1"/>
  </r>
  <r>
    <n v="761"/>
    <s v="Raymond"/>
    <s v="Smith"/>
    <x v="758"/>
    <s v="raymond.smith.761@gslingacademy.com"/>
    <x v="0"/>
    <x v="0"/>
    <n v="3"/>
    <x v="0"/>
    <n v="23"/>
    <x v="1"/>
    <n v="82"/>
    <s v="A"/>
    <n v="82"/>
    <s v="A"/>
    <n v="100"/>
    <s v="A+"/>
    <n v="93"/>
    <s v="A+"/>
    <n v="91"/>
    <s v="A+"/>
    <n v="61"/>
    <s v="B-"/>
    <n v="83"/>
    <s v="A"/>
    <n v="592"/>
    <n v="84.571428571428569"/>
    <x v="0"/>
    <n v="505"/>
    <x v="0"/>
  </r>
  <r>
    <n v="762"/>
    <s v="Christopher"/>
    <s v="Ayala"/>
    <x v="759"/>
    <s v="christopher.ayala.762@gslingacademy.com"/>
    <x v="0"/>
    <x v="1"/>
    <n v="2"/>
    <x v="0"/>
    <n v="30"/>
    <x v="5"/>
    <n v="96"/>
    <s v="A+"/>
    <n v="79"/>
    <s v="A-"/>
    <n v="93"/>
    <s v="A+"/>
    <n v="92"/>
    <s v="A+"/>
    <n v="92"/>
    <s v="A+"/>
    <n v="71"/>
    <s v="B+"/>
    <n v="87"/>
    <s v="A"/>
    <n v="610"/>
    <n v="87.142857142857139"/>
    <x v="0"/>
    <n v="298"/>
    <x v="1"/>
  </r>
  <r>
    <n v="763"/>
    <s v="Jacqueline"/>
    <s v="Frazier"/>
    <x v="760"/>
    <s v="jacqueline.frazier.763@gslingacademy.com"/>
    <x v="1"/>
    <x v="0"/>
    <n v="1"/>
    <x v="0"/>
    <n v="13"/>
    <x v="11"/>
    <n v="94"/>
    <s v="A+"/>
    <n v="84"/>
    <s v="A"/>
    <n v="84"/>
    <s v="A"/>
    <n v="89"/>
    <s v="A"/>
    <n v="52"/>
    <s v="C"/>
    <n v="97"/>
    <s v="A+"/>
    <n v="76"/>
    <s v="A-"/>
    <n v="576"/>
    <n v="82.285714285714292"/>
    <x v="0"/>
    <n v="789"/>
    <x v="1"/>
  </r>
  <r>
    <n v="764"/>
    <s v="Jesse"/>
    <s v="Kelly"/>
    <x v="761"/>
    <s v="jesse.kelly.764@gslingacademy.com"/>
    <x v="0"/>
    <x v="0"/>
    <n v="4"/>
    <x v="0"/>
    <n v="19"/>
    <x v="13"/>
    <n v="84"/>
    <s v="A"/>
    <n v="65"/>
    <s v="B"/>
    <n v="83"/>
    <s v="A"/>
    <n v="99"/>
    <s v="A+"/>
    <n v="86"/>
    <s v="A"/>
    <n v="75"/>
    <s v="A-"/>
    <n v="67"/>
    <s v="B"/>
    <n v="559"/>
    <n v="79.857142857142861"/>
    <x v="2"/>
    <n v="1155"/>
    <x v="0"/>
  </r>
  <r>
    <n v="765"/>
    <s v="Teresa"/>
    <s v="Lee"/>
    <x v="762"/>
    <s v="teresa.lee.765@gslingacademy.com"/>
    <x v="1"/>
    <x v="0"/>
    <n v="5"/>
    <x v="0"/>
    <n v="33"/>
    <x v="5"/>
    <n v="87"/>
    <s v="A"/>
    <n v="98"/>
    <s v="A+"/>
    <n v="97"/>
    <s v="A+"/>
    <n v="70"/>
    <s v="B+"/>
    <n v="80"/>
    <s v="A"/>
    <n v="67"/>
    <s v="B"/>
    <n v="82"/>
    <s v="A"/>
    <n v="581"/>
    <n v="83"/>
    <x v="0"/>
    <n v="688"/>
    <x v="0"/>
  </r>
  <r>
    <n v="766"/>
    <s v="Michael"/>
    <s v="Aguirre"/>
    <x v="763"/>
    <s v="michael.aguirre.766@gslingacademy.com"/>
    <x v="0"/>
    <x v="0"/>
    <n v="2"/>
    <x v="0"/>
    <n v="21"/>
    <x v="5"/>
    <n v="90"/>
    <s v="A+"/>
    <n v="93"/>
    <s v="A+"/>
    <n v="66"/>
    <s v="B"/>
    <n v="77"/>
    <s v="A-"/>
    <n v="72"/>
    <s v="B+"/>
    <n v="82"/>
    <s v="A"/>
    <n v="82"/>
    <s v="A"/>
    <n v="562"/>
    <n v="80.285714285714292"/>
    <x v="0"/>
    <n v="1099"/>
    <x v="1"/>
  </r>
  <r>
    <n v="767"/>
    <s v="April"/>
    <s v="Delgado"/>
    <x v="764"/>
    <s v="april.delgado.767@gslingacademy.com"/>
    <x v="1"/>
    <x v="0"/>
    <n v="7"/>
    <x v="0"/>
    <n v="31"/>
    <x v="8"/>
    <n v="86"/>
    <s v="A"/>
    <n v="81"/>
    <s v="A"/>
    <n v="91"/>
    <s v="A+"/>
    <n v="83"/>
    <s v="A"/>
    <n v="97"/>
    <s v="A+"/>
    <n v="83"/>
    <s v="A"/>
    <n v="80"/>
    <s v="A"/>
    <n v="601"/>
    <n v="85.857142857142861"/>
    <x v="0"/>
    <n v="394"/>
    <x v="2"/>
  </r>
  <r>
    <n v="768"/>
    <s v="Troy"/>
    <s v="Prince"/>
    <x v="765"/>
    <s v="troy.prince.768@gslingacademy.com"/>
    <x v="0"/>
    <x v="0"/>
    <n v="6"/>
    <x v="0"/>
    <n v="3"/>
    <x v="7"/>
    <n v="48"/>
    <s v="D"/>
    <n v="72"/>
    <s v="B+"/>
    <n v="64"/>
    <s v="B-"/>
    <n v="65"/>
    <s v="B"/>
    <n v="64"/>
    <s v="B-"/>
    <n v="55"/>
    <s v="C"/>
    <n v="79"/>
    <s v="A-"/>
    <n v="447"/>
    <n v="63.857142857142854"/>
    <x v="5"/>
    <n v="1995"/>
    <x v="0"/>
  </r>
  <r>
    <n v="769"/>
    <s v="Martha"/>
    <s v="Summers"/>
    <x v="766"/>
    <s v="martha.summers.769@gslingacademy.com"/>
    <x v="1"/>
    <x v="1"/>
    <n v="7"/>
    <x v="0"/>
    <n v="3"/>
    <x v="7"/>
    <n v="49"/>
    <s v="D"/>
    <n v="59"/>
    <s v="C"/>
    <n v="99"/>
    <s v="A+"/>
    <n v="59"/>
    <s v="C"/>
    <n v="75"/>
    <s v="A-"/>
    <n v="54"/>
    <s v="C"/>
    <n v="70"/>
    <s v="B+"/>
    <n v="465"/>
    <n v="66.428571428571431"/>
    <x v="4"/>
    <n v="1971"/>
    <x v="2"/>
  </r>
  <r>
    <n v="770"/>
    <s v="William"/>
    <s v="Dean"/>
    <x v="767"/>
    <s v="william.dean.770@gslingacademy.com"/>
    <x v="0"/>
    <x v="1"/>
    <n v="0"/>
    <x v="0"/>
    <n v="30"/>
    <x v="4"/>
    <n v="90"/>
    <s v="A+"/>
    <n v="83"/>
    <s v="A"/>
    <n v="72"/>
    <s v="B+"/>
    <n v="77"/>
    <s v="A-"/>
    <n v="99"/>
    <s v="A+"/>
    <n v="84"/>
    <s v="A"/>
    <n v="67"/>
    <s v="B"/>
    <n v="572"/>
    <n v="81.714285714285708"/>
    <x v="0"/>
    <n v="890"/>
    <x v="1"/>
  </r>
  <r>
    <n v="771"/>
    <s v="Cheryl"/>
    <s v="Gutierrez"/>
    <x v="768"/>
    <s v="cheryl.gutierrez.771@gslingacademy.com"/>
    <x v="1"/>
    <x v="1"/>
    <n v="5"/>
    <x v="1"/>
    <n v="1"/>
    <x v="7"/>
    <n v="40"/>
    <s v="D"/>
    <n v="51"/>
    <s v="C"/>
    <n v="93"/>
    <s v="A+"/>
    <n v="100"/>
    <s v="A+"/>
    <n v="76"/>
    <s v="A-"/>
    <n v="60"/>
    <s v="B-"/>
    <n v="99"/>
    <s v="A+"/>
    <n v="519"/>
    <n v="74.142857142857139"/>
    <x v="3"/>
    <n v="1766"/>
    <x v="0"/>
  </r>
  <r>
    <n v="772"/>
    <s v="Diane"/>
    <s v="Spears"/>
    <x v="769"/>
    <s v="diane.spears.772@gslingacademy.com"/>
    <x v="1"/>
    <x v="0"/>
    <n v="0"/>
    <x v="1"/>
    <n v="8"/>
    <x v="4"/>
    <n v="78"/>
    <s v="A-"/>
    <n v="81"/>
    <s v="A"/>
    <n v="71"/>
    <s v="B+"/>
    <n v="91"/>
    <s v="A+"/>
    <n v="79"/>
    <s v="A-"/>
    <n v="79"/>
    <s v="A-"/>
    <n v="75"/>
    <s v="A-"/>
    <n v="554"/>
    <n v="79.142857142857139"/>
    <x v="2"/>
    <n v="1264"/>
    <x v="1"/>
  </r>
  <r>
    <n v="773"/>
    <s v="Brian"/>
    <s v="David"/>
    <x v="770"/>
    <s v="brian.david.773@gslingacademy.com"/>
    <x v="0"/>
    <x v="0"/>
    <n v="2"/>
    <x v="0"/>
    <n v="29"/>
    <x v="5"/>
    <n v="87"/>
    <s v="A"/>
    <n v="68"/>
    <s v="B"/>
    <n v="75"/>
    <s v="A-"/>
    <n v="96"/>
    <s v="A+"/>
    <n v="91"/>
    <s v="A+"/>
    <n v="72"/>
    <s v="B+"/>
    <n v="78"/>
    <s v="A-"/>
    <n v="567"/>
    <n v="81"/>
    <x v="0"/>
    <n v="994"/>
    <x v="1"/>
  </r>
  <r>
    <n v="774"/>
    <s v="Heather"/>
    <s v="Brooks"/>
    <x v="771"/>
    <s v="heather.brooks.774@gslingacademy.com"/>
    <x v="1"/>
    <x v="0"/>
    <n v="2"/>
    <x v="0"/>
    <n v="18"/>
    <x v="11"/>
    <n v="79"/>
    <s v="A-"/>
    <n v="81"/>
    <s v="A"/>
    <n v="68"/>
    <s v="B"/>
    <n v="70"/>
    <s v="B+"/>
    <n v="60"/>
    <s v="B-"/>
    <n v="65"/>
    <s v="B"/>
    <n v="71"/>
    <s v="B+"/>
    <n v="494"/>
    <n v="70.571428571428569"/>
    <x v="3"/>
    <n v="1897"/>
    <x v="1"/>
  </r>
  <r>
    <n v="775"/>
    <s v="Pamela"/>
    <s v="Rodgers"/>
    <x v="772"/>
    <s v="pamela.rodgers.775@gslingacademy.com"/>
    <x v="1"/>
    <x v="0"/>
    <n v="6"/>
    <x v="1"/>
    <n v="4"/>
    <x v="14"/>
    <n v="100"/>
    <s v="A+"/>
    <n v="100"/>
    <s v="A+"/>
    <n v="94"/>
    <s v="A+"/>
    <n v="83"/>
    <s v="A"/>
    <n v="62"/>
    <s v="B-"/>
    <n v="92"/>
    <s v="A+"/>
    <n v="71"/>
    <s v="B+"/>
    <n v="602"/>
    <n v="86"/>
    <x v="0"/>
    <n v="380"/>
    <x v="0"/>
  </r>
  <r>
    <n v="776"/>
    <s v="Betty"/>
    <s v="Nash"/>
    <x v="773"/>
    <s v="betty.nash.776@gslingacademy.com"/>
    <x v="1"/>
    <x v="0"/>
    <n v="1"/>
    <x v="0"/>
    <n v="10"/>
    <x v="4"/>
    <n v="71"/>
    <s v="B+"/>
    <n v="72"/>
    <s v="B+"/>
    <n v="65"/>
    <s v="B"/>
    <n v="65"/>
    <s v="B"/>
    <n v="65"/>
    <s v="B"/>
    <n v="67"/>
    <s v="B"/>
    <n v="97"/>
    <s v="A+"/>
    <n v="502"/>
    <n v="71.714285714285708"/>
    <x v="3"/>
    <n v="1866"/>
    <x v="1"/>
  </r>
  <r>
    <n v="777"/>
    <s v="Heather"/>
    <s v="Donaldson"/>
    <x v="774"/>
    <s v="heather.donaldson.777@gslingacademy.com"/>
    <x v="1"/>
    <x v="0"/>
    <n v="2"/>
    <x v="0"/>
    <n v="32"/>
    <x v="9"/>
    <n v="77"/>
    <s v="A-"/>
    <n v="64"/>
    <s v="B-"/>
    <n v="69"/>
    <s v="B"/>
    <n v="60"/>
    <s v="B-"/>
    <n v="92"/>
    <s v="A+"/>
    <n v="76"/>
    <s v="A-"/>
    <n v="74"/>
    <s v="B+"/>
    <n v="512"/>
    <n v="73.142857142857139"/>
    <x v="3"/>
    <n v="1815"/>
    <x v="1"/>
  </r>
  <r>
    <n v="778"/>
    <s v="Ebony"/>
    <s v="Shepherd"/>
    <x v="775"/>
    <s v="ebony.shepherd.778@gslingacademy.com"/>
    <x v="1"/>
    <x v="0"/>
    <n v="1"/>
    <x v="0"/>
    <n v="32"/>
    <x v="0"/>
    <n v="83"/>
    <s v="A"/>
    <n v="84"/>
    <s v="A"/>
    <n v="96"/>
    <s v="A+"/>
    <n v="96"/>
    <s v="A+"/>
    <n v="79"/>
    <s v="A-"/>
    <n v="80"/>
    <s v="A"/>
    <n v="81"/>
    <s v="A"/>
    <n v="599"/>
    <n v="85.571428571428569"/>
    <x v="0"/>
    <n v="426"/>
    <x v="1"/>
  </r>
  <r>
    <n v="779"/>
    <s v="Sean"/>
    <s v="Thomas"/>
    <x v="776"/>
    <s v="sean.thomas.779@gslingacademy.com"/>
    <x v="0"/>
    <x v="0"/>
    <n v="2"/>
    <x v="1"/>
    <n v="16"/>
    <x v="5"/>
    <n v="96"/>
    <s v="A+"/>
    <n v="79"/>
    <s v="A-"/>
    <n v="80"/>
    <s v="A"/>
    <n v="71"/>
    <s v="B+"/>
    <n v="67"/>
    <s v="B"/>
    <n v="76"/>
    <s v="A-"/>
    <n v="63"/>
    <s v="B-"/>
    <n v="532"/>
    <n v="76"/>
    <x v="2"/>
    <n v="1622"/>
    <x v="1"/>
  </r>
  <r>
    <n v="780"/>
    <s v="Todd"/>
    <s v="Howard"/>
    <x v="777"/>
    <s v="todd.howard.780@gslingacademy.com"/>
    <x v="0"/>
    <x v="0"/>
    <n v="6"/>
    <x v="0"/>
    <n v="35"/>
    <x v="4"/>
    <n v="91"/>
    <s v="A+"/>
    <n v="96"/>
    <s v="A+"/>
    <n v="100"/>
    <s v="A+"/>
    <n v="95"/>
    <s v="A+"/>
    <n v="100"/>
    <s v="A+"/>
    <n v="94"/>
    <s v="A+"/>
    <n v="95"/>
    <s v="A+"/>
    <n v="671"/>
    <n v="95.857142857142861"/>
    <x v="1"/>
    <n v="2"/>
    <x v="0"/>
  </r>
  <r>
    <n v="781"/>
    <s v="Julia"/>
    <s v="Richmond"/>
    <x v="778"/>
    <s v="julia.richmond.781@gslingacademy.com"/>
    <x v="1"/>
    <x v="0"/>
    <n v="8"/>
    <x v="0"/>
    <n v="2"/>
    <x v="7"/>
    <n v="71"/>
    <s v="B+"/>
    <n v="69"/>
    <s v="B"/>
    <n v="95"/>
    <s v="A+"/>
    <n v="83"/>
    <s v="A"/>
    <n v="90"/>
    <s v="A+"/>
    <n v="93"/>
    <s v="A+"/>
    <n v="89"/>
    <s v="A"/>
    <n v="590"/>
    <n v="84.285714285714292"/>
    <x v="0"/>
    <n v="531"/>
    <x v="2"/>
  </r>
  <r>
    <n v="782"/>
    <s v="Mary"/>
    <s v="Mccormick"/>
    <x v="779"/>
    <s v="mary.mccormick.782@gslingacademy.com"/>
    <x v="1"/>
    <x v="0"/>
    <n v="3"/>
    <x v="0"/>
    <n v="27"/>
    <x v="4"/>
    <n v="84"/>
    <s v="A"/>
    <n v="80"/>
    <s v="A"/>
    <n v="75"/>
    <s v="A-"/>
    <n v="63"/>
    <s v="B-"/>
    <n v="71"/>
    <s v="B+"/>
    <n v="86"/>
    <s v="A"/>
    <n v="63"/>
    <s v="B-"/>
    <n v="522"/>
    <n v="74.571428571428569"/>
    <x v="3"/>
    <n v="1739"/>
    <x v="0"/>
  </r>
  <r>
    <n v="783"/>
    <s v="Jimmy"/>
    <s v="Warren"/>
    <x v="780"/>
    <s v="jimmy.warren.783@gslingacademy.com"/>
    <x v="0"/>
    <x v="0"/>
    <n v="3"/>
    <x v="0"/>
    <n v="28"/>
    <x v="5"/>
    <n v="91"/>
    <s v="A+"/>
    <n v="61"/>
    <s v="B-"/>
    <n v="61"/>
    <s v="B-"/>
    <n v="85"/>
    <s v="A"/>
    <n v="64"/>
    <s v="B-"/>
    <n v="76"/>
    <s v="A-"/>
    <n v="88"/>
    <s v="A"/>
    <n v="526"/>
    <n v="75.142857142857139"/>
    <x v="2"/>
    <n v="1688"/>
    <x v="0"/>
  </r>
  <r>
    <n v="784"/>
    <s v="Henry"/>
    <s v="Spencer"/>
    <x v="781"/>
    <s v="henry.spencer.784@gslingacademy.com"/>
    <x v="0"/>
    <x v="0"/>
    <n v="2"/>
    <x v="0"/>
    <n v="2"/>
    <x v="16"/>
    <n v="59"/>
    <s v="C"/>
    <n v="65"/>
    <s v="B"/>
    <n v="72"/>
    <s v="B+"/>
    <n v="60"/>
    <s v="B-"/>
    <n v="94"/>
    <s v="A+"/>
    <n v="63"/>
    <s v="B-"/>
    <n v="75"/>
    <s v="A-"/>
    <n v="488"/>
    <n v="69.714285714285708"/>
    <x v="4"/>
    <n v="1919"/>
    <x v="1"/>
  </r>
  <r>
    <n v="785"/>
    <s v="Peter"/>
    <s v="Yates"/>
    <x v="782"/>
    <s v="peter.yates.785@gslingacademy.com"/>
    <x v="0"/>
    <x v="0"/>
    <n v="3"/>
    <x v="0"/>
    <n v="42"/>
    <x v="1"/>
    <n v="89"/>
    <s v="A"/>
    <n v="90"/>
    <s v="A+"/>
    <n v="91"/>
    <s v="A+"/>
    <n v="95"/>
    <s v="A+"/>
    <n v="87"/>
    <s v="A"/>
    <n v="92"/>
    <s v="A+"/>
    <n v="96"/>
    <s v="A+"/>
    <n v="640"/>
    <n v="91.428571428571431"/>
    <x v="1"/>
    <n v="98"/>
    <x v="0"/>
  </r>
  <r>
    <n v="786"/>
    <s v="Robert"/>
    <s v="Campbell"/>
    <x v="783"/>
    <s v="robert.campbell.786@gslingacademy.com"/>
    <x v="0"/>
    <x v="0"/>
    <n v="7"/>
    <x v="0"/>
    <n v="31"/>
    <x v="9"/>
    <n v="81"/>
    <s v="A"/>
    <n v="92"/>
    <s v="A+"/>
    <n v="68"/>
    <s v="B"/>
    <n v="93"/>
    <s v="A+"/>
    <n v="69"/>
    <s v="B"/>
    <n v="78"/>
    <s v="A-"/>
    <n v="89"/>
    <s v="A"/>
    <n v="570"/>
    <n v="81.428571428571431"/>
    <x v="0"/>
    <n v="937"/>
    <x v="2"/>
  </r>
  <r>
    <n v="787"/>
    <s v="Matthew"/>
    <s v="Conway"/>
    <x v="784"/>
    <s v="matthew.conway.787@gslingacademy.com"/>
    <x v="0"/>
    <x v="0"/>
    <n v="3"/>
    <x v="0"/>
    <n v="15"/>
    <x v="11"/>
    <n v="77"/>
    <s v="A-"/>
    <n v="84"/>
    <s v="A"/>
    <n v="86"/>
    <s v="A"/>
    <n v="97"/>
    <s v="A+"/>
    <n v="90"/>
    <s v="A+"/>
    <n v="83"/>
    <s v="A"/>
    <n v="92"/>
    <s v="A+"/>
    <n v="609"/>
    <n v="87"/>
    <x v="0"/>
    <n v="309"/>
    <x v="0"/>
  </r>
  <r>
    <n v="788"/>
    <s v="Tyler"/>
    <s v="Calderon"/>
    <x v="785"/>
    <s v="tyler.calderon.788@gslingacademy.com"/>
    <x v="0"/>
    <x v="0"/>
    <n v="7"/>
    <x v="0"/>
    <n v="1"/>
    <x v="7"/>
    <n v="72"/>
    <s v="B+"/>
    <n v="58"/>
    <s v="C"/>
    <n v="73"/>
    <s v="B+"/>
    <n v="57"/>
    <s v="C"/>
    <n v="67"/>
    <s v="B"/>
    <n v="88"/>
    <s v="A"/>
    <n v="70"/>
    <s v="B+"/>
    <n v="485"/>
    <n v="69.285714285714292"/>
    <x v="4"/>
    <n v="1923"/>
    <x v="2"/>
  </r>
  <r>
    <n v="789"/>
    <s v="Brittney"/>
    <s v="Moon"/>
    <x v="786"/>
    <s v="brittney.moon.789@gslingacademy.com"/>
    <x v="1"/>
    <x v="0"/>
    <n v="5"/>
    <x v="0"/>
    <n v="10"/>
    <x v="6"/>
    <n v="91"/>
    <s v="A+"/>
    <n v="63"/>
    <s v="B-"/>
    <n v="78"/>
    <s v="A-"/>
    <n v="93"/>
    <s v="A+"/>
    <n v="76"/>
    <s v="A-"/>
    <n v="76"/>
    <s v="A-"/>
    <n v="90"/>
    <s v="A+"/>
    <n v="567"/>
    <n v="81"/>
    <x v="0"/>
    <n v="994"/>
    <x v="0"/>
  </r>
  <r>
    <n v="790"/>
    <s v="Tracy"/>
    <s v="White"/>
    <x v="787"/>
    <s v="tracy.white.790@gslingacademy.com"/>
    <x v="1"/>
    <x v="0"/>
    <n v="5"/>
    <x v="0"/>
    <n v="40"/>
    <x v="1"/>
    <n v="88"/>
    <s v="A"/>
    <n v="100"/>
    <s v="A+"/>
    <n v="94"/>
    <s v="A+"/>
    <n v="91"/>
    <s v="A+"/>
    <n v="85"/>
    <s v="A"/>
    <n v="91"/>
    <s v="A+"/>
    <n v="88"/>
    <s v="A"/>
    <n v="637"/>
    <n v="91"/>
    <x v="1"/>
    <n v="115"/>
    <x v="0"/>
  </r>
  <r>
    <n v="791"/>
    <s v="Gregory"/>
    <s v="Welch"/>
    <x v="788"/>
    <s v="gregory.welch.791@gslingacademy.com"/>
    <x v="0"/>
    <x v="0"/>
    <n v="8"/>
    <x v="0"/>
    <n v="40"/>
    <x v="1"/>
    <n v="94"/>
    <s v="A+"/>
    <n v="88"/>
    <s v="A"/>
    <n v="99"/>
    <s v="A+"/>
    <n v="92"/>
    <s v="A+"/>
    <n v="98"/>
    <s v="A+"/>
    <n v="85"/>
    <s v="A"/>
    <n v="95"/>
    <s v="A+"/>
    <n v="651"/>
    <n v="93"/>
    <x v="1"/>
    <n v="51"/>
    <x v="2"/>
  </r>
  <r>
    <n v="792"/>
    <s v="Caroline"/>
    <s v="Cooper"/>
    <x v="789"/>
    <s v="caroline.cooper.792@gslingacademy.com"/>
    <x v="1"/>
    <x v="0"/>
    <n v="0"/>
    <x v="0"/>
    <n v="8"/>
    <x v="16"/>
    <n v="67"/>
    <s v="B"/>
    <n v="72"/>
    <s v="B+"/>
    <n v="98"/>
    <s v="A+"/>
    <n v="65"/>
    <s v="B"/>
    <n v="61"/>
    <s v="B-"/>
    <n v="87"/>
    <s v="A"/>
    <n v="89"/>
    <s v="A"/>
    <n v="539"/>
    <n v="77"/>
    <x v="2"/>
    <n v="1531"/>
    <x v="1"/>
  </r>
  <r>
    <n v="793"/>
    <s v="Kelly"/>
    <s v="Rivera"/>
    <x v="790"/>
    <s v="kelly.rivera.793@gslingacademy.com"/>
    <x v="1"/>
    <x v="0"/>
    <n v="2"/>
    <x v="0"/>
    <n v="22"/>
    <x v="4"/>
    <n v="88"/>
    <s v="A"/>
    <n v="86"/>
    <s v="A"/>
    <n v="82"/>
    <s v="A"/>
    <n v="89"/>
    <s v="A"/>
    <n v="81"/>
    <s v="A"/>
    <n v="61"/>
    <s v="B-"/>
    <n v="83"/>
    <s v="A"/>
    <n v="570"/>
    <n v="81.428571428571431"/>
    <x v="0"/>
    <n v="937"/>
    <x v="1"/>
  </r>
  <r>
    <n v="794"/>
    <s v="Stacey"/>
    <s v="Wilson"/>
    <x v="791"/>
    <s v="stacey.wilson.794@gslingacademy.com"/>
    <x v="1"/>
    <x v="0"/>
    <n v="3"/>
    <x v="0"/>
    <n v="21"/>
    <x v="4"/>
    <n v="67"/>
    <s v="B"/>
    <n v="67"/>
    <s v="B"/>
    <n v="62"/>
    <s v="B-"/>
    <n v="80"/>
    <s v="A"/>
    <n v="61"/>
    <s v="B-"/>
    <n v="61"/>
    <s v="B-"/>
    <n v="82"/>
    <s v="A"/>
    <n v="480"/>
    <n v="68.571428571428569"/>
    <x v="4"/>
    <n v="1935"/>
    <x v="0"/>
  </r>
  <r>
    <n v="795"/>
    <s v="Craig"/>
    <s v="Graham"/>
    <x v="792"/>
    <s v="craig.graham.795@gslingacademy.com"/>
    <x v="0"/>
    <x v="0"/>
    <n v="7"/>
    <x v="0"/>
    <n v="31"/>
    <x v="0"/>
    <n v="95"/>
    <s v="A+"/>
    <n v="87"/>
    <s v="A"/>
    <n v="96"/>
    <s v="A+"/>
    <n v="97"/>
    <s v="A+"/>
    <n v="83"/>
    <s v="A"/>
    <n v="93"/>
    <s v="A+"/>
    <n v="88"/>
    <s v="A"/>
    <n v="639"/>
    <n v="91.285714285714292"/>
    <x v="1"/>
    <n v="106"/>
    <x v="2"/>
  </r>
  <r>
    <n v="796"/>
    <s v="Earl"/>
    <s v="Santana"/>
    <x v="793"/>
    <s v="earl.santana.796@gslingacademy.com"/>
    <x v="0"/>
    <x v="0"/>
    <n v="1"/>
    <x v="0"/>
    <n v="10"/>
    <x v="2"/>
    <n v="96"/>
    <s v="A+"/>
    <n v="91"/>
    <s v="A+"/>
    <n v="78"/>
    <s v="A-"/>
    <n v="94"/>
    <s v="A+"/>
    <n v="81"/>
    <s v="A"/>
    <n v="88"/>
    <s v="A"/>
    <n v="86"/>
    <s v="A"/>
    <n v="614"/>
    <n v="87.714285714285708"/>
    <x v="0"/>
    <n v="260"/>
    <x v="1"/>
  </r>
  <r>
    <n v="797"/>
    <s v="Lisa"/>
    <s v="Mitchell"/>
    <x v="794"/>
    <s v="lisa.mitchell.797@gslingacademy.com"/>
    <x v="1"/>
    <x v="0"/>
    <n v="3"/>
    <x v="1"/>
    <n v="35"/>
    <x v="9"/>
    <n v="87"/>
    <s v="A"/>
    <n v="99"/>
    <s v="A+"/>
    <n v="99"/>
    <s v="A+"/>
    <n v="100"/>
    <s v="A+"/>
    <n v="98"/>
    <s v="A+"/>
    <n v="96"/>
    <s v="A+"/>
    <n v="94"/>
    <s v="A+"/>
    <n v="673"/>
    <n v="96.142857142857139"/>
    <x v="1"/>
    <n v="1"/>
    <x v="0"/>
  </r>
  <r>
    <n v="798"/>
    <s v="Michael"/>
    <s v="Williams"/>
    <x v="795"/>
    <s v="michael.williams.798@gslingacademy.com"/>
    <x v="0"/>
    <x v="0"/>
    <n v="3"/>
    <x v="0"/>
    <n v="14"/>
    <x v="9"/>
    <n v="85"/>
    <s v="A"/>
    <n v="88"/>
    <s v="A"/>
    <n v="85"/>
    <s v="A"/>
    <n v="92"/>
    <s v="A+"/>
    <n v="96"/>
    <s v="A+"/>
    <n v="81"/>
    <s v="A"/>
    <n v="95"/>
    <s v="A+"/>
    <n v="622"/>
    <n v="88.857142857142861"/>
    <x v="0"/>
    <n v="208"/>
    <x v="0"/>
  </r>
  <r>
    <n v="799"/>
    <s v="Jerry"/>
    <s v="Jones"/>
    <x v="796"/>
    <s v="jerry.jones.799@gslingacademy.com"/>
    <x v="0"/>
    <x v="0"/>
    <n v="2"/>
    <x v="0"/>
    <n v="7"/>
    <x v="2"/>
    <n v="88"/>
    <s v="A"/>
    <n v="85"/>
    <s v="A"/>
    <n v="100"/>
    <s v="A+"/>
    <n v="68"/>
    <s v="B"/>
    <n v="65"/>
    <s v="B"/>
    <n v="97"/>
    <s v="A+"/>
    <n v="94"/>
    <s v="A+"/>
    <n v="597"/>
    <n v="85.285714285714292"/>
    <x v="0"/>
    <n v="446"/>
    <x v="1"/>
  </r>
  <r>
    <n v="800"/>
    <s v="Matthew"/>
    <s v="Miles"/>
    <x v="797"/>
    <s v="matthew.miles.800@gslingacademy.com"/>
    <x v="0"/>
    <x v="0"/>
    <n v="5"/>
    <x v="0"/>
    <n v="4"/>
    <x v="7"/>
    <n v="94"/>
    <s v="A+"/>
    <n v="68"/>
    <s v="B"/>
    <n v="72"/>
    <s v="B+"/>
    <n v="99"/>
    <s v="A+"/>
    <n v="83"/>
    <s v="A"/>
    <n v="53"/>
    <s v="C"/>
    <n v="83"/>
    <s v="A"/>
    <n v="552"/>
    <n v="78.857142857142861"/>
    <x v="2"/>
    <n v="1306"/>
    <x v="0"/>
  </r>
  <r>
    <n v="801"/>
    <s v="Mary"/>
    <s v="Cox"/>
    <x v="798"/>
    <s v="mary.cox.801@gslingacademy.com"/>
    <x v="1"/>
    <x v="0"/>
    <n v="4"/>
    <x v="1"/>
    <n v="14"/>
    <x v="6"/>
    <n v="67"/>
    <s v="B"/>
    <n v="100"/>
    <s v="A+"/>
    <n v="77"/>
    <s v="A-"/>
    <n v="85"/>
    <s v="A"/>
    <n v="73"/>
    <s v="B+"/>
    <n v="95"/>
    <s v="A+"/>
    <n v="86"/>
    <s v="A"/>
    <n v="583"/>
    <n v="83.285714285714292"/>
    <x v="0"/>
    <n v="655"/>
    <x v="0"/>
  </r>
  <r>
    <n v="802"/>
    <s v="Jessica"/>
    <s v="Young"/>
    <x v="799"/>
    <s v="jessica.young.802@gslingacademy.com"/>
    <x v="1"/>
    <x v="0"/>
    <n v="1"/>
    <x v="1"/>
    <n v="29"/>
    <x v="5"/>
    <n v="92"/>
    <s v="A+"/>
    <n v="63"/>
    <s v="B-"/>
    <n v="99"/>
    <s v="A+"/>
    <n v="77"/>
    <s v="A-"/>
    <n v="82"/>
    <s v="A"/>
    <n v="88"/>
    <s v="A"/>
    <n v="72"/>
    <s v="B+"/>
    <n v="573"/>
    <n v="81.857142857142861"/>
    <x v="0"/>
    <n v="864"/>
    <x v="1"/>
  </r>
  <r>
    <n v="803"/>
    <s v="Tiffany"/>
    <s v="Small"/>
    <x v="800"/>
    <s v="tiffany.small.803@gslingacademy.com"/>
    <x v="1"/>
    <x v="1"/>
    <n v="3"/>
    <x v="0"/>
    <n v="20"/>
    <x v="11"/>
    <n v="76"/>
    <s v="A-"/>
    <n v="75"/>
    <s v="A-"/>
    <n v="60"/>
    <s v="B-"/>
    <n v="77"/>
    <s v="A-"/>
    <n v="71"/>
    <s v="B+"/>
    <n v="70"/>
    <s v="B+"/>
    <n v="88"/>
    <s v="A"/>
    <n v="517"/>
    <n v="73.857142857142861"/>
    <x v="3"/>
    <n v="1781"/>
    <x v="0"/>
  </r>
  <r>
    <n v="804"/>
    <s v="Mary"/>
    <s v="Wyatt"/>
    <x v="801"/>
    <s v="mary.wyatt.804@gslingacademy.com"/>
    <x v="1"/>
    <x v="0"/>
    <n v="3"/>
    <x v="1"/>
    <n v="24"/>
    <x v="5"/>
    <n v="86"/>
    <s v="A"/>
    <n v="75"/>
    <s v="A-"/>
    <n v="96"/>
    <s v="A+"/>
    <n v="62"/>
    <s v="B-"/>
    <n v="81"/>
    <s v="A"/>
    <n v="91"/>
    <s v="A+"/>
    <n v="84"/>
    <s v="A"/>
    <n v="575"/>
    <n v="82.142857142857139"/>
    <x v="0"/>
    <n v="807"/>
    <x v="0"/>
  </r>
  <r>
    <n v="805"/>
    <s v="Maria"/>
    <s v="Mercer"/>
    <x v="802"/>
    <s v="maria.mercer.805@gslingacademy.com"/>
    <x v="1"/>
    <x v="0"/>
    <n v="3"/>
    <x v="1"/>
    <n v="27"/>
    <x v="5"/>
    <n v="94"/>
    <s v="A+"/>
    <n v="94"/>
    <s v="A+"/>
    <n v="86"/>
    <s v="A"/>
    <n v="62"/>
    <s v="B-"/>
    <n v="73"/>
    <s v="B+"/>
    <n v="90"/>
    <s v="A+"/>
    <n v="75"/>
    <s v="A-"/>
    <n v="574"/>
    <n v="82"/>
    <x v="0"/>
    <n v="832"/>
    <x v="0"/>
  </r>
  <r>
    <n v="806"/>
    <s v="Erin"/>
    <s v="Moore"/>
    <x v="803"/>
    <s v="erin.moore.806@gslingacademy.com"/>
    <x v="1"/>
    <x v="0"/>
    <n v="3"/>
    <x v="0"/>
    <n v="31"/>
    <x v="5"/>
    <n v="100"/>
    <s v="A+"/>
    <n v="85"/>
    <s v="A"/>
    <n v="62"/>
    <s v="B-"/>
    <n v="62"/>
    <s v="B-"/>
    <n v="89"/>
    <s v="A"/>
    <n v="65"/>
    <s v="B"/>
    <n v="67"/>
    <s v="B"/>
    <n v="530"/>
    <n v="75.714285714285708"/>
    <x v="2"/>
    <n v="1646"/>
    <x v="0"/>
  </r>
  <r>
    <n v="807"/>
    <s v="Kendra"/>
    <s v="Dalton"/>
    <x v="804"/>
    <s v="kendra.dalton.807@gslingacademy.com"/>
    <x v="1"/>
    <x v="0"/>
    <n v="4"/>
    <x v="0"/>
    <n v="27"/>
    <x v="0"/>
    <n v="74"/>
    <s v="B+"/>
    <n v="84"/>
    <s v="A"/>
    <n v="71"/>
    <s v="B+"/>
    <n v="93"/>
    <s v="A+"/>
    <n v="65"/>
    <s v="B"/>
    <n v="98"/>
    <s v="A+"/>
    <n v="61"/>
    <s v="B-"/>
    <n v="546"/>
    <n v="78"/>
    <x v="2"/>
    <n v="1411"/>
    <x v="0"/>
  </r>
  <r>
    <n v="808"/>
    <s v="Anthony"/>
    <s v="Gomez"/>
    <x v="805"/>
    <s v="anthony.gomez.808@gslingacademy.com"/>
    <x v="0"/>
    <x v="0"/>
    <n v="2"/>
    <x v="0"/>
    <n v="23"/>
    <x v="4"/>
    <n v="99"/>
    <s v="A+"/>
    <n v="98"/>
    <s v="A+"/>
    <n v="70"/>
    <s v="B+"/>
    <n v="73"/>
    <s v="B+"/>
    <n v="63"/>
    <s v="B-"/>
    <n v="62"/>
    <s v="B-"/>
    <n v="88"/>
    <s v="A"/>
    <n v="553"/>
    <n v="79"/>
    <x v="2"/>
    <n v="1284"/>
    <x v="1"/>
  </r>
  <r>
    <n v="809"/>
    <s v="Molly"/>
    <s v="Jackson"/>
    <x v="806"/>
    <s v="molly.jackson.809@gslingacademy.com"/>
    <x v="1"/>
    <x v="0"/>
    <n v="10"/>
    <x v="0"/>
    <n v="0"/>
    <x v="7"/>
    <n v="66"/>
    <s v="B"/>
    <n v="97"/>
    <s v="A+"/>
    <n v="72"/>
    <s v="B+"/>
    <n v="98"/>
    <s v="A+"/>
    <n v="86"/>
    <s v="A"/>
    <n v="86"/>
    <s v="A"/>
    <n v="63"/>
    <s v="B-"/>
    <n v="568"/>
    <n v="81.142857142857139"/>
    <x v="0"/>
    <n v="975"/>
    <x v="2"/>
  </r>
  <r>
    <n v="810"/>
    <s v="Brianna"/>
    <s v="Gutierrez"/>
    <x v="807"/>
    <s v="brianna.gutierrez.810@gslingacademy.com"/>
    <x v="1"/>
    <x v="0"/>
    <n v="2"/>
    <x v="0"/>
    <n v="35"/>
    <x v="8"/>
    <n v="99"/>
    <s v="A+"/>
    <n v="96"/>
    <s v="A+"/>
    <n v="100"/>
    <s v="A+"/>
    <n v="95"/>
    <s v="A+"/>
    <n v="90"/>
    <s v="A+"/>
    <n v="95"/>
    <s v="A+"/>
    <n v="88"/>
    <s v="A"/>
    <n v="663"/>
    <n v="94.714285714285708"/>
    <x v="1"/>
    <n v="11"/>
    <x v="1"/>
  </r>
  <r>
    <n v="811"/>
    <s v="John"/>
    <s v="Henderson"/>
    <x v="808"/>
    <s v="john.henderson.811@gslingacademy.com"/>
    <x v="0"/>
    <x v="0"/>
    <n v="1"/>
    <x v="1"/>
    <n v="33"/>
    <x v="4"/>
    <n v="97"/>
    <s v="A+"/>
    <n v="76"/>
    <s v="A-"/>
    <n v="99"/>
    <s v="A+"/>
    <n v="85"/>
    <s v="A"/>
    <n v="98"/>
    <s v="A+"/>
    <n v="62"/>
    <s v="B-"/>
    <n v="97"/>
    <s v="A+"/>
    <n v="614"/>
    <n v="87.714285714285708"/>
    <x v="0"/>
    <n v="260"/>
    <x v="1"/>
  </r>
  <r>
    <n v="812"/>
    <s v="Steven"/>
    <s v="Martin"/>
    <x v="809"/>
    <s v="steven.martin.812@gslingacademy.com"/>
    <x v="0"/>
    <x v="0"/>
    <n v="5"/>
    <x v="1"/>
    <n v="11"/>
    <x v="9"/>
    <n v="81"/>
    <s v="A"/>
    <n v="71"/>
    <s v="B+"/>
    <n v="76"/>
    <s v="A-"/>
    <n v="95"/>
    <s v="A+"/>
    <n v="99"/>
    <s v="A+"/>
    <n v="85"/>
    <s v="A"/>
    <n v="71"/>
    <s v="B+"/>
    <n v="578"/>
    <n v="82.571428571428569"/>
    <x v="0"/>
    <n v="752"/>
    <x v="0"/>
  </r>
  <r>
    <n v="813"/>
    <s v="Tina"/>
    <s v="Bowers"/>
    <x v="810"/>
    <s v="tina.bowers.813@gslingacademy.com"/>
    <x v="1"/>
    <x v="0"/>
    <n v="9"/>
    <x v="0"/>
    <n v="10"/>
    <x v="9"/>
    <n v="95"/>
    <s v="A+"/>
    <n v="88"/>
    <s v="A"/>
    <n v="62"/>
    <s v="B-"/>
    <n v="85"/>
    <s v="A"/>
    <n v="82"/>
    <s v="A"/>
    <n v="94"/>
    <s v="A+"/>
    <n v="73"/>
    <s v="B+"/>
    <n v="579"/>
    <n v="82.714285714285708"/>
    <x v="0"/>
    <n v="730"/>
    <x v="2"/>
  </r>
  <r>
    <n v="814"/>
    <s v="Luis"/>
    <s v="Jones"/>
    <x v="811"/>
    <s v="luis.jones.814@gslingacademy.com"/>
    <x v="0"/>
    <x v="1"/>
    <n v="6"/>
    <x v="0"/>
    <n v="3"/>
    <x v="7"/>
    <n v="55"/>
    <s v="C"/>
    <n v="69"/>
    <s v="B"/>
    <n v="53"/>
    <s v="C"/>
    <n v="75"/>
    <s v="A-"/>
    <n v="86"/>
    <s v="A"/>
    <n v="95"/>
    <s v="A+"/>
    <n v="61"/>
    <s v="B-"/>
    <n v="494"/>
    <n v="70.571428571428569"/>
    <x v="3"/>
    <n v="1897"/>
    <x v="0"/>
  </r>
  <r>
    <n v="815"/>
    <s v="Jeffrey"/>
    <s v="Thomas"/>
    <x v="812"/>
    <s v="jeffrey.thomas.815@gslingacademy.com"/>
    <x v="0"/>
    <x v="0"/>
    <n v="3"/>
    <x v="0"/>
    <n v="5"/>
    <x v="16"/>
    <n v="50"/>
    <s v="C"/>
    <n v="62"/>
    <s v="B-"/>
    <n v="97"/>
    <s v="A+"/>
    <n v="90"/>
    <s v="A+"/>
    <n v="93"/>
    <s v="A+"/>
    <n v="75"/>
    <s v="A-"/>
    <n v="80"/>
    <s v="A"/>
    <n v="547"/>
    <n v="78.142857142857139"/>
    <x v="2"/>
    <n v="1388"/>
    <x v="0"/>
  </r>
  <r>
    <n v="816"/>
    <s v="Jeffrey"/>
    <s v="Cox"/>
    <x v="813"/>
    <s v="jeffrey.cox.816@gslingacademy.com"/>
    <x v="0"/>
    <x v="0"/>
    <n v="5"/>
    <x v="0"/>
    <n v="34"/>
    <x v="5"/>
    <n v="98"/>
    <s v="A+"/>
    <n v="84"/>
    <s v="A"/>
    <n v="90"/>
    <s v="A+"/>
    <n v="83"/>
    <s v="A"/>
    <n v="84"/>
    <s v="A"/>
    <n v="61"/>
    <s v="B-"/>
    <n v="99"/>
    <s v="A+"/>
    <n v="599"/>
    <n v="85.571428571428569"/>
    <x v="0"/>
    <n v="426"/>
    <x v="0"/>
  </r>
  <r>
    <n v="817"/>
    <s v="Jennifer"/>
    <s v="Bautista"/>
    <x v="814"/>
    <s v="jennifer.bautista.817@gslingacademy.com"/>
    <x v="1"/>
    <x v="0"/>
    <n v="7"/>
    <x v="0"/>
    <n v="15"/>
    <x v="11"/>
    <n v="88"/>
    <s v="A"/>
    <n v="67"/>
    <s v="B"/>
    <n v="71"/>
    <s v="B+"/>
    <n v="85"/>
    <s v="A"/>
    <n v="68"/>
    <s v="B"/>
    <n v="88"/>
    <s v="A"/>
    <n v="67"/>
    <s v="B"/>
    <n v="534"/>
    <n v="76.285714285714292"/>
    <x v="2"/>
    <n v="1595"/>
    <x v="2"/>
  </r>
  <r>
    <n v="818"/>
    <s v="Judy"/>
    <s v="Pugh"/>
    <x v="815"/>
    <s v="judy.pugh.818@gslingacademy.com"/>
    <x v="1"/>
    <x v="0"/>
    <n v="1"/>
    <x v="0"/>
    <n v="20"/>
    <x v="5"/>
    <n v="87"/>
    <s v="A"/>
    <n v="99"/>
    <s v="A+"/>
    <n v="92"/>
    <s v="A+"/>
    <n v="85"/>
    <s v="A"/>
    <n v="62"/>
    <s v="B-"/>
    <n v="69"/>
    <s v="B"/>
    <n v="67"/>
    <s v="B"/>
    <n v="561"/>
    <n v="80.142857142857139"/>
    <x v="0"/>
    <n v="1120"/>
    <x v="1"/>
  </r>
  <r>
    <n v="819"/>
    <s v="Henry"/>
    <s v="Craig"/>
    <x v="816"/>
    <s v="henry.craig.819@gslingacademy.com"/>
    <x v="0"/>
    <x v="0"/>
    <n v="1"/>
    <x v="0"/>
    <n v="3"/>
    <x v="2"/>
    <n v="73"/>
    <s v="B+"/>
    <n v="74"/>
    <s v="B+"/>
    <n v="94"/>
    <s v="A+"/>
    <n v="76"/>
    <s v="A-"/>
    <n v="97"/>
    <s v="A+"/>
    <n v="86"/>
    <s v="A"/>
    <n v="85"/>
    <s v="A"/>
    <n v="585"/>
    <n v="83.571428571428569"/>
    <x v="0"/>
    <n v="615"/>
    <x v="1"/>
  </r>
  <r>
    <n v="820"/>
    <s v="Steven"/>
    <s v="Alvarez"/>
    <x v="817"/>
    <s v="steven.alvarez.820@gslingacademy.com"/>
    <x v="0"/>
    <x v="1"/>
    <n v="2"/>
    <x v="1"/>
    <n v="2"/>
    <x v="7"/>
    <n v="46"/>
    <s v="D"/>
    <n v="71"/>
    <s v="B+"/>
    <n v="60"/>
    <s v="B-"/>
    <n v="50"/>
    <s v="C"/>
    <n v="85"/>
    <s v="A"/>
    <n v="69"/>
    <s v="B"/>
    <n v="62"/>
    <s v="B-"/>
    <n v="443"/>
    <n v="63.285714285714285"/>
    <x v="5"/>
    <n v="1996"/>
    <x v="1"/>
  </r>
  <r>
    <n v="821"/>
    <s v="Rebecca"/>
    <s v="Mckay"/>
    <x v="818"/>
    <s v="rebecca.mckay.821@gslingacademy.com"/>
    <x v="1"/>
    <x v="0"/>
    <n v="1"/>
    <x v="0"/>
    <n v="27"/>
    <x v="9"/>
    <n v="88"/>
    <s v="A"/>
    <n v="82"/>
    <s v="A"/>
    <n v="90"/>
    <s v="A+"/>
    <n v="94"/>
    <s v="A+"/>
    <n v="99"/>
    <s v="A+"/>
    <n v="78"/>
    <s v="A-"/>
    <n v="65"/>
    <s v="B"/>
    <n v="596"/>
    <n v="85.142857142857139"/>
    <x v="0"/>
    <n v="458"/>
    <x v="1"/>
  </r>
  <r>
    <n v="822"/>
    <s v="James"/>
    <s v="Reynolds"/>
    <x v="819"/>
    <s v="james.reynolds.822@gslingacademy.com"/>
    <x v="0"/>
    <x v="1"/>
    <n v="0"/>
    <x v="0"/>
    <n v="29"/>
    <x v="5"/>
    <n v="95"/>
    <s v="A+"/>
    <n v="62"/>
    <s v="B-"/>
    <n v="68"/>
    <s v="B"/>
    <n v="64"/>
    <s v="B-"/>
    <n v="71"/>
    <s v="B+"/>
    <n v="87"/>
    <s v="A"/>
    <n v="60"/>
    <s v="B-"/>
    <n v="507"/>
    <n v="72.428571428571431"/>
    <x v="3"/>
    <n v="1844"/>
    <x v="1"/>
  </r>
  <r>
    <n v="823"/>
    <s v="Heather"/>
    <s v="Bentley"/>
    <x v="820"/>
    <s v="heather.bentley.823@gslingacademy.com"/>
    <x v="1"/>
    <x v="0"/>
    <n v="1"/>
    <x v="1"/>
    <n v="2"/>
    <x v="3"/>
    <n v="73"/>
    <s v="B+"/>
    <n v="71"/>
    <s v="B+"/>
    <n v="60"/>
    <s v="B-"/>
    <n v="70"/>
    <s v="B+"/>
    <n v="78"/>
    <s v="A-"/>
    <n v="72"/>
    <s v="B+"/>
    <n v="78"/>
    <s v="A-"/>
    <n v="502"/>
    <n v="71.714285714285708"/>
    <x v="3"/>
    <n v="1866"/>
    <x v="1"/>
  </r>
  <r>
    <n v="824"/>
    <s v="Alexis"/>
    <s v="Hall"/>
    <x v="821"/>
    <s v="alexis.hall.824@gslingacademy.com"/>
    <x v="1"/>
    <x v="0"/>
    <n v="5"/>
    <x v="0"/>
    <n v="9"/>
    <x v="12"/>
    <n v="70"/>
    <s v="B+"/>
    <n v="88"/>
    <s v="A"/>
    <n v="100"/>
    <s v="A+"/>
    <n v="91"/>
    <s v="A+"/>
    <n v="98"/>
    <s v="A+"/>
    <n v="68"/>
    <s v="B"/>
    <n v="81"/>
    <s v="A"/>
    <n v="596"/>
    <n v="85.142857142857139"/>
    <x v="0"/>
    <n v="458"/>
    <x v="0"/>
  </r>
  <r>
    <n v="825"/>
    <s v="Ryan"/>
    <s v="Soto"/>
    <x v="822"/>
    <s v="ryan.soto.825@gslingacademy.com"/>
    <x v="0"/>
    <x v="0"/>
    <n v="7"/>
    <x v="0"/>
    <n v="14"/>
    <x v="13"/>
    <n v="84"/>
    <s v="A"/>
    <n v="100"/>
    <s v="A+"/>
    <n v="99"/>
    <s v="A+"/>
    <n v="94"/>
    <s v="A+"/>
    <n v="84"/>
    <s v="A"/>
    <n v="86"/>
    <s v="A"/>
    <n v="63"/>
    <s v="B-"/>
    <n v="610"/>
    <n v="87.142857142857139"/>
    <x v="0"/>
    <n v="298"/>
    <x v="2"/>
  </r>
  <r>
    <n v="826"/>
    <s v="Brent"/>
    <s v="Clements"/>
    <x v="823"/>
    <s v="brent.clements.826@gslingacademy.com"/>
    <x v="0"/>
    <x v="0"/>
    <n v="8"/>
    <x v="0"/>
    <n v="25"/>
    <x v="1"/>
    <n v="88"/>
    <s v="A"/>
    <n v="60"/>
    <s v="B-"/>
    <n v="87"/>
    <s v="A"/>
    <n v="90"/>
    <s v="A+"/>
    <n v="87"/>
    <s v="A"/>
    <n v="86"/>
    <s v="A"/>
    <n v="62"/>
    <s v="B-"/>
    <n v="560"/>
    <n v="80"/>
    <x v="0"/>
    <n v="1134"/>
    <x v="2"/>
  </r>
  <r>
    <n v="827"/>
    <s v="Thomas"/>
    <s v="Hernandez"/>
    <x v="824"/>
    <s v="thomas.hernandez.827@gslingacademy.com"/>
    <x v="0"/>
    <x v="0"/>
    <n v="1"/>
    <x v="1"/>
    <n v="9"/>
    <x v="4"/>
    <n v="66"/>
    <s v="B"/>
    <n v="65"/>
    <s v="B"/>
    <n v="82"/>
    <s v="A"/>
    <n v="96"/>
    <s v="A+"/>
    <n v="87"/>
    <s v="A"/>
    <n v="87"/>
    <s v="A"/>
    <n v="63"/>
    <s v="B-"/>
    <n v="546"/>
    <n v="78"/>
    <x v="2"/>
    <n v="1411"/>
    <x v="1"/>
  </r>
  <r>
    <n v="828"/>
    <s v="Kevin"/>
    <s v="Mack"/>
    <x v="825"/>
    <s v="kevin.mack.828@gslingacademy.com"/>
    <x v="0"/>
    <x v="1"/>
    <n v="9"/>
    <x v="0"/>
    <n v="2"/>
    <x v="7"/>
    <n v="46"/>
    <s v="D"/>
    <n v="54"/>
    <s v="C"/>
    <n v="93"/>
    <s v="A+"/>
    <n v="57"/>
    <s v="C"/>
    <n v="99"/>
    <s v="A+"/>
    <n v="59"/>
    <s v="C"/>
    <n v="73"/>
    <s v="B+"/>
    <n v="481"/>
    <n v="68.714285714285708"/>
    <x v="4"/>
    <n v="1933"/>
    <x v="2"/>
  </r>
  <r>
    <n v="829"/>
    <s v="Patrick"/>
    <s v="Kirk"/>
    <x v="826"/>
    <s v="patrick.kirk.829@gslingacademy.com"/>
    <x v="0"/>
    <x v="0"/>
    <n v="5"/>
    <x v="0"/>
    <n v="31"/>
    <x v="0"/>
    <n v="71"/>
    <s v="B+"/>
    <n v="92"/>
    <s v="A+"/>
    <n v="60"/>
    <s v="B-"/>
    <n v="73"/>
    <s v="B+"/>
    <n v="74"/>
    <s v="B+"/>
    <n v="86"/>
    <s v="A"/>
    <n v="94"/>
    <s v="A+"/>
    <n v="550"/>
    <n v="78.571428571428569"/>
    <x v="2"/>
    <n v="1338"/>
    <x v="0"/>
  </r>
  <r>
    <n v="830"/>
    <s v="Christopher"/>
    <s v="Jenkins"/>
    <x v="133"/>
    <s v="christopher.jenkins.830@gslingacademy.com"/>
    <x v="0"/>
    <x v="0"/>
    <n v="5"/>
    <x v="0"/>
    <n v="3"/>
    <x v="12"/>
    <n v="76"/>
    <s v="A-"/>
    <n v="77"/>
    <s v="A-"/>
    <n v="99"/>
    <s v="A+"/>
    <n v="87"/>
    <s v="A"/>
    <n v="95"/>
    <s v="A+"/>
    <n v="94"/>
    <s v="A+"/>
    <n v="85"/>
    <s v="A"/>
    <n v="613"/>
    <n v="87.571428571428569"/>
    <x v="0"/>
    <n v="271"/>
    <x v="0"/>
  </r>
  <r>
    <n v="831"/>
    <s v="Cassandra"/>
    <s v="Hodges"/>
    <x v="827"/>
    <s v="cassandra.hodges.831@gslingacademy.com"/>
    <x v="1"/>
    <x v="0"/>
    <n v="5"/>
    <x v="0"/>
    <n v="12"/>
    <x v="12"/>
    <n v="78"/>
    <s v="A-"/>
    <n v="95"/>
    <s v="A+"/>
    <n v="66"/>
    <s v="B"/>
    <n v="70"/>
    <s v="B+"/>
    <n v="75"/>
    <s v="A-"/>
    <n v="99"/>
    <s v="A+"/>
    <n v="84"/>
    <s v="A"/>
    <n v="567"/>
    <n v="81"/>
    <x v="0"/>
    <n v="994"/>
    <x v="0"/>
  </r>
  <r>
    <n v="832"/>
    <s v="Christian"/>
    <s v="Powers"/>
    <x v="828"/>
    <s v="christian.powers.832@gslingacademy.com"/>
    <x v="0"/>
    <x v="0"/>
    <n v="5"/>
    <x v="0"/>
    <n v="5"/>
    <x v="7"/>
    <n v="100"/>
    <s v="A+"/>
    <n v="54"/>
    <s v="C"/>
    <n v="70"/>
    <s v="B+"/>
    <n v="58"/>
    <s v="C"/>
    <n v="50"/>
    <s v="C"/>
    <n v="95"/>
    <s v="A+"/>
    <n v="92"/>
    <s v="A+"/>
    <n v="519"/>
    <n v="74.142857142857139"/>
    <x v="3"/>
    <n v="1766"/>
    <x v="0"/>
  </r>
  <r>
    <n v="833"/>
    <s v="Brittany"/>
    <s v="Collier"/>
    <x v="829"/>
    <s v="brittany.collier.833@gslingacademy.com"/>
    <x v="1"/>
    <x v="0"/>
    <n v="10"/>
    <x v="0"/>
    <n v="11"/>
    <x v="2"/>
    <n v="73"/>
    <s v="B+"/>
    <n v="97"/>
    <s v="A+"/>
    <n v="87"/>
    <s v="A"/>
    <n v="93"/>
    <s v="A+"/>
    <n v="78"/>
    <s v="A-"/>
    <n v="99"/>
    <s v="A+"/>
    <n v="86"/>
    <s v="A"/>
    <n v="613"/>
    <n v="87.571428571428569"/>
    <x v="0"/>
    <n v="271"/>
    <x v="2"/>
  </r>
  <r>
    <n v="834"/>
    <s v="James"/>
    <s v="Bridges"/>
    <x v="830"/>
    <s v="james.bridges.834@gslingacademy.com"/>
    <x v="0"/>
    <x v="0"/>
    <n v="2"/>
    <x v="0"/>
    <n v="4"/>
    <x v="14"/>
    <n v="96"/>
    <s v="A+"/>
    <n v="63"/>
    <s v="B-"/>
    <n v="85"/>
    <s v="A"/>
    <n v="77"/>
    <s v="A-"/>
    <n v="82"/>
    <s v="A"/>
    <n v="65"/>
    <s v="B"/>
    <n v="88"/>
    <s v="A"/>
    <n v="556"/>
    <n v="79.428571428571431"/>
    <x v="2"/>
    <n v="1224"/>
    <x v="1"/>
  </r>
  <r>
    <n v="835"/>
    <s v="Alexander"/>
    <s v="Fowler"/>
    <x v="831"/>
    <s v="alexander.fowler.835@gslingacademy.com"/>
    <x v="0"/>
    <x v="0"/>
    <n v="2"/>
    <x v="0"/>
    <n v="25"/>
    <x v="4"/>
    <n v="82"/>
    <s v="A"/>
    <n v="84"/>
    <s v="A"/>
    <n v="93"/>
    <s v="A+"/>
    <n v="70"/>
    <s v="B+"/>
    <n v="99"/>
    <s v="A+"/>
    <n v="66"/>
    <s v="B"/>
    <n v="80"/>
    <s v="A"/>
    <n v="574"/>
    <n v="82"/>
    <x v="0"/>
    <n v="832"/>
    <x v="1"/>
  </r>
  <r>
    <n v="836"/>
    <s v="Andrew"/>
    <s v="Wong"/>
    <x v="832"/>
    <s v="andrew.wong.836@gslingacademy.com"/>
    <x v="0"/>
    <x v="0"/>
    <n v="1"/>
    <x v="0"/>
    <n v="33"/>
    <x v="4"/>
    <n v="81"/>
    <s v="A"/>
    <n v="91"/>
    <s v="A+"/>
    <n v="71"/>
    <s v="B+"/>
    <n v="79"/>
    <s v="A-"/>
    <n v="98"/>
    <s v="A+"/>
    <n v="69"/>
    <s v="B"/>
    <n v="75"/>
    <s v="A-"/>
    <n v="564"/>
    <n v="80.571428571428569"/>
    <x v="0"/>
    <n v="1056"/>
    <x v="1"/>
  </r>
  <r>
    <n v="837"/>
    <s v="Bobby"/>
    <s v="Valdez"/>
    <x v="833"/>
    <s v="bobby.valdez.837@gslingacademy.com"/>
    <x v="0"/>
    <x v="1"/>
    <n v="1"/>
    <x v="0"/>
    <n v="24"/>
    <x v="4"/>
    <n v="97"/>
    <s v="A+"/>
    <n v="80"/>
    <s v="A"/>
    <n v="67"/>
    <s v="B"/>
    <n v="71"/>
    <s v="B+"/>
    <n v="75"/>
    <s v="A-"/>
    <n v="96"/>
    <s v="A+"/>
    <n v="100"/>
    <s v="A+"/>
    <n v="586"/>
    <n v="83.714285714285708"/>
    <x v="0"/>
    <n v="601"/>
    <x v="1"/>
  </r>
  <r>
    <n v="838"/>
    <s v="Mary"/>
    <s v="Bird"/>
    <x v="834"/>
    <s v="mary.bird.838@gslingacademy.com"/>
    <x v="1"/>
    <x v="0"/>
    <n v="3"/>
    <x v="0"/>
    <n v="0"/>
    <x v="3"/>
    <n v="92"/>
    <s v="A+"/>
    <n v="65"/>
    <s v="B"/>
    <n v="95"/>
    <s v="A+"/>
    <n v="60"/>
    <s v="B-"/>
    <n v="93"/>
    <s v="A+"/>
    <n v="69"/>
    <s v="B"/>
    <n v="82"/>
    <s v="A"/>
    <n v="556"/>
    <n v="79.428571428571431"/>
    <x v="2"/>
    <n v="1224"/>
    <x v="0"/>
  </r>
  <r>
    <n v="839"/>
    <s v="Andrew"/>
    <s v="Rodriguez"/>
    <x v="835"/>
    <s v="andrew.rodriguez.839@gslingacademy.com"/>
    <x v="0"/>
    <x v="1"/>
    <n v="6"/>
    <x v="0"/>
    <n v="0"/>
    <x v="7"/>
    <n v="81"/>
    <s v="A"/>
    <n v="77"/>
    <s v="A-"/>
    <n v="92"/>
    <s v="A+"/>
    <n v="97"/>
    <s v="A+"/>
    <n v="62"/>
    <s v="B-"/>
    <n v="65"/>
    <s v="B"/>
    <n v="92"/>
    <s v="A+"/>
    <n v="566"/>
    <n v="80.857142857142861"/>
    <x v="0"/>
    <n v="1019"/>
    <x v="0"/>
  </r>
  <r>
    <n v="840"/>
    <s v="Melanie"/>
    <s v="Carter"/>
    <x v="836"/>
    <s v="melanie.carter.840@gslingacademy.com"/>
    <x v="1"/>
    <x v="0"/>
    <n v="2"/>
    <x v="0"/>
    <n v="3"/>
    <x v="2"/>
    <n v="99"/>
    <s v="A+"/>
    <n v="69"/>
    <s v="B"/>
    <n v="71"/>
    <s v="B+"/>
    <n v="84"/>
    <s v="A"/>
    <n v="96"/>
    <s v="A+"/>
    <n v="84"/>
    <s v="A"/>
    <n v="69"/>
    <s v="B"/>
    <n v="572"/>
    <n v="81.714285714285708"/>
    <x v="0"/>
    <n v="890"/>
    <x v="1"/>
  </r>
  <r>
    <n v="841"/>
    <s v="Randy"/>
    <s v="Lopez"/>
    <x v="837"/>
    <s v="randy.lopez.841@gslingacademy.com"/>
    <x v="0"/>
    <x v="0"/>
    <n v="2"/>
    <x v="0"/>
    <n v="26"/>
    <x v="0"/>
    <n v="97"/>
    <s v="A+"/>
    <n v="100"/>
    <s v="A+"/>
    <n v="87"/>
    <s v="A"/>
    <n v="90"/>
    <s v="A+"/>
    <n v="96"/>
    <s v="A+"/>
    <n v="86"/>
    <s v="A"/>
    <n v="93"/>
    <s v="A+"/>
    <n v="649"/>
    <n v="92.714285714285708"/>
    <x v="1"/>
    <n v="62"/>
    <x v="1"/>
  </r>
  <r>
    <n v="842"/>
    <s v="David"/>
    <s v="Cole"/>
    <x v="838"/>
    <s v="david.cole.842@gslingacademy.com"/>
    <x v="0"/>
    <x v="0"/>
    <n v="7"/>
    <x v="0"/>
    <n v="31"/>
    <x v="13"/>
    <n v="80"/>
    <s v="A"/>
    <n v="87"/>
    <s v="A"/>
    <n v="94"/>
    <s v="A+"/>
    <n v="68"/>
    <s v="B"/>
    <n v="89"/>
    <s v="A"/>
    <n v="82"/>
    <s v="A"/>
    <n v="76"/>
    <s v="A-"/>
    <n v="576"/>
    <n v="82.285714285714292"/>
    <x v="0"/>
    <n v="789"/>
    <x v="2"/>
  </r>
  <r>
    <n v="843"/>
    <s v="Jennifer"/>
    <s v="Baxter"/>
    <x v="839"/>
    <s v="jennifer.baxter.843@gslingacademy.com"/>
    <x v="1"/>
    <x v="0"/>
    <n v="4"/>
    <x v="0"/>
    <n v="20"/>
    <x v="5"/>
    <n v="88"/>
    <s v="A"/>
    <n v="62"/>
    <s v="B-"/>
    <n v="91"/>
    <s v="A+"/>
    <n v="83"/>
    <s v="A"/>
    <n v="97"/>
    <s v="A+"/>
    <n v="83"/>
    <s v="A"/>
    <n v="63"/>
    <s v="B-"/>
    <n v="567"/>
    <n v="81"/>
    <x v="0"/>
    <n v="994"/>
    <x v="0"/>
  </r>
  <r>
    <n v="844"/>
    <s v="Shannon"/>
    <s v="Graham"/>
    <x v="840"/>
    <s v="shannon.graham.844@gslingacademy.com"/>
    <x v="1"/>
    <x v="0"/>
    <n v="1"/>
    <x v="0"/>
    <n v="9"/>
    <x v="4"/>
    <n v="95"/>
    <s v="A+"/>
    <n v="72"/>
    <s v="B+"/>
    <n v="99"/>
    <s v="A+"/>
    <n v="67"/>
    <s v="B"/>
    <n v="83"/>
    <s v="A"/>
    <n v="78"/>
    <s v="A-"/>
    <n v="65"/>
    <s v="B"/>
    <n v="559"/>
    <n v="79.857142857142861"/>
    <x v="2"/>
    <n v="1155"/>
    <x v="1"/>
  </r>
  <r>
    <n v="845"/>
    <s v="Stephanie"/>
    <s v="Bush"/>
    <x v="841"/>
    <s v="stephanie.bush.845@gslingacademy.com"/>
    <x v="1"/>
    <x v="0"/>
    <n v="10"/>
    <x v="1"/>
    <n v="15"/>
    <x v="5"/>
    <n v="90"/>
    <s v="A+"/>
    <n v="81"/>
    <s v="A"/>
    <n v="69"/>
    <s v="B"/>
    <n v="70"/>
    <s v="B+"/>
    <n v="95"/>
    <s v="A+"/>
    <n v="97"/>
    <s v="A+"/>
    <n v="62"/>
    <s v="B-"/>
    <n v="564"/>
    <n v="80.571428571428569"/>
    <x v="0"/>
    <n v="1056"/>
    <x v="2"/>
  </r>
  <r>
    <n v="846"/>
    <s v="Keith"/>
    <s v="Tanner"/>
    <x v="842"/>
    <s v="keith.tanner.846@gslingacademy.com"/>
    <x v="0"/>
    <x v="0"/>
    <n v="10"/>
    <x v="0"/>
    <n v="1"/>
    <x v="7"/>
    <n v="77"/>
    <s v="A-"/>
    <n v="89"/>
    <s v="A"/>
    <n v="50"/>
    <s v="C"/>
    <n v="82"/>
    <s v="A"/>
    <n v="71"/>
    <s v="B+"/>
    <n v="78"/>
    <s v="A-"/>
    <n v="70"/>
    <s v="B+"/>
    <n v="517"/>
    <n v="73.857142857142861"/>
    <x v="3"/>
    <n v="1781"/>
    <x v="2"/>
  </r>
  <r>
    <n v="847"/>
    <s v="Robert"/>
    <s v="Anderson"/>
    <x v="843"/>
    <s v="robert.anderson.847@gslingacademy.com"/>
    <x v="0"/>
    <x v="1"/>
    <n v="1"/>
    <x v="1"/>
    <n v="4"/>
    <x v="7"/>
    <n v="82"/>
    <s v="A"/>
    <n v="69"/>
    <s v="B"/>
    <n v="91"/>
    <s v="A+"/>
    <n v="95"/>
    <s v="A+"/>
    <n v="82"/>
    <s v="A"/>
    <n v="85"/>
    <s v="A"/>
    <n v="60"/>
    <s v="B-"/>
    <n v="564"/>
    <n v="80.571428571428569"/>
    <x v="0"/>
    <n v="1056"/>
    <x v="1"/>
  </r>
  <r>
    <n v="848"/>
    <s v="Matthew"/>
    <s v="Cantu"/>
    <x v="844"/>
    <s v="matthew.cantu.848@gslingacademy.com"/>
    <x v="0"/>
    <x v="0"/>
    <n v="3"/>
    <x v="1"/>
    <n v="2"/>
    <x v="16"/>
    <n v="90"/>
    <s v="A+"/>
    <n v="74"/>
    <s v="B+"/>
    <n v="88"/>
    <s v="A"/>
    <n v="97"/>
    <s v="A+"/>
    <n v="88"/>
    <s v="A"/>
    <n v="73"/>
    <s v="B+"/>
    <n v="66"/>
    <s v="B"/>
    <n v="576"/>
    <n v="82.285714285714292"/>
    <x v="0"/>
    <n v="789"/>
    <x v="0"/>
  </r>
  <r>
    <n v="849"/>
    <s v="Heather"/>
    <s v="Johnson"/>
    <x v="845"/>
    <s v="heather.johnson.849@gslingacademy.com"/>
    <x v="1"/>
    <x v="0"/>
    <n v="5"/>
    <x v="0"/>
    <n v="32"/>
    <x v="5"/>
    <n v="94"/>
    <s v="A+"/>
    <n v="90"/>
    <s v="A+"/>
    <n v="81"/>
    <s v="A"/>
    <n v="82"/>
    <s v="A"/>
    <n v="100"/>
    <s v="A+"/>
    <n v="82"/>
    <s v="A"/>
    <n v="98"/>
    <s v="A+"/>
    <n v="627"/>
    <n v="89.571428571428569"/>
    <x v="0"/>
    <n v="168"/>
    <x v="0"/>
  </r>
  <r>
    <n v="850"/>
    <s v="Lee"/>
    <s v="Taylor"/>
    <x v="846"/>
    <s v="lee.taylor.850@gslingacademy.com"/>
    <x v="0"/>
    <x v="1"/>
    <n v="7"/>
    <x v="0"/>
    <n v="2"/>
    <x v="7"/>
    <n v="87"/>
    <s v="A"/>
    <n v="84"/>
    <s v="A"/>
    <n v="76"/>
    <s v="A-"/>
    <n v="87"/>
    <s v="A"/>
    <n v="65"/>
    <s v="B"/>
    <n v="80"/>
    <s v="A"/>
    <n v="72"/>
    <s v="B+"/>
    <n v="551"/>
    <n v="78.714285714285708"/>
    <x v="2"/>
    <n v="1317"/>
    <x v="2"/>
  </r>
  <r>
    <n v="851"/>
    <s v="Jessica"/>
    <s v="Williams"/>
    <x v="847"/>
    <s v="jessica.williams.851@gslingacademy.com"/>
    <x v="1"/>
    <x v="1"/>
    <n v="1"/>
    <x v="0"/>
    <n v="2"/>
    <x v="14"/>
    <n v="86"/>
    <s v="A"/>
    <n v="66"/>
    <s v="B"/>
    <n v="88"/>
    <s v="A"/>
    <n v="98"/>
    <s v="A+"/>
    <n v="68"/>
    <s v="B"/>
    <n v="79"/>
    <s v="A-"/>
    <n v="77"/>
    <s v="A-"/>
    <n v="562"/>
    <n v="80.285714285714292"/>
    <x v="0"/>
    <n v="1099"/>
    <x v="1"/>
  </r>
  <r>
    <n v="852"/>
    <s v="Holly"/>
    <s v="Sanchez"/>
    <x v="848"/>
    <s v="holly.sanchez.852@gslingacademy.com"/>
    <x v="1"/>
    <x v="0"/>
    <n v="6"/>
    <x v="0"/>
    <n v="19"/>
    <x v="9"/>
    <n v="84"/>
    <s v="A"/>
    <n v="85"/>
    <s v="A"/>
    <n v="83"/>
    <s v="A"/>
    <n v="69"/>
    <s v="B"/>
    <n v="82"/>
    <s v="A"/>
    <n v="91"/>
    <s v="A+"/>
    <n v="69"/>
    <s v="B"/>
    <n v="563"/>
    <n v="80.428571428571431"/>
    <x v="0"/>
    <n v="1077"/>
    <x v="0"/>
  </r>
  <r>
    <n v="853"/>
    <s v="James"/>
    <s v="Ray"/>
    <x v="849"/>
    <s v="james.ray.853@gslingacademy.com"/>
    <x v="0"/>
    <x v="0"/>
    <n v="4"/>
    <x v="0"/>
    <n v="12"/>
    <x v="11"/>
    <n v="86"/>
    <s v="A"/>
    <n v="63"/>
    <s v="B-"/>
    <n v="85"/>
    <s v="A"/>
    <n v="64"/>
    <s v="B-"/>
    <n v="98"/>
    <s v="A+"/>
    <n v="97"/>
    <s v="A+"/>
    <n v="86"/>
    <s v="A"/>
    <n v="579"/>
    <n v="82.714285714285708"/>
    <x v="0"/>
    <n v="730"/>
    <x v="0"/>
  </r>
  <r>
    <n v="854"/>
    <s v="William"/>
    <s v="Hernandez"/>
    <x v="850"/>
    <s v="william.hernandez.854@gslingacademy.com"/>
    <x v="0"/>
    <x v="0"/>
    <n v="10"/>
    <x v="0"/>
    <n v="5"/>
    <x v="7"/>
    <n v="70"/>
    <s v="B+"/>
    <n v="66"/>
    <s v="B"/>
    <n v="98"/>
    <s v="A+"/>
    <n v="96"/>
    <s v="A+"/>
    <n v="64"/>
    <s v="B-"/>
    <n v="65"/>
    <s v="B"/>
    <n v="91"/>
    <s v="A+"/>
    <n v="550"/>
    <n v="78.571428571428569"/>
    <x v="2"/>
    <n v="1338"/>
    <x v="2"/>
  </r>
  <r>
    <n v="855"/>
    <s v="Lisa"/>
    <s v="Brown"/>
    <x v="851"/>
    <s v="lisa.brown.855@gslingacademy.com"/>
    <x v="1"/>
    <x v="0"/>
    <n v="4"/>
    <x v="0"/>
    <n v="22"/>
    <x v="11"/>
    <n v="87"/>
    <s v="A"/>
    <n v="94"/>
    <s v="A+"/>
    <n v="72"/>
    <s v="B+"/>
    <n v="93"/>
    <s v="A+"/>
    <n v="44"/>
    <s v="D"/>
    <n v="92"/>
    <s v="A+"/>
    <n v="83"/>
    <s v="A"/>
    <n v="565"/>
    <n v="80.714285714285708"/>
    <x v="0"/>
    <n v="1035"/>
    <x v="0"/>
  </r>
  <r>
    <n v="856"/>
    <s v="Kevin"/>
    <s v="York"/>
    <x v="852"/>
    <s v="kevin.york.856@gslingacademy.com"/>
    <x v="0"/>
    <x v="1"/>
    <n v="7"/>
    <x v="0"/>
    <n v="1"/>
    <x v="7"/>
    <n v="47"/>
    <s v="D"/>
    <n v="78"/>
    <s v="A-"/>
    <n v="75"/>
    <s v="A-"/>
    <n v="62"/>
    <s v="B-"/>
    <n v="61"/>
    <s v="B-"/>
    <n v="55"/>
    <s v="C"/>
    <n v="93"/>
    <s v="A+"/>
    <n v="471"/>
    <n v="67.285714285714292"/>
    <x v="4"/>
    <n v="1957"/>
    <x v="2"/>
  </r>
  <r>
    <n v="857"/>
    <s v="Benjamin"/>
    <s v="Davis"/>
    <x v="281"/>
    <s v="benjamin.davis.857@gslingacademy.com"/>
    <x v="0"/>
    <x v="0"/>
    <n v="0"/>
    <x v="0"/>
    <n v="21"/>
    <x v="5"/>
    <n v="96"/>
    <s v="A+"/>
    <n v="63"/>
    <s v="B-"/>
    <n v="77"/>
    <s v="A-"/>
    <n v="93"/>
    <s v="A+"/>
    <n v="61"/>
    <s v="B-"/>
    <n v="86"/>
    <s v="A"/>
    <n v="83"/>
    <s v="A"/>
    <n v="559"/>
    <n v="79.857142857142861"/>
    <x v="2"/>
    <n v="1155"/>
    <x v="1"/>
  </r>
  <r>
    <n v="858"/>
    <s v="Sarah"/>
    <s v="Nielsen"/>
    <x v="853"/>
    <s v="sarah.nielsen.858@gslingacademy.com"/>
    <x v="1"/>
    <x v="1"/>
    <n v="4"/>
    <x v="0"/>
    <n v="5"/>
    <x v="7"/>
    <n v="54"/>
    <s v="C"/>
    <n v="93"/>
    <s v="A+"/>
    <n v="96"/>
    <s v="A+"/>
    <n v="59"/>
    <s v="C"/>
    <n v="84"/>
    <s v="A"/>
    <n v="79"/>
    <s v="A-"/>
    <n v="93"/>
    <s v="A+"/>
    <n v="558"/>
    <n v="79.714285714285708"/>
    <x v="2"/>
    <n v="1178"/>
    <x v="0"/>
  </r>
  <r>
    <n v="859"/>
    <s v="Elizabeth"/>
    <s v="Parks"/>
    <x v="854"/>
    <s v="elizabeth.parks.859@gslingacademy.com"/>
    <x v="1"/>
    <x v="0"/>
    <n v="3"/>
    <x v="1"/>
    <n v="5"/>
    <x v="16"/>
    <n v="59"/>
    <s v="C"/>
    <n v="100"/>
    <s v="A+"/>
    <n v="64"/>
    <s v="B-"/>
    <n v="68"/>
    <s v="B"/>
    <n v="86"/>
    <s v="A"/>
    <n v="89"/>
    <s v="A"/>
    <n v="91"/>
    <s v="A+"/>
    <n v="557"/>
    <n v="79.571428571428569"/>
    <x v="2"/>
    <n v="1200"/>
    <x v="0"/>
  </r>
  <r>
    <n v="860"/>
    <s v="Deborah"/>
    <s v="Moore"/>
    <x v="855"/>
    <s v="deborah.moore.860@gslingacademy.com"/>
    <x v="1"/>
    <x v="0"/>
    <n v="2"/>
    <x v="0"/>
    <n v="8"/>
    <x v="4"/>
    <n v="92"/>
    <s v="A+"/>
    <n v="99"/>
    <s v="A+"/>
    <n v="93"/>
    <s v="A+"/>
    <n v="82"/>
    <s v="A"/>
    <n v="97"/>
    <s v="A+"/>
    <n v="70"/>
    <s v="B+"/>
    <n v="79"/>
    <s v="A-"/>
    <n v="612"/>
    <n v="87.428571428571431"/>
    <x v="0"/>
    <n v="283"/>
    <x v="1"/>
  </r>
  <r>
    <n v="861"/>
    <s v="Michael"/>
    <s v="Anderson"/>
    <x v="856"/>
    <s v="michael.anderson.861@gslingacademy.com"/>
    <x v="0"/>
    <x v="0"/>
    <n v="4"/>
    <x v="0"/>
    <n v="25"/>
    <x v="5"/>
    <n v="100"/>
    <s v="A+"/>
    <n v="62"/>
    <s v="B-"/>
    <n v="78"/>
    <s v="A-"/>
    <n v="74"/>
    <s v="B+"/>
    <n v="72"/>
    <s v="B+"/>
    <n v="73"/>
    <s v="B+"/>
    <n v="78"/>
    <s v="A-"/>
    <n v="537"/>
    <n v="76.714285714285708"/>
    <x v="2"/>
    <n v="1553"/>
    <x v="0"/>
  </r>
  <r>
    <n v="862"/>
    <s v="Brian"/>
    <s v="Adams"/>
    <x v="857"/>
    <s v="brian.adams.862@gslingacademy.com"/>
    <x v="0"/>
    <x v="0"/>
    <n v="5"/>
    <x v="0"/>
    <n v="34"/>
    <x v="8"/>
    <n v="92"/>
    <s v="A+"/>
    <n v="81"/>
    <s v="A"/>
    <n v="84"/>
    <s v="A"/>
    <n v="84"/>
    <s v="A"/>
    <n v="84"/>
    <s v="A"/>
    <n v="66"/>
    <s v="B"/>
    <n v="74"/>
    <s v="B+"/>
    <n v="565"/>
    <n v="80.714285714285708"/>
    <x v="0"/>
    <n v="1035"/>
    <x v="0"/>
  </r>
  <r>
    <n v="863"/>
    <s v="Anthony"/>
    <s v="Silva"/>
    <x v="858"/>
    <s v="anthony.silva.863@gslingacademy.com"/>
    <x v="0"/>
    <x v="0"/>
    <n v="3"/>
    <x v="0"/>
    <n v="0"/>
    <x v="16"/>
    <n v="75"/>
    <s v="A-"/>
    <n v="66"/>
    <s v="B"/>
    <n v="91"/>
    <s v="A+"/>
    <n v="73"/>
    <s v="B+"/>
    <n v="100"/>
    <s v="A+"/>
    <n v="94"/>
    <s v="A+"/>
    <n v="67"/>
    <s v="B"/>
    <n v="566"/>
    <n v="80.857142857142861"/>
    <x v="0"/>
    <n v="1019"/>
    <x v="0"/>
  </r>
  <r>
    <n v="864"/>
    <s v="Melinda"/>
    <s v="Velazquez"/>
    <x v="859"/>
    <s v="melinda.velazquez.864@gslingacademy.com"/>
    <x v="1"/>
    <x v="0"/>
    <n v="0"/>
    <x v="0"/>
    <n v="34"/>
    <x v="5"/>
    <n v="93"/>
    <s v="A+"/>
    <n v="74"/>
    <s v="B+"/>
    <n v="63"/>
    <s v="B-"/>
    <n v="97"/>
    <s v="A+"/>
    <n v="64"/>
    <s v="B-"/>
    <n v="61"/>
    <s v="B-"/>
    <n v="92"/>
    <s v="A+"/>
    <n v="544"/>
    <n v="77.714285714285708"/>
    <x v="2"/>
    <n v="1446"/>
    <x v="1"/>
  </r>
  <r>
    <n v="865"/>
    <s v="Andre"/>
    <s v="Hoffman"/>
    <x v="860"/>
    <s v="andre.hoffman.865@gslingacademy.com"/>
    <x v="0"/>
    <x v="0"/>
    <n v="2"/>
    <x v="0"/>
    <n v="31"/>
    <x v="0"/>
    <n v="100"/>
    <s v="A+"/>
    <n v="96"/>
    <s v="A+"/>
    <n v="67"/>
    <s v="B"/>
    <n v="63"/>
    <s v="B-"/>
    <n v="91"/>
    <s v="A+"/>
    <n v="96"/>
    <s v="A+"/>
    <n v="84"/>
    <s v="A"/>
    <n v="597"/>
    <n v="85.285714285714292"/>
    <x v="0"/>
    <n v="446"/>
    <x v="1"/>
  </r>
  <r>
    <n v="866"/>
    <s v="Vanessa"/>
    <s v="Coleman"/>
    <x v="861"/>
    <s v="vanessa.coleman.866@gslingacademy.com"/>
    <x v="1"/>
    <x v="1"/>
    <n v="7"/>
    <x v="0"/>
    <n v="1"/>
    <x v="7"/>
    <n v="80"/>
    <s v="A"/>
    <n v="84"/>
    <s v="A"/>
    <n v="67"/>
    <s v="B"/>
    <n v="96"/>
    <s v="A+"/>
    <n v="88"/>
    <s v="A"/>
    <n v="94"/>
    <s v="A+"/>
    <n v="86"/>
    <s v="A"/>
    <n v="595"/>
    <n v="85"/>
    <x v="0"/>
    <n v="465"/>
    <x v="2"/>
  </r>
  <r>
    <n v="867"/>
    <s v="Stephanie"/>
    <s v="Hernandez"/>
    <x v="862"/>
    <s v="stephanie.hernandez.867@gslingacademy.com"/>
    <x v="1"/>
    <x v="0"/>
    <n v="1"/>
    <x v="1"/>
    <n v="28"/>
    <x v="0"/>
    <n v="100"/>
    <s v="A+"/>
    <n v="92"/>
    <s v="A+"/>
    <n v="66"/>
    <s v="B"/>
    <n v="96"/>
    <s v="A+"/>
    <n v="76"/>
    <s v="A-"/>
    <n v="88"/>
    <s v="A"/>
    <n v="77"/>
    <s v="A-"/>
    <n v="595"/>
    <n v="85"/>
    <x v="0"/>
    <n v="465"/>
    <x v="1"/>
  </r>
  <r>
    <n v="868"/>
    <s v="Timothy"/>
    <s v="David"/>
    <x v="863"/>
    <s v="timothy.david.868@gslingacademy.com"/>
    <x v="0"/>
    <x v="1"/>
    <n v="4"/>
    <x v="0"/>
    <n v="5"/>
    <x v="7"/>
    <n v="52"/>
    <s v="C"/>
    <n v="65"/>
    <s v="B"/>
    <n v="74"/>
    <s v="B+"/>
    <n v="71"/>
    <s v="B+"/>
    <n v="63"/>
    <s v="B-"/>
    <n v="59"/>
    <s v="C"/>
    <n v="67"/>
    <s v="B"/>
    <n v="451"/>
    <n v="64.428571428571431"/>
    <x v="5"/>
    <n v="1992"/>
    <x v="0"/>
  </r>
  <r>
    <n v="869"/>
    <s v="Carol"/>
    <s v="Cortez"/>
    <x v="864"/>
    <s v="carol.cortez.869@gslingacademy.com"/>
    <x v="1"/>
    <x v="0"/>
    <n v="1"/>
    <x v="0"/>
    <n v="26"/>
    <x v="5"/>
    <n v="95"/>
    <s v="A+"/>
    <n v="69"/>
    <s v="B"/>
    <n v="91"/>
    <s v="A+"/>
    <n v="67"/>
    <s v="B"/>
    <n v="67"/>
    <s v="B"/>
    <n v="70"/>
    <s v="B+"/>
    <n v="71"/>
    <s v="B+"/>
    <n v="530"/>
    <n v="75.714285714285708"/>
    <x v="2"/>
    <n v="1646"/>
    <x v="1"/>
  </r>
  <r>
    <n v="870"/>
    <s v="Justin"/>
    <s v="Kelly"/>
    <x v="865"/>
    <s v="justin.kelly.870@gslingacademy.com"/>
    <x v="0"/>
    <x v="0"/>
    <n v="1"/>
    <x v="0"/>
    <n v="21"/>
    <x v="4"/>
    <n v="100"/>
    <s v="A+"/>
    <n v="67"/>
    <s v="B"/>
    <n v="100"/>
    <s v="A+"/>
    <n v="65"/>
    <s v="B"/>
    <n v="67"/>
    <s v="B"/>
    <n v="92"/>
    <s v="A+"/>
    <n v="67"/>
    <s v="B"/>
    <n v="558"/>
    <n v="79.714285714285708"/>
    <x v="2"/>
    <n v="1178"/>
    <x v="1"/>
  </r>
  <r>
    <n v="871"/>
    <s v="George"/>
    <s v="King"/>
    <x v="866"/>
    <s v="george.king.871@gslingacademy.com"/>
    <x v="0"/>
    <x v="0"/>
    <n v="4"/>
    <x v="0"/>
    <n v="22"/>
    <x v="5"/>
    <n v="96"/>
    <s v="A+"/>
    <n v="73"/>
    <s v="B+"/>
    <n v="90"/>
    <s v="A+"/>
    <n v="84"/>
    <s v="A"/>
    <n v="64"/>
    <s v="B-"/>
    <n v="75"/>
    <s v="A-"/>
    <n v="62"/>
    <s v="B-"/>
    <n v="544"/>
    <n v="77.714285714285708"/>
    <x v="2"/>
    <n v="1446"/>
    <x v="0"/>
  </r>
  <r>
    <n v="872"/>
    <s v="Ashley"/>
    <s v="Craig"/>
    <x v="867"/>
    <s v="ashley.craig.872@gslingacademy.com"/>
    <x v="1"/>
    <x v="0"/>
    <n v="3"/>
    <x v="0"/>
    <n v="30"/>
    <x v="4"/>
    <n v="60"/>
    <s v="B-"/>
    <n v="67"/>
    <s v="B"/>
    <n v="94"/>
    <s v="A+"/>
    <n v="74"/>
    <s v="B+"/>
    <n v="71"/>
    <s v="B+"/>
    <n v="98"/>
    <s v="A+"/>
    <n v="74"/>
    <s v="B+"/>
    <n v="538"/>
    <n v="76.857142857142861"/>
    <x v="2"/>
    <n v="1537"/>
    <x v="0"/>
  </r>
  <r>
    <n v="873"/>
    <s v="Patricia"/>
    <s v="Sullivan"/>
    <x v="868"/>
    <s v="patricia.sullivan.873@gslingacademy.com"/>
    <x v="1"/>
    <x v="1"/>
    <n v="7"/>
    <x v="0"/>
    <n v="2"/>
    <x v="7"/>
    <n v="51"/>
    <s v="C"/>
    <n v="98"/>
    <s v="A+"/>
    <n v="90"/>
    <s v="A+"/>
    <n v="54"/>
    <s v="C"/>
    <n v="77"/>
    <s v="A-"/>
    <n v="80"/>
    <s v="A"/>
    <n v="71"/>
    <s v="B+"/>
    <n v="521"/>
    <n v="74.428571428571431"/>
    <x v="3"/>
    <n v="1749"/>
    <x v="2"/>
  </r>
  <r>
    <n v="874"/>
    <s v="David"/>
    <s v="Jones"/>
    <x v="869"/>
    <s v="david.jones.874@gslingacademy.com"/>
    <x v="0"/>
    <x v="0"/>
    <n v="5"/>
    <x v="0"/>
    <n v="24"/>
    <x v="5"/>
    <n v="85"/>
    <s v="A"/>
    <n v="100"/>
    <s v="A+"/>
    <n v="93"/>
    <s v="A+"/>
    <n v="64"/>
    <s v="B-"/>
    <n v="81"/>
    <s v="A"/>
    <n v="78"/>
    <s v="A-"/>
    <n v="64"/>
    <s v="B-"/>
    <n v="565"/>
    <n v="80.714285714285708"/>
    <x v="0"/>
    <n v="1035"/>
    <x v="0"/>
  </r>
  <r>
    <n v="875"/>
    <s v="Cody"/>
    <s v="Smith"/>
    <x v="870"/>
    <s v="cody.smith.875@gslingacademy.com"/>
    <x v="0"/>
    <x v="0"/>
    <n v="10"/>
    <x v="0"/>
    <n v="15"/>
    <x v="11"/>
    <n v="76"/>
    <s v="A-"/>
    <n v="86"/>
    <s v="A"/>
    <n v="68"/>
    <s v="B"/>
    <n v="83"/>
    <s v="A"/>
    <n v="82"/>
    <s v="A"/>
    <n v="67"/>
    <s v="B"/>
    <n v="69"/>
    <s v="B"/>
    <n v="531"/>
    <n v="75.857142857142861"/>
    <x v="2"/>
    <n v="1637"/>
    <x v="2"/>
  </r>
  <r>
    <n v="876"/>
    <s v="Joseph"/>
    <s v="Jackson"/>
    <x v="871"/>
    <s v="joseph.jackson.876@gslingacademy.com"/>
    <x v="0"/>
    <x v="0"/>
    <n v="1"/>
    <x v="0"/>
    <n v="24"/>
    <x v="5"/>
    <n v="92"/>
    <s v="A+"/>
    <n v="63"/>
    <s v="B-"/>
    <n v="87"/>
    <s v="A"/>
    <n v="92"/>
    <s v="A+"/>
    <n v="81"/>
    <s v="A"/>
    <n v="78"/>
    <s v="A-"/>
    <n v="74"/>
    <s v="B+"/>
    <n v="567"/>
    <n v="81"/>
    <x v="0"/>
    <n v="994"/>
    <x v="1"/>
  </r>
  <r>
    <n v="877"/>
    <s v="Adam"/>
    <s v="Edwards"/>
    <x v="192"/>
    <s v="adam.edwards.877@gslingacademy.com"/>
    <x v="0"/>
    <x v="0"/>
    <n v="5"/>
    <x v="0"/>
    <n v="3"/>
    <x v="2"/>
    <n v="90"/>
    <s v="A+"/>
    <n v="89"/>
    <s v="A"/>
    <n v="95"/>
    <s v="A+"/>
    <n v="73"/>
    <s v="B+"/>
    <n v="79"/>
    <s v="A-"/>
    <n v="98"/>
    <s v="A+"/>
    <n v="68"/>
    <s v="B"/>
    <n v="592"/>
    <n v="84.571428571428569"/>
    <x v="0"/>
    <n v="505"/>
    <x v="0"/>
  </r>
  <r>
    <n v="878"/>
    <s v="Brian"/>
    <s v="Morales"/>
    <x v="872"/>
    <s v="brian.morales.878@gslingacademy.com"/>
    <x v="0"/>
    <x v="1"/>
    <n v="6"/>
    <x v="1"/>
    <n v="4"/>
    <x v="7"/>
    <n v="73"/>
    <s v="B+"/>
    <n v="53"/>
    <s v="C"/>
    <n v="68"/>
    <s v="B"/>
    <n v="60"/>
    <s v="B-"/>
    <n v="95"/>
    <s v="A+"/>
    <n v="96"/>
    <s v="A+"/>
    <n v="99"/>
    <s v="A+"/>
    <n v="544"/>
    <n v="77.714285714285708"/>
    <x v="2"/>
    <n v="1446"/>
    <x v="0"/>
  </r>
  <r>
    <n v="879"/>
    <s v="Melissa"/>
    <s v="Fry"/>
    <x v="873"/>
    <s v="melissa.fry.879@gslingacademy.com"/>
    <x v="1"/>
    <x v="0"/>
    <n v="5"/>
    <x v="0"/>
    <n v="42"/>
    <x v="1"/>
    <n v="90"/>
    <s v="A+"/>
    <n v="89"/>
    <s v="A"/>
    <n v="92"/>
    <s v="A+"/>
    <n v="93"/>
    <s v="A+"/>
    <n v="97"/>
    <s v="A+"/>
    <n v="92"/>
    <s v="A+"/>
    <n v="100"/>
    <s v="A+"/>
    <n v="653"/>
    <n v="93.285714285714292"/>
    <x v="1"/>
    <n v="43"/>
    <x v="0"/>
  </r>
  <r>
    <n v="880"/>
    <s v="Lori"/>
    <s v="Jacobson"/>
    <x v="874"/>
    <s v="lori.jacobson.880@gslingacademy.com"/>
    <x v="1"/>
    <x v="0"/>
    <n v="6"/>
    <x v="0"/>
    <n v="24"/>
    <x v="11"/>
    <n v="87"/>
    <s v="A"/>
    <n v="87"/>
    <s v="A"/>
    <n v="86"/>
    <s v="A"/>
    <n v="91"/>
    <s v="A+"/>
    <n v="90"/>
    <s v="A+"/>
    <n v="75"/>
    <s v="A-"/>
    <n v="79"/>
    <s v="A-"/>
    <n v="595"/>
    <n v="85"/>
    <x v="0"/>
    <n v="465"/>
    <x v="0"/>
  </r>
  <r>
    <n v="881"/>
    <s v="Jessica"/>
    <s v="Shannon"/>
    <x v="875"/>
    <s v="jessica.shannon.881@gslingacademy.com"/>
    <x v="1"/>
    <x v="0"/>
    <n v="1"/>
    <x v="0"/>
    <n v="0"/>
    <x v="16"/>
    <n v="93"/>
    <s v="A+"/>
    <n v="96"/>
    <s v="A+"/>
    <n v="70"/>
    <s v="B+"/>
    <n v="92"/>
    <s v="A+"/>
    <n v="65"/>
    <s v="B"/>
    <n v="90"/>
    <s v="A+"/>
    <n v="84"/>
    <s v="A"/>
    <n v="590"/>
    <n v="84.285714285714292"/>
    <x v="0"/>
    <n v="531"/>
    <x v="1"/>
  </r>
  <r>
    <n v="882"/>
    <s v="Sharon"/>
    <s v="Ramirez"/>
    <x v="876"/>
    <s v="sharon.ramirez.882@gslingacademy.com"/>
    <x v="1"/>
    <x v="0"/>
    <n v="3"/>
    <x v="0"/>
    <n v="4"/>
    <x v="16"/>
    <n v="75"/>
    <s v="A-"/>
    <n v="91"/>
    <s v="A+"/>
    <n v="68"/>
    <s v="B"/>
    <n v="86"/>
    <s v="A"/>
    <n v="81"/>
    <s v="A"/>
    <n v="72"/>
    <s v="B+"/>
    <n v="89"/>
    <s v="A"/>
    <n v="562"/>
    <n v="80.285714285714292"/>
    <x v="0"/>
    <n v="1099"/>
    <x v="0"/>
  </r>
  <r>
    <n v="883"/>
    <s v="Nicole"/>
    <s v="Rice"/>
    <x v="877"/>
    <s v="nicole.rice.883@gslingacademy.com"/>
    <x v="1"/>
    <x v="0"/>
    <n v="3"/>
    <x v="0"/>
    <n v="25"/>
    <x v="5"/>
    <n v="96"/>
    <s v="A+"/>
    <n v="100"/>
    <s v="A+"/>
    <n v="99"/>
    <s v="A+"/>
    <n v="82"/>
    <s v="A"/>
    <n v="79"/>
    <s v="A-"/>
    <n v="95"/>
    <s v="A+"/>
    <n v="89"/>
    <s v="A"/>
    <n v="640"/>
    <n v="91.428571428571431"/>
    <x v="1"/>
    <n v="98"/>
    <x v="0"/>
  </r>
  <r>
    <n v="884"/>
    <s v="Alison"/>
    <s v="Webster"/>
    <x v="878"/>
    <s v="alison.webster.884@gslingacademy.com"/>
    <x v="1"/>
    <x v="1"/>
    <n v="1"/>
    <x v="1"/>
    <n v="1"/>
    <x v="3"/>
    <n v="63"/>
    <s v="B-"/>
    <n v="75"/>
    <s v="A-"/>
    <n v="68"/>
    <s v="B"/>
    <n v="63"/>
    <s v="B-"/>
    <n v="63"/>
    <s v="B-"/>
    <n v="73"/>
    <s v="B+"/>
    <n v="79"/>
    <s v="A-"/>
    <n v="484"/>
    <n v="69.142857142857139"/>
    <x v="4"/>
    <n v="1925"/>
    <x v="1"/>
  </r>
  <r>
    <n v="885"/>
    <s v="Alexander"/>
    <s v="Mitchell"/>
    <x v="879"/>
    <s v="alexander.mitchell.885@gslingacademy.com"/>
    <x v="0"/>
    <x v="0"/>
    <n v="5"/>
    <x v="0"/>
    <n v="35"/>
    <x v="0"/>
    <n v="85"/>
    <s v="A"/>
    <n v="90"/>
    <s v="A+"/>
    <n v="89"/>
    <s v="A"/>
    <n v="98"/>
    <s v="A+"/>
    <n v="100"/>
    <s v="A+"/>
    <n v="97"/>
    <s v="A+"/>
    <n v="95"/>
    <s v="A+"/>
    <n v="654"/>
    <n v="93.428571428571431"/>
    <x v="1"/>
    <n v="37"/>
    <x v="0"/>
  </r>
  <r>
    <n v="886"/>
    <s v="Bryan"/>
    <s v="Grimes"/>
    <x v="880"/>
    <s v="bryan.grimes.886@gslingacademy.com"/>
    <x v="0"/>
    <x v="0"/>
    <n v="7"/>
    <x v="0"/>
    <n v="20"/>
    <x v="5"/>
    <n v="93"/>
    <s v="A+"/>
    <n v="61"/>
    <s v="B-"/>
    <n v="65"/>
    <s v="B"/>
    <n v="77"/>
    <s v="A-"/>
    <n v="97"/>
    <s v="A+"/>
    <n v="90"/>
    <s v="A+"/>
    <n v="90"/>
    <s v="A+"/>
    <n v="573"/>
    <n v="81.857142857142861"/>
    <x v="0"/>
    <n v="864"/>
    <x v="2"/>
  </r>
  <r>
    <n v="887"/>
    <s v="Nicole"/>
    <s v="Mcdonald"/>
    <x v="881"/>
    <s v="nicole.mcdonald.887@gslingacademy.com"/>
    <x v="1"/>
    <x v="0"/>
    <n v="7"/>
    <x v="0"/>
    <n v="11"/>
    <x v="4"/>
    <n v="60"/>
    <s v="B-"/>
    <n v="92"/>
    <s v="A+"/>
    <n v="82"/>
    <s v="A"/>
    <n v="65"/>
    <s v="B"/>
    <n v="82"/>
    <s v="A"/>
    <n v="91"/>
    <s v="A+"/>
    <n v="67"/>
    <s v="B"/>
    <n v="539"/>
    <n v="77"/>
    <x v="2"/>
    <n v="1531"/>
    <x v="2"/>
  </r>
  <r>
    <n v="888"/>
    <s v="Christopher"/>
    <s v="Ramirez"/>
    <x v="882"/>
    <s v="christopher.ramirez.888@gslingacademy.com"/>
    <x v="0"/>
    <x v="1"/>
    <n v="3"/>
    <x v="0"/>
    <n v="21"/>
    <x v="4"/>
    <n v="95"/>
    <s v="A+"/>
    <n v="91"/>
    <s v="A+"/>
    <n v="63"/>
    <s v="B-"/>
    <n v="83"/>
    <s v="A"/>
    <n v="75"/>
    <s v="A-"/>
    <n v="73"/>
    <s v="B+"/>
    <n v="74"/>
    <s v="B+"/>
    <n v="554"/>
    <n v="79.142857142857139"/>
    <x v="2"/>
    <n v="1264"/>
    <x v="0"/>
  </r>
  <r>
    <n v="889"/>
    <s v="Lawrence"/>
    <s v="Fields"/>
    <x v="883"/>
    <s v="lawrence.fields.889@gslingacademy.com"/>
    <x v="0"/>
    <x v="1"/>
    <n v="9"/>
    <x v="0"/>
    <n v="1"/>
    <x v="7"/>
    <n v="61"/>
    <s v="B-"/>
    <n v="73"/>
    <s v="B+"/>
    <n v="76"/>
    <s v="A-"/>
    <n v="51"/>
    <s v="C"/>
    <n v="76"/>
    <s v="A-"/>
    <n v="50"/>
    <s v="C"/>
    <n v="77"/>
    <s v="A-"/>
    <n v="464"/>
    <n v="66.285714285714292"/>
    <x v="4"/>
    <n v="1975"/>
    <x v="2"/>
  </r>
  <r>
    <n v="890"/>
    <s v="Rebecca"/>
    <s v="Molina"/>
    <x v="884"/>
    <s v="rebecca.molina.890@gslingacademy.com"/>
    <x v="1"/>
    <x v="0"/>
    <n v="3"/>
    <x v="0"/>
    <n v="15"/>
    <x v="5"/>
    <n v="97"/>
    <s v="A+"/>
    <n v="81"/>
    <s v="A"/>
    <n v="65"/>
    <s v="B"/>
    <n v="70"/>
    <s v="B+"/>
    <n v="62"/>
    <s v="B-"/>
    <n v="96"/>
    <s v="A+"/>
    <n v="75"/>
    <s v="A-"/>
    <n v="546"/>
    <n v="78"/>
    <x v="2"/>
    <n v="1411"/>
    <x v="0"/>
  </r>
  <r>
    <n v="891"/>
    <s v="John"/>
    <s v="Castillo"/>
    <x v="885"/>
    <s v="john.castillo.891@gslingacademy.com"/>
    <x v="0"/>
    <x v="0"/>
    <n v="1"/>
    <x v="0"/>
    <n v="33"/>
    <x v="5"/>
    <n v="90"/>
    <s v="A+"/>
    <n v="64"/>
    <s v="B-"/>
    <n v="91"/>
    <s v="A+"/>
    <n v="93"/>
    <s v="A+"/>
    <n v="86"/>
    <s v="A"/>
    <n v="91"/>
    <s v="A+"/>
    <n v="97"/>
    <s v="A+"/>
    <n v="612"/>
    <n v="87.428571428571431"/>
    <x v="0"/>
    <n v="283"/>
    <x v="1"/>
  </r>
  <r>
    <n v="892"/>
    <s v="Sandra"/>
    <s v="Davis"/>
    <x v="886"/>
    <s v="sandra.davis.892@gslingacademy.com"/>
    <x v="1"/>
    <x v="1"/>
    <n v="10"/>
    <x v="0"/>
    <n v="4"/>
    <x v="7"/>
    <n v="90"/>
    <s v="A+"/>
    <n v="100"/>
    <s v="A+"/>
    <n v="80"/>
    <s v="A"/>
    <n v="66"/>
    <s v="B"/>
    <n v="63"/>
    <s v="B-"/>
    <n v="69"/>
    <s v="B"/>
    <n v="66"/>
    <s v="B"/>
    <n v="534"/>
    <n v="76.285714285714292"/>
    <x v="2"/>
    <n v="1595"/>
    <x v="2"/>
  </r>
  <r>
    <n v="893"/>
    <s v="Andrew"/>
    <s v="Smith"/>
    <x v="399"/>
    <s v="andrew.smith.893@gslingacademy.com"/>
    <x v="0"/>
    <x v="0"/>
    <n v="2"/>
    <x v="1"/>
    <n v="24"/>
    <x v="5"/>
    <n v="85"/>
    <s v="A"/>
    <n v="74"/>
    <s v="B+"/>
    <n v="68"/>
    <s v="B"/>
    <n v="68"/>
    <s v="B"/>
    <n v="75"/>
    <s v="A-"/>
    <n v="78"/>
    <s v="A-"/>
    <n v="95"/>
    <s v="A+"/>
    <n v="543"/>
    <n v="77.571428571428569"/>
    <x v="2"/>
    <n v="1464"/>
    <x v="1"/>
  </r>
  <r>
    <n v="894"/>
    <s v="Elizabeth"/>
    <s v="Smith"/>
    <x v="629"/>
    <s v="elizabeth.smith.894@gslingacademy.com"/>
    <x v="1"/>
    <x v="0"/>
    <n v="1"/>
    <x v="0"/>
    <n v="13"/>
    <x v="9"/>
    <n v="82"/>
    <s v="A"/>
    <n v="87"/>
    <s v="A"/>
    <n v="98"/>
    <s v="A+"/>
    <n v="73"/>
    <s v="B+"/>
    <n v="74"/>
    <s v="B+"/>
    <n v="89"/>
    <s v="A"/>
    <n v="66"/>
    <s v="B"/>
    <n v="569"/>
    <n v="81.285714285714292"/>
    <x v="0"/>
    <n v="957"/>
    <x v="1"/>
  </r>
  <r>
    <n v="895"/>
    <s v="Scott"/>
    <s v="Schultz"/>
    <x v="887"/>
    <s v="scott.schultz.895@gslingacademy.com"/>
    <x v="0"/>
    <x v="1"/>
    <n v="6"/>
    <x v="0"/>
    <n v="5"/>
    <x v="7"/>
    <n v="95"/>
    <s v="A+"/>
    <n v="88"/>
    <s v="A"/>
    <n v="66"/>
    <s v="B"/>
    <n v="72"/>
    <s v="B+"/>
    <n v="92"/>
    <s v="A+"/>
    <n v="52"/>
    <s v="C"/>
    <n v="70"/>
    <s v="B+"/>
    <n v="535"/>
    <n v="76.428571428571431"/>
    <x v="2"/>
    <n v="1578"/>
    <x v="0"/>
  </r>
  <r>
    <n v="896"/>
    <s v="Joseph"/>
    <s v="Harper"/>
    <x v="888"/>
    <s v="joseph.harper.896@gslingacademy.com"/>
    <x v="0"/>
    <x v="0"/>
    <n v="1"/>
    <x v="1"/>
    <n v="12"/>
    <x v="2"/>
    <n v="95"/>
    <s v="A+"/>
    <n v="96"/>
    <s v="A+"/>
    <n v="66"/>
    <s v="B"/>
    <n v="68"/>
    <s v="B"/>
    <n v="90"/>
    <s v="A+"/>
    <n v="91"/>
    <s v="A+"/>
    <n v="99"/>
    <s v="A+"/>
    <n v="605"/>
    <n v="86.428571428571431"/>
    <x v="0"/>
    <n v="344"/>
    <x v="1"/>
  </r>
  <r>
    <n v="897"/>
    <s v="Ryan"/>
    <s v="Salazar"/>
    <x v="889"/>
    <s v="ryan.salazar.897@gslingacademy.com"/>
    <x v="0"/>
    <x v="0"/>
    <n v="4"/>
    <x v="1"/>
    <n v="8"/>
    <x v="16"/>
    <n v="81"/>
    <s v="A"/>
    <n v="90"/>
    <s v="A+"/>
    <n v="71"/>
    <s v="B+"/>
    <n v="97"/>
    <s v="A+"/>
    <n v="81"/>
    <s v="A"/>
    <n v="86"/>
    <s v="A"/>
    <n v="73"/>
    <s v="B+"/>
    <n v="579"/>
    <n v="82.714285714285708"/>
    <x v="0"/>
    <n v="730"/>
    <x v="0"/>
  </r>
  <r>
    <n v="898"/>
    <s v="Brenda"/>
    <s v="Davis"/>
    <x v="890"/>
    <s v="brenda.davis.898@gslingacademy.com"/>
    <x v="1"/>
    <x v="0"/>
    <n v="2"/>
    <x v="0"/>
    <n v="8"/>
    <x v="6"/>
    <n v="62"/>
    <s v="B-"/>
    <n v="69"/>
    <s v="B"/>
    <n v="99"/>
    <s v="A+"/>
    <n v="95"/>
    <s v="A+"/>
    <n v="73"/>
    <s v="B+"/>
    <n v="79"/>
    <s v="A-"/>
    <n v="83"/>
    <s v="A"/>
    <n v="560"/>
    <n v="80"/>
    <x v="0"/>
    <n v="1134"/>
    <x v="1"/>
  </r>
  <r>
    <n v="899"/>
    <s v="Chad"/>
    <s v="Taylor"/>
    <x v="891"/>
    <s v="chad.taylor.899@gslingacademy.com"/>
    <x v="0"/>
    <x v="0"/>
    <n v="5"/>
    <x v="0"/>
    <n v="8"/>
    <x v="16"/>
    <n v="95"/>
    <s v="A+"/>
    <n v="92"/>
    <s v="A+"/>
    <n v="89"/>
    <s v="A"/>
    <n v="64"/>
    <s v="B-"/>
    <n v="77"/>
    <s v="A-"/>
    <n v="80"/>
    <s v="A"/>
    <n v="66"/>
    <s v="B"/>
    <n v="563"/>
    <n v="80.428571428571431"/>
    <x v="0"/>
    <n v="1077"/>
    <x v="0"/>
  </r>
  <r>
    <n v="900"/>
    <s v="Natasha"/>
    <s v="Edwards"/>
    <x v="892"/>
    <s v="natasha.edwards.900@gslingacademy.com"/>
    <x v="1"/>
    <x v="1"/>
    <n v="4"/>
    <x v="1"/>
    <n v="0"/>
    <x v="7"/>
    <n v="64"/>
    <s v="B-"/>
    <n v="62"/>
    <s v="B-"/>
    <n v="51"/>
    <s v="C"/>
    <n v="85"/>
    <s v="A"/>
    <n v="74"/>
    <s v="B+"/>
    <n v="91"/>
    <s v="A+"/>
    <n v="93"/>
    <s v="A+"/>
    <n v="520"/>
    <n v="74.285714285714292"/>
    <x v="3"/>
    <n v="1753"/>
    <x v="0"/>
  </r>
  <r>
    <n v="901"/>
    <s v="Pamela"/>
    <s v="Edwards"/>
    <x v="893"/>
    <s v="pamela.edwards.901@gslingacademy.com"/>
    <x v="1"/>
    <x v="0"/>
    <n v="5"/>
    <x v="0"/>
    <n v="14"/>
    <x v="12"/>
    <n v="96"/>
    <s v="A+"/>
    <n v="67"/>
    <s v="B"/>
    <n v="88"/>
    <s v="A"/>
    <n v="82"/>
    <s v="A"/>
    <n v="90"/>
    <s v="A+"/>
    <n v="74"/>
    <s v="B+"/>
    <n v="96"/>
    <s v="A+"/>
    <n v="593"/>
    <n v="84.714285714285708"/>
    <x v="0"/>
    <n v="494"/>
    <x v="0"/>
  </r>
  <r>
    <n v="902"/>
    <s v="Cynthia"/>
    <s v="Richardson"/>
    <x v="894"/>
    <s v="cynthia.richardson.902@gslingacademy.com"/>
    <x v="1"/>
    <x v="1"/>
    <n v="4"/>
    <x v="1"/>
    <n v="3"/>
    <x v="7"/>
    <n v="40"/>
    <s v="D"/>
    <n v="58"/>
    <s v="C"/>
    <n v="57"/>
    <s v="C"/>
    <n v="68"/>
    <s v="B"/>
    <n v="57"/>
    <s v="C"/>
    <n v="99"/>
    <s v="A+"/>
    <n v="95"/>
    <s v="A+"/>
    <n v="474"/>
    <n v="67.714285714285708"/>
    <x v="4"/>
    <n v="1949"/>
    <x v="0"/>
  </r>
  <r>
    <n v="903"/>
    <s v="Robert"/>
    <s v="Johnson"/>
    <x v="342"/>
    <s v="robert.johnson.903@gslingacademy.com"/>
    <x v="0"/>
    <x v="0"/>
    <n v="2"/>
    <x v="0"/>
    <n v="19"/>
    <x v="15"/>
    <n v="87"/>
    <s v="A"/>
    <n v="80"/>
    <s v="A"/>
    <n v="84"/>
    <s v="A"/>
    <n v="65"/>
    <s v="B"/>
    <n v="91"/>
    <s v="A+"/>
    <n v="84"/>
    <s v="A"/>
    <n v="65"/>
    <s v="B"/>
    <n v="556"/>
    <n v="79.428571428571431"/>
    <x v="2"/>
    <n v="1224"/>
    <x v="1"/>
  </r>
  <r>
    <n v="904"/>
    <s v="Kevin"/>
    <s v="Ryan"/>
    <x v="895"/>
    <s v="kevin.ryan.904@gslingacademy.com"/>
    <x v="0"/>
    <x v="0"/>
    <n v="4"/>
    <x v="0"/>
    <n v="29"/>
    <x v="4"/>
    <n v="74"/>
    <s v="B+"/>
    <n v="95"/>
    <s v="A+"/>
    <n v="82"/>
    <s v="A"/>
    <n v="61"/>
    <s v="B-"/>
    <n v="70"/>
    <s v="B+"/>
    <n v="88"/>
    <s v="A"/>
    <n v="92"/>
    <s v="A+"/>
    <n v="562"/>
    <n v="80.285714285714292"/>
    <x v="0"/>
    <n v="1099"/>
    <x v="0"/>
  </r>
  <r>
    <n v="905"/>
    <s v="Eileen"/>
    <s v="Nicholson"/>
    <x v="896"/>
    <s v="eileen.nicholson.905@gslingacademy.com"/>
    <x v="1"/>
    <x v="1"/>
    <n v="7"/>
    <x v="1"/>
    <n v="0"/>
    <x v="7"/>
    <n v="51"/>
    <s v="C"/>
    <n v="56"/>
    <s v="C"/>
    <n v="64"/>
    <s v="B-"/>
    <n v="85"/>
    <s v="A"/>
    <n v="91"/>
    <s v="A+"/>
    <n v="78"/>
    <s v="A-"/>
    <n v="97"/>
    <s v="A+"/>
    <n v="522"/>
    <n v="74.571428571428569"/>
    <x v="3"/>
    <n v="1739"/>
    <x v="2"/>
  </r>
  <r>
    <n v="906"/>
    <s v="Robert"/>
    <s v="Torres"/>
    <x v="897"/>
    <s v="robert.torres.906@gslingacademy.com"/>
    <x v="0"/>
    <x v="0"/>
    <n v="7"/>
    <x v="0"/>
    <n v="5"/>
    <x v="16"/>
    <n v="57"/>
    <s v="C"/>
    <n v="74"/>
    <s v="B+"/>
    <n v="98"/>
    <s v="A+"/>
    <n v="93"/>
    <s v="A+"/>
    <n v="63"/>
    <s v="B-"/>
    <n v="70"/>
    <s v="B+"/>
    <n v="67"/>
    <s v="B"/>
    <n v="522"/>
    <n v="74.571428571428569"/>
    <x v="3"/>
    <n v="1739"/>
    <x v="2"/>
  </r>
  <r>
    <n v="907"/>
    <s v="Alicia"/>
    <s v="Beltran"/>
    <x v="898"/>
    <s v="alicia.beltran.907@gslingacademy.com"/>
    <x v="1"/>
    <x v="0"/>
    <n v="6"/>
    <x v="0"/>
    <n v="4"/>
    <x v="7"/>
    <n v="84"/>
    <s v="A"/>
    <n v="54"/>
    <s v="C"/>
    <n v="52"/>
    <s v="C"/>
    <n v="52"/>
    <s v="C"/>
    <n v="65"/>
    <s v="B"/>
    <n v="54"/>
    <s v="C"/>
    <n v="69"/>
    <s v="B"/>
    <n v="430"/>
    <n v="61.428571428571431"/>
    <x v="5"/>
    <n v="1998"/>
    <x v="0"/>
  </r>
  <r>
    <n v="908"/>
    <s v="Jessica"/>
    <s v="Wong"/>
    <x v="899"/>
    <s v="jessica.wong.908@gslingacademy.com"/>
    <x v="1"/>
    <x v="0"/>
    <n v="7"/>
    <x v="0"/>
    <n v="1"/>
    <x v="7"/>
    <n v="84"/>
    <s v="A"/>
    <n v="83"/>
    <s v="A"/>
    <n v="71"/>
    <s v="B+"/>
    <n v="98"/>
    <s v="A+"/>
    <n v="93"/>
    <s v="A+"/>
    <n v="95"/>
    <s v="A+"/>
    <n v="99"/>
    <s v="A+"/>
    <n v="623"/>
    <n v="89"/>
    <x v="0"/>
    <n v="201"/>
    <x v="2"/>
  </r>
  <r>
    <n v="909"/>
    <s v="Ruben"/>
    <s v="Meyer"/>
    <x v="900"/>
    <s v="ruben.meyer.909@gslingacademy.com"/>
    <x v="0"/>
    <x v="0"/>
    <n v="8"/>
    <x v="1"/>
    <n v="12"/>
    <x v="15"/>
    <n v="100"/>
    <s v="A+"/>
    <n v="84"/>
    <s v="A"/>
    <n v="73"/>
    <s v="B+"/>
    <n v="96"/>
    <s v="A+"/>
    <n v="97"/>
    <s v="A+"/>
    <n v="85"/>
    <s v="A"/>
    <n v="63"/>
    <s v="B-"/>
    <n v="598"/>
    <n v="85.428571428571431"/>
    <x v="0"/>
    <n v="436"/>
    <x v="2"/>
  </r>
  <r>
    <n v="910"/>
    <s v="Megan"/>
    <s v="Alexander"/>
    <x v="901"/>
    <s v="megan.alexander.910@gslingacademy.com"/>
    <x v="1"/>
    <x v="0"/>
    <n v="3"/>
    <x v="0"/>
    <n v="27"/>
    <x v="5"/>
    <n v="90"/>
    <s v="A+"/>
    <n v="91"/>
    <s v="A+"/>
    <n v="88"/>
    <s v="A"/>
    <n v="95"/>
    <s v="A+"/>
    <n v="98"/>
    <s v="A+"/>
    <n v="99"/>
    <s v="A+"/>
    <n v="71"/>
    <s v="B+"/>
    <n v="632"/>
    <n v="90.285714285714292"/>
    <x v="1"/>
    <n v="143"/>
    <x v="0"/>
  </r>
  <r>
    <n v="911"/>
    <s v="Jennifer"/>
    <s v="Gonzalez"/>
    <x v="902"/>
    <s v="jennifer.gonzalez.911@gslingacademy.com"/>
    <x v="1"/>
    <x v="0"/>
    <n v="4"/>
    <x v="1"/>
    <n v="12"/>
    <x v="9"/>
    <n v="97"/>
    <s v="A+"/>
    <n v="77"/>
    <s v="A-"/>
    <n v="66"/>
    <s v="B"/>
    <n v="93"/>
    <s v="A+"/>
    <n v="99"/>
    <s v="A+"/>
    <n v="78"/>
    <s v="A-"/>
    <n v="91"/>
    <s v="A+"/>
    <n v="601"/>
    <n v="85.857142857142861"/>
    <x v="0"/>
    <n v="394"/>
    <x v="0"/>
  </r>
  <r>
    <n v="912"/>
    <s v="Carl"/>
    <s v="Ferguson"/>
    <x v="903"/>
    <s v="carl.ferguson.912@gslingacademy.com"/>
    <x v="0"/>
    <x v="0"/>
    <n v="3"/>
    <x v="0"/>
    <n v="21"/>
    <x v="9"/>
    <n v="77"/>
    <s v="A-"/>
    <n v="93"/>
    <s v="A+"/>
    <n v="69"/>
    <s v="B"/>
    <n v="75"/>
    <s v="A-"/>
    <n v="88"/>
    <s v="A"/>
    <n v="81"/>
    <s v="A"/>
    <n v="89"/>
    <s v="A"/>
    <n v="572"/>
    <n v="81.714285714285708"/>
    <x v="0"/>
    <n v="890"/>
    <x v="0"/>
  </r>
  <r>
    <n v="913"/>
    <s v="Valerie"/>
    <s v="Romero"/>
    <x v="904"/>
    <s v="valerie.romero.913@gslingacademy.com"/>
    <x v="1"/>
    <x v="0"/>
    <n v="9"/>
    <x v="0"/>
    <n v="15"/>
    <x v="6"/>
    <n v="82"/>
    <s v="A"/>
    <n v="61"/>
    <s v="B-"/>
    <n v="79"/>
    <s v="A-"/>
    <n v="84"/>
    <s v="A"/>
    <n v="73"/>
    <s v="B+"/>
    <n v="95"/>
    <s v="A+"/>
    <n v="85"/>
    <s v="A"/>
    <n v="559"/>
    <n v="79.857142857142861"/>
    <x v="2"/>
    <n v="1155"/>
    <x v="2"/>
  </r>
  <r>
    <n v="914"/>
    <s v="Laura"/>
    <s v="Romero"/>
    <x v="905"/>
    <s v="laura.romero.914@gslingacademy.com"/>
    <x v="1"/>
    <x v="0"/>
    <n v="3"/>
    <x v="0"/>
    <n v="26"/>
    <x v="5"/>
    <n v="89"/>
    <s v="A"/>
    <n v="68"/>
    <s v="B"/>
    <n v="83"/>
    <s v="A"/>
    <n v="88"/>
    <s v="A"/>
    <n v="69"/>
    <s v="B"/>
    <n v="79"/>
    <s v="A-"/>
    <n v="74"/>
    <s v="B+"/>
    <n v="550"/>
    <n v="78.571428571428569"/>
    <x v="2"/>
    <n v="1338"/>
    <x v="0"/>
  </r>
  <r>
    <n v="915"/>
    <s v="Heidi"/>
    <s v="Adams"/>
    <x v="906"/>
    <s v="heidi.adams.915@gslingacademy.com"/>
    <x v="1"/>
    <x v="1"/>
    <n v="10"/>
    <x v="0"/>
    <n v="3"/>
    <x v="7"/>
    <n v="43"/>
    <s v="D"/>
    <n v="83"/>
    <s v="A"/>
    <n v="58"/>
    <s v="C"/>
    <n v="89"/>
    <s v="A"/>
    <n v="87"/>
    <s v="A"/>
    <n v="78"/>
    <s v="A-"/>
    <n v="86"/>
    <s v="A"/>
    <n v="524"/>
    <n v="74.857142857142861"/>
    <x v="3"/>
    <n v="1715"/>
    <x v="2"/>
  </r>
  <r>
    <n v="916"/>
    <s v="Regina"/>
    <s v="Spencer"/>
    <x v="907"/>
    <s v="regina.spencer.916@gslingacademy.com"/>
    <x v="1"/>
    <x v="0"/>
    <n v="1"/>
    <x v="0"/>
    <n v="31"/>
    <x v="0"/>
    <n v="86"/>
    <s v="A"/>
    <n v="85"/>
    <s v="A"/>
    <n v="66"/>
    <s v="B"/>
    <n v="94"/>
    <s v="A+"/>
    <n v="62"/>
    <s v="B-"/>
    <n v="86"/>
    <s v="A"/>
    <n v="92"/>
    <s v="A+"/>
    <n v="571"/>
    <n v="81.571428571428569"/>
    <x v="0"/>
    <n v="915"/>
    <x v="1"/>
  </r>
  <r>
    <n v="917"/>
    <s v="Lee"/>
    <s v="Campbell"/>
    <x v="908"/>
    <s v="lee.campbell.917@gslingacademy.com"/>
    <x v="0"/>
    <x v="0"/>
    <n v="9"/>
    <x v="0"/>
    <n v="31"/>
    <x v="8"/>
    <n v="92"/>
    <s v="A+"/>
    <n v="74"/>
    <s v="B+"/>
    <n v="95"/>
    <s v="A+"/>
    <n v="97"/>
    <s v="A+"/>
    <n v="87"/>
    <s v="A"/>
    <n v="78"/>
    <s v="A-"/>
    <n v="68"/>
    <s v="B"/>
    <n v="591"/>
    <n v="84.428571428571431"/>
    <x v="0"/>
    <n v="515"/>
    <x v="2"/>
  </r>
  <r>
    <n v="918"/>
    <s v="Noah"/>
    <s v="Mcdaniel"/>
    <x v="909"/>
    <s v="noah.mcdaniel.918@gslingacademy.com"/>
    <x v="0"/>
    <x v="0"/>
    <n v="3"/>
    <x v="0"/>
    <n v="3"/>
    <x v="4"/>
    <n v="71"/>
    <s v="B+"/>
    <n v="70"/>
    <s v="B+"/>
    <n v="60"/>
    <s v="B-"/>
    <n v="84"/>
    <s v="A"/>
    <n v="87"/>
    <s v="A"/>
    <n v="87"/>
    <s v="A"/>
    <n v="64"/>
    <s v="B-"/>
    <n v="523"/>
    <n v="74.714285714285708"/>
    <x v="3"/>
    <n v="1727"/>
    <x v="0"/>
  </r>
  <r>
    <n v="919"/>
    <s v="Dorothy"/>
    <s v="Mitchell"/>
    <x v="910"/>
    <s v="dorothy.mitchell.919@gslingacademy.com"/>
    <x v="1"/>
    <x v="0"/>
    <n v="8"/>
    <x v="0"/>
    <n v="16"/>
    <x v="5"/>
    <n v="92"/>
    <s v="A+"/>
    <n v="81"/>
    <s v="A"/>
    <n v="71"/>
    <s v="B+"/>
    <n v="97"/>
    <s v="A+"/>
    <n v="96"/>
    <s v="A+"/>
    <n v="72"/>
    <s v="B+"/>
    <n v="63"/>
    <s v="B-"/>
    <n v="572"/>
    <n v="81.714285714285708"/>
    <x v="0"/>
    <n v="890"/>
    <x v="2"/>
  </r>
  <r>
    <n v="920"/>
    <s v="Michael"/>
    <s v="Mccarthy"/>
    <x v="911"/>
    <s v="michael.mccarthy.920@gslingacademy.com"/>
    <x v="0"/>
    <x v="0"/>
    <n v="5"/>
    <x v="0"/>
    <n v="29"/>
    <x v="0"/>
    <n v="77"/>
    <s v="A-"/>
    <n v="92"/>
    <s v="A+"/>
    <n v="65"/>
    <s v="B"/>
    <n v="62"/>
    <s v="B-"/>
    <n v="76"/>
    <s v="A-"/>
    <n v="84"/>
    <s v="A"/>
    <n v="100"/>
    <s v="A+"/>
    <n v="556"/>
    <n v="79.428571428571431"/>
    <x v="2"/>
    <n v="1224"/>
    <x v="0"/>
  </r>
  <r>
    <n v="921"/>
    <s v="Matthew"/>
    <s v="Jones"/>
    <x v="912"/>
    <s v="matthew.jones.921@gslingacademy.com"/>
    <x v="0"/>
    <x v="0"/>
    <n v="4"/>
    <x v="0"/>
    <n v="31"/>
    <x v="5"/>
    <n v="90"/>
    <s v="A+"/>
    <n v="62"/>
    <s v="B-"/>
    <n v="87"/>
    <s v="A"/>
    <n v="63"/>
    <s v="B-"/>
    <n v="77"/>
    <s v="A-"/>
    <n v="71"/>
    <s v="B+"/>
    <n v="68"/>
    <s v="B"/>
    <n v="518"/>
    <n v="74"/>
    <x v="3"/>
    <n v="1775"/>
    <x v="0"/>
  </r>
  <r>
    <n v="922"/>
    <s v="John"/>
    <s v="Riley"/>
    <x v="913"/>
    <s v="john.riley.922@gslingacademy.com"/>
    <x v="0"/>
    <x v="0"/>
    <n v="1"/>
    <x v="0"/>
    <n v="46"/>
    <x v="1"/>
    <n v="91"/>
    <s v="A+"/>
    <n v="85"/>
    <s v="A"/>
    <n v="98"/>
    <s v="A+"/>
    <n v="96"/>
    <s v="A+"/>
    <n v="98"/>
    <s v="A+"/>
    <n v="96"/>
    <s v="A+"/>
    <n v="93"/>
    <s v="A+"/>
    <n v="657"/>
    <n v="93.857142857142861"/>
    <x v="1"/>
    <n v="26"/>
    <x v="1"/>
  </r>
  <r>
    <n v="923"/>
    <s v="Shelly"/>
    <s v="Dominguez"/>
    <x v="914"/>
    <s v="shelly.dominguez.923@gslingacademy.com"/>
    <x v="1"/>
    <x v="0"/>
    <n v="1"/>
    <x v="0"/>
    <n v="24"/>
    <x v="5"/>
    <n v="88"/>
    <s v="A"/>
    <n v="72"/>
    <s v="B+"/>
    <n v="96"/>
    <s v="A+"/>
    <n v="97"/>
    <s v="A+"/>
    <n v="71"/>
    <s v="B+"/>
    <n v="60"/>
    <s v="B-"/>
    <n v="61"/>
    <s v="B-"/>
    <n v="545"/>
    <n v="77.857142857142861"/>
    <x v="2"/>
    <n v="1432"/>
    <x v="1"/>
  </r>
  <r>
    <n v="924"/>
    <s v="Ann"/>
    <s v="Evans"/>
    <x v="915"/>
    <s v="ann.evans.924@gslingacademy.com"/>
    <x v="1"/>
    <x v="0"/>
    <n v="2"/>
    <x v="0"/>
    <n v="2"/>
    <x v="16"/>
    <n v="98"/>
    <s v="A+"/>
    <n v="73"/>
    <s v="B+"/>
    <n v="85"/>
    <s v="A"/>
    <n v="78"/>
    <s v="A-"/>
    <n v="61"/>
    <s v="B-"/>
    <n v="74"/>
    <s v="B+"/>
    <n v="96"/>
    <s v="A+"/>
    <n v="565"/>
    <n v="80.714285714285708"/>
    <x v="0"/>
    <n v="1035"/>
    <x v="1"/>
  </r>
  <r>
    <n v="925"/>
    <s v="David"/>
    <s v="Perez"/>
    <x v="916"/>
    <s v="david.perez.925@gslingacademy.com"/>
    <x v="0"/>
    <x v="1"/>
    <n v="10"/>
    <x v="0"/>
    <n v="2"/>
    <x v="7"/>
    <n v="87"/>
    <s v="A"/>
    <n v="60"/>
    <s v="B-"/>
    <n v="67"/>
    <s v="B"/>
    <n v="88"/>
    <s v="A"/>
    <n v="99"/>
    <s v="A+"/>
    <n v="56"/>
    <s v="C"/>
    <n v="92"/>
    <s v="A+"/>
    <n v="549"/>
    <n v="78.428571428571431"/>
    <x v="2"/>
    <n v="1355"/>
    <x v="2"/>
  </r>
  <r>
    <n v="926"/>
    <s v="Nicole"/>
    <s v="Bell"/>
    <x v="917"/>
    <s v="nicole.bell.926@gslingacademy.com"/>
    <x v="1"/>
    <x v="0"/>
    <n v="3"/>
    <x v="0"/>
    <n v="9"/>
    <x v="6"/>
    <n v="66"/>
    <s v="B"/>
    <n v="64"/>
    <s v="B-"/>
    <n v="82"/>
    <s v="A"/>
    <n v="82"/>
    <s v="A"/>
    <n v="72"/>
    <s v="B+"/>
    <n v="96"/>
    <s v="A+"/>
    <n v="100"/>
    <s v="A+"/>
    <n v="562"/>
    <n v="80.285714285714292"/>
    <x v="0"/>
    <n v="1099"/>
    <x v="0"/>
  </r>
  <r>
    <n v="927"/>
    <s v="Amanda"/>
    <s v="Garcia"/>
    <x v="918"/>
    <s v="amanda.garcia.927@gslingacademy.com"/>
    <x v="1"/>
    <x v="1"/>
    <n v="7"/>
    <x v="0"/>
    <n v="0"/>
    <x v="7"/>
    <n v="83"/>
    <s v="A"/>
    <n v="98"/>
    <s v="A+"/>
    <n v="51"/>
    <s v="C"/>
    <n v="72"/>
    <s v="B+"/>
    <n v="90"/>
    <s v="A+"/>
    <n v="59"/>
    <s v="C"/>
    <n v="73"/>
    <s v="B+"/>
    <n v="526"/>
    <n v="75.142857142857139"/>
    <x v="2"/>
    <n v="1688"/>
    <x v="2"/>
  </r>
  <r>
    <n v="928"/>
    <s v="Charles"/>
    <s v="Owens"/>
    <x v="919"/>
    <s v="charles.owens.928@gslingacademy.com"/>
    <x v="0"/>
    <x v="0"/>
    <n v="8"/>
    <x v="0"/>
    <n v="4"/>
    <x v="7"/>
    <n v="40"/>
    <s v="D"/>
    <n v="94"/>
    <s v="A+"/>
    <n v="90"/>
    <s v="A+"/>
    <n v="68"/>
    <s v="B"/>
    <n v="61"/>
    <s v="B-"/>
    <n v="77"/>
    <s v="A-"/>
    <n v="92"/>
    <s v="A+"/>
    <n v="522"/>
    <n v="74.571428571428569"/>
    <x v="3"/>
    <n v="1739"/>
    <x v="2"/>
  </r>
  <r>
    <n v="929"/>
    <s v="Teresa"/>
    <s v="Henry"/>
    <x v="920"/>
    <s v="teresa.henry.929@gslingacademy.com"/>
    <x v="1"/>
    <x v="0"/>
    <n v="6"/>
    <x v="0"/>
    <n v="4"/>
    <x v="7"/>
    <n v="43"/>
    <s v="D"/>
    <n v="90"/>
    <s v="A+"/>
    <n v="78"/>
    <s v="A-"/>
    <n v="63"/>
    <s v="B-"/>
    <n v="68"/>
    <s v="B"/>
    <n v="63"/>
    <s v="B-"/>
    <n v="72"/>
    <s v="B+"/>
    <n v="477"/>
    <n v="68.142857142857139"/>
    <x v="4"/>
    <n v="1941"/>
    <x v="0"/>
  </r>
  <r>
    <n v="930"/>
    <s v="Luis"/>
    <s v="Frank"/>
    <x v="921"/>
    <s v="luis.frank.930@gslingacademy.com"/>
    <x v="0"/>
    <x v="0"/>
    <n v="4"/>
    <x v="0"/>
    <n v="34"/>
    <x v="5"/>
    <n v="100"/>
    <s v="A+"/>
    <n v="97"/>
    <s v="A+"/>
    <n v="74"/>
    <s v="B+"/>
    <n v="74"/>
    <s v="B+"/>
    <n v="82"/>
    <s v="A"/>
    <n v="75"/>
    <s v="A-"/>
    <n v="69"/>
    <s v="B"/>
    <n v="571"/>
    <n v="81.571428571428569"/>
    <x v="0"/>
    <n v="915"/>
    <x v="0"/>
  </r>
  <r>
    <n v="931"/>
    <s v="Timothy"/>
    <s v="Booth"/>
    <x v="922"/>
    <s v="timothy.booth.931@gslingacademy.com"/>
    <x v="0"/>
    <x v="0"/>
    <n v="2"/>
    <x v="0"/>
    <n v="34"/>
    <x v="4"/>
    <n v="93"/>
    <s v="A+"/>
    <n v="70"/>
    <s v="B+"/>
    <n v="74"/>
    <s v="B+"/>
    <n v="78"/>
    <s v="A-"/>
    <n v="94"/>
    <s v="A+"/>
    <n v="75"/>
    <s v="A-"/>
    <n v="96"/>
    <s v="A+"/>
    <n v="580"/>
    <n v="82.857142857142861"/>
    <x v="0"/>
    <n v="709"/>
    <x v="1"/>
  </r>
  <r>
    <n v="932"/>
    <s v="Michael"/>
    <s v="Moon"/>
    <x v="923"/>
    <s v="michael.moon.932@gslingacademy.com"/>
    <x v="0"/>
    <x v="0"/>
    <n v="5"/>
    <x v="0"/>
    <n v="32"/>
    <x v="5"/>
    <n v="98"/>
    <s v="A+"/>
    <n v="86"/>
    <s v="A"/>
    <n v="82"/>
    <s v="A"/>
    <n v="72"/>
    <s v="B+"/>
    <n v="79"/>
    <s v="A-"/>
    <n v="93"/>
    <s v="A+"/>
    <n v="94"/>
    <s v="A+"/>
    <n v="604"/>
    <n v="86.285714285714292"/>
    <x v="0"/>
    <n v="353"/>
    <x v="0"/>
  </r>
  <r>
    <n v="933"/>
    <s v="Rachel"/>
    <s v="Hall"/>
    <x v="924"/>
    <s v="rachel.hall.933@gslingacademy.com"/>
    <x v="1"/>
    <x v="1"/>
    <n v="4"/>
    <x v="0"/>
    <n v="23"/>
    <x v="5"/>
    <n v="90"/>
    <s v="A+"/>
    <n v="95"/>
    <s v="A+"/>
    <n v="73"/>
    <s v="B+"/>
    <n v="81"/>
    <s v="A"/>
    <n v="81"/>
    <s v="A"/>
    <n v="62"/>
    <s v="B-"/>
    <n v="81"/>
    <s v="A"/>
    <n v="563"/>
    <n v="80.428571428571431"/>
    <x v="0"/>
    <n v="1077"/>
    <x v="0"/>
  </r>
  <r>
    <n v="934"/>
    <s v="Thomas"/>
    <s v="Nguyen"/>
    <x v="925"/>
    <s v="thomas.nguyen.934@gslingacademy.com"/>
    <x v="0"/>
    <x v="0"/>
    <n v="2"/>
    <x v="1"/>
    <n v="20"/>
    <x v="5"/>
    <n v="90"/>
    <s v="A+"/>
    <n v="77"/>
    <s v="A-"/>
    <n v="86"/>
    <s v="A"/>
    <n v="91"/>
    <s v="A+"/>
    <n v="76"/>
    <s v="A-"/>
    <n v="78"/>
    <s v="A-"/>
    <n v="62"/>
    <s v="B-"/>
    <n v="560"/>
    <n v="80"/>
    <x v="0"/>
    <n v="1134"/>
    <x v="1"/>
  </r>
  <r>
    <n v="935"/>
    <s v="Tiffany"/>
    <s v="Fields"/>
    <x v="926"/>
    <s v="tiffany.fields.935@gslingacademy.com"/>
    <x v="1"/>
    <x v="0"/>
    <n v="1"/>
    <x v="0"/>
    <n v="5"/>
    <x v="3"/>
    <n v="68"/>
    <s v="B"/>
    <n v="67"/>
    <s v="B"/>
    <n v="65"/>
    <s v="B"/>
    <n v="68"/>
    <s v="B"/>
    <n v="63"/>
    <s v="B-"/>
    <n v="97"/>
    <s v="A+"/>
    <n v="63"/>
    <s v="B-"/>
    <n v="491"/>
    <n v="70.142857142857139"/>
    <x v="3"/>
    <n v="1907"/>
    <x v="1"/>
  </r>
  <r>
    <n v="936"/>
    <s v="Jessica"/>
    <s v="Marshall"/>
    <x v="927"/>
    <s v="jessica.marshall.936@gslingacademy.com"/>
    <x v="1"/>
    <x v="0"/>
    <n v="5"/>
    <x v="1"/>
    <n v="15"/>
    <x v="5"/>
    <n v="91"/>
    <s v="A+"/>
    <n v="60"/>
    <s v="B-"/>
    <n v="98"/>
    <s v="A+"/>
    <n v="77"/>
    <s v="A-"/>
    <n v="72"/>
    <s v="B+"/>
    <n v="74"/>
    <s v="B+"/>
    <n v="63"/>
    <s v="B-"/>
    <n v="535"/>
    <n v="76.428571428571431"/>
    <x v="2"/>
    <n v="1578"/>
    <x v="0"/>
  </r>
  <r>
    <n v="937"/>
    <s v="Maurice"/>
    <s v="Nguyen"/>
    <x v="928"/>
    <s v="maurice.nguyen.937@gslingacademy.com"/>
    <x v="0"/>
    <x v="0"/>
    <n v="3"/>
    <x v="0"/>
    <n v="21"/>
    <x v="12"/>
    <n v="87"/>
    <s v="A"/>
    <n v="74"/>
    <s v="B+"/>
    <n v="92"/>
    <s v="A+"/>
    <n v="67"/>
    <s v="B"/>
    <n v="85"/>
    <s v="A"/>
    <n v="63"/>
    <s v="B-"/>
    <n v="87"/>
    <s v="A"/>
    <n v="555"/>
    <n v="79.285714285714292"/>
    <x v="2"/>
    <n v="1245"/>
    <x v="0"/>
  </r>
  <r>
    <n v="938"/>
    <s v="William"/>
    <s v="Kelly"/>
    <x v="929"/>
    <s v="william.kelly.938@gslingacademy.com"/>
    <x v="0"/>
    <x v="0"/>
    <n v="1"/>
    <x v="0"/>
    <n v="30"/>
    <x v="5"/>
    <n v="91"/>
    <s v="A+"/>
    <n v="90"/>
    <s v="A+"/>
    <n v="88"/>
    <s v="A"/>
    <n v="92"/>
    <s v="A+"/>
    <n v="75"/>
    <s v="A-"/>
    <n v="98"/>
    <s v="A+"/>
    <n v="91"/>
    <s v="A+"/>
    <n v="625"/>
    <n v="89.285714285714292"/>
    <x v="0"/>
    <n v="187"/>
    <x v="1"/>
  </r>
  <r>
    <n v="939"/>
    <s v="Harry"/>
    <s v="Hunter"/>
    <x v="930"/>
    <s v="harry.hunter.939@gslingacademy.com"/>
    <x v="0"/>
    <x v="0"/>
    <n v="3"/>
    <x v="1"/>
    <n v="15"/>
    <x v="11"/>
    <n v="98"/>
    <s v="A+"/>
    <n v="72"/>
    <s v="B+"/>
    <n v="87"/>
    <s v="A"/>
    <n v="74"/>
    <s v="B+"/>
    <n v="100"/>
    <s v="A+"/>
    <n v="84"/>
    <s v="A"/>
    <n v="85"/>
    <s v="A"/>
    <n v="600"/>
    <n v="85.714285714285708"/>
    <x v="0"/>
    <n v="406"/>
    <x v="0"/>
  </r>
  <r>
    <n v="940"/>
    <s v="Gary"/>
    <s v="Gentry"/>
    <x v="931"/>
    <s v="gary.gentry.940@gslingacademy.com"/>
    <x v="0"/>
    <x v="0"/>
    <n v="6"/>
    <x v="1"/>
    <n v="18"/>
    <x v="9"/>
    <n v="85"/>
    <s v="A"/>
    <n v="74"/>
    <s v="B+"/>
    <n v="79"/>
    <s v="A-"/>
    <n v="82"/>
    <s v="A"/>
    <n v="71"/>
    <s v="B+"/>
    <n v="87"/>
    <s v="A"/>
    <n v="67"/>
    <s v="B"/>
    <n v="545"/>
    <n v="77.857142857142861"/>
    <x v="2"/>
    <n v="1432"/>
    <x v="0"/>
  </r>
  <r>
    <n v="941"/>
    <s v="Maria"/>
    <s v="Malone"/>
    <x v="932"/>
    <s v="maria.malone.941@gslingacademy.com"/>
    <x v="1"/>
    <x v="1"/>
    <n v="10"/>
    <x v="0"/>
    <n v="4"/>
    <x v="7"/>
    <n v="40"/>
    <s v="D"/>
    <n v="97"/>
    <s v="A+"/>
    <n v="71"/>
    <s v="B+"/>
    <n v="70"/>
    <s v="B+"/>
    <n v="73"/>
    <s v="B+"/>
    <n v="81"/>
    <s v="A"/>
    <n v="85"/>
    <s v="A"/>
    <n v="517"/>
    <n v="73.857142857142861"/>
    <x v="3"/>
    <n v="1781"/>
    <x v="2"/>
  </r>
  <r>
    <n v="942"/>
    <s v="Jason"/>
    <s v="Vazquez"/>
    <x v="933"/>
    <s v="jason.vazquez.942@gslingacademy.com"/>
    <x v="0"/>
    <x v="0"/>
    <n v="3"/>
    <x v="0"/>
    <n v="24"/>
    <x v="11"/>
    <n v="76"/>
    <s v="A-"/>
    <n v="75"/>
    <s v="A-"/>
    <n v="76"/>
    <s v="A-"/>
    <n v="67"/>
    <s v="B"/>
    <n v="60"/>
    <s v="B-"/>
    <n v="77"/>
    <s v="A-"/>
    <n v="100"/>
    <s v="A+"/>
    <n v="531"/>
    <n v="75.857142857142861"/>
    <x v="2"/>
    <n v="1637"/>
    <x v="0"/>
  </r>
  <r>
    <n v="943"/>
    <s v="Patrick"/>
    <s v="West"/>
    <x v="934"/>
    <s v="patrick.west.943@gslingacademy.com"/>
    <x v="0"/>
    <x v="0"/>
    <n v="3"/>
    <x v="0"/>
    <n v="15"/>
    <x v="9"/>
    <n v="89"/>
    <s v="A"/>
    <n v="76"/>
    <s v="A-"/>
    <n v="84"/>
    <s v="A"/>
    <n v="93"/>
    <s v="A+"/>
    <n v="64"/>
    <s v="B-"/>
    <n v="86"/>
    <s v="A"/>
    <n v="95"/>
    <s v="A+"/>
    <n v="587"/>
    <n v="83.857142857142861"/>
    <x v="0"/>
    <n v="583"/>
    <x v="0"/>
  </r>
  <r>
    <n v="944"/>
    <s v="Alexandra"/>
    <s v="Brown"/>
    <x v="935"/>
    <s v="alexandra.brown.944@gslingacademy.com"/>
    <x v="1"/>
    <x v="0"/>
    <n v="3"/>
    <x v="0"/>
    <n v="2"/>
    <x v="3"/>
    <n v="76"/>
    <s v="A-"/>
    <n v="73"/>
    <s v="B+"/>
    <n v="74"/>
    <s v="B+"/>
    <n v="73"/>
    <s v="B+"/>
    <n v="81"/>
    <s v="A"/>
    <n v="87"/>
    <s v="A"/>
    <n v="84"/>
    <s v="A"/>
    <n v="548"/>
    <n v="78.285714285714292"/>
    <x v="2"/>
    <n v="1374"/>
    <x v="0"/>
  </r>
  <r>
    <n v="945"/>
    <s v="Jennifer"/>
    <s v="Torres"/>
    <x v="936"/>
    <s v="jennifer.torres.945@gslingacademy.com"/>
    <x v="1"/>
    <x v="0"/>
    <n v="6"/>
    <x v="0"/>
    <n v="14"/>
    <x v="5"/>
    <n v="91"/>
    <s v="A+"/>
    <n v="61"/>
    <s v="B-"/>
    <n v="100"/>
    <s v="A+"/>
    <n v="88"/>
    <s v="A"/>
    <n v="73"/>
    <s v="B+"/>
    <n v="84"/>
    <s v="A"/>
    <n v="100"/>
    <s v="A+"/>
    <n v="597"/>
    <n v="85.285714285714292"/>
    <x v="0"/>
    <n v="446"/>
    <x v="0"/>
  </r>
  <r>
    <n v="946"/>
    <s v="Daniel"/>
    <s v="Smith"/>
    <x v="937"/>
    <s v="daniel.smith.946@gslingacademy.com"/>
    <x v="0"/>
    <x v="0"/>
    <n v="1"/>
    <x v="0"/>
    <n v="5"/>
    <x v="7"/>
    <n v="55"/>
    <s v="C"/>
    <n v="58"/>
    <s v="C"/>
    <n v="96"/>
    <s v="A+"/>
    <n v="88"/>
    <s v="A"/>
    <n v="99"/>
    <s v="A+"/>
    <n v="98"/>
    <s v="A+"/>
    <n v="71"/>
    <s v="B+"/>
    <n v="565"/>
    <n v="80.714285714285708"/>
    <x v="0"/>
    <n v="1035"/>
    <x v="1"/>
  </r>
  <r>
    <n v="947"/>
    <s v="Catherine"/>
    <s v="Boyle"/>
    <x v="938"/>
    <s v="catherine.boyle.947@gslingacademy.com"/>
    <x v="1"/>
    <x v="0"/>
    <n v="5"/>
    <x v="0"/>
    <n v="0"/>
    <x v="16"/>
    <n v="93"/>
    <s v="A+"/>
    <n v="88"/>
    <s v="A"/>
    <n v="76"/>
    <s v="A-"/>
    <n v="73"/>
    <s v="B+"/>
    <n v="67"/>
    <s v="B"/>
    <n v="88"/>
    <s v="A"/>
    <n v="76"/>
    <s v="A-"/>
    <n v="561"/>
    <n v="80.142857142857139"/>
    <x v="0"/>
    <n v="1120"/>
    <x v="0"/>
  </r>
  <r>
    <n v="948"/>
    <s v="Amanda"/>
    <s v="Bush"/>
    <x v="939"/>
    <s v="amanda.bush.948@gslingacademy.com"/>
    <x v="1"/>
    <x v="0"/>
    <n v="1"/>
    <x v="0"/>
    <n v="10"/>
    <x v="16"/>
    <n v="84"/>
    <s v="A"/>
    <n v="68"/>
    <s v="B"/>
    <n v="60"/>
    <s v="B-"/>
    <n v="86"/>
    <s v="A"/>
    <n v="90"/>
    <s v="A+"/>
    <n v="84"/>
    <s v="A"/>
    <n v="81"/>
    <s v="A"/>
    <n v="553"/>
    <n v="79"/>
    <x v="2"/>
    <n v="1284"/>
    <x v="1"/>
  </r>
  <r>
    <n v="949"/>
    <s v="Emma"/>
    <s v="Copeland"/>
    <x v="940"/>
    <s v="emma.copeland.949@gslingacademy.com"/>
    <x v="1"/>
    <x v="1"/>
    <n v="5"/>
    <x v="0"/>
    <n v="2"/>
    <x v="7"/>
    <n v="62"/>
    <s v="B-"/>
    <n v="65"/>
    <s v="B"/>
    <n v="98"/>
    <s v="A+"/>
    <n v="52"/>
    <s v="C"/>
    <n v="66"/>
    <s v="B"/>
    <n v="94"/>
    <s v="A+"/>
    <n v="82"/>
    <s v="A"/>
    <n v="519"/>
    <n v="74.142857142857139"/>
    <x v="3"/>
    <n v="1766"/>
    <x v="0"/>
  </r>
  <r>
    <n v="950"/>
    <s v="Bradley"/>
    <s v="Avery"/>
    <x v="941"/>
    <s v="bradley.avery.950@gslingacademy.com"/>
    <x v="0"/>
    <x v="0"/>
    <n v="3"/>
    <x v="0"/>
    <n v="30"/>
    <x v="0"/>
    <n v="80"/>
    <s v="A"/>
    <n v="81"/>
    <s v="A"/>
    <n v="75"/>
    <s v="A-"/>
    <n v="72"/>
    <s v="B+"/>
    <n v="71"/>
    <s v="B+"/>
    <n v="84"/>
    <s v="A"/>
    <n v="87"/>
    <s v="A"/>
    <n v="550"/>
    <n v="78.571428571428569"/>
    <x v="2"/>
    <n v="1338"/>
    <x v="0"/>
  </r>
  <r>
    <n v="951"/>
    <s v="Danielle"/>
    <s v="Martinez"/>
    <x v="942"/>
    <s v="danielle.martinez.951@gslingacademy.com"/>
    <x v="1"/>
    <x v="0"/>
    <n v="7"/>
    <x v="0"/>
    <n v="28"/>
    <x v="1"/>
    <n v="93"/>
    <s v="A+"/>
    <n v="84"/>
    <s v="A"/>
    <n v="85"/>
    <s v="A"/>
    <n v="94"/>
    <s v="A+"/>
    <n v="95"/>
    <s v="A+"/>
    <n v="74"/>
    <s v="B+"/>
    <n v="83"/>
    <s v="A"/>
    <n v="608"/>
    <n v="86.857142857142861"/>
    <x v="0"/>
    <n v="318"/>
    <x v="2"/>
  </r>
  <r>
    <n v="952"/>
    <s v="Anna"/>
    <s v="Wolf"/>
    <x v="943"/>
    <s v="anna.wolf.952@gslingacademy.com"/>
    <x v="1"/>
    <x v="0"/>
    <n v="0"/>
    <x v="1"/>
    <n v="29"/>
    <x v="0"/>
    <n v="92"/>
    <s v="A+"/>
    <n v="82"/>
    <s v="A"/>
    <n v="63"/>
    <s v="B-"/>
    <n v="61"/>
    <s v="B-"/>
    <n v="66"/>
    <s v="B"/>
    <n v="84"/>
    <s v="A"/>
    <n v="98"/>
    <s v="A+"/>
    <n v="546"/>
    <n v="78"/>
    <x v="2"/>
    <n v="1411"/>
    <x v="1"/>
  </r>
  <r>
    <n v="953"/>
    <s v="Megan"/>
    <s v="Whitaker"/>
    <x v="944"/>
    <s v="megan.whitaker.953@gslingacademy.com"/>
    <x v="1"/>
    <x v="0"/>
    <n v="0"/>
    <x v="0"/>
    <n v="35"/>
    <x v="5"/>
    <n v="87"/>
    <s v="A"/>
    <n v="89"/>
    <s v="A"/>
    <n v="91"/>
    <s v="A+"/>
    <n v="89"/>
    <s v="A"/>
    <n v="93"/>
    <s v="A+"/>
    <n v="92"/>
    <s v="A+"/>
    <n v="95"/>
    <s v="A+"/>
    <n v="636"/>
    <n v="90.857142857142861"/>
    <x v="1"/>
    <n v="124"/>
    <x v="1"/>
  </r>
  <r>
    <n v="954"/>
    <s v="Melissa"/>
    <s v="Richard"/>
    <x v="945"/>
    <s v="melissa.richard.954@gslingacademy.com"/>
    <x v="1"/>
    <x v="0"/>
    <n v="1"/>
    <x v="0"/>
    <n v="12"/>
    <x v="9"/>
    <n v="83"/>
    <s v="A"/>
    <n v="69"/>
    <s v="B"/>
    <n v="93"/>
    <s v="A+"/>
    <n v="60"/>
    <s v="B-"/>
    <n v="98"/>
    <s v="A+"/>
    <n v="83"/>
    <s v="A"/>
    <n v="88"/>
    <s v="A"/>
    <n v="574"/>
    <n v="82"/>
    <x v="0"/>
    <n v="832"/>
    <x v="1"/>
  </r>
  <r>
    <n v="955"/>
    <s v="Richard"/>
    <s v="Small"/>
    <x v="946"/>
    <s v="richard.small.955@gslingacademy.com"/>
    <x v="0"/>
    <x v="1"/>
    <n v="3"/>
    <x v="0"/>
    <n v="32"/>
    <x v="15"/>
    <n v="95"/>
    <s v="A+"/>
    <n v="75"/>
    <s v="A-"/>
    <n v="87"/>
    <s v="A"/>
    <n v="67"/>
    <s v="B"/>
    <n v="96"/>
    <s v="A+"/>
    <n v="86"/>
    <s v="A"/>
    <n v="85"/>
    <s v="A"/>
    <n v="591"/>
    <n v="84.428571428571431"/>
    <x v="0"/>
    <n v="515"/>
    <x v="0"/>
  </r>
  <r>
    <n v="956"/>
    <s v="Victor"/>
    <s v="Phillips"/>
    <x v="947"/>
    <s v="victor.phillips.956@gslingacademy.com"/>
    <x v="0"/>
    <x v="0"/>
    <n v="2"/>
    <x v="0"/>
    <n v="27"/>
    <x v="11"/>
    <n v="79"/>
    <s v="A-"/>
    <n v="65"/>
    <s v="B"/>
    <n v="92"/>
    <s v="A+"/>
    <n v="67"/>
    <s v="B"/>
    <n v="78"/>
    <s v="A-"/>
    <n v="66"/>
    <s v="B"/>
    <n v="98"/>
    <s v="A+"/>
    <n v="545"/>
    <n v="77.857142857142861"/>
    <x v="2"/>
    <n v="1432"/>
    <x v="1"/>
  </r>
  <r>
    <n v="957"/>
    <s v="Madison"/>
    <s v="Callahan"/>
    <x v="948"/>
    <s v="madison.callahan.957@gslingacademy.com"/>
    <x v="1"/>
    <x v="0"/>
    <n v="4"/>
    <x v="0"/>
    <n v="25"/>
    <x v="4"/>
    <n v="87"/>
    <s v="A"/>
    <n v="68"/>
    <s v="B"/>
    <n v="84"/>
    <s v="A"/>
    <n v="92"/>
    <s v="A+"/>
    <n v="96"/>
    <s v="A+"/>
    <n v="88"/>
    <s v="A"/>
    <n v="60"/>
    <s v="B-"/>
    <n v="575"/>
    <n v="82.142857142857139"/>
    <x v="0"/>
    <n v="807"/>
    <x v="0"/>
  </r>
  <r>
    <n v="958"/>
    <s v="Connor"/>
    <s v="Olson"/>
    <x v="949"/>
    <s v="connor.olson.958@gslingacademy.com"/>
    <x v="0"/>
    <x v="0"/>
    <n v="10"/>
    <x v="0"/>
    <n v="11"/>
    <x v="4"/>
    <n v="94"/>
    <s v="A+"/>
    <n v="92"/>
    <s v="A+"/>
    <n v="76"/>
    <s v="A-"/>
    <n v="74"/>
    <s v="B+"/>
    <n v="65"/>
    <s v="B"/>
    <n v="96"/>
    <s v="A+"/>
    <n v="87"/>
    <s v="A"/>
    <n v="584"/>
    <n v="83.428571428571431"/>
    <x v="0"/>
    <n v="635"/>
    <x v="2"/>
  </r>
  <r>
    <n v="959"/>
    <s v="Hunter"/>
    <s v="Allen"/>
    <x v="950"/>
    <s v="hunter.allen.959@gslingacademy.com"/>
    <x v="0"/>
    <x v="0"/>
    <n v="3"/>
    <x v="0"/>
    <n v="2"/>
    <x v="14"/>
    <n v="82"/>
    <s v="A"/>
    <n v="77"/>
    <s v="A-"/>
    <n v="95"/>
    <s v="A+"/>
    <n v="81"/>
    <s v="A"/>
    <n v="83"/>
    <s v="A"/>
    <n v="73"/>
    <s v="B+"/>
    <n v="76"/>
    <s v="A-"/>
    <n v="567"/>
    <n v="81"/>
    <x v="0"/>
    <n v="994"/>
    <x v="0"/>
  </r>
  <r>
    <n v="960"/>
    <s v="Shannon"/>
    <s v="Johnson"/>
    <x v="951"/>
    <s v="shannon.johnson.960@gslingacademy.com"/>
    <x v="1"/>
    <x v="0"/>
    <n v="2"/>
    <x v="0"/>
    <n v="24"/>
    <x v="9"/>
    <n v="90"/>
    <s v="A+"/>
    <n v="98"/>
    <s v="A+"/>
    <n v="89"/>
    <s v="A"/>
    <n v="78"/>
    <s v="A-"/>
    <n v="74"/>
    <s v="B+"/>
    <n v="93"/>
    <s v="A+"/>
    <n v="65"/>
    <s v="B"/>
    <n v="587"/>
    <n v="83.857142857142861"/>
    <x v="0"/>
    <n v="583"/>
    <x v="1"/>
  </r>
  <r>
    <n v="961"/>
    <s v="Samantha"/>
    <s v="Alexander"/>
    <x v="952"/>
    <s v="samantha.alexander.961@gslingacademy.com"/>
    <x v="1"/>
    <x v="0"/>
    <n v="4"/>
    <x v="0"/>
    <n v="16"/>
    <x v="11"/>
    <n v="100"/>
    <s v="A+"/>
    <n v="68"/>
    <s v="B"/>
    <n v="62"/>
    <s v="B-"/>
    <n v="76"/>
    <s v="A-"/>
    <n v="72"/>
    <s v="B+"/>
    <n v="94"/>
    <s v="A+"/>
    <n v="89"/>
    <s v="A"/>
    <n v="561"/>
    <n v="80.142857142857139"/>
    <x v="0"/>
    <n v="1120"/>
    <x v="0"/>
  </r>
  <r>
    <n v="962"/>
    <s v="Justin"/>
    <s v="Lester"/>
    <x v="953"/>
    <s v="justin.lester.962@gslingacademy.com"/>
    <x v="0"/>
    <x v="0"/>
    <n v="7"/>
    <x v="1"/>
    <n v="1"/>
    <x v="3"/>
    <n v="98"/>
    <s v="A+"/>
    <n v="85"/>
    <s v="A"/>
    <n v="75"/>
    <s v="A-"/>
    <n v="66"/>
    <s v="B"/>
    <n v="73"/>
    <s v="B+"/>
    <n v="88"/>
    <s v="A"/>
    <n v="85"/>
    <s v="A"/>
    <n v="570"/>
    <n v="81.428571428571431"/>
    <x v="0"/>
    <n v="937"/>
    <x v="2"/>
  </r>
  <r>
    <n v="963"/>
    <s v="Hunter"/>
    <s v="Miller"/>
    <x v="954"/>
    <s v="hunter.miller.963@gslingacademy.com"/>
    <x v="0"/>
    <x v="0"/>
    <n v="0"/>
    <x v="0"/>
    <n v="2"/>
    <x v="14"/>
    <n v="80"/>
    <s v="A"/>
    <n v="84"/>
    <s v="A"/>
    <n v="94"/>
    <s v="A+"/>
    <n v="63"/>
    <s v="B-"/>
    <n v="62"/>
    <s v="B-"/>
    <n v="72"/>
    <s v="B+"/>
    <n v="68"/>
    <s v="B"/>
    <n v="523"/>
    <n v="74.714285714285708"/>
    <x v="3"/>
    <n v="1727"/>
    <x v="1"/>
  </r>
  <r>
    <n v="964"/>
    <s v="Shelia"/>
    <s v="Rogers"/>
    <x v="955"/>
    <s v="shelia.rogers.964@gslingacademy.com"/>
    <x v="1"/>
    <x v="0"/>
    <n v="1"/>
    <x v="0"/>
    <n v="35"/>
    <x v="10"/>
    <n v="89"/>
    <s v="A"/>
    <n v="91"/>
    <s v="A+"/>
    <n v="96"/>
    <s v="A+"/>
    <n v="100"/>
    <s v="A+"/>
    <n v="95"/>
    <s v="A+"/>
    <n v="93"/>
    <s v="A+"/>
    <n v="86"/>
    <s v="A"/>
    <n v="650"/>
    <n v="92.857142857142861"/>
    <x v="1"/>
    <n v="56"/>
    <x v="1"/>
  </r>
  <r>
    <n v="965"/>
    <s v="Laura"/>
    <s v="Walker"/>
    <x v="956"/>
    <s v="laura.walker.965@gslingacademy.com"/>
    <x v="1"/>
    <x v="0"/>
    <n v="0"/>
    <x v="0"/>
    <n v="5"/>
    <x v="4"/>
    <n v="96"/>
    <s v="A+"/>
    <n v="67"/>
    <s v="B"/>
    <n v="74"/>
    <s v="B+"/>
    <n v="90"/>
    <s v="A+"/>
    <n v="75"/>
    <s v="A-"/>
    <n v="95"/>
    <s v="A+"/>
    <n v="83"/>
    <s v="A"/>
    <n v="580"/>
    <n v="82.857142857142861"/>
    <x v="0"/>
    <n v="709"/>
    <x v="1"/>
  </r>
  <r>
    <n v="966"/>
    <s v="Ashley"/>
    <s v="Green"/>
    <x v="957"/>
    <s v="ashley.green.966@gslingacademy.com"/>
    <x v="1"/>
    <x v="0"/>
    <n v="4"/>
    <x v="0"/>
    <n v="14"/>
    <x v="11"/>
    <n v="94"/>
    <s v="A+"/>
    <n v="82"/>
    <s v="A"/>
    <n v="80"/>
    <s v="A"/>
    <n v="80"/>
    <s v="A"/>
    <n v="33"/>
    <s v="F"/>
    <n v="93"/>
    <s v="A+"/>
    <n v="78"/>
    <s v="A-"/>
    <n v="540"/>
    <n v="77.142857142857139"/>
    <x v="2"/>
    <n v="1513"/>
    <x v="0"/>
  </r>
  <r>
    <n v="967"/>
    <s v="Beth"/>
    <s v="Bonilla"/>
    <x v="958"/>
    <s v="beth.bonilla.967@gslingacademy.com"/>
    <x v="1"/>
    <x v="0"/>
    <n v="2"/>
    <x v="0"/>
    <n v="26"/>
    <x v="4"/>
    <n v="64"/>
    <s v="B-"/>
    <n v="65"/>
    <s v="B"/>
    <n v="97"/>
    <s v="A+"/>
    <n v="96"/>
    <s v="A+"/>
    <n v="80"/>
    <s v="A"/>
    <n v="80"/>
    <s v="A"/>
    <n v="78"/>
    <s v="A-"/>
    <n v="560"/>
    <n v="80"/>
    <x v="0"/>
    <n v="1134"/>
    <x v="1"/>
  </r>
  <r>
    <n v="968"/>
    <s v="Ray"/>
    <s v="Padilla"/>
    <x v="959"/>
    <s v="ray.padilla.968@gslingacademy.com"/>
    <x v="0"/>
    <x v="0"/>
    <n v="3"/>
    <x v="0"/>
    <n v="41"/>
    <x v="1"/>
    <n v="89"/>
    <s v="A"/>
    <n v="89"/>
    <s v="A"/>
    <n v="100"/>
    <s v="A+"/>
    <n v="96"/>
    <s v="A+"/>
    <n v="96"/>
    <s v="A+"/>
    <n v="85"/>
    <s v="A"/>
    <n v="92"/>
    <s v="A+"/>
    <n v="647"/>
    <n v="92.428571428571431"/>
    <x v="1"/>
    <n v="68"/>
    <x v="0"/>
  </r>
  <r>
    <n v="969"/>
    <s v="Jennifer"/>
    <s v="Cummings"/>
    <x v="960"/>
    <s v="jennifer.cummings.969@gslingacademy.com"/>
    <x v="1"/>
    <x v="0"/>
    <n v="2"/>
    <x v="1"/>
    <n v="6"/>
    <x v="4"/>
    <n v="97"/>
    <s v="A+"/>
    <n v="78"/>
    <s v="A-"/>
    <n v="99"/>
    <s v="A+"/>
    <n v="88"/>
    <s v="A"/>
    <n v="69"/>
    <s v="B"/>
    <n v="98"/>
    <s v="A+"/>
    <n v="60"/>
    <s v="B-"/>
    <n v="589"/>
    <n v="84.142857142857139"/>
    <x v="0"/>
    <n v="548"/>
    <x v="1"/>
  </r>
  <r>
    <n v="970"/>
    <s v="Daniel"/>
    <s v="Peterson"/>
    <x v="961"/>
    <s v="daniel.peterson.970@gslingacademy.com"/>
    <x v="0"/>
    <x v="0"/>
    <n v="3"/>
    <x v="0"/>
    <n v="35"/>
    <x v="5"/>
    <n v="91"/>
    <s v="A+"/>
    <n v="97"/>
    <s v="A+"/>
    <n v="87"/>
    <s v="A"/>
    <n v="93"/>
    <s v="A+"/>
    <n v="94"/>
    <s v="A+"/>
    <n v="90"/>
    <s v="A+"/>
    <n v="88"/>
    <s v="A"/>
    <n v="640"/>
    <n v="91.428571428571431"/>
    <x v="1"/>
    <n v="98"/>
    <x v="0"/>
  </r>
  <r>
    <n v="971"/>
    <s v="Andrew"/>
    <s v="Miller"/>
    <x v="962"/>
    <s v="andrew.miller.971@gslingacademy.com"/>
    <x v="0"/>
    <x v="0"/>
    <n v="0"/>
    <x v="1"/>
    <n v="30"/>
    <x v="13"/>
    <n v="96"/>
    <s v="A+"/>
    <n v="98"/>
    <s v="A+"/>
    <n v="99"/>
    <s v="A+"/>
    <n v="65"/>
    <s v="B"/>
    <n v="95"/>
    <s v="A+"/>
    <n v="76"/>
    <s v="A-"/>
    <n v="68"/>
    <s v="B"/>
    <n v="597"/>
    <n v="85.285714285714292"/>
    <x v="0"/>
    <n v="446"/>
    <x v="1"/>
  </r>
  <r>
    <n v="972"/>
    <s v="Scott"/>
    <s v="Jacobson"/>
    <x v="963"/>
    <s v="scott.jacobson.972@gslingacademy.com"/>
    <x v="0"/>
    <x v="0"/>
    <n v="2"/>
    <x v="1"/>
    <n v="12"/>
    <x v="9"/>
    <n v="81"/>
    <s v="A"/>
    <n v="68"/>
    <s v="B"/>
    <n v="97"/>
    <s v="A+"/>
    <n v="86"/>
    <s v="A"/>
    <n v="90"/>
    <s v="A+"/>
    <n v="78"/>
    <s v="A-"/>
    <n v="80"/>
    <s v="A"/>
    <n v="580"/>
    <n v="82.857142857142861"/>
    <x v="0"/>
    <n v="709"/>
    <x v="1"/>
  </r>
  <r>
    <n v="973"/>
    <s v="Jennifer"/>
    <s v="Baker"/>
    <x v="964"/>
    <s v="jennifer.baker.973@gslingacademy.com"/>
    <x v="1"/>
    <x v="0"/>
    <n v="2"/>
    <x v="0"/>
    <n v="29"/>
    <x v="5"/>
    <n v="87"/>
    <s v="A"/>
    <n v="89"/>
    <s v="A"/>
    <n v="61"/>
    <s v="B-"/>
    <n v="66"/>
    <s v="B"/>
    <n v="72"/>
    <s v="B+"/>
    <n v="90"/>
    <s v="A+"/>
    <n v="61"/>
    <s v="B-"/>
    <n v="526"/>
    <n v="75.142857142857139"/>
    <x v="2"/>
    <n v="1688"/>
    <x v="1"/>
  </r>
  <r>
    <n v="974"/>
    <s v="Suzanne"/>
    <s v="Morrow"/>
    <x v="965"/>
    <s v="suzanne.morrow.974@gslingacademy.com"/>
    <x v="1"/>
    <x v="1"/>
    <n v="9"/>
    <x v="1"/>
    <n v="4"/>
    <x v="7"/>
    <n v="67"/>
    <s v="B"/>
    <n v="56"/>
    <s v="C"/>
    <n v="77"/>
    <s v="A-"/>
    <n v="93"/>
    <s v="A+"/>
    <n v="95"/>
    <s v="A+"/>
    <n v="50"/>
    <s v="C"/>
    <n v="74"/>
    <s v="B+"/>
    <n v="512"/>
    <n v="73.142857142857139"/>
    <x v="3"/>
    <n v="1815"/>
    <x v="2"/>
  </r>
  <r>
    <n v="975"/>
    <s v="Melissa"/>
    <s v="Gonzales"/>
    <x v="966"/>
    <s v="melissa.gonzales.975@gslingacademy.com"/>
    <x v="1"/>
    <x v="1"/>
    <n v="2"/>
    <x v="0"/>
    <n v="0"/>
    <x v="3"/>
    <n v="100"/>
    <s v="A+"/>
    <n v="95"/>
    <s v="A+"/>
    <n v="60"/>
    <s v="B-"/>
    <n v="89"/>
    <s v="A"/>
    <n v="77"/>
    <s v="A-"/>
    <n v="89"/>
    <s v="A"/>
    <n v="67"/>
    <s v="B"/>
    <n v="577"/>
    <n v="82.428571428571431"/>
    <x v="0"/>
    <n v="769"/>
    <x v="1"/>
  </r>
  <r>
    <n v="976"/>
    <s v="Erik"/>
    <s v="Miller"/>
    <x v="967"/>
    <s v="erik.miller.976@gslingacademy.com"/>
    <x v="0"/>
    <x v="0"/>
    <n v="3"/>
    <x v="0"/>
    <n v="17"/>
    <x v="5"/>
    <n v="88"/>
    <s v="A"/>
    <n v="74"/>
    <s v="B+"/>
    <n v="60"/>
    <s v="B-"/>
    <n v="60"/>
    <s v="B-"/>
    <n v="78"/>
    <s v="A-"/>
    <n v="94"/>
    <s v="A+"/>
    <n v="69"/>
    <s v="B"/>
    <n v="523"/>
    <n v="74.714285714285708"/>
    <x v="3"/>
    <n v="1727"/>
    <x v="0"/>
  </r>
  <r>
    <n v="977"/>
    <s v="Pamela"/>
    <s v="Flores"/>
    <x v="968"/>
    <s v="pamela.flores.977@gslingacademy.com"/>
    <x v="1"/>
    <x v="0"/>
    <n v="1"/>
    <x v="1"/>
    <n v="20"/>
    <x v="5"/>
    <n v="86"/>
    <s v="A"/>
    <n v="64"/>
    <s v="B-"/>
    <n v="100"/>
    <s v="A+"/>
    <n v="76"/>
    <s v="A-"/>
    <n v="99"/>
    <s v="A+"/>
    <n v="77"/>
    <s v="A-"/>
    <n v="86"/>
    <s v="A"/>
    <n v="588"/>
    <n v="84"/>
    <x v="0"/>
    <n v="565"/>
    <x v="1"/>
  </r>
  <r>
    <n v="978"/>
    <s v="Amanda"/>
    <s v="Hernandez"/>
    <x v="969"/>
    <s v="amanda.hernandez.978@gslingacademy.com"/>
    <x v="1"/>
    <x v="0"/>
    <n v="2"/>
    <x v="0"/>
    <n v="35"/>
    <x v="8"/>
    <n v="85"/>
    <s v="A"/>
    <n v="87"/>
    <s v="A"/>
    <n v="90"/>
    <s v="A+"/>
    <n v="88"/>
    <s v="A"/>
    <n v="87"/>
    <s v="A"/>
    <n v="97"/>
    <s v="A+"/>
    <n v="100"/>
    <s v="A+"/>
    <n v="634"/>
    <n v="90.571428571428569"/>
    <x v="1"/>
    <n v="131"/>
    <x v="1"/>
  </r>
  <r>
    <n v="979"/>
    <s v="Gregory"/>
    <s v="Schaefer"/>
    <x v="970"/>
    <s v="gregory.schaefer.979@gslingacademy.com"/>
    <x v="0"/>
    <x v="0"/>
    <n v="2"/>
    <x v="0"/>
    <n v="26"/>
    <x v="5"/>
    <n v="93"/>
    <s v="A+"/>
    <n v="95"/>
    <s v="A+"/>
    <n v="80"/>
    <s v="A"/>
    <n v="88"/>
    <s v="A"/>
    <n v="83"/>
    <s v="A"/>
    <n v="62"/>
    <s v="B-"/>
    <n v="65"/>
    <s v="B"/>
    <n v="566"/>
    <n v="80.857142857142861"/>
    <x v="0"/>
    <n v="1019"/>
    <x v="1"/>
  </r>
  <r>
    <n v="980"/>
    <s v="Annette"/>
    <s v="Logan"/>
    <x v="971"/>
    <s v="annette.logan.980@gslingacademy.com"/>
    <x v="1"/>
    <x v="0"/>
    <n v="3"/>
    <x v="1"/>
    <n v="24"/>
    <x v="4"/>
    <n v="80"/>
    <s v="A"/>
    <n v="66"/>
    <s v="B"/>
    <n v="77"/>
    <s v="A-"/>
    <n v="81"/>
    <s v="A"/>
    <n v="99"/>
    <s v="A+"/>
    <n v="99"/>
    <s v="A+"/>
    <n v="83"/>
    <s v="A"/>
    <n v="585"/>
    <n v="83.571428571428569"/>
    <x v="0"/>
    <n v="615"/>
    <x v="0"/>
  </r>
  <r>
    <n v="981"/>
    <s v="Tamara"/>
    <s v="Long"/>
    <x v="972"/>
    <s v="tamara.long.981@gslingacademy.com"/>
    <x v="1"/>
    <x v="1"/>
    <n v="6"/>
    <x v="0"/>
    <n v="0"/>
    <x v="7"/>
    <n v="56"/>
    <s v="C"/>
    <n v="67"/>
    <s v="B"/>
    <n v="57"/>
    <s v="C"/>
    <n v="79"/>
    <s v="A-"/>
    <n v="87"/>
    <s v="A"/>
    <n v="89"/>
    <s v="A"/>
    <n v="89"/>
    <s v="A"/>
    <n v="524"/>
    <n v="74.857142857142861"/>
    <x v="3"/>
    <n v="1715"/>
    <x v="0"/>
  </r>
  <r>
    <n v="982"/>
    <s v="John"/>
    <s v="Baker"/>
    <x v="973"/>
    <s v="john.baker.982@gslingacademy.com"/>
    <x v="0"/>
    <x v="0"/>
    <n v="7"/>
    <x v="0"/>
    <n v="32"/>
    <x v="13"/>
    <n v="87"/>
    <s v="A"/>
    <n v="62"/>
    <s v="B-"/>
    <n v="84"/>
    <s v="A"/>
    <n v="96"/>
    <s v="A+"/>
    <n v="69"/>
    <s v="B"/>
    <n v="98"/>
    <s v="A+"/>
    <n v="64"/>
    <s v="B-"/>
    <n v="560"/>
    <n v="80"/>
    <x v="0"/>
    <n v="1134"/>
    <x v="2"/>
  </r>
  <r>
    <n v="983"/>
    <s v="Justin"/>
    <s v="Lynch"/>
    <x v="974"/>
    <s v="justin.lynch.983@gslingacademy.com"/>
    <x v="0"/>
    <x v="0"/>
    <n v="4"/>
    <x v="1"/>
    <n v="4"/>
    <x v="16"/>
    <n v="97"/>
    <s v="A+"/>
    <n v="85"/>
    <s v="A"/>
    <n v="96"/>
    <s v="A+"/>
    <n v="61"/>
    <s v="B-"/>
    <n v="97"/>
    <s v="A+"/>
    <n v="79"/>
    <s v="A-"/>
    <n v="70"/>
    <s v="B+"/>
    <n v="585"/>
    <n v="83.571428571428569"/>
    <x v="0"/>
    <n v="615"/>
    <x v="0"/>
  </r>
  <r>
    <n v="984"/>
    <s v="Daniel"/>
    <s v="Knight"/>
    <x v="975"/>
    <s v="daniel.knight.984@gslingacademy.com"/>
    <x v="0"/>
    <x v="0"/>
    <n v="3"/>
    <x v="0"/>
    <n v="34"/>
    <x v="8"/>
    <n v="86"/>
    <s v="A"/>
    <n v="67"/>
    <s v="B"/>
    <n v="98"/>
    <s v="A+"/>
    <n v="86"/>
    <s v="A"/>
    <n v="86"/>
    <s v="A"/>
    <n v="83"/>
    <s v="A"/>
    <n v="89"/>
    <s v="A"/>
    <n v="595"/>
    <n v="85"/>
    <x v="0"/>
    <n v="465"/>
    <x v="0"/>
  </r>
  <r>
    <n v="985"/>
    <s v="Angelica"/>
    <s v="Jones"/>
    <x v="976"/>
    <s v="angelica.jones.985@gslingacademy.com"/>
    <x v="1"/>
    <x v="1"/>
    <n v="3"/>
    <x v="0"/>
    <n v="29"/>
    <x v="5"/>
    <n v="97"/>
    <s v="A+"/>
    <n v="85"/>
    <s v="A"/>
    <n v="81"/>
    <s v="A"/>
    <n v="71"/>
    <s v="B+"/>
    <n v="62"/>
    <s v="B-"/>
    <n v="62"/>
    <s v="B-"/>
    <n v="82"/>
    <s v="A"/>
    <n v="540"/>
    <n v="77.142857142857139"/>
    <x v="2"/>
    <n v="1513"/>
    <x v="0"/>
  </r>
  <r>
    <n v="986"/>
    <s v="Lance"/>
    <s v="Nelson"/>
    <x v="977"/>
    <s v="lance.nelson.986@gslingacademy.com"/>
    <x v="0"/>
    <x v="0"/>
    <n v="2"/>
    <x v="1"/>
    <n v="35"/>
    <x v="4"/>
    <n v="91"/>
    <s v="A+"/>
    <n v="94"/>
    <s v="A+"/>
    <n v="97"/>
    <s v="A+"/>
    <n v="97"/>
    <s v="A+"/>
    <n v="100"/>
    <s v="A+"/>
    <n v="88"/>
    <s v="A"/>
    <n v="99"/>
    <s v="A+"/>
    <n v="666"/>
    <n v="95.142857142857139"/>
    <x v="1"/>
    <n v="8"/>
    <x v="1"/>
  </r>
  <r>
    <n v="987"/>
    <s v="Katherine"/>
    <s v="Jacobson"/>
    <x v="978"/>
    <s v="katherine.jacobson.987@gslingacademy.com"/>
    <x v="1"/>
    <x v="0"/>
    <n v="5"/>
    <x v="0"/>
    <n v="23"/>
    <x v="5"/>
    <n v="86"/>
    <s v="A"/>
    <n v="64"/>
    <s v="B-"/>
    <n v="96"/>
    <s v="A+"/>
    <n v="84"/>
    <s v="A"/>
    <n v="86"/>
    <s v="A"/>
    <n v="96"/>
    <s v="A+"/>
    <n v="92"/>
    <s v="A+"/>
    <n v="604"/>
    <n v="86.285714285714292"/>
    <x v="0"/>
    <n v="353"/>
    <x v="0"/>
  </r>
  <r>
    <n v="988"/>
    <s v="Corey"/>
    <s v="Taylor"/>
    <x v="979"/>
    <s v="corey.taylor.988@gslingacademy.com"/>
    <x v="0"/>
    <x v="1"/>
    <n v="8"/>
    <x v="0"/>
    <n v="5"/>
    <x v="7"/>
    <n v="90"/>
    <s v="A+"/>
    <n v="97"/>
    <s v="A+"/>
    <n v="54"/>
    <s v="C"/>
    <n v="59"/>
    <s v="C"/>
    <n v="82"/>
    <s v="A"/>
    <n v="76"/>
    <s v="A-"/>
    <n v="72"/>
    <s v="B+"/>
    <n v="530"/>
    <n v="75.714285714285708"/>
    <x v="2"/>
    <n v="1646"/>
    <x v="2"/>
  </r>
  <r>
    <n v="989"/>
    <s v="Laura"/>
    <s v="Russell"/>
    <x v="980"/>
    <s v="laura.russell.989@gslingacademy.com"/>
    <x v="1"/>
    <x v="0"/>
    <n v="0"/>
    <x v="0"/>
    <n v="1"/>
    <x v="14"/>
    <n v="95"/>
    <s v="A+"/>
    <n v="87"/>
    <s v="A"/>
    <n v="87"/>
    <s v="A"/>
    <n v="84"/>
    <s v="A"/>
    <n v="95"/>
    <s v="A+"/>
    <n v="84"/>
    <s v="A"/>
    <n v="65"/>
    <s v="B"/>
    <n v="597"/>
    <n v="85.285714285714292"/>
    <x v="0"/>
    <n v="446"/>
    <x v="1"/>
  </r>
  <r>
    <n v="990"/>
    <s v="Arthur"/>
    <s v="Harris"/>
    <x v="981"/>
    <s v="arthur.harris.990@gslingacademy.com"/>
    <x v="0"/>
    <x v="0"/>
    <n v="1"/>
    <x v="0"/>
    <n v="31"/>
    <x v="9"/>
    <n v="90"/>
    <s v="A+"/>
    <n v="100"/>
    <s v="A+"/>
    <n v="76"/>
    <s v="A-"/>
    <n v="76"/>
    <s v="A-"/>
    <n v="84"/>
    <s v="A"/>
    <n v="79"/>
    <s v="A-"/>
    <n v="84"/>
    <s v="A"/>
    <n v="589"/>
    <n v="84.142857142857139"/>
    <x v="0"/>
    <n v="548"/>
    <x v="1"/>
  </r>
  <r>
    <n v="991"/>
    <s v="Victoria"/>
    <s v="Garcia"/>
    <x v="982"/>
    <s v="victoria.garcia.991@gslingacademy.com"/>
    <x v="1"/>
    <x v="0"/>
    <n v="1"/>
    <x v="1"/>
    <n v="14"/>
    <x v="4"/>
    <n v="66"/>
    <s v="B"/>
    <n v="68"/>
    <s v="B"/>
    <n v="87"/>
    <s v="A"/>
    <n v="70"/>
    <s v="B+"/>
    <n v="77"/>
    <s v="A-"/>
    <n v="76"/>
    <s v="A-"/>
    <n v="89"/>
    <s v="A"/>
    <n v="533"/>
    <n v="76.142857142857139"/>
    <x v="2"/>
    <n v="1613"/>
    <x v="1"/>
  </r>
  <r>
    <n v="992"/>
    <s v="David"/>
    <s v="Gonzales"/>
    <x v="983"/>
    <s v="david.gonzales.992@gslingacademy.com"/>
    <x v="0"/>
    <x v="0"/>
    <n v="6"/>
    <x v="0"/>
    <n v="3"/>
    <x v="7"/>
    <n v="81"/>
    <s v="A"/>
    <n v="92"/>
    <s v="A+"/>
    <n v="72"/>
    <s v="B+"/>
    <n v="91"/>
    <s v="A+"/>
    <n v="67"/>
    <s v="B"/>
    <n v="71"/>
    <s v="B+"/>
    <n v="88"/>
    <s v="A"/>
    <n v="562"/>
    <n v="80.285714285714292"/>
    <x v="0"/>
    <n v="1099"/>
    <x v="0"/>
  </r>
  <r>
    <n v="993"/>
    <s v="Charles"/>
    <s v="Thomas"/>
    <x v="984"/>
    <s v="charles.thomas.993@gslingacademy.com"/>
    <x v="0"/>
    <x v="1"/>
    <n v="2"/>
    <x v="0"/>
    <n v="18"/>
    <x v="5"/>
    <n v="85"/>
    <s v="A"/>
    <n v="99"/>
    <s v="A+"/>
    <n v="86"/>
    <s v="A"/>
    <n v="69"/>
    <s v="B"/>
    <n v="68"/>
    <s v="B"/>
    <n v="98"/>
    <s v="A+"/>
    <n v="62"/>
    <s v="B-"/>
    <n v="567"/>
    <n v="81"/>
    <x v="0"/>
    <n v="994"/>
    <x v="1"/>
  </r>
  <r>
    <n v="994"/>
    <s v="Oscar"/>
    <s v="Gonzalez"/>
    <x v="985"/>
    <s v="oscar.gonzalez.994@gslingacademy.com"/>
    <x v="0"/>
    <x v="0"/>
    <n v="1"/>
    <x v="1"/>
    <n v="47"/>
    <x v="1"/>
    <n v="94"/>
    <s v="A+"/>
    <n v="90"/>
    <s v="A+"/>
    <n v="95"/>
    <s v="A+"/>
    <n v="85"/>
    <s v="A"/>
    <n v="98"/>
    <s v="A+"/>
    <n v="91"/>
    <s v="A+"/>
    <n v="96"/>
    <s v="A+"/>
    <n v="649"/>
    <n v="92.714285714285708"/>
    <x v="1"/>
    <n v="62"/>
    <x v="1"/>
  </r>
  <r>
    <n v="995"/>
    <s v="Sarah"/>
    <s v="Miller"/>
    <x v="986"/>
    <s v="sarah.miller.995@gslingacademy.com"/>
    <x v="1"/>
    <x v="0"/>
    <n v="2"/>
    <x v="0"/>
    <n v="4"/>
    <x v="14"/>
    <n v="81"/>
    <s v="A"/>
    <n v="71"/>
    <s v="B+"/>
    <n v="83"/>
    <s v="A"/>
    <n v="63"/>
    <s v="B-"/>
    <n v="80"/>
    <s v="A"/>
    <n v="79"/>
    <s v="A-"/>
    <n v="83"/>
    <s v="A"/>
    <n v="540"/>
    <n v="77.142857142857139"/>
    <x v="2"/>
    <n v="1513"/>
    <x v="1"/>
  </r>
  <r>
    <n v="996"/>
    <s v="Eric"/>
    <s v="Davis"/>
    <x v="987"/>
    <s v="eric.davis.996@gslingacademy.com"/>
    <x v="0"/>
    <x v="1"/>
    <n v="1"/>
    <x v="1"/>
    <n v="32"/>
    <x v="5"/>
    <n v="97"/>
    <s v="A+"/>
    <n v="87"/>
    <s v="A"/>
    <n v="95"/>
    <s v="A+"/>
    <n v="67"/>
    <s v="B"/>
    <n v="98"/>
    <s v="A+"/>
    <n v="93"/>
    <s v="A+"/>
    <n v="89"/>
    <s v="A"/>
    <n v="626"/>
    <n v="89.428571428571431"/>
    <x v="0"/>
    <n v="179"/>
    <x v="1"/>
  </r>
  <r>
    <n v="997"/>
    <s v="Patrick"/>
    <s v="Martin"/>
    <x v="988"/>
    <s v="patrick.martin.997@gslingacademy.com"/>
    <x v="0"/>
    <x v="0"/>
    <n v="3"/>
    <x v="1"/>
    <n v="20"/>
    <x v="11"/>
    <n v="100"/>
    <s v="A+"/>
    <n v="79"/>
    <s v="A-"/>
    <n v="72"/>
    <s v="B+"/>
    <n v="98"/>
    <s v="A+"/>
    <n v="87"/>
    <s v="A"/>
    <n v="76"/>
    <s v="A-"/>
    <n v="76"/>
    <s v="A-"/>
    <n v="588"/>
    <n v="84"/>
    <x v="0"/>
    <n v="565"/>
    <x v="0"/>
  </r>
  <r>
    <n v="998"/>
    <s v="Susan"/>
    <s v="Schmidt"/>
    <x v="989"/>
    <s v="susan.schmidt.998@gslingacademy.com"/>
    <x v="1"/>
    <x v="1"/>
    <n v="6"/>
    <x v="0"/>
    <n v="3"/>
    <x v="7"/>
    <n v="54"/>
    <s v="C"/>
    <n v="64"/>
    <s v="B-"/>
    <n v="72"/>
    <s v="B+"/>
    <n v="80"/>
    <s v="A"/>
    <n v="98"/>
    <s v="A+"/>
    <n v="83"/>
    <s v="A"/>
    <n v="85"/>
    <s v="A"/>
    <n v="536"/>
    <n v="76.571428571428569"/>
    <x v="2"/>
    <n v="1567"/>
    <x v="0"/>
  </r>
  <r>
    <n v="999"/>
    <s v="Brett"/>
    <s v="Bell"/>
    <x v="990"/>
    <s v="brett.bell.999@gslingacademy.com"/>
    <x v="0"/>
    <x v="1"/>
    <n v="5"/>
    <x v="0"/>
    <n v="19"/>
    <x v="5"/>
    <n v="97"/>
    <s v="A+"/>
    <n v="87"/>
    <s v="A"/>
    <n v="70"/>
    <s v="B+"/>
    <n v="74"/>
    <s v="B+"/>
    <n v="73"/>
    <s v="B+"/>
    <n v="74"/>
    <s v="B+"/>
    <n v="81"/>
    <s v="A"/>
    <n v="556"/>
    <n v="79.428571428571431"/>
    <x v="2"/>
    <n v="1224"/>
    <x v="0"/>
  </r>
  <r>
    <n v="1000"/>
    <s v="Dennis"/>
    <s v="Summers"/>
    <x v="991"/>
    <s v="dennis.summers.1000@gslingacademy.com"/>
    <x v="0"/>
    <x v="0"/>
    <n v="1"/>
    <x v="1"/>
    <n v="5"/>
    <x v="16"/>
    <n v="65"/>
    <s v="B"/>
    <n v="83"/>
    <s v="A"/>
    <n v="67"/>
    <s v="B"/>
    <n v="84"/>
    <s v="A"/>
    <n v="89"/>
    <s v="A"/>
    <n v="65"/>
    <s v="B"/>
    <n v="73"/>
    <s v="B+"/>
    <n v="526"/>
    <n v="75.142857142857139"/>
    <x v="2"/>
    <n v="1688"/>
    <x v="1"/>
  </r>
  <r>
    <n v="1001"/>
    <s v="Brandon"/>
    <s v="Smith"/>
    <x v="333"/>
    <s v="brandon.smith.1001@gslingacademy.com"/>
    <x v="0"/>
    <x v="0"/>
    <n v="10"/>
    <x v="1"/>
    <n v="0"/>
    <x v="7"/>
    <n v="53"/>
    <s v="C"/>
    <n v="51"/>
    <s v="C"/>
    <n v="57"/>
    <s v="C"/>
    <n v="72"/>
    <s v="B+"/>
    <n v="77"/>
    <s v="A-"/>
    <n v="78"/>
    <s v="A-"/>
    <n v="79"/>
    <s v="A-"/>
    <n v="467"/>
    <n v="66.714285714285708"/>
    <x v="4"/>
    <n v="1967"/>
    <x v="2"/>
  </r>
  <r>
    <n v="1002"/>
    <s v="Nicole"/>
    <s v="Williams"/>
    <x v="992"/>
    <s v="nicole.williams.1002@gslingacademy.com"/>
    <x v="1"/>
    <x v="0"/>
    <n v="10"/>
    <x v="1"/>
    <n v="9"/>
    <x v="16"/>
    <n v="82"/>
    <s v="A"/>
    <n v="74"/>
    <s v="B+"/>
    <n v="80"/>
    <s v="A"/>
    <n v="88"/>
    <s v="A"/>
    <n v="92"/>
    <s v="A+"/>
    <n v="96"/>
    <s v="A+"/>
    <n v="95"/>
    <s v="A+"/>
    <n v="607"/>
    <n v="86.714285714285708"/>
    <x v="0"/>
    <n v="325"/>
    <x v="2"/>
  </r>
  <r>
    <n v="1003"/>
    <s v="Rachel"/>
    <s v="Frye"/>
    <x v="993"/>
    <s v="rachel.frye.1003@gslingacademy.com"/>
    <x v="1"/>
    <x v="0"/>
    <n v="10"/>
    <x v="0"/>
    <n v="4"/>
    <x v="7"/>
    <n v="93"/>
    <s v="A+"/>
    <n v="90"/>
    <s v="A+"/>
    <n v="79"/>
    <s v="A-"/>
    <n v="54"/>
    <s v="C"/>
    <n v="53"/>
    <s v="C"/>
    <n v="99"/>
    <s v="A+"/>
    <n v="79"/>
    <s v="A-"/>
    <n v="547"/>
    <n v="78.142857142857139"/>
    <x v="2"/>
    <n v="1388"/>
    <x v="2"/>
  </r>
  <r>
    <n v="1004"/>
    <s v="Tyler"/>
    <s v="Cabrera"/>
    <x v="994"/>
    <s v="tyler.cabrera.1004@gslingacademy.com"/>
    <x v="0"/>
    <x v="0"/>
    <n v="3"/>
    <x v="0"/>
    <n v="22"/>
    <x v="5"/>
    <n v="93"/>
    <s v="A+"/>
    <n v="90"/>
    <s v="A+"/>
    <n v="73"/>
    <s v="B+"/>
    <n v="94"/>
    <s v="A+"/>
    <n v="81"/>
    <s v="A"/>
    <n v="84"/>
    <s v="A"/>
    <n v="74"/>
    <s v="B+"/>
    <n v="589"/>
    <n v="84.142857142857139"/>
    <x v="0"/>
    <n v="548"/>
    <x v="0"/>
  </r>
  <r>
    <n v="1005"/>
    <s v="Maureen"/>
    <s v="Jones"/>
    <x v="995"/>
    <s v="maureen.jones.1005@gslingacademy.com"/>
    <x v="1"/>
    <x v="0"/>
    <n v="9"/>
    <x v="0"/>
    <n v="3"/>
    <x v="7"/>
    <n v="91"/>
    <s v="A+"/>
    <n v="95"/>
    <s v="A+"/>
    <n v="88"/>
    <s v="A"/>
    <n v="89"/>
    <s v="A"/>
    <n v="58"/>
    <s v="C"/>
    <n v="81"/>
    <s v="A"/>
    <n v="69"/>
    <s v="B"/>
    <n v="571"/>
    <n v="81.571428571428569"/>
    <x v="0"/>
    <n v="915"/>
    <x v="2"/>
  </r>
  <r>
    <n v="1006"/>
    <s v="Pamela"/>
    <s v="Green"/>
    <x v="996"/>
    <s v="pamela.green.1006@gslingacademy.com"/>
    <x v="1"/>
    <x v="0"/>
    <n v="3"/>
    <x v="0"/>
    <n v="33"/>
    <x v="8"/>
    <n v="99"/>
    <s v="A+"/>
    <n v="91"/>
    <s v="A+"/>
    <n v="85"/>
    <s v="A"/>
    <n v="100"/>
    <s v="A+"/>
    <n v="84"/>
    <s v="A"/>
    <n v="77"/>
    <s v="A-"/>
    <n v="98"/>
    <s v="A+"/>
    <n v="634"/>
    <n v="90.571428571428569"/>
    <x v="1"/>
    <n v="131"/>
    <x v="0"/>
  </r>
  <r>
    <n v="1007"/>
    <s v="Jeffery"/>
    <s v="Mcdonald"/>
    <x v="997"/>
    <s v="jeffery.mcdonald.1007@gslingacademy.com"/>
    <x v="0"/>
    <x v="0"/>
    <n v="0"/>
    <x v="0"/>
    <n v="13"/>
    <x v="13"/>
    <n v="87"/>
    <s v="A"/>
    <n v="63"/>
    <s v="B-"/>
    <n v="81"/>
    <s v="A"/>
    <n v="85"/>
    <s v="A"/>
    <n v="62"/>
    <s v="B-"/>
    <n v="98"/>
    <s v="A+"/>
    <n v="81"/>
    <s v="A"/>
    <n v="557"/>
    <n v="79.571428571428569"/>
    <x v="2"/>
    <n v="1200"/>
    <x v="1"/>
  </r>
  <r>
    <n v="1008"/>
    <s v="Austin"/>
    <s v="Matthews"/>
    <x v="998"/>
    <s v="austin.matthews.1008@gslingacademy.com"/>
    <x v="0"/>
    <x v="0"/>
    <n v="0"/>
    <x v="0"/>
    <n v="19"/>
    <x v="4"/>
    <n v="83"/>
    <s v="A"/>
    <n v="79"/>
    <s v="A-"/>
    <n v="91"/>
    <s v="A+"/>
    <n v="62"/>
    <s v="B-"/>
    <n v="63"/>
    <s v="B-"/>
    <n v="76"/>
    <s v="A-"/>
    <n v="93"/>
    <s v="A+"/>
    <n v="547"/>
    <n v="78.142857142857139"/>
    <x v="2"/>
    <n v="1388"/>
    <x v="1"/>
  </r>
  <r>
    <n v="1009"/>
    <s v="Jacqueline"/>
    <s v="Allen"/>
    <x v="999"/>
    <s v="jacqueline.allen.1009@gslingacademy.com"/>
    <x v="1"/>
    <x v="0"/>
    <n v="2"/>
    <x v="1"/>
    <n v="10"/>
    <x v="16"/>
    <n v="59"/>
    <s v="C"/>
    <n v="73"/>
    <s v="B+"/>
    <n v="90"/>
    <s v="A+"/>
    <n v="74"/>
    <s v="B+"/>
    <n v="95"/>
    <s v="A+"/>
    <n v="77"/>
    <s v="A-"/>
    <n v="81"/>
    <s v="A"/>
    <n v="549"/>
    <n v="78.428571428571431"/>
    <x v="2"/>
    <n v="1355"/>
    <x v="1"/>
  </r>
  <r>
    <n v="1010"/>
    <s v="Joanna"/>
    <s v="Dominguez"/>
    <x v="1000"/>
    <s v="joanna.dominguez.1010@gslingacademy.com"/>
    <x v="1"/>
    <x v="1"/>
    <n v="2"/>
    <x v="0"/>
    <n v="29"/>
    <x v="4"/>
    <n v="74"/>
    <s v="B+"/>
    <n v="68"/>
    <s v="B"/>
    <n v="71"/>
    <s v="B+"/>
    <n v="60"/>
    <s v="B-"/>
    <n v="97"/>
    <s v="A+"/>
    <n v="64"/>
    <s v="B-"/>
    <n v="63"/>
    <s v="B-"/>
    <n v="497"/>
    <n v="71"/>
    <x v="3"/>
    <n v="1888"/>
    <x v="1"/>
  </r>
  <r>
    <n v="1011"/>
    <s v="Brian"/>
    <s v="Griffin"/>
    <x v="1001"/>
    <s v="brian.griffin.1011@gslingacademy.com"/>
    <x v="0"/>
    <x v="0"/>
    <n v="3"/>
    <x v="1"/>
    <n v="31"/>
    <x v="0"/>
    <n v="81"/>
    <s v="A"/>
    <n v="98"/>
    <s v="A+"/>
    <n v="71"/>
    <s v="B+"/>
    <n v="92"/>
    <s v="A+"/>
    <n v="74"/>
    <s v="B+"/>
    <n v="93"/>
    <s v="A+"/>
    <n v="63"/>
    <s v="B-"/>
    <n v="572"/>
    <n v="81.714285714285708"/>
    <x v="0"/>
    <n v="890"/>
    <x v="0"/>
  </r>
  <r>
    <n v="1012"/>
    <s v="Dean"/>
    <s v="Lee"/>
    <x v="1002"/>
    <s v="dean.lee.1012@gslingacademy.com"/>
    <x v="0"/>
    <x v="0"/>
    <n v="3"/>
    <x v="1"/>
    <n v="3"/>
    <x v="14"/>
    <n v="80"/>
    <s v="A"/>
    <n v="92"/>
    <s v="A+"/>
    <n v="85"/>
    <s v="A"/>
    <n v="81"/>
    <s v="A"/>
    <n v="94"/>
    <s v="A+"/>
    <n v="75"/>
    <s v="A-"/>
    <n v="72"/>
    <s v="B+"/>
    <n v="579"/>
    <n v="82.714285714285708"/>
    <x v="0"/>
    <n v="730"/>
    <x v="0"/>
  </r>
  <r>
    <n v="1013"/>
    <s v="Denise"/>
    <s v="Rodriguez"/>
    <x v="1003"/>
    <s v="denise.rodriguez.1013@gslingacademy.com"/>
    <x v="1"/>
    <x v="0"/>
    <n v="0"/>
    <x v="1"/>
    <n v="29"/>
    <x v="9"/>
    <n v="89"/>
    <s v="A"/>
    <n v="66"/>
    <s v="B"/>
    <n v="72"/>
    <s v="B+"/>
    <n v="77"/>
    <s v="A-"/>
    <n v="79"/>
    <s v="A-"/>
    <n v="95"/>
    <s v="A+"/>
    <n v="92"/>
    <s v="A+"/>
    <n v="570"/>
    <n v="81.428571428571431"/>
    <x v="0"/>
    <n v="937"/>
    <x v="1"/>
  </r>
  <r>
    <n v="1014"/>
    <s v="Brendan"/>
    <s v="Rivera"/>
    <x v="1004"/>
    <s v="brendan.rivera.1014@gslingacademy.com"/>
    <x v="0"/>
    <x v="1"/>
    <n v="3"/>
    <x v="0"/>
    <n v="34"/>
    <x v="4"/>
    <n v="65"/>
    <s v="B"/>
    <n v="78"/>
    <s v="A-"/>
    <n v="82"/>
    <s v="A"/>
    <n v="65"/>
    <s v="B"/>
    <n v="100"/>
    <s v="A+"/>
    <n v="92"/>
    <s v="A+"/>
    <n v="64"/>
    <s v="B-"/>
    <n v="546"/>
    <n v="78"/>
    <x v="2"/>
    <n v="1411"/>
    <x v="0"/>
  </r>
  <r>
    <n v="1015"/>
    <s v="Jackson"/>
    <s v="Smith"/>
    <x v="1005"/>
    <s v="jackson.smith.1015@gslingacademy.com"/>
    <x v="0"/>
    <x v="1"/>
    <n v="10"/>
    <x v="0"/>
    <n v="4"/>
    <x v="7"/>
    <n v="94"/>
    <s v="A+"/>
    <n v="61"/>
    <s v="B-"/>
    <n v="60"/>
    <s v="B-"/>
    <n v="77"/>
    <s v="A-"/>
    <n v="75"/>
    <s v="A-"/>
    <n v="93"/>
    <s v="A+"/>
    <n v="60"/>
    <s v="B-"/>
    <n v="520"/>
    <n v="74.285714285714292"/>
    <x v="3"/>
    <n v="1753"/>
    <x v="2"/>
  </r>
  <r>
    <n v="1016"/>
    <s v="Craig"/>
    <s v="Weber"/>
    <x v="1006"/>
    <s v="craig.weber.1016@gslingacademy.com"/>
    <x v="0"/>
    <x v="0"/>
    <n v="3"/>
    <x v="0"/>
    <n v="34"/>
    <x v="12"/>
    <n v="93"/>
    <s v="A+"/>
    <n v="70"/>
    <s v="B+"/>
    <n v="80"/>
    <s v="A"/>
    <n v="67"/>
    <s v="B"/>
    <n v="77"/>
    <s v="A-"/>
    <n v="80"/>
    <s v="A"/>
    <n v="91"/>
    <s v="A+"/>
    <n v="558"/>
    <n v="79.714285714285708"/>
    <x v="2"/>
    <n v="1178"/>
    <x v="0"/>
  </r>
  <r>
    <n v="1017"/>
    <s v="Joseph"/>
    <s v="Carpenter"/>
    <x v="1007"/>
    <s v="joseph.carpenter.1017@gslingacademy.com"/>
    <x v="0"/>
    <x v="0"/>
    <n v="2"/>
    <x v="0"/>
    <n v="30"/>
    <x v="5"/>
    <n v="90"/>
    <s v="A+"/>
    <n v="69"/>
    <s v="B"/>
    <n v="91"/>
    <s v="A+"/>
    <n v="84"/>
    <s v="A"/>
    <n v="65"/>
    <s v="B"/>
    <n v="86"/>
    <s v="A"/>
    <n v="93"/>
    <s v="A+"/>
    <n v="578"/>
    <n v="82.571428571428569"/>
    <x v="0"/>
    <n v="752"/>
    <x v="1"/>
  </r>
  <r>
    <n v="1018"/>
    <s v="Sarah"/>
    <s v="Tucker"/>
    <x v="1008"/>
    <s v="sarah.tucker.1018@gslingacademy.com"/>
    <x v="1"/>
    <x v="0"/>
    <n v="3"/>
    <x v="0"/>
    <n v="18"/>
    <x v="4"/>
    <n v="67"/>
    <s v="B"/>
    <n v="60"/>
    <s v="B-"/>
    <n v="87"/>
    <s v="A"/>
    <n v="73"/>
    <s v="B+"/>
    <n v="92"/>
    <s v="A+"/>
    <n v="82"/>
    <s v="A"/>
    <n v="70"/>
    <s v="B+"/>
    <n v="531"/>
    <n v="75.857142857142861"/>
    <x v="2"/>
    <n v="1637"/>
    <x v="0"/>
  </r>
  <r>
    <n v="1019"/>
    <s v="Steven"/>
    <s v="Hernandez"/>
    <x v="1009"/>
    <s v="steven.hernandez.1019@gslingacademy.com"/>
    <x v="0"/>
    <x v="0"/>
    <n v="3"/>
    <x v="0"/>
    <n v="32"/>
    <x v="11"/>
    <n v="81"/>
    <s v="A"/>
    <n v="91"/>
    <s v="A+"/>
    <n v="73"/>
    <s v="B+"/>
    <n v="72"/>
    <s v="B+"/>
    <n v="49"/>
    <s v="D"/>
    <n v="81"/>
    <s v="A"/>
    <n v="72"/>
    <s v="B+"/>
    <n v="519"/>
    <n v="74.142857142857139"/>
    <x v="3"/>
    <n v="1766"/>
    <x v="0"/>
  </r>
  <r>
    <n v="1020"/>
    <s v="Robert"/>
    <s v="Foley"/>
    <x v="1010"/>
    <s v="robert.foley.1020@gslingacademy.com"/>
    <x v="0"/>
    <x v="0"/>
    <n v="1"/>
    <x v="0"/>
    <n v="31"/>
    <x v="5"/>
    <n v="95"/>
    <s v="A+"/>
    <n v="71"/>
    <s v="B+"/>
    <n v="88"/>
    <s v="A"/>
    <n v="96"/>
    <s v="A+"/>
    <n v="82"/>
    <s v="A"/>
    <n v="65"/>
    <s v="B"/>
    <n v="80"/>
    <s v="A"/>
    <n v="577"/>
    <n v="82.428571428571431"/>
    <x v="0"/>
    <n v="769"/>
    <x v="1"/>
  </r>
  <r>
    <n v="1021"/>
    <s v="Michael"/>
    <s v="Carr"/>
    <x v="1011"/>
    <s v="michael.carr.1021@gslingacademy.com"/>
    <x v="0"/>
    <x v="0"/>
    <n v="10"/>
    <x v="0"/>
    <n v="0"/>
    <x v="7"/>
    <n v="67"/>
    <s v="B"/>
    <n v="50"/>
    <s v="C"/>
    <n v="93"/>
    <s v="A+"/>
    <n v="86"/>
    <s v="A"/>
    <n v="66"/>
    <s v="B"/>
    <n v="73"/>
    <s v="B+"/>
    <n v="85"/>
    <s v="A"/>
    <n v="520"/>
    <n v="74.285714285714292"/>
    <x v="3"/>
    <n v="1753"/>
    <x v="2"/>
  </r>
  <r>
    <n v="1022"/>
    <s v="Walter"/>
    <s v="Herrera"/>
    <x v="1012"/>
    <s v="walter.herrera.1022@gslingacademy.com"/>
    <x v="0"/>
    <x v="0"/>
    <n v="7"/>
    <x v="0"/>
    <n v="3"/>
    <x v="14"/>
    <n v="83"/>
    <s v="A"/>
    <n v="69"/>
    <s v="B"/>
    <n v="99"/>
    <s v="A+"/>
    <n v="88"/>
    <s v="A"/>
    <n v="87"/>
    <s v="A"/>
    <n v="81"/>
    <s v="A"/>
    <n v="68"/>
    <s v="B"/>
    <n v="575"/>
    <n v="82.142857142857139"/>
    <x v="0"/>
    <n v="807"/>
    <x v="2"/>
  </r>
  <r>
    <n v="1023"/>
    <s v="Sarah"/>
    <s v="Mckinney"/>
    <x v="1013"/>
    <s v="sarah.mckinney.1023@gslingacademy.com"/>
    <x v="1"/>
    <x v="0"/>
    <n v="3"/>
    <x v="1"/>
    <n v="5"/>
    <x v="3"/>
    <n v="87"/>
    <s v="A"/>
    <n v="96"/>
    <s v="A+"/>
    <n v="67"/>
    <s v="B"/>
    <n v="64"/>
    <s v="B-"/>
    <n v="67"/>
    <s v="B"/>
    <n v="81"/>
    <s v="A"/>
    <n v="90"/>
    <s v="A+"/>
    <n v="552"/>
    <n v="78.857142857142861"/>
    <x v="2"/>
    <n v="1306"/>
    <x v="0"/>
  </r>
  <r>
    <n v="1024"/>
    <s v="Jacob"/>
    <s v="Nguyen"/>
    <x v="1014"/>
    <s v="jacob.nguyen.1024@gslingacademy.com"/>
    <x v="0"/>
    <x v="0"/>
    <n v="3"/>
    <x v="1"/>
    <n v="24"/>
    <x v="13"/>
    <n v="82"/>
    <s v="A"/>
    <n v="71"/>
    <s v="B+"/>
    <n v="84"/>
    <s v="A"/>
    <n v="68"/>
    <s v="B"/>
    <n v="74"/>
    <s v="B+"/>
    <n v="64"/>
    <s v="B-"/>
    <n v="73"/>
    <s v="B+"/>
    <n v="516"/>
    <n v="73.714285714285708"/>
    <x v="3"/>
    <n v="1792"/>
    <x v="0"/>
  </r>
  <r>
    <n v="1025"/>
    <s v="Mary"/>
    <s v="Garza"/>
    <x v="1015"/>
    <s v="mary.garza.1025@gslingacademy.com"/>
    <x v="1"/>
    <x v="0"/>
    <n v="4"/>
    <x v="0"/>
    <n v="27"/>
    <x v="11"/>
    <n v="97"/>
    <s v="A+"/>
    <n v="87"/>
    <s v="A"/>
    <n v="65"/>
    <s v="B"/>
    <n v="90"/>
    <s v="A+"/>
    <n v="66"/>
    <s v="B"/>
    <n v="84"/>
    <s v="A"/>
    <n v="75"/>
    <s v="A-"/>
    <n v="564"/>
    <n v="80.571428571428569"/>
    <x v="0"/>
    <n v="1056"/>
    <x v="0"/>
  </r>
  <r>
    <n v="1026"/>
    <s v="Jesse"/>
    <s v="Hawkins"/>
    <x v="1016"/>
    <s v="jesse.hawkins.1026@gslingacademy.com"/>
    <x v="0"/>
    <x v="0"/>
    <n v="1"/>
    <x v="1"/>
    <n v="21"/>
    <x v="5"/>
    <n v="88"/>
    <s v="A"/>
    <n v="67"/>
    <s v="B"/>
    <n v="77"/>
    <s v="A-"/>
    <n v="89"/>
    <s v="A"/>
    <n v="97"/>
    <s v="A+"/>
    <n v="70"/>
    <s v="B+"/>
    <n v="71"/>
    <s v="B+"/>
    <n v="559"/>
    <n v="79.857142857142861"/>
    <x v="2"/>
    <n v="1155"/>
    <x v="1"/>
  </r>
  <r>
    <n v="1027"/>
    <s v="Jordan"/>
    <s v="Boyd"/>
    <x v="1017"/>
    <s v="jordan.boyd.1027@gslingacademy.com"/>
    <x v="1"/>
    <x v="0"/>
    <n v="4"/>
    <x v="0"/>
    <n v="32"/>
    <x v="9"/>
    <n v="91"/>
    <s v="A+"/>
    <n v="94"/>
    <s v="A+"/>
    <n v="81"/>
    <s v="A"/>
    <n v="61"/>
    <s v="B-"/>
    <n v="61"/>
    <s v="B-"/>
    <n v="82"/>
    <s v="A"/>
    <n v="73"/>
    <s v="B+"/>
    <n v="543"/>
    <n v="77.571428571428569"/>
    <x v="2"/>
    <n v="1464"/>
    <x v="0"/>
  </r>
  <r>
    <n v="1028"/>
    <s v="Latoya"/>
    <s v="Mullins"/>
    <x v="1018"/>
    <s v="latoya.mullins.1028@gslingacademy.com"/>
    <x v="1"/>
    <x v="1"/>
    <n v="7"/>
    <x v="0"/>
    <n v="5"/>
    <x v="7"/>
    <n v="77"/>
    <s v="A-"/>
    <n v="60"/>
    <s v="B-"/>
    <n v="83"/>
    <s v="A"/>
    <n v="65"/>
    <s v="B"/>
    <n v="81"/>
    <s v="A"/>
    <n v="80"/>
    <s v="A"/>
    <n v="88"/>
    <s v="A"/>
    <n v="534"/>
    <n v="76.285714285714292"/>
    <x v="2"/>
    <n v="1595"/>
    <x v="2"/>
  </r>
  <r>
    <n v="1029"/>
    <s v="Jill"/>
    <s v="Armstrong"/>
    <x v="1019"/>
    <s v="jill.armstrong.1029@gslingacademy.com"/>
    <x v="1"/>
    <x v="0"/>
    <n v="7"/>
    <x v="0"/>
    <n v="7"/>
    <x v="4"/>
    <n v="94"/>
    <s v="A+"/>
    <n v="65"/>
    <s v="B"/>
    <n v="96"/>
    <s v="A+"/>
    <n v="77"/>
    <s v="A-"/>
    <n v="83"/>
    <s v="A"/>
    <n v="75"/>
    <s v="A-"/>
    <n v="98"/>
    <s v="A+"/>
    <n v="588"/>
    <n v="84"/>
    <x v="0"/>
    <n v="565"/>
    <x v="2"/>
  </r>
  <r>
    <n v="1030"/>
    <s v="Aaron"/>
    <s v="Peterson"/>
    <x v="1020"/>
    <s v="aaron.peterson.1030@gslingacademy.com"/>
    <x v="0"/>
    <x v="1"/>
    <n v="8"/>
    <x v="0"/>
    <n v="1"/>
    <x v="7"/>
    <n v="100"/>
    <s v="A+"/>
    <n v="82"/>
    <s v="A"/>
    <n v="91"/>
    <s v="A+"/>
    <n v="82"/>
    <s v="A"/>
    <n v="70"/>
    <s v="B+"/>
    <n v="51"/>
    <s v="C"/>
    <n v="77"/>
    <s v="A-"/>
    <n v="553"/>
    <n v="79"/>
    <x v="2"/>
    <n v="1284"/>
    <x v="2"/>
  </r>
  <r>
    <n v="1031"/>
    <s v="April"/>
    <s v="Greene"/>
    <x v="1021"/>
    <s v="april.greene.1031@gslingacademy.com"/>
    <x v="1"/>
    <x v="0"/>
    <n v="3"/>
    <x v="0"/>
    <n v="22"/>
    <x v="9"/>
    <n v="96"/>
    <s v="A+"/>
    <n v="75"/>
    <s v="A-"/>
    <n v="79"/>
    <s v="A-"/>
    <n v="72"/>
    <s v="B+"/>
    <n v="69"/>
    <s v="B"/>
    <n v="94"/>
    <s v="A+"/>
    <n v="64"/>
    <s v="B-"/>
    <n v="549"/>
    <n v="78.428571428571431"/>
    <x v="2"/>
    <n v="1355"/>
    <x v="0"/>
  </r>
  <r>
    <n v="1032"/>
    <s v="Theodore"/>
    <s v="Gomez"/>
    <x v="1022"/>
    <s v="theodore.gomez.1032@gslingacademy.com"/>
    <x v="0"/>
    <x v="0"/>
    <n v="5"/>
    <x v="1"/>
    <n v="15"/>
    <x v="11"/>
    <n v="75"/>
    <s v="A-"/>
    <n v="64"/>
    <s v="B-"/>
    <n v="76"/>
    <s v="A-"/>
    <n v="65"/>
    <s v="B"/>
    <n v="44"/>
    <s v="D"/>
    <n v="80"/>
    <s v="A"/>
    <n v="91"/>
    <s v="A+"/>
    <n v="495"/>
    <n v="70.714285714285708"/>
    <x v="3"/>
    <n v="1896"/>
    <x v="0"/>
  </r>
  <r>
    <n v="1033"/>
    <s v="John"/>
    <s v="Gardner"/>
    <x v="1023"/>
    <s v="john.gardner.1033@gslingacademy.com"/>
    <x v="0"/>
    <x v="0"/>
    <n v="1"/>
    <x v="0"/>
    <n v="12"/>
    <x v="2"/>
    <n v="94"/>
    <s v="A+"/>
    <n v="84"/>
    <s v="A"/>
    <n v="85"/>
    <s v="A"/>
    <n v="63"/>
    <s v="B-"/>
    <n v="67"/>
    <s v="B"/>
    <n v="89"/>
    <s v="A"/>
    <n v="66"/>
    <s v="B"/>
    <n v="548"/>
    <n v="78.285714285714292"/>
    <x v="2"/>
    <n v="1374"/>
    <x v="1"/>
  </r>
  <r>
    <n v="1034"/>
    <s v="Joseph"/>
    <s v="Petersen"/>
    <x v="1024"/>
    <s v="joseph.petersen.1034@gslingacademy.com"/>
    <x v="0"/>
    <x v="0"/>
    <n v="3"/>
    <x v="1"/>
    <n v="21"/>
    <x v="4"/>
    <n v="89"/>
    <s v="A"/>
    <n v="100"/>
    <s v="A+"/>
    <n v="89"/>
    <s v="A"/>
    <n v="65"/>
    <s v="B"/>
    <n v="91"/>
    <s v="A+"/>
    <n v="83"/>
    <s v="A"/>
    <n v="61"/>
    <s v="B-"/>
    <n v="578"/>
    <n v="82.571428571428569"/>
    <x v="0"/>
    <n v="752"/>
    <x v="0"/>
  </r>
  <r>
    <n v="1035"/>
    <s v="Matthew"/>
    <s v="Potter"/>
    <x v="1025"/>
    <s v="matthew.potter.1035@gslingacademy.com"/>
    <x v="0"/>
    <x v="1"/>
    <n v="5"/>
    <x v="0"/>
    <n v="24"/>
    <x v="15"/>
    <n v="100"/>
    <s v="A+"/>
    <n v="80"/>
    <s v="A"/>
    <n v="74"/>
    <s v="B+"/>
    <n v="87"/>
    <s v="A"/>
    <n v="77"/>
    <s v="A-"/>
    <n v="95"/>
    <s v="A+"/>
    <n v="92"/>
    <s v="A+"/>
    <n v="605"/>
    <n v="86.428571428571431"/>
    <x v="0"/>
    <n v="344"/>
    <x v="0"/>
  </r>
  <r>
    <n v="1036"/>
    <s v="Linda"/>
    <s v="Munoz"/>
    <x v="1026"/>
    <s v="linda.munoz.1036@gslingacademy.com"/>
    <x v="1"/>
    <x v="0"/>
    <n v="7"/>
    <x v="0"/>
    <n v="18"/>
    <x v="11"/>
    <n v="94"/>
    <s v="A+"/>
    <n v="97"/>
    <s v="A+"/>
    <n v="61"/>
    <s v="B-"/>
    <n v="67"/>
    <s v="B"/>
    <n v="77"/>
    <s v="A-"/>
    <n v="88"/>
    <s v="A"/>
    <n v="70"/>
    <s v="B+"/>
    <n v="554"/>
    <n v="79.142857142857139"/>
    <x v="2"/>
    <n v="1264"/>
    <x v="2"/>
  </r>
  <r>
    <n v="1037"/>
    <s v="Samantha"/>
    <s v="Stewart"/>
    <x v="1027"/>
    <s v="samantha.stewart.1037@gslingacademy.com"/>
    <x v="1"/>
    <x v="0"/>
    <n v="6"/>
    <x v="0"/>
    <n v="4"/>
    <x v="2"/>
    <n v="78"/>
    <s v="A-"/>
    <n v="78"/>
    <s v="A-"/>
    <n v="100"/>
    <s v="A+"/>
    <n v="87"/>
    <s v="A"/>
    <n v="98"/>
    <s v="A+"/>
    <n v="80"/>
    <s v="A"/>
    <n v="98"/>
    <s v="A+"/>
    <n v="619"/>
    <n v="88.428571428571431"/>
    <x v="0"/>
    <n v="221"/>
    <x v="0"/>
  </r>
  <r>
    <n v="1038"/>
    <s v="Michael"/>
    <s v="Reyes"/>
    <x v="1028"/>
    <s v="michael.reyes.1038@gslingacademy.com"/>
    <x v="0"/>
    <x v="1"/>
    <n v="6"/>
    <x v="0"/>
    <n v="5"/>
    <x v="7"/>
    <n v="65"/>
    <s v="B"/>
    <n v="71"/>
    <s v="B+"/>
    <n v="88"/>
    <s v="A"/>
    <n v="57"/>
    <s v="C"/>
    <n v="75"/>
    <s v="A-"/>
    <n v="62"/>
    <s v="B-"/>
    <n v="62"/>
    <s v="B-"/>
    <n v="480"/>
    <n v="68.571428571428569"/>
    <x v="4"/>
    <n v="1935"/>
    <x v="0"/>
  </r>
  <r>
    <n v="1039"/>
    <s v="Sarah"/>
    <s v="Murphy"/>
    <x v="1029"/>
    <s v="sarah.murphy.1039@gslingacademy.com"/>
    <x v="1"/>
    <x v="1"/>
    <n v="7"/>
    <x v="0"/>
    <n v="32"/>
    <x v="10"/>
    <n v="68"/>
    <s v="B"/>
    <n v="81"/>
    <s v="A"/>
    <n v="72"/>
    <s v="B+"/>
    <n v="76"/>
    <s v="A-"/>
    <n v="93"/>
    <s v="A+"/>
    <n v="94"/>
    <s v="A+"/>
    <n v="97"/>
    <s v="A+"/>
    <n v="581"/>
    <n v="83"/>
    <x v="0"/>
    <n v="688"/>
    <x v="2"/>
  </r>
  <r>
    <n v="1040"/>
    <s v="Derrick"/>
    <s v="Melton"/>
    <x v="1030"/>
    <s v="derrick.melton.1040@gslingacademy.com"/>
    <x v="0"/>
    <x v="0"/>
    <n v="8"/>
    <x v="1"/>
    <n v="0"/>
    <x v="3"/>
    <n v="93"/>
    <s v="A+"/>
    <n v="78"/>
    <s v="A-"/>
    <n v="98"/>
    <s v="A+"/>
    <n v="76"/>
    <s v="A-"/>
    <n v="86"/>
    <s v="A"/>
    <n v="89"/>
    <s v="A"/>
    <n v="92"/>
    <s v="A+"/>
    <n v="612"/>
    <n v="87.428571428571431"/>
    <x v="0"/>
    <n v="283"/>
    <x v="2"/>
  </r>
  <r>
    <n v="1041"/>
    <s v="Donna"/>
    <s v="Horne"/>
    <x v="1031"/>
    <s v="donna.horne.1041@gslingacademy.com"/>
    <x v="1"/>
    <x v="0"/>
    <n v="2"/>
    <x v="0"/>
    <n v="34"/>
    <x v="8"/>
    <n v="100"/>
    <s v="A+"/>
    <n v="64"/>
    <s v="B-"/>
    <n v="95"/>
    <s v="A+"/>
    <n v="83"/>
    <s v="A"/>
    <n v="83"/>
    <s v="A"/>
    <n v="94"/>
    <s v="A+"/>
    <n v="83"/>
    <s v="A"/>
    <n v="602"/>
    <n v="86"/>
    <x v="0"/>
    <n v="380"/>
    <x v="1"/>
  </r>
  <r>
    <n v="1042"/>
    <s v="Natasha"/>
    <s v="Butler"/>
    <x v="1032"/>
    <s v="natasha.butler.1042@gslingacademy.com"/>
    <x v="1"/>
    <x v="0"/>
    <n v="5"/>
    <x v="0"/>
    <n v="28"/>
    <x v="0"/>
    <n v="85"/>
    <s v="A"/>
    <n v="99"/>
    <s v="A+"/>
    <n v="64"/>
    <s v="B-"/>
    <n v="78"/>
    <s v="A-"/>
    <n v="63"/>
    <s v="B-"/>
    <n v="95"/>
    <s v="A+"/>
    <n v="91"/>
    <s v="A+"/>
    <n v="575"/>
    <n v="82.142857142857139"/>
    <x v="0"/>
    <n v="807"/>
    <x v="0"/>
  </r>
  <r>
    <n v="1043"/>
    <s v="David"/>
    <s v="Vasquez"/>
    <x v="1033"/>
    <s v="david.vasquez.1043@gslingacademy.com"/>
    <x v="0"/>
    <x v="1"/>
    <n v="1"/>
    <x v="1"/>
    <n v="30"/>
    <x v="1"/>
    <n v="80"/>
    <s v="A"/>
    <n v="93"/>
    <s v="A+"/>
    <n v="82"/>
    <s v="A"/>
    <n v="89"/>
    <s v="A"/>
    <n v="94"/>
    <s v="A+"/>
    <n v="95"/>
    <s v="A+"/>
    <n v="70"/>
    <s v="B+"/>
    <n v="603"/>
    <n v="86.142857142857139"/>
    <x v="0"/>
    <n v="370"/>
    <x v="1"/>
  </r>
  <r>
    <n v="1044"/>
    <s v="Christopher"/>
    <s v="Lester"/>
    <x v="1034"/>
    <s v="christopher.lester.1044@gslingacademy.com"/>
    <x v="0"/>
    <x v="0"/>
    <n v="8"/>
    <x v="0"/>
    <n v="31"/>
    <x v="0"/>
    <n v="97"/>
    <s v="A+"/>
    <n v="80"/>
    <s v="A"/>
    <n v="60"/>
    <s v="B-"/>
    <n v="98"/>
    <s v="A+"/>
    <n v="86"/>
    <s v="A"/>
    <n v="83"/>
    <s v="A"/>
    <n v="75"/>
    <s v="A-"/>
    <n v="579"/>
    <n v="82.714285714285708"/>
    <x v="0"/>
    <n v="730"/>
    <x v="2"/>
  </r>
  <r>
    <n v="1045"/>
    <s v="Martin"/>
    <s v="Franco"/>
    <x v="1035"/>
    <s v="martin.franco.1045@gslingacademy.com"/>
    <x v="0"/>
    <x v="0"/>
    <n v="3"/>
    <x v="1"/>
    <n v="33"/>
    <x v="5"/>
    <n v="85"/>
    <s v="A"/>
    <n v="90"/>
    <s v="A+"/>
    <n v="100"/>
    <s v="A+"/>
    <n v="84"/>
    <s v="A"/>
    <n v="95"/>
    <s v="A+"/>
    <n v="77"/>
    <s v="A-"/>
    <n v="62"/>
    <s v="B-"/>
    <n v="593"/>
    <n v="84.714285714285708"/>
    <x v="0"/>
    <n v="494"/>
    <x v="0"/>
  </r>
  <r>
    <n v="1046"/>
    <s v="Katherine"/>
    <s v="Donaldson"/>
    <x v="1036"/>
    <s v="katherine.donaldson.1046@gslingacademy.com"/>
    <x v="1"/>
    <x v="0"/>
    <n v="2"/>
    <x v="0"/>
    <n v="28"/>
    <x v="9"/>
    <n v="87"/>
    <s v="A"/>
    <n v="76"/>
    <s v="A-"/>
    <n v="87"/>
    <s v="A"/>
    <n v="98"/>
    <s v="A+"/>
    <n v="61"/>
    <s v="B-"/>
    <n v="92"/>
    <s v="A+"/>
    <n v="81"/>
    <s v="A"/>
    <n v="582"/>
    <n v="83.142857142857139"/>
    <x v="0"/>
    <n v="670"/>
    <x v="1"/>
  </r>
  <r>
    <n v="1047"/>
    <s v="Harold"/>
    <s v="Daniels"/>
    <x v="1037"/>
    <s v="harold.daniels.1047@gslingacademy.com"/>
    <x v="0"/>
    <x v="0"/>
    <n v="2"/>
    <x v="0"/>
    <n v="31"/>
    <x v="9"/>
    <n v="79"/>
    <s v="A-"/>
    <n v="70"/>
    <s v="B+"/>
    <n v="82"/>
    <s v="A"/>
    <n v="63"/>
    <s v="B-"/>
    <n v="90"/>
    <s v="A+"/>
    <n v="89"/>
    <s v="A"/>
    <n v="96"/>
    <s v="A+"/>
    <n v="569"/>
    <n v="81.285714285714292"/>
    <x v="0"/>
    <n v="957"/>
    <x v="1"/>
  </r>
  <r>
    <n v="1048"/>
    <s v="Michael"/>
    <s v="Anderson"/>
    <x v="856"/>
    <s v="michael.anderson.1048@gslingacademy.com"/>
    <x v="0"/>
    <x v="1"/>
    <n v="3"/>
    <x v="0"/>
    <n v="7"/>
    <x v="2"/>
    <n v="87"/>
    <s v="A"/>
    <n v="86"/>
    <s v="A"/>
    <n v="73"/>
    <s v="B+"/>
    <n v="88"/>
    <s v="A"/>
    <n v="98"/>
    <s v="A+"/>
    <n v="71"/>
    <s v="B+"/>
    <n v="85"/>
    <s v="A"/>
    <n v="588"/>
    <n v="84"/>
    <x v="0"/>
    <n v="565"/>
    <x v="0"/>
  </r>
  <r>
    <n v="1049"/>
    <s v="Nichole"/>
    <s v="Harrington"/>
    <x v="1038"/>
    <s v="nichole.harrington.1049@gslingacademy.com"/>
    <x v="1"/>
    <x v="0"/>
    <n v="6"/>
    <x v="0"/>
    <n v="28"/>
    <x v="0"/>
    <n v="72"/>
    <s v="B+"/>
    <n v="88"/>
    <s v="A"/>
    <n v="62"/>
    <s v="B-"/>
    <n v="60"/>
    <s v="B-"/>
    <n v="97"/>
    <s v="A+"/>
    <n v="86"/>
    <s v="A"/>
    <n v="64"/>
    <s v="B-"/>
    <n v="529"/>
    <n v="75.571428571428569"/>
    <x v="2"/>
    <n v="1664"/>
    <x v="0"/>
  </r>
  <r>
    <n v="1050"/>
    <s v="Wendy"/>
    <s v="Clark"/>
    <x v="1039"/>
    <s v="wendy.clark.1050@gslingacademy.com"/>
    <x v="1"/>
    <x v="0"/>
    <n v="4"/>
    <x v="1"/>
    <n v="44"/>
    <x v="1"/>
    <n v="89"/>
    <s v="A"/>
    <n v="99"/>
    <s v="A+"/>
    <n v="93"/>
    <s v="A+"/>
    <n v="99"/>
    <s v="A+"/>
    <n v="87"/>
    <s v="A"/>
    <n v="89"/>
    <s v="A"/>
    <n v="98"/>
    <s v="A+"/>
    <n v="654"/>
    <n v="93.428571428571431"/>
    <x v="1"/>
    <n v="37"/>
    <x v="0"/>
  </r>
  <r>
    <n v="1051"/>
    <s v="Chelsea"/>
    <s v="Taylor"/>
    <x v="1040"/>
    <s v="chelsea.taylor.1051@gslingacademy.com"/>
    <x v="1"/>
    <x v="1"/>
    <n v="0"/>
    <x v="0"/>
    <n v="13"/>
    <x v="4"/>
    <n v="62"/>
    <s v="B-"/>
    <n v="88"/>
    <s v="A"/>
    <n v="87"/>
    <s v="A"/>
    <n v="90"/>
    <s v="A+"/>
    <n v="84"/>
    <s v="A"/>
    <n v="88"/>
    <s v="A"/>
    <n v="95"/>
    <s v="A+"/>
    <n v="594"/>
    <n v="84.857142857142861"/>
    <x v="0"/>
    <n v="479"/>
    <x v="1"/>
  </r>
  <r>
    <n v="1052"/>
    <s v="Jeffrey"/>
    <s v="Knight"/>
    <x v="1041"/>
    <s v="jeffrey.knight.1052@gslingacademy.com"/>
    <x v="0"/>
    <x v="0"/>
    <n v="2"/>
    <x v="0"/>
    <n v="15"/>
    <x v="9"/>
    <n v="93"/>
    <s v="A+"/>
    <n v="84"/>
    <s v="A"/>
    <n v="86"/>
    <s v="A"/>
    <n v="82"/>
    <s v="A"/>
    <n v="62"/>
    <s v="B-"/>
    <n v="87"/>
    <s v="A"/>
    <n v="84"/>
    <s v="A"/>
    <n v="578"/>
    <n v="82.571428571428569"/>
    <x v="0"/>
    <n v="752"/>
    <x v="1"/>
  </r>
  <r>
    <n v="1053"/>
    <s v="Katelyn"/>
    <s v="Watkins"/>
    <x v="1042"/>
    <s v="katelyn.watkins.1053@gslingacademy.com"/>
    <x v="1"/>
    <x v="0"/>
    <n v="3"/>
    <x v="0"/>
    <n v="16"/>
    <x v="11"/>
    <n v="75"/>
    <s v="A-"/>
    <n v="97"/>
    <s v="A+"/>
    <n v="97"/>
    <s v="A+"/>
    <n v="83"/>
    <s v="A"/>
    <n v="74"/>
    <s v="B+"/>
    <n v="74"/>
    <s v="B+"/>
    <n v="74"/>
    <s v="B+"/>
    <n v="574"/>
    <n v="82"/>
    <x v="0"/>
    <n v="832"/>
    <x v="0"/>
  </r>
  <r>
    <n v="1054"/>
    <s v="Anne"/>
    <s v="Johnston"/>
    <x v="1043"/>
    <s v="anne.johnston.1054@gslingacademy.com"/>
    <x v="1"/>
    <x v="0"/>
    <n v="1"/>
    <x v="0"/>
    <n v="18"/>
    <x v="9"/>
    <n v="75"/>
    <s v="A-"/>
    <n v="66"/>
    <s v="B"/>
    <n v="61"/>
    <s v="B-"/>
    <n v="69"/>
    <s v="B"/>
    <n v="68"/>
    <s v="B"/>
    <n v="96"/>
    <s v="A+"/>
    <n v="63"/>
    <s v="B-"/>
    <n v="498"/>
    <n v="71.142857142857139"/>
    <x v="3"/>
    <n v="1884"/>
    <x v="1"/>
  </r>
  <r>
    <n v="1055"/>
    <s v="Rebecca"/>
    <s v="Carpenter"/>
    <x v="1044"/>
    <s v="rebecca.carpenter.1055@gslingacademy.com"/>
    <x v="1"/>
    <x v="0"/>
    <n v="1"/>
    <x v="0"/>
    <n v="28"/>
    <x v="4"/>
    <n v="88"/>
    <s v="A"/>
    <n v="93"/>
    <s v="A+"/>
    <n v="92"/>
    <s v="A+"/>
    <n v="70"/>
    <s v="B+"/>
    <n v="90"/>
    <s v="A+"/>
    <n v="94"/>
    <s v="A+"/>
    <n v="85"/>
    <s v="A"/>
    <n v="612"/>
    <n v="87.428571428571431"/>
    <x v="0"/>
    <n v="283"/>
    <x v="1"/>
  </r>
  <r>
    <n v="1056"/>
    <s v="Ashley"/>
    <s v="Baker"/>
    <x v="1045"/>
    <s v="ashley.baker.1056@gslingacademy.com"/>
    <x v="1"/>
    <x v="0"/>
    <n v="5"/>
    <x v="0"/>
    <n v="29"/>
    <x v="0"/>
    <n v="86"/>
    <s v="A"/>
    <n v="95"/>
    <s v="A+"/>
    <n v="95"/>
    <s v="A+"/>
    <n v="72"/>
    <s v="B+"/>
    <n v="72"/>
    <s v="B+"/>
    <n v="80"/>
    <s v="A"/>
    <n v="65"/>
    <s v="B"/>
    <n v="565"/>
    <n v="80.714285714285708"/>
    <x v="0"/>
    <n v="1035"/>
    <x v="0"/>
  </r>
  <r>
    <n v="1057"/>
    <s v="Lacey"/>
    <s v="Norris"/>
    <x v="1046"/>
    <s v="lacey.norris.1057@gslingacademy.com"/>
    <x v="1"/>
    <x v="0"/>
    <n v="8"/>
    <x v="0"/>
    <n v="30"/>
    <x v="0"/>
    <n v="86"/>
    <s v="A"/>
    <n v="98"/>
    <s v="A+"/>
    <n v="97"/>
    <s v="A+"/>
    <n v="75"/>
    <s v="A-"/>
    <n v="83"/>
    <s v="A"/>
    <n v="95"/>
    <s v="A+"/>
    <n v="80"/>
    <s v="A"/>
    <n v="614"/>
    <n v="87.714285714285708"/>
    <x v="0"/>
    <n v="260"/>
    <x v="2"/>
  </r>
  <r>
    <n v="1058"/>
    <s v="Angela"/>
    <s v="Moore"/>
    <x v="1047"/>
    <s v="angela.moore.1058@gslingacademy.com"/>
    <x v="1"/>
    <x v="0"/>
    <n v="1"/>
    <x v="1"/>
    <n v="32"/>
    <x v="5"/>
    <n v="99"/>
    <s v="A+"/>
    <n v="95"/>
    <s v="A+"/>
    <n v="88"/>
    <s v="A"/>
    <n v="68"/>
    <s v="B"/>
    <n v="91"/>
    <s v="A+"/>
    <n v="62"/>
    <s v="B-"/>
    <n v="75"/>
    <s v="A-"/>
    <n v="578"/>
    <n v="82.571428571428569"/>
    <x v="0"/>
    <n v="752"/>
    <x v="1"/>
  </r>
  <r>
    <n v="1059"/>
    <s v="Maria"/>
    <s v="Obrien"/>
    <x v="1048"/>
    <s v="maria.obrien.1059@gslingacademy.com"/>
    <x v="1"/>
    <x v="0"/>
    <n v="0"/>
    <x v="0"/>
    <n v="19"/>
    <x v="5"/>
    <n v="95"/>
    <s v="A+"/>
    <n v="85"/>
    <s v="A"/>
    <n v="76"/>
    <s v="A-"/>
    <n v="96"/>
    <s v="A+"/>
    <n v="68"/>
    <s v="B"/>
    <n v="74"/>
    <s v="B+"/>
    <n v="93"/>
    <s v="A+"/>
    <n v="587"/>
    <n v="83.857142857142861"/>
    <x v="0"/>
    <n v="583"/>
    <x v="1"/>
  </r>
  <r>
    <n v="1060"/>
    <s v="Rebecca"/>
    <s v="Larsen"/>
    <x v="1049"/>
    <s v="rebecca.larsen.1060@gslingacademy.com"/>
    <x v="1"/>
    <x v="0"/>
    <n v="2"/>
    <x v="0"/>
    <n v="18"/>
    <x v="5"/>
    <n v="92"/>
    <s v="A+"/>
    <n v="72"/>
    <s v="B+"/>
    <n v="61"/>
    <s v="B-"/>
    <n v="93"/>
    <s v="A+"/>
    <n v="86"/>
    <s v="A"/>
    <n v="97"/>
    <s v="A+"/>
    <n v="79"/>
    <s v="A-"/>
    <n v="580"/>
    <n v="82.857142857142861"/>
    <x v="0"/>
    <n v="709"/>
    <x v="1"/>
  </r>
  <r>
    <n v="1061"/>
    <s v="Amanda"/>
    <s v="Rodriguez"/>
    <x v="1050"/>
    <s v="amanda.rodriguez.1061@gslingacademy.com"/>
    <x v="1"/>
    <x v="0"/>
    <n v="5"/>
    <x v="0"/>
    <n v="23"/>
    <x v="1"/>
    <n v="88"/>
    <s v="A"/>
    <n v="91"/>
    <s v="A+"/>
    <n v="96"/>
    <s v="A+"/>
    <n v="99"/>
    <s v="A+"/>
    <n v="85"/>
    <s v="A"/>
    <n v="62"/>
    <s v="B-"/>
    <n v="86"/>
    <s v="A"/>
    <n v="607"/>
    <n v="86.714285714285708"/>
    <x v="0"/>
    <n v="325"/>
    <x v="0"/>
  </r>
  <r>
    <n v="1062"/>
    <s v="Patrick"/>
    <s v="Clark"/>
    <x v="1051"/>
    <s v="patrick.clark.1062@gslingacademy.com"/>
    <x v="0"/>
    <x v="0"/>
    <n v="7"/>
    <x v="0"/>
    <n v="16"/>
    <x v="9"/>
    <n v="92"/>
    <s v="A+"/>
    <n v="60"/>
    <s v="B-"/>
    <n v="76"/>
    <s v="A-"/>
    <n v="61"/>
    <s v="B-"/>
    <n v="94"/>
    <s v="A+"/>
    <n v="93"/>
    <s v="A+"/>
    <n v="94"/>
    <s v="A+"/>
    <n v="570"/>
    <n v="81.428571428571431"/>
    <x v="0"/>
    <n v="937"/>
    <x v="2"/>
  </r>
  <r>
    <n v="1063"/>
    <s v="Janet"/>
    <s v="Morrison"/>
    <x v="1052"/>
    <s v="janet.morrison.1063@gslingacademy.com"/>
    <x v="1"/>
    <x v="1"/>
    <n v="8"/>
    <x v="0"/>
    <n v="1"/>
    <x v="7"/>
    <n v="70"/>
    <s v="B+"/>
    <n v="70"/>
    <s v="B+"/>
    <n v="75"/>
    <s v="A-"/>
    <n v="83"/>
    <s v="A"/>
    <n v="60"/>
    <s v="B-"/>
    <n v="86"/>
    <s v="A"/>
    <n v="62"/>
    <s v="B-"/>
    <n v="506"/>
    <n v="72.285714285714292"/>
    <x v="3"/>
    <n v="1848"/>
    <x v="2"/>
  </r>
  <r>
    <n v="1064"/>
    <s v="James"/>
    <s v="Acosta"/>
    <x v="1053"/>
    <s v="james.acosta.1064@gslingacademy.com"/>
    <x v="0"/>
    <x v="1"/>
    <n v="1"/>
    <x v="0"/>
    <n v="35"/>
    <x v="8"/>
    <n v="85"/>
    <s v="A"/>
    <n v="90"/>
    <s v="A+"/>
    <n v="98"/>
    <s v="A+"/>
    <n v="92"/>
    <s v="A+"/>
    <n v="89"/>
    <s v="A"/>
    <n v="88"/>
    <s v="A"/>
    <n v="95"/>
    <s v="A+"/>
    <n v="637"/>
    <n v="91"/>
    <x v="1"/>
    <n v="115"/>
    <x v="1"/>
  </r>
  <r>
    <n v="1065"/>
    <s v="Richard"/>
    <s v="Burke"/>
    <x v="1054"/>
    <s v="richard.burke.1065@gslingacademy.com"/>
    <x v="0"/>
    <x v="0"/>
    <n v="3"/>
    <x v="0"/>
    <n v="32"/>
    <x v="4"/>
    <n v="79"/>
    <s v="A-"/>
    <n v="78"/>
    <s v="A-"/>
    <n v="69"/>
    <s v="B"/>
    <n v="80"/>
    <s v="A"/>
    <n v="72"/>
    <s v="B+"/>
    <n v="71"/>
    <s v="B+"/>
    <n v="88"/>
    <s v="A"/>
    <n v="537"/>
    <n v="76.714285714285708"/>
    <x v="2"/>
    <n v="1553"/>
    <x v="0"/>
  </r>
  <r>
    <n v="1066"/>
    <s v="Donald"/>
    <s v="Contreras"/>
    <x v="1055"/>
    <s v="donald.contreras.1066@gslingacademy.com"/>
    <x v="0"/>
    <x v="0"/>
    <n v="0"/>
    <x v="0"/>
    <n v="31"/>
    <x v="4"/>
    <n v="60"/>
    <s v="B-"/>
    <n v="88"/>
    <s v="A"/>
    <n v="75"/>
    <s v="A-"/>
    <n v="94"/>
    <s v="A+"/>
    <n v="87"/>
    <s v="A"/>
    <n v="82"/>
    <s v="A"/>
    <n v="79"/>
    <s v="A-"/>
    <n v="565"/>
    <n v="80.714285714285708"/>
    <x v="0"/>
    <n v="1035"/>
    <x v="1"/>
  </r>
  <r>
    <n v="1067"/>
    <s v="Kenneth"/>
    <s v="Mendez"/>
    <x v="1056"/>
    <s v="kenneth.mendez.1067@gslingacademy.com"/>
    <x v="0"/>
    <x v="0"/>
    <n v="10"/>
    <x v="0"/>
    <n v="0"/>
    <x v="7"/>
    <n v="63"/>
    <s v="B-"/>
    <n v="86"/>
    <s v="A"/>
    <n v="89"/>
    <s v="A"/>
    <n v="87"/>
    <s v="A"/>
    <n v="67"/>
    <s v="B"/>
    <n v="73"/>
    <s v="B+"/>
    <n v="80"/>
    <s v="A"/>
    <n v="545"/>
    <n v="77.857142857142861"/>
    <x v="2"/>
    <n v="1432"/>
    <x v="2"/>
  </r>
  <r>
    <n v="1068"/>
    <s v="Kenneth"/>
    <s v="Sparks"/>
    <x v="1057"/>
    <s v="kenneth.sparks.1068@gslingacademy.com"/>
    <x v="0"/>
    <x v="0"/>
    <n v="3"/>
    <x v="0"/>
    <n v="24"/>
    <x v="9"/>
    <n v="99"/>
    <s v="A+"/>
    <n v="77"/>
    <s v="A-"/>
    <n v="82"/>
    <s v="A"/>
    <n v="60"/>
    <s v="B-"/>
    <n v="88"/>
    <s v="A"/>
    <n v="91"/>
    <s v="A+"/>
    <n v="93"/>
    <s v="A+"/>
    <n v="590"/>
    <n v="84.285714285714292"/>
    <x v="0"/>
    <n v="531"/>
    <x v="0"/>
  </r>
  <r>
    <n v="1069"/>
    <s v="Natasha"/>
    <s v="Morales"/>
    <x v="1058"/>
    <s v="natasha.morales.1069@gslingacademy.com"/>
    <x v="1"/>
    <x v="0"/>
    <n v="4"/>
    <x v="0"/>
    <n v="13"/>
    <x v="11"/>
    <n v="93"/>
    <s v="A+"/>
    <n v="61"/>
    <s v="B-"/>
    <n v="71"/>
    <s v="B+"/>
    <n v="82"/>
    <s v="A"/>
    <n v="43"/>
    <s v="D"/>
    <n v="94"/>
    <s v="A+"/>
    <n v="88"/>
    <s v="A"/>
    <n v="532"/>
    <n v="76"/>
    <x v="2"/>
    <n v="1622"/>
    <x v="0"/>
  </r>
  <r>
    <n v="1070"/>
    <s v="David"/>
    <s v="Mendoza"/>
    <x v="1059"/>
    <s v="david.mendoza.1070@gslingacademy.com"/>
    <x v="0"/>
    <x v="0"/>
    <n v="1"/>
    <x v="0"/>
    <n v="4"/>
    <x v="4"/>
    <n v="63"/>
    <s v="B-"/>
    <n v="72"/>
    <s v="B+"/>
    <n v="92"/>
    <s v="A+"/>
    <n v="82"/>
    <s v="A"/>
    <n v="84"/>
    <s v="A"/>
    <n v="82"/>
    <s v="A"/>
    <n v="60"/>
    <s v="B-"/>
    <n v="535"/>
    <n v="76.428571428571431"/>
    <x v="2"/>
    <n v="1578"/>
    <x v="1"/>
  </r>
  <r>
    <n v="1071"/>
    <s v="Melissa"/>
    <s v="Wright"/>
    <x v="1060"/>
    <s v="melissa.wright.1071@gslingacademy.com"/>
    <x v="1"/>
    <x v="0"/>
    <n v="1"/>
    <x v="0"/>
    <n v="1"/>
    <x v="7"/>
    <n v="81"/>
    <s v="A"/>
    <n v="86"/>
    <s v="A"/>
    <n v="84"/>
    <s v="A"/>
    <n v="78"/>
    <s v="A-"/>
    <n v="63"/>
    <s v="B-"/>
    <n v="86"/>
    <s v="A"/>
    <n v="73"/>
    <s v="B+"/>
    <n v="551"/>
    <n v="78.714285714285708"/>
    <x v="2"/>
    <n v="1317"/>
    <x v="1"/>
  </r>
  <r>
    <n v="1072"/>
    <s v="Cindy"/>
    <s v="Hamilton"/>
    <x v="1061"/>
    <s v="cindy.hamilton.1072@gslingacademy.com"/>
    <x v="1"/>
    <x v="0"/>
    <n v="5"/>
    <x v="0"/>
    <n v="27"/>
    <x v="4"/>
    <n v="60"/>
    <s v="B-"/>
    <n v="61"/>
    <s v="B-"/>
    <n v="66"/>
    <s v="B"/>
    <n v="82"/>
    <s v="A"/>
    <n v="100"/>
    <s v="A+"/>
    <n v="76"/>
    <s v="A-"/>
    <n v="79"/>
    <s v="A-"/>
    <n v="524"/>
    <n v="74.857142857142861"/>
    <x v="3"/>
    <n v="1715"/>
    <x v="0"/>
  </r>
  <r>
    <n v="1073"/>
    <s v="Nancy"/>
    <s v="Walker"/>
    <x v="1062"/>
    <s v="nancy.walker.1073@gslingacademy.com"/>
    <x v="1"/>
    <x v="1"/>
    <n v="7"/>
    <x v="0"/>
    <n v="4"/>
    <x v="7"/>
    <n v="68"/>
    <s v="B"/>
    <n v="50"/>
    <s v="C"/>
    <n v="68"/>
    <s v="B"/>
    <n v="53"/>
    <s v="C"/>
    <n v="58"/>
    <s v="C"/>
    <n v="87"/>
    <s v="A"/>
    <n v="74"/>
    <s v="B+"/>
    <n v="458"/>
    <n v="65.428571428571431"/>
    <x v="4"/>
    <n v="1983"/>
    <x v="2"/>
  </r>
  <r>
    <n v="1074"/>
    <s v="Matthew"/>
    <s v="Peterson"/>
    <x v="1063"/>
    <s v="matthew.peterson.1074@gslingacademy.com"/>
    <x v="0"/>
    <x v="0"/>
    <n v="7"/>
    <x v="0"/>
    <n v="8"/>
    <x v="15"/>
    <n v="89"/>
    <s v="A"/>
    <n v="97"/>
    <s v="A+"/>
    <n v="65"/>
    <s v="B"/>
    <n v="75"/>
    <s v="A-"/>
    <n v="61"/>
    <s v="B-"/>
    <n v="60"/>
    <s v="B-"/>
    <n v="60"/>
    <s v="B-"/>
    <n v="507"/>
    <n v="72.428571428571431"/>
    <x v="3"/>
    <n v="1844"/>
    <x v="2"/>
  </r>
  <r>
    <n v="1075"/>
    <s v="Grant"/>
    <s v="Mason"/>
    <x v="1064"/>
    <s v="grant.mason.1075@gslingacademy.com"/>
    <x v="0"/>
    <x v="0"/>
    <n v="1"/>
    <x v="1"/>
    <n v="35"/>
    <x v="8"/>
    <n v="86"/>
    <s v="A"/>
    <n v="87"/>
    <s v="A"/>
    <n v="89"/>
    <s v="A"/>
    <n v="91"/>
    <s v="A+"/>
    <n v="90"/>
    <s v="A+"/>
    <n v="85"/>
    <s v="A"/>
    <n v="92"/>
    <s v="A+"/>
    <n v="620"/>
    <n v="88.571428571428569"/>
    <x v="0"/>
    <n v="215"/>
    <x v="1"/>
  </r>
  <r>
    <n v="1076"/>
    <s v="David"/>
    <s v="Mays"/>
    <x v="1065"/>
    <s v="david.mays.1076@gslingacademy.com"/>
    <x v="0"/>
    <x v="0"/>
    <n v="2"/>
    <x v="1"/>
    <n v="7"/>
    <x v="16"/>
    <n v="71"/>
    <s v="B+"/>
    <n v="96"/>
    <s v="A+"/>
    <n v="83"/>
    <s v="A"/>
    <n v="76"/>
    <s v="A-"/>
    <n v="60"/>
    <s v="B-"/>
    <n v="87"/>
    <s v="A"/>
    <n v="74"/>
    <s v="B+"/>
    <n v="547"/>
    <n v="78.142857142857139"/>
    <x v="2"/>
    <n v="1388"/>
    <x v="1"/>
  </r>
  <r>
    <n v="1077"/>
    <s v="Sheryl"/>
    <s v="Parker"/>
    <x v="1066"/>
    <s v="sheryl.parker.1077@gslingacademy.com"/>
    <x v="1"/>
    <x v="0"/>
    <n v="9"/>
    <x v="0"/>
    <n v="4"/>
    <x v="7"/>
    <n v="72"/>
    <s v="B+"/>
    <n v="69"/>
    <s v="B"/>
    <n v="58"/>
    <s v="C"/>
    <n v="79"/>
    <s v="A-"/>
    <n v="70"/>
    <s v="B+"/>
    <n v="50"/>
    <s v="C"/>
    <n v="98"/>
    <s v="A+"/>
    <n v="496"/>
    <n v="70.857142857142861"/>
    <x v="3"/>
    <n v="1892"/>
    <x v="2"/>
  </r>
  <r>
    <n v="1078"/>
    <s v="Ross"/>
    <s v="Sanchez"/>
    <x v="1067"/>
    <s v="ross.sanchez.1078@gslingacademy.com"/>
    <x v="0"/>
    <x v="0"/>
    <n v="2"/>
    <x v="0"/>
    <n v="25"/>
    <x v="4"/>
    <n v="74"/>
    <s v="B+"/>
    <n v="67"/>
    <s v="B"/>
    <n v="90"/>
    <s v="A+"/>
    <n v="69"/>
    <s v="B"/>
    <n v="83"/>
    <s v="A"/>
    <n v="89"/>
    <s v="A"/>
    <n v="68"/>
    <s v="B"/>
    <n v="540"/>
    <n v="77.142857142857139"/>
    <x v="2"/>
    <n v="1513"/>
    <x v="1"/>
  </r>
  <r>
    <n v="1079"/>
    <s v="Robert"/>
    <s v="Barnett"/>
    <x v="1068"/>
    <s v="robert.barnett.1079@gslingacademy.com"/>
    <x v="0"/>
    <x v="0"/>
    <n v="2"/>
    <x v="0"/>
    <n v="28"/>
    <x v="5"/>
    <n v="99"/>
    <s v="A+"/>
    <n v="84"/>
    <s v="A"/>
    <n v="75"/>
    <s v="A-"/>
    <n v="81"/>
    <s v="A"/>
    <n v="91"/>
    <s v="A+"/>
    <n v="87"/>
    <s v="A"/>
    <n v="63"/>
    <s v="B-"/>
    <n v="580"/>
    <n v="82.857142857142861"/>
    <x v="0"/>
    <n v="709"/>
    <x v="1"/>
  </r>
  <r>
    <n v="1080"/>
    <s v="Dean"/>
    <s v="Sims"/>
    <x v="1069"/>
    <s v="dean.sims.1080@gslingacademy.com"/>
    <x v="0"/>
    <x v="0"/>
    <n v="4"/>
    <x v="0"/>
    <n v="19"/>
    <x v="15"/>
    <n v="99"/>
    <s v="A+"/>
    <n v="78"/>
    <s v="A-"/>
    <n v="74"/>
    <s v="B+"/>
    <n v="95"/>
    <s v="A+"/>
    <n v="72"/>
    <s v="B+"/>
    <n v="65"/>
    <s v="B"/>
    <n v="91"/>
    <s v="A+"/>
    <n v="574"/>
    <n v="82"/>
    <x v="0"/>
    <n v="832"/>
    <x v="0"/>
  </r>
  <r>
    <n v="1081"/>
    <s v="Jaime"/>
    <s v="Morrison"/>
    <x v="1070"/>
    <s v="jaime.morrison.1081@gslingacademy.com"/>
    <x v="0"/>
    <x v="0"/>
    <n v="2"/>
    <x v="0"/>
    <n v="16"/>
    <x v="5"/>
    <n v="88"/>
    <s v="A"/>
    <n v="71"/>
    <s v="B+"/>
    <n v="82"/>
    <s v="A"/>
    <n v="98"/>
    <s v="A+"/>
    <n v="91"/>
    <s v="A+"/>
    <n v="73"/>
    <s v="B+"/>
    <n v="74"/>
    <s v="B+"/>
    <n v="577"/>
    <n v="82.428571428571431"/>
    <x v="0"/>
    <n v="769"/>
    <x v="1"/>
  </r>
  <r>
    <n v="1082"/>
    <s v="Regina"/>
    <s v="Hernandez"/>
    <x v="1071"/>
    <s v="regina.hernandez.1082@gslingacademy.com"/>
    <x v="1"/>
    <x v="0"/>
    <n v="3"/>
    <x v="0"/>
    <n v="6"/>
    <x v="4"/>
    <n v="65"/>
    <s v="B"/>
    <n v="72"/>
    <s v="B+"/>
    <n v="77"/>
    <s v="A-"/>
    <n v="89"/>
    <s v="A"/>
    <n v="74"/>
    <s v="B+"/>
    <n v="76"/>
    <s v="A-"/>
    <n v="61"/>
    <s v="B-"/>
    <n v="514"/>
    <n v="73.428571428571431"/>
    <x v="3"/>
    <n v="1805"/>
    <x v="0"/>
  </r>
  <r>
    <n v="1083"/>
    <s v="Margaret"/>
    <s v="Smith"/>
    <x v="1072"/>
    <s v="margaret.smith.1083@gslingacademy.com"/>
    <x v="1"/>
    <x v="1"/>
    <n v="5"/>
    <x v="0"/>
    <n v="4"/>
    <x v="7"/>
    <n v="90"/>
    <s v="A+"/>
    <n v="99"/>
    <s v="A+"/>
    <n v="87"/>
    <s v="A"/>
    <n v="81"/>
    <s v="A"/>
    <n v="90"/>
    <s v="A+"/>
    <n v="80"/>
    <s v="A"/>
    <n v="92"/>
    <s v="A+"/>
    <n v="619"/>
    <n v="88.428571428571431"/>
    <x v="0"/>
    <n v="221"/>
    <x v="0"/>
  </r>
  <r>
    <n v="1084"/>
    <s v="Kyle"/>
    <s v="Garcia"/>
    <x v="1073"/>
    <s v="kyle.garcia.1084@gslingacademy.com"/>
    <x v="0"/>
    <x v="0"/>
    <n v="9"/>
    <x v="0"/>
    <n v="34"/>
    <x v="0"/>
    <n v="91"/>
    <s v="A+"/>
    <n v="88"/>
    <s v="A"/>
    <n v="79"/>
    <s v="A-"/>
    <n v="60"/>
    <s v="B-"/>
    <n v="82"/>
    <s v="A"/>
    <n v="96"/>
    <s v="A+"/>
    <n v="83"/>
    <s v="A"/>
    <n v="579"/>
    <n v="82.714285714285708"/>
    <x v="0"/>
    <n v="730"/>
    <x v="2"/>
  </r>
  <r>
    <n v="1085"/>
    <s v="Trevor"/>
    <s v="Stark"/>
    <x v="1074"/>
    <s v="trevor.stark.1085@gslingacademy.com"/>
    <x v="0"/>
    <x v="1"/>
    <n v="3"/>
    <x v="0"/>
    <n v="31"/>
    <x v="0"/>
    <n v="86"/>
    <s v="A"/>
    <n v="92"/>
    <s v="A+"/>
    <n v="66"/>
    <s v="B"/>
    <n v="66"/>
    <s v="B"/>
    <n v="100"/>
    <s v="A+"/>
    <n v="99"/>
    <s v="A+"/>
    <n v="91"/>
    <s v="A+"/>
    <n v="600"/>
    <n v="85.714285714285708"/>
    <x v="0"/>
    <n v="406"/>
    <x v="0"/>
  </r>
  <r>
    <n v="1086"/>
    <s v="Nathaniel"/>
    <s v="Adams"/>
    <x v="1075"/>
    <s v="nathaniel.adams.1086@gslingacademy.com"/>
    <x v="0"/>
    <x v="0"/>
    <n v="2"/>
    <x v="0"/>
    <n v="27"/>
    <x v="5"/>
    <n v="86"/>
    <s v="A"/>
    <n v="84"/>
    <s v="A"/>
    <n v="98"/>
    <s v="A+"/>
    <n v="67"/>
    <s v="B"/>
    <n v="76"/>
    <s v="A-"/>
    <n v="75"/>
    <s v="A-"/>
    <n v="65"/>
    <s v="B"/>
    <n v="551"/>
    <n v="78.714285714285708"/>
    <x v="2"/>
    <n v="1317"/>
    <x v="1"/>
  </r>
  <r>
    <n v="1087"/>
    <s v="Gabriela"/>
    <s v="Martinez"/>
    <x v="1076"/>
    <s v="gabriela.martinez.1087@gslingacademy.com"/>
    <x v="1"/>
    <x v="0"/>
    <n v="4"/>
    <x v="0"/>
    <n v="22"/>
    <x v="5"/>
    <n v="92"/>
    <s v="A+"/>
    <n v="91"/>
    <s v="A+"/>
    <n v="85"/>
    <s v="A"/>
    <n v="94"/>
    <s v="A+"/>
    <n v="69"/>
    <s v="B"/>
    <n v="80"/>
    <s v="A"/>
    <n v="71"/>
    <s v="B+"/>
    <n v="582"/>
    <n v="83.142857142857139"/>
    <x v="0"/>
    <n v="670"/>
    <x v="0"/>
  </r>
  <r>
    <n v="1088"/>
    <s v="Debra"/>
    <s v="Walter"/>
    <x v="1077"/>
    <s v="debra.walter.1088@gslingacademy.com"/>
    <x v="1"/>
    <x v="0"/>
    <n v="3"/>
    <x v="1"/>
    <n v="25"/>
    <x v="9"/>
    <n v="90"/>
    <s v="A+"/>
    <n v="97"/>
    <s v="A+"/>
    <n v="64"/>
    <s v="B-"/>
    <n v="64"/>
    <s v="B-"/>
    <n v="61"/>
    <s v="B-"/>
    <n v="81"/>
    <s v="A"/>
    <n v="93"/>
    <s v="A+"/>
    <n v="550"/>
    <n v="78.571428571428569"/>
    <x v="2"/>
    <n v="1338"/>
    <x v="0"/>
  </r>
  <r>
    <n v="1089"/>
    <s v="Kimberly"/>
    <s v="Herrera"/>
    <x v="1078"/>
    <s v="kimberly.herrera.1089@gslingacademy.com"/>
    <x v="1"/>
    <x v="0"/>
    <n v="3"/>
    <x v="0"/>
    <n v="19"/>
    <x v="11"/>
    <n v="98"/>
    <s v="A+"/>
    <n v="69"/>
    <s v="B"/>
    <n v="61"/>
    <s v="B-"/>
    <n v="62"/>
    <s v="B-"/>
    <n v="82"/>
    <s v="A"/>
    <n v="87"/>
    <s v="A"/>
    <n v="64"/>
    <s v="B-"/>
    <n v="523"/>
    <n v="74.714285714285708"/>
    <x v="3"/>
    <n v="1727"/>
    <x v="0"/>
  </r>
  <r>
    <n v="1090"/>
    <s v="William"/>
    <s v="Fleming"/>
    <x v="1079"/>
    <s v="william.fleming.1090@gslingacademy.com"/>
    <x v="0"/>
    <x v="0"/>
    <n v="1"/>
    <x v="0"/>
    <n v="28"/>
    <x v="0"/>
    <n v="72"/>
    <s v="B+"/>
    <n v="93"/>
    <s v="A+"/>
    <n v="68"/>
    <s v="B"/>
    <n v="62"/>
    <s v="B-"/>
    <n v="83"/>
    <s v="A"/>
    <n v="98"/>
    <s v="A+"/>
    <n v="67"/>
    <s v="B"/>
    <n v="543"/>
    <n v="77.571428571428569"/>
    <x v="2"/>
    <n v="1464"/>
    <x v="1"/>
  </r>
  <r>
    <n v="1091"/>
    <s v="Brandon"/>
    <s v="Foster"/>
    <x v="1080"/>
    <s v="brandon.foster.1091@gslingacademy.com"/>
    <x v="0"/>
    <x v="1"/>
    <n v="3"/>
    <x v="1"/>
    <n v="34"/>
    <x v="8"/>
    <n v="77"/>
    <s v="A-"/>
    <n v="93"/>
    <s v="A+"/>
    <n v="83"/>
    <s v="A"/>
    <n v="84"/>
    <s v="A"/>
    <n v="83"/>
    <s v="A"/>
    <n v="84"/>
    <s v="A"/>
    <n v="71"/>
    <s v="B+"/>
    <n v="575"/>
    <n v="82.142857142857139"/>
    <x v="0"/>
    <n v="807"/>
    <x v="0"/>
  </r>
  <r>
    <n v="1092"/>
    <s v="John"/>
    <s v="Wilson"/>
    <x v="1081"/>
    <s v="john.wilson.1092@gslingacademy.com"/>
    <x v="0"/>
    <x v="0"/>
    <n v="10"/>
    <x v="0"/>
    <n v="5"/>
    <x v="7"/>
    <n v="75"/>
    <s v="A-"/>
    <n v="52"/>
    <s v="C"/>
    <n v="84"/>
    <s v="A"/>
    <n v="70"/>
    <s v="B+"/>
    <n v="81"/>
    <s v="A"/>
    <n v="99"/>
    <s v="A+"/>
    <n v="85"/>
    <s v="A"/>
    <n v="546"/>
    <n v="78"/>
    <x v="2"/>
    <n v="1411"/>
    <x v="2"/>
  </r>
  <r>
    <n v="1093"/>
    <s v="George"/>
    <s v="Kerr"/>
    <x v="1082"/>
    <s v="george.kerr.1093@gslingacademy.com"/>
    <x v="0"/>
    <x v="1"/>
    <n v="1"/>
    <x v="0"/>
    <n v="34"/>
    <x v="0"/>
    <n v="94"/>
    <s v="A+"/>
    <n v="82"/>
    <s v="A"/>
    <n v="83"/>
    <s v="A"/>
    <n v="76"/>
    <s v="A-"/>
    <n v="83"/>
    <s v="A"/>
    <n v="93"/>
    <s v="A+"/>
    <n v="94"/>
    <s v="A+"/>
    <n v="605"/>
    <n v="86.428571428571431"/>
    <x v="0"/>
    <n v="344"/>
    <x v="1"/>
  </r>
  <r>
    <n v="1094"/>
    <s v="Kenneth"/>
    <s v="Gilbert"/>
    <x v="1083"/>
    <s v="kenneth.gilbert.1094@gslingacademy.com"/>
    <x v="0"/>
    <x v="0"/>
    <n v="7"/>
    <x v="0"/>
    <n v="34"/>
    <x v="9"/>
    <n v="75"/>
    <s v="A-"/>
    <n v="88"/>
    <s v="A"/>
    <n v="71"/>
    <s v="B+"/>
    <n v="62"/>
    <s v="B-"/>
    <n v="90"/>
    <s v="A+"/>
    <n v="78"/>
    <s v="A-"/>
    <n v="95"/>
    <s v="A+"/>
    <n v="559"/>
    <n v="79.857142857142861"/>
    <x v="2"/>
    <n v="1155"/>
    <x v="2"/>
  </r>
  <r>
    <n v="1095"/>
    <s v="Jodi"/>
    <s v="Price"/>
    <x v="1084"/>
    <s v="jodi.price.1095@gslingacademy.com"/>
    <x v="1"/>
    <x v="0"/>
    <n v="0"/>
    <x v="0"/>
    <n v="19"/>
    <x v="5"/>
    <n v="91"/>
    <s v="A+"/>
    <n v="91"/>
    <s v="A+"/>
    <n v="66"/>
    <s v="B"/>
    <n v="97"/>
    <s v="A+"/>
    <n v="62"/>
    <s v="B-"/>
    <n v="89"/>
    <s v="A"/>
    <n v="82"/>
    <s v="A"/>
    <n v="578"/>
    <n v="82.571428571428569"/>
    <x v="0"/>
    <n v="752"/>
    <x v="1"/>
  </r>
  <r>
    <n v="1096"/>
    <s v="Jordan"/>
    <s v="Sheppard"/>
    <x v="1085"/>
    <s v="jordan.sheppard.1096@gslingacademy.com"/>
    <x v="0"/>
    <x v="0"/>
    <n v="0"/>
    <x v="0"/>
    <n v="13"/>
    <x v="11"/>
    <n v="75"/>
    <s v="A-"/>
    <n v="64"/>
    <s v="B-"/>
    <n v="100"/>
    <s v="A+"/>
    <n v="63"/>
    <s v="B-"/>
    <n v="98"/>
    <s v="A+"/>
    <n v="71"/>
    <s v="B+"/>
    <n v="73"/>
    <s v="B+"/>
    <n v="544"/>
    <n v="77.714285714285708"/>
    <x v="2"/>
    <n v="1446"/>
    <x v="1"/>
  </r>
  <r>
    <n v="1097"/>
    <s v="Tristan"/>
    <s v="Martinez"/>
    <x v="1086"/>
    <s v="tristan.martinez.1097@gslingacademy.com"/>
    <x v="0"/>
    <x v="0"/>
    <n v="3"/>
    <x v="0"/>
    <n v="18"/>
    <x v="11"/>
    <n v="93"/>
    <s v="A+"/>
    <n v="79"/>
    <s v="A-"/>
    <n v="86"/>
    <s v="A"/>
    <n v="72"/>
    <s v="B+"/>
    <n v="89"/>
    <s v="A"/>
    <n v="61"/>
    <s v="B-"/>
    <n v="98"/>
    <s v="A+"/>
    <n v="578"/>
    <n v="82.571428571428569"/>
    <x v="0"/>
    <n v="752"/>
    <x v="0"/>
  </r>
  <r>
    <n v="1098"/>
    <s v="Sharon"/>
    <s v="Chandler"/>
    <x v="1087"/>
    <s v="sharon.chandler.1098@gslingacademy.com"/>
    <x v="1"/>
    <x v="0"/>
    <n v="5"/>
    <x v="0"/>
    <n v="1"/>
    <x v="14"/>
    <n v="86"/>
    <s v="A"/>
    <n v="81"/>
    <s v="A"/>
    <n v="80"/>
    <s v="A"/>
    <n v="85"/>
    <s v="A"/>
    <n v="62"/>
    <s v="B-"/>
    <n v="86"/>
    <s v="A"/>
    <n v="69"/>
    <s v="B"/>
    <n v="549"/>
    <n v="78.428571428571431"/>
    <x v="2"/>
    <n v="1355"/>
    <x v="0"/>
  </r>
  <r>
    <n v="1099"/>
    <s v="Steven"/>
    <s v="Allen"/>
    <x v="1088"/>
    <s v="steven.allen.1099@gslingacademy.com"/>
    <x v="0"/>
    <x v="0"/>
    <n v="1"/>
    <x v="0"/>
    <n v="29"/>
    <x v="4"/>
    <n v="92"/>
    <s v="A+"/>
    <n v="61"/>
    <s v="B-"/>
    <n v="96"/>
    <s v="A+"/>
    <n v="79"/>
    <s v="A-"/>
    <n v="97"/>
    <s v="A+"/>
    <n v="89"/>
    <s v="A"/>
    <n v="78"/>
    <s v="A-"/>
    <n v="592"/>
    <n v="84.571428571428569"/>
    <x v="0"/>
    <n v="505"/>
    <x v="1"/>
  </r>
  <r>
    <n v="1100"/>
    <s v="Douglas"/>
    <s v="Robertson"/>
    <x v="1089"/>
    <s v="douglas.robertson.1100@gslingacademy.com"/>
    <x v="0"/>
    <x v="0"/>
    <n v="5"/>
    <x v="0"/>
    <n v="34"/>
    <x v="5"/>
    <n v="90"/>
    <s v="A+"/>
    <n v="91"/>
    <s v="A+"/>
    <n v="61"/>
    <s v="B-"/>
    <n v="72"/>
    <s v="B+"/>
    <n v="64"/>
    <s v="B-"/>
    <n v="84"/>
    <s v="A"/>
    <n v="72"/>
    <s v="B+"/>
    <n v="534"/>
    <n v="76.285714285714292"/>
    <x v="2"/>
    <n v="1595"/>
    <x v="0"/>
  </r>
  <r>
    <n v="1101"/>
    <s v="Sabrina"/>
    <s v="Zavala"/>
    <x v="1090"/>
    <s v="sabrina.zavala.1101@gslingacademy.com"/>
    <x v="1"/>
    <x v="0"/>
    <n v="1"/>
    <x v="0"/>
    <n v="31"/>
    <x v="8"/>
    <n v="92"/>
    <s v="A+"/>
    <n v="78"/>
    <s v="A-"/>
    <n v="96"/>
    <s v="A+"/>
    <n v="91"/>
    <s v="A+"/>
    <n v="82"/>
    <s v="A"/>
    <n v="98"/>
    <s v="A+"/>
    <n v="100"/>
    <s v="A+"/>
    <n v="637"/>
    <n v="91"/>
    <x v="1"/>
    <n v="115"/>
    <x v="1"/>
  </r>
  <r>
    <n v="1102"/>
    <s v="Corey"/>
    <s v="Merritt"/>
    <x v="1091"/>
    <s v="corey.merritt.1102@gslingacademy.com"/>
    <x v="0"/>
    <x v="0"/>
    <n v="2"/>
    <x v="0"/>
    <n v="14"/>
    <x v="11"/>
    <n v="90"/>
    <s v="A+"/>
    <n v="88"/>
    <s v="A"/>
    <n v="71"/>
    <s v="B+"/>
    <n v="96"/>
    <s v="A+"/>
    <n v="72"/>
    <s v="B+"/>
    <n v="74"/>
    <s v="B+"/>
    <n v="80"/>
    <s v="A"/>
    <n v="571"/>
    <n v="81.571428571428569"/>
    <x v="0"/>
    <n v="915"/>
    <x v="1"/>
  </r>
  <r>
    <n v="1103"/>
    <s v="Jennifer"/>
    <s v="Salas"/>
    <x v="1092"/>
    <s v="jennifer.salas.1103@gslingacademy.com"/>
    <x v="1"/>
    <x v="0"/>
    <n v="6"/>
    <x v="1"/>
    <n v="32"/>
    <x v="0"/>
    <n v="78"/>
    <s v="A-"/>
    <n v="92"/>
    <s v="A+"/>
    <n v="77"/>
    <s v="A-"/>
    <n v="100"/>
    <s v="A+"/>
    <n v="61"/>
    <s v="B-"/>
    <n v="82"/>
    <s v="A"/>
    <n v="61"/>
    <s v="B-"/>
    <n v="551"/>
    <n v="78.714285714285708"/>
    <x v="2"/>
    <n v="1317"/>
    <x v="0"/>
  </r>
  <r>
    <n v="1104"/>
    <s v="John"/>
    <s v="Klein"/>
    <x v="1093"/>
    <s v="john.klein.1104@gslingacademy.com"/>
    <x v="0"/>
    <x v="0"/>
    <n v="10"/>
    <x v="0"/>
    <n v="5"/>
    <x v="7"/>
    <n v="82"/>
    <s v="A"/>
    <n v="58"/>
    <s v="C"/>
    <n v="58"/>
    <s v="C"/>
    <n v="91"/>
    <s v="A+"/>
    <n v="91"/>
    <s v="A+"/>
    <n v="55"/>
    <s v="C"/>
    <n v="98"/>
    <s v="A+"/>
    <n v="533"/>
    <n v="76.142857142857139"/>
    <x v="2"/>
    <n v="1613"/>
    <x v="2"/>
  </r>
  <r>
    <n v="1105"/>
    <s v="Rachel"/>
    <s v="Grant"/>
    <x v="1094"/>
    <s v="rachel.grant.1105@gslingacademy.com"/>
    <x v="1"/>
    <x v="0"/>
    <n v="5"/>
    <x v="0"/>
    <n v="33"/>
    <x v="5"/>
    <n v="86"/>
    <s v="A"/>
    <n v="62"/>
    <s v="B-"/>
    <n v="81"/>
    <s v="A"/>
    <n v="63"/>
    <s v="B-"/>
    <n v="75"/>
    <s v="A-"/>
    <n v="92"/>
    <s v="A+"/>
    <n v="95"/>
    <s v="A+"/>
    <n v="554"/>
    <n v="79.142857142857139"/>
    <x v="2"/>
    <n v="1264"/>
    <x v="0"/>
  </r>
  <r>
    <n v="1106"/>
    <s v="Jose"/>
    <s v="Wood"/>
    <x v="1095"/>
    <s v="jose.wood.1106@gslingacademy.com"/>
    <x v="0"/>
    <x v="0"/>
    <n v="1"/>
    <x v="0"/>
    <n v="32"/>
    <x v="8"/>
    <n v="83"/>
    <s v="A"/>
    <n v="63"/>
    <s v="B-"/>
    <n v="93"/>
    <s v="A+"/>
    <n v="94"/>
    <s v="A+"/>
    <n v="93"/>
    <s v="A+"/>
    <n v="90"/>
    <s v="A+"/>
    <n v="78"/>
    <s v="A-"/>
    <n v="594"/>
    <n v="84.857142857142861"/>
    <x v="0"/>
    <n v="479"/>
    <x v="1"/>
  </r>
  <r>
    <n v="1107"/>
    <s v="Michelle"/>
    <s v="Mcdonald"/>
    <x v="1096"/>
    <s v="michelle.mcdonald.1107@gslingacademy.com"/>
    <x v="1"/>
    <x v="0"/>
    <n v="0"/>
    <x v="0"/>
    <n v="11"/>
    <x v="6"/>
    <n v="69"/>
    <s v="B"/>
    <n v="85"/>
    <s v="A"/>
    <n v="70"/>
    <s v="B+"/>
    <n v="79"/>
    <s v="A-"/>
    <n v="68"/>
    <s v="B"/>
    <n v="81"/>
    <s v="A"/>
    <n v="89"/>
    <s v="A"/>
    <n v="541"/>
    <n v="77.285714285714292"/>
    <x v="2"/>
    <n v="1493"/>
    <x v="1"/>
  </r>
  <r>
    <n v="1108"/>
    <s v="Thomas"/>
    <s v="George"/>
    <x v="1097"/>
    <s v="thomas.george.1108@gslingacademy.com"/>
    <x v="0"/>
    <x v="0"/>
    <n v="0"/>
    <x v="0"/>
    <n v="12"/>
    <x v="9"/>
    <n v="83"/>
    <s v="A"/>
    <n v="81"/>
    <s v="A"/>
    <n v="96"/>
    <s v="A+"/>
    <n v="96"/>
    <s v="A+"/>
    <n v="62"/>
    <s v="B-"/>
    <n v="82"/>
    <s v="A"/>
    <n v="77"/>
    <s v="A-"/>
    <n v="577"/>
    <n v="82.428571428571431"/>
    <x v="0"/>
    <n v="769"/>
    <x v="1"/>
  </r>
  <r>
    <n v="1109"/>
    <s v="Charles"/>
    <s v="Torres"/>
    <x v="1098"/>
    <s v="charles.torres.1109@gslingacademy.com"/>
    <x v="0"/>
    <x v="0"/>
    <n v="2"/>
    <x v="0"/>
    <n v="24"/>
    <x v="9"/>
    <n v="84"/>
    <s v="A"/>
    <n v="63"/>
    <s v="B-"/>
    <n v="98"/>
    <s v="A+"/>
    <n v="70"/>
    <s v="B+"/>
    <n v="92"/>
    <s v="A+"/>
    <n v="78"/>
    <s v="A-"/>
    <n v="93"/>
    <s v="A+"/>
    <n v="578"/>
    <n v="82.571428571428569"/>
    <x v="0"/>
    <n v="752"/>
    <x v="1"/>
  </r>
  <r>
    <n v="1110"/>
    <s v="Jonathan"/>
    <s v="Finley"/>
    <x v="1099"/>
    <s v="jonathan.finley.1110@gslingacademy.com"/>
    <x v="0"/>
    <x v="0"/>
    <n v="2"/>
    <x v="1"/>
    <n v="29"/>
    <x v="9"/>
    <n v="89"/>
    <s v="A"/>
    <n v="71"/>
    <s v="B+"/>
    <n v="77"/>
    <s v="A-"/>
    <n v="88"/>
    <s v="A"/>
    <n v="66"/>
    <s v="B"/>
    <n v="80"/>
    <s v="A"/>
    <n v="87"/>
    <s v="A"/>
    <n v="558"/>
    <n v="79.714285714285708"/>
    <x v="2"/>
    <n v="1178"/>
    <x v="1"/>
  </r>
  <r>
    <n v="1111"/>
    <s v="Diana"/>
    <s v="Long"/>
    <x v="1100"/>
    <s v="diana.long.1111@gslingacademy.com"/>
    <x v="1"/>
    <x v="0"/>
    <n v="0"/>
    <x v="0"/>
    <n v="33"/>
    <x v="11"/>
    <n v="77"/>
    <s v="A-"/>
    <n v="99"/>
    <s v="A+"/>
    <n v="73"/>
    <s v="B+"/>
    <n v="83"/>
    <s v="A"/>
    <n v="71"/>
    <s v="B+"/>
    <n v="82"/>
    <s v="A"/>
    <n v="80"/>
    <s v="A"/>
    <n v="565"/>
    <n v="80.714285714285708"/>
    <x v="0"/>
    <n v="1035"/>
    <x v="1"/>
  </r>
  <r>
    <n v="1112"/>
    <s v="Jonathan"/>
    <s v="Johnson"/>
    <x v="1101"/>
    <s v="jonathan.johnson.1112@gslingacademy.com"/>
    <x v="0"/>
    <x v="0"/>
    <n v="0"/>
    <x v="0"/>
    <n v="13"/>
    <x v="13"/>
    <n v="94"/>
    <s v="A+"/>
    <n v="88"/>
    <s v="A"/>
    <n v="98"/>
    <s v="A+"/>
    <n v="64"/>
    <s v="B-"/>
    <n v="99"/>
    <s v="A+"/>
    <n v="98"/>
    <s v="A+"/>
    <n v="96"/>
    <s v="A+"/>
    <n v="637"/>
    <n v="91"/>
    <x v="1"/>
    <n v="115"/>
    <x v="1"/>
  </r>
  <r>
    <n v="1113"/>
    <s v="Nicole"/>
    <s v="Robinson"/>
    <x v="1102"/>
    <s v="nicole.robinson.1113@gslingacademy.com"/>
    <x v="1"/>
    <x v="0"/>
    <n v="3"/>
    <x v="0"/>
    <n v="10"/>
    <x v="6"/>
    <n v="93"/>
    <s v="A+"/>
    <n v="64"/>
    <s v="B-"/>
    <n v="81"/>
    <s v="A"/>
    <n v="74"/>
    <s v="B+"/>
    <n v="96"/>
    <s v="A+"/>
    <n v="94"/>
    <s v="A+"/>
    <n v="98"/>
    <s v="A+"/>
    <n v="600"/>
    <n v="85.714285714285708"/>
    <x v="0"/>
    <n v="406"/>
    <x v="0"/>
  </r>
  <r>
    <n v="1114"/>
    <s v="Rebecca"/>
    <s v="Mckinney"/>
    <x v="1103"/>
    <s v="rebecca.mckinney.1114@gslingacademy.com"/>
    <x v="1"/>
    <x v="0"/>
    <n v="3"/>
    <x v="0"/>
    <n v="38"/>
    <x v="1"/>
    <n v="92"/>
    <s v="A+"/>
    <n v="88"/>
    <s v="A"/>
    <n v="90"/>
    <s v="A+"/>
    <n v="94"/>
    <s v="A+"/>
    <n v="88"/>
    <s v="A"/>
    <n v="92"/>
    <s v="A+"/>
    <n v="96"/>
    <s v="A+"/>
    <n v="640"/>
    <n v="91.428571428571431"/>
    <x v="1"/>
    <n v="98"/>
    <x v="0"/>
  </r>
  <r>
    <n v="1115"/>
    <s v="Daniel"/>
    <s v="Guerrero"/>
    <x v="1104"/>
    <s v="daniel.guerrero.1115@gslingacademy.com"/>
    <x v="0"/>
    <x v="0"/>
    <n v="2"/>
    <x v="0"/>
    <n v="5"/>
    <x v="16"/>
    <n v="73"/>
    <s v="B+"/>
    <n v="87"/>
    <s v="A"/>
    <n v="92"/>
    <s v="A+"/>
    <n v="99"/>
    <s v="A+"/>
    <n v="84"/>
    <s v="A"/>
    <n v="91"/>
    <s v="A+"/>
    <n v="71"/>
    <s v="B+"/>
    <n v="597"/>
    <n v="85.285714285714292"/>
    <x v="0"/>
    <n v="446"/>
    <x v="1"/>
  </r>
  <r>
    <n v="1116"/>
    <s v="Jillian"/>
    <s v="Dominguez"/>
    <x v="1105"/>
    <s v="jillian.dominguez.1116@gslingacademy.com"/>
    <x v="1"/>
    <x v="0"/>
    <n v="3"/>
    <x v="1"/>
    <n v="35"/>
    <x v="4"/>
    <n v="90"/>
    <s v="A+"/>
    <n v="87"/>
    <s v="A"/>
    <n v="100"/>
    <s v="A+"/>
    <n v="98"/>
    <s v="A+"/>
    <n v="91"/>
    <s v="A+"/>
    <n v="98"/>
    <s v="A+"/>
    <n v="96"/>
    <s v="A+"/>
    <n v="660"/>
    <n v="94.285714285714292"/>
    <x v="1"/>
    <n v="17"/>
    <x v="0"/>
  </r>
  <r>
    <n v="1117"/>
    <s v="Samantha"/>
    <s v="Phillips"/>
    <x v="1106"/>
    <s v="samantha.phillips.1117@gslingacademy.com"/>
    <x v="1"/>
    <x v="1"/>
    <n v="10"/>
    <x v="0"/>
    <n v="1"/>
    <x v="7"/>
    <n v="87"/>
    <s v="A"/>
    <n v="58"/>
    <s v="C"/>
    <n v="85"/>
    <s v="A"/>
    <n v="82"/>
    <s v="A"/>
    <n v="100"/>
    <s v="A+"/>
    <n v="87"/>
    <s v="A"/>
    <n v="91"/>
    <s v="A+"/>
    <n v="590"/>
    <n v="84.285714285714292"/>
    <x v="0"/>
    <n v="531"/>
    <x v="2"/>
  </r>
  <r>
    <n v="1118"/>
    <s v="Dylan"/>
    <s v="Rogers"/>
    <x v="1107"/>
    <s v="dylan.rogers.1118@gslingacademy.com"/>
    <x v="0"/>
    <x v="0"/>
    <n v="2"/>
    <x v="0"/>
    <n v="21"/>
    <x v="5"/>
    <n v="88"/>
    <s v="A"/>
    <n v="74"/>
    <s v="B+"/>
    <n v="99"/>
    <s v="A+"/>
    <n v="72"/>
    <s v="B+"/>
    <n v="63"/>
    <s v="B-"/>
    <n v="87"/>
    <s v="A"/>
    <n v="79"/>
    <s v="A-"/>
    <n v="562"/>
    <n v="80.285714285714292"/>
    <x v="0"/>
    <n v="1099"/>
    <x v="1"/>
  </r>
  <r>
    <n v="1119"/>
    <s v="Brittany"/>
    <s v="Spencer"/>
    <x v="1108"/>
    <s v="brittany.spencer.1119@gslingacademy.com"/>
    <x v="1"/>
    <x v="0"/>
    <n v="6"/>
    <x v="0"/>
    <n v="5"/>
    <x v="4"/>
    <n v="88"/>
    <s v="A"/>
    <n v="99"/>
    <s v="A+"/>
    <n v="71"/>
    <s v="B+"/>
    <n v="85"/>
    <s v="A"/>
    <n v="82"/>
    <s v="A"/>
    <n v="94"/>
    <s v="A+"/>
    <n v="90"/>
    <s v="A+"/>
    <n v="609"/>
    <n v="87"/>
    <x v="0"/>
    <n v="309"/>
    <x v="0"/>
  </r>
  <r>
    <n v="1120"/>
    <s v="Melissa"/>
    <s v="Terry"/>
    <x v="1109"/>
    <s v="melissa.terry.1120@gslingacademy.com"/>
    <x v="1"/>
    <x v="1"/>
    <n v="1"/>
    <x v="1"/>
    <n v="15"/>
    <x v="9"/>
    <n v="96"/>
    <s v="A+"/>
    <n v="87"/>
    <s v="A"/>
    <n v="64"/>
    <s v="B-"/>
    <n v="88"/>
    <s v="A"/>
    <n v="64"/>
    <s v="B-"/>
    <n v="92"/>
    <s v="A+"/>
    <n v="77"/>
    <s v="A-"/>
    <n v="568"/>
    <n v="81.142857142857139"/>
    <x v="0"/>
    <n v="975"/>
    <x v="1"/>
  </r>
  <r>
    <n v="1121"/>
    <s v="Robin"/>
    <s v="Perez"/>
    <x v="1110"/>
    <s v="robin.perez.1121@gslingacademy.com"/>
    <x v="1"/>
    <x v="0"/>
    <n v="3"/>
    <x v="0"/>
    <n v="28"/>
    <x v="1"/>
    <n v="89"/>
    <s v="A"/>
    <n v="96"/>
    <s v="A+"/>
    <n v="85"/>
    <s v="A"/>
    <n v="91"/>
    <s v="A+"/>
    <n v="100"/>
    <s v="A+"/>
    <n v="91"/>
    <s v="A+"/>
    <n v="91"/>
    <s v="A+"/>
    <n v="643"/>
    <n v="91.857142857142861"/>
    <x v="1"/>
    <n v="87"/>
    <x v="0"/>
  </r>
  <r>
    <n v="1122"/>
    <s v="Veronica"/>
    <s v="Hopkins"/>
    <x v="1111"/>
    <s v="veronica.hopkins.1122@gslingacademy.com"/>
    <x v="1"/>
    <x v="0"/>
    <n v="1"/>
    <x v="0"/>
    <n v="5"/>
    <x v="16"/>
    <n v="58"/>
    <s v="C"/>
    <n v="77"/>
    <s v="A-"/>
    <n v="69"/>
    <s v="B"/>
    <n v="83"/>
    <s v="A"/>
    <n v="94"/>
    <s v="A+"/>
    <n v="70"/>
    <s v="B+"/>
    <n v="97"/>
    <s v="A+"/>
    <n v="548"/>
    <n v="78.285714285714292"/>
    <x v="2"/>
    <n v="1374"/>
    <x v="1"/>
  </r>
  <r>
    <n v="1123"/>
    <s v="Daniel"/>
    <s v="Lewis"/>
    <x v="1112"/>
    <s v="daniel.lewis.1123@gslingacademy.com"/>
    <x v="0"/>
    <x v="0"/>
    <n v="2"/>
    <x v="0"/>
    <n v="35"/>
    <x v="1"/>
    <n v="95"/>
    <s v="A+"/>
    <n v="98"/>
    <s v="A+"/>
    <n v="97"/>
    <s v="A+"/>
    <n v="94"/>
    <s v="A+"/>
    <n v="88"/>
    <s v="A"/>
    <n v="99"/>
    <s v="A+"/>
    <n v="96"/>
    <s v="A+"/>
    <n v="667"/>
    <n v="95.285714285714292"/>
    <x v="1"/>
    <n v="6"/>
    <x v="1"/>
  </r>
  <r>
    <n v="1124"/>
    <s v="Mallory"/>
    <s v="Collins"/>
    <x v="1113"/>
    <s v="mallory.collins.1124@gslingacademy.com"/>
    <x v="1"/>
    <x v="0"/>
    <n v="8"/>
    <x v="1"/>
    <n v="28"/>
    <x v="9"/>
    <n v="76"/>
    <s v="A-"/>
    <n v="69"/>
    <s v="B"/>
    <n v="86"/>
    <s v="A"/>
    <n v="72"/>
    <s v="B+"/>
    <n v="71"/>
    <s v="B+"/>
    <n v="79"/>
    <s v="A-"/>
    <n v="63"/>
    <s v="B-"/>
    <n v="516"/>
    <n v="73.714285714285708"/>
    <x v="3"/>
    <n v="1792"/>
    <x v="2"/>
  </r>
  <r>
    <n v="1125"/>
    <s v="Stephen"/>
    <s v="Sosa"/>
    <x v="1114"/>
    <s v="stephen.sosa.1125@gslingacademy.com"/>
    <x v="0"/>
    <x v="0"/>
    <n v="2"/>
    <x v="0"/>
    <n v="16"/>
    <x v="13"/>
    <n v="87"/>
    <s v="A"/>
    <n v="89"/>
    <s v="A"/>
    <n v="91"/>
    <s v="A+"/>
    <n v="76"/>
    <s v="A-"/>
    <n v="77"/>
    <s v="A-"/>
    <n v="97"/>
    <s v="A+"/>
    <n v="61"/>
    <s v="B-"/>
    <n v="578"/>
    <n v="82.571428571428569"/>
    <x v="0"/>
    <n v="752"/>
    <x v="1"/>
  </r>
  <r>
    <n v="1126"/>
    <s v="Andrew"/>
    <s v="Hunter"/>
    <x v="1115"/>
    <s v="andrew.hunter.1126@gslingacademy.com"/>
    <x v="0"/>
    <x v="0"/>
    <n v="2"/>
    <x v="0"/>
    <n v="29"/>
    <x v="4"/>
    <n v="60"/>
    <s v="B-"/>
    <n v="65"/>
    <s v="B"/>
    <n v="86"/>
    <s v="A"/>
    <n v="66"/>
    <s v="B"/>
    <n v="61"/>
    <s v="B-"/>
    <n v="99"/>
    <s v="A+"/>
    <n v="89"/>
    <s v="A"/>
    <n v="526"/>
    <n v="75.142857142857139"/>
    <x v="2"/>
    <n v="1688"/>
    <x v="1"/>
  </r>
  <r>
    <n v="1127"/>
    <s v="David"/>
    <s v="Hartman"/>
    <x v="1116"/>
    <s v="david.hartman.1127@gslingacademy.com"/>
    <x v="0"/>
    <x v="0"/>
    <n v="10"/>
    <x v="0"/>
    <n v="3"/>
    <x v="7"/>
    <n v="70"/>
    <s v="B+"/>
    <n v="61"/>
    <s v="B-"/>
    <n v="83"/>
    <s v="A"/>
    <n v="52"/>
    <s v="C"/>
    <n v="81"/>
    <s v="A"/>
    <n v="97"/>
    <s v="A+"/>
    <n v="69"/>
    <s v="B"/>
    <n v="513"/>
    <n v="73.285714285714292"/>
    <x v="3"/>
    <n v="1810"/>
    <x v="2"/>
  </r>
  <r>
    <n v="1128"/>
    <s v="Paul"/>
    <s v="Taylor"/>
    <x v="1117"/>
    <s v="paul.taylor.1128@gslingacademy.com"/>
    <x v="0"/>
    <x v="0"/>
    <n v="6"/>
    <x v="0"/>
    <n v="35"/>
    <x v="13"/>
    <n v="90"/>
    <s v="A+"/>
    <n v="86"/>
    <s v="A"/>
    <n v="99"/>
    <s v="A+"/>
    <n v="94"/>
    <s v="A+"/>
    <n v="100"/>
    <s v="A+"/>
    <n v="89"/>
    <s v="A"/>
    <n v="85"/>
    <s v="A"/>
    <n v="643"/>
    <n v="91.857142857142861"/>
    <x v="1"/>
    <n v="87"/>
    <x v="0"/>
  </r>
  <r>
    <n v="1129"/>
    <s v="Brittany"/>
    <s v="Simmons"/>
    <x v="1118"/>
    <s v="brittany.simmons.1129@gslingacademy.com"/>
    <x v="1"/>
    <x v="0"/>
    <n v="2"/>
    <x v="0"/>
    <n v="29"/>
    <x v="4"/>
    <n v="75"/>
    <s v="A-"/>
    <n v="96"/>
    <s v="A+"/>
    <n v="61"/>
    <s v="B-"/>
    <n v="73"/>
    <s v="B+"/>
    <n v="60"/>
    <s v="B-"/>
    <n v="77"/>
    <s v="A-"/>
    <n v="81"/>
    <s v="A"/>
    <n v="523"/>
    <n v="74.714285714285708"/>
    <x v="3"/>
    <n v="1727"/>
    <x v="1"/>
  </r>
  <r>
    <n v="1130"/>
    <s v="Emma"/>
    <s v="Jones"/>
    <x v="1119"/>
    <s v="emma.jones.1130@gslingacademy.com"/>
    <x v="1"/>
    <x v="0"/>
    <n v="3"/>
    <x v="1"/>
    <n v="14"/>
    <x v="11"/>
    <n v="96"/>
    <s v="A+"/>
    <n v="100"/>
    <s v="A+"/>
    <n v="96"/>
    <s v="A+"/>
    <n v="87"/>
    <s v="A"/>
    <n v="83"/>
    <s v="A"/>
    <n v="81"/>
    <s v="A"/>
    <n v="95"/>
    <s v="A+"/>
    <n v="638"/>
    <n v="91.142857142857139"/>
    <x v="1"/>
    <n v="110"/>
    <x v="0"/>
  </r>
  <r>
    <n v="1131"/>
    <s v="Matthew"/>
    <s v="Aguilar"/>
    <x v="1120"/>
    <s v="matthew.aguilar.1131@gslingacademy.com"/>
    <x v="0"/>
    <x v="0"/>
    <n v="2"/>
    <x v="0"/>
    <n v="11"/>
    <x v="9"/>
    <n v="88"/>
    <s v="A"/>
    <n v="98"/>
    <s v="A+"/>
    <n v="81"/>
    <s v="A"/>
    <n v="61"/>
    <s v="B-"/>
    <n v="62"/>
    <s v="B-"/>
    <n v="96"/>
    <s v="A+"/>
    <n v="60"/>
    <s v="B-"/>
    <n v="546"/>
    <n v="78"/>
    <x v="2"/>
    <n v="1411"/>
    <x v="1"/>
  </r>
  <r>
    <n v="1132"/>
    <s v="Brett"/>
    <s v="Myers"/>
    <x v="1121"/>
    <s v="brett.myers.1132@gslingacademy.com"/>
    <x v="0"/>
    <x v="0"/>
    <n v="2"/>
    <x v="1"/>
    <n v="1"/>
    <x v="14"/>
    <n v="99"/>
    <s v="A+"/>
    <n v="60"/>
    <s v="B-"/>
    <n v="87"/>
    <s v="A"/>
    <n v="94"/>
    <s v="A+"/>
    <n v="71"/>
    <s v="B+"/>
    <n v="93"/>
    <s v="A+"/>
    <n v="93"/>
    <s v="A+"/>
    <n v="597"/>
    <n v="85.285714285714292"/>
    <x v="0"/>
    <n v="446"/>
    <x v="1"/>
  </r>
  <r>
    <n v="1133"/>
    <s v="Lisa"/>
    <s v="Alexander"/>
    <x v="1122"/>
    <s v="lisa.alexander.1133@gslingacademy.com"/>
    <x v="1"/>
    <x v="0"/>
    <n v="4"/>
    <x v="0"/>
    <n v="14"/>
    <x v="6"/>
    <n v="86"/>
    <s v="A"/>
    <n v="99"/>
    <s v="A+"/>
    <n v="64"/>
    <s v="B-"/>
    <n v="88"/>
    <s v="A"/>
    <n v="84"/>
    <s v="A"/>
    <n v="95"/>
    <s v="A+"/>
    <n v="97"/>
    <s v="A+"/>
    <n v="613"/>
    <n v="87.571428571428569"/>
    <x v="0"/>
    <n v="271"/>
    <x v="0"/>
  </r>
  <r>
    <n v="1134"/>
    <s v="Stephanie"/>
    <s v="Allen"/>
    <x v="1123"/>
    <s v="stephanie.allen.1134@gslingacademy.com"/>
    <x v="1"/>
    <x v="0"/>
    <n v="4"/>
    <x v="1"/>
    <n v="11"/>
    <x v="12"/>
    <n v="96"/>
    <s v="A+"/>
    <n v="61"/>
    <s v="B-"/>
    <n v="85"/>
    <s v="A"/>
    <n v="87"/>
    <s v="A"/>
    <n v="83"/>
    <s v="A"/>
    <n v="80"/>
    <s v="A"/>
    <n v="79"/>
    <s v="A-"/>
    <n v="571"/>
    <n v="81.571428571428569"/>
    <x v="0"/>
    <n v="915"/>
    <x v="0"/>
  </r>
  <r>
    <n v="1135"/>
    <s v="Rebecca"/>
    <s v="Clark"/>
    <x v="1124"/>
    <s v="rebecca.clark.1135@gslingacademy.com"/>
    <x v="1"/>
    <x v="0"/>
    <n v="3"/>
    <x v="0"/>
    <n v="28"/>
    <x v="0"/>
    <n v="87"/>
    <s v="A"/>
    <n v="99"/>
    <s v="A+"/>
    <n v="70"/>
    <s v="B+"/>
    <n v="81"/>
    <s v="A"/>
    <n v="62"/>
    <s v="B-"/>
    <n v="90"/>
    <s v="A+"/>
    <n v="91"/>
    <s v="A+"/>
    <n v="580"/>
    <n v="82.857142857142861"/>
    <x v="0"/>
    <n v="709"/>
    <x v="0"/>
  </r>
  <r>
    <n v="1136"/>
    <s v="Andrew"/>
    <s v="Sanders"/>
    <x v="1125"/>
    <s v="andrew.sanders.1136@gslingacademy.com"/>
    <x v="0"/>
    <x v="0"/>
    <n v="6"/>
    <x v="0"/>
    <n v="18"/>
    <x v="5"/>
    <n v="89"/>
    <s v="A"/>
    <n v="90"/>
    <s v="A+"/>
    <n v="96"/>
    <s v="A+"/>
    <n v="97"/>
    <s v="A+"/>
    <n v="87"/>
    <s v="A"/>
    <n v="84"/>
    <s v="A"/>
    <n v="63"/>
    <s v="B-"/>
    <n v="606"/>
    <n v="86.571428571428569"/>
    <x v="0"/>
    <n v="333"/>
    <x v="0"/>
  </r>
  <r>
    <n v="1137"/>
    <s v="Julia"/>
    <s v="Day"/>
    <x v="1126"/>
    <s v="julia.day.1137@gslingacademy.com"/>
    <x v="1"/>
    <x v="0"/>
    <n v="1"/>
    <x v="0"/>
    <n v="31"/>
    <x v="10"/>
    <n v="77"/>
    <s v="A-"/>
    <n v="98"/>
    <s v="A+"/>
    <n v="67"/>
    <s v="B"/>
    <n v="67"/>
    <s v="B"/>
    <n v="80"/>
    <s v="A"/>
    <n v="90"/>
    <s v="A+"/>
    <n v="66"/>
    <s v="B"/>
    <n v="545"/>
    <n v="77.857142857142861"/>
    <x v="2"/>
    <n v="1432"/>
    <x v="1"/>
  </r>
  <r>
    <n v="1138"/>
    <s v="Amber"/>
    <s v="Levy"/>
    <x v="1127"/>
    <s v="amber.levy.1138@gslingacademy.com"/>
    <x v="1"/>
    <x v="1"/>
    <n v="6"/>
    <x v="0"/>
    <n v="2"/>
    <x v="7"/>
    <n v="57"/>
    <s v="C"/>
    <n v="71"/>
    <s v="B+"/>
    <n v="51"/>
    <s v="C"/>
    <n v="59"/>
    <s v="C"/>
    <n v="84"/>
    <s v="A"/>
    <n v="74"/>
    <s v="B+"/>
    <n v="68"/>
    <s v="B"/>
    <n v="464"/>
    <n v="66.285714285714292"/>
    <x v="4"/>
    <n v="1975"/>
    <x v="0"/>
  </r>
  <r>
    <n v="1139"/>
    <s v="Nicole"/>
    <s v="Daniel"/>
    <x v="1128"/>
    <s v="nicole.daniel.1139@gslingacademy.com"/>
    <x v="1"/>
    <x v="0"/>
    <n v="0"/>
    <x v="0"/>
    <n v="32"/>
    <x v="11"/>
    <n v="88"/>
    <s v="A"/>
    <n v="93"/>
    <s v="A+"/>
    <n v="91"/>
    <s v="A+"/>
    <n v="92"/>
    <s v="A+"/>
    <n v="53"/>
    <s v="C"/>
    <n v="65"/>
    <s v="B"/>
    <n v="88"/>
    <s v="A"/>
    <n v="570"/>
    <n v="81.428571428571431"/>
    <x v="0"/>
    <n v="937"/>
    <x v="1"/>
  </r>
  <r>
    <n v="1140"/>
    <s v="Sarah"/>
    <s v="Wells"/>
    <x v="1129"/>
    <s v="sarah.wells.1140@gslingacademy.com"/>
    <x v="1"/>
    <x v="0"/>
    <n v="3"/>
    <x v="0"/>
    <n v="3"/>
    <x v="16"/>
    <n v="56"/>
    <s v="C"/>
    <n v="75"/>
    <s v="A-"/>
    <n v="78"/>
    <s v="A-"/>
    <n v="82"/>
    <s v="A"/>
    <n v="98"/>
    <s v="A+"/>
    <n v="99"/>
    <s v="A+"/>
    <n v="81"/>
    <s v="A"/>
    <n v="569"/>
    <n v="81.285714285714292"/>
    <x v="0"/>
    <n v="957"/>
    <x v="0"/>
  </r>
  <r>
    <n v="1141"/>
    <s v="Laura"/>
    <s v="Stone"/>
    <x v="1130"/>
    <s v="laura.stone.1141@gslingacademy.com"/>
    <x v="1"/>
    <x v="1"/>
    <n v="1"/>
    <x v="0"/>
    <n v="33"/>
    <x v="11"/>
    <n v="94"/>
    <s v="A+"/>
    <n v="79"/>
    <s v="A-"/>
    <n v="64"/>
    <s v="B-"/>
    <n v="79"/>
    <s v="A-"/>
    <n v="96"/>
    <s v="A+"/>
    <n v="98"/>
    <s v="A+"/>
    <n v="93"/>
    <s v="A+"/>
    <n v="603"/>
    <n v="86.142857142857139"/>
    <x v="0"/>
    <n v="370"/>
    <x v="1"/>
  </r>
  <r>
    <n v="1142"/>
    <s v="Katherine"/>
    <s v="Glenn"/>
    <x v="1131"/>
    <s v="katherine.glenn.1142@gslingacademy.com"/>
    <x v="1"/>
    <x v="0"/>
    <n v="3"/>
    <x v="0"/>
    <n v="4"/>
    <x v="7"/>
    <n v="57"/>
    <s v="C"/>
    <n v="71"/>
    <s v="B+"/>
    <n v="76"/>
    <s v="A-"/>
    <n v="59"/>
    <s v="C"/>
    <n v="58"/>
    <s v="C"/>
    <n v="84"/>
    <s v="A"/>
    <n v="73"/>
    <s v="B+"/>
    <n v="478"/>
    <n v="68.285714285714292"/>
    <x v="4"/>
    <n v="1940"/>
    <x v="0"/>
  </r>
  <r>
    <n v="1143"/>
    <s v="Catherine"/>
    <s v="Mccall"/>
    <x v="1132"/>
    <s v="catherine.mccall.1143@gslingacademy.com"/>
    <x v="1"/>
    <x v="1"/>
    <n v="4"/>
    <x v="0"/>
    <n v="0"/>
    <x v="7"/>
    <n v="81"/>
    <s v="A"/>
    <n v="86"/>
    <s v="A"/>
    <n v="68"/>
    <s v="B"/>
    <n v="65"/>
    <s v="B"/>
    <n v="87"/>
    <s v="A"/>
    <n v="78"/>
    <s v="A-"/>
    <n v="82"/>
    <s v="A"/>
    <n v="547"/>
    <n v="78.142857142857139"/>
    <x v="2"/>
    <n v="1388"/>
    <x v="0"/>
  </r>
  <r>
    <n v="1144"/>
    <s v="Tammy"/>
    <s v="Andrews"/>
    <x v="1133"/>
    <s v="tammy.andrews.1144@gslingacademy.com"/>
    <x v="1"/>
    <x v="0"/>
    <n v="2"/>
    <x v="0"/>
    <n v="10"/>
    <x v="15"/>
    <n v="96"/>
    <s v="A+"/>
    <n v="83"/>
    <s v="A"/>
    <n v="64"/>
    <s v="B-"/>
    <n v="84"/>
    <s v="A"/>
    <n v="98"/>
    <s v="A+"/>
    <n v="79"/>
    <s v="A-"/>
    <n v="99"/>
    <s v="A+"/>
    <n v="603"/>
    <n v="86.142857142857139"/>
    <x v="0"/>
    <n v="370"/>
    <x v="1"/>
  </r>
  <r>
    <n v="1145"/>
    <s v="Kathryn"/>
    <s v="Powell"/>
    <x v="1134"/>
    <s v="kathryn.powell.1145@gslingacademy.com"/>
    <x v="1"/>
    <x v="0"/>
    <n v="8"/>
    <x v="0"/>
    <n v="11"/>
    <x v="9"/>
    <n v="97"/>
    <s v="A+"/>
    <n v="66"/>
    <s v="B"/>
    <n v="76"/>
    <s v="A-"/>
    <n v="80"/>
    <s v="A"/>
    <n v="81"/>
    <s v="A"/>
    <n v="82"/>
    <s v="A"/>
    <n v="64"/>
    <s v="B-"/>
    <n v="546"/>
    <n v="78"/>
    <x v="2"/>
    <n v="1411"/>
    <x v="2"/>
  </r>
  <r>
    <n v="1146"/>
    <s v="Michael"/>
    <s v="Lutz"/>
    <x v="1135"/>
    <s v="michael.lutz.1146@gslingacademy.com"/>
    <x v="0"/>
    <x v="0"/>
    <n v="3"/>
    <x v="0"/>
    <n v="5"/>
    <x v="14"/>
    <n v="86"/>
    <s v="A"/>
    <n v="76"/>
    <s v="A-"/>
    <n v="92"/>
    <s v="A+"/>
    <n v="86"/>
    <s v="A"/>
    <n v="75"/>
    <s v="A-"/>
    <n v="67"/>
    <s v="B"/>
    <n v="79"/>
    <s v="A-"/>
    <n v="561"/>
    <n v="80.142857142857139"/>
    <x v="0"/>
    <n v="1120"/>
    <x v="0"/>
  </r>
  <r>
    <n v="1147"/>
    <s v="Brian"/>
    <s v="Myers"/>
    <x v="1136"/>
    <s v="brian.myers.1147@gslingacademy.com"/>
    <x v="0"/>
    <x v="0"/>
    <n v="4"/>
    <x v="0"/>
    <n v="33"/>
    <x v="1"/>
    <n v="94"/>
    <s v="A+"/>
    <n v="74"/>
    <s v="B+"/>
    <n v="95"/>
    <s v="A+"/>
    <n v="82"/>
    <s v="A"/>
    <n v="100"/>
    <s v="A+"/>
    <n v="63"/>
    <s v="B-"/>
    <n v="97"/>
    <s v="A+"/>
    <n v="605"/>
    <n v="86.428571428571431"/>
    <x v="0"/>
    <n v="344"/>
    <x v="0"/>
  </r>
  <r>
    <n v="1148"/>
    <s v="Maria"/>
    <s v="Adams"/>
    <x v="1137"/>
    <s v="maria.adams.1148@gslingacademy.com"/>
    <x v="1"/>
    <x v="0"/>
    <n v="2"/>
    <x v="1"/>
    <n v="29"/>
    <x v="5"/>
    <n v="88"/>
    <s v="A"/>
    <n v="83"/>
    <s v="A"/>
    <n v="94"/>
    <s v="A+"/>
    <n v="80"/>
    <s v="A"/>
    <n v="97"/>
    <s v="A+"/>
    <n v="95"/>
    <s v="A+"/>
    <n v="78"/>
    <s v="A-"/>
    <n v="615"/>
    <n v="87.857142857142861"/>
    <x v="0"/>
    <n v="251"/>
    <x v="1"/>
  </r>
  <r>
    <n v="1149"/>
    <s v="Ronnie"/>
    <s v="Nguyen"/>
    <x v="1138"/>
    <s v="ronnie.nguyen.1149@gslingacademy.com"/>
    <x v="0"/>
    <x v="0"/>
    <n v="3"/>
    <x v="0"/>
    <n v="26"/>
    <x v="4"/>
    <n v="84"/>
    <s v="A"/>
    <n v="74"/>
    <s v="B+"/>
    <n v="74"/>
    <s v="B+"/>
    <n v="67"/>
    <s v="B"/>
    <n v="72"/>
    <s v="B+"/>
    <n v="99"/>
    <s v="A+"/>
    <n v="65"/>
    <s v="B"/>
    <n v="535"/>
    <n v="76.428571428571431"/>
    <x v="2"/>
    <n v="1578"/>
    <x v="0"/>
  </r>
  <r>
    <n v="1150"/>
    <s v="Daniel"/>
    <s v="Stephens"/>
    <x v="1139"/>
    <s v="daniel.stephens.1150@gslingacademy.com"/>
    <x v="0"/>
    <x v="0"/>
    <n v="1"/>
    <x v="0"/>
    <n v="25"/>
    <x v="15"/>
    <n v="85"/>
    <s v="A"/>
    <n v="82"/>
    <s v="A"/>
    <n v="88"/>
    <s v="A"/>
    <n v="62"/>
    <s v="B-"/>
    <n v="71"/>
    <s v="B+"/>
    <n v="71"/>
    <s v="B+"/>
    <n v="75"/>
    <s v="A-"/>
    <n v="534"/>
    <n v="76.285714285714292"/>
    <x v="2"/>
    <n v="1595"/>
    <x v="1"/>
  </r>
  <r>
    <n v="1151"/>
    <s v="Brandon"/>
    <s v="Oliver"/>
    <x v="1140"/>
    <s v="brandon.oliver.1151@gslingacademy.com"/>
    <x v="0"/>
    <x v="0"/>
    <n v="2"/>
    <x v="1"/>
    <n v="30"/>
    <x v="4"/>
    <n v="78"/>
    <s v="A-"/>
    <n v="89"/>
    <s v="A"/>
    <n v="95"/>
    <s v="A+"/>
    <n v="71"/>
    <s v="B+"/>
    <n v="68"/>
    <s v="B"/>
    <n v="71"/>
    <s v="B+"/>
    <n v="69"/>
    <s v="B"/>
    <n v="541"/>
    <n v="77.285714285714292"/>
    <x v="2"/>
    <n v="1493"/>
    <x v="1"/>
  </r>
  <r>
    <n v="1152"/>
    <s v="David"/>
    <s v="Vazquez"/>
    <x v="1141"/>
    <s v="david.vazquez.1152@gslingacademy.com"/>
    <x v="0"/>
    <x v="0"/>
    <n v="2"/>
    <x v="0"/>
    <n v="13"/>
    <x v="4"/>
    <n v="86"/>
    <s v="A"/>
    <n v="66"/>
    <s v="B"/>
    <n v="77"/>
    <s v="A-"/>
    <n v="74"/>
    <s v="B+"/>
    <n v="84"/>
    <s v="A"/>
    <n v="72"/>
    <s v="B+"/>
    <n v="95"/>
    <s v="A+"/>
    <n v="554"/>
    <n v="79.142857142857139"/>
    <x v="2"/>
    <n v="1264"/>
    <x v="1"/>
  </r>
  <r>
    <n v="1153"/>
    <s v="Desiree"/>
    <s v="Moore"/>
    <x v="1142"/>
    <s v="desiree.moore.1153@gslingacademy.com"/>
    <x v="1"/>
    <x v="0"/>
    <n v="1"/>
    <x v="0"/>
    <n v="25"/>
    <x v="5"/>
    <n v="99"/>
    <s v="A+"/>
    <n v="98"/>
    <s v="A+"/>
    <n v="80"/>
    <s v="A"/>
    <n v="83"/>
    <s v="A"/>
    <n v="89"/>
    <s v="A"/>
    <n v="68"/>
    <s v="B"/>
    <n v="61"/>
    <s v="B-"/>
    <n v="578"/>
    <n v="82.571428571428569"/>
    <x v="0"/>
    <n v="752"/>
    <x v="1"/>
  </r>
  <r>
    <n v="1154"/>
    <s v="Jessica"/>
    <s v="Turner"/>
    <x v="1143"/>
    <s v="jessica.turner.1154@gslingacademy.com"/>
    <x v="1"/>
    <x v="0"/>
    <n v="0"/>
    <x v="0"/>
    <n v="15"/>
    <x v="6"/>
    <n v="67"/>
    <s v="B"/>
    <n v="64"/>
    <s v="B-"/>
    <n v="99"/>
    <s v="A+"/>
    <n v="84"/>
    <s v="A"/>
    <n v="100"/>
    <s v="A+"/>
    <n v="81"/>
    <s v="A"/>
    <n v="78"/>
    <s v="A-"/>
    <n v="573"/>
    <n v="81.857142857142861"/>
    <x v="0"/>
    <n v="864"/>
    <x v="1"/>
  </r>
  <r>
    <n v="1155"/>
    <s v="Scott"/>
    <s v="Bishop"/>
    <x v="1144"/>
    <s v="scott.bishop.1155@gslingacademy.com"/>
    <x v="0"/>
    <x v="0"/>
    <n v="6"/>
    <x v="0"/>
    <n v="10"/>
    <x v="9"/>
    <n v="84"/>
    <s v="A"/>
    <n v="94"/>
    <s v="A+"/>
    <n v="60"/>
    <s v="B-"/>
    <n v="83"/>
    <s v="A"/>
    <n v="97"/>
    <s v="A+"/>
    <n v="75"/>
    <s v="A-"/>
    <n v="97"/>
    <s v="A+"/>
    <n v="590"/>
    <n v="84.285714285714292"/>
    <x v="0"/>
    <n v="531"/>
    <x v="0"/>
  </r>
  <r>
    <n v="1156"/>
    <s v="Cassandra"/>
    <s v="Flores"/>
    <x v="1145"/>
    <s v="cassandra.flores.1156@gslingacademy.com"/>
    <x v="1"/>
    <x v="1"/>
    <n v="3"/>
    <x v="1"/>
    <n v="0"/>
    <x v="3"/>
    <n v="72"/>
    <s v="B+"/>
    <n v="62"/>
    <s v="B-"/>
    <n v="96"/>
    <s v="A+"/>
    <n v="95"/>
    <s v="A+"/>
    <n v="97"/>
    <s v="A+"/>
    <n v="71"/>
    <s v="B+"/>
    <n v="83"/>
    <s v="A"/>
    <n v="576"/>
    <n v="82.285714285714292"/>
    <x v="0"/>
    <n v="789"/>
    <x v="0"/>
  </r>
  <r>
    <n v="1157"/>
    <s v="Miguel"/>
    <s v="Hernandez"/>
    <x v="1146"/>
    <s v="miguel.hernandez.1157@gslingacademy.com"/>
    <x v="0"/>
    <x v="1"/>
    <n v="1"/>
    <x v="0"/>
    <n v="17"/>
    <x v="12"/>
    <n v="74"/>
    <s v="B+"/>
    <n v="88"/>
    <s v="A"/>
    <n v="99"/>
    <s v="A+"/>
    <n v="92"/>
    <s v="A+"/>
    <n v="93"/>
    <s v="A+"/>
    <n v="85"/>
    <s v="A"/>
    <n v="81"/>
    <s v="A"/>
    <n v="612"/>
    <n v="87.428571428571431"/>
    <x v="0"/>
    <n v="283"/>
    <x v="1"/>
  </r>
  <r>
    <n v="1158"/>
    <s v="Brittany"/>
    <s v="Welch"/>
    <x v="1147"/>
    <s v="brittany.welch.1158@gslingacademy.com"/>
    <x v="1"/>
    <x v="1"/>
    <n v="5"/>
    <x v="0"/>
    <n v="4"/>
    <x v="7"/>
    <n v="74"/>
    <s v="B+"/>
    <n v="74"/>
    <s v="B+"/>
    <n v="83"/>
    <s v="A"/>
    <n v="52"/>
    <s v="C"/>
    <n v="70"/>
    <s v="B+"/>
    <n v="87"/>
    <s v="A"/>
    <n v="95"/>
    <s v="A+"/>
    <n v="535"/>
    <n v="76.428571428571431"/>
    <x v="2"/>
    <n v="1578"/>
    <x v="0"/>
  </r>
  <r>
    <n v="1159"/>
    <s v="Robert"/>
    <s v="Ross"/>
    <x v="1148"/>
    <s v="robert.ross.1159@gslingacademy.com"/>
    <x v="0"/>
    <x v="0"/>
    <n v="3"/>
    <x v="0"/>
    <n v="32"/>
    <x v="0"/>
    <n v="91"/>
    <s v="A+"/>
    <n v="92"/>
    <s v="A+"/>
    <n v="64"/>
    <s v="B-"/>
    <n v="69"/>
    <s v="B"/>
    <n v="82"/>
    <s v="A"/>
    <n v="94"/>
    <s v="A+"/>
    <n v="61"/>
    <s v="B-"/>
    <n v="553"/>
    <n v="79"/>
    <x v="2"/>
    <n v="1284"/>
    <x v="0"/>
  </r>
  <r>
    <n v="1160"/>
    <s v="Jennifer"/>
    <s v="White"/>
    <x v="1149"/>
    <s v="jennifer.white.1160@gslingacademy.com"/>
    <x v="1"/>
    <x v="0"/>
    <n v="5"/>
    <x v="0"/>
    <n v="34"/>
    <x v="11"/>
    <n v="77"/>
    <s v="A-"/>
    <n v="66"/>
    <s v="B"/>
    <n v="94"/>
    <s v="A+"/>
    <n v="77"/>
    <s v="A-"/>
    <n v="49"/>
    <s v="D"/>
    <n v="83"/>
    <s v="A"/>
    <n v="64"/>
    <s v="B-"/>
    <n v="510"/>
    <n v="72.857142857142861"/>
    <x v="3"/>
    <n v="1828"/>
    <x v="0"/>
  </r>
  <r>
    <n v="1161"/>
    <s v="Rebecca"/>
    <s v="Smith"/>
    <x v="1150"/>
    <s v="rebecca.smith.1161@gslingacademy.com"/>
    <x v="1"/>
    <x v="0"/>
    <n v="7"/>
    <x v="0"/>
    <n v="8"/>
    <x v="2"/>
    <n v="87"/>
    <s v="A"/>
    <n v="90"/>
    <s v="A+"/>
    <n v="91"/>
    <s v="A+"/>
    <n v="60"/>
    <s v="B-"/>
    <n v="95"/>
    <s v="A+"/>
    <n v="67"/>
    <s v="B"/>
    <n v="62"/>
    <s v="B-"/>
    <n v="552"/>
    <n v="78.857142857142861"/>
    <x v="2"/>
    <n v="1306"/>
    <x v="2"/>
  </r>
  <r>
    <n v="1162"/>
    <s v="Jessica"/>
    <s v="Ferrell"/>
    <x v="1151"/>
    <s v="jessica.ferrell.1162@gslingacademy.com"/>
    <x v="1"/>
    <x v="0"/>
    <n v="1"/>
    <x v="1"/>
    <n v="3"/>
    <x v="4"/>
    <n v="60"/>
    <s v="B-"/>
    <n v="70"/>
    <s v="B+"/>
    <n v="61"/>
    <s v="B-"/>
    <n v="63"/>
    <s v="B-"/>
    <n v="61"/>
    <s v="B-"/>
    <n v="71"/>
    <s v="B+"/>
    <n v="73"/>
    <s v="B+"/>
    <n v="459"/>
    <n v="65.571428571428569"/>
    <x v="4"/>
    <n v="1981"/>
    <x v="1"/>
  </r>
  <r>
    <n v="1163"/>
    <s v="Jeremy"/>
    <s v="Montgomery"/>
    <x v="1152"/>
    <s v="jeremy.montgomery.1163@gslingacademy.com"/>
    <x v="0"/>
    <x v="0"/>
    <n v="1"/>
    <x v="1"/>
    <n v="3"/>
    <x v="7"/>
    <n v="92"/>
    <s v="A+"/>
    <n v="84"/>
    <s v="A"/>
    <n v="86"/>
    <s v="A"/>
    <n v="80"/>
    <s v="A"/>
    <n v="73"/>
    <s v="B+"/>
    <n v="97"/>
    <s v="A+"/>
    <n v="88"/>
    <s v="A"/>
    <n v="600"/>
    <n v="85.714285714285708"/>
    <x v="0"/>
    <n v="406"/>
    <x v="1"/>
  </r>
  <r>
    <n v="1164"/>
    <s v="Angel"/>
    <s v="Gilbert"/>
    <x v="1153"/>
    <s v="angel.gilbert.1164@gslingacademy.com"/>
    <x v="1"/>
    <x v="1"/>
    <n v="9"/>
    <x v="0"/>
    <n v="4"/>
    <x v="7"/>
    <n v="71"/>
    <s v="B+"/>
    <n v="89"/>
    <s v="A"/>
    <n v="63"/>
    <s v="B-"/>
    <n v="50"/>
    <s v="C"/>
    <n v="63"/>
    <s v="B-"/>
    <n v="64"/>
    <s v="B-"/>
    <n v="69"/>
    <s v="B"/>
    <n v="469"/>
    <n v="67"/>
    <x v="4"/>
    <n v="1963"/>
    <x v="2"/>
  </r>
  <r>
    <n v="1165"/>
    <s v="Rebecca"/>
    <s v="Roman"/>
    <x v="1154"/>
    <s v="rebecca.roman.1165@gslingacademy.com"/>
    <x v="1"/>
    <x v="0"/>
    <n v="1"/>
    <x v="0"/>
    <n v="2"/>
    <x v="3"/>
    <n v="62"/>
    <s v="B-"/>
    <n v="100"/>
    <s v="A+"/>
    <n v="91"/>
    <s v="A+"/>
    <n v="75"/>
    <s v="A-"/>
    <n v="99"/>
    <s v="A+"/>
    <n v="76"/>
    <s v="A-"/>
    <n v="78"/>
    <s v="A-"/>
    <n v="581"/>
    <n v="83"/>
    <x v="0"/>
    <n v="688"/>
    <x v="1"/>
  </r>
  <r>
    <n v="1166"/>
    <s v="Frank"/>
    <s v="Lopez"/>
    <x v="1155"/>
    <s v="frank.lopez.1166@gslingacademy.com"/>
    <x v="0"/>
    <x v="0"/>
    <n v="0"/>
    <x v="0"/>
    <n v="0"/>
    <x v="16"/>
    <n v="100"/>
    <s v="A+"/>
    <n v="85"/>
    <s v="A"/>
    <n v="81"/>
    <s v="A"/>
    <n v="91"/>
    <s v="A+"/>
    <n v="75"/>
    <s v="A-"/>
    <n v="64"/>
    <s v="B-"/>
    <n v="83"/>
    <s v="A"/>
    <n v="579"/>
    <n v="82.714285714285708"/>
    <x v="0"/>
    <n v="730"/>
    <x v="1"/>
  </r>
  <r>
    <n v="1167"/>
    <s v="Thomas"/>
    <s v="Hernandez"/>
    <x v="824"/>
    <s v="thomas.hernandez.1167@gslingacademy.com"/>
    <x v="0"/>
    <x v="0"/>
    <n v="5"/>
    <x v="1"/>
    <n v="3"/>
    <x v="14"/>
    <n v="94"/>
    <s v="A+"/>
    <n v="65"/>
    <s v="B"/>
    <n v="100"/>
    <s v="A+"/>
    <n v="77"/>
    <s v="A-"/>
    <n v="66"/>
    <s v="B"/>
    <n v="96"/>
    <s v="A+"/>
    <n v="68"/>
    <s v="B"/>
    <n v="566"/>
    <n v="80.857142857142861"/>
    <x v="0"/>
    <n v="1019"/>
    <x v="0"/>
  </r>
  <r>
    <n v="1168"/>
    <s v="Crystal"/>
    <s v="Miller"/>
    <x v="1156"/>
    <s v="crystal.miller.1168@gslingacademy.com"/>
    <x v="1"/>
    <x v="0"/>
    <n v="4"/>
    <x v="0"/>
    <n v="4"/>
    <x v="3"/>
    <n v="98"/>
    <s v="A+"/>
    <n v="80"/>
    <s v="A"/>
    <n v="66"/>
    <s v="B"/>
    <n v="94"/>
    <s v="A+"/>
    <n v="86"/>
    <s v="A"/>
    <n v="72"/>
    <s v="B+"/>
    <n v="86"/>
    <s v="A"/>
    <n v="582"/>
    <n v="83.142857142857139"/>
    <x v="0"/>
    <n v="670"/>
    <x v="0"/>
  </r>
  <r>
    <n v="1169"/>
    <s v="Nicholas"/>
    <s v="Wallace"/>
    <x v="1157"/>
    <s v="nicholas.wallace.1169@gslingacademy.com"/>
    <x v="0"/>
    <x v="0"/>
    <n v="3"/>
    <x v="0"/>
    <n v="21"/>
    <x v="13"/>
    <n v="94"/>
    <s v="A+"/>
    <n v="81"/>
    <s v="A"/>
    <n v="88"/>
    <s v="A"/>
    <n v="81"/>
    <s v="A"/>
    <n v="71"/>
    <s v="B+"/>
    <n v="92"/>
    <s v="A+"/>
    <n v="73"/>
    <s v="B+"/>
    <n v="580"/>
    <n v="82.857142857142861"/>
    <x v="0"/>
    <n v="709"/>
    <x v="0"/>
  </r>
  <r>
    <n v="1170"/>
    <s v="Arthur"/>
    <s v="Brown"/>
    <x v="1158"/>
    <s v="arthur.brown.1170@gslingacademy.com"/>
    <x v="0"/>
    <x v="0"/>
    <n v="3"/>
    <x v="0"/>
    <n v="4"/>
    <x v="14"/>
    <n v="92"/>
    <s v="A+"/>
    <n v="69"/>
    <s v="B"/>
    <n v="93"/>
    <s v="A+"/>
    <n v="67"/>
    <s v="B"/>
    <n v="79"/>
    <s v="A-"/>
    <n v="84"/>
    <s v="A"/>
    <n v="69"/>
    <s v="B"/>
    <n v="553"/>
    <n v="79"/>
    <x v="2"/>
    <n v="1284"/>
    <x v="0"/>
  </r>
  <r>
    <n v="1171"/>
    <s v="Corey"/>
    <s v="Monroe"/>
    <x v="1159"/>
    <s v="corey.monroe.1171@gslingacademy.com"/>
    <x v="0"/>
    <x v="0"/>
    <n v="5"/>
    <x v="1"/>
    <n v="1"/>
    <x v="7"/>
    <n v="50"/>
    <s v="C"/>
    <n v="87"/>
    <s v="A"/>
    <n v="93"/>
    <s v="A+"/>
    <n v="84"/>
    <s v="A"/>
    <n v="86"/>
    <s v="A"/>
    <n v="73"/>
    <s v="B+"/>
    <n v="74"/>
    <s v="B+"/>
    <n v="547"/>
    <n v="78.142857142857139"/>
    <x v="2"/>
    <n v="1388"/>
    <x v="0"/>
  </r>
  <r>
    <n v="1172"/>
    <s v="Angel"/>
    <s v="Green"/>
    <x v="1160"/>
    <s v="angel.green.1172@gslingacademy.com"/>
    <x v="1"/>
    <x v="0"/>
    <n v="7"/>
    <x v="0"/>
    <n v="49"/>
    <x v="1"/>
    <n v="99"/>
    <s v="A+"/>
    <n v="98"/>
    <s v="A+"/>
    <n v="94"/>
    <s v="A+"/>
    <n v="96"/>
    <s v="A+"/>
    <n v="95"/>
    <s v="A+"/>
    <n v="88"/>
    <s v="A"/>
    <n v="92"/>
    <s v="A+"/>
    <n v="662"/>
    <n v="94.571428571428569"/>
    <x v="1"/>
    <n v="13"/>
    <x v="2"/>
  </r>
  <r>
    <n v="1173"/>
    <s v="Tina"/>
    <s v="Anderson"/>
    <x v="1161"/>
    <s v="tina.anderson.1173@gslingacademy.com"/>
    <x v="1"/>
    <x v="0"/>
    <n v="3"/>
    <x v="0"/>
    <n v="12"/>
    <x v="6"/>
    <n v="70"/>
    <s v="B+"/>
    <n v="68"/>
    <s v="B"/>
    <n v="89"/>
    <s v="A"/>
    <n v="60"/>
    <s v="B-"/>
    <n v="79"/>
    <s v="A-"/>
    <n v="85"/>
    <s v="A"/>
    <n v="66"/>
    <s v="B"/>
    <n v="517"/>
    <n v="73.857142857142861"/>
    <x v="3"/>
    <n v="1781"/>
    <x v="0"/>
  </r>
  <r>
    <n v="1174"/>
    <s v="Rebecca"/>
    <s v="Khan"/>
    <x v="1162"/>
    <s v="rebecca.khan.1174@gslingacademy.com"/>
    <x v="1"/>
    <x v="0"/>
    <n v="6"/>
    <x v="0"/>
    <n v="9"/>
    <x v="2"/>
    <n v="92"/>
    <s v="A+"/>
    <n v="93"/>
    <s v="A+"/>
    <n v="86"/>
    <s v="A"/>
    <n v="61"/>
    <s v="B-"/>
    <n v="78"/>
    <s v="A-"/>
    <n v="80"/>
    <s v="A"/>
    <n v="62"/>
    <s v="B-"/>
    <n v="552"/>
    <n v="78.857142857142861"/>
    <x v="2"/>
    <n v="1306"/>
    <x v="0"/>
  </r>
  <r>
    <n v="1175"/>
    <s v="Terry"/>
    <s v="Dean"/>
    <x v="1163"/>
    <s v="terry.dean.1175@gslingacademy.com"/>
    <x v="0"/>
    <x v="1"/>
    <n v="1"/>
    <x v="0"/>
    <n v="20"/>
    <x v="9"/>
    <n v="82"/>
    <s v="A"/>
    <n v="70"/>
    <s v="B+"/>
    <n v="86"/>
    <s v="A"/>
    <n v="66"/>
    <s v="B"/>
    <n v="97"/>
    <s v="A+"/>
    <n v="93"/>
    <s v="A+"/>
    <n v="91"/>
    <s v="A+"/>
    <n v="585"/>
    <n v="83.571428571428569"/>
    <x v="0"/>
    <n v="615"/>
    <x v="1"/>
  </r>
  <r>
    <n v="1176"/>
    <s v="Tyler"/>
    <s v="Martin"/>
    <x v="1164"/>
    <s v="tyler.martin.1176@gslingacademy.com"/>
    <x v="0"/>
    <x v="0"/>
    <n v="7"/>
    <x v="1"/>
    <n v="16"/>
    <x v="13"/>
    <n v="83"/>
    <s v="A"/>
    <n v="73"/>
    <s v="B+"/>
    <n v="82"/>
    <s v="A"/>
    <n v="62"/>
    <s v="B-"/>
    <n v="92"/>
    <s v="A+"/>
    <n v="68"/>
    <s v="B"/>
    <n v="76"/>
    <s v="A-"/>
    <n v="536"/>
    <n v="76.571428571428569"/>
    <x v="2"/>
    <n v="1567"/>
    <x v="2"/>
  </r>
  <r>
    <n v="1177"/>
    <s v="Derrick"/>
    <s v="Hartman"/>
    <x v="1165"/>
    <s v="derrick.hartman.1177@gslingacademy.com"/>
    <x v="0"/>
    <x v="0"/>
    <n v="1"/>
    <x v="0"/>
    <n v="13"/>
    <x v="15"/>
    <n v="84"/>
    <s v="A"/>
    <n v="85"/>
    <s v="A"/>
    <n v="64"/>
    <s v="B-"/>
    <n v="74"/>
    <s v="B+"/>
    <n v="79"/>
    <s v="A-"/>
    <n v="92"/>
    <s v="A+"/>
    <n v="64"/>
    <s v="B-"/>
    <n v="542"/>
    <n v="77.428571428571431"/>
    <x v="2"/>
    <n v="1478"/>
    <x v="1"/>
  </r>
  <r>
    <n v="1178"/>
    <s v="Mark"/>
    <s v="Stevens"/>
    <x v="1166"/>
    <s v="mark.stevens.1178@gslingacademy.com"/>
    <x v="0"/>
    <x v="0"/>
    <n v="0"/>
    <x v="0"/>
    <n v="30"/>
    <x v="4"/>
    <n v="60"/>
    <s v="B-"/>
    <n v="71"/>
    <s v="B+"/>
    <n v="91"/>
    <s v="A+"/>
    <n v="83"/>
    <s v="A"/>
    <n v="93"/>
    <s v="A+"/>
    <n v="88"/>
    <s v="A"/>
    <n v="97"/>
    <s v="A+"/>
    <n v="583"/>
    <n v="83.285714285714292"/>
    <x v="0"/>
    <n v="655"/>
    <x v="1"/>
  </r>
  <r>
    <n v="1179"/>
    <s v="Scott"/>
    <s v="Tate"/>
    <x v="1167"/>
    <s v="scott.tate.1179@gslingacademy.com"/>
    <x v="0"/>
    <x v="0"/>
    <n v="3"/>
    <x v="0"/>
    <n v="7"/>
    <x v="4"/>
    <n v="67"/>
    <s v="B"/>
    <n v="60"/>
    <s v="B-"/>
    <n v="99"/>
    <s v="A+"/>
    <n v="60"/>
    <s v="B-"/>
    <n v="82"/>
    <s v="A"/>
    <n v="81"/>
    <s v="A"/>
    <n v="63"/>
    <s v="B-"/>
    <n v="512"/>
    <n v="73.142857142857139"/>
    <x v="3"/>
    <n v="1815"/>
    <x v="0"/>
  </r>
  <r>
    <n v="1180"/>
    <s v="Melissa"/>
    <s v="Deleon"/>
    <x v="1168"/>
    <s v="melissa.deleon.1180@gslingacademy.com"/>
    <x v="1"/>
    <x v="0"/>
    <n v="3"/>
    <x v="0"/>
    <n v="38"/>
    <x v="1"/>
    <n v="96"/>
    <s v="A+"/>
    <n v="92"/>
    <s v="A+"/>
    <n v="93"/>
    <s v="A+"/>
    <n v="91"/>
    <s v="A+"/>
    <n v="88"/>
    <s v="A"/>
    <n v="90"/>
    <s v="A+"/>
    <n v="88"/>
    <s v="A"/>
    <n v="638"/>
    <n v="91.142857142857139"/>
    <x v="1"/>
    <n v="110"/>
    <x v="0"/>
  </r>
  <r>
    <n v="1181"/>
    <s v="Nicole"/>
    <s v="Newman"/>
    <x v="1169"/>
    <s v="nicole.newman.1181@gslingacademy.com"/>
    <x v="1"/>
    <x v="0"/>
    <n v="4"/>
    <x v="0"/>
    <n v="7"/>
    <x v="15"/>
    <n v="97"/>
    <s v="A+"/>
    <n v="63"/>
    <s v="B-"/>
    <n v="61"/>
    <s v="B-"/>
    <n v="77"/>
    <s v="A-"/>
    <n v="74"/>
    <s v="B+"/>
    <n v="94"/>
    <s v="A+"/>
    <n v="61"/>
    <s v="B-"/>
    <n v="527"/>
    <n v="75.285714285714292"/>
    <x v="2"/>
    <n v="1683"/>
    <x v="0"/>
  </r>
  <r>
    <n v="1182"/>
    <s v="Brent"/>
    <s v="Burton"/>
    <x v="1170"/>
    <s v="brent.burton.1182@gslingacademy.com"/>
    <x v="0"/>
    <x v="0"/>
    <n v="1"/>
    <x v="0"/>
    <n v="8"/>
    <x v="4"/>
    <n v="89"/>
    <s v="A"/>
    <n v="62"/>
    <s v="B-"/>
    <n v="79"/>
    <s v="A-"/>
    <n v="60"/>
    <s v="B-"/>
    <n v="93"/>
    <s v="A+"/>
    <n v="77"/>
    <s v="A-"/>
    <n v="73"/>
    <s v="B+"/>
    <n v="533"/>
    <n v="76.142857142857139"/>
    <x v="2"/>
    <n v="1613"/>
    <x v="1"/>
  </r>
  <r>
    <n v="1183"/>
    <s v="Victor"/>
    <s v="Bright"/>
    <x v="1171"/>
    <s v="victor.bright.1183@gslingacademy.com"/>
    <x v="0"/>
    <x v="0"/>
    <n v="0"/>
    <x v="0"/>
    <n v="8"/>
    <x v="16"/>
    <n v="68"/>
    <s v="B"/>
    <n v="95"/>
    <s v="A+"/>
    <n v="62"/>
    <s v="B-"/>
    <n v="65"/>
    <s v="B"/>
    <n v="70"/>
    <s v="B+"/>
    <n v="65"/>
    <s v="B"/>
    <n v="64"/>
    <s v="B-"/>
    <n v="489"/>
    <n v="69.857142857142861"/>
    <x v="4"/>
    <n v="1914"/>
    <x v="1"/>
  </r>
  <r>
    <n v="1184"/>
    <s v="Kenneth"/>
    <s v="Turner"/>
    <x v="1172"/>
    <s v="kenneth.turner.1184@gslingacademy.com"/>
    <x v="0"/>
    <x v="0"/>
    <n v="9"/>
    <x v="1"/>
    <n v="11"/>
    <x v="13"/>
    <n v="82"/>
    <s v="A"/>
    <n v="85"/>
    <s v="A"/>
    <n v="94"/>
    <s v="A+"/>
    <n v="75"/>
    <s v="A-"/>
    <n v="97"/>
    <s v="A+"/>
    <n v="98"/>
    <s v="A+"/>
    <n v="76"/>
    <s v="A-"/>
    <n v="607"/>
    <n v="86.714285714285708"/>
    <x v="0"/>
    <n v="325"/>
    <x v="2"/>
  </r>
  <r>
    <n v="1185"/>
    <s v="Lisa"/>
    <s v="Bailey"/>
    <x v="1173"/>
    <s v="lisa.bailey.1185@gslingacademy.com"/>
    <x v="1"/>
    <x v="0"/>
    <n v="3"/>
    <x v="1"/>
    <n v="30"/>
    <x v="5"/>
    <n v="85"/>
    <s v="A"/>
    <n v="78"/>
    <s v="A-"/>
    <n v="99"/>
    <s v="A+"/>
    <n v="81"/>
    <s v="A"/>
    <n v="60"/>
    <s v="B-"/>
    <n v="83"/>
    <s v="A"/>
    <n v="75"/>
    <s v="A-"/>
    <n v="561"/>
    <n v="80.142857142857139"/>
    <x v="0"/>
    <n v="1120"/>
    <x v="0"/>
  </r>
  <r>
    <n v="1186"/>
    <s v="Nancy"/>
    <s v="Fowler"/>
    <x v="1174"/>
    <s v="nancy.fowler.1186@gslingacademy.com"/>
    <x v="1"/>
    <x v="0"/>
    <n v="3"/>
    <x v="1"/>
    <n v="11"/>
    <x v="4"/>
    <n v="86"/>
    <s v="A"/>
    <n v="66"/>
    <s v="B"/>
    <n v="84"/>
    <s v="A"/>
    <n v="86"/>
    <s v="A"/>
    <n v="74"/>
    <s v="B+"/>
    <n v="91"/>
    <s v="A+"/>
    <n v="66"/>
    <s v="B"/>
    <n v="553"/>
    <n v="79"/>
    <x v="2"/>
    <n v="1284"/>
    <x v="0"/>
  </r>
  <r>
    <n v="1187"/>
    <s v="Gabriel"/>
    <s v="Wilson"/>
    <x v="1175"/>
    <s v="gabriel.wilson.1187@gslingacademy.com"/>
    <x v="0"/>
    <x v="0"/>
    <n v="2"/>
    <x v="0"/>
    <n v="35"/>
    <x v="11"/>
    <n v="87"/>
    <s v="A"/>
    <n v="86"/>
    <s v="A"/>
    <n v="89"/>
    <s v="A"/>
    <n v="94"/>
    <s v="A+"/>
    <n v="93"/>
    <s v="A+"/>
    <n v="91"/>
    <s v="A+"/>
    <n v="88"/>
    <s v="A"/>
    <n v="628"/>
    <n v="89.714285714285708"/>
    <x v="0"/>
    <n v="164"/>
    <x v="1"/>
  </r>
  <r>
    <n v="1188"/>
    <s v="Andrea"/>
    <s v="Barrett"/>
    <x v="1176"/>
    <s v="andrea.barrett.1188@gslingacademy.com"/>
    <x v="1"/>
    <x v="0"/>
    <n v="7"/>
    <x v="0"/>
    <n v="4"/>
    <x v="7"/>
    <n v="98"/>
    <s v="A+"/>
    <n v="81"/>
    <s v="A"/>
    <n v="58"/>
    <s v="C"/>
    <n v="78"/>
    <s v="A-"/>
    <n v="91"/>
    <s v="A+"/>
    <n v="74"/>
    <s v="B+"/>
    <n v="75"/>
    <s v="A-"/>
    <n v="555"/>
    <n v="79.285714285714292"/>
    <x v="2"/>
    <n v="1245"/>
    <x v="2"/>
  </r>
  <r>
    <n v="1189"/>
    <s v="Jessica"/>
    <s v="Williams"/>
    <x v="847"/>
    <s v="jessica.williams.1189@gslingacademy.com"/>
    <x v="1"/>
    <x v="0"/>
    <n v="9"/>
    <x v="1"/>
    <n v="6"/>
    <x v="16"/>
    <n v="91"/>
    <s v="A+"/>
    <n v="94"/>
    <s v="A+"/>
    <n v="75"/>
    <s v="A-"/>
    <n v="86"/>
    <s v="A"/>
    <n v="84"/>
    <s v="A"/>
    <n v="67"/>
    <s v="B"/>
    <n v="97"/>
    <s v="A+"/>
    <n v="594"/>
    <n v="84.857142857142861"/>
    <x v="0"/>
    <n v="479"/>
    <x v="2"/>
  </r>
  <r>
    <n v="1190"/>
    <s v="Hector"/>
    <s v="Cox"/>
    <x v="1177"/>
    <s v="hector.cox.1190@gslingacademy.com"/>
    <x v="0"/>
    <x v="0"/>
    <n v="1"/>
    <x v="0"/>
    <n v="33"/>
    <x v="1"/>
    <n v="100"/>
    <s v="A+"/>
    <n v="90"/>
    <s v="A+"/>
    <n v="89"/>
    <s v="A"/>
    <n v="91"/>
    <s v="A+"/>
    <n v="86"/>
    <s v="A"/>
    <n v="75"/>
    <s v="A-"/>
    <n v="72"/>
    <s v="B+"/>
    <n v="603"/>
    <n v="86.142857142857139"/>
    <x v="0"/>
    <n v="370"/>
    <x v="1"/>
  </r>
  <r>
    <n v="1191"/>
    <s v="Michelle"/>
    <s v="Mendoza"/>
    <x v="1178"/>
    <s v="michelle.mendoza.1191@gslingacademy.com"/>
    <x v="1"/>
    <x v="0"/>
    <n v="1"/>
    <x v="0"/>
    <n v="1"/>
    <x v="16"/>
    <n v="50"/>
    <s v="C"/>
    <n v="60"/>
    <s v="B-"/>
    <n v="70"/>
    <s v="B+"/>
    <n v="75"/>
    <s v="A-"/>
    <n v="100"/>
    <s v="A+"/>
    <n v="62"/>
    <s v="B-"/>
    <n v="100"/>
    <s v="A+"/>
    <n v="517"/>
    <n v="73.857142857142861"/>
    <x v="3"/>
    <n v="1781"/>
    <x v="1"/>
  </r>
  <r>
    <n v="1192"/>
    <s v="Adam"/>
    <s v="Wallace"/>
    <x v="1179"/>
    <s v="adam.wallace.1192@gslingacademy.com"/>
    <x v="0"/>
    <x v="0"/>
    <n v="3"/>
    <x v="0"/>
    <n v="11"/>
    <x v="12"/>
    <n v="75"/>
    <s v="A-"/>
    <n v="92"/>
    <s v="A+"/>
    <n v="70"/>
    <s v="B+"/>
    <n v="62"/>
    <s v="B-"/>
    <n v="87"/>
    <s v="A"/>
    <n v="87"/>
    <s v="A"/>
    <n v="98"/>
    <s v="A+"/>
    <n v="571"/>
    <n v="81.571428571428569"/>
    <x v="0"/>
    <n v="915"/>
    <x v="0"/>
  </r>
  <r>
    <n v="1193"/>
    <s v="Kelly"/>
    <s v="Harris"/>
    <x v="1180"/>
    <s v="kelly.harris.1193@gslingacademy.com"/>
    <x v="1"/>
    <x v="0"/>
    <n v="7"/>
    <x v="0"/>
    <n v="21"/>
    <x v="15"/>
    <n v="86"/>
    <s v="A"/>
    <n v="62"/>
    <s v="B-"/>
    <n v="81"/>
    <s v="A"/>
    <n v="63"/>
    <s v="B-"/>
    <n v="92"/>
    <s v="A+"/>
    <n v="75"/>
    <s v="A-"/>
    <n v="79"/>
    <s v="A-"/>
    <n v="538"/>
    <n v="76.857142857142861"/>
    <x v="2"/>
    <n v="1537"/>
    <x v="2"/>
  </r>
  <r>
    <n v="1194"/>
    <s v="Anthony"/>
    <s v="Clark"/>
    <x v="1181"/>
    <s v="anthony.clark.1194@gslingacademy.com"/>
    <x v="0"/>
    <x v="0"/>
    <n v="3"/>
    <x v="0"/>
    <n v="24"/>
    <x v="9"/>
    <n v="80"/>
    <s v="A"/>
    <n v="66"/>
    <s v="B"/>
    <n v="67"/>
    <s v="B"/>
    <n v="72"/>
    <s v="B+"/>
    <n v="78"/>
    <s v="A-"/>
    <n v="99"/>
    <s v="A+"/>
    <n v="67"/>
    <s v="B"/>
    <n v="529"/>
    <n v="75.571428571428569"/>
    <x v="2"/>
    <n v="1664"/>
    <x v="0"/>
  </r>
  <r>
    <n v="1195"/>
    <s v="Randall"/>
    <s v="Wyatt"/>
    <x v="1182"/>
    <s v="randall.wyatt.1195@gslingacademy.com"/>
    <x v="0"/>
    <x v="0"/>
    <n v="7"/>
    <x v="0"/>
    <n v="4"/>
    <x v="7"/>
    <n v="56"/>
    <s v="C"/>
    <n v="66"/>
    <s v="B"/>
    <n v="92"/>
    <s v="A+"/>
    <n v="74"/>
    <s v="B+"/>
    <n v="79"/>
    <s v="A-"/>
    <n v="80"/>
    <s v="A"/>
    <n v="68"/>
    <s v="B"/>
    <n v="515"/>
    <n v="73.571428571428569"/>
    <x v="3"/>
    <n v="1798"/>
    <x v="2"/>
  </r>
  <r>
    <n v="1196"/>
    <s v="Ryan"/>
    <s v="Sutton"/>
    <x v="1183"/>
    <s v="ryan.sutton.1196@gslingacademy.com"/>
    <x v="0"/>
    <x v="0"/>
    <n v="1"/>
    <x v="0"/>
    <n v="1"/>
    <x v="14"/>
    <n v="91"/>
    <s v="A+"/>
    <n v="72"/>
    <s v="B+"/>
    <n v="85"/>
    <s v="A"/>
    <n v="78"/>
    <s v="A-"/>
    <n v="92"/>
    <s v="A+"/>
    <n v="82"/>
    <s v="A"/>
    <n v="85"/>
    <s v="A"/>
    <n v="585"/>
    <n v="83.571428571428569"/>
    <x v="0"/>
    <n v="615"/>
    <x v="1"/>
  </r>
  <r>
    <n v="1197"/>
    <s v="Rick"/>
    <s v="Garcia"/>
    <x v="1184"/>
    <s v="rick.garcia.1197@gslingacademy.com"/>
    <x v="0"/>
    <x v="0"/>
    <n v="1"/>
    <x v="1"/>
    <n v="12"/>
    <x v="13"/>
    <n v="94"/>
    <s v="A+"/>
    <n v="65"/>
    <s v="B"/>
    <n v="90"/>
    <s v="A+"/>
    <n v="79"/>
    <s v="A-"/>
    <n v="97"/>
    <s v="A+"/>
    <n v="76"/>
    <s v="A-"/>
    <n v="75"/>
    <s v="A-"/>
    <n v="576"/>
    <n v="82.285714285714292"/>
    <x v="0"/>
    <n v="789"/>
    <x v="1"/>
  </r>
  <r>
    <n v="1198"/>
    <s v="Frank"/>
    <s v="Schmitt"/>
    <x v="1185"/>
    <s v="frank.schmitt.1198@gslingacademy.com"/>
    <x v="0"/>
    <x v="0"/>
    <n v="7"/>
    <x v="0"/>
    <n v="28"/>
    <x v="13"/>
    <n v="81"/>
    <s v="A"/>
    <n v="82"/>
    <s v="A"/>
    <n v="99"/>
    <s v="A+"/>
    <n v="86"/>
    <s v="A"/>
    <n v="88"/>
    <s v="A"/>
    <n v="60"/>
    <s v="B-"/>
    <n v="89"/>
    <s v="A"/>
    <n v="585"/>
    <n v="83.571428571428569"/>
    <x v="0"/>
    <n v="615"/>
    <x v="2"/>
  </r>
  <r>
    <n v="1199"/>
    <s v="Alan"/>
    <s v="Mcgrath"/>
    <x v="1186"/>
    <s v="alan.mcgrath.1199@gslingacademy.com"/>
    <x v="0"/>
    <x v="0"/>
    <n v="2"/>
    <x v="0"/>
    <n v="20"/>
    <x v="11"/>
    <n v="94"/>
    <s v="A+"/>
    <n v="82"/>
    <s v="A"/>
    <n v="91"/>
    <s v="A+"/>
    <n v="94"/>
    <s v="A+"/>
    <n v="100"/>
    <s v="A+"/>
    <n v="99"/>
    <s v="A+"/>
    <n v="69"/>
    <s v="B"/>
    <n v="629"/>
    <n v="89.857142857142861"/>
    <x v="0"/>
    <n v="162"/>
    <x v="1"/>
  </r>
  <r>
    <n v="1200"/>
    <s v="Lauren"/>
    <s v="Gomez"/>
    <x v="1187"/>
    <s v="lauren.gomez.1200@gslingacademy.com"/>
    <x v="1"/>
    <x v="0"/>
    <n v="3"/>
    <x v="0"/>
    <n v="35"/>
    <x v="1"/>
    <n v="99"/>
    <s v="A+"/>
    <n v="89"/>
    <s v="A"/>
    <n v="93"/>
    <s v="A+"/>
    <n v="87"/>
    <s v="A"/>
    <n v="86"/>
    <s v="A"/>
    <n v="90"/>
    <s v="A+"/>
    <n v="96"/>
    <s v="A+"/>
    <n v="640"/>
    <n v="91.428571428571431"/>
    <x v="1"/>
    <n v="98"/>
    <x v="0"/>
  </r>
  <r>
    <n v="1201"/>
    <s v="Katherine"/>
    <s v="Taylor"/>
    <x v="1188"/>
    <s v="katherine.taylor.1201@gslingacademy.com"/>
    <x v="1"/>
    <x v="0"/>
    <n v="0"/>
    <x v="0"/>
    <n v="33"/>
    <x v="0"/>
    <n v="88"/>
    <s v="A"/>
    <n v="83"/>
    <s v="A"/>
    <n v="62"/>
    <s v="B-"/>
    <n v="88"/>
    <s v="A"/>
    <n v="100"/>
    <s v="A+"/>
    <n v="83"/>
    <s v="A"/>
    <n v="84"/>
    <s v="A"/>
    <n v="588"/>
    <n v="84"/>
    <x v="0"/>
    <n v="565"/>
    <x v="1"/>
  </r>
  <r>
    <n v="1202"/>
    <s v="Ashley"/>
    <s v="York"/>
    <x v="1189"/>
    <s v="ashley.york.1202@gslingacademy.com"/>
    <x v="1"/>
    <x v="0"/>
    <n v="6"/>
    <x v="0"/>
    <n v="4"/>
    <x v="16"/>
    <n v="79"/>
    <s v="A-"/>
    <n v="74"/>
    <s v="B+"/>
    <n v="68"/>
    <s v="B"/>
    <n v="82"/>
    <s v="A"/>
    <n v="65"/>
    <s v="B"/>
    <n v="73"/>
    <s v="B+"/>
    <n v="89"/>
    <s v="A"/>
    <n v="530"/>
    <n v="75.714285714285708"/>
    <x v="2"/>
    <n v="1646"/>
    <x v="0"/>
  </r>
  <r>
    <n v="1203"/>
    <s v="Charles"/>
    <s v="Rangel"/>
    <x v="1190"/>
    <s v="charles.rangel.1203@gslingacademy.com"/>
    <x v="0"/>
    <x v="1"/>
    <n v="4"/>
    <x v="0"/>
    <n v="1"/>
    <x v="7"/>
    <n v="49"/>
    <s v="D"/>
    <n v="85"/>
    <s v="A"/>
    <n v="70"/>
    <s v="B+"/>
    <n v="90"/>
    <s v="A+"/>
    <n v="79"/>
    <s v="A-"/>
    <n v="71"/>
    <s v="B+"/>
    <n v="67"/>
    <s v="B"/>
    <n v="511"/>
    <n v="73"/>
    <x v="3"/>
    <n v="1823"/>
    <x v="0"/>
  </r>
  <r>
    <n v="1204"/>
    <s v="Brooke"/>
    <s v="Burnett"/>
    <x v="1191"/>
    <s v="brooke.burnett.1204@gslingacademy.com"/>
    <x v="1"/>
    <x v="0"/>
    <n v="5"/>
    <x v="0"/>
    <n v="7"/>
    <x v="2"/>
    <n v="97"/>
    <s v="A+"/>
    <n v="99"/>
    <s v="A+"/>
    <n v="67"/>
    <s v="B"/>
    <n v="87"/>
    <s v="A"/>
    <n v="66"/>
    <s v="B"/>
    <n v="68"/>
    <s v="B"/>
    <n v="67"/>
    <s v="B"/>
    <n v="551"/>
    <n v="78.714285714285708"/>
    <x v="2"/>
    <n v="1317"/>
    <x v="0"/>
  </r>
  <r>
    <n v="1205"/>
    <s v="Ronald"/>
    <s v="Lane"/>
    <x v="1192"/>
    <s v="ronald.lane.1205@gslingacademy.com"/>
    <x v="0"/>
    <x v="0"/>
    <n v="3"/>
    <x v="0"/>
    <n v="27"/>
    <x v="13"/>
    <n v="96"/>
    <s v="A+"/>
    <n v="70"/>
    <s v="B+"/>
    <n v="82"/>
    <s v="A"/>
    <n v="71"/>
    <s v="B+"/>
    <n v="99"/>
    <s v="A+"/>
    <n v="90"/>
    <s v="A+"/>
    <n v="65"/>
    <s v="B"/>
    <n v="573"/>
    <n v="81.857142857142861"/>
    <x v="0"/>
    <n v="864"/>
    <x v="0"/>
  </r>
  <r>
    <n v="1206"/>
    <s v="Emma"/>
    <s v="Andrews"/>
    <x v="1193"/>
    <s v="emma.andrews.1206@gslingacademy.com"/>
    <x v="1"/>
    <x v="0"/>
    <n v="2"/>
    <x v="0"/>
    <n v="34"/>
    <x v="15"/>
    <n v="89"/>
    <s v="A"/>
    <n v="71"/>
    <s v="B+"/>
    <n v="75"/>
    <s v="A-"/>
    <n v="65"/>
    <s v="B"/>
    <n v="74"/>
    <s v="B+"/>
    <n v="93"/>
    <s v="A+"/>
    <n v="90"/>
    <s v="A+"/>
    <n v="557"/>
    <n v="79.571428571428569"/>
    <x v="2"/>
    <n v="1200"/>
    <x v="1"/>
  </r>
  <r>
    <n v="1207"/>
    <s v="Nancy"/>
    <s v="Esparza"/>
    <x v="1194"/>
    <s v="nancy.esparza.1207@gslingacademy.com"/>
    <x v="1"/>
    <x v="1"/>
    <n v="2"/>
    <x v="0"/>
    <n v="17"/>
    <x v="5"/>
    <n v="94"/>
    <s v="A+"/>
    <n v="90"/>
    <s v="A+"/>
    <n v="77"/>
    <s v="A-"/>
    <n v="65"/>
    <s v="B"/>
    <n v="83"/>
    <s v="A"/>
    <n v="79"/>
    <s v="A-"/>
    <n v="96"/>
    <s v="A+"/>
    <n v="584"/>
    <n v="83.428571428571431"/>
    <x v="0"/>
    <n v="635"/>
    <x v="1"/>
  </r>
  <r>
    <n v="1208"/>
    <s v="Sean"/>
    <s v="Erickson"/>
    <x v="1195"/>
    <s v="sean.erickson.1208@gslingacademy.com"/>
    <x v="0"/>
    <x v="0"/>
    <n v="1"/>
    <x v="0"/>
    <n v="18"/>
    <x v="4"/>
    <n v="62"/>
    <s v="B-"/>
    <n v="73"/>
    <s v="B+"/>
    <n v="95"/>
    <s v="A+"/>
    <n v="68"/>
    <s v="B"/>
    <n v="61"/>
    <s v="B-"/>
    <n v="60"/>
    <s v="B-"/>
    <n v="68"/>
    <s v="B"/>
    <n v="487"/>
    <n v="69.571428571428569"/>
    <x v="4"/>
    <n v="1922"/>
    <x v="1"/>
  </r>
  <r>
    <n v="1209"/>
    <s v="Heather"/>
    <s v="Davis"/>
    <x v="1196"/>
    <s v="heather.davis.1209@gslingacademy.com"/>
    <x v="1"/>
    <x v="0"/>
    <n v="2"/>
    <x v="1"/>
    <n v="9"/>
    <x v="16"/>
    <n v="68"/>
    <s v="B"/>
    <n v="94"/>
    <s v="A+"/>
    <n v="92"/>
    <s v="A+"/>
    <n v="77"/>
    <s v="A-"/>
    <n v="79"/>
    <s v="A-"/>
    <n v="88"/>
    <s v="A"/>
    <n v="74"/>
    <s v="B+"/>
    <n v="572"/>
    <n v="81.714285714285708"/>
    <x v="0"/>
    <n v="890"/>
    <x v="1"/>
  </r>
  <r>
    <n v="1210"/>
    <s v="Kimberly"/>
    <s v="Bailey"/>
    <x v="1197"/>
    <s v="kimberly.bailey.1210@gslingacademy.com"/>
    <x v="1"/>
    <x v="0"/>
    <n v="2"/>
    <x v="0"/>
    <n v="3"/>
    <x v="16"/>
    <n v="58"/>
    <s v="C"/>
    <n v="66"/>
    <s v="B"/>
    <n v="99"/>
    <s v="A+"/>
    <n v="98"/>
    <s v="A+"/>
    <n v="69"/>
    <s v="B"/>
    <n v="65"/>
    <s v="B"/>
    <n v="78"/>
    <s v="A-"/>
    <n v="533"/>
    <n v="76.142857142857139"/>
    <x v="2"/>
    <n v="1613"/>
    <x v="1"/>
  </r>
  <r>
    <n v="1211"/>
    <s v="Tracy"/>
    <s v="Garcia"/>
    <x v="1198"/>
    <s v="tracy.garcia.1211@gslingacademy.com"/>
    <x v="1"/>
    <x v="0"/>
    <n v="5"/>
    <x v="0"/>
    <n v="28"/>
    <x v="9"/>
    <n v="92"/>
    <s v="A+"/>
    <n v="77"/>
    <s v="A-"/>
    <n v="75"/>
    <s v="A-"/>
    <n v="84"/>
    <s v="A"/>
    <n v="74"/>
    <s v="B+"/>
    <n v="82"/>
    <s v="A"/>
    <n v="78"/>
    <s v="A-"/>
    <n v="562"/>
    <n v="80.285714285714292"/>
    <x v="0"/>
    <n v="1099"/>
    <x v="0"/>
  </r>
  <r>
    <n v="1212"/>
    <s v="Brenda"/>
    <s v="Rhodes"/>
    <x v="1199"/>
    <s v="brenda.rhodes.1212@gslingacademy.com"/>
    <x v="1"/>
    <x v="0"/>
    <n v="5"/>
    <x v="0"/>
    <n v="28"/>
    <x v="15"/>
    <n v="90"/>
    <s v="A+"/>
    <n v="78"/>
    <s v="A-"/>
    <n v="86"/>
    <s v="A"/>
    <n v="83"/>
    <s v="A"/>
    <n v="98"/>
    <s v="A+"/>
    <n v="71"/>
    <s v="B+"/>
    <n v="84"/>
    <s v="A"/>
    <n v="590"/>
    <n v="84.285714285714292"/>
    <x v="0"/>
    <n v="531"/>
    <x v="0"/>
  </r>
  <r>
    <n v="1213"/>
    <s v="Sarah"/>
    <s v="Brooks"/>
    <x v="1200"/>
    <s v="sarah.brooks.1213@gslingacademy.com"/>
    <x v="1"/>
    <x v="0"/>
    <n v="2"/>
    <x v="0"/>
    <n v="26"/>
    <x v="1"/>
    <n v="84"/>
    <s v="A"/>
    <n v="67"/>
    <s v="B"/>
    <n v="89"/>
    <s v="A"/>
    <n v="96"/>
    <s v="A+"/>
    <n v="88"/>
    <s v="A"/>
    <n v="60"/>
    <s v="B-"/>
    <n v="88"/>
    <s v="A"/>
    <n v="572"/>
    <n v="81.714285714285708"/>
    <x v="0"/>
    <n v="890"/>
    <x v="1"/>
  </r>
  <r>
    <n v="1214"/>
    <s v="Jennifer"/>
    <s v="Beck"/>
    <x v="1201"/>
    <s v="jennifer.beck.1214@gslingacademy.com"/>
    <x v="1"/>
    <x v="1"/>
    <n v="10"/>
    <x v="1"/>
    <n v="4"/>
    <x v="7"/>
    <n v="81"/>
    <s v="A"/>
    <n v="85"/>
    <s v="A"/>
    <n v="50"/>
    <s v="C"/>
    <n v="53"/>
    <s v="C"/>
    <n v="55"/>
    <s v="C"/>
    <n v="91"/>
    <s v="A+"/>
    <n v="78"/>
    <s v="A-"/>
    <n v="493"/>
    <n v="70.428571428571431"/>
    <x v="3"/>
    <n v="1903"/>
    <x v="2"/>
  </r>
  <r>
    <n v="1215"/>
    <s v="Allison"/>
    <s v="Bond"/>
    <x v="1202"/>
    <s v="allison.bond.1215@gslingacademy.com"/>
    <x v="1"/>
    <x v="0"/>
    <n v="3"/>
    <x v="0"/>
    <n v="15"/>
    <x v="6"/>
    <n v="87"/>
    <s v="A"/>
    <n v="89"/>
    <s v="A"/>
    <n v="94"/>
    <s v="A+"/>
    <n v="82"/>
    <s v="A"/>
    <n v="81"/>
    <s v="A"/>
    <n v="98"/>
    <s v="A+"/>
    <n v="88"/>
    <s v="A"/>
    <n v="619"/>
    <n v="88.428571428571431"/>
    <x v="0"/>
    <n v="221"/>
    <x v="0"/>
  </r>
  <r>
    <n v="1216"/>
    <s v="Jessica"/>
    <s v="Smith"/>
    <x v="1203"/>
    <s v="jessica.smith.1216@gslingacademy.com"/>
    <x v="1"/>
    <x v="0"/>
    <n v="3"/>
    <x v="0"/>
    <n v="33"/>
    <x v="4"/>
    <n v="88"/>
    <s v="A"/>
    <n v="75"/>
    <s v="A-"/>
    <n v="83"/>
    <s v="A"/>
    <n v="74"/>
    <s v="B+"/>
    <n v="76"/>
    <s v="A-"/>
    <n v="72"/>
    <s v="B+"/>
    <n v="61"/>
    <s v="B-"/>
    <n v="529"/>
    <n v="75.571428571428569"/>
    <x v="2"/>
    <n v="1664"/>
    <x v="0"/>
  </r>
  <r>
    <n v="1217"/>
    <s v="Carol"/>
    <s v="Nguyen"/>
    <x v="1204"/>
    <s v="carol.nguyen.1217@gslingacademy.com"/>
    <x v="1"/>
    <x v="0"/>
    <n v="3"/>
    <x v="1"/>
    <n v="31"/>
    <x v="10"/>
    <n v="76"/>
    <s v="A-"/>
    <n v="83"/>
    <s v="A"/>
    <n v="100"/>
    <s v="A+"/>
    <n v="96"/>
    <s v="A+"/>
    <n v="65"/>
    <s v="B"/>
    <n v="98"/>
    <s v="A+"/>
    <n v="97"/>
    <s v="A+"/>
    <n v="615"/>
    <n v="87.857142857142861"/>
    <x v="0"/>
    <n v="251"/>
    <x v="0"/>
  </r>
  <r>
    <n v="1218"/>
    <s v="George"/>
    <s v="Francis"/>
    <x v="1205"/>
    <s v="george.francis.1218@gslingacademy.com"/>
    <x v="0"/>
    <x v="0"/>
    <n v="5"/>
    <x v="1"/>
    <n v="7"/>
    <x v="2"/>
    <n v="60"/>
    <s v="B-"/>
    <n v="66"/>
    <s v="B"/>
    <n v="65"/>
    <s v="B"/>
    <n v="90"/>
    <s v="A+"/>
    <n v="61"/>
    <s v="B-"/>
    <n v="96"/>
    <s v="A+"/>
    <n v="74"/>
    <s v="B+"/>
    <n v="512"/>
    <n v="73.142857142857139"/>
    <x v="3"/>
    <n v="1815"/>
    <x v="0"/>
  </r>
  <r>
    <n v="1219"/>
    <s v="Michelle"/>
    <s v="Dixon"/>
    <x v="1206"/>
    <s v="michelle.dixon.1219@gslingacademy.com"/>
    <x v="1"/>
    <x v="0"/>
    <n v="1"/>
    <x v="0"/>
    <n v="26"/>
    <x v="4"/>
    <n v="85"/>
    <s v="A"/>
    <n v="64"/>
    <s v="B-"/>
    <n v="98"/>
    <s v="A+"/>
    <n v="68"/>
    <s v="B"/>
    <n v="70"/>
    <s v="B+"/>
    <n v="63"/>
    <s v="B-"/>
    <n v="77"/>
    <s v="A-"/>
    <n v="525"/>
    <n v="75"/>
    <x v="2"/>
    <n v="1704"/>
    <x v="1"/>
  </r>
  <r>
    <n v="1220"/>
    <s v="Linda"/>
    <s v="George"/>
    <x v="1207"/>
    <s v="linda.george.1220@gslingacademy.com"/>
    <x v="1"/>
    <x v="0"/>
    <n v="9"/>
    <x v="0"/>
    <n v="3"/>
    <x v="7"/>
    <n v="73"/>
    <s v="B+"/>
    <n v="88"/>
    <s v="A"/>
    <n v="57"/>
    <s v="C"/>
    <n v="93"/>
    <s v="A+"/>
    <n v="85"/>
    <s v="A"/>
    <n v="85"/>
    <s v="A"/>
    <n v="77"/>
    <s v="A-"/>
    <n v="558"/>
    <n v="79.714285714285708"/>
    <x v="2"/>
    <n v="1178"/>
    <x v="2"/>
  </r>
  <r>
    <n v="1221"/>
    <s v="Larry"/>
    <s v="Bruce"/>
    <x v="1208"/>
    <s v="larry.bruce.1221@gslingacademy.com"/>
    <x v="0"/>
    <x v="0"/>
    <n v="5"/>
    <x v="0"/>
    <n v="31"/>
    <x v="0"/>
    <n v="99"/>
    <s v="A+"/>
    <n v="81"/>
    <s v="A"/>
    <n v="80"/>
    <s v="A"/>
    <n v="89"/>
    <s v="A"/>
    <n v="75"/>
    <s v="A-"/>
    <n v="83"/>
    <s v="A"/>
    <n v="93"/>
    <s v="A+"/>
    <n v="600"/>
    <n v="85.714285714285708"/>
    <x v="0"/>
    <n v="406"/>
    <x v="0"/>
  </r>
  <r>
    <n v="1222"/>
    <s v="Charles"/>
    <s v="Myers"/>
    <x v="1209"/>
    <s v="charles.myers.1222@gslingacademy.com"/>
    <x v="0"/>
    <x v="0"/>
    <n v="4"/>
    <x v="0"/>
    <n v="1"/>
    <x v="7"/>
    <n v="95"/>
    <s v="A+"/>
    <n v="57"/>
    <s v="C"/>
    <n v="77"/>
    <s v="A-"/>
    <n v="81"/>
    <s v="A"/>
    <n v="83"/>
    <s v="A"/>
    <n v="57"/>
    <s v="C"/>
    <n v="70"/>
    <s v="B+"/>
    <n v="520"/>
    <n v="74.285714285714292"/>
    <x v="3"/>
    <n v="1753"/>
    <x v="0"/>
  </r>
  <r>
    <n v="1223"/>
    <s v="Matthew"/>
    <s v="Boyd"/>
    <x v="1210"/>
    <s v="matthew.boyd.1223@gslingacademy.com"/>
    <x v="0"/>
    <x v="0"/>
    <n v="4"/>
    <x v="1"/>
    <n v="30"/>
    <x v="11"/>
    <n v="92"/>
    <s v="A+"/>
    <n v="90"/>
    <s v="A+"/>
    <n v="92"/>
    <s v="A+"/>
    <n v="78"/>
    <s v="A-"/>
    <n v="59"/>
    <s v="C"/>
    <n v="68"/>
    <s v="B"/>
    <n v="96"/>
    <s v="A+"/>
    <n v="575"/>
    <n v="82.142857142857139"/>
    <x v="0"/>
    <n v="807"/>
    <x v="0"/>
  </r>
  <r>
    <n v="1224"/>
    <s v="Ronald"/>
    <s v="Brewer"/>
    <x v="1211"/>
    <s v="ronald.brewer.1224@gslingacademy.com"/>
    <x v="0"/>
    <x v="0"/>
    <n v="2"/>
    <x v="1"/>
    <n v="28"/>
    <x v="0"/>
    <n v="100"/>
    <s v="A+"/>
    <n v="94"/>
    <s v="A+"/>
    <n v="76"/>
    <s v="A-"/>
    <n v="60"/>
    <s v="B-"/>
    <n v="95"/>
    <s v="A+"/>
    <n v="90"/>
    <s v="A+"/>
    <n v="66"/>
    <s v="B"/>
    <n v="581"/>
    <n v="83"/>
    <x v="0"/>
    <n v="688"/>
    <x v="1"/>
  </r>
  <r>
    <n v="1225"/>
    <s v="Kimberly"/>
    <s v="Mcgee"/>
    <x v="1212"/>
    <s v="kimberly.mcgee.1225@gslingacademy.com"/>
    <x v="1"/>
    <x v="1"/>
    <n v="3"/>
    <x v="0"/>
    <n v="24"/>
    <x v="1"/>
    <n v="89"/>
    <s v="A"/>
    <n v="67"/>
    <s v="B"/>
    <n v="98"/>
    <s v="A+"/>
    <n v="94"/>
    <s v="A+"/>
    <n v="89"/>
    <s v="A"/>
    <n v="60"/>
    <s v="B-"/>
    <n v="95"/>
    <s v="A+"/>
    <n v="592"/>
    <n v="84.571428571428569"/>
    <x v="0"/>
    <n v="505"/>
    <x v="0"/>
  </r>
  <r>
    <n v="1226"/>
    <s v="Jill"/>
    <s v="Anderson"/>
    <x v="1213"/>
    <s v="jill.anderson.1226@gslingacademy.com"/>
    <x v="1"/>
    <x v="0"/>
    <n v="1"/>
    <x v="1"/>
    <n v="28"/>
    <x v="9"/>
    <n v="94"/>
    <s v="A+"/>
    <n v="66"/>
    <s v="B"/>
    <n v="68"/>
    <s v="B"/>
    <n v="94"/>
    <s v="A+"/>
    <n v="62"/>
    <s v="B-"/>
    <n v="76"/>
    <s v="A-"/>
    <n v="77"/>
    <s v="A-"/>
    <n v="537"/>
    <n v="76.714285714285708"/>
    <x v="2"/>
    <n v="1553"/>
    <x v="1"/>
  </r>
  <r>
    <n v="1227"/>
    <s v="David"/>
    <s v="Coffey"/>
    <x v="1214"/>
    <s v="david.coffey.1227@gslingacademy.com"/>
    <x v="0"/>
    <x v="0"/>
    <n v="6"/>
    <x v="0"/>
    <n v="6"/>
    <x v="16"/>
    <n v="89"/>
    <s v="A"/>
    <n v="64"/>
    <s v="B-"/>
    <n v="78"/>
    <s v="A-"/>
    <n v="85"/>
    <s v="A"/>
    <n v="68"/>
    <s v="B"/>
    <n v="84"/>
    <s v="A"/>
    <n v="99"/>
    <s v="A+"/>
    <n v="567"/>
    <n v="81"/>
    <x v="0"/>
    <n v="994"/>
    <x v="0"/>
  </r>
  <r>
    <n v="1228"/>
    <s v="Brittany"/>
    <s v="Henderson"/>
    <x v="1215"/>
    <s v="brittany.henderson.1228@gslingacademy.com"/>
    <x v="1"/>
    <x v="1"/>
    <n v="9"/>
    <x v="1"/>
    <n v="5"/>
    <x v="7"/>
    <n v="74"/>
    <s v="B+"/>
    <n v="79"/>
    <s v="A-"/>
    <n v="82"/>
    <s v="A"/>
    <n v="51"/>
    <s v="C"/>
    <n v="67"/>
    <s v="B"/>
    <n v="65"/>
    <s v="B"/>
    <n v="82"/>
    <s v="A"/>
    <n v="500"/>
    <n v="71.428571428571431"/>
    <x v="3"/>
    <n v="1875"/>
    <x v="2"/>
  </r>
  <r>
    <n v="1229"/>
    <s v="Holly"/>
    <s v="Richardson"/>
    <x v="1216"/>
    <s v="holly.richardson.1229@gslingacademy.com"/>
    <x v="1"/>
    <x v="0"/>
    <n v="2"/>
    <x v="0"/>
    <n v="12"/>
    <x v="6"/>
    <n v="95"/>
    <s v="A+"/>
    <n v="82"/>
    <s v="A"/>
    <n v="70"/>
    <s v="B+"/>
    <n v="81"/>
    <s v="A"/>
    <n v="94"/>
    <s v="A+"/>
    <n v="93"/>
    <s v="A+"/>
    <n v="69"/>
    <s v="B"/>
    <n v="584"/>
    <n v="83.428571428571431"/>
    <x v="0"/>
    <n v="635"/>
    <x v="1"/>
  </r>
  <r>
    <n v="1230"/>
    <s v="Justin"/>
    <s v="Brooks"/>
    <x v="1217"/>
    <s v="justin.brooks.1230@gslingacademy.com"/>
    <x v="0"/>
    <x v="0"/>
    <n v="7"/>
    <x v="0"/>
    <n v="3"/>
    <x v="4"/>
    <n v="93"/>
    <s v="A+"/>
    <n v="74"/>
    <s v="B+"/>
    <n v="98"/>
    <s v="A+"/>
    <n v="100"/>
    <s v="A+"/>
    <n v="62"/>
    <s v="B-"/>
    <n v="83"/>
    <s v="A"/>
    <n v="87"/>
    <s v="A"/>
    <n v="597"/>
    <n v="85.285714285714292"/>
    <x v="0"/>
    <n v="446"/>
    <x v="2"/>
  </r>
  <r>
    <n v="1231"/>
    <s v="Joan"/>
    <s v="Frederick"/>
    <x v="1218"/>
    <s v="joan.frederick.1231@gslingacademy.com"/>
    <x v="1"/>
    <x v="0"/>
    <n v="4"/>
    <x v="0"/>
    <n v="26"/>
    <x v="0"/>
    <n v="94"/>
    <s v="A+"/>
    <n v="91"/>
    <s v="A+"/>
    <n v="98"/>
    <s v="A+"/>
    <n v="94"/>
    <s v="A+"/>
    <n v="88"/>
    <s v="A"/>
    <n v="97"/>
    <s v="A+"/>
    <n v="94"/>
    <s v="A+"/>
    <n v="656"/>
    <n v="93.714285714285708"/>
    <x v="1"/>
    <n v="28"/>
    <x v="0"/>
  </r>
  <r>
    <n v="1232"/>
    <s v="Loretta"/>
    <s v="Webb"/>
    <x v="1219"/>
    <s v="loretta.webb.1232@gslingacademy.com"/>
    <x v="1"/>
    <x v="0"/>
    <n v="4"/>
    <x v="0"/>
    <n v="18"/>
    <x v="11"/>
    <n v="85"/>
    <s v="A"/>
    <n v="80"/>
    <s v="A"/>
    <n v="84"/>
    <s v="A"/>
    <n v="96"/>
    <s v="A+"/>
    <n v="45"/>
    <s v="D"/>
    <n v="84"/>
    <s v="A"/>
    <n v="90"/>
    <s v="A+"/>
    <n v="564"/>
    <n v="80.571428571428569"/>
    <x v="0"/>
    <n v="1056"/>
    <x v="0"/>
  </r>
  <r>
    <n v="1233"/>
    <s v="Toni"/>
    <s v="Zimmerman"/>
    <x v="1220"/>
    <s v="toni.zimmerman.1233@gslingacademy.com"/>
    <x v="1"/>
    <x v="0"/>
    <n v="5"/>
    <x v="0"/>
    <n v="31"/>
    <x v="11"/>
    <n v="94"/>
    <s v="A+"/>
    <n v="98"/>
    <s v="A+"/>
    <n v="74"/>
    <s v="B+"/>
    <n v="94"/>
    <s v="A+"/>
    <n v="35"/>
    <s v="F"/>
    <n v="95"/>
    <s v="A+"/>
    <n v="80"/>
    <s v="A"/>
    <n v="570"/>
    <n v="81.428571428571431"/>
    <x v="0"/>
    <n v="937"/>
    <x v="0"/>
  </r>
  <r>
    <n v="1234"/>
    <s v="Jaime"/>
    <s v="Houston"/>
    <x v="1221"/>
    <s v="jaime.houston.1234@gslingacademy.com"/>
    <x v="1"/>
    <x v="0"/>
    <n v="1"/>
    <x v="0"/>
    <n v="17"/>
    <x v="6"/>
    <n v="95"/>
    <s v="A+"/>
    <n v="88"/>
    <s v="A"/>
    <n v="85"/>
    <s v="A"/>
    <n v="66"/>
    <s v="B"/>
    <n v="70"/>
    <s v="B+"/>
    <n v="72"/>
    <s v="B+"/>
    <n v="97"/>
    <s v="A+"/>
    <n v="573"/>
    <n v="81.857142857142861"/>
    <x v="0"/>
    <n v="864"/>
    <x v="1"/>
  </r>
  <r>
    <n v="1235"/>
    <s v="Jacqueline"/>
    <s v="Goodman"/>
    <x v="1222"/>
    <s v="jacqueline.goodman.1235@gslingacademy.com"/>
    <x v="1"/>
    <x v="0"/>
    <n v="2"/>
    <x v="1"/>
    <n v="23"/>
    <x v="5"/>
    <n v="97"/>
    <s v="A+"/>
    <n v="82"/>
    <s v="A"/>
    <n v="100"/>
    <s v="A+"/>
    <n v="69"/>
    <s v="B"/>
    <n v="64"/>
    <s v="B-"/>
    <n v="73"/>
    <s v="B+"/>
    <n v="88"/>
    <s v="A"/>
    <n v="573"/>
    <n v="81.857142857142861"/>
    <x v="0"/>
    <n v="864"/>
    <x v="1"/>
  </r>
  <r>
    <n v="1236"/>
    <s v="Brian"/>
    <s v="Crawford"/>
    <x v="1223"/>
    <s v="brian.crawford.1236@gslingacademy.com"/>
    <x v="0"/>
    <x v="0"/>
    <n v="0"/>
    <x v="0"/>
    <n v="17"/>
    <x v="12"/>
    <n v="100"/>
    <s v="A+"/>
    <n v="83"/>
    <s v="A"/>
    <n v="67"/>
    <s v="B"/>
    <n v="77"/>
    <s v="A-"/>
    <n v="88"/>
    <s v="A"/>
    <n v="76"/>
    <s v="A-"/>
    <n v="84"/>
    <s v="A"/>
    <n v="575"/>
    <n v="82.142857142857139"/>
    <x v="0"/>
    <n v="807"/>
    <x v="1"/>
  </r>
  <r>
    <n v="1237"/>
    <s v="John"/>
    <s v="Reynolds"/>
    <x v="1224"/>
    <s v="john.reynolds.1237@gslingacademy.com"/>
    <x v="0"/>
    <x v="0"/>
    <n v="4"/>
    <x v="0"/>
    <n v="29"/>
    <x v="1"/>
    <n v="99"/>
    <s v="A+"/>
    <n v="65"/>
    <s v="B"/>
    <n v="97"/>
    <s v="A+"/>
    <n v="89"/>
    <s v="A"/>
    <n v="87"/>
    <s v="A"/>
    <n v="72"/>
    <s v="B+"/>
    <n v="86"/>
    <s v="A"/>
    <n v="595"/>
    <n v="85"/>
    <x v="0"/>
    <n v="465"/>
    <x v="0"/>
  </r>
  <r>
    <n v="1238"/>
    <s v="Heather"/>
    <s v="Marsh"/>
    <x v="1225"/>
    <s v="heather.marsh.1238@gslingacademy.com"/>
    <x v="1"/>
    <x v="0"/>
    <n v="0"/>
    <x v="0"/>
    <n v="13"/>
    <x v="12"/>
    <n v="97"/>
    <s v="A+"/>
    <n v="67"/>
    <s v="B"/>
    <n v="79"/>
    <s v="A-"/>
    <n v="76"/>
    <s v="A-"/>
    <n v="76"/>
    <s v="A-"/>
    <n v="66"/>
    <s v="B"/>
    <n v="97"/>
    <s v="A+"/>
    <n v="558"/>
    <n v="79.714285714285708"/>
    <x v="2"/>
    <n v="1178"/>
    <x v="1"/>
  </r>
  <r>
    <n v="1239"/>
    <s v="Dawn"/>
    <s v="Flores"/>
    <x v="1226"/>
    <s v="dawn.flores.1239@gslingacademy.com"/>
    <x v="1"/>
    <x v="1"/>
    <n v="10"/>
    <x v="1"/>
    <n v="2"/>
    <x v="7"/>
    <n v="53"/>
    <s v="C"/>
    <n v="98"/>
    <s v="A+"/>
    <n v="66"/>
    <s v="B"/>
    <n v="80"/>
    <s v="A"/>
    <n v="82"/>
    <s v="A"/>
    <n v="89"/>
    <s v="A"/>
    <n v="85"/>
    <s v="A"/>
    <n v="553"/>
    <n v="79"/>
    <x v="2"/>
    <n v="1284"/>
    <x v="2"/>
  </r>
  <r>
    <n v="1240"/>
    <s v="Christie"/>
    <s v="Lane"/>
    <x v="1227"/>
    <s v="christie.lane.1240@gslingacademy.com"/>
    <x v="1"/>
    <x v="0"/>
    <n v="3"/>
    <x v="0"/>
    <n v="35"/>
    <x v="4"/>
    <n v="99"/>
    <s v="A+"/>
    <n v="85"/>
    <s v="A"/>
    <n v="98"/>
    <s v="A+"/>
    <n v="91"/>
    <s v="A+"/>
    <n v="86"/>
    <s v="A"/>
    <n v="97"/>
    <s v="A+"/>
    <n v="85"/>
    <s v="A"/>
    <n v="641"/>
    <n v="91.571428571428569"/>
    <x v="1"/>
    <n v="94"/>
    <x v="0"/>
  </r>
  <r>
    <n v="1241"/>
    <s v="Traci"/>
    <s v="Johnson"/>
    <x v="1228"/>
    <s v="traci.johnson.1241@gslingacademy.com"/>
    <x v="1"/>
    <x v="0"/>
    <n v="5"/>
    <x v="0"/>
    <n v="35"/>
    <x v="12"/>
    <n v="99"/>
    <s v="A+"/>
    <n v="89"/>
    <s v="A"/>
    <n v="88"/>
    <s v="A"/>
    <n v="94"/>
    <s v="A+"/>
    <n v="99"/>
    <s v="A+"/>
    <n v="89"/>
    <s v="A"/>
    <n v="92"/>
    <s v="A+"/>
    <n v="650"/>
    <n v="92.857142857142861"/>
    <x v="1"/>
    <n v="56"/>
    <x v="0"/>
  </r>
  <r>
    <n v="1242"/>
    <s v="Robert"/>
    <s v="Hartman"/>
    <x v="1229"/>
    <s v="robert.hartman.1242@gslingacademy.com"/>
    <x v="0"/>
    <x v="0"/>
    <n v="3"/>
    <x v="0"/>
    <n v="28"/>
    <x v="11"/>
    <n v="79"/>
    <s v="A-"/>
    <n v="83"/>
    <s v="A"/>
    <n v="78"/>
    <s v="A-"/>
    <n v="89"/>
    <s v="A"/>
    <n v="83"/>
    <s v="A"/>
    <n v="79"/>
    <s v="A-"/>
    <n v="76"/>
    <s v="A-"/>
    <n v="567"/>
    <n v="81"/>
    <x v="0"/>
    <n v="994"/>
    <x v="0"/>
  </r>
  <r>
    <n v="1243"/>
    <s v="Christopher"/>
    <s v="Porter"/>
    <x v="1230"/>
    <s v="christopher.porter.1243@gslingacademy.com"/>
    <x v="0"/>
    <x v="1"/>
    <n v="6"/>
    <x v="1"/>
    <n v="2"/>
    <x v="7"/>
    <n v="94"/>
    <s v="A+"/>
    <n v="95"/>
    <s v="A+"/>
    <n v="75"/>
    <s v="A-"/>
    <n v="73"/>
    <s v="B+"/>
    <n v="51"/>
    <s v="C"/>
    <n v="89"/>
    <s v="A"/>
    <n v="77"/>
    <s v="A-"/>
    <n v="554"/>
    <n v="79.142857142857139"/>
    <x v="2"/>
    <n v="1264"/>
    <x v="0"/>
  </r>
  <r>
    <n v="1244"/>
    <s v="Phillip"/>
    <s v="Lynch"/>
    <x v="1231"/>
    <s v="phillip.lynch.1244@gslingacademy.com"/>
    <x v="0"/>
    <x v="0"/>
    <n v="6"/>
    <x v="1"/>
    <n v="28"/>
    <x v="5"/>
    <n v="97"/>
    <s v="A+"/>
    <n v="73"/>
    <s v="B+"/>
    <n v="92"/>
    <s v="A+"/>
    <n v="64"/>
    <s v="B-"/>
    <n v="66"/>
    <s v="B"/>
    <n v="96"/>
    <s v="A+"/>
    <n v="65"/>
    <s v="B"/>
    <n v="553"/>
    <n v="79"/>
    <x v="2"/>
    <n v="1284"/>
    <x v="0"/>
  </r>
  <r>
    <n v="1245"/>
    <s v="Matthew"/>
    <s v="Green"/>
    <x v="1232"/>
    <s v="matthew.green.1245@gslingacademy.com"/>
    <x v="0"/>
    <x v="0"/>
    <n v="3"/>
    <x v="1"/>
    <n v="26"/>
    <x v="11"/>
    <n v="87"/>
    <s v="A"/>
    <n v="70"/>
    <s v="B+"/>
    <n v="65"/>
    <s v="B"/>
    <n v="64"/>
    <s v="B-"/>
    <n v="30"/>
    <s v="F"/>
    <n v="72"/>
    <s v="B+"/>
    <n v="68"/>
    <s v="B"/>
    <n v="456"/>
    <n v="65.142857142857139"/>
    <x v="4"/>
    <n v="1987"/>
    <x v="0"/>
  </r>
  <r>
    <n v="1246"/>
    <s v="Jesse"/>
    <s v="Johnson"/>
    <x v="1233"/>
    <s v="jesse.johnson.1246@gslingacademy.com"/>
    <x v="0"/>
    <x v="0"/>
    <n v="7"/>
    <x v="0"/>
    <n v="26"/>
    <x v="15"/>
    <n v="82"/>
    <s v="A"/>
    <n v="82"/>
    <s v="A"/>
    <n v="87"/>
    <s v="A"/>
    <n v="92"/>
    <s v="A+"/>
    <n v="64"/>
    <s v="B-"/>
    <n v="70"/>
    <s v="B+"/>
    <n v="72"/>
    <s v="B+"/>
    <n v="549"/>
    <n v="78.428571428571431"/>
    <x v="2"/>
    <n v="1355"/>
    <x v="2"/>
  </r>
  <r>
    <n v="1247"/>
    <s v="Donna"/>
    <s v="Andrews"/>
    <x v="1234"/>
    <s v="donna.andrews.1247@gslingacademy.com"/>
    <x v="1"/>
    <x v="0"/>
    <n v="1"/>
    <x v="0"/>
    <n v="22"/>
    <x v="1"/>
    <n v="94"/>
    <s v="A+"/>
    <n v="98"/>
    <s v="A+"/>
    <n v="96"/>
    <s v="A+"/>
    <n v="88"/>
    <s v="A"/>
    <n v="96"/>
    <s v="A+"/>
    <n v="61"/>
    <s v="B-"/>
    <n v="80"/>
    <s v="A"/>
    <n v="613"/>
    <n v="87.571428571428569"/>
    <x v="0"/>
    <n v="271"/>
    <x v="1"/>
  </r>
  <r>
    <n v="1248"/>
    <s v="Timothy"/>
    <s v="Hall"/>
    <x v="1235"/>
    <s v="timothy.hall.1248@gslingacademy.com"/>
    <x v="0"/>
    <x v="1"/>
    <n v="1"/>
    <x v="0"/>
    <n v="26"/>
    <x v="5"/>
    <n v="99"/>
    <s v="A+"/>
    <n v="85"/>
    <s v="A"/>
    <n v="97"/>
    <s v="A+"/>
    <n v="72"/>
    <s v="B+"/>
    <n v="79"/>
    <s v="A-"/>
    <n v="92"/>
    <s v="A+"/>
    <n v="82"/>
    <s v="A"/>
    <n v="606"/>
    <n v="86.571428571428569"/>
    <x v="0"/>
    <n v="333"/>
    <x v="1"/>
  </r>
  <r>
    <n v="1249"/>
    <s v="Amy"/>
    <s v="Hicks"/>
    <x v="1236"/>
    <s v="amy.hicks.1249@gslingacademy.com"/>
    <x v="1"/>
    <x v="0"/>
    <n v="1"/>
    <x v="0"/>
    <n v="16"/>
    <x v="6"/>
    <n v="68"/>
    <s v="B"/>
    <n v="83"/>
    <s v="A"/>
    <n v="74"/>
    <s v="B+"/>
    <n v="87"/>
    <s v="A"/>
    <n v="71"/>
    <s v="B+"/>
    <n v="86"/>
    <s v="A"/>
    <n v="82"/>
    <s v="A"/>
    <n v="551"/>
    <n v="78.714285714285708"/>
    <x v="2"/>
    <n v="1317"/>
    <x v="1"/>
  </r>
  <r>
    <n v="1250"/>
    <s v="Susan"/>
    <s v="Wall"/>
    <x v="1237"/>
    <s v="susan.wall.1250@gslingacademy.com"/>
    <x v="1"/>
    <x v="0"/>
    <n v="10"/>
    <x v="0"/>
    <n v="2"/>
    <x v="7"/>
    <n v="67"/>
    <s v="B"/>
    <n v="82"/>
    <s v="A"/>
    <n v="81"/>
    <s v="A"/>
    <n v="83"/>
    <s v="A"/>
    <n v="57"/>
    <s v="C"/>
    <n v="59"/>
    <s v="C"/>
    <n v="91"/>
    <s v="A+"/>
    <n v="520"/>
    <n v="74.285714285714292"/>
    <x v="3"/>
    <n v="1753"/>
    <x v="2"/>
  </r>
  <r>
    <n v="1251"/>
    <s v="David"/>
    <s v="Fields"/>
    <x v="1238"/>
    <s v="david.fields.1251@gslingacademy.com"/>
    <x v="0"/>
    <x v="0"/>
    <n v="4"/>
    <x v="1"/>
    <n v="10"/>
    <x v="9"/>
    <n v="92"/>
    <s v="A+"/>
    <n v="65"/>
    <s v="B"/>
    <n v="81"/>
    <s v="A"/>
    <n v="79"/>
    <s v="A-"/>
    <n v="84"/>
    <s v="A"/>
    <n v="85"/>
    <s v="A"/>
    <n v="74"/>
    <s v="B+"/>
    <n v="560"/>
    <n v="80"/>
    <x v="0"/>
    <n v="1134"/>
    <x v="0"/>
  </r>
  <r>
    <n v="1252"/>
    <s v="Terri"/>
    <s v="Lyons"/>
    <x v="1239"/>
    <s v="terri.lyons.1252@gslingacademy.com"/>
    <x v="1"/>
    <x v="0"/>
    <n v="3"/>
    <x v="1"/>
    <n v="21"/>
    <x v="10"/>
    <n v="69"/>
    <s v="B"/>
    <n v="77"/>
    <s v="A-"/>
    <n v="82"/>
    <s v="A"/>
    <n v="93"/>
    <s v="A+"/>
    <n v="92"/>
    <s v="A+"/>
    <n v="90"/>
    <s v="A+"/>
    <n v="71"/>
    <s v="B+"/>
    <n v="574"/>
    <n v="82"/>
    <x v="0"/>
    <n v="832"/>
    <x v="0"/>
  </r>
  <r>
    <n v="1253"/>
    <s v="Eric"/>
    <s v="Jones"/>
    <x v="750"/>
    <s v="eric.jones.1253@gslingacademy.com"/>
    <x v="0"/>
    <x v="1"/>
    <n v="1"/>
    <x v="0"/>
    <n v="30"/>
    <x v="5"/>
    <n v="92"/>
    <s v="A+"/>
    <n v="98"/>
    <s v="A+"/>
    <n v="61"/>
    <s v="B-"/>
    <n v="99"/>
    <s v="A+"/>
    <n v="77"/>
    <s v="A-"/>
    <n v="72"/>
    <s v="B+"/>
    <n v="75"/>
    <s v="A-"/>
    <n v="574"/>
    <n v="82"/>
    <x v="0"/>
    <n v="832"/>
    <x v="1"/>
  </r>
  <r>
    <n v="1254"/>
    <s v="Betty"/>
    <s v="Nguyen"/>
    <x v="1240"/>
    <s v="betty.nguyen.1254@gslingacademy.com"/>
    <x v="1"/>
    <x v="0"/>
    <n v="6"/>
    <x v="0"/>
    <n v="24"/>
    <x v="11"/>
    <n v="90"/>
    <s v="A+"/>
    <n v="64"/>
    <s v="B-"/>
    <n v="90"/>
    <s v="A+"/>
    <n v="75"/>
    <s v="A-"/>
    <n v="64"/>
    <s v="B-"/>
    <n v="96"/>
    <s v="A+"/>
    <n v="71"/>
    <s v="B+"/>
    <n v="550"/>
    <n v="78.571428571428569"/>
    <x v="2"/>
    <n v="1338"/>
    <x v="0"/>
  </r>
  <r>
    <n v="1255"/>
    <s v="Albert"/>
    <s v="Anderson"/>
    <x v="1241"/>
    <s v="albert.anderson.1255@gslingacademy.com"/>
    <x v="0"/>
    <x v="1"/>
    <n v="1"/>
    <x v="0"/>
    <n v="33"/>
    <x v="15"/>
    <n v="91"/>
    <s v="A+"/>
    <n v="92"/>
    <s v="A+"/>
    <n v="73"/>
    <s v="B+"/>
    <n v="97"/>
    <s v="A+"/>
    <n v="61"/>
    <s v="B-"/>
    <n v="63"/>
    <s v="B-"/>
    <n v="71"/>
    <s v="B+"/>
    <n v="548"/>
    <n v="78.285714285714292"/>
    <x v="2"/>
    <n v="1374"/>
    <x v="1"/>
  </r>
  <r>
    <n v="1256"/>
    <s v="Katrina"/>
    <s v="Montgomery"/>
    <x v="1242"/>
    <s v="katrina.montgomery.1256@gslingacademy.com"/>
    <x v="1"/>
    <x v="0"/>
    <n v="5"/>
    <x v="0"/>
    <n v="3"/>
    <x v="3"/>
    <n v="65"/>
    <s v="B"/>
    <n v="67"/>
    <s v="B"/>
    <n v="91"/>
    <s v="A+"/>
    <n v="81"/>
    <s v="A"/>
    <n v="97"/>
    <s v="A+"/>
    <n v="99"/>
    <s v="A+"/>
    <n v="75"/>
    <s v="A-"/>
    <n v="575"/>
    <n v="82.142857142857139"/>
    <x v="0"/>
    <n v="807"/>
    <x v="0"/>
  </r>
  <r>
    <n v="1257"/>
    <s v="Samantha"/>
    <s v="Cole"/>
    <x v="1243"/>
    <s v="samantha.cole.1257@gslingacademy.com"/>
    <x v="1"/>
    <x v="0"/>
    <n v="2"/>
    <x v="0"/>
    <n v="34"/>
    <x v="5"/>
    <n v="98"/>
    <s v="A+"/>
    <n v="80"/>
    <s v="A"/>
    <n v="70"/>
    <s v="B+"/>
    <n v="60"/>
    <s v="B-"/>
    <n v="88"/>
    <s v="A"/>
    <n v="65"/>
    <s v="B"/>
    <n v="92"/>
    <s v="A+"/>
    <n v="553"/>
    <n v="79"/>
    <x v="2"/>
    <n v="1284"/>
    <x v="1"/>
  </r>
  <r>
    <n v="1258"/>
    <s v="Kathleen"/>
    <s v="Potts"/>
    <x v="1244"/>
    <s v="kathleen.potts.1258@gslingacademy.com"/>
    <x v="1"/>
    <x v="0"/>
    <n v="6"/>
    <x v="1"/>
    <n v="2"/>
    <x v="7"/>
    <n v="70"/>
    <s v="B+"/>
    <n v="89"/>
    <s v="A"/>
    <n v="78"/>
    <s v="A-"/>
    <n v="87"/>
    <s v="A"/>
    <n v="87"/>
    <s v="A"/>
    <n v="62"/>
    <s v="B-"/>
    <n v="85"/>
    <s v="A"/>
    <n v="558"/>
    <n v="79.714285714285708"/>
    <x v="2"/>
    <n v="1178"/>
    <x v="0"/>
  </r>
  <r>
    <n v="1259"/>
    <s v="Melissa"/>
    <s v="Edwards"/>
    <x v="1245"/>
    <s v="melissa.edwards.1259@gslingacademy.com"/>
    <x v="1"/>
    <x v="0"/>
    <n v="2"/>
    <x v="0"/>
    <n v="17"/>
    <x v="5"/>
    <n v="97"/>
    <s v="A+"/>
    <n v="97"/>
    <s v="A+"/>
    <n v="90"/>
    <s v="A+"/>
    <n v="69"/>
    <s v="B"/>
    <n v="75"/>
    <s v="A-"/>
    <n v="68"/>
    <s v="B"/>
    <n v="70"/>
    <s v="B+"/>
    <n v="566"/>
    <n v="80.857142857142861"/>
    <x v="0"/>
    <n v="1019"/>
    <x v="1"/>
  </r>
  <r>
    <n v="1260"/>
    <s v="Mark"/>
    <s v="Delgado"/>
    <x v="1246"/>
    <s v="mark.delgado.1260@gslingacademy.com"/>
    <x v="0"/>
    <x v="0"/>
    <n v="1"/>
    <x v="0"/>
    <n v="18"/>
    <x v="11"/>
    <n v="80"/>
    <s v="A"/>
    <n v="71"/>
    <s v="B+"/>
    <n v="89"/>
    <s v="A"/>
    <n v="81"/>
    <s v="A"/>
    <n v="75"/>
    <s v="A-"/>
    <n v="81"/>
    <s v="A"/>
    <n v="63"/>
    <s v="B-"/>
    <n v="540"/>
    <n v="77.142857142857139"/>
    <x v="2"/>
    <n v="1513"/>
    <x v="1"/>
  </r>
  <r>
    <n v="1261"/>
    <s v="Derek"/>
    <s v="Bates"/>
    <x v="1247"/>
    <s v="derek.bates.1261@gslingacademy.com"/>
    <x v="0"/>
    <x v="0"/>
    <n v="2"/>
    <x v="0"/>
    <n v="16"/>
    <x v="10"/>
    <n v="70"/>
    <s v="B+"/>
    <n v="75"/>
    <s v="A-"/>
    <n v="79"/>
    <s v="A-"/>
    <n v="77"/>
    <s v="A-"/>
    <n v="65"/>
    <s v="B"/>
    <n v="92"/>
    <s v="A+"/>
    <n v="78"/>
    <s v="A-"/>
    <n v="536"/>
    <n v="76.571428571428569"/>
    <x v="2"/>
    <n v="1567"/>
    <x v="1"/>
  </r>
  <r>
    <n v="1262"/>
    <s v="Ryan"/>
    <s v="Ruiz"/>
    <x v="1248"/>
    <s v="ryan.ruiz.1262@gslingacademy.com"/>
    <x v="0"/>
    <x v="0"/>
    <n v="3"/>
    <x v="1"/>
    <n v="21"/>
    <x v="1"/>
    <n v="96"/>
    <s v="A+"/>
    <n v="79"/>
    <s v="A-"/>
    <n v="92"/>
    <s v="A+"/>
    <n v="85"/>
    <s v="A"/>
    <n v="95"/>
    <s v="A+"/>
    <n v="69"/>
    <s v="B"/>
    <n v="65"/>
    <s v="B"/>
    <n v="581"/>
    <n v="83"/>
    <x v="0"/>
    <n v="688"/>
    <x v="0"/>
  </r>
  <r>
    <n v="1263"/>
    <s v="Charles"/>
    <s v="Gill"/>
    <x v="1249"/>
    <s v="charles.gill.1263@gslingacademy.com"/>
    <x v="0"/>
    <x v="0"/>
    <n v="1"/>
    <x v="0"/>
    <n v="24"/>
    <x v="5"/>
    <n v="99"/>
    <s v="A+"/>
    <n v="62"/>
    <s v="B-"/>
    <n v="65"/>
    <s v="B"/>
    <n v="67"/>
    <s v="B"/>
    <n v="97"/>
    <s v="A+"/>
    <n v="73"/>
    <s v="B+"/>
    <n v="96"/>
    <s v="A+"/>
    <n v="559"/>
    <n v="79.857142857142861"/>
    <x v="2"/>
    <n v="1155"/>
    <x v="1"/>
  </r>
  <r>
    <n v="1264"/>
    <s v="Amanda"/>
    <s v="Edwards"/>
    <x v="1250"/>
    <s v="amanda.edwards.1264@gslingacademy.com"/>
    <x v="1"/>
    <x v="0"/>
    <n v="3"/>
    <x v="1"/>
    <n v="27"/>
    <x v="4"/>
    <n v="76"/>
    <s v="A-"/>
    <n v="72"/>
    <s v="B+"/>
    <n v="97"/>
    <s v="A+"/>
    <n v="65"/>
    <s v="B"/>
    <n v="87"/>
    <s v="A"/>
    <n v="93"/>
    <s v="A+"/>
    <n v="84"/>
    <s v="A"/>
    <n v="574"/>
    <n v="82"/>
    <x v="0"/>
    <n v="832"/>
    <x v="0"/>
  </r>
  <r>
    <n v="1265"/>
    <s v="Emily"/>
    <s v="Waters"/>
    <x v="1251"/>
    <s v="emily.waters.1265@gslingacademy.com"/>
    <x v="1"/>
    <x v="1"/>
    <n v="4"/>
    <x v="1"/>
    <n v="24"/>
    <x v="15"/>
    <n v="86"/>
    <s v="A"/>
    <n v="68"/>
    <s v="B"/>
    <n v="98"/>
    <s v="A+"/>
    <n v="87"/>
    <s v="A"/>
    <n v="61"/>
    <s v="B-"/>
    <n v="78"/>
    <s v="A-"/>
    <n v="96"/>
    <s v="A+"/>
    <n v="574"/>
    <n v="82"/>
    <x v="0"/>
    <n v="832"/>
    <x v="0"/>
  </r>
  <r>
    <n v="1266"/>
    <s v="John"/>
    <s v="Stevenson"/>
    <x v="1252"/>
    <s v="john.stevenson.1266@gslingacademy.com"/>
    <x v="0"/>
    <x v="0"/>
    <n v="5"/>
    <x v="0"/>
    <n v="27"/>
    <x v="13"/>
    <n v="98"/>
    <s v="A+"/>
    <n v="100"/>
    <s v="A+"/>
    <n v="100"/>
    <s v="A+"/>
    <n v="81"/>
    <s v="A"/>
    <n v="73"/>
    <s v="B+"/>
    <n v="75"/>
    <s v="A-"/>
    <n v="99"/>
    <s v="A+"/>
    <n v="626"/>
    <n v="89.428571428571431"/>
    <x v="0"/>
    <n v="179"/>
    <x v="0"/>
  </r>
  <r>
    <n v="1267"/>
    <s v="Kevin"/>
    <s v="Hoffman"/>
    <x v="1253"/>
    <s v="kevin.hoffman.1267@gslingacademy.com"/>
    <x v="0"/>
    <x v="0"/>
    <n v="3"/>
    <x v="0"/>
    <n v="14"/>
    <x v="2"/>
    <n v="88"/>
    <s v="A"/>
    <n v="74"/>
    <s v="B+"/>
    <n v="88"/>
    <s v="A"/>
    <n v="92"/>
    <s v="A+"/>
    <n v="83"/>
    <s v="A"/>
    <n v="71"/>
    <s v="B+"/>
    <n v="89"/>
    <s v="A"/>
    <n v="585"/>
    <n v="83.571428571428569"/>
    <x v="0"/>
    <n v="615"/>
    <x v="0"/>
  </r>
  <r>
    <n v="1268"/>
    <s v="Joseph"/>
    <s v="Mcconnell"/>
    <x v="1254"/>
    <s v="joseph.mcconnell.1268@gslingacademy.com"/>
    <x v="0"/>
    <x v="0"/>
    <n v="8"/>
    <x v="0"/>
    <n v="30"/>
    <x v="5"/>
    <n v="89"/>
    <s v="A"/>
    <n v="65"/>
    <s v="B"/>
    <n v="71"/>
    <s v="B+"/>
    <n v="96"/>
    <s v="A+"/>
    <n v="65"/>
    <s v="B"/>
    <n v="63"/>
    <s v="B-"/>
    <n v="100"/>
    <s v="A+"/>
    <n v="549"/>
    <n v="78.428571428571431"/>
    <x v="2"/>
    <n v="1355"/>
    <x v="2"/>
  </r>
  <r>
    <n v="1269"/>
    <s v="Jessica"/>
    <s v="Smith"/>
    <x v="1203"/>
    <s v="jessica.smith.1269@gslingacademy.com"/>
    <x v="1"/>
    <x v="0"/>
    <n v="1"/>
    <x v="0"/>
    <n v="24"/>
    <x v="0"/>
    <n v="88"/>
    <s v="A"/>
    <n v="100"/>
    <s v="A+"/>
    <n v="89"/>
    <s v="A"/>
    <n v="87"/>
    <s v="A"/>
    <n v="76"/>
    <s v="A-"/>
    <n v="89"/>
    <s v="A"/>
    <n v="85"/>
    <s v="A"/>
    <n v="614"/>
    <n v="87.714285714285708"/>
    <x v="0"/>
    <n v="260"/>
    <x v="1"/>
  </r>
  <r>
    <n v="1270"/>
    <s v="Shannon"/>
    <s v="Martinez"/>
    <x v="1255"/>
    <s v="shannon.martinez.1270@gslingacademy.com"/>
    <x v="1"/>
    <x v="0"/>
    <n v="4"/>
    <x v="0"/>
    <n v="0"/>
    <x v="7"/>
    <n v="78"/>
    <s v="A-"/>
    <n v="73"/>
    <s v="B+"/>
    <n v="89"/>
    <s v="A"/>
    <n v="86"/>
    <s v="A"/>
    <n v="69"/>
    <s v="B"/>
    <n v="84"/>
    <s v="A"/>
    <n v="97"/>
    <s v="A+"/>
    <n v="576"/>
    <n v="82.285714285714292"/>
    <x v="0"/>
    <n v="789"/>
    <x v="0"/>
  </r>
  <r>
    <n v="1271"/>
    <s v="Kenneth"/>
    <s v="Baker"/>
    <x v="1256"/>
    <s v="kenneth.baker.1271@gslingacademy.com"/>
    <x v="0"/>
    <x v="0"/>
    <n v="3"/>
    <x v="0"/>
    <n v="35"/>
    <x v="1"/>
    <n v="87"/>
    <s v="A"/>
    <n v="85"/>
    <s v="A"/>
    <n v="96"/>
    <s v="A+"/>
    <n v="98"/>
    <s v="A+"/>
    <n v="88"/>
    <s v="A"/>
    <n v="99"/>
    <s v="A+"/>
    <n v="92"/>
    <s v="A+"/>
    <n v="645"/>
    <n v="92.142857142857139"/>
    <x v="1"/>
    <n v="81"/>
    <x v="0"/>
  </r>
  <r>
    <n v="1272"/>
    <s v="Margaret"/>
    <s v="Sanchez"/>
    <x v="1257"/>
    <s v="margaret.sanchez.1272@gslingacademy.com"/>
    <x v="1"/>
    <x v="0"/>
    <n v="2"/>
    <x v="0"/>
    <n v="21"/>
    <x v="5"/>
    <n v="90"/>
    <s v="A+"/>
    <n v="76"/>
    <s v="A-"/>
    <n v="64"/>
    <s v="B-"/>
    <n v="88"/>
    <s v="A"/>
    <n v="80"/>
    <s v="A"/>
    <n v="75"/>
    <s v="A-"/>
    <n v="70"/>
    <s v="B+"/>
    <n v="543"/>
    <n v="77.571428571428569"/>
    <x v="2"/>
    <n v="1464"/>
    <x v="1"/>
  </r>
  <r>
    <n v="1273"/>
    <s v="Ryan"/>
    <s v="Hensley"/>
    <x v="1258"/>
    <s v="ryan.hensley.1273@gslingacademy.com"/>
    <x v="0"/>
    <x v="1"/>
    <n v="1"/>
    <x v="0"/>
    <n v="15"/>
    <x v="11"/>
    <n v="88"/>
    <s v="A"/>
    <n v="67"/>
    <s v="B"/>
    <n v="90"/>
    <s v="A+"/>
    <n v="89"/>
    <s v="A"/>
    <n v="49"/>
    <s v="D"/>
    <n v="85"/>
    <s v="A"/>
    <n v="63"/>
    <s v="B-"/>
    <n v="531"/>
    <n v="75.857142857142861"/>
    <x v="2"/>
    <n v="1637"/>
    <x v="1"/>
  </r>
  <r>
    <n v="1274"/>
    <s v="Sharon"/>
    <s v="Stephenson"/>
    <x v="1259"/>
    <s v="sharon.stephenson.1274@gslingacademy.com"/>
    <x v="1"/>
    <x v="0"/>
    <n v="1"/>
    <x v="0"/>
    <n v="5"/>
    <x v="14"/>
    <n v="99"/>
    <s v="A+"/>
    <n v="72"/>
    <s v="B+"/>
    <n v="90"/>
    <s v="A+"/>
    <n v="83"/>
    <s v="A"/>
    <n v="90"/>
    <s v="A+"/>
    <n v="99"/>
    <s v="A+"/>
    <n v="97"/>
    <s v="A+"/>
    <n v="630"/>
    <n v="90"/>
    <x v="1"/>
    <n v="154"/>
    <x v="1"/>
  </r>
  <r>
    <n v="1275"/>
    <s v="Shawn"/>
    <s v="Cameron"/>
    <x v="1260"/>
    <s v="shawn.cameron.1275@gslingacademy.com"/>
    <x v="0"/>
    <x v="1"/>
    <n v="10"/>
    <x v="0"/>
    <n v="3"/>
    <x v="7"/>
    <n v="41"/>
    <s v="D"/>
    <n v="99"/>
    <s v="A+"/>
    <n v="84"/>
    <s v="A"/>
    <n v="63"/>
    <s v="B-"/>
    <n v="92"/>
    <s v="A+"/>
    <n v="72"/>
    <s v="B+"/>
    <n v="81"/>
    <s v="A"/>
    <n v="532"/>
    <n v="76"/>
    <x v="2"/>
    <n v="1622"/>
    <x v="2"/>
  </r>
  <r>
    <n v="1276"/>
    <s v="Stephanie"/>
    <s v="Kennedy"/>
    <x v="1261"/>
    <s v="stephanie.kennedy.1276@gslingacademy.com"/>
    <x v="1"/>
    <x v="0"/>
    <n v="4"/>
    <x v="0"/>
    <n v="8"/>
    <x v="2"/>
    <n v="98"/>
    <s v="A+"/>
    <n v="90"/>
    <s v="A+"/>
    <n v="70"/>
    <s v="B+"/>
    <n v="97"/>
    <s v="A+"/>
    <n v="69"/>
    <s v="B"/>
    <n v="79"/>
    <s v="A-"/>
    <n v="74"/>
    <s v="B+"/>
    <n v="577"/>
    <n v="82.428571428571431"/>
    <x v="0"/>
    <n v="769"/>
    <x v="0"/>
  </r>
  <r>
    <n v="1277"/>
    <s v="Hayley"/>
    <s v="Abbott"/>
    <x v="1262"/>
    <s v="hayley.abbott.1277@gslingacademy.com"/>
    <x v="1"/>
    <x v="0"/>
    <n v="0"/>
    <x v="0"/>
    <n v="1"/>
    <x v="14"/>
    <n v="91"/>
    <s v="A+"/>
    <n v="66"/>
    <s v="B"/>
    <n v="91"/>
    <s v="A+"/>
    <n v="62"/>
    <s v="B-"/>
    <n v="82"/>
    <s v="A"/>
    <n v="69"/>
    <s v="B"/>
    <n v="62"/>
    <s v="B-"/>
    <n v="523"/>
    <n v="74.714285714285708"/>
    <x v="3"/>
    <n v="1727"/>
    <x v="1"/>
  </r>
  <r>
    <n v="1278"/>
    <s v="Rachel"/>
    <s v="Jacobs"/>
    <x v="1263"/>
    <s v="rachel.jacobs.1278@gslingacademy.com"/>
    <x v="1"/>
    <x v="1"/>
    <n v="9"/>
    <x v="1"/>
    <n v="5"/>
    <x v="7"/>
    <n v="68"/>
    <s v="B"/>
    <n v="72"/>
    <s v="B+"/>
    <n v="92"/>
    <s v="A+"/>
    <n v="51"/>
    <s v="C"/>
    <n v="96"/>
    <s v="A+"/>
    <n v="88"/>
    <s v="A"/>
    <n v="81"/>
    <s v="A"/>
    <n v="548"/>
    <n v="78.285714285714292"/>
    <x v="2"/>
    <n v="1374"/>
    <x v="2"/>
  </r>
  <r>
    <n v="1279"/>
    <s v="Danielle"/>
    <s v="Tran"/>
    <x v="1264"/>
    <s v="danielle.tran.1279@gslingacademy.com"/>
    <x v="1"/>
    <x v="1"/>
    <n v="1"/>
    <x v="1"/>
    <n v="26"/>
    <x v="9"/>
    <n v="79"/>
    <s v="A-"/>
    <n v="100"/>
    <s v="A+"/>
    <n v="79"/>
    <s v="A-"/>
    <n v="60"/>
    <s v="B-"/>
    <n v="100"/>
    <s v="A+"/>
    <n v="84"/>
    <s v="A"/>
    <n v="93"/>
    <s v="A+"/>
    <n v="595"/>
    <n v="85"/>
    <x v="0"/>
    <n v="465"/>
    <x v="1"/>
  </r>
  <r>
    <n v="1280"/>
    <s v="Autumn"/>
    <s v="Barrett"/>
    <x v="1265"/>
    <s v="autumn.barrett.1280@gslingacademy.com"/>
    <x v="1"/>
    <x v="0"/>
    <n v="2"/>
    <x v="0"/>
    <n v="24"/>
    <x v="9"/>
    <n v="77"/>
    <s v="A-"/>
    <n v="66"/>
    <s v="B"/>
    <n v="61"/>
    <s v="B-"/>
    <n v="98"/>
    <s v="A+"/>
    <n v="90"/>
    <s v="A+"/>
    <n v="95"/>
    <s v="A+"/>
    <n v="73"/>
    <s v="B+"/>
    <n v="560"/>
    <n v="80"/>
    <x v="0"/>
    <n v="1134"/>
    <x v="1"/>
  </r>
  <r>
    <n v="1281"/>
    <s v="Jennifer"/>
    <s v="Landry"/>
    <x v="1266"/>
    <s v="jennifer.landry.1281@gslingacademy.com"/>
    <x v="1"/>
    <x v="0"/>
    <n v="5"/>
    <x v="0"/>
    <n v="24"/>
    <x v="9"/>
    <n v="89"/>
    <s v="A"/>
    <n v="100"/>
    <s v="A+"/>
    <n v="90"/>
    <s v="A+"/>
    <n v="81"/>
    <s v="A"/>
    <n v="86"/>
    <s v="A"/>
    <n v="80"/>
    <s v="A"/>
    <n v="92"/>
    <s v="A+"/>
    <n v="618"/>
    <n v="88.285714285714292"/>
    <x v="0"/>
    <n v="229"/>
    <x v="0"/>
  </r>
  <r>
    <n v="1282"/>
    <s v="Sean"/>
    <s v="Rodriguez"/>
    <x v="1267"/>
    <s v="sean.rodriguez.1282@gslingacademy.com"/>
    <x v="0"/>
    <x v="1"/>
    <n v="0"/>
    <x v="1"/>
    <n v="9"/>
    <x v="16"/>
    <n v="94"/>
    <s v="A+"/>
    <n v="69"/>
    <s v="B"/>
    <n v="80"/>
    <s v="A"/>
    <n v="66"/>
    <s v="B"/>
    <n v="62"/>
    <s v="B-"/>
    <n v="61"/>
    <s v="B-"/>
    <n v="88"/>
    <s v="A"/>
    <n v="520"/>
    <n v="74.285714285714292"/>
    <x v="3"/>
    <n v="1753"/>
    <x v="1"/>
  </r>
  <r>
    <n v="1283"/>
    <s v="Ryan"/>
    <s v="Long"/>
    <x v="1268"/>
    <s v="ryan.long.1283@gslingacademy.com"/>
    <x v="0"/>
    <x v="0"/>
    <n v="2"/>
    <x v="0"/>
    <n v="3"/>
    <x v="3"/>
    <n v="80"/>
    <s v="A"/>
    <n v="85"/>
    <s v="A"/>
    <n v="85"/>
    <s v="A"/>
    <n v="60"/>
    <s v="B-"/>
    <n v="77"/>
    <s v="A-"/>
    <n v="90"/>
    <s v="A+"/>
    <n v="81"/>
    <s v="A"/>
    <n v="558"/>
    <n v="79.714285714285708"/>
    <x v="2"/>
    <n v="1178"/>
    <x v="1"/>
  </r>
  <r>
    <n v="1284"/>
    <s v="Robert"/>
    <s v="Hancock"/>
    <x v="1269"/>
    <s v="robert.hancock.1284@gslingacademy.com"/>
    <x v="0"/>
    <x v="0"/>
    <n v="2"/>
    <x v="0"/>
    <n v="1"/>
    <x v="3"/>
    <n v="79"/>
    <s v="A-"/>
    <n v="88"/>
    <s v="A"/>
    <n v="97"/>
    <s v="A+"/>
    <n v="94"/>
    <s v="A+"/>
    <n v="89"/>
    <s v="A"/>
    <n v="82"/>
    <s v="A"/>
    <n v="97"/>
    <s v="A+"/>
    <n v="626"/>
    <n v="89.428571428571431"/>
    <x v="0"/>
    <n v="179"/>
    <x v="1"/>
  </r>
  <r>
    <n v="1285"/>
    <s v="Stephanie"/>
    <s v="Rodriguez"/>
    <x v="1270"/>
    <s v="stephanie.rodriguez.1285@gslingacademy.com"/>
    <x v="1"/>
    <x v="0"/>
    <n v="2"/>
    <x v="0"/>
    <n v="15"/>
    <x v="9"/>
    <n v="92"/>
    <s v="A+"/>
    <n v="65"/>
    <s v="B"/>
    <n v="88"/>
    <s v="A"/>
    <n v="78"/>
    <s v="A-"/>
    <n v="67"/>
    <s v="B"/>
    <n v="95"/>
    <s v="A+"/>
    <n v="96"/>
    <s v="A+"/>
    <n v="581"/>
    <n v="83"/>
    <x v="0"/>
    <n v="688"/>
    <x v="1"/>
  </r>
  <r>
    <n v="1286"/>
    <s v="Kristen"/>
    <s v="Evans"/>
    <x v="1271"/>
    <s v="kristen.evans.1286@gslingacademy.com"/>
    <x v="1"/>
    <x v="0"/>
    <n v="5"/>
    <x v="0"/>
    <n v="32"/>
    <x v="9"/>
    <n v="85"/>
    <s v="A"/>
    <n v="62"/>
    <s v="B-"/>
    <n v="92"/>
    <s v="A+"/>
    <n v="89"/>
    <s v="A"/>
    <n v="92"/>
    <s v="A+"/>
    <n v="75"/>
    <s v="A-"/>
    <n v="78"/>
    <s v="A-"/>
    <n v="573"/>
    <n v="81.857142857142861"/>
    <x v="0"/>
    <n v="864"/>
    <x v="0"/>
  </r>
  <r>
    <n v="1287"/>
    <s v="Jaime"/>
    <s v="White"/>
    <x v="1272"/>
    <s v="jaime.white.1287@gslingacademy.com"/>
    <x v="1"/>
    <x v="0"/>
    <n v="3"/>
    <x v="0"/>
    <n v="26"/>
    <x v="11"/>
    <n v="75"/>
    <s v="A-"/>
    <n v="83"/>
    <s v="A"/>
    <n v="66"/>
    <s v="B"/>
    <n v="70"/>
    <s v="B+"/>
    <n v="57"/>
    <s v="C"/>
    <n v="77"/>
    <s v="A-"/>
    <n v="96"/>
    <s v="A+"/>
    <n v="524"/>
    <n v="74.857142857142861"/>
    <x v="3"/>
    <n v="1715"/>
    <x v="0"/>
  </r>
  <r>
    <n v="1288"/>
    <s v="Marcus"/>
    <s v="Howard"/>
    <x v="1273"/>
    <s v="marcus.howard.1288@gslingacademy.com"/>
    <x v="0"/>
    <x v="0"/>
    <n v="5"/>
    <x v="1"/>
    <n v="32"/>
    <x v="5"/>
    <n v="88"/>
    <s v="A"/>
    <n v="65"/>
    <s v="B"/>
    <n v="75"/>
    <s v="A-"/>
    <n v="73"/>
    <s v="B+"/>
    <n v="66"/>
    <s v="B"/>
    <n v="98"/>
    <s v="A+"/>
    <n v="81"/>
    <s v="A"/>
    <n v="546"/>
    <n v="78"/>
    <x v="2"/>
    <n v="1411"/>
    <x v="0"/>
  </r>
  <r>
    <n v="1289"/>
    <s v="Lucas"/>
    <s v="Jenkins"/>
    <x v="1274"/>
    <s v="lucas.jenkins.1289@gslingacademy.com"/>
    <x v="0"/>
    <x v="0"/>
    <n v="0"/>
    <x v="0"/>
    <n v="35"/>
    <x v="9"/>
    <n v="93"/>
    <s v="A+"/>
    <n v="89"/>
    <s v="A"/>
    <n v="88"/>
    <s v="A"/>
    <n v="86"/>
    <s v="A"/>
    <n v="85"/>
    <s v="A"/>
    <n v="89"/>
    <s v="A"/>
    <n v="95"/>
    <s v="A+"/>
    <n v="625"/>
    <n v="89.285714285714292"/>
    <x v="0"/>
    <n v="187"/>
    <x v="1"/>
  </r>
  <r>
    <n v="1290"/>
    <s v="Aaron"/>
    <s v="Ortiz"/>
    <x v="1275"/>
    <s v="aaron.ortiz.1290@gslingacademy.com"/>
    <x v="0"/>
    <x v="0"/>
    <n v="3"/>
    <x v="0"/>
    <n v="2"/>
    <x v="14"/>
    <n v="86"/>
    <s v="A"/>
    <n v="93"/>
    <s v="A+"/>
    <n v="91"/>
    <s v="A+"/>
    <n v="64"/>
    <s v="B-"/>
    <n v="69"/>
    <s v="B"/>
    <n v="71"/>
    <s v="B+"/>
    <n v="64"/>
    <s v="B-"/>
    <n v="538"/>
    <n v="76.857142857142861"/>
    <x v="2"/>
    <n v="1537"/>
    <x v="0"/>
  </r>
  <r>
    <n v="1291"/>
    <s v="Todd"/>
    <s v="Stephens"/>
    <x v="1276"/>
    <s v="todd.stephens.1291@gslingacademy.com"/>
    <x v="0"/>
    <x v="0"/>
    <n v="1"/>
    <x v="0"/>
    <n v="13"/>
    <x v="2"/>
    <n v="62"/>
    <s v="B-"/>
    <n v="91"/>
    <s v="A+"/>
    <n v="92"/>
    <s v="A+"/>
    <n v="61"/>
    <s v="B-"/>
    <n v="85"/>
    <s v="A"/>
    <n v="98"/>
    <s v="A+"/>
    <n v="72"/>
    <s v="B+"/>
    <n v="561"/>
    <n v="80.142857142857139"/>
    <x v="0"/>
    <n v="1120"/>
    <x v="1"/>
  </r>
  <r>
    <n v="1292"/>
    <s v="Denise"/>
    <s v="Blackburn"/>
    <x v="1277"/>
    <s v="denise.blackburn.1292@gslingacademy.com"/>
    <x v="1"/>
    <x v="1"/>
    <n v="2"/>
    <x v="1"/>
    <n v="20"/>
    <x v="15"/>
    <n v="82"/>
    <s v="A"/>
    <n v="74"/>
    <s v="B+"/>
    <n v="80"/>
    <s v="A"/>
    <n v="60"/>
    <s v="B-"/>
    <n v="96"/>
    <s v="A+"/>
    <n v="76"/>
    <s v="A-"/>
    <n v="99"/>
    <s v="A+"/>
    <n v="567"/>
    <n v="81"/>
    <x v="0"/>
    <n v="994"/>
    <x v="1"/>
  </r>
  <r>
    <n v="1293"/>
    <s v="Susan"/>
    <s v="Perez"/>
    <x v="457"/>
    <s v="susan.perez.1293@gslingacademy.com"/>
    <x v="1"/>
    <x v="0"/>
    <n v="5"/>
    <x v="0"/>
    <n v="5"/>
    <x v="3"/>
    <n v="83"/>
    <s v="A"/>
    <n v="94"/>
    <s v="A+"/>
    <n v="77"/>
    <s v="A-"/>
    <n v="97"/>
    <s v="A+"/>
    <n v="78"/>
    <s v="A-"/>
    <n v="60"/>
    <s v="B-"/>
    <n v="85"/>
    <s v="A"/>
    <n v="574"/>
    <n v="82"/>
    <x v="0"/>
    <n v="832"/>
    <x v="0"/>
  </r>
  <r>
    <n v="1294"/>
    <s v="Tyler"/>
    <s v="Green"/>
    <x v="1278"/>
    <s v="tyler.green.1294@gslingacademy.com"/>
    <x v="0"/>
    <x v="0"/>
    <n v="1"/>
    <x v="0"/>
    <n v="5"/>
    <x v="16"/>
    <n v="98"/>
    <s v="A+"/>
    <n v="75"/>
    <s v="A-"/>
    <n v="62"/>
    <s v="B-"/>
    <n v="64"/>
    <s v="B-"/>
    <n v="68"/>
    <s v="B"/>
    <n v="80"/>
    <s v="A"/>
    <n v="79"/>
    <s v="A-"/>
    <n v="526"/>
    <n v="75.142857142857139"/>
    <x v="2"/>
    <n v="1688"/>
    <x v="1"/>
  </r>
  <r>
    <n v="1295"/>
    <s v="Rebecca"/>
    <s v="Daniel"/>
    <x v="1279"/>
    <s v="rebecca.daniel.1295@gslingacademy.com"/>
    <x v="1"/>
    <x v="0"/>
    <n v="2"/>
    <x v="0"/>
    <n v="34"/>
    <x v="9"/>
    <n v="84"/>
    <s v="A"/>
    <n v="74"/>
    <s v="B+"/>
    <n v="90"/>
    <s v="A+"/>
    <n v="99"/>
    <s v="A+"/>
    <n v="90"/>
    <s v="A+"/>
    <n v="92"/>
    <s v="A+"/>
    <n v="72"/>
    <s v="B+"/>
    <n v="601"/>
    <n v="85.857142857142861"/>
    <x v="0"/>
    <n v="394"/>
    <x v="1"/>
  </r>
  <r>
    <n v="1296"/>
    <s v="Alexandria"/>
    <s v="Harris"/>
    <x v="1280"/>
    <s v="alexandria.harris.1296@gslingacademy.com"/>
    <x v="1"/>
    <x v="0"/>
    <n v="6"/>
    <x v="0"/>
    <n v="34"/>
    <x v="10"/>
    <n v="91"/>
    <s v="A+"/>
    <n v="75"/>
    <s v="A-"/>
    <n v="82"/>
    <s v="A"/>
    <n v="68"/>
    <s v="B"/>
    <n v="88"/>
    <s v="A"/>
    <n v="98"/>
    <s v="A+"/>
    <n v="88"/>
    <s v="A"/>
    <n v="590"/>
    <n v="84.285714285714292"/>
    <x v="0"/>
    <n v="531"/>
    <x v="0"/>
  </r>
  <r>
    <n v="1297"/>
    <s v="Danny"/>
    <s v="Taylor"/>
    <x v="1281"/>
    <s v="danny.taylor.1297@gslingacademy.com"/>
    <x v="0"/>
    <x v="0"/>
    <n v="2"/>
    <x v="0"/>
    <n v="21"/>
    <x v="13"/>
    <n v="83"/>
    <s v="A"/>
    <n v="81"/>
    <s v="A"/>
    <n v="96"/>
    <s v="A+"/>
    <n v="62"/>
    <s v="B-"/>
    <n v="66"/>
    <s v="B"/>
    <n v="90"/>
    <s v="A+"/>
    <n v="91"/>
    <s v="A+"/>
    <n v="569"/>
    <n v="81.285714285714292"/>
    <x v="0"/>
    <n v="957"/>
    <x v="1"/>
  </r>
  <r>
    <n v="1298"/>
    <s v="Amanda"/>
    <s v="Evans"/>
    <x v="1282"/>
    <s v="amanda.evans.1298@gslingacademy.com"/>
    <x v="1"/>
    <x v="0"/>
    <n v="4"/>
    <x v="0"/>
    <n v="27"/>
    <x v="11"/>
    <n v="83"/>
    <s v="A"/>
    <n v="63"/>
    <s v="B-"/>
    <n v="84"/>
    <s v="A"/>
    <n v="82"/>
    <s v="A"/>
    <n v="78"/>
    <s v="A-"/>
    <n v="60"/>
    <s v="B-"/>
    <n v="71"/>
    <s v="B+"/>
    <n v="521"/>
    <n v="74.428571428571431"/>
    <x v="3"/>
    <n v="1749"/>
    <x v="0"/>
  </r>
  <r>
    <n v="1299"/>
    <s v="Scott"/>
    <s v="Owens"/>
    <x v="1283"/>
    <s v="scott.owens.1299@gslingacademy.com"/>
    <x v="0"/>
    <x v="0"/>
    <n v="0"/>
    <x v="0"/>
    <n v="31"/>
    <x v="5"/>
    <n v="90"/>
    <s v="A+"/>
    <n v="72"/>
    <s v="B+"/>
    <n v="62"/>
    <s v="B-"/>
    <n v="84"/>
    <s v="A"/>
    <n v="74"/>
    <s v="B+"/>
    <n v="75"/>
    <s v="A-"/>
    <n v="100"/>
    <s v="A+"/>
    <n v="557"/>
    <n v="79.571428571428569"/>
    <x v="2"/>
    <n v="1200"/>
    <x v="1"/>
  </r>
  <r>
    <n v="1300"/>
    <s v="Jesus"/>
    <s v="Jones"/>
    <x v="1284"/>
    <s v="jesus.jones.1300@gslingacademy.com"/>
    <x v="0"/>
    <x v="0"/>
    <n v="4"/>
    <x v="0"/>
    <n v="31"/>
    <x v="0"/>
    <n v="81"/>
    <s v="A"/>
    <n v="92"/>
    <s v="A+"/>
    <n v="97"/>
    <s v="A+"/>
    <n v="73"/>
    <s v="B+"/>
    <n v="90"/>
    <s v="A+"/>
    <n v="90"/>
    <s v="A+"/>
    <n v="60"/>
    <s v="B-"/>
    <n v="583"/>
    <n v="83.285714285714292"/>
    <x v="0"/>
    <n v="655"/>
    <x v="0"/>
  </r>
  <r>
    <n v="1301"/>
    <s v="April"/>
    <s v="Spence"/>
    <x v="1285"/>
    <s v="april.spence.1301@gslingacademy.com"/>
    <x v="1"/>
    <x v="1"/>
    <n v="3"/>
    <x v="0"/>
    <n v="12"/>
    <x v="6"/>
    <n v="89"/>
    <s v="A"/>
    <n v="67"/>
    <s v="B"/>
    <n v="87"/>
    <s v="A"/>
    <n v="61"/>
    <s v="B-"/>
    <n v="91"/>
    <s v="A+"/>
    <n v="80"/>
    <s v="A"/>
    <n v="76"/>
    <s v="A-"/>
    <n v="551"/>
    <n v="78.714285714285708"/>
    <x v="2"/>
    <n v="1317"/>
    <x v="0"/>
  </r>
  <r>
    <n v="1302"/>
    <s v="Christopher"/>
    <s v="Lopez"/>
    <x v="1286"/>
    <s v="christopher.lopez.1302@gslingacademy.com"/>
    <x v="0"/>
    <x v="0"/>
    <n v="2"/>
    <x v="0"/>
    <n v="13"/>
    <x v="13"/>
    <n v="97"/>
    <s v="A+"/>
    <n v="65"/>
    <s v="B"/>
    <n v="96"/>
    <s v="A+"/>
    <n v="92"/>
    <s v="A+"/>
    <n v="91"/>
    <s v="A+"/>
    <n v="66"/>
    <s v="B"/>
    <n v="74"/>
    <s v="B+"/>
    <n v="581"/>
    <n v="83"/>
    <x v="0"/>
    <n v="688"/>
    <x v="1"/>
  </r>
  <r>
    <n v="1303"/>
    <s v="Mario"/>
    <s v="Hopkins"/>
    <x v="1287"/>
    <s v="mario.hopkins.1303@gslingacademy.com"/>
    <x v="0"/>
    <x v="0"/>
    <n v="3"/>
    <x v="0"/>
    <n v="28"/>
    <x v="11"/>
    <n v="97"/>
    <s v="A+"/>
    <n v="88"/>
    <s v="A"/>
    <n v="88"/>
    <s v="A"/>
    <n v="79"/>
    <s v="A-"/>
    <n v="100"/>
    <s v="A+"/>
    <n v="74"/>
    <s v="B+"/>
    <n v="83"/>
    <s v="A"/>
    <n v="609"/>
    <n v="87"/>
    <x v="0"/>
    <n v="309"/>
    <x v="0"/>
  </r>
  <r>
    <n v="1304"/>
    <s v="Cody"/>
    <s v="Burke"/>
    <x v="1288"/>
    <s v="cody.burke.1304@gslingacademy.com"/>
    <x v="0"/>
    <x v="0"/>
    <n v="5"/>
    <x v="0"/>
    <n v="27"/>
    <x v="5"/>
    <n v="100"/>
    <s v="A+"/>
    <n v="89"/>
    <s v="A"/>
    <n v="98"/>
    <s v="A+"/>
    <n v="81"/>
    <s v="A"/>
    <n v="78"/>
    <s v="A-"/>
    <n v="91"/>
    <s v="A+"/>
    <n v="87"/>
    <s v="A"/>
    <n v="624"/>
    <n v="89.142857142857139"/>
    <x v="0"/>
    <n v="194"/>
    <x v="0"/>
  </r>
  <r>
    <n v="1305"/>
    <s v="Candace"/>
    <s v="White"/>
    <x v="1289"/>
    <s v="candace.white.1305@gslingacademy.com"/>
    <x v="1"/>
    <x v="1"/>
    <n v="3"/>
    <x v="0"/>
    <n v="4"/>
    <x v="14"/>
    <n v="98"/>
    <s v="A+"/>
    <n v="63"/>
    <s v="B-"/>
    <n v="82"/>
    <s v="A"/>
    <n v="61"/>
    <s v="B-"/>
    <n v="79"/>
    <s v="A-"/>
    <n v="70"/>
    <s v="B+"/>
    <n v="86"/>
    <s v="A"/>
    <n v="539"/>
    <n v="77"/>
    <x v="2"/>
    <n v="1531"/>
    <x v="0"/>
  </r>
  <r>
    <n v="1306"/>
    <s v="Robert"/>
    <s v="Brown"/>
    <x v="1290"/>
    <s v="robert.brown.1306@gslingacademy.com"/>
    <x v="0"/>
    <x v="0"/>
    <n v="2"/>
    <x v="0"/>
    <n v="33"/>
    <x v="5"/>
    <n v="97"/>
    <s v="A+"/>
    <n v="98"/>
    <s v="A+"/>
    <n v="83"/>
    <s v="A"/>
    <n v="87"/>
    <s v="A"/>
    <n v="60"/>
    <s v="B-"/>
    <n v="78"/>
    <s v="A-"/>
    <n v="70"/>
    <s v="B+"/>
    <n v="573"/>
    <n v="81.857142857142861"/>
    <x v="0"/>
    <n v="864"/>
    <x v="1"/>
  </r>
  <r>
    <n v="1307"/>
    <s v="Erica"/>
    <s v="Woodward"/>
    <x v="1291"/>
    <s v="erica.woodward.1307@gslingacademy.com"/>
    <x v="1"/>
    <x v="0"/>
    <n v="4"/>
    <x v="0"/>
    <n v="18"/>
    <x v="11"/>
    <n v="78"/>
    <s v="A-"/>
    <n v="80"/>
    <s v="A"/>
    <n v="73"/>
    <s v="B+"/>
    <n v="91"/>
    <s v="A+"/>
    <n v="34"/>
    <s v="F"/>
    <n v="73"/>
    <s v="B+"/>
    <n v="60"/>
    <s v="B-"/>
    <n v="489"/>
    <n v="69.857142857142861"/>
    <x v="4"/>
    <n v="1914"/>
    <x v="0"/>
  </r>
  <r>
    <n v="1308"/>
    <s v="Elizabeth"/>
    <s v="Smith"/>
    <x v="629"/>
    <s v="elizabeth.smith.1308@gslingacademy.com"/>
    <x v="1"/>
    <x v="0"/>
    <n v="0"/>
    <x v="0"/>
    <n v="29"/>
    <x v="0"/>
    <n v="100"/>
    <s v="A+"/>
    <n v="92"/>
    <s v="A+"/>
    <n v="67"/>
    <s v="B"/>
    <n v="89"/>
    <s v="A"/>
    <n v="90"/>
    <s v="A+"/>
    <n v="83"/>
    <s v="A"/>
    <n v="89"/>
    <s v="A"/>
    <n v="610"/>
    <n v="87.142857142857139"/>
    <x v="0"/>
    <n v="298"/>
    <x v="1"/>
  </r>
  <r>
    <n v="1309"/>
    <s v="Jennifer"/>
    <s v="Martin"/>
    <x v="1292"/>
    <s v="jennifer.martin.1309@gslingacademy.com"/>
    <x v="1"/>
    <x v="0"/>
    <n v="1"/>
    <x v="0"/>
    <n v="13"/>
    <x v="10"/>
    <n v="92"/>
    <s v="A+"/>
    <n v="77"/>
    <s v="A-"/>
    <n v="89"/>
    <s v="A"/>
    <n v="97"/>
    <s v="A+"/>
    <n v="61"/>
    <s v="B-"/>
    <n v="93"/>
    <s v="A+"/>
    <n v="82"/>
    <s v="A"/>
    <n v="591"/>
    <n v="84.428571428571431"/>
    <x v="0"/>
    <n v="515"/>
    <x v="1"/>
  </r>
  <r>
    <n v="1310"/>
    <s v="David"/>
    <s v="Smith"/>
    <x v="1293"/>
    <s v="david.smith.1310@gslingacademy.com"/>
    <x v="0"/>
    <x v="0"/>
    <n v="4"/>
    <x v="0"/>
    <n v="5"/>
    <x v="14"/>
    <n v="81"/>
    <s v="A"/>
    <n v="95"/>
    <s v="A+"/>
    <n v="84"/>
    <s v="A"/>
    <n v="85"/>
    <s v="A"/>
    <n v="82"/>
    <s v="A"/>
    <n v="62"/>
    <s v="B-"/>
    <n v="63"/>
    <s v="B-"/>
    <n v="552"/>
    <n v="78.857142857142861"/>
    <x v="2"/>
    <n v="1306"/>
    <x v="0"/>
  </r>
  <r>
    <n v="1311"/>
    <s v="Lori"/>
    <s v="Johnson"/>
    <x v="1294"/>
    <s v="lori.johnson.1311@gslingacademy.com"/>
    <x v="1"/>
    <x v="0"/>
    <n v="6"/>
    <x v="0"/>
    <n v="15"/>
    <x v="5"/>
    <n v="98"/>
    <s v="A+"/>
    <n v="67"/>
    <s v="B"/>
    <n v="74"/>
    <s v="B+"/>
    <n v="94"/>
    <s v="A+"/>
    <n v="94"/>
    <s v="A+"/>
    <n v="96"/>
    <s v="A+"/>
    <n v="85"/>
    <s v="A"/>
    <n v="608"/>
    <n v="86.857142857142861"/>
    <x v="0"/>
    <n v="318"/>
    <x v="0"/>
  </r>
  <r>
    <n v="1312"/>
    <s v="Martin"/>
    <s v="Garcia"/>
    <x v="1295"/>
    <s v="martin.garcia.1312@gslingacademy.com"/>
    <x v="0"/>
    <x v="0"/>
    <n v="2"/>
    <x v="0"/>
    <n v="2"/>
    <x v="4"/>
    <n v="62"/>
    <s v="B-"/>
    <n v="74"/>
    <s v="B+"/>
    <n v="98"/>
    <s v="A+"/>
    <n v="97"/>
    <s v="A+"/>
    <n v="72"/>
    <s v="B+"/>
    <n v="72"/>
    <s v="B+"/>
    <n v="95"/>
    <s v="A+"/>
    <n v="570"/>
    <n v="81.428571428571431"/>
    <x v="0"/>
    <n v="937"/>
    <x v="1"/>
  </r>
  <r>
    <n v="1313"/>
    <s v="Stacy"/>
    <s v="Collins"/>
    <x v="1296"/>
    <s v="stacy.collins.1313@gslingacademy.com"/>
    <x v="1"/>
    <x v="0"/>
    <n v="3"/>
    <x v="0"/>
    <n v="27"/>
    <x v="11"/>
    <n v="95"/>
    <s v="A+"/>
    <n v="88"/>
    <s v="A"/>
    <n v="85"/>
    <s v="A"/>
    <n v="86"/>
    <s v="A"/>
    <n v="76"/>
    <s v="A-"/>
    <n v="78"/>
    <s v="A-"/>
    <n v="81"/>
    <s v="A"/>
    <n v="589"/>
    <n v="84.142857142857139"/>
    <x v="0"/>
    <n v="548"/>
    <x v="0"/>
  </r>
  <r>
    <n v="1314"/>
    <s v="Timothy"/>
    <s v="Bailey"/>
    <x v="1297"/>
    <s v="timothy.bailey.1314@gslingacademy.com"/>
    <x v="0"/>
    <x v="0"/>
    <n v="1"/>
    <x v="0"/>
    <n v="22"/>
    <x v="9"/>
    <n v="87"/>
    <s v="A"/>
    <n v="90"/>
    <s v="A+"/>
    <n v="80"/>
    <s v="A"/>
    <n v="88"/>
    <s v="A"/>
    <n v="71"/>
    <s v="B+"/>
    <n v="95"/>
    <s v="A+"/>
    <n v="81"/>
    <s v="A"/>
    <n v="592"/>
    <n v="84.571428571428569"/>
    <x v="0"/>
    <n v="505"/>
    <x v="1"/>
  </r>
  <r>
    <n v="1315"/>
    <s v="Susan"/>
    <s v="Gonzalez"/>
    <x v="1298"/>
    <s v="susan.gonzalez.1315@gslingacademy.com"/>
    <x v="1"/>
    <x v="0"/>
    <n v="5"/>
    <x v="1"/>
    <n v="24"/>
    <x v="11"/>
    <n v="85"/>
    <s v="A"/>
    <n v="85"/>
    <s v="A"/>
    <n v="67"/>
    <s v="B"/>
    <n v="91"/>
    <s v="A+"/>
    <n v="75"/>
    <s v="A-"/>
    <n v="93"/>
    <s v="A+"/>
    <n v="81"/>
    <s v="A"/>
    <n v="577"/>
    <n v="82.428571428571431"/>
    <x v="0"/>
    <n v="769"/>
    <x v="0"/>
  </r>
  <r>
    <n v="1316"/>
    <s v="Nicole"/>
    <s v="Harris"/>
    <x v="1299"/>
    <s v="nicole.harris.1316@gslingacademy.com"/>
    <x v="1"/>
    <x v="0"/>
    <n v="6"/>
    <x v="0"/>
    <n v="27"/>
    <x v="9"/>
    <n v="96"/>
    <s v="A+"/>
    <n v="72"/>
    <s v="B+"/>
    <n v="66"/>
    <s v="B"/>
    <n v="80"/>
    <s v="A"/>
    <n v="72"/>
    <s v="B+"/>
    <n v="83"/>
    <s v="A"/>
    <n v="98"/>
    <s v="A+"/>
    <n v="567"/>
    <n v="81"/>
    <x v="0"/>
    <n v="994"/>
    <x v="0"/>
  </r>
  <r>
    <n v="1317"/>
    <s v="Courtney"/>
    <s v="Moran"/>
    <x v="1300"/>
    <s v="courtney.moran.1317@gslingacademy.com"/>
    <x v="1"/>
    <x v="0"/>
    <n v="2"/>
    <x v="0"/>
    <n v="25"/>
    <x v="11"/>
    <n v="83"/>
    <s v="A"/>
    <n v="63"/>
    <s v="B-"/>
    <n v="66"/>
    <s v="B"/>
    <n v="67"/>
    <s v="B"/>
    <n v="60"/>
    <s v="B-"/>
    <n v="60"/>
    <s v="B-"/>
    <n v="61"/>
    <s v="B-"/>
    <n v="460"/>
    <n v="65.714285714285708"/>
    <x v="4"/>
    <n v="1979"/>
    <x v="1"/>
  </r>
  <r>
    <n v="1318"/>
    <s v="Gregory"/>
    <s v="Barton"/>
    <x v="1301"/>
    <s v="gregory.barton.1318@gslingacademy.com"/>
    <x v="0"/>
    <x v="0"/>
    <n v="3"/>
    <x v="0"/>
    <n v="17"/>
    <x v="13"/>
    <n v="89"/>
    <s v="A"/>
    <n v="92"/>
    <s v="A+"/>
    <n v="88"/>
    <s v="A"/>
    <n v="99"/>
    <s v="A+"/>
    <n v="92"/>
    <s v="A+"/>
    <n v="62"/>
    <s v="B-"/>
    <n v="71"/>
    <s v="B+"/>
    <n v="593"/>
    <n v="84.714285714285708"/>
    <x v="0"/>
    <n v="494"/>
    <x v="0"/>
  </r>
  <r>
    <n v="1319"/>
    <s v="Dakota"/>
    <s v="Clark"/>
    <x v="1302"/>
    <s v="dakota.clark.1319@gslingacademy.com"/>
    <x v="0"/>
    <x v="0"/>
    <n v="1"/>
    <x v="0"/>
    <n v="14"/>
    <x v="13"/>
    <n v="90"/>
    <s v="A+"/>
    <n v="73"/>
    <s v="B+"/>
    <n v="98"/>
    <s v="A+"/>
    <n v="72"/>
    <s v="B+"/>
    <n v="69"/>
    <s v="B"/>
    <n v="84"/>
    <s v="A"/>
    <n v="86"/>
    <s v="A"/>
    <n v="572"/>
    <n v="81.714285714285708"/>
    <x v="0"/>
    <n v="890"/>
    <x v="1"/>
  </r>
  <r>
    <n v="1320"/>
    <s v="Robin"/>
    <s v="Leonard"/>
    <x v="1303"/>
    <s v="robin.leonard.1320@gslingacademy.com"/>
    <x v="1"/>
    <x v="0"/>
    <n v="5"/>
    <x v="0"/>
    <n v="14"/>
    <x v="9"/>
    <n v="99"/>
    <s v="A+"/>
    <n v="72"/>
    <s v="B+"/>
    <n v="74"/>
    <s v="B+"/>
    <n v="88"/>
    <s v="A"/>
    <n v="90"/>
    <s v="A+"/>
    <n v="81"/>
    <s v="A"/>
    <n v="95"/>
    <s v="A+"/>
    <n v="599"/>
    <n v="85.571428571428569"/>
    <x v="0"/>
    <n v="426"/>
    <x v="0"/>
  </r>
  <r>
    <n v="1321"/>
    <s v="Edward"/>
    <s v="Smith"/>
    <x v="1304"/>
    <s v="edward.smith.1321@gslingacademy.com"/>
    <x v="0"/>
    <x v="0"/>
    <n v="1"/>
    <x v="0"/>
    <n v="3"/>
    <x v="2"/>
    <n v="62"/>
    <s v="B-"/>
    <n v="67"/>
    <s v="B"/>
    <n v="96"/>
    <s v="A+"/>
    <n v="67"/>
    <s v="B"/>
    <n v="82"/>
    <s v="A"/>
    <n v="65"/>
    <s v="B"/>
    <n v="73"/>
    <s v="B+"/>
    <n v="512"/>
    <n v="73.142857142857139"/>
    <x v="3"/>
    <n v="1815"/>
    <x v="1"/>
  </r>
  <r>
    <n v="1322"/>
    <s v="Julie"/>
    <s v="Little"/>
    <x v="1305"/>
    <s v="julie.little.1322@gslingacademy.com"/>
    <x v="1"/>
    <x v="0"/>
    <n v="7"/>
    <x v="0"/>
    <n v="5"/>
    <x v="7"/>
    <n v="42"/>
    <s v="D"/>
    <n v="79"/>
    <s v="A-"/>
    <n v="79"/>
    <s v="A-"/>
    <n v="59"/>
    <s v="C"/>
    <n v="61"/>
    <s v="B-"/>
    <n v="87"/>
    <s v="A"/>
    <n v="65"/>
    <s v="B"/>
    <n v="472"/>
    <n v="67.428571428571431"/>
    <x v="4"/>
    <n v="1955"/>
    <x v="2"/>
  </r>
  <r>
    <n v="1323"/>
    <s v="Maureen"/>
    <s v="Norman"/>
    <x v="1306"/>
    <s v="maureen.norman.1323@gslingacademy.com"/>
    <x v="1"/>
    <x v="0"/>
    <n v="10"/>
    <x v="1"/>
    <n v="2"/>
    <x v="7"/>
    <n v="46"/>
    <s v="D"/>
    <n v="52"/>
    <s v="C"/>
    <n v="87"/>
    <s v="A"/>
    <n v="80"/>
    <s v="A"/>
    <n v="76"/>
    <s v="A-"/>
    <n v="73"/>
    <s v="B+"/>
    <n v="76"/>
    <s v="A-"/>
    <n v="490"/>
    <n v="70"/>
    <x v="3"/>
    <n v="1911"/>
    <x v="2"/>
  </r>
  <r>
    <n v="1324"/>
    <s v="Jeffrey"/>
    <s v="Andrews"/>
    <x v="1307"/>
    <s v="jeffrey.andrews.1324@gslingacademy.com"/>
    <x v="0"/>
    <x v="0"/>
    <n v="3"/>
    <x v="0"/>
    <n v="4"/>
    <x v="14"/>
    <n v="92"/>
    <s v="A+"/>
    <n v="63"/>
    <s v="B-"/>
    <n v="100"/>
    <s v="A+"/>
    <n v="97"/>
    <s v="A+"/>
    <n v="91"/>
    <s v="A+"/>
    <n v="87"/>
    <s v="A"/>
    <n v="68"/>
    <s v="B"/>
    <n v="598"/>
    <n v="85.428571428571431"/>
    <x v="0"/>
    <n v="436"/>
    <x v="0"/>
  </r>
  <r>
    <n v="1325"/>
    <s v="Christina"/>
    <s v="Martinez"/>
    <x v="1308"/>
    <s v="christina.martinez.1325@gslingacademy.com"/>
    <x v="1"/>
    <x v="0"/>
    <n v="10"/>
    <x v="0"/>
    <n v="33"/>
    <x v="0"/>
    <n v="94"/>
    <s v="A+"/>
    <n v="89"/>
    <s v="A"/>
    <n v="96"/>
    <s v="A+"/>
    <n v="98"/>
    <s v="A+"/>
    <n v="61"/>
    <s v="B-"/>
    <n v="95"/>
    <s v="A+"/>
    <n v="67"/>
    <s v="B"/>
    <n v="600"/>
    <n v="85.714285714285708"/>
    <x v="0"/>
    <n v="406"/>
    <x v="2"/>
  </r>
  <r>
    <n v="1326"/>
    <s v="Samuel"/>
    <s v="Becker"/>
    <x v="1309"/>
    <s v="samuel.becker.1326@gslingacademy.com"/>
    <x v="0"/>
    <x v="0"/>
    <n v="2"/>
    <x v="0"/>
    <n v="31"/>
    <x v="9"/>
    <n v="89"/>
    <s v="A"/>
    <n v="99"/>
    <s v="A+"/>
    <n v="89"/>
    <s v="A"/>
    <n v="71"/>
    <s v="B+"/>
    <n v="74"/>
    <s v="B+"/>
    <n v="94"/>
    <s v="A+"/>
    <n v="78"/>
    <s v="A-"/>
    <n v="594"/>
    <n v="84.857142857142861"/>
    <x v="0"/>
    <n v="479"/>
    <x v="1"/>
  </r>
  <r>
    <n v="1327"/>
    <s v="Carlos"/>
    <s v="Flynn"/>
    <x v="1310"/>
    <s v="carlos.flynn.1327@gslingacademy.com"/>
    <x v="0"/>
    <x v="0"/>
    <n v="1"/>
    <x v="0"/>
    <n v="16"/>
    <x v="13"/>
    <n v="90"/>
    <s v="A+"/>
    <n v="100"/>
    <s v="A+"/>
    <n v="98"/>
    <s v="A+"/>
    <n v="95"/>
    <s v="A+"/>
    <n v="97"/>
    <s v="A+"/>
    <n v="74"/>
    <s v="B+"/>
    <n v="63"/>
    <s v="B-"/>
    <n v="617"/>
    <n v="88.142857142857139"/>
    <x v="0"/>
    <n v="235"/>
    <x v="1"/>
  </r>
  <r>
    <n v="1328"/>
    <s v="Roberto"/>
    <s v="Martin"/>
    <x v="1311"/>
    <s v="roberto.martin.1328@gslingacademy.com"/>
    <x v="0"/>
    <x v="0"/>
    <n v="5"/>
    <x v="0"/>
    <n v="15"/>
    <x v="4"/>
    <n v="69"/>
    <s v="B"/>
    <n v="81"/>
    <s v="A"/>
    <n v="83"/>
    <s v="A"/>
    <n v="68"/>
    <s v="B"/>
    <n v="76"/>
    <s v="A-"/>
    <n v="90"/>
    <s v="A+"/>
    <n v="95"/>
    <s v="A+"/>
    <n v="562"/>
    <n v="80.285714285714292"/>
    <x v="0"/>
    <n v="1099"/>
    <x v="0"/>
  </r>
  <r>
    <n v="1329"/>
    <s v="Jennifer"/>
    <s v="Johnson"/>
    <x v="1312"/>
    <s v="jennifer.johnson.1329@gslingacademy.com"/>
    <x v="1"/>
    <x v="0"/>
    <n v="7"/>
    <x v="1"/>
    <n v="5"/>
    <x v="7"/>
    <n v="40"/>
    <s v="D"/>
    <n v="51"/>
    <s v="C"/>
    <n v="67"/>
    <s v="B"/>
    <n v="63"/>
    <s v="B-"/>
    <n v="98"/>
    <s v="A+"/>
    <n v="54"/>
    <s v="C"/>
    <n v="79"/>
    <s v="A-"/>
    <n v="452"/>
    <n v="64.571428571428569"/>
    <x v="5"/>
    <n v="1991"/>
    <x v="2"/>
  </r>
  <r>
    <n v="1330"/>
    <s v="Anthony"/>
    <s v="Shah"/>
    <x v="1313"/>
    <s v="anthony.shah.1330@gslingacademy.com"/>
    <x v="0"/>
    <x v="1"/>
    <n v="10"/>
    <x v="0"/>
    <n v="3"/>
    <x v="7"/>
    <n v="42"/>
    <s v="D"/>
    <n v="92"/>
    <s v="A+"/>
    <n v="60"/>
    <s v="B-"/>
    <n v="54"/>
    <s v="C"/>
    <n v="68"/>
    <s v="B"/>
    <n v="69"/>
    <s v="B"/>
    <n v="76"/>
    <s v="A-"/>
    <n v="461"/>
    <n v="65.857142857142861"/>
    <x v="4"/>
    <n v="1978"/>
    <x v="2"/>
  </r>
  <r>
    <n v="1331"/>
    <s v="Aimee"/>
    <s v="Cook"/>
    <x v="1314"/>
    <s v="aimee.cook.1331@gslingacademy.com"/>
    <x v="1"/>
    <x v="0"/>
    <n v="8"/>
    <x v="0"/>
    <n v="4"/>
    <x v="7"/>
    <n v="82"/>
    <s v="A"/>
    <n v="91"/>
    <s v="A+"/>
    <n v="69"/>
    <s v="B"/>
    <n v="61"/>
    <s v="B-"/>
    <n v="79"/>
    <s v="A-"/>
    <n v="76"/>
    <s v="A-"/>
    <n v="83"/>
    <s v="A"/>
    <n v="541"/>
    <n v="77.285714285714292"/>
    <x v="2"/>
    <n v="1493"/>
    <x v="2"/>
  </r>
  <r>
    <n v="1332"/>
    <s v="Angela"/>
    <s v="Collins"/>
    <x v="1315"/>
    <s v="angela.collins.1332@gslingacademy.com"/>
    <x v="1"/>
    <x v="0"/>
    <n v="1"/>
    <x v="1"/>
    <n v="29"/>
    <x v="11"/>
    <n v="82"/>
    <s v="A"/>
    <n v="93"/>
    <s v="A+"/>
    <n v="67"/>
    <s v="B"/>
    <n v="79"/>
    <s v="A-"/>
    <n v="84"/>
    <s v="A"/>
    <n v="90"/>
    <s v="A+"/>
    <n v="64"/>
    <s v="B-"/>
    <n v="559"/>
    <n v="79.857142857142861"/>
    <x v="2"/>
    <n v="1155"/>
    <x v="1"/>
  </r>
  <r>
    <n v="1333"/>
    <s v="John"/>
    <s v="Jensen"/>
    <x v="1316"/>
    <s v="john.jensen.1333@gslingacademy.com"/>
    <x v="0"/>
    <x v="0"/>
    <n v="7"/>
    <x v="1"/>
    <n v="18"/>
    <x v="4"/>
    <n v="76"/>
    <s v="A-"/>
    <n v="80"/>
    <s v="A"/>
    <n v="93"/>
    <s v="A+"/>
    <n v="74"/>
    <s v="B+"/>
    <n v="73"/>
    <s v="B+"/>
    <n v="63"/>
    <s v="B-"/>
    <n v="81"/>
    <s v="A"/>
    <n v="540"/>
    <n v="77.142857142857139"/>
    <x v="2"/>
    <n v="1513"/>
    <x v="2"/>
  </r>
  <r>
    <n v="1334"/>
    <s v="Julie"/>
    <s v="Gomez"/>
    <x v="1317"/>
    <s v="julie.gomez.1334@gslingacademy.com"/>
    <x v="1"/>
    <x v="0"/>
    <n v="2"/>
    <x v="0"/>
    <n v="16"/>
    <x v="6"/>
    <n v="80"/>
    <s v="A"/>
    <n v="62"/>
    <s v="B-"/>
    <n v="66"/>
    <s v="B"/>
    <n v="88"/>
    <s v="A"/>
    <n v="75"/>
    <s v="A-"/>
    <n v="98"/>
    <s v="A+"/>
    <n v="68"/>
    <s v="B"/>
    <n v="537"/>
    <n v="76.714285714285708"/>
    <x v="2"/>
    <n v="1553"/>
    <x v="1"/>
  </r>
  <r>
    <n v="1335"/>
    <s v="Bryan"/>
    <s v="Mitchell"/>
    <x v="1318"/>
    <s v="bryan.mitchell.1335@gslingacademy.com"/>
    <x v="0"/>
    <x v="0"/>
    <n v="0"/>
    <x v="0"/>
    <n v="23"/>
    <x v="5"/>
    <n v="87"/>
    <s v="A"/>
    <n v="90"/>
    <s v="A+"/>
    <n v="92"/>
    <s v="A+"/>
    <n v="62"/>
    <s v="B-"/>
    <n v="96"/>
    <s v="A+"/>
    <n v="77"/>
    <s v="A-"/>
    <n v="80"/>
    <s v="A"/>
    <n v="584"/>
    <n v="83.428571428571431"/>
    <x v="0"/>
    <n v="635"/>
    <x v="1"/>
  </r>
  <r>
    <n v="1336"/>
    <s v="Katie"/>
    <s v="Clark"/>
    <x v="1319"/>
    <s v="katie.clark.1336@gslingacademy.com"/>
    <x v="1"/>
    <x v="1"/>
    <n v="3"/>
    <x v="0"/>
    <n v="28"/>
    <x v="5"/>
    <n v="91"/>
    <s v="A+"/>
    <n v="98"/>
    <s v="A+"/>
    <n v="60"/>
    <s v="B-"/>
    <n v="88"/>
    <s v="A"/>
    <n v="63"/>
    <s v="B-"/>
    <n v="78"/>
    <s v="A-"/>
    <n v="95"/>
    <s v="A+"/>
    <n v="573"/>
    <n v="81.857142857142861"/>
    <x v="0"/>
    <n v="864"/>
    <x v="0"/>
  </r>
  <r>
    <n v="1337"/>
    <s v="Kathleen"/>
    <s v="Simpson"/>
    <x v="1320"/>
    <s v="kathleen.simpson.1337@gslingacademy.com"/>
    <x v="1"/>
    <x v="0"/>
    <n v="7"/>
    <x v="0"/>
    <n v="31"/>
    <x v="0"/>
    <n v="100"/>
    <s v="A+"/>
    <n v="94"/>
    <s v="A+"/>
    <n v="94"/>
    <s v="A+"/>
    <n v="87"/>
    <s v="A"/>
    <n v="65"/>
    <s v="B"/>
    <n v="83"/>
    <s v="A"/>
    <n v="95"/>
    <s v="A+"/>
    <n v="618"/>
    <n v="88.285714285714292"/>
    <x v="0"/>
    <n v="229"/>
    <x v="2"/>
  </r>
  <r>
    <n v="1338"/>
    <s v="Carolyn"/>
    <s v="Reyes"/>
    <x v="1321"/>
    <s v="carolyn.reyes.1338@gslingacademy.com"/>
    <x v="1"/>
    <x v="0"/>
    <n v="9"/>
    <x v="0"/>
    <n v="5"/>
    <x v="7"/>
    <n v="56"/>
    <s v="C"/>
    <n v="60"/>
    <s v="B-"/>
    <n v="88"/>
    <s v="A"/>
    <n v="96"/>
    <s v="A+"/>
    <n v="57"/>
    <s v="C"/>
    <n v="68"/>
    <s v="B"/>
    <n v="76"/>
    <s v="A-"/>
    <n v="501"/>
    <n v="71.571428571428569"/>
    <x v="3"/>
    <n v="1872"/>
    <x v="2"/>
  </r>
  <r>
    <n v="1339"/>
    <s v="Derrick"/>
    <s v="Ortiz"/>
    <x v="1322"/>
    <s v="derrick.ortiz.1339@gslingacademy.com"/>
    <x v="0"/>
    <x v="0"/>
    <n v="2"/>
    <x v="0"/>
    <n v="6"/>
    <x v="15"/>
    <n v="84"/>
    <s v="A"/>
    <n v="86"/>
    <s v="A"/>
    <n v="96"/>
    <s v="A+"/>
    <n v="95"/>
    <s v="A+"/>
    <n v="75"/>
    <s v="A-"/>
    <n v="61"/>
    <s v="B-"/>
    <n v="99"/>
    <s v="A+"/>
    <n v="596"/>
    <n v="85.142857142857139"/>
    <x v="0"/>
    <n v="458"/>
    <x v="1"/>
  </r>
  <r>
    <n v="1340"/>
    <s v="Calvin"/>
    <s v="Huynh"/>
    <x v="1323"/>
    <s v="calvin.huynh.1340@gslingacademy.com"/>
    <x v="0"/>
    <x v="0"/>
    <n v="1"/>
    <x v="0"/>
    <n v="33"/>
    <x v="0"/>
    <n v="86"/>
    <s v="A"/>
    <n v="86"/>
    <s v="A"/>
    <n v="64"/>
    <s v="B-"/>
    <n v="61"/>
    <s v="B-"/>
    <n v="97"/>
    <s v="A+"/>
    <n v="97"/>
    <s v="A+"/>
    <n v="91"/>
    <s v="A+"/>
    <n v="582"/>
    <n v="83.142857142857139"/>
    <x v="0"/>
    <n v="670"/>
    <x v="1"/>
  </r>
  <r>
    <n v="1341"/>
    <s v="Margaret"/>
    <s v="Wells"/>
    <x v="1324"/>
    <s v="margaret.wells.1341@gslingacademy.com"/>
    <x v="1"/>
    <x v="0"/>
    <n v="7"/>
    <x v="0"/>
    <n v="0"/>
    <x v="7"/>
    <n v="79"/>
    <s v="A-"/>
    <n v="67"/>
    <s v="B"/>
    <n v="72"/>
    <s v="B+"/>
    <n v="50"/>
    <s v="C"/>
    <n v="75"/>
    <s v="A-"/>
    <n v="95"/>
    <s v="A+"/>
    <n v="62"/>
    <s v="B-"/>
    <n v="500"/>
    <n v="71.428571428571431"/>
    <x v="3"/>
    <n v="1875"/>
    <x v="2"/>
  </r>
  <r>
    <n v="1342"/>
    <s v="Heather"/>
    <s v="Fitzpatrick"/>
    <x v="1325"/>
    <s v="heather.fitzpatrick.1342@gslingacademy.com"/>
    <x v="1"/>
    <x v="0"/>
    <n v="6"/>
    <x v="1"/>
    <n v="19"/>
    <x v="5"/>
    <n v="99"/>
    <s v="A+"/>
    <n v="78"/>
    <s v="A-"/>
    <n v="61"/>
    <s v="B-"/>
    <n v="64"/>
    <s v="B-"/>
    <n v="75"/>
    <s v="A-"/>
    <n v="66"/>
    <s v="B"/>
    <n v="76"/>
    <s v="A-"/>
    <n v="519"/>
    <n v="74.142857142857139"/>
    <x v="3"/>
    <n v="1766"/>
    <x v="0"/>
  </r>
  <r>
    <n v="1343"/>
    <s v="Kimberly"/>
    <s v="Wood"/>
    <x v="1326"/>
    <s v="kimberly.wood.1343@gslingacademy.com"/>
    <x v="1"/>
    <x v="0"/>
    <n v="2"/>
    <x v="0"/>
    <n v="26"/>
    <x v="11"/>
    <n v="95"/>
    <s v="A+"/>
    <n v="79"/>
    <s v="A-"/>
    <n v="95"/>
    <s v="A+"/>
    <n v="62"/>
    <s v="B-"/>
    <n v="69"/>
    <s v="B"/>
    <n v="82"/>
    <s v="A"/>
    <n v="94"/>
    <s v="A+"/>
    <n v="576"/>
    <n v="82.285714285714292"/>
    <x v="0"/>
    <n v="789"/>
    <x v="1"/>
  </r>
  <r>
    <n v="1344"/>
    <s v="Gina"/>
    <s v="Kennedy"/>
    <x v="1327"/>
    <s v="gina.kennedy.1344@gslingacademy.com"/>
    <x v="1"/>
    <x v="0"/>
    <n v="1"/>
    <x v="0"/>
    <n v="3"/>
    <x v="3"/>
    <n v="65"/>
    <s v="B"/>
    <n v="67"/>
    <s v="B"/>
    <n v="90"/>
    <s v="A+"/>
    <n v="99"/>
    <s v="A+"/>
    <n v="93"/>
    <s v="A+"/>
    <n v="91"/>
    <s v="A+"/>
    <n v="99"/>
    <s v="A+"/>
    <n v="604"/>
    <n v="86.285714285714292"/>
    <x v="0"/>
    <n v="353"/>
    <x v="1"/>
  </r>
  <r>
    <n v="1345"/>
    <s v="Jeremy"/>
    <s v="Ward"/>
    <x v="1328"/>
    <s v="jeremy.ward.1345@gslingacademy.com"/>
    <x v="0"/>
    <x v="0"/>
    <n v="2"/>
    <x v="0"/>
    <n v="10"/>
    <x v="4"/>
    <n v="85"/>
    <s v="A"/>
    <n v="90"/>
    <s v="A+"/>
    <n v="61"/>
    <s v="B-"/>
    <n v="94"/>
    <s v="A+"/>
    <n v="86"/>
    <s v="A"/>
    <n v="79"/>
    <s v="A-"/>
    <n v="90"/>
    <s v="A+"/>
    <n v="585"/>
    <n v="83.571428571428569"/>
    <x v="0"/>
    <n v="615"/>
    <x v="1"/>
  </r>
  <r>
    <n v="1346"/>
    <s v="Patricia"/>
    <s v="Rhodes"/>
    <x v="1329"/>
    <s v="patricia.rhodes.1346@gslingacademy.com"/>
    <x v="1"/>
    <x v="0"/>
    <n v="5"/>
    <x v="0"/>
    <n v="24"/>
    <x v="1"/>
    <n v="99"/>
    <s v="A+"/>
    <n v="82"/>
    <s v="A"/>
    <n v="81"/>
    <s v="A"/>
    <n v="98"/>
    <s v="A+"/>
    <n v="86"/>
    <s v="A"/>
    <n v="85"/>
    <s v="A"/>
    <n v="85"/>
    <s v="A"/>
    <n v="616"/>
    <n v="88"/>
    <x v="0"/>
    <n v="243"/>
    <x v="0"/>
  </r>
  <r>
    <n v="1347"/>
    <s v="Connie"/>
    <s v="Colon"/>
    <x v="1330"/>
    <s v="connie.colon.1347@gslingacademy.com"/>
    <x v="1"/>
    <x v="0"/>
    <n v="5"/>
    <x v="0"/>
    <n v="1"/>
    <x v="3"/>
    <n v="88"/>
    <s v="A"/>
    <n v="62"/>
    <s v="B-"/>
    <n v="65"/>
    <s v="B"/>
    <n v="98"/>
    <s v="A+"/>
    <n v="92"/>
    <s v="A+"/>
    <n v="64"/>
    <s v="B-"/>
    <n v="82"/>
    <s v="A"/>
    <n v="551"/>
    <n v="78.714285714285708"/>
    <x v="2"/>
    <n v="1317"/>
    <x v="0"/>
  </r>
  <r>
    <n v="1348"/>
    <s v="Pamela"/>
    <s v="Moyer"/>
    <x v="1331"/>
    <s v="pamela.moyer.1348@gslingacademy.com"/>
    <x v="1"/>
    <x v="0"/>
    <n v="1"/>
    <x v="0"/>
    <n v="25"/>
    <x v="5"/>
    <n v="100"/>
    <s v="A+"/>
    <n v="87"/>
    <s v="A"/>
    <n v="88"/>
    <s v="A"/>
    <n v="100"/>
    <s v="A+"/>
    <n v="89"/>
    <s v="A"/>
    <n v="98"/>
    <s v="A+"/>
    <n v="71"/>
    <s v="B+"/>
    <n v="633"/>
    <n v="90.428571428571431"/>
    <x v="1"/>
    <n v="137"/>
    <x v="1"/>
  </r>
  <r>
    <n v="1349"/>
    <s v="Rachel"/>
    <s v="Williams"/>
    <x v="1332"/>
    <s v="rachel.williams.1349@gslingacademy.com"/>
    <x v="1"/>
    <x v="0"/>
    <n v="10"/>
    <x v="0"/>
    <n v="15"/>
    <x v="4"/>
    <n v="62"/>
    <s v="B-"/>
    <n v="63"/>
    <s v="B-"/>
    <n v="94"/>
    <s v="A+"/>
    <n v="74"/>
    <s v="B+"/>
    <n v="75"/>
    <s v="A-"/>
    <n v="86"/>
    <s v="A"/>
    <n v="100"/>
    <s v="A+"/>
    <n v="554"/>
    <n v="79.142857142857139"/>
    <x v="2"/>
    <n v="1264"/>
    <x v="2"/>
  </r>
  <r>
    <n v="1350"/>
    <s v="Sean"/>
    <s v="Malone"/>
    <x v="1333"/>
    <s v="sean.malone.1350@gslingacademy.com"/>
    <x v="0"/>
    <x v="1"/>
    <n v="10"/>
    <x v="0"/>
    <n v="3"/>
    <x v="7"/>
    <n v="84"/>
    <s v="A"/>
    <n v="75"/>
    <s v="A-"/>
    <n v="61"/>
    <s v="B-"/>
    <n v="87"/>
    <s v="A"/>
    <n v="86"/>
    <s v="A"/>
    <n v="67"/>
    <s v="B"/>
    <n v="93"/>
    <s v="A+"/>
    <n v="553"/>
    <n v="79"/>
    <x v="2"/>
    <n v="1284"/>
    <x v="2"/>
  </r>
  <r>
    <n v="1351"/>
    <s v="Natalie"/>
    <s v="Fitzgerald"/>
    <x v="1334"/>
    <s v="natalie.fitzgerald.1351@gslingacademy.com"/>
    <x v="1"/>
    <x v="0"/>
    <n v="3"/>
    <x v="1"/>
    <n v="14"/>
    <x v="6"/>
    <n v="60"/>
    <s v="B-"/>
    <n v="61"/>
    <s v="B-"/>
    <n v="71"/>
    <s v="B+"/>
    <n v="60"/>
    <s v="B-"/>
    <n v="69"/>
    <s v="B"/>
    <n v="91"/>
    <s v="A+"/>
    <n v="84"/>
    <s v="A"/>
    <n v="496"/>
    <n v="70.857142857142861"/>
    <x v="3"/>
    <n v="1892"/>
    <x v="0"/>
  </r>
  <r>
    <n v="1352"/>
    <s v="Kevin"/>
    <s v="Diaz"/>
    <x v="1335"/>
    <s v="kevin.diaz.1352@gslingacademy.com"/>
    <x v="0"/>
    <x v="0"/>
    <n v="9"/>
    <x v="0"/>
    <n v="31"/>
    <x v="15"/>
    <n v="96"/>
    <s v="A+"/>
    <n v="76"/>
    <s v="A-"/>
    <n v="74"/>
    <s v="B+"/>
    <n v="92"/>
    <s v="A+"/>
    <n v="96"/>
    <s v="A+"/>
    <n v="74"/>
    <s v="B+"/>
    <n v="99"/>
    <s v="A+"/>
    <n v="607"/>
    <n v="86.714285714285708"/>
    <x v="0"/>
    <n v="325"/>
    <x v="2"/>
  </r>
  <r>
    <n v="1353"/>
    <s v="Beth"/>
    <s v="Jones"/>
    <x v="1336"/>
    <s v="beth.jones.1353@gslingacademy.com"/>
    <x v="1"/>
    <x v="0"/>
    <n v="2"/>
    <x v="1"/>
    <n v="9"/>
    <x v="16"/>
    <n v="58"/>
    <s v="C"/>
    <n v="81"/>
    <s v="A"/>
    <n v="100"/>
    <s v="A+"/>
    <n v="97"/>
    <s v="A+"/>
    <n v="74"/>
    <s v="B+"/>
    <n v="90"/>
    <s v="A+"/>
    <n v="87"/>
    <s v="A"/>
    <n v="587"/>
    <n v="83.857142857142861"/>
    <x v="0"/>
    <n v="583"/>
    <x v="1"/>
  </r>
  <r>
    <n v="1354"/>
    <s v="Kathryn"/>
    <s v="Bates"/>
    <x v="1337"/>
    <s v="kathryn.bates.1354@gslingacademy.com"/>
    <x v="1"/>
    <x v="0"/>
    <n v="1"/>
    <x v="0"/>
    <n v="8"/>
    <x v="6"/>
    <n v="90"/>
    <s v="A+"/>
    <n v="67"/>
    <s v="B"/>
    <n v="73"/>
    <s v="B+"/>
    <n v="82"/>
    <s v="A"/>
    <n v="66"/>
    <s v="B"/>
    <n v="75"/>
    <s v="A-"/>
    <n v="90"/>
    <s v="A+"/>
    <n v="543"/>
    <n v="77.571428571428569"/>
    <x v="2"/>
    <n v="1464"/>
    <x v="1"/>
  </r>
  <r>
    <n v="1355"/>
    <s v="Aaron"/>
    <s v="Mcdaniel"/>
    <x v="1338"/>
    <s v="aaron.mcdaniel.1355@gslingacademy.com"/>
    <x v="0"/>
    <x v="0"/>
    <n v="2"/>
    <x v="0"/>
    <n v="22"/>
    <x v="11"/>
    <n v="75"/>
    <s v="A-"/>
    <n v="80"/>
    <s v="A"/>
    <n v="65"/>
    <s v="B"/>
    <n v="80"/>
    <s v="A"/>
    <n v="55"/>
    <s v="C"/>
    <n v="86"/>
    <s v="A"/>
    <n v="95"/>
    <s v="A+"/>
    <n v="536"/>
    <n v="76.571428571428569"/>
    <x v="2"/>
    <n v="1567"/>
    <x v="1"/>
  </r>
  <r>
    <n v="1356"/>
    <s v="Angela"/>
    <s v="King"/>
    <x v="1339"/>
    <s v="angela.king.1356@gslingacademy.com"/>
    <x v="1"/>
    <x v="0"/>
    <n v="3"/>
    <x v="0"/>
    <n v="11"/>
    <x v="9"/>
    <n v="76"/>
    <s v="A-"/>
    <n v="82"/>
    <s v="A"/>
    <n v="74"/>
    <s v="B+"/>
    <n v="79"/>
    <s v="A-"/>
    <n v="81"/>
    <s v="A"/>
    <n v="93"/>
    <s v="A+"/>
    <n v="72"/>
    <s v="B+"/>
    <n v="557"/>
    <n v="79.571428571428569"/>
    <x v="2"/>
    <n v="1200"/>
    <x v="0"/>
  </r>
  <r>
    <n v="1357"/>
    <s v="Lauren"/>
    <s v="Arias"/>
    <x v="1340"/>
    <s v="lauren.arias.1357@gslingacademy.com"/>
    <x v="1"/>
    <x v="1"/>
    <n v="10"/>
    <x v="0"/>
    <n v="2"/>
    <x v="7"/>
    <n v="81"/>
    <s v="A"/>
    <n v="100"/>
    <s v="A+"/>
    <n v="64"/>
    <s v="B-"/>
    <n v="61"/>
    <s v="B-"/>
    <n v="91"/>
    <s v="A+"/>
    <n v="76"/>
    <s v="A-"/>
    <n v="93"/>
    <s v="A+"/>
    <n v="566"/>
    <n v="80.857142857142861"/>
    <x v="0"/>
    <n v="1019"/>
    <x v="2"/>
  </r>
  <r>
    <n v="1358"/>
    <s v="Alyssa"/>
    <s v="Miller"/>
    <x v="1341"/>
    <s v="alyssa.miller.1358@gslingacademy.com"/>
    <x v="1"/>
    <x v="0"/>
    <n v="2"/>
    <x v="0"/>
    <n v="21"/>
    <x v="4"/>
    <n v="73"/>
    <s v="B+"/>
    <n v="98"/>
    <s v="A+"/>
    <n v="72"/>
    <s v="B+"/>
    <n v="100"/>
    <s v="A+"/>
    <n v="77"/>
    <s v="A-"/>
    <n v="62"/>
    <s v="B-"/>
    <n v="69"/>
    <s v="B"/>
    <n v="551"/>
    <n v="78.714285714285708"/>
    <x v="2"/>
    <n v="1317"/>
    <x v="1"/>
  </r>
  <r>
    <n v="1359"/>
    <s v="Lisa"/>
    <s v="Best"/>
    <x v="1342"/>
    <s v="lisa.best.1359@gslingacademy.com"/>
    <x v="1"/>
    <x v="0"/>
    <n v="1"/>
    <x v="0"/>
    <n v="28"/>
    <x v="4"/>
    <n v="60"/>
    <s v="B-"/>
    <n v="64"/>
    <s v="B-"/>
    <n v="84"/>
    <s v="A"/>
    <n v="64"/>
    <s v="B-"/>
    <n v="66"/>
    <s v="B"/>
    <n v="96"/>
    <s v="A+"/>
    <n v="99"/>
    <s v="A+"/>
    <n v="533"/>
    <n v="76.142857142857139"/>
    <x v="2"/>
    <n v="1613"/>
    <x v="1"/>
  </r>
  <r>
    <n v="1360"/>
    <s v="Nicole"/>
    <s v="Garcia"/>
    <x v="1343"/>
    <s v="nicole.garcia.1360@gslingacademy.com"/>
    <x v="1"/>
    <x v="1"/>
    <n v="9"/>
    <x v="0"/>
    <n v="4"/>
    <x v="7"/>
    <n v="89"/>
    <s v="A"/>
    <n v="100"/>
    <s v="A+"/>
    <n v="72"/>
    <s v="B+"/>
    <n v="73"/>
    <s v="B+"/>
    <n v="78"/>
    <s v="A-"/>
    <n v="67"/>
    <s v="B"/>
    <n v="91"/>
    <s v="A+"/>
    <n v="570"/>
    <n v="81.428571428571431"/>
    <x v="0"/>
    <n v="937"/>
    <x v="2"/>
  </r>
  <r>
    <n v="1361"/>
    <s v="William"/>
    <s v="Lee"/>
    <x v="1344"/>
    <s v="william.lee.1361@gslingacademy.com"/>
    <x v="0"/>
    <x v="0"/>
    <n v="4"/>
    <x v="0"/>
    <n v="35"/>
    <x v="5"/>
    <n v="91"/>
    <s v="A+"/>
    <n v="98"/>
    <s v="A+"/>
    <n v="93"/>
    <s v="A+"/>
    <n v="93"/>
    <s v="A+"/>
    <n v="88"/>
    <s v="A"/>
    <n v="96"/>
    <s v="A+"/>
    <n v="97"/>
    <s v="A+"/>
    <n v="656"/>
    <n v="93.714285714285708"/>
    <x v="1"/>
    <n v="28"/>
    <x v="0"/>
  </r>
  <r>
    <n v="1362"/>
    <s v="Christopher"/>
    <s v="Bowen"/>
    <x v="1345"/>
    <s v="christopher.bowen.1362@gslingacademy.com"/>
    <x v="0"/>
    <x v="0"/>
    <n v="6"/>
    <x v="0"/>
    <n v="27"/>
    <x v="1"/>
    <n v="85"/>
    <s v="A"/>
    <n v="72"/>
    <s v="B+"/>
    <n v="80"/>
    <s v="A"/>
    <n v="85"/>
    <s v="A"/>
    <n v="94"/>
    <s v="A+"/>
    <n v="96"/>
    <s v="A+"/>
    <n v="87"/>
    <s v="A"/>
    <n v="599"/>
    <n v="85.571428571428569"/>
    <x v="0"/>
    <n v="426"/>
    <x v="0"/>
  </r>
  <r>
    <n v="1363"/>
    <s v="David"/>
    <s v="Bradford"/>
    <x v="1346"/>
    <s v="david.bradford.1363@gslingacademy.com"/>
    <x v="0"/>
    <x v="0"/>
    <n v="0"/>
    <x v="1"/>
    <n v="14"/>
    <x v="11"/>
    <n v="81"/>
    <s v="A"/>
    <n v="84"/>
    <s v="A"/>
    <n v="69"/>
    <s v="B"/>
    <n v="99"/>
    <s v="A+"/>
    <n v="55"/>
    <s v="C"/>
    <n v="68"/>
    <s v="B"/>
    <n v="73"/>
    <s v="B+"/>
    <n v="529"/>
    <n v="75.571428571428569"/>
    <x v="2"/>
    <n v="1664"/>
    <x v="1"/>
  </r>
  <r>
    <n v="1364"/>
    <s v="Stephanie"/>
    <s v="Jordan"/>
    <x v="1347"/>
    <s v="stephanie.jordan.1364@gslingacademy.com"/>
    <x v="1"/>
    <x v="0"/>
    <n v="10"/>
    <x v="0"/>
    <n v="1"/>
    <x v="7"/>
    <n v="67"/>
    <s v="B"/>
    <n v="63"/>
    <s v="B-"/>
    <n v="65"/>
    <s v="B"/>
    <n v="95"/>
    <s v="A+"/>
    <n v="52"/>
    <s v="C"/>
    <n v="84"/>
    <s v="A"/>
    <n v="77"/>
    <s v="A-"/>
    <n v="503"/>
    <n v="71.857142857142861"/>
    <x v="3"/>
    <n v="1865"/>
    <x v="2"/>
  </r>
  <r>
    <n v="1365"/>
    <s v="Joseph"/>
    <s v="Blake"/>
    <x v="1348"/>
    <s v="joseph.blake.1365@gslingacademy.com"/>
    <x v="0"/>
    <x v="0"/>
    <n v="4"/>
    <x v="0"/>
    <n v="29"/>
    <x v="1"/>
    <n v="86"/>
    <s v="A"/>
    <n v="71"/>
    <s v="B+"/>
    <n v="86"/>
    <s v="A"/>
    <n v="93"/>
    <s v="A+"/>
    <n v="99"/>
    <s v="A+"/>
    <n v="92"/>
    <s v="A+"/>
    <n v="77"/>
    <s v="A-"/>
    <n v="604"/>
    <n v="86.285714285714292"/>
    <x v="0"/>
    <n v="353"/>
    <x v="0"/>
  </r>
  <r>
    <n v="1366"/>
    <s v="Christina"/>
    <s v="Velasquez"/>
    <x v="1349"/>
    <s v="christina.velasquez.1366@gslingacademy.com"/>
    <x v="1"/>
    <x v="0"/>
    <n v="1"/>
    <x v="0"/>
    <n v="33"/>
    <x v="0"/>
    <n v="94"/>
    <s v="A+"/>
    <n v="85"/>
    <s v="A"/>
    <n v="78"/>
    <s v="A-"/>
    <n v="66"/>
    <s v="B"/>
    <n v="95"/>
    <s v="A+"/>
    <n v="87"/>
    <s v="A"/>
    <n v="95"/>
    <s v="A+"/>
    <n v="600"/>
    <n v="85.714285714285708"/>
    <x v="0"/>
    <n v="406"/>
    <x v="1"/>
  </r>
  <r>
    <n v="1367"/>
    <s v="Thomas"/>
    <s v="Calderon"/>
    <x v="1350"/>
    <s v="thomas.calderon.1367@gslingacademy.com"/>
    <x v="0"/>
    <x v="0"/>
    <n v="1"/>
    <x v="0"/>
    <n v="18"/>
    <x v="10"/>
    <n v="83"/>
    <s v="A"/>
    <n v="96"/>
    <s v="A+"/>
    <n v="72"/>
    <s v="B+"/>
    <n v="81"/>
    <s v="A"/>
    <n v="86"/>
    <s v="A"/>
    <n v="93"/>
    <s v="A+"/>
    <n v="75"/>
    <s v="A-"/>
    <n v="586"/>
    <n v="83.714285714285708"/>
    <x v="0"/>
    <n v="601"/>
    <x v="1"/>
  </r>
  <r>
    <n v="1368"/>
    <s v="Jorge"/>
    <s v="Lee"/>
    <x v="1351"/>
    <s v="jorge.lee.1368@gslingacademy.com"/>
    <x v="0"/>
    <x v="0"/>
    <n v="2"/>
    <x v="0"/>
    <n v="11"/>
    <x v="4"/>
    <n v="98"/>
    <s v="A+"/>
    <n v="77"/>
    <s v="A-"/>
    <n v="91"/>
    <s v="A+"/>
    <n v="88"/>
    <s v="A"/>
    <n v="87"/>
    <s v="A"/>
    <n v="76"/>
    <s v="A-"/>
    <n v="68"/>
    <s v="B"/>
    <n v="585"/>
    <n v="83.571428571428569"/>
    <x v="0"/>
    <n v="615"/>
    <x v="1"/>
  </r>
  <r>
    <n v="1369"/>
    <s v="Jasmin"/>
    <s v="Phillips"/>
    <x v="1352"/>
    <s v="jasmin.phillips.1369@gslingacademy.com"/>
    <x v="1"/>
    <x v="1"/>
    <n v="5"/>
    <x v="0"/>
    <n v="3"/>
    <x v="7"/>
    <n v="46"/>
    <s v="D"/>
    <n v="63"/>
    <s v="B-"/>
    <n v="60"/>
    <s v="B-"/>
    <n v="61"/>
    <s v="B-"/>
    <n v="66"/>
    <s v="B"/>
    <n v="91"/>
    <s v="A+"/>
    <n v="97"/>
    <s v="A+"/>
    <n v="484"/>
    <n v="69.142857142857139"/>
    <x v="4"/>
    <n v="1925"/>
    <x v="0"/>
  </r>
  <r>
    <n v="1370"/>
    <s v="Vincent"/>
    <s v="Wilson"/>
    <x v="1353"/>
    <s v="vincent.wilson.1370@gslingacademy.com"/>
    <x v="0"/>
    <x v="0"/>
    <n v="2"/>
    <x v="0"/>
    <n v="19"/>
    <x v="5"/>
    <n v="95"/>
    <s v="A+"/>
    <n v="92"/>
    <s v="A+"/>
    <n v="73"/>
    <s v="B+"/>
    <n v="94"/>
    <s v="A+"/>
    <n v="73"/>
    <s v="B+"/>
    <n v="70"/>
    <s v="B+"/>
    <n v="94"/>
    <s v="A+"/>
    <n v="591"/>
    <n v="84.428571428571431"/>
    <x v="0"/>
    <n v="515"/>
    <x v="1"/>
  </r>
  <r>
    <n v="1371"/>
    <s v="Richard"/>
    <s v="Ryan"/>
    <x v="1354"/>
    <s v="richard.ryan.1371@gslingacademy.com"/>
    <x v="0"/>
    <x v="0"/>
    <n v="1"/>
    <x v="0"/>
    <n v="31"/>
    <x v="5"/>
    <n v="88"/>
    <s v="A"/>
    <n v="68"/>
    <s v="B"/>
    <n v="81"/>
    <s v="A"/>
    <n v="68"/>
    <s v="B"/>
    <n v="73"/>
    <s v="B+"/>
    <n v="61"/>
    <s v="B-"/>
    <n v="93"/>
    <s v="A+"/>
    <n v="532"/>
    <n v="76"/>
    <x v="2"/>
    <n v="1622"/>
    <x v="1"/>
  </r>
  <r>
    <n v="1372"/>
    <s v="Jesse"/>
    <s v="Garcia"/>
    <x v="1355"/>
    <s v="jesse.garcia.1372@gslingacademy.com"/>
    <x v="0"/>
    <x v="0"/>
    <n v="5"/>
    <x v="1"/>
    <n v="28"/>
    <x v="15"/>
    <n v="90"/>
    <s v="A+"/>
    <n v="73"/>
    <s v="B+"/>
    <n v="78"/>
    <s v="A-"/>
    <n v="72"/>
    <s v="B+"/>
    <n v="63"/>
    <s v="B-"/>
    <n v="88"/>
    <s v="A"/>
    <n v="72"/>
    <s v="B+"/>
    <n v="536"/>
    <n v="76.571428571428569"/>
    <x v="2"/>
    <n v="1567"/>
    <x v="0"/>
  </r>
  <r>
    <n v="1373"/>
    <s v="James"/>
    <s v="Tate"/>
    <x v="1356"/>
    <s v="james.tate.1373@gslingacademy.com"/>
    <x v="0"/>
    <x v="0"/>
    <n v="10"/>
    <x v="0"/>
    <n v="11"/>
    <x v="13"/>
    <n v="100"/>
    <s v="A+"/>
    <n v="60"/>
    <s v="B-"/>
    <n v="87"/>
    <s v="A"/>
    <n v="60"/>
    <s v="B-"/>
    <n v="86"/>
    <s v="A"/>
    <n v="93"/>
    <s v="A+"/>
    <n v="75"/>
    <s v="A-"/>
    <n v="561"/>
    <n v="80.142857142857139"/>
    <x v="0"/>
    <n v="1120"/>
    <x v="2"/>
  </r>
  <r>
    <n v="1374"/>
    <s v="Charles"/>
    <s v="May"/>
    <x v="1357"/>
    <s v="charles.may.1374@gslingacademy.com"/>
    <x v="0"/>
    <x v="0"/>
    <n v="1"/>
    <x v="0"/>
    <n v="16"/>
    <x v="12"/>
    <n v="76"/>
    <s v="A-"/>
    <n v="76"/>
    <s v="A-"/>
    <n v="92"/>
    <s v="A+"/>
    <n v="86"/>
    <s v="A"/>
    <n v="79"/>
    <s v="A-"/>
    <n v="85"/>
    <s v="A"/>
    <n v="78"/>
    <s v="A-"/>
    <n v="572"/>
    <n v="81.714285714285708"/>
    <x v="0"/>
    <n v="890"/>
    <x v="1"/>
  </r>
  <r>
    <n v="1375"/>
    <s v="Jeremiah"/>
    <s v="Lee"/>
    <x v="1358"/>
    <s v="jeremiah.lee.1375@gslingacademy.com"/>
    <x v="0"/>
    <x v="0"/>
    <n v="3"/>
    <x v="0"/>
    <n v="4"/>
    <x v="3"/>
    <n v="73"/>
    <s v="B+"/>
    <n v="73"/>
    <s v="B+"/>
    <n v="81"/>
    <s v="A"/>
    <n v="78"/>
    <s v="A-"/>
    <n v="82"/>
    <s v="A"/>
    <n v="85"/>
    <s v="A"/>
    <n v="66"/>
    <s v="B"/>
    <n v="538"/>
    <n v="76.857142857142861"/>
    <x v="2"/>
    <n v="1537"/>
    <x v="0"/>
  </r>
  <r>
    <n v="1376"/>
    <s v="Debra"/>
    <s v="Reynolds"/>
    <x v="1359"/>
    <s v="debra.reynolds.1376@gslingacademy.com"/>
    <x v="1"/>
    <x v="0"/>
    <n v="1"/>
    <x v="0"/>
    <n v="15"/>
    <x v="9"/>
    <n v="96"/>
    <s v="A+"/>
    <n v="95"/>
    <s v="A+"/>
    <n v="67"/>
    <s v="B"/>
    <n v="88"/>
    <s v="A"/>
    <n v="68"/>
    <s v="B"/>
    <n v="93"/>
    <s v="A+"/>
    <n v="75"/>
    <s v="A-"/>
    <n v="582"/>
    <n v="83.142857142857139"/>
    <x v="0"/>
    <n v="670"/>
    <x v="1"/>
  </r>
  <r>
    <n v="1377"/>
    <s v="Eric"/>
    <s v="Doyle"/>
    <x v="1360"/>
    <s v="eric.doyle.1377@gslingacademy.com"/>
    <x v="0"/>
    <x v="0"/>
    <n v="4"/>
    <x v="0"/>
    <n v="31"/>
    <x v="10"/>
    <n v="85"/>
    <s v="A"/>
    <n v="87"/>
    <s v="A"/>
    <n v="99"/>
    <s v="A+"/>
    <n v="65"/>
    <s v="B"/>
    <n v="66"/>
    <s v="B"/>
    <n v="95"/>
    <s v="A+"/>
    <n v="77"/>
    <s v="A-"/>
    <n v="574"/>
    <n v="82"/>
    <x v="0"/>
    <n v="832"/>
    <x v="0"/>
  </r>
  <r>
    <n v="1378"/>
    <s v="John"/>
    <s v="Perez"/>
    <x v="1361"/>
    <s v="john.perez.1378@gslingacademy.com"/>
    <x v="0"/>
    <x v="0"/>
    <n v="4"/>
    <x v="0"/>
    <n v="29"/>
    <x v="5"/>
    <n v="91"/>
    <s v="A+"/>
    <n v="93"/>
    <s v="A+"/>
    <n v="62"/>
    <s v="B-"/>
    <n v="63"/>
    <s v="B-"/>
    <n v="100"/>
    <s v="A+"/>
    <n v="85"/>
    <s v="A"/>
    <n v="85"/>
    <s v="A"/>
    <n v="579"/>
    <n v="82.714285714285708"/>
    <x v="0"/>
    <n v="730"/>
    <x v="0"/>
  </r>
  <r>
    <n v="1379"/>
    <s v="Hector"/>
    <s v="Garcia"/>
    <x v="1362"/>
    <s v="hector.garcia.1379@gslingacademy.com"/>
    <x v="0"/>
    <x v="0"/>
    <n v="5"/>
    <x v="0"/>
    <n v="27"/>
    <x v="4"/>
    <n v="61"/>
    <s v="B-"/>
    <n v="85"/>
    <s v="A"/>
    <n v="92"/>
    <s v="A+"/>
    <n v="62"/>
    <s v="B-"/>
    <n v="64"/>
    <s v="B-"/>
    <n v="66"/>
    <s v="B"/>
    <n v="95"/>
    <s v="A+"/>
    <n v="525"/>
    <n v="75"/>
    <x v="2"/>
    <n v="1704"/>
    <x v="0"/>
  </r>
  <r>
    <n v="1380"/>
    <s v="Andres"/>
    <s v="Rodriguez"/>
    <x v="1363"/>
    <s v="andres.rodriguez.1380@gslingacademy.com"/>
    <x v="0"/>
    <x v="0"/>
    <n v="1"/>
    <x v="0"/>
    <n v="29"/>
    <x v="12"/>
    <n v="79"/>
    <s v="A-"/>
    <n v="69"/>
    <s v="B"/>
    <n v="78"/>
    <s v="A-"/>
    <n v="78"/>
    <s v="A-"/>
    <n v="99"/>
    <s v="A+"/>
    <n v="61"/>
    <s v="B-"/>
    <n v="87"/>
    <s v="A"/>
    <n v="551"/>
    <n v="78.714285714285708"/>
    <x v="2"/>
    <n v="1317"/>
    <x v="1"/>
  </r>
  <r>
    <n v="1381"/>
    <s v="Shelley"/>
    <s v="Murphy"/>
    <x v="1364"/>
    <s v="shelley.murphy.1381@gslingacademy.com"/>
    <x v="1"/>
    <x v="0"/>
    <n v="2"/>
    <x v="0"/>
    <n v="23"/>
    <x v="5"/>
    <n v="99"/>
    <s v="A+"/>
    <n v="75"/>
    <s v="A-"/>
    <n v="79"/>
    <s v="A-"/>
    <n v="87"/>
    <s v="A"/>
    <n v="63"/>
    <s v="B-"/>
    <n v="90"/>
    <s v="A+"/>
    <n v="90"/>
    <s v="A+"/>
    <n v="583"/>
    <n v="83.285714285714292"/>
    <x v="0"/>
    <n v="655"/>
    <x v="1"/>
  </r>
  <r>
    <n v="1382"/>
    <s v="Robin"/>
    <s v="Carr"/>
    <x v="1365"/>
    <s v="robin.carr.1382@gslingacademy.com"/>
    <x v="1"/>
    <x v="0"/>
    <n v="2"/>
    <x v="0"/>
    <n v="32"/>
    <x v="8"/>
    <n v="81"/>
    <s v="A"/>
    <n v="64"/>
    <s v="B-"/>
    <n v="81"/>
    <s v="A"/>
    <n v="92"/>
    <s v="A+"/>
    <n v="87"/>
    <s v="A"/>
    <n v="84"/>
    <s v="A"/>
    <n v="95"/>
    <s v="A+"/>
    <n v="584"/>
    <n v="83.428571428571431"/>
    <x v="0"/>
    <n v="635"/>
    <x v="1"/>
  </r>
  <r>
    <n v="1383"/>
    <s v="Julie"/>
    <s v="Lambert"/>
    <x v="1366"/>
    <s v="julie.lambert.1383@gslingacademy.com"/>
    <x v="1"/>
    <x v="0"/>
    <n v="5"/>
    <x v="0"/>
    <n v="9"/>
    <x v="6"/>
    <n v="91"/>
    <s v="A+"/>
    <n v="87"/>
    <s v="A"/>
    <n v="71"/>
    <s v="B+"/>
    <n v="98"/>
    <s v="A+"/>
    <n v="93"/>
    <s v="A+"/>
    <n v="83"/>
    <s v="A"/>
    <n v="81"/>
    <s v="A"/>
    <n v="604"/>
    <n v="86.285714285714292"/>
    <x v="0"/>
    <n v="353"/>
    <x v="0"/>
  </r>
  <r>
    <n v="1384"/>
    <s v="Cynthia"/>
    <s v="Rodriguez"/>
    <x v="1367"/>
    <s v="cynthia.rodriguez.1384@gslingacademy.com"/>
    <x v="1"/>
    <x v="0"/>
    <n v="3"/>
    <x v="0"/>
    <n v="16"/>
    <x v="5"/>
    <n v="91"/>
    <s v="A+"/>
    <n v="84"/>
    <s v="A"/>
    <n v="95"/>
    <s v="A+"/>
    <n v="97"/>
    <s v="A+"/>
    <n v="88"/>
    <s v="A"/>
    <n v="70"/>
    <s v="B+"/>
    <n v="77"/>
    <s v="A-"/>
    <n v="602"/>
    <n v="86"/>
    <x v="0"/>
    <n v="380"/>
    <x v="0"/>
  </r>
  <r>
    <n v="1385"/>
    <s v="Thomas"/>
    <s v="Ball"/>
    <x v="1368"/>
    <s v="thomas.ball.1385@gslingacademy.com"/>
    <x v="0"/>
    <x v="0"/>
    <n v="2"/>
    <x v="0"/>
    <n v="29"/>
    <x v="5"/>
    <n v="100"/>
    <s v="A+"/>
    <n v="79"/>
    <s v="A-"/>
    <n v="77"/>
    <s v="A-"/>
    <n v="61"/>
    <s v="B-"/>
    <n v="79"/>
    <s v="A-"/>
    <n v="70"/>
    <s v="B+"/>
    <n v="69"/>
    <s v="B"/>
    <n v="535"/>
    <n v="76.428571428571431"/>
    <x v="2"/>
    <n v="1578"/>
    <x v="1"/>
  </r>
  <r>
    <n v="1386"/>
    <s v="Patricia"/>
    <s v="Pope"/>
    <x v="1369"/>
    <s v="patricia.pope.1386@gslingacademy.com"/>
    <x v="1"/>
    <x v="0"/>
    <n v="3"/>
    <x v="1"/>
    <n v="5"/>
    <x v="3"/>
    <n v="60"/>
    <s v="B-"/>
    <n v="69"/>
    <s v="B"/>
    <n v="80"/>
    <s v="A"/>
    <n v="87"/>
    <s v="A"/>
    <n v="100"/>
    <s v="A+"/>
    <n v="93"/>
    <s v="A+"/>
    <n v="92"/>
    <s v="A+"/>
    <n v="581"/>
    <n v="83"/>
    <x v="0"/>
    <n v="688"/>
    <x v="0"/>
  </r>
  <r>
    <n v="1387"/>
    <s v="Bryan"/>
    <s v="Pacheco"/>
    <x v="1370"/>
    <s v="bryan.pacheco.1387@gslingacademy.com"/>
    <x v="0"/>
    <x v="0"/>
    <n v="3"/>
    <x v="0"/>
    <n v="14"/>
    <x v="5"/>
    <n v="90"/>
    <s v="A+"/>
    <n v="95"/>
    <s v="A+"/>
    <n v="68"/>
    <s v="B"/>
    <n v="75"/>
    <s v="A-"/>
    <n v="71"/>
    <s v="B+"/>
    <n v="68"/>
    <s v="B"/>
    <n v="95"/>
    <s v="A+"/>
    <n v="562"/>
    <n v="80.285714285714292"/>
    <x v="0"/>
    <n v="1099"/>
    <x v="0"/>
  </r>
  <r>
    <n v="1388"/>
    <s v="Steven"/>
    <s v="Richardson"/>
    <x v="1371"/>
    <s v="steven.richardson.1388@gslingacademy.com"/>
    <x v="0"/>
    <x v="0"/>
    <n v="2"/>
    <x v="0"/>
    <n v="20"/>
    <x v="9"/>
    <n v="94"/>
    <s v="A+"/>
    <n v="88"/>
    <s v="A"/>
    <n v="78"/>
    <s v="A-"/>
    <n v="99"/>
    <s v="A+"/>
    <n v="65"/>
    <s v="B"/>
    <n v="76"/>
    <s v="A-"/>
    <n v="68"/>
    <s v="B"/>
    <n v="568"/>
    <n v="81.142857142857139"/>
    <x v="0"/>
    <n v="975"/>
    <x v="1"/>
  </r>
  <r>
    <n v="1389"/>
    <s v="Deborah"/>
    <s v="Hood"/>
    <x v="1372"/>
    <s v="deborah.hood.1389@gslingacademy.com"/>
    <x v="1"/>
    <x v="0"/>
    <n v="2"/>
    <x v="0"/>
    <n v="28"/>
    <x v="5"/>
    <n v="90"/>
    <s v="A+"/>
    <n v="79"/>
    <s v="A-"/>
    <n v="64"/>
    <s v="B-"/>
    <n v="93"/>
    <s v="A+"/>
    <n v="81"/>
    <s v="A"/>
    <n v="63"/>
    <s v="B-"/>
    <n v="76"/>
    <s v="A-"/>
    <n v="546"/>
    <n v="78"/>
    <x v="2"/>
    <n v="1411"/>
    <x v="1"/>
  </r>
  <r>
    <n v="1390"/>
    <s v="Laura"/>
    <s v="Campbell"/>
    <x v="1373"/>
    <s v="laura.campbell.1390@gslingacademy.com"/>
    <x v="1"/>
    <x v="1"/>
    <n v="2"/>
    <x v="0"/>
    <n v="13"/>
    <x v="9"/>
    <n v="78"/>
    <s v="A-"/>
    <n v="89"/>
    <s v="A"/>
    <n v="83"/>
    <s v="A"/>
    <n v="80"/>
    <s v="A"/>
    <n v="67"/>
    <s v="B"/>
    <n v="90"/>
    <s v="A+"/>
    <n v="93"/>
    <s v="A+"/>
    <n v="580"/>
    <n v="82.857142857142861"/>
    <x v="0"/>
    <n v="709"/>
    <x v="1"/>
  </r>
  <r>
    <n v="1391"/>
    <s v="Bradley"/>
    <s v="Patel"/>
    <x v="1374"/>
    <s v="bradley.patel.1391@gslingacademy.com"/>
    <x v="0"/>
    <x v="1"/>
    <n v="9"/>
    <x v="1"/>
    <n v="3"/>
    <x v="7"/>
    <n v="40"/>
    <s v="D"/>
    <n v="73"/>
    <s v="B+"/>
    <n v="88"/>
    <s v="A"/>
    <n v="95"/>
    <s v="A+"/>
    <n v="64"/>
    <s v="B-"/>
    <n v="61"/>
    <s v="B-"/>
    <n v="92"/>
    <s v="A+"/>
    <n v="513"/>
    <n v="73.285714285714292"/>
    <x v="3"/>
    <n v="1810"/>
    <x v="2"/>
  </r>
  <r>
    <n v="1392"/>
    <s v="Angela"/>
    <s v="Moran"/>
    <x v="1375"/>
    <s v="angela.moran.1392@gslingacademy.com"/>
    <x v="1"/>
    <x v="0"/>
    <n v="5"/>
    <x v="0"/>
    <n v="26"/>
    <x v="9"/>
    <n v="97"/>
    <s v="A+"/>
    <n v="84"/>
    <s v="A"/>
    <n v="70"/>
    <s v="B+"/>
    <n v="90"/>
    <s v="A+"/>
    <n v="97"/>
    <s v="A+"/>
    <n v="95"/>
    <s v="A+"/>
    <n v="87"/>
    <s v="A"/>
    <n v="620"/>
    <n v="88.571428571428569"/>
    <x v="0"/>
    <n v="215"/>
    <x v="0"/>
  </r>
  <r>
    <n v="1393"/>
    <s v="Samuel"/>
    <s v="Lee"/>
    <x v="1376"/>
    <s v="samuel.lee.1393@gslingacademy.com"/>
    <x v="0"/>
    <x v="1"/>
    <n v="3"/>
    <x v="0"/>
    <n v="8"/>
    <x v="15"/>
    <n v="84"/>
    <s v="A"/>
    <n v="98"/>
    <s v="A+"/>
    <n v="71"/>
    <s v="B+"/>
    <n v="62"/>
    <s v="B-"/>
    <n v="89"/>
    <s v="A"/>
    <n v="86"/>
    <s v="A"/>
    <n v="67"/>
    <s v="B"/>
    <n v="557"/>
    <n v="79.571428571428569"/>
    <x v="2"/>
    <n v="1200"/>
    <x v="0"/>
  </r>
  <r>
    <n v="1394"/>
    <s v="Catherine"/>
    <s v="Miles"/>
    <x v="1377"/>
    <s v="catherine.miles.1394@gslingacademy.com"/>
    <x v="1"/>
    <x v="0"/>
    <n v="3"/>
    <x v="0"/>
    <n v="4"/>
    <x v="7"/>
    <n v="64"/>
    <s v="B-"/>
    <n v="66"/>
    <s v="B"/>
    <n v="56"/>
    <s v="C"/>
    <n v="59"/>
    <s v="C"/>
    <n v="68"/>
    <s v="B"/>
    <n v="68"/>
    <s v="B"/>
    <n v="84"/>
    <s v="A"/>
    <n v="465"/>
    <n v="66.428571428571431"/>
    <x v="4"/>
    <n v="1971"/>
    <x v="0"/>
  </r>
  <r>
    <n v="1395"/>
    <s v="Joseph"/>
    <s v="Erickson"/>
    <x v="1378"/>
    <s v="joseph.erickson.1395@gslingacademy.com"/>
    <x v="0"/>
    <x v="0"/>
    <n v="4"/>
    <x v="1"/>
    <n v="20"/>
    <x v="5"/>
    <n v="89"/>
    <s v="A"/>
    <n v="88"/>
    <s v="A"/>
    <n v="86"/>
    <s v="A"/>
    <n v="77"/>
    <s v="A-"/>
    <n v="87"/>
    <s v="A"/>
    <n v="88"/>
    <s v="A"/>
    <n v="78"/>
    <s v="A-"/>
    <n v="593"/>
    <n v="84.714285714285708"/>
    <x v="0"/>
    <n v="494"/>
    <x v="0"/>
  </r>
  <r>
    <n v="1396"/>
    <s v="Bradley"/>
    <s v="Cook"/>
    <x v="1379"/>
    <s v="bradley.cook.1396@gslingacademy.com"/>
    <x v="0"/>
    <x v="0"/>
    <n v="3"/>
    <x v="0"/>
    <n v="34"/>
    <x v="13"/>
    <n v="99"/>
    <s v="A+"/>
    <n v="93"/>
    <s v="A+"/>
    <n v="98"/>
    <s v="A+"/>
    <n v="74"/>
    <s v="B+"/>
    <n v="87"/>
    <s v="A"/>
    <n v="88"/>
    <s v="A"/>
    <n v="78"/>
    <s v="A-"/>
    <n v="617"/>
    <n v="88.142857142857139"/>
    <x v="0"/>
    <n v="235"/>
    <x v="0"/>
  </r>
  <r>
    <n v="1397"/>
    <s v="Tony"/>
    <s v="Montgomery"/>
    <x v="1380"/>
    <s v="tony.montgomery.1397@gslingacademy.com"/>
    <x v="0"/>
    <x v="0"/>
    <n v="2"/>
    <x v="0"/>
    <n v="42"/>
    <x v="1"/>
    <n v="85"/>
    <s v="A"/>
    <n v="96"/>
    <s v="A+"/>
    <n v="98"/>
    <s v="A+"/>
    <n v="85"/>
    <s v="A"/>
    <n v="95"/>
    <s v="A+"/>
    <n v="96"/>
    <s v="A+"/>
    <n v="97"/>
    <s v="A+"/>
    <n v="652"/>
    <n v="93.142857142857139"/>
    <x v="1"/>
    <n v="46"/>
    <x v="1"/>
  </r>
  <r>
    <n v="1398"/>
    <s v="Drew"/>
    <s v="Williams"/>
    <x v="1381"/>
    <s v="drew.williams.1398@gslingacademy.com"/>
    <x v="0"/>
    <x v="0"/>
    <n v="6"/>
    <x v="0"/>
    <n v="4"/>
    <x v="14"/>
    <n v="89"/>
    <s v="A"/>
    <n v="78"/>
    <s v="A-"/>
    <n v="89"/>
    <s v="A"/>
    <n v="91"/>
    <s v="A+"/>
    <n v="76"/>
    <s v="A-"/>
    <n v="96"/>
    <s v="A+"/>
    <n v="81"/>
    <s v="A"/>
    <n v="600"/>
    <n v="85.714285714285708"/>
    <x v="0"/>
    <n v="406"/>
    <x v="0"/>
  </r>
  <r>
    <n v="1399"/>
    <s v="Gwendolyn"/>
    <s v="Martinez"/>
    <x v="1382"/>
    <s v="gwendolyn.martinez.1399@gslingacademy.com"/>
    <x v="1"/>
    <x v="0"/>
    <n v="6"/>
    <x v="1"/>
    <n v="14"/>
    <x v="5"/>
    <n v="97"/>
    <s v="A+"/>
    <n v="92"/>
    <s v="A+"/>
    <n v="64"/>
    <s v="B-"/>
    <n v="93"/>
    <s v="A+"/>
    <n v="60"/>
    <s v="B-"/>
    <n v="63"/>
    <s v="B-"/>
    <n v="90"/>
    <s v="A+"/>
    <n v="559"/>
    <n v="79.857142857142861"/>
    <x v="2"/>
    <n v="1155"/>
    <x v="0"/>
  </r>
  <r>
    <n v="1400"/>
    <s v="Nathan"/>
    <s v="Calhoun"/>
    <x v="1383"/>
    <s v="nathan.calhoun.1400@gslingacademy.com"/>
    <x v="0"/>
    <x v="0"/>
    <n v="1"/>
    <x v="0"/>
    <n v="29"/>
    <x v="13"/>
    <n v="86"/>
    <s v="A"/>
    <n v="100"/>
    <s v="A+"/>
    <n v="86"/>
    <s v="A"/>
    <n v="96"/>
    <s v="A+"/>
    <n v="73"/>
    <s v="B+"/>
    <n v="60"/>
    <s v="B-"/>
    <n v="77"/>
    <s v="A-"/>
    <n v="578"/>
    <n v="82.571428571428569"/>
    <x v="0"/>
    <n v="752"/>
    <x v="1"/>
  </r>
  <r>
    <n v="1401"/>
    <s v="Krista"/>
    <s v="Myers"/>
    <x v="1384"/>
    <s v="krista.myers.1401@gslingacademy.com"/>
    <x v="1"/>
    <x v="0"/>
    <n v="3"/>
    <x v="0"/>
    <n v="34"/>
    <x v="0"/>
    <n v="72"/>
    <s v="B+"/>
    <n v="86"/>
    <s v="A"/>
    <n v="69"/>
    <s v="B"/>
    <n v="81"/>
    <s v="A"/>
    <n v="67"/>
    <s v="B"/>
    <n v="98"/>
    <s v="A+"/>
    <n v="72"/>
    <s v="B+"/>
    <n v="545"/>
    <n v="77.857142857142861"/>
    <x v="2"/>
    <n v="1432"/>
    <x v="0"/>
  </r>
  <r>
    <n v="1402"/>
    <s v="Jeremy"/>
    <s v="Bailey"/>
    <x v="1385"/>
    <s v="jeremy.bailey.1402@gslingacademy.com"/>
    <x v="0"/>
    <x v="0"/>
    <n v="3"/>
    <x v="0"/>
    <n v="1"/>
    <x v="3"/>
    <n v="63"/>
    <s v="B-"/>
    <n v="78"/>
    <s v="A-"/>
    <n v="97"/>
    <s v="A+"/>
    <n v="67"/>
    <s v="B"/>
    <n v="72"/>
    <s v="B+"/>
    <n v="64"/>
    <s v="B-"/>
    <n v="67"/>
    <s v="B"/>
    <n v="508"/>
    <n v="72.571428571428569"/>
    <x v="3"/>
    <n v="1840"/>
    <x v="0"/>
  </r>
  <r>
    <n v="1403"/>
    <s v="Nicholas"/>
    <s v="Lester"/>
    <x v="1386"/>
    <s v="nicholas.lester.1403@gslingacademy.com"/>
    <x v="0"/>
    <x v="0"/>
    <n v="5"/>
    <x v="0"/>
    <n v="27"/>
    <x v="5"/>
    <n v="99"/>
    <s v="A+"/>
    <n v="78"/>
    <s v="A-"/>
    <n v="92"/>
    <s v="A+"/>
    <n v="65"/>
    <s v="B"/>
    <n v="90"/>
    <s v="A+"/>
    <n v="96"/>
    <s v="A+"/>
    <n v="96"/>
    <s v="A+"/>
    <n v="616"/>
    <n v="88"/>
    <x v="0"/>
    <n v="243"/>
    <x v="0"/>
  </r>
  <r>
    <n v="1404"/>
    <s v="Jennifer"/>
    <s v="Ford"/>
    <x v="1387"/>
    <s v="jennifer.ford.1404@gslingacademy.com"/>
    <x v="1"/>
    <x v="0"/>
    <n v="4"/>
    <x v="0"/>
    <n v="30"/>
    <x v="9"/>
    <n v="81"/>
    <s v="A"/>
    <n v="85"/>
    <s v="A"/>
    <n v="64"/>
    <s v="B-"/>
    <n v="61"/>
    <s v="B-"/>
    <n v="86"/>
    <s v="A"/>
    <n v="80"/>
    <s v="A"/>
    <n v="83"/>
    <s v="A"/>
    <n v="540"/>
    <n v="77.142857142857139"/>
    <x v="2"/>
    <n v="1513"/>
    <x v="0"/>
  </r>
  <r>
    <n v="1405"/>
    <s v="Connor"/>
    <s v="Mitchell"/>
    <x v="1388"/>
    <s v="connor.mitchell.1405@gslingacademy.com"/>
    <x v="0"/>
    <x v="0"/>
    <n v="10"/>
    <x v="0"/>
    <n v="33"/>
    <x v="0"/>
    <n v="72"/>
    <s v="B+"/>
    <n v="80"/>
    <s v="A"/>
    <n v="84"/>
    <s v="A"/>
    <n v="91"/>
    <s v="A+"/>
    <n v="96"/>
    <s v="A+"/>
    <n v="93"/>
    <s v="A+"/>
    <n v="74"/>
    <s v="B+"/>
    <n v="590"/>
    <n v="84.285714285714292"/>
    <x v="0"/>
    <n v="531"/>
    <x v="2"/>
  </r>
  <r>
    <n v="1406"/>
    <s v="Christine"/>
    <s v="Nelson"/>
    <x v="1389"/>
    <s v="christine.nelson.1406@gslingacademy.com"/>
    <x v="1"/>
    <x v="0"/>
    <n v="1"/>
    <x v="0"/>
    <n v="15"/>
    <x v="6"/>
    <n v="94"/>
    <s v="A+"/>
    <n v="98"/>
    <s v="A+"/>
    <n v="65"/>
    <s v="B"/>
    <n v="98"/>
    <s v="A+"/>
    <n v="78"/>
    <s v="A-"/>
    <n v="96"/>
    <s v="A+"/>
    <n v="86"/>
    <s v="A"/>
    <n v="615"/>
    <n v="87.857142857142861"/>
    <x v="0"/>
    <n v="251"/>
    <x v="1"/>
  </r>
  <r>
    <n v="1407"/>
    <s v="Rebecca"/>
    <s v="Spencer"/>
    <x v="1390"/>
    <s v="rebecca.spencer.1407@gslingacademy.com"/>
    <x v="1"/>
    <x v="0"/>
    <n v="2"/>
    <x v="0"/>
    <n v="5"/>
    <x v="16"/>
    <n v="58"/>
    <s v="C"/>
    <n v="71"/>
    <s v="B+"/>
    <n v="73"/>
    <s v="B+"/>
    <n v="65"/>
    <s v="B"/>
    <n v="63"/>
    <s v="B-"/>
    <n v="85"/>
    <s v="A"/>
    <n v="64"/>
    <s v="B-"/>
    <n v="479"/>
    <n v="68.428571428571431"/>
    <x v="4"/>
    <n v="1938"/>
    <x v="1"/>
  </r>
  <r>
    <n v="1408"/>
    <s v="Kyle"/>
    <s v="Rojas"/>
    <x v="1391"/>
    <s v="kyle.rojas.1408@gslingacademy.com"/>
    <x v="0"/>
    <x v="0"/>
    <n v="3"/>
    <x v="0"/>
    <n v="29"/>
    <x v="4"/>
    <n v="61"/>
    <s v="B-"/>
    <n v="86"/>
    <s v="A"/>
    <n v="78"/>
    <s v="A-"/>
    <n v="80"/>
    <s v="A"/>
    <n v="94"/>
    <s v="A+"/>
    <n v="60"/>
    <s v="B-"/>
    <n v="88"/>
    <s v="A"/>
    <n v="547"/>
    <n v="78.142857142857139"/>
    <x v="2"/>
    <n v="1388"/>
    <x v="0"/>
  </r>
  <r>
    <n v="1409"/>
    <s v="Stacy"/>
    <s v="Sanders"/>
    <x v="1392"/>
    <s v="stacy.sanders.1409@gslingacademy.com"/>
    <x v="1"/>
    <x v="1"/>
    <n v="1"/>
    <x v="0"/>
    <n v="28"/>
    <x v="1"/>
    <n v="89"/>
    <s v="A"/>
    <n v="76"/>
    <s v="A-"/>
    <n v="100"/>
    <s v="A+"/>
    <n v="100"/>
    <s v="A+"/>
    <n v="99"/>
    <s v="A+"/>
    <n v="68"/>
    <s v="B"/>
    <n v="79"/>
    <s v="A-"/>
    <n v="611"/>
    <n v="87.285714285714292"/>
    <x v="0"/>
    <n v="291"/>
    <x v="1"/>
  </r>
  <r>
    <n v="1410"/>
    <s v="Taylor"/>
    <s v="Waters"/>
    <x v="1393"/>
    <s v="taylor.waters.1410@gslingacademy.com"/>
    <x v="1"/>
    <x v="1"/>
    <n v="9"/>
    <x v="0"/>
    <n v="1"/>
    <x v="7"/>
    <n v="96"/>
    <s v="A+"/>
    <n v="58"/>
    <s v="C"/>
    <n v="65"/>
    <s v="B"/>
    <n v="62"/>
    <s v="B-"/>
    <n v="76"/>
    <s v="A-"/>
    <n v="93"/>
    <s v="A+"/>
    <n v="77"/>
    <s v="A-"/>
    <n v="527"/>
    <n v="75.285714285714292"/>
    <x v="2"/>
    <n v="1683"/>
    <x v="2"/>
  </r>
  <r>
    <n v="1411"/>
    <s v="Julie"/>
    <s v="Nichols"/>
    <x v="1394"/>
    <s v="julie.nichols.1411@gslingacademy.com"/>
    <x v="1"/>
    <x v="0"/>
    <n v="2"/>
    <x v="0"/>
    <n v="22"/>
    <x v="1"/>
    <n v="96"/>
    <s v="A+"/>
    <n v="73"/>
    <s v="B+"/>
    <n v="80"/>
    <s v="A"/>
    <n v="99"/>
    <s v="A+"/>
    <n v="91"/>
    <s v="A+"/>
    <n v="82"/>
    <s v="A"/>
    <n v="91"/>
    <s v="A+"/>
    <n v="612"/>
    <n v="87.428571428571431"/>
    <x v="0"/>
    <n v="283"/>
    <x v="1"/>
  </r>
  <r>
    <n v="1412"/>
    <s v="John"/>
    <s v="Lin"/>
    <x v="1395"/>
    <s v="john.lin.1412@gslingacademy.com"/>
    <x v="0"/>
    <x v="0"/>
    <n v="6"/>
    <x v="0"/>
    <n v="21"/>
    <x v="4"/>
    <n v="60"/>
    <s v="B-"/>
    <n v="88"/>
    <s v="A"/>
    <n v="75"/>
    <s v="A-"/>
    <n v="86"/>
    <s v="A"/>
    <n v="72"/>
    <s v="B+"/>
    <n v="80"/>
    <s v="A"/>
    <n v="69"/>
    <s v="B"/>
    <n v="530"/>
    <n v="75.714285714285708"/>
    <x v="2"/>
    <n v="1646"/>
    <x v="0"/>
  </r>
  <r>
    <n v="1413"/>
    <s v="William"/>
    <s v="Ryan"/>
    <x v="1396"/>
    <s v="william.ryan.1413@gslingacademy.com"/>
    <x v="0"/>
    <x v="0"/>
    <n v="2"/>
    <x v="0"/>
    <n v="34"/>
    <x v="5"/>
    <n v="93"/>
    <s v="A+"/>
    <n v="65"/>
    <s v="B"/>
    <n v="81"/>
    <s v="A"/>
    <n v="94"/>
    <s v="A+"/>
    <n v="92"/>
    <s v="A+"/>
    <n v="60"/>
    <s v="B-"/>
    <n v="100"/>
    <s v="A+"/>
    <n v="585"/>
    <n v="83.571428571428569"/>
    <x v="0"/>
    <n v="615"/>
    <x v="1"/>
  </r>
  <r>
    <n v="1414"/>
    <s v="Joseph"/>
    <s v="Phillips"/>
    <x v="1397"/>
    <s v="joseph.phillips.1414@gslingacademy.com"/>
    <x v="0"/>
    <x v="0"/>
    <n v="3"/>
    <x v="0"/>
    <n v="33"/>
    <x v="15"/>
    <n v="93"/>
    <s v="A+"/>
    <n v="63"/>
    <s v="B-"/>
    <n v="69"/>
    <s v="B"/>
    <n v="97"/>
    <s v="A+"/>
    <n v="64"/>
    <s v="B-"/>
    <n v="82"/>
    <s v="A"/>
    <n v="83"/>
    <s v="A"/>
    <n v="551"/>
    <n v="78.714285714285708"/>
    <x v="2"/>
    <n v="1317"/>
    <x v="0"/>
  </r>
  <r>
    <n v="1415"/>
    <s v="Christina"/>
    <s v="Ramirez"/>
    <x v="1398"/>
    <s v="christina.ramirez.1415@gslingacademy.com"/>
    <x v="1"/>
    <x v="0"/>
    <n v="10"/>
    <x v="1"/>
    <n v="3"/>
    <x v="7"/>
    <n v="58"/>
    <s v="C"/>
    <n v="65"/>
    <s v="B"/>
    <n v="72"/>
    <s v="B+"/>
    <n v="98"/>
    <s v="A+"/>
    <n v="56"/>
    <s v="C"/>
    <n v="59"/>
    <s v="C"/>
    <n v="81"/>
    <s v="A"/>
    <n v="489"/>
    <n v="69.857142857142861"/>
    <x v="4"/>
    <n v="1914"/>
    <x v="2"/>
  </r>
  <r>
    <n v="1416"/>
    <s v="Laura"/>
    <s v="Baxter"/>
    <x v="1399"/>
    <s v="laura.baxter.1416@gslingacademy.com"/>
    <x v="1"/>
    <x v="1"/>
    <n v="1"/>
    <x v="0"/>
    <n v="0"/>
    <x v="7"/>
    <n v="73"/>
    <s v="B+"/>
    <n v="85"/>
    <s v="A"/>
    <n v="84"/>
    <s v="A"/>
    <n v="88"/>
    <s v="A"/>
    <n v="78"/>
    <s v="A-"/>
    <n v="87"/>
    <s v="A"/>
    <n v="76"/>
    <s v="A-"/>
    <n v="571"/>
    <n v="81.571428571428569"/>
    <x v="0"/>
    <n v="915"/>
    <x v="1"/>
  </r>
  <r>
    <n v="1417"/>
    <s v="Kevin"/>
    <s v="Jackson"/>
    <x v="1400"/>
    <s v="kevin.jackson.1417@gslingacademy.com"/>
    <x v="0"/>
    <x v="0"/>
    <n v="9"/>
    <x v="0"/>
    <n v="3"/>
    <x v="7"/>
    <n v="93"/>
    <s v="A+"/>
    <n v="51"/>
    <s v="C"/>
    <n v="58"/>
    <s v="C"/>
    <n v="70"/>
    <s v="B+"/>
    <n v="63"/>
    <s v="B-"/>
    <n v="64"/>
    <s v="B-"/>
    <n v="89"/>
    <s v="A"/>
    <n v="488"/>
    <n v="69.714285714285708"/>
    <x v="4"/>
    <n v="1919"/>
    <x v="2"/>
  </r>
  <r>
    <n v="1418"/>
    <s v="Kayla"/>
    <s v="Schwartz"/>
    <x v="1401"/>
    <s v="kayla.schwartz.1418@gslingacademy.com"/>
    <x v="1"/>
    <x v="0"/>
    <n v="0"/>
    <x v="0"/>
    <n v="20"/>
    <x v="11"/>
    <n v="92"/>
    <s v="A+"/>
    <n v="66"/>
    <s v="B"/>
    <n v="77"/>
    <s v="A-"/>
    <n v="96"/>
    <s v="A+"/>
    <n v="92"/>
    <s v="A+"/>
    <n v="62"/>
    <s v="B-"/>
    <n v="90"/>
    <s v="A+"/>
    <n v="575"/>
    <n v="82.142857142857139"/>
    <x v="0"/>
    <n v="807"/>
    <x v="1"/>
  </r>
  <r>
    <n v="1419"/>
    <s v="Jason"/>
    <s v="Myers"/>
    <x v="1402"/>
    <s v="jason.myers.1419@gslingacademy.com"/>
    <x v="0"/>
    <x v="0"/>
    <n v="1"/>
    <x v="0"/>
    <n v="18"/>
    <x v="5"/>
    <n v="99"/>
    <s v="A+"/>
    <n v="99"/>
    <s v="A+"/>
    <n v="69"/>
    <s v="B"/>
    <n v="92"/>
    <s v="A+"/>
    <n v="95"/>
    <s v="A+"/>
    <n v="79"/>
    <s v="A-"/>
    <n v="81"/>
    <s v="A"/>
    <n v="614"/>
    <n v="87.714285714285708"/>
    <x v="0"/>
    <n v="260"/>
    <x v="1"/>
  </r>
  <r>
    <n v="1420"/>
    <s v="Mary"/>
    <s v="Arnold"/>
    <x v="1403"/>
    <s v="mary.arnold.1420@gslingacademy.com"/>
    <x v="1"/>
    <x v="0"/>
    <n v="1"/>
    <x v="0"/>
    <n v="35"/>
    <x v="12"/>
    <n v="99"/>
    <s v="A+"/>
    <n v="96"/>
    <s v="A+"/>
    <n v="99"/>
    <s v="A+"/>
    <n v="91"/>
    <s v="A+"/>
    <n v="94"/>
    <s v="A+"/>
    <n v="92"/>
    <s v="A+"/>
    <n v="99"/>
    <s v="A+"/>
    <n v="670"/>
    <n v="95.714285714285708"/>
    <x v="1"/>
    <n v="4"/>
    <x v="1"/>
  </r>
  <r>
    <n v="1421"/>
    <s v="Suzanne"/>
    <s v="Owens"/>
    <x v="1404"/>
    <s v="suzanne.owens.1421@gslingacademy.com"/>
    <x v="1"/>
    <x v="0"/>
    <n v="2"/>
    <x v="0"/>
    <n v="3"/>
    <x v="7"/>
    <n v="73"/>
    <s v="B+"/>
    <n v="70"/>
    <s v="B+"/>
    <n v="80"/>
    <s v="A"/>
    <n v="74"/>
    <s v="B+"/>
    <n v="71"/>
    <s v="B+"/>
    <n v="90"/>
    <s v="A+"/>
    <n v="80"/>
    <s v="A"/>
    <n v="538"/>
    <n v="76.857142857142861"/>
    <x v="2"/>
    <n v="1537"/>
    <x v="1"/>
  </r>
  <r>
    <n v="1422"/>
    <s v="Misty"/>
    <s v="Stewart"/>
    <x v="1405"/>
    <s v="misty.stewart.1422@gslingacademy.com"/>
    <x v="1"/>
    <x v="0"/>
    <n v="1"/>
    <x v="0"/>
    <n v="27"/>
    <x v="4"/>
    <n v="87"/>
    <s v="A"/>
    <n v="91"/>
    <s v="A+"/>
    <n v="92"/>
    <s v="A+"/>
    <n v="66"/>
    <s v="B"/>
    <n v="62"/>
    <s v="B-"/>
    <n v="89"/>
    <s v="A"/>
    <n v="76"/>
    <s v="A-"/>
    <n v="563"/>
    <n v="80.428571428571431"/>
    <x v="0"/>
    <n v="1077"/>
    <x v="1"/>
  </r>
  <r>
    <n v="1423"/>
    <s v="Paul"/>
    <s v="Johnson"/>
    <x v="1406"/>
    <s v="paul.johnson.1423@gslingacademy.com"/>
    <x v="0"/>
    <x v="0"/>
    <n v="4"/>
    <x v="0"/>
    <n v="32"/>
    <x v="1"/>
    <n v="86"/>
    <s v="A"/>
    <n v="78"/>
    <s v="A-"/>
    <n v="81"/>
    <s v="A"/>
    <n v="87"/>
    <s v="A"/>
    <n v="99"/>
    <s v="A+"/>
    <n v="71"/>
    <s v="B+"/>
    <n v="97"/>
    <s v="A+"/>
    <n v="599"/>
    <n v="85.571428571428569"/>
    <x v="0"/>
    <n v="426"/>
    <x v="0"/>
  </r>
  <r>
    <n v="1424"/>
    <s v="Jordan"/>
    <s v="Rocha"/>
    <x v="1407"/>
    <s v="jordan.rocha.1424@gslingacademy.com"/>
    <x v="0"/>
    <x v="0"/>
    <n v="1"/>
    <x v="0"/>
    <n v="30"/>
    <x v="5"/>
    <n v="89"/>
    <s v="A"/>
    <n v="93"/>
    <s v="A+"/>
    <n v="71"/>
    <s v="B+"/>
    <n v="84"/>
    <s v="A"/>
    <n v="63"/>
    <s v="B-"/>
    <n v="61"/>
    <s v="B-"/>
    <n v="76"/>
    <s v="A-"/>
    <n v="537"/>
    <n v="76.714285714285708"/>
    <x v="2"/>
    <n v="1553"/>
    <x v="1"/>
  </r>
  <r>
    <n v="1425"/>
    <s v="Roger"/>
    <s v="Dixon"/>
    <x v="1408"/>
    <s v="roger.dixon.1425@gslingacademy.com"/>
    <x v="0"/>
    <x v="0"/>
    <n v="7"/>
    <x v="0"/>
    <n v="3"/>
    <x v="14"/>
    <n v="96"/>
    <s v="A+"/>
    <n v="64"/>
    <s v="B-"/>
    <n v="85"/>
    <s v="A"/>
    <n v="86"/>
    <s v="A"/>
    <n v="93"/>
    <s v="A+"/>
    <n v="92"/>
    <s v="A+"/>
    <n v="65"/>
    <s v="B"/>
    <n v="581"/>
    <n v="83"/>
    <x v="0"/>
    <n v="688"/>
    <x v="2"/>
  </r>
  <r>
    <n v="1426"/>
    <s v="Patricia"/>
    <s v="Garrison"/>
    <x v="1409"/>
    <s v="patricia.garrison.1426@gslingacademy.com"/>
    <x v="1"/>
    <x v="0"/>
    <n v="2"/>
    <x v="1"/>
    <n v="19"/>
    <x v="5"/>
    <n v="90"/>
    <s v="A+"/>
    <n v="73"/>
    <s v="B+"/>
    <n v="71"/>
    <s v="B+"/>
    <n v="68"/>
    <s v="B"/>
    <n v="74"/>
    <s v="B+"/>
    <n v="87"/>
    <s v="A"/>
    <n v="66"/>
    <s v="B"/>
    <n v="529"/>
    <n v="75.571428571428569"/>
    <x v="2"/>
    <n v="1664"/>
    <x v="1"/>
  </r>
  <r>
    <n v="1427"/>
    <s v="Amanda"/>
    <s v="Davis"/>
    <x v="302"/>
    <s v="amanda.davis.1427@gslingacademy.com"/>
    <x v="1"/>
    <x v="0"/>
    <n v="2"/>
    <x v="0"/>
    <n v="9"/>
    <x v="6"/>
    <n v="98"/>
    <s v="A+"/>
    <n v="65"/>
    <s v="B"/>
    <n v="66"/>
    <s v="B"/>
    <n v="87"/>
    <s v="A"/>
    <n v="78"/>
    <s v="A-"/>
    <n v="84"/>
    <s v="A"/>
    <n v="91"/>
    <s v="A+"/>
    <n v="569"/>
    <n v="81.285714285714292"/>
    <x v="0"/>
    <n v="957"/>
    <x v="1"/>
  </r>
  <r>
    <n v="1428"/>
    <s v="Michael"/>
    <s v="Ferguson"/>
    <x v="1410"/>
    <s v="michael.ferguson.1428@gslingacademy.com"/>
    <x v="0"/>
    <x v="0"/>
    <n v="3"/>
    <x v="0"/>
    <n v="26"/>
    <x v="0"/>
    <n v="85"/>
    <s v="A"/>
    <n v="87"/>
    <s v="A"/>
    <n v="85"/>
    <s v="A"/>
    <n v="69"/>
    <s v="B"/>
    <n v="80"/>
    <s v="A"/>
    <n v="99"/>
    <s v="A+"/>
    <n v="93"/>
    <s v="A+"/>
    <n v="598"/>
    <n v="85.428571428571431"/>
    <x v="0"/>
    <n v="436"/>
    <x v="0"/>
  </r>
  <r>
    <n v="1429"/>
    <s v="Melissa"/>
    <s v="Robinson"/>
    <x v="1411"/>
    <s v="melissa.robinson.1429@gslingacademy.com"/>
    <x v="1"/>
    <x v="0"/>
    <n v="1"/>
    <x v="0"/>
    <n v="28"/>
    <x v="5"/>
    <n v="85"/>
    <s v="A"/>
    <n v="96"/>
    <s v="A+"/>
    <n v="100"/>
    <s v="A+"/>
    <n v="75"/>
    <s v="A-"/>
    <n v="63"/>
    <s v="B-"/>
    <n v="87"/>
    <s v="A"/>
    <n v="89"/>
    <s v="A"/>
    <n v="595"/>
    <n v="85"/>
    <x v="0"/>
    <n v="465"/>
    <x v="1"/>
  </r>
  <r>
    <n v="1430"/>
    <s v="Kathryn"/>
    <s v="Rivera"/>
    <x v="1412"/>
    <s v="kathryn.rivera.1430@gslingacademy.com"/>
    <x v="1"/>
    <x v="1"/>
    <n v="1"/>
    <x v="0"/>
    <n v="35"/>
    <x v="9"/>
    <n v="89"/>
    <s v="A"/>
    <n v="94"/>
    <s v="A+"/>
    <n v="92"/>
    <s v="A+"/>
    <n v="98"/>
    <s v="A+"/>
    <n v="92"/>
    <s v="A+"/>
    <n v="92"/>
    <s v="A+"/>
    <n v="99"/>
    <s v="A+"/>
    <n v="656"/>
    <n v="93.714285714285708"/>
    <x v="1"/>
    <n v="28"/>
    <x v="1"/>
  </r>
  <r>
    <n v="1431"/>
    <s v="Javier"/>
    <s v="Macdonald"/>
    <x v="1413"/>
    <s v="javier.macdonald.1431@gslingacademy.com"/>
    <x v="0"/>
    <x v="0"/>
    <n v="4"/>
    <x v="0"/>
    <n v="32"/>
    <x v="9"/>
    <n v="93"/>
    <s v="A+"/>
    <n v="97"/>
    <s v="A+"/>
    <n v="93"/>
    <s v="A+"/>
    <n v="66"/>
    <s v="B"/>
    <n v="83"/>
    <s v="A"/>
    <n v="88"/>
    <s v="A"/>
    <n v="79"/>
    <s v="A-"/>
    <n v="599"/>
    <n v="85.571428571428569"/>
    <x v="0"/>
    <n v="426"/>
    <x v="0"/>
  </r>
  <r>
    <n v="1432"/>
    <s v="Angela"/>
    <s v="Elliott"/>
    <x v="1414"/>
    <s v="angela.elliott.1432@gslingacademy.com"/>
    <x v="1"/>
    <x v="1"/>
    <n v="2"/>
    <x v="0"/>
    <n v="35"/>
    <x v="5"/>
    <n v="96"/>
    <s v="A+"/>
    <n v="91"/>
    <s v="A+"/>
    <n v="95"/>
    <s v="A+"/>
    <n v="88"/>
    <s v="A"/>
    <n v="89"/>
    <s v="A"/>
    <n v="85"/>
    <s v="A"/>
    <n v="92"/>
    <s v="A+"/>
    <n v="636"/>
    <n v="90.857142857142861"/>
    <x v="1"/>
    <n v="124"/>
    <x v="1"/>
  </r>
  <r>
    <n v="1433"/>
    <s v="Christine"/>
    <s v="Collins"/>
    <x v="1415"/>
    <s v="christine.collins.1433@gslingacademy.com"/>
    <x v="1"/>
    <x v="0"/>
    <n v="3"/>
    <x v="0"/>
    <n v="26"/>
    <x v="12"/>
    <n v="84"/>
    <s v="A"/>
    <n v="64"/>
    <s v="B-"/>
    <n v="98"/>
    <s v="A+"/>
    <n v="100"/>
    <s v="A+"/>
    <n v="89"/>
    <s v="A"/>
    <n v="79"/>
    <s v="A-"/>
    <n v="96"/>
    <s v="A+"/>
    <n v="610"/>
    <n v="87.142857142857139"/>
    <x v="0"/>
    <n v="298"/>
    <x v="0"/>
  </r>
  <r>
    <n v="1434"/>
    <s v="Calvin"/>
    <s v="Taylor"/>
    <x v="1416"/>
    <s v="calvin.taylor.1434@gslingacademy.com"/>
    <x v="0"/>
    <x v="0"/>
    <n v="3"/>
    <x v="0"/>
    <n v="14"/>
    <x v="9"/>
    <n v="76"/>
    <s v="A-"/>
    <n v="97"/>
    <s v="A+"/>
    <n v="99"/>
    <s v="A+"/>
    <n v="83"/>
    <s v="A"/>
    <n v="74"/>
    <s v="B+"/>
    <n v="94"/>
    <s v="A+"/>
    <n v="99"/>
    <s v="A+"/>
    <n v="622"/>
    <n v="88.857142857142861"/>
    <x v="0"/>
    <n v="208"/>
    <x v="0"/>
  </r>
  <r>
    <n v="1435"/>
    <s v="Jennifer"/>
    <s v="Contreras"/>
    <x v="1417"/>
    <s v="jennifer.contreras.1435@gslingacademy.com"/>
    <x v="1"/>
    <x v="0"/>
    <n v="4"/>
    <x v="0"/>
    <n v="26"/>
    <x v="9"/>
    <n v="80"/>
    <s v="A"/>
    <n v="78"/>
    <s v="A-"/>
    <n v="71"/>
    <s v="B+"/>
    <n v="69"/>
    <s v="B"/>
    <n v="76"/>
    <s v="A-"/>
    <n v="97"/>
    <s v="A+"/>
    <n v="77"/>
    <s v="A-"/>
    <n v="548"/>
    <n v="78.285714285714292"/>
    <x v="2"/>
    <n v="1374"/>
    <x v="0"/>
  </r>
  <r>
    <n v="1436"/>
    <s v="Jennifer"/>
    <s v="Mccoy"/>
    <x v="1418"/>
    <s v="jennifer.mccoy.1436@gslingacademy.com"/>
    <x v="1"/>
    <x v="0"/>
    <n v="5"/>
    <x v="1"/>
    <n v="3"/>
    <x v="16"/>
    <n v="63"/>
    <s v="B-"/>
    <n v="77"/>
    <s v="A-"/>
    <n v="89"/>
    <s v="A"/>
    <n v="79"/>
    <s v="A-"/>
    <n v="79"/>
    <s v="A-"/>
    <n v="60"/>
    <s v="B-"/>
    <n v="81"/>
    <s v="A"/>
    <n v="528"/>
    <n v="75.428571428571431"/>
    <x v="2"/>
    <n v="1678"/>
    <x v="0"/>
  </r>
  <r>
    <n v="1437"/>
    <s v="Daniel"/>
    <s v="Thomas"/>
    <x v="1419"/>
    <s v="daniel.thomas.1437@gslingacademy.com"/>
    <x v="0"/>
    <x v="0"/>
    <n v="1"/>
    <x v="0"/>
    <n v="33"/>
    <x v="13"/>
    <n v="90"/>
    <s v="A+"/>
    <n v="86"/>
    <s v="A"/>
    <n v="100"/>
    <s v="A+"/>
    <n v="90"/>
    <s v="A+"/>
    <n v="76"/>
    <s v="A-"/>
    <n v="66"/>
    <s v="B"/>
    <n v="83"/>
    <s v="A"/>
    <n v="591"/>
    <n v="84.428571428571431"/>
    <x v="0"/>
    <n v="515"/>
    <x v="1"/>
  </r>
  <r>
    <n v="1438"/>
    <s v="Brian"/>
    <s v="Hess"/>
    <x v="1420"/>
    <s v="brian.hess.1438@gslingacademy.com"/>
    <x v="0"/>
    <x v="0"/>
    <n v="1"/>
    <x v="0"/>
    <n v="35"/>
    <x v="9"/>
    <n v="85"/>
    <s v="A"/>
    <n v="93"/>
    <s v="A+"/>
    <n v="85"/>
    <s v="A"/>
    <n v="91"/>
    <s v="A+"/>
    <n v="86"/>
    <s v="A"/>
    <n v="94"/>
    <s v="A+"/>
    <n v="89"/>
    <s v="A"/>
    <n v="623"/>
    <n v="89"/>
    <x v="0"/>
    <n v="201"/>
    <x v="1"/>
  </r>
  <r>
    <n v="1439"/>
    <s v="Jessica"/>
    <s v="Mathews"/>
    <x v="1421"/>
    <s v="jessica.mathews.1439@gslingacademy.com"/>
    <x v="1"/>
    <x v="0"/>
    <n v="1"/>
    <x v="0"/>
    <n v="22"/>
    <x v="4"/>
    <n v="78"/>
    <s v="A-"/>
    <n v="81"/>
    <s v="A"/>
    <n v="94"/>
    <s v="A+"/>
    <n v="64"/>
    <s v="B-"/>
    <n v="61"/>
    <s v="B-"/>
    <n v="91"/>
    <s v="A+"/>
    <n v="88"/>
    <s v="A"/>
    <n v="557"/>
    <n v="79.571428571428569"/>
    <x v="2"/>
    <n v="1200"/>
    <x v="1"/>
  </r>
  <r>
    <n v="1440"/>
    <s v="Kathryn"/>
    <s v="Sanchez"/>
    <x v="1422"/>
    <s v="kathryn.sanchez.1440@gslingacademy.com"/>
    <x v="1"/>
    <x v="0"/>
    <n v="2"/>
    <x v="0"/>
    <n v="23"/>
    <x v="12"/>
    <n v="74"/>
    <s v="B+"/>
    <n v="90"/>
    <s v="A+"/>
    <n v="90"/>
    <s v="A+"/>
    <n v="80"/>
    <s v="A"/>
    <n v="91"/>
    <s v="A+"/>
    <n v="92"/>
    <s v="A+"/>
    <n v="100"/>
    <s v="A+"/>
    <n v="617"/>
    <n v="88.142857142857139"/>
    <x v="0"/>
    <n v="235"/>
    <x v="1"/>
  </r>
  <r>
    <n v="1441"/>
    <s v="Jeremy"/>
    <s v="Cook"/>
    <x v="1423"/>
    <s v="jeremy.cook.1441@gslingacademy.com"/>
    <x v="0"/>
    <x v="0"/>
    <n v="2"/>
    <x v="1"/>
    <n v="27"/>
    <x v="0"/>
    <n v="83"/>
    <s v="A"/>
    <n v="89"/>
    <s v="A"/>
    <n v="95"/>
    <s v="A+"/>
    <n v="70"/>
    <s v="B+"/>
    <n v="95"/>
    <s v="A+"/>
    <n v="80"/>
    <s v="A"/>
    <n v="70"/>
    <s v="B+"/>
    <n v="582"/>
    <n v="83.142857142857139"/>
    <x v="0"/>
    <n v="670"/>
    <x v="1"/>
  </r>
  <r>
    <n v="1442"/>
    <s v="Michael"/>
    <s v="Anderson"/>
    <x v="856"/>
    <s v="michael.anderson.1442@gslingacademy.com"/>
    <x v="0"/>
    <x v="0"/>
    <n v="6"/>
    <x v="0"/>
    <n v="31"/>
    <x v="5"/>
    <n v="87"/>
    <s v="A"/>
    <n v="96"/>
    <s v="A+"/>
    <n v="79"/>
    <s v="A-"/>
    <n v="79"/>
    <s v="A-"/>
    <n v="74"/>
    <s v="B+"/>
    <n v="86"/>
    <s v="A"/>
    <n v="85"/>
    <s v="A"/>
    <n v="586"/>
    <n v="83.714285714285708"/>
    <x v="0"/>
    <n v="601"/>
    <x v="0"/>
  </r>
  <r>
    <n v="1443"/>
    <s v="Olivia"/>
    <s v="Garza"/>
    <x v="1424"/>
    <s v="olivia.garza.1443@gslingacademy.com"/>
    <x v="1"/>
    <x v="0"/>
    <n v="1"/>
    <x v="0"/>
    <n v="26"/>
    <x v="9"/>
    <n v="90"/>
    <s v="A+"/>
    <n v="77"/>
    <s v="A-"/>
    <n v="84"/>
    <s v="A"/>
    <n v="70"/>
    <s v="B+"/>
    <n v="77"/>
    <s v="A-"/>
    <n v="86"/>
    <s v="A"/>
    <n v="70"/>
    <s v="B+"/>
    <n v="554"/>
    <n v="79.142857142857139"/>
    <x v="2"/>
    <n v="1264"/>
    <x v="1"/>
  </r>
  <r>
    <n v="1444"/>
    <s v="Emily"/>
    <s v="Mason"/>
    <x v="1425"/>
    <s v="emily.mason.1444@gslingacademy.com"/>
    <x v="1"/>
    <x v="0"/>
    <n v="4"/>
    <x v="0"/>
    <n v="1"/>
    <x v="16"/>
    <n v="73"/>
    <s v="B+"/>
    <n v="71"/>
    <s v="B+"/>
    <n v="95"/>
    <s v="A+"/>
    <n v="63"/>
    <s v="B-"/>
    <n v="62"/>
    <s v="B-"/>
    <n v="85"/>
    <s v="A"/>
    <n v="99"/>
    <s v="A+"/>
    <n v="548"/>
    <n v="78.285714285714292"/>
    <x v="2"/>
    <n v="1374"/>
    <x v="0"/>
  </r>
  <r>
    <n v="1445"/>
    <s v="Jennifer"/>
    <s v="Gonzales"/>
    <x v="1426"/>
    <s v="jennifer.gonzales.1445@gslingacademy.com"/>
    <x v="1"/>
    <x v="0"/>
    <n v="2"/>
    <x v="0"/>
    <n v="7"/>
    <x v="6"/>
    <n v="79"/>
    <s v="A-"/>
    <n v="78"/>
    <s v="A-"/>
    <n v="100"/>
    <s v="A+"/>
    <n v="90"/>
    <s v="A+"/>
    <n v="89"/>
    <s v="A"/>
    <n v="80"/>
    <s v="A"/>
    <n v="68"/>
    <s v="B"/>
    <n v="584"/>
    <n v="83.428571428571431"/>
    <x v="0"/>
    <n v="635"/>
    <x v="1"/>
  </r>
  <r>
    <n v="1446"/>
    <s v="Samantha"/>
    <s v="Rodriguez"/>
    <x v="1427"/>
    <s v="samantha.rodriguez.1446@gslingacademy.com"/>
    <x v="1"/>
    <x v="0"/>
    <n v="1"/>
    <x v="1"/>
    <n v="4"/>
    <x v="16"/>
    <n v="62"/>
    <s v="B-"/>
    <n v="84"/>
    <s v="A"/>
    <n v="74"/>
    <s v="B+"/>
    <n v="74"/>
    <s v="B+"/>
    <n v="66"/>
    <s v="B"/>
    <n v="61"/>
    <s v="B-"/>
    <n v="90"/>
    <s v="A+"/>
    <n v="511"/>
    <n v="73"/>
    <x v="3"/>
    <n v="1823"/>
    <x v="1"/>
  </r>
  <r>
    <n v="1447"/>
    <s v="Anthony"/>
    <s v="Adams"/>
    <x v="1428"/>
    <s v="anthony.adams.1447@gslingacademy.com"/>
    <x v="0"/>
    <x v="0"/>
    <n v="0"/>
    <x v="0"/>
    <n v="31"/>
    <x v="5"/>
    <n v="87"/>
    <s v="A"/>
    <n v="78"/>
    <s v="A-"/>
    <n v="96"/>
    <s v="A+"/>
    <n v="84"/>
    <s v="A"/>
    <n v="97"/>
    <s v="A+"/>
    <n v="89"/>
    <s v="A"/>
    <n v="82"/>
    <s v="A"/>
    <n v="613"/>
    <n v="87.571428571428569"/>
    <x v="0"/>
    <n v="271"/>
    <x v="1"/>
  </r>
  <r>
    <n v="1448"/>
    <s v="Ronald"/>
    <s v="Diaz"/>
    <x v="1429"/>
    <s v="ronald.diaz.1448@gslingacademy.com"/>
    <x v="0"/>
    <x v="0"/>
    <n v="7"/>
    <x v="1"/>
    <n v="23"/>
    <x v="11"/>
    <n v="81"/>
    <s v="A"/>
    <n v="83"/>
    <s v="A"/>
    <n v="79"/>
    <s v="A-"/>
    <n v="94"/>
    <s v="A+"/>
    <n v="37"/>
    <s v="F"/>
    <n v="84"/>
    <s v="A"/>
    <n v="71"/>
    <s v="B+"/>
    <n v="529"/>
    <n v="75.571428571428569"/>
    <x v="2"/>
    <n v="1664"/>
    <x v="2"/>
  </r>
  <r>
    <n v="1449"/>
    <s v="Dana"/>
    <s v="Lambert"/>
    <x v="1430"/>
    <s v="dana.lambert.1449@gslingacademy.com"/>
    <x v="1"/>
    <x v="0"/>
    <n v="4"/>
    <x v="0"/>
    <n v="5"/>
    <x v="4"/>
    <n v="83"/>
    <s v="A"/>
    <n v="66"/>
    <s v="B"/>
    <n v="94"/>
    <s v="A+"/>
    <n v="75"/>
    <s v="A-"/>
    <n v="72"/>
    <s v="B+"/>
    <n v="78"/>
    <s v="A-"/>
    <n v="74"/>
    <s v="B+"/>
    <n v="542"/>
    <n v="77.428571428571431"/>
    <x v="2"/>
    <n v="1478"/>
    <x v="0"/>
  </r>
  <r>
    <n v="1450"/>
    <s v="Jonathan"/>
    <s v="Mckay"/>
    <x v="1431"/>
    <s v="jonathan.mckay.1450@gslingacademy.com"/>
    <x v="0"/>
    <x v="0"/>
    <n v="10"/>
    <x v="0"/>
    <n v="1"/>
    <x v="7"/>
    <n v="90"/>
    <s v="A+"/>
    <n v="50"/>
    <s v="C"/>
    <n v="84"/>
    <s v="A"/>
    <n v="90"/>
    <s v="A+"/>
    <n v="83"/>
    <s v="A"/>
    <n v="62"/>
    <s v="B-"/>
    <n v="100"/>
    <s v="A+"/>
    <n v="559"/>
    <n v="79.857142857142861"/>
    <x v="2"/>
    <n v="1155"/>
    <x v="2"/>
  </r>
  <r>
    <n v="1451"/>
    <s v="Thomas"/>
    <s v="Odom"/>
    <x v="1432"/>
    <s v="thomas.odom.1451@gslingacademy.com"/>
    <x v="0"/>
    <x v="0"/>
    <n v="3"/>
    <x v="0"/>
    <n v="4"/>
    <x v="3"/>
    <n v="75"/>
    <s v="A-"/>
    <n v="69"/>
    <s v="B"/>
    <n v="97"/>
    <s v="A+"/>
    <n v="98"/>
    <s v="A+"/>
    <n v="60"/>
    <s v="B-"/>
    <n v="60"/>
    <s v="B-"/>
    <n v="85"/>
    <s v="A"/>
    <n v="544"/>
    <n v="77.714285714285708"/>
    <x v="2"/>
    <n v="1446"/>
    <x v="0"/>
  </r>
  <r>
    <n v="1452"/>
    <s v="John"/>
    <s v="Wells"/>
    <x v="1433"/>
    <s v="john.wells.1452@gslingacademy.com"/>
    <x v="0"/>
    <x v="0"/>
    <n v="0"/>
    <x v="1"/>
    <n v="23"/>
    <x v="13"/>
    <n v="94"/>
    <s v="A+"/>
    <n v="61"/>
    <s v="B-"/>
    <n v="81"/>
    <s v="A"/>
    <n v="64"/>
    <s v="B-"/>
    <n v="75"/>
    <s v="A-"/>
    <n v="72"/>
    <s v="B+"/>
    <n v="61"/>
    <s v="B-"/>
    <n v="508"/>
    <n v="72.571428571428569"/>
    <x v="3"/>
    <n v="1840"/>
    <x v="1"/>
  </r>
  <r>
    <n v="1453"/>
    <s v="Richard"/>
    <s v="Castillo"/>
    <x v="1434"/>
    <s v="richard.castillo.1453@gslingacademy.com"/>
    <x v="0"/>
    <x v="0"/>
    <n v="3"/>
    <x v="0"/>
    <n v="15"/>
    <x v="2"/>
    <n v="91"/>
    <s v="A+"/>
    <n v="68"/>
    <s v="B"/>
    <n v="62"/>
    <s v="B-"/>
    <n v="82"/>
    <s v="A"/>
    <n v="70"/>
    <s v="B+"/>
    <n v="92"/>
    <s v="A+"/>
    <n v="73"/>
    <s v="B+"/>
    <n v="538"/>
    <n v="76.857142857142861"/>
    <x v="2"/>
    <n v="1537"/>
    <x v="0"/>
  </r>
  <r>
    <n v="1454"/>
    <s v="Peter"/>
    <s v="Peck"/>
    <x v="1435"/>
    <s v="peter.peck.1454@gslingacademy.com"/>
    <x v="0"/>
    <x v="0"/>
    <n v="2"/>
    <x v="0"/>
    <n v="24"/>
    <x v="0"/>
    <n v="96"/>
    <s v="A+"/>
    <n v="88"/>
    <s v="A"/>
    <n v="68"/>
    <s v="B"/>
    <n v="95"/>
    <s v="A+"/>
    <n v="67"/>
    <s v="B"/>
    <n v="95"/>
    <s v="A+"/>
    <n v="75"/>
    <s v="A-"/>
    <n v="584"/>
    <n v="83.428571428571431"/>
    <x v="0"/>
    <n v="635"/>
    <x v="1"/>
  </r>
  <r>
    <n v="1455"/>
    <s v="Chris"/>
    <s v="Greene"/>
    <x v="1436"/>
    <s v="chris.greene.1455@gslingacademy.com"/>
    <x v="0"/>
    <x v="0"/>
    <n v="2"/>
    <x v="0"/>
    <n v="31"/>
    <x v="5"/>
    <n v="85"/>
    <s v="A"/>
    <n v="76"/>
    <s v="A-"/>
    <n v="82"/>
    <s v="A"/>
    <n v="85"/>
    <s v="A"/>
    <n v="73"/>
    <s v="B+"/>
    <n v="60"/>
    <s v="B-"/>
    <n v="90"/>
    <s v="A+"/>
    <n v="551"/>
    <n v="78.714285714285708"/>
    <x v="2"/>
    <n v="1317"/>
    <x v="1"/>
  </r>
  <r>
    <n v="1456"/>
    <s v="Michael"/>
    <s v="Vance"/>
    <x v="1437"/>
    <s v="michael.vance.1456@gslingacademy.com"/>
    <x v="0"/>
    <x v="0"/>
    <n v="4"/>
    <x v="0"/>
    <n v="29"/>
    <x v="0"/>
    <n v="71"/>
    <s v="B+"/>
    <n v="93"/>
    <s v="A+"/>
    <n v="90"/>
    <s v="A+"/>
    <n v="89"/>
    <s v="A"/>
    <n v="69"/>
    <s v="B"/>
    <n v="94"/>
    <s v="A+"/>
    <n v="79"/>
    <s v="A-"/>
    <n v="585"/>
    <n v="83.571428571428569"/>
    <x v="0"/>
    <n v="615"/>
    <x v="0"/>
  </r>
  <r>
    <n v="1457"/>
    <s v="Joanne"/>
    <s v="Howard"/>
    <x v="1438"/>
    <s v="joanne.howard.1457@gslingacademy.com"/>
    <x v="1"/>
    <x v="0"/>
    <n v="3"/>
    <x v="0"/>
    <n v="49"/>
    <x v="1"/>
    <n v="98"/>
    <s v="A+"/>
    <n v="90"/>
    <s v="A+"/>
    <n v="87"/>
    <s v="A"/>
    <n v="92"/>
    <s v="A+"/>
    <n v="92"/>
    <s v="A+"/>
    <n v="99"/>
    <s v="A+"/>
    <n v="98"/>
    <s v="A+"/>
    <n v="656"/>
    <n v="93.714285714285708"/>
    <x v="1"/>
    <n v="28"/>
    <x v="0"/>
  </r>
  <r>
    <n v="1458"/>
    <s v="James"/>
    <s v="Clarke"/>
    <x v="1439"/>
    <s v="james.clarke.1458@gslingacademy.com"/>
    <x v="0"/>
    <x v="0"/>
    <n v="4"/>
    <x v="0"/>
    <n v="6"/>
    <x v="4"/>
    <n v="66"/>
    <s v="B"/>
    <n v="97"/>
    <s v="A+"/>
    <n v="82"/>
    <s v="A"/>
    <n v="70"/>
    <s v="B+"/>
    <n v="93"/>
    <s v="A+"/>
    <n v="68"/>
    <s v="B"/>
    <n v="98"/>
    <s v="A+"/>
    <n v="574"/>
    <n v="82"/>
    <x v="0"/>
    <n v="832"/>
    <x v="0"/>
  </r>
  <r>
    <n v="1459"/>
    <s v="Michael"/>
    <s v="Smith"/>
    <x v="1440"/>
    <s v="michael.smith.1459@gslingacademy.com"/>
    <x v="0"/>
    <x v="0"/>
    <n v="7"/>
    <x v="1"/>
    <n v="33"/>
    <x v="11"/>
    <n v="99"/>
    <s v="A+"/>
    <n v="82"/>
    <s v="A"/>
    <n v="69"/>
    <s v="B"/>
    <n v="84"/>
    <s v="A"/>
    <n v="79"/>
    <s v="A-"/>
    <n v="88"/>
    <s v="A"/>
    <n v="67"/>
    <s v="B"/>
    <n v="568"/>
    <n v="81.142857142857139"/>
    <x v="0"/>
    <n v="975"/>
    <x v="2"/>
  </r>
  <r>
    <n v="1460"/>
    <s v="Nicole"/>
    <s v="King"/>
    <x v="1441"/>
    <s v="nicole.king.1460@gslingacademy.com"/>
    <x v="1"/>
    <x v="1"/>
    <n v="5"/>
    <x v="1"/>
    <n v="10"/>
    <x v="12"/>
    <n v="71"/>
    <s v="B+"/>
    <n v="70"/>
    <s v="B+"/>
    <n v="87"/>
    <s v="A"/>
    <n v="62"/>
    <s v="B-"/>
    <n v="92"/>
    <s v="A+"/>
    <n v="63"/>
    <s v="B-"/>
    <n v="80"/>
    <s v="A"/>
    <n v="525"/>
    <n v="75"/>
    <x v="2"/>
    <n v="1704"/>
    <x v="0"/>
  </r>
  <r>
    <n v="1461"/>
    <s v="Ruth"/>
    <s v="Miller"/>
    <x v="1442"/>
    <s v="ruth.miller.1461@gslingacademy.com"/>
    <x v="1"/>
    <x v="0"/>
    <n v="1"/>
    <x v="0"/>
    <n v="13"/>
    <x v="2"/>
    <n v="74"/>
    <s v="B+"/>
    <n v="76"/>
    <s v="A-"/>
    <n v="81"/>
    <s v="A"/>
    <n v="69"/>
    <s v="B"/>
    <n v="98"/>
    <s v="A+"/>
    <n v="96"/>
    <s v="A+"/>
    <n v="65"/>
    <s v="B"/>
    <n v="559"/>
    <n v="79.857142857142861"/>
    <x v="2"/>
    <n v="1155"/>
    <x v="1"/>
  </r>
  <r>
    <n v="1462"/>
    <s v="Katelyn"/>
    <s v="Roman"/>
    <x v="1443"/>
    <s v="katelyn.roman.1462@gslingacademy.com"/>
    <x v="1"/>
    <x v="0"/>
    <n v="6"/>
    <x v="1"/>
    <n v="25"/>
    <x v="9"/>
    <n v="93"/>
    <s v="A+"/>
    <n v="60"/>
    <s v="B-"/>
    <n v="71"/>
    <s v="B+"/>
    <n v="63"/>
    <s v="B-"/>
    <n v="75"/>
    <s v="A-"/>
    <n v="76"/>
    <s v="A-"/>
    <n v="77"/>
    <s v="A-"/>
    <n v="515"/>
    <n v="73.571428571428569"/>
    <x v="3"/>
    <n v="1798"/>
    <x v="0"/>
  </r>
  <r>
    <n v="1463"/>
    <s v="Allison"/>
    <s v="Hendricks"/>
    <x v="1444"/>
    <s v="allison.hendricks.1463@gslingacademy.com"/>
    <x v="1"/>
    <x v="0"/>
    <n v="2"/>
    <x v="0"/>
    <n v="35"/>
    <x v="0"/>
    <n v="89"/>
    <s v="A"/>
    <n v="90"/>
    <s v="A+"/>
    <n v="99"/>
    <s v="A+"/>
    <n v="91"/>
    <s v="A+"/>
    <n v="94"/>
    <s v="A+"/>
    <n v="96"/>
    <s v="A+"/>
    <n v="85"/>
    <s v="A"/>
    <n v="644"/>
    <n v="92"/>
    <x v="1"/>
    <n v="83"/>
    <x v="1"/>
  </r>
  <r>
    <n v="1464"/>
    <s v="Zachary"/>
    <s v="Lucero"/>
    <x v="1445"/>
    <s v="zachary.lucero.1464@gslingacademy.com"/>
    <x v="0"/>
    <x v="1"/>
    <n v="8"/>
    <x v="1"/>
    <n v="1"/>
    <x v="7"/>
    <n v="66"/>
    <s v="B"/>
    <n v="53"/>
    <s v="C"/>
    <n v="85"/>
    <s v="A"/>
    <n v="84"/>
    <s v="A"/>
    <n v="98"/>
    <s v="A+"/>
    <n v="86"/>
    <s v="A"/>
    <n v="79"/>
    <s v="A-"/>
    <n v="551"/>
    <n v="78.714285714285708"/>
    <x v="2"/>
    <n v="1317"/>
    <x v="2"/>
  </r>
  <r>
    <n v="1465"/>
    <s v="Gregory"/>
    <s v="Ryan"/>
    <x v="1446"/>
    <s v="gregory.ryan.1465@gslingacademy.com"/>
    <x v="0"/>
    <x v="0"/>
    <n v="1"/>
    <x v="0"/>
    <n v="29"/>
    <x v="15"/>
    <n v="80"/>
    <s v="A"/>
    <n v="96"/>
    <s v="A+"/>
    <n v="79"/>
    <s v="A-"/>
    <n v="95"/>
    <s v="A+"/>
    <n v="74"/>
    <s v="B+"/>
    <n v="95"/>
    <s v="A+"/>
    <n v="61"/>
    <s v="B-"/>
    <n v="580"/>
    <n v="82.857142857142861"/>
    <x v="0"/>
    <n v="709"/>
    <x v="1"/>
  </r>
  <r>
    <n v="1466"/>
    <s v="Jacob"/>
    <s v="Hall"/>
    <x v="1447"/>
    <s v="jacob.hall.1466@gslingacademy.com"/>
    <x v="0"/>
    <x v="0"/>
    <n v="3"/>
    <x v="0"/>
    <n v="20"/>
    <x v="5"/>
    <n v="97"/>
    <s v="A+"/>
    <n v="93"/>
    <s v="A+"/>
    <n v="67"/>
    <s v="B"/>
    <n v="85"/>
    <s v="A"/>
    <n v="90"/>
    <s v="A+"/>
    <n v="72"/>
    <s v="B+"/>
    <n v="96"/>
    <s v="A+"/>
    <n v="600"/>
    <n v="85.714285714285708"/>
    <x v="0"/>
    <n v="406"/>
    <x v="0"/>
  </r>
  <r>
    <n v="1467"/>
    <s v="Mark"/>
    <s v="Wright"/>
    <x v="1448"/>
    <s v="mark.wright.1467@gslingacademy.com"/>
    <x v="0"/>
    <x v="1"/>
    <n v="3"/>
    <x v="0"/>
    <n v="49"/>
    <x v="1"/>
    <n v="87"/>
    <s v="A"/>
    <n v="86"/>
    <s v="A"/>
    <n v="87"/>
    <s v="A"/>
    <n v="91"/>
    <s v="A+"/>
    <n v="86"/>
    <s v="A"/>
    <n v="96"/>
    <s v="A+"/>
    <n v="92"/>
    <s v="A+"/>
    <n v="625"/>
    <n v="89.285714285714292"/>
    <x v="0"/>
    <n v="187"/>
    <x v="0"/>
  </r>
  <r>
    <n v="1468"/>
    <s v="Jennifer"/>
    <s v="Wright"/>
    <x v="1449"/>
    <s v="jennifer.wright.1468@gslingacademy.com"/>
    <x v="1"/>
    <x v="0"/>
    <n v="4"/>
    <x v="0"/>
    <n v="13"/>
    <x v="6"/>
    <n v="77"/>
    <s v="A-"/>
    <n v="87"/>
    <s v="A"/>
    <n v="83"/>
    <s v="A"/>
    <n v="81"/>
    <s v="A"/>
    <n v="60"/>
    <s v="B-"/>
    <n v="92"/>
    <s v="A+"/>
    <n v="76"/>
    <s v="A-"/>
    <n v="556"/>
    <n v="79.428571428571431"/>
    <x v="2"/>
    <n v="1224"/>
    <x v="0"/>
  </r>
  <r>
    <n v="1469"/>
    <s v="Kimberly"/>
    <s v="Dyer"/>
    <x v="1450"/>
    <s v="kimberly.dyer.1469@gslingacademy.com"/>
    <x v="1"/>
    <x v="0"/>
    <n v="2"/>
    <x v="0"/>
    <n v="20"/>
    <x v="4"/>
    <n v="99"/>
    <s v="A+"/>
    <n v="93"/>
    <s v="A+"/>
    <n v="90"/>
    <s v="A+"/>
    <n v="79"/>
    <s v="A-"/>
    <n v="93"/>
    <s v="A+"/>
    <n v="71"/>
    <s v="B+"/>
    <n v="84"/>
    <s v="A"/>
    <n v="609"/>
    <n v="87"/>
    <x v="0"/>
    <n v="309"/>
    <x v="1"/>
  </r>
  <r>
    <n v="1470"/>
    <s v="Nicole"/>
    <s v="Grant"/>
    <x v="1451"/>
    <s v="nicole.grant.1470@gslingacademy.com"/>
    <x v="1"/>
    <x v="0"/>
    <n v="2"/>
    <x v="1"/>
    <n v="18"/>
    <x v="6"/>
    <n v="89"/>
    <s v="A"/>
    <n v="75"/>
    <s v="A-"/>
    <n v="65"/>
    <s v="B"/>
    <n v="100"/>
    <s v="A+"/>
    <n v="74"/>
    <s v="B+"/>
    <n v="71"/>
    <s v="B+"/>
    <n v="75"/>
    <s v="A-"/>
    <n v="549"/>
    <n v="78.428571428571431"/>
    <x v="2"/>
    <n v="1355"/>
    <x v="1"/>
  </r>
  <r>
    <n v="1471"/>
    <s v="Peter"/>
    <s v="Anderson"/>
    <x v="1452"/>
    <s v="peter.anderson.1471@gslingacademy.com"/>
    <x v="0"/>
    <x v="0"/>
    <n v="1"/>
    <x v="0"/>
    <n v="23"/>
    <x v="5"/>
    <n v="86"/>
    <s v="A"/>
    <n v="79"/>
    <s v="A-"/>
    <n v="69"/>
    <s v="B"/>
    <n v="60"/>
    <s v="B-"/>
    <n v="76"/>
    <s v="A-"/>
    <n v="76"/>
    <s v="A-"/>
    <n v="92"/>
    <s v="A+"/>
    <n v="538"/>
    <n v="76.857142857142861"/>
    <x v="2"/>
    <n v="1537"/>
    <x v="1"/>
  </r>
  <r>
    <n v="1472"/>
    <s v="Christine"/>
    <s v="Hernandez"/>
    <x v="1453"/>
    <s v="christine.hernandez.1472@gslingacademy.com"/>
    <x v="1"/>
    <x v="0"/>
    <n v="0"/>
    <x v="0"/>
    <n v="10"/>
    <x v="16"/>
    <n v="82"/>
    <s v="A"/>
    <n v="86"/>
    <s v="A"/>
    <n v="91"/>
    <s v="A+"/>
    <n v="68"/>
    <s v="B"/>
    <n v="80"/>
    <s v="A"/>
    <n v="62"/>
    <s v="B-"/>
    <n v="81"/>
    <s v="A"/>
    <n v="550"/>
    <n v="78.571428571428569"/>
    <x v="2"/>
    <n v="1338"/>
    <x v="1"/>
  </r>
  <r>
    <n v="1473"/>
    <s v="Christine"/>
    <s v="Smith"/>
    <x v="1454"/>
    <s v="christine.smith.1473@gslingacademy.com"/>
    <x v="1"/>
    <x v="0"/>
    <n v="4"/>
    <x v="1"/>
    <n v="4"/>
    <x v="3"/>
    <n v="79"/>
    <s v="A-"/>
    <n v="100"/>
    <s v="A+"/>
    <n v="75"/>
    <s v="A-"/>
    <n v="85"/>
    <s v="A"/>
    <n v="100"/>
    <s v="A+"/>
    <n v="81"/>
    <s v="A"/>
    <n v="64"/>
    <s v="B-"/>
    <n v="584"/>
    <n v="83.428571428571431"/>
    <x v="0"/>
    <n v="635"/>
    <x v="0"/>
  </r>
  <r>
    <n v="1474"/>
    <s v="Mark"/>
    <s v="Robinson"/>
    <x v="1455"/>
    <s v="mark.robinson.1474@gslingacademy.com"/>
    <x v="0"/>
    <x v="0"/>
    <n v="1"/>
    <x v="0"/>
    <n v="11"/>
    <x v="13"/>
    <n v="89"/>
    <s v="A"/>
    <n v="70"/>
    <s v="B+"/>
    <n v="92"/>
    <s v="A+"/>
    <n v="100"/>
    <s v="A+"/>
    <n v="100"/>
    <s v="A+"/>
    <n v="95"/>
    <s v="A+"/>
    <n v="65"/>
    <s v="B"/>
    <n v="611"/>
    <n v="87.285714285714292"/>
    <x v="0"/>
    <n v="291"/>
    <x v="1"/>
  </r>
  <r>
    <n v="1475"/>
    <s v="Joan"/>
    <s v="Estrada"/>
    <x v="1456"/>
    <s v="joan.estrada.1475@gslingacademy.com"/>
    <x v="1"/>
    <x v="0"/>
    <n v="3"/>
    <x v="0"/>
    <n v="15"/>
    <x v="6"/>
    <n v="77"/>
    <s v="A-"/>
    <n v="73"/>
    <s v="B+"/>
    <n v="67"/>
    <s v="B"/>
    <n v="67"/>
    <s v="B"/>
    <n v="88"/>
    <s v="A"/>
    <n v="89"/>
    <s v="A"/>
    <n v="99"/>
    <s v="A+"/>
    <n v="560"/>
    <n v="80"/>
    <x v="0"/>
    <n v="1134"/>
    <x v="0"/>
  </r>
  <r>
    <n v="1476"/>
    <s v="Shelby"/>
    <s v="Lewis"/>
    <x v="1457"/>
    <s v="shelby.lewis.1476@gslingacademy.com"/>
    <x v="1"/>
    <x v="0"/>
    <n v="1"/>
    <x v="1"/>
    <n v="16"/>
    <x v="9"/>
    <n v="95"/>
    <s v="A+"/>
    <n v="79"/>
    <s v="A-"/>
    <n v="85"/>
    <s v="A"/>
    <n v="73"/>
    <s v="B+"/>
    <n v="74"/>
    <s v="B+"/>
    <n v="86"/>
    <s v="A"/>
    <n v="68"/>
    <s v="B"/>
    <n v="560"/>
    <n v="80"/>
    <x v="0"/>
    <n v="1134"/>
    <x v="1"/>
  </r>
  <r>
    <n v="1477"/>
    <s v="Joshua"/>
    <s v="Williams"/>
    <x v="1458"/>
    <s v="joshua.williams.1477@gslingacademy.com"/>
    <x v="0"/>
    <x v="0"/>
    <n v="10"/>
    <x v="1"/>
    <n v="5"/>
    <x v="7"/>
    <n v="63"/>
    <s v="B-"/>
    <n v="54"/>
    <s v="C"/>
    <n v="57"/>
    <s v="C"/>
    <n v="51"/>
    <s v="C"/>
    <n v="63"/>
    <s v="B-"/>
    <n v="88"/>
    <s v="A"/>
    <n v="83"/>
    <s v="A"/>
    <n v="459"/>
    <n v="65.571428571428569"/>
    <x v="4"/>
    <n v="1981"/>
    <x v="2"/>
  </r>
  <r>
    <n v="1478"/>
    <s v="Cynthia"/>
    <s v="Martinez"/>
    <x v="1459"/>
    <s v="cynthia.martinez.1478@gslingacademy.com"/>
    <x v="1"/>
    <x v="0"/>
    <n v="1"/>
    <x v="1"/>
    <n v="26"/>
    <x v="5"/>
    <n v="98"/>
    <s v="A+"/>
    <n v="85"/>
    <s v="A"/>
    <n v="95"/>
    <s v="A+"/>
    <n v="92"/>
    <s v="A+"/>
    <n v="74"/>
    <s v="B+"/>
    <n v="79"/>
    <s v="A-"/>
    <n v="63"/>
    <s v="B-"/>
    <n v="586"/>
    <n v="83.714285714285708"/>
    <x v="0"/>
    <n v="601"/>
    <x v="1"/>
  </r>
  <r>
    <n v="1479"/>
    <s v="Kevin"/>
    <s v="Holt"/>
    <x v="1460"/>
    <s v="kevin.holt.1479@gslingacademy.com"/>
    <x v="0"/>
    <x v="0"/>
    <n v="2"/>
    <x v="0"/>
    <n v="29"/>
    <x v="4"/>
    <n v="76"/>
    <s v="A-"/>
    <n v="81"/>
    <s v="A"/>
    <n v="69"/>
    <s v="B"/>
    <n v="87"/>
    <s v="A"/>
    <n v="60"/>
    <s v="B-"/>
    <n v="93"/>
    <s v="A+"/>
    <n v="62"/>
    <s v="B-"/>
    <n v="528"/>
    <n v="75.428571428571431"/>
    <x v="2"/>
    <n v="1678"/>
    <x v="1"/>
  </r>
  <r>
    <n v="1480"/>
    <s v="Jessica"/>
    <s v="Nolan"/>
    <x v="1461"/>
    <s v="jessica.nolan.1480@gslingacademy.com"/>
    <x v="1"/>
    <x v="0"/>
    <n v="10"/>
    <x v="0"/>
    <n v="3"/>
    <x v="7"/>
    <n v="40"/>
    <s v="D"/>
    <n v="81"/>
    <s v="A"/>
    <n v="54"/>
    <s v="C"/>
    <n v="70"/>
    <s v="B+"/>
    <n v="53"/>
    <s v="C"/>
    <n v="98"/>
    <s v="A+"/>
    <n v="61"/>
    <s v="B-"/>
    <n v="457"/>
    <n v="65.285714285714292"/>
    <x v="4"/>
    <n v="1986"/>
    <x v="2"/>
  </r>
  <r>
    <n v="1481"/>
    <s v="Timothy"/>
    <s v="Fowler"/>
    <x v="1462"/>
    <s v="timothy.fowler.1481@gslingacademy.com"/>
    <x v="0"/>
    <x v="0"/>
    <n v="4"/>
    <x v="1"/>
    <n v="32"/>
    <x v="5"/>
    <n v="89"/>
    <s v="A"/>
    <n v="84"/>
    <s v="A"/>
    <n v="84"/>
    <s v="A"/>
    <n v="100"/>
    <s v="A+"/>
    <n v="77"/>
    <s v="A-"/>
    <n v="62"/>
    <s v="B-"/>
    <n v="69"/>
    <s v="B"/>
    <n v="565"/>
    <n v="80.714285714285708"/>
    <x v="0"/>
    <n v="1035"/>
    <x v="0"/>
  </r>
  <r>
    <n v="1482"/>
    <s v="Samantha"/>
    <s v="Ibarra"/>
    <x v="1463"/>
    <s v="samantha.ibarra.1482@gslingacademy.com"/>
    <x v="1"/>
    <x v="0"/>
    <n v="5"/>
    <x v="0"/>
    <n v="24"/>
    <x v="1"/>
    <n v="86"/>
    <s v="A"/>
    <n v="75"/>
    <s v="A-"/>
    <n v="97"/>
    <s v="A+"/>
    <n v="93"/>
    <s v="A+"/>
    <n v="88"/>
    <s v="A"/>
    <n v="74"/>
    <s v="B+"/>
    <n v="97"/>
    <s v="A+"/>
    <n v="610"/>
    <n v="87.142857142857139"/>
    <x v="0"/>
    <n v="298"/>
    <x v="0"/>
  </r>
  <r>
    <n v="1483"/>
    <s v="Michelle"/>
    <s v="Guerrero"/>
    <x v="1464"/>
    <s v="michelle.guerrero.1483@gslingacademy.com"/>
    <x v="1"/>
    <x v="0"/>
    <n v="3"/>
    <x v="1"/>
    <n v="20"/>
    <x v="5"/>
    <n v="99"/>
    <s v="A+"/>
    <n v="77"/>
    <s v="A-"/>
    <n v="60"/>
    <s v="B-"/>
    <n v="99"/>
    <s v="A+"/>
    <n v="100"/>
    <s v="A+"/>
    <n v="83"/>
    <s v="A"/>
    <n v="72"/>
    <s v="B+"/>
    <n v="590"/>
    <n v="84.285714285714292"/>
    <x v="0"/>
    <n v="531"/>
    <x v="0"/>
  </r>
  <r>
    <n v="1484"/>
    <s v="Stephanie"/>
    <s v="Pineda"/>
    <x v="1465"/>
    <s v="stephanie.pineda.1484@gslingacademy.com"/>
    <x v="1"/>
    <x v="1"/>
    <n v="5"/>
    <x v="1"/>
    <n v="1"/>
    <x v="7"/>
    <n v="67"/>
    <s v="B"/>
    <n v="61"/>
    <s v="B-"/>
    <n v="61"/>
    <s v="B-"/>
    <n v="82"/>
    <s v="A"/>
    <n v="69"/>
    <s v="B"/>
    <n v="87"/>
    <s v="A"/>
    <n v="97"/>
    <s v="A+"/>
    <n v="524"/>
    <n v="74.857142857142861"/>
    <x v="3"/>
    <n v="1715"/>
    <x v="0"/>
  </r>
  <r>
    <n v="1485"/>
    <s v="Philip"/>
    <s v="Blair"/>
    <x v="1466"/>
    <s v="philip.blair.1485@gslingacademy.com"/>
    <x v="0"/>
    <x v="0"/>
    <n v="9"/>
    <x v="0"/>
    <n v="0"/>
    <x v="7"/>
    <n v="43"/>
    <s v="D"/>
    <n v="87"/>
    <s v="A"/>
    <n v="81"/>
    <s v="A"/>
    <n v="61"/>
    <s v="B-"/>
    <n v="65"/>
    <s v="B"/>
    <n v="53"/>
    <s v="C"/>
    <n v="84"/>
    <s v="A"/>
    <n v="474"/>
    <n v="67.714285714285708"/>
    <x v="4"/>
    <n v="1949"/>
    <x v="2"/>
  </r>
  <r>
    <n v="1486"/>
    <s v="David"/>
    <s v="Jimenez"/>
    <x v="1467"/>
    <s v="david.jimenez.1486@gslingacademy.com"/>
    <x v="0"/>
    <x v="0"/>
    <n v="8"/>
    <x v="1"/>
    <n v="5"/>
    <x v="7"/>
    <n v="40"/>
    <s v="D"/>
    <n v="97"/>
    <s v="A+"/>
    <n v="92"/>
    <s v="A+"/>
    <n v="93"/>
    <s v="A+"/>
    <n v="92"/>
    <s v="A+"/>
    <n v="65"/>
    <s v="B"/>
    <n v="82"/>
    <s v="A"/>
    <n v="561"/>
    <n v="80.142857142857139"/>
    <x v="0"/>
    <n v="1120"/>
    <x v="2"/>
  </r>
  <r>
    <n v="1487"/>
    <s v="Megan"/>
    <s v="Bright"/>
    <x v="1468"/>
    <s v="megan.bright.1487@gslingacademy.com"/>
    <x v="1"/>
    <x v="0"/>
    <n v="2"/>
    <x v="0"/>
    <n v="5"/>
    <x v="7"/>
    <n v="65"/>
    <s v="B"/>
    <n v="93"/>
    <s v="A+"/>
    <n v="67"/>
    <s v="B"/>
    <n v="73"/>
    <s v="B+"/>
    <n v="57"/>
    <s v="C"/>
    <n v="72"/>
    <s v="B+"/>
    <n v="97"/>
    <s v="A+"/>
    <n v="524"/>
    <n v="74.857142857142861"/>
    <x v="3"/>
    <n v="1715"/>
    <x v="1"/>
  </r>
  <r>
    <n v="1488"/>
    <s v="Thomas"/>
    <s v="Montoya"/>
    <x v="1469"/>
    <s v="thomas.montoya.1488@gslingacademy.com"/>
    <x v="0"/>
    <x v="0"/>
    <n v="6"/>
    <x v="0"/>
    <n v="1"/>
    <x v="7"/>
    <n v="96"/>
    <s v="A+"/>
    <n v="92"/>
    <s v="A+"/>
    <n v="64"/>
    <s v="B-"/>
    <n v="54"/>
    <s v="C"/>
    <n v="87"/>
    <s v="A"/>
    <n v="60"/>
    <s v="B-"/>
    <n v="88"/>
    <s v="A"/>
    <n v="541"/>
    <n v="77.285714285714292"/>
    <x v="2"/>
    <n v="1493"/>
    <x v="0"/>
  </r>
  <r>
    <n v="1489"/>
    <s v="Brenda"/>
    <s v="Houston"/>
    <x v="1470"/>
    <s v="brenda.houston.1489@gslingacademy.com"/>
    <x v="1"/>
    <x v="0"/>
    <n v="1"/>
    <x v="1"/>
    <n v="27"/>
    <x v="5"/>
    <n v="96"/>
    <s v="A+"/>
    <n v="92"/>
    <s v="A+"/>
    <n v="80"/>
    <s v="A"/>
    <n v="61"/>
    <s v="B-"/>
    <n v="66"/>
    <s v="B"/>
    <n v="98"/>
    <s v="A+"/>
    <n v="70"/>
    <s v="B+"/>
    <n v="563"/>
    <n v="80.428571428571431"/>
    <x v="0"/>
    <n v="1077"/>
    <x v="1"/>
  </r>
  <r>
    <n v="1490"/>
    <s v="Daniel"/>
    <s v="Lee"/>
    <x v="1471"/>
    <s v="daniel.lee.1490@gslingacademy.com"/>
    <x v="0"/>
    <x v="1"/>
    <n v="1"/>
    <x v="0"/>
    <n v="29"/>
    <x v="0"/>
    <n v="90"/>
    <s v="A+"/>
    <n v="84"/>
    <s v="A"/>
    <n v="90"/>
    <s v="A+"/>
    <n v="81"/>
    <s v="A"/>
    <n v="92"/>
    <s v="A+"/>
    <n v="83"/>
    <s v="A"/>
    <n v="69"/>
    <s v="B"/>
    <n v="589"/>
    <n v="84.142857142857139"/>
    <x v="0"/>
    <n v="548"/>
    <x v="1"/>
  </r>
  <r>
    <n v="1491"/>
    <s v="Stephanie"/>
    <s v="Jones"/>
    <x v="1472"/>
    <s v="stephanie.jones.1491@gslingacademy.com"/>
    <x v="1"/>
    <x v="1"/>
    <n v="9"/>
    <x v="0"/>
    <n v="4"/>
    <x v="7"/>
    <n v="85"/>
    <s v="A"/>
    <n v="57"/>
    <s v="C"/>
    <n v="77"/>
    <s v="A-"/>
    <n v="81"/>
    <s v="A"/>
    <n v="65"/>
    <s v="B"/>
    <n v="75"/>
    <s v="A-"/>
    <n v="85"/>
    <s v="A"/>
    <n v="525"/>
    <n v="75"/>
    <x v="2"/>
    <n v="1704"/>
    <x v="2"/>
  </r>
  <r>
    <n v="1492"/>
    <s v="Rachel"/>
    <s v="Salas"/>
    <x v="1473"/>
    <s v="rachel.salas.1492@gslingacademy.com"/>
    <x v="1"/>
    <x v="1"/>
    <n v="8"/>
    <x v="1"/>
    <n v="4"/>
    <x v="7"/>
    <n v="92"/>
    <s v="A+"/>
    <n v="96"/>
    <s v="A+"/>
    <n v="80"/>
    <s v="A"/>
    <n v="98"/>
    <s v="A+"/>
    <n v="61"/>
    <s v="B-"/>
    <n v="84"/>
    <s v="A"/>
    <n v="74"/>
    <s v="B+"/>
    <n v="585"/>
    <n v="83.571428571428569"/>
    <x v="0"/>
    <n v="615"/>
    <x v="2"/>
  </r>
  <r>
    <n v="1493"/>
    <s v="Oscar"/>
    <s v="Benjamin"/>
    <x v="1474"/>
    <s v="oscar.benjamin.1493@gslingacademy.com"/>
    <x v="0"/>
    <x v="0"/>
    <n v="3"/>
    <x v="0"/>
    <n v="21"/>
    <x v="1"/>
    <n v="100"/>
    <s v="A+"/>
    <n v="82"/>
    <s v="A"/>
    <n v="84"/>
    <s v="A"/>
    <n v="100"/>
    <s v="A+"/>
    <n v="90"/>
    <s v="A+"/>
    <n v="62"/>
    <s v="B-"/>
    <n v="87"/>
    <s v="A"/>
    <n v="605"/>
    <n v="86.428571428571431"/>
    <x v="0"/>
    <n v="344"/>
    <x v="0"/>
  </r>
  <r>
    <n v="1494"/>
    <s v="Debra"/>
    <s v="Brown"/>
    <x v="1475"/>
    <s v="debra.brown.1494@gslingacademy.com"/>
    <x v="1"/>
    <x v="0"/>
    <n v="3"/>
    <x v="0"/>
    <n v="31"/>
    <x v="15"/>
    <n v="94"/>
    <s v="A+"/>
    <n v="63"/>
    <s v="B-"/>
    <n v="98"/>
    <s v="A+"/>
    <n v="73"/>
    <s v="B+"/>
    <n v="63"/>
    <s v="B-"/>
    <n v="98"/>
    <s v="A+"/>
    <n v="100"/>
    <s v="A+"/>
    <n v="589"/>
    <n v="84.142857142857139"/>
    <x v="0"/>
    <n v="548"/>
    <x v="0"/>
  </r>
  <r>
    <n v="1495"/>
    <s v="Jennifer"/>
    <s v="Martin"/>
    <x v="1292"/>
    <s v="jennifer.martin.1495@gslingacademy.com"/>
    <x v="1"/>
    <x v="0"/>
    <n v="3"/>
    <x v="0"/>
    <n v="15"/>
    <x v="9"/>
    <n v="85"/>
    <s v="A"/>
    <n v="76"/>
    <s v="A-"/>
    <n v="94"/>
    <s v="A+"/>
    <n v="89"/>
    <s v="A"/>
    <n v="85"/>
    <s v="A"/>
    <n v="83"/>
    <s v="A"/>
    <n v="80"/>
    <s v="A"/>
    <n v="592"/>
    <n v="84.571428571428569"/>
    <x v="0"/>
    <n v="505"/>
    <x v="0"/>
  </r>
  <r>
    <n v="1496"/>
    <s v="Jeffrey"/>
    <s v="Conley"/>
    <x v="1476"/>
    <s v="jeffrey.conley.1496@gslingacademy.com"/>
    <x v="0"/>
    <x v="0"/>
    <n v="0"/>
    <x v="0"/>
    <n v="30"/>
    <x v="0"/>
    <n v="80"/>
    <s v="A"/>
    <n v="84"/>
    <s v="A"/>
    <n v="82"/>
    <s v="A"/>
    <n v="69"/>
    <s v="B"/>
    <n v="91"/>
    <s v="A+"/>
    <n v="80"/>
    <s v="A"/>
    <n v="96"/>
    <s v="A+"/>
    <n v="582"/>
    <n v="83.142857142857139"/>
    <x v="0"/>
    <n v="670"/>
    <x v="1"/>
  </r>
  <r>
    <n v="1497"/>
    <s v="Cory"/>
    <s v="Cook"/>
    <x v="1477"/>
    <s v="cory.cook.1497@gslingacademy.com"/>
    <x v="0"/>
    <x v="0"/>
    <n v="1"/>
    <x v="0"/>
    <n v="31"/>
    <x v="5"/>
    <n v="99"/>
    <s v="A+"/>
    <n v="61"/>
    <s v="B-"/>
    <n v="91"/>
    <s v="A+"/>
    <n v="73"/>
    <s v="B+"/>
    <n v="89"/>
    <s v="A"/>
    <n v="62"/>
    <s v="B-"/>
    <n v="82"/>
    <s v="A"/>
    <n v="557"/>
    <n v="79.571428571428569"/>
    <x v="2"/>
    <n v="1200"/>
    <x v="1"/>
  </r>
  <r>
    <n v="1498"/>
    <s v="David"/>
    <s v="Walters"/>
    <x v="1478"/>
    <s v="david.walters.1498@gslingacademy.com"/>
    <x v="0"/>
    <x v="0"/>
    <n v="7"/>
    <x v="0"/>
    <n v="23"/>
    <x v="10"/>
    <n v="70"/>
    <s v="B+"/>
    <n v="91"/>
    <s v="A+"/>
    <n v="81"/>
    <s v="A"/>
    <n v="61"/>
    <s v="B-"/>
    <n v="64"/>
    <s v="B-"/>
    <n v="93"/>
    <s v="A+"/>
    <n v="96"/>
    <s v="A+"/>
    <n v="556"/>
    <n v="79.428571428571431"/>
    <x v="2"/>
    <n v="1224"/>
    <x v="2"/>
  </r>
  <r>
    <n v="1499"/>
    <s v="Jeffrey"/>
    <s v="Moore"/>
    <x v="1479"/>
    <s v="jeffrey.moore.1499@gslingacademy.com"/>
    <x v="0"/>
    <x v="0"/>
    <n v="1"/>
    <x v="0"/>
    <n v="23"/>
    <x v="12"/>
    <n v="62"/>
    <s v="B-"/>
    <n v="72"/>
    <s v="B+"/>
    <n v="78"/>
    <s v="A-"/>
    <n v="96"/>
    <s v="A+"/>
    <n v="70"/>
    <s v="B+"/>
    <n v="74"/>
    <s v="B+"/>
    <n v="72"/>
    <s v="B+"/>
    <n v="524"/>
    <n v="74.857142857142861"/>
    <x v="3"/>
    <n v="1715"/>
    <x v="1"/>
  </r>
  <r>
    <n v="1500"/>
    <s v="Stacey"/>
    <s v="Williams"/>
    <x v="1480"/>
    <s v="stacey.williams.1500@gslingacademy.com"/>
    <x v="1"/>
    <x v="1"/>
    <n v="0"/>
    <x v="0"/>
    <n v="27"/>
    <x v="5"/>
    <n v="94"/>
    <s v="A+"/>
    <n v="97"/>
    <s v="A+"/>
    <n v="73"/>
    <s v="B+"/>
    <n v="79"/>
    <s v="A-"/>
    <n v="84"/>
    <s v="A"/>
    <n v="66"/>
    <s v="B"/>
    <n v="64"/>
    <s v="B-"/>
    <n v="557"/>
    <n v="79.571428571428569"/>
    <x v="2"/>
    <n v="1200"/>
    <x v="1"/>
  </r>
  <r>
    <n v="1501"/>
    <s v="Beth"/>
    <s v="Stephens"/>
    <x v="1481"/>
    <s v="beth.stephens.1501@gslingacademy.com"/>
    <x v="1"/>
    <x v="0"/>
    <n v="3"/>
    <x v="1"/>
    <n v="5"/>
    <x v="16"/>
    <n v="79"/>
    <s v="A-"/>
    <n v="93"/>
    <s v="A+"/>
    <n v="100"/>
    <s v="A+"/>
    <n v="83"/>
    <s v="A"/>
    <n v="78"/>
    <s v="A-"/>
    <n v="80"/>
    <s v="A"/>
    <n v="87"/>
    <s v="A"/>
    <n v="600"/>
    <n v="85.714285714285708"/>
    <x v="0"/>
    <n v="406"/>
    <x v="0"/>
  </r>
  <r>
    <n v="1502"/>
    <s v="Lisa"/>
    <s v="Franco"/>
    <x v="1482"/>
    <s v="lisa.franco.1502@gslingacademy.com"/>
    <x v="1"/>
    <x v="1"/>
    <n v="10"/>
    <x v="0"/>
    <n v="4"/>
    <x v="7"/>
    <n v="47"/>
    <s v="D"/>
    <n v="75"/>
    <s v="A-"/>
    <n v="53"/>
    <s v="C"/>
    <n v="60"/>
    <s v="B-"/>
    <n v="90"/>
    <s v="A+"/>
    <n v="59"/>
    <s v="C"/>
    <n v="86"/>
    <s v="A"/>
    <n v="470"/>
    <n v="67.142857142857139"/>
    <x v="4"/>
    <n v="1961"/>
    <x v="2"/>
  </r>
  <r>
    <n v="1503"/>
    <s v="Sarah"/>
    <s v="Snow"/>
    <x v="1483"/>
    <s v="sarah.snow.1503@gslingacademy.com"/>
    <x v="1"/>
    <x v="0"/>
    <n v="9"/>
    <x v="0"/>
    <n v="21"/>
    <x v="9"/>
    <n v="100"/>
    <s v="A+"/>
    <n v="73"/>
    <s v="B+"/>
    <n v="70"/>
    <s v="B+"/>
    <n v="71"/>
    <s v="B+"/>
    <n v="73"/>
    <s v="B+"/>
    <n v="96"/>
    <s v="A+"/>
    <n v="67"/>
    <s v="B"/>
    <n v="550"/>
    <n v="78.571428571428569"/>
    <x v="2"/>
    <n v="1338"/>
    <x v="2"/>
  </r>
  <r>
    <n v="1504"/>
    <s v="Frederick"/>
    <s v="Lopez"/>
    <x v="1484"/>
    <s v="frederick.lopez.1504@gslingacademy.com"/>
    <x v="0"/>
    <x v="0"/>
    <n v="5"/>
    <x v="0"/>
    <n v="26"/>
    <x v="9"/>
    <n v="90"/>
    <s v="A+"/>
    <n v="69"/>
    <s v="B"/>
    <n v="75"/>
    <s v="A-"/>
    <n v="98"/>
    <s v="A+"/>
    <n v="70"/>
    <s v="B+"/>
    <n v="75"/>
    <s v="A-"/>
    <n v="80"/>
    <s v="A"/>
    <n v="557"/>
    <n v="79.571428571428569"/>
    <x v="2"/>
    <n v="1200"/>
    <x v="0"/>
  </r>
  <r>
    <n v="1505"/>
    <s v="Cynthia"/>
    <s v="White"/>
    <x v="1485"/>
    <s v="cynthia.white.1505@gslingacademy.com"/>
    <x v="1"/>
    <x v="0"/>
    <n v="2"/>
    <x v="0"/>
    <n v="13"/>
    <x v="6"/>
    <n v="63"/>
    <s v="B-"/>
    <n v="94"/>
    <s v="A+"/>
    <n v="65"/>
    <s v="B"/>
    <n v="98"/>
    <s v="A+"/>
    <n v="69"/>
    <s v="B"/>
    <n v="90"/>
    <s v="A+"/>
    <n v="85"/>
    <s v="A"/>
    <n v="564"/>
    <n v="80.571428571428569"/>
    <x v="0"/>
    <n v="1056"/>
    <x v="1"/>
  </r>
  <r>
    <n v="1506"/>
    <s v="Samantha"/>
    <s v="Hopkins"/>
    <x v="1486"/>
    <s v="samantha.hopkins.1506@gslingacademy.com"/>
    <x v="1"/>
    <x v="0"/>
    <n v="7"/>
    <x v="0"/>
    <n v="10"/>
    <x v="4"/>
    <n v="78"/>
    <s v="A-"/>
    <n v="76"/>
    <s v="A-"/>
    <n v="93"/>
    <s v="A+"/>
    <n v="88"/>
    <s v="A"/>
    <n v="83"/>
    <s v="A"/>
    <n v="99"/>
    <s v="A+"/>
    <n v="98"/>
    <s v="A+"/>
    <n v="615"/>
    <n v="87.857142857142861"/>
    <x v="0"/>
    <n v="251"/>
    <x v="2"/>
  </r>
  <r>
    <n v="1507"/>
    <s v="Destiny"/>
    <s v="Rhodes"/>
    <x v="1487"/>
    <s v="destiny.rhodes.1507@gslingacademy.com"/>
    <x v="1"/>
    <x v="0"/>
    <n v="4"/>
    <x v="0"/>
    <n v="25"/>
    <x v="5"/>
    <n v="95"/>
    <s v="A+"/>
    <n v="94"/>
    <s v="A+"/>
    <n v="69"/>
    <s v="B"/>
    <n v="73"/>
    <s v="B+"/>
    <n v="71"/>
    <s v="B+"/>
    <n v="93"/>
    <s v="A+"/>
    <n v="71"/>
    <s v="B+"/>
    <n v="566"/>
    <n v="80.857142857142861"/>
    <x v="0"/>
    <n v="1019"/>
    <x v="0"/>
  </r>
  <r>
    <n v="1508"/>
    <s v="Jessica"/>
    <s v="Jones"/>
    <x v="1488"/>
    <s v="jessica.jones.1508@gslingacademy.com"/>
    <x v="1"/>
    <x v="0"/>
    <n v="4"/>
    <x v="0"/>
    <n v="13"/>
    <x v="4"/>
    <n v="88"/>
    <s v="A"/>
    <n v="92"/>
    <s v="A+"/>
    <n v="66"/>
    <s v="B"/>
    <n v="100"/>
    <s v="A+"/>
    <n v="98"/>
    <s v="A+"/>
    <n v="99"/>
    <s v="A+"/>
    <n v="70"/>
    <s v="B+"/>
    <n v="613"/>
    <n v="87.571428571428569"/>
    <x v="0"/>
    <n v="271"/>
    <x v="0"/>
  </r>
  <r>
    <n v="1509"/>
    <s v="Mark"/>
    <s v="Smith"/>
    <x v="1489"/>
    <s v="mark.smith.1509@gslingacademy.com"/>
    <x v="0"/>
    <x v="0"/>
    <n v="2"/>
    <x v="0"/>
    <n v="29"/>
    <x v="13"/>
    <n v="87"/>
    <s v="A"/>
    <n v="86"/>
    <s v="A"/>
    <n v="95"/>
    <s v="A+"/>
    <n v="92"/>
    <s v="A+"/>
    <n v="91"/>
    <s v="A+"/>
    <n v="79"/>
    <s v="A-"/>
    <n v="64"/>
    <s v="B-"/>
    <n v="594"/>
    <n v="84.857142857142861"/>
    <x v="0"/>
    <n v="479"/>
    <x v="1"/>
  </r>
  <r>
    <n v="1510"/>
    <s v="Maureen"/>
    <s v="Cain"/>
    <x v="1490"/>
    <s v="maureen.cain.1510@gslingacademy.com"/>
    <x v="1"/>
    <x v="0"/>
    <n v="4"/>
    <x v="0"/>
    <n v="1"/>
    <x v="16"/>
    <n v="89"/>
    <s v="A"/>
    <n v="100"/>
    <s v="A+"/>
    <n v="81"/>
    <s v="A"/>
    <n v="62"/>
    <s v="B-"/>
    <n v="75"/>
    <s v="A-"/>
    <n v="68"/>
    <s v="B"/>
    <n v="71"/>
    <s v="B+"/>
    <n v="546"/>
    <n v="78"/>
    <x v="2"/>
    <n v="1411"/>
    <x v="0"/>
  </r>
  <r>
    <n v="1511"/>
    <s v="Jennifer"/>
    <s v="Fuentes"/>
    <x v="1491"/>
    <s v="jennifer.fuentes.1511@gslingacademy.com"/>
    <x v="1"/>
    <x v="1"/>
    <n v="2"/>
    <x v="0"/>
    <n v="11"/>
    <x v="15"/>
    <n v="89"/>
    <s v="A"/>
    <n v="65"/>
    <s v="B"/>
    <n v="82"/>
    <s v="A"/>
    <n v="77"/>
    <s v="A-"/>
    <n v="90"/>
    <s v="A+"/>
    <n v="76"/>
    <s v="A-"/>
    <n v="84"/>
    <s v="A"/>
    <n v="563"/>
    <n v="80.428571428571431"/>
    <x v="0"/>
    <n v="1077"/>
    <x v="1"/>
  </r>
  <r>
    <n v="1512"/>
    <s v="Jennifer"/>
    <s v="Arnold"/>
    <x v="1492"/>
    <s v="jennifer.arnold.1512@gslingacademy.com"/>
    <x v="1"/>
    <x v="0"/>
    <n v="1"/>
    <x v="0"/>
    <n v="26"/>
    <x v="0"/>
    <n v="90"/>
    <s v="A+"/>
    <n v="100"/>
    <s v="A+"/>
    <n v="89"/>
    <s v="A"/>
    <n v="69"/>
    <s v="B"/>
    <n v="100"/>
    <s v="A+"/>
    <n v="95"/>
    <s v="A+"/>
    <n v="94"/>
    <s v="A+"/>
    <n v="637"/>
    <n v="91"/>
    <x v="1"/>
    <n v="115"/>
    <x v="1"/>
  </r>
  <r>
    <n v="1513"/>
    <s v="Laura"/>
    <s v="Smith"/>
    <x v="1493"/>
    <s v="laura.smith.1513@gslingacademy.com"/>
    <x v="1"/>
    <x v="0"/>
    <n v="0"/>
    <x v="0"/>
    <n v="12"/>
    <x v="6"/>
    <n v="99"/>
    <s v="A+"/>
    <n v="75"/>
    <s v="A-"/>
    <n v="71"/>
    <s v="B+"/>
    <n v="90"/>
    <s v="A+"/>
    <n v="92"/>
    <s v="A+"/>
    <n v="78"/>
    <s v="A-"/>
    <n v="69"/>
    <s v="B"/>
    <n v="574"/>
    <n v="82"/>
    <x v="0"/>
    <n v="832"/>
    <x v="1"/>
  </r>
  <r>
    <n v="1514"/>
    <s v="David"/>
    <s v="Shaw"/>
    <x v="1494"/>
    <s v="david.shaw.1514@gslingacademy.com"/>
    <x v="0"/>
    <x v="1"/>
    <n v="0"/>
    <x v="0"/>
    <n v="32"/>
    <x v="5"/>
    <n v="91"/>
    <s v="A+"/>
    <n v="75"/>
    <s v="A-"/>
    <n v="77"/>
    <s v="A-"/>
    <n v="95"/>
    <s v="A+"/>
    <n v="80"/>
    <s v="A"/>
    <n v="95"/>
    <s v="A+"/>
    <n v="88"/>
    <s v="A"/>
    <n v="601"/>
    <n v="85.857142857142861"/>
    <x v="0"/>
    <n v="394"/>
    <x v="1"/>
  </r>
  <r>
    <n v="1515"/>
    <s v="Diana"/>
    <s v="Russo"/>
    <x v="1495"/>
    <s v="diana.russo.1515@gslingacademy.com"/>
    <x v="1"/>
    <x v="0"/>
    <n v="5"/>
    <x v="0"/>
    <n v="28"/>
    <x v="11"/>
    <n v="75"/>
    <s v="A-"/>
    <n v="99"/>
    <s v="A+"/>
    <n v="60"/>
    <s v="B-"/>
    <n v="90"/>
    <s v="A+"/>
    <n v="51"/>
    <s v="C"/>
    <n v="77"/>
    <s v="A-"/>
    <n v="84"/>
    <s v="A"/>
    <n v="536"/>
    <n v="76.571428571428569"/>
    <x v="2"/>
    <n v="1567"/>
    <x v="0"/>
  </r>
  <r>
    <n v="1516"/>
    <s v="Hayley"/>
    <s v="Johnson"/>
    <x v="1496"/>
    <s v="hayley.johnson.1516@gslingacademy.com"/>
    <x v="1"/>
    <x v="0"/>
    <n v="1"/>
    <x v="0"/>
    <n v="34"/>
    <x v="4"/>
    <n v="60"/>
    <s v="B-"/>
    <n v="93"/>
    <s v="A+"/>
    <n v="99"/>
    <s v="A+"/>
    <n v="81"/>
    <s v="A"/>
    <n v="96"/>
    <s v="A+"/>
    <n v="92"/>
    <s v="A+"/>
    <n v="80"/>
    <s v="A"/>
    <n v="601"/>
    <n v="85.857142857142861"/>
    <x v="0"/>
    <n v="394"/>
    <x v="1"/>
  </r>
  <r>
    <n v="1517"/>
    <s v="Melissa"/>
    <s v="Jackson"/>
    <x v="1497"/>
    <s v="melissa.jackson.1517@gslingacademy.com"/>
    <x v="1"/>
    <x v="0"/>
    <n v="6"/>
    <x v="0"/>
    <n v="17"/>
    <x v="5"/>
    <n v="90"/>
    <s v="A+"/>
    <n v="64"/>
    <s v="B-"/>
    <n v="79"/>
    <s v="A-"/>
    <n v="66"/>
    <s v="B"/>
    <n v="96"/>
    <s v="A+"/>
    <n v="61"/>
    <s v="B-"/>
    <n v="81"/>
    <s v="A"/>
    <n v="537"/>
    <n v="76.714285714285708"/>
    <x v="2"/>
    <n v="1553"/>
    <x v="0"/>
  </r>
  <r>
    <n v="1518"/>
    <s v="Kimberly"/>
    <s v="Miller"/>
    <x v="1498"/>
    <s v="kimberly.miller.1518@gslingacademy.com"/>
    <x v="1"/>
    <x v="0"/>
    <n v="2"/>
    <x v="0"/>
    <n v="31"/>
    <x v="5"/>
    <n v="93"/>
    <s v="A+"/>
    <n v="74"/>
    <s v="B+"/>
    <n v="80"/>
    <s v="A"/>
    <n v="79"/>
    <s v="A-"/>
    <n v="70"/>
    <s v="B+"/>
    <n v="66"/>
    <s v="B"/>
    <n v="91"/>
    <s v="A+"/>
    <n v="553"/>
    <n v="79"/>
    <x v="2"/>
    <n v="1284"/>
    <x v="1"/>
  </r>
  <r>
    <n v="1519"/>
    <s v="Andrew"/>
    <s v="Stanley"/>
    <x v="1499"/>
    <s v="andrew.stanley.1519@gslingacademy.com"/>
    <x v="0"/>
    <x v="0"/>
    <n v="2"/>
    <x v="1"/>
    <n v="25"/>
    <x v="11"/>
    <n v="93"/>
    <s v="A+"/>
    <n v="74"/>
    <s v="B+"/>
    <n v="96"/>
    <s v="A+"/>
    <n v="69"/>
    <s v="B"/>
    <n v="71"/>
    <s v="B+"/>
    <n v="82"/>
    <s v="A"/>
    <n v="76"/>
    <s v="A-"/>
    <n v="561"/>
    <n v="80.142857142857139"/>
    <x v="0"/>
    <n v="1120"/>
    <x v="1"/>
  </r>
  <r>
    <n v="1520"/>
    <s v="Mary"/>
    <s v="Taylor"/>
    <x v="612"/>
    <s v="mary.taylor.1520@gslingacademy.com"/>
    <x v="1"/>
    <x v="0"/>
    <n v="7"/>
    <x v="0"/>
    <n v="14"/>
    <x v="5"/>
    <n v="92"/>
    <s v="A+"/>
    <n v="74"/>
    <s v="B+"/>
    <n v="90"/>
    <s v="A+"/>
    <n v="87"/>
    <s v="A"/>
    <n v="89"/>
    <s v="A"/>
    <n v="94"/>
    <s v="A+"/>
    <n v="87"/>
    <s v="A"/>
    <n v="613"/>
    <n v="87.571428571428569"/>
    <x v="0"/>
    <n v="271"/>
    <x v="2"/>
  </r>
  <r>
    <n v="1521"/>
    <s v="Mindy"/>
    <s v="Jones"/>
    <x v="1500"/>
    <s v="mindy.jones.1521@gslingacademy.com"/>
    <x v="1"/>
    <x v="0"/>
    <n v="2"/>
    <x v="0"/>
    <n v="2"/>
    <x v="14"/>
    <n v="86"/>
    <s v="A"/>
    <n v="60"/>
    <s v="B-"/>
    <n v="91"/>
    <s v="A+"/>
    <n v="82"/>
    <s v="A"/>
    <n v="73"/>
    <s v="B+"/>
    <n v="77"/>
    <s v="A-"/>
    <n v="64"/>
    <s v="B-"/>
    <n v="533"/>
    <n v="76.142857142857139"/>
    <x v="2"/>
    <n v="1613"/>
    <x v="1"/>
  </r>
  <r>
    <n v="1522"/>
    <s v="John"/>
    <s v="Powell"/>
    <x v="1501"/>
    <s v="john.powell.1522@gslingacademy.com"/>
    <x v="0"/>
    <x v="1"/>
    <n v="10"/>
    <x v="0"/>
    <n v="5"/>
    <x v="7"/>
    <n v="64"/>
    <s v="B-"/>
    <n v="69"/>
    <s v="B"/>
    <n v="85"/>
    <s v="A"/>
    <n v="99"/>
    <s v="A+"/>
    <n v="76"/>
    <s v="A-"/>
    <n v="98"/>
    <s v="A+"/>
    <n v="60"/>
    <s v="B-"/>
    <n v="551"/>
    <n v="78.714285714285708"/>
    <x v="2"/>
    <n v="1317"/>
    <x v="2"/>
  </r>
  <r>
    <n v="1523"/>
    <s v="Amanda"/>
    <s v="Padilla"/>
    <x v="1502"/>
    <s v="amanda.padilla.1523@gslingacademy.com"/>
    <x v="1"/>
    <x v="0"/>
    <n v="2"/>
    <x v="0"/>
    <n v="2"/>
    <x v="3"/>
    <n v="91"/>
    <s v="A+"/>
    <n v="87"/>
    <s v="A"/>
    <n v="84"/>
    <s v="A"/>
    <n v="91"/>
    <s v="A+"/>
    <n v="96"/>
    <s v="A+"/>
    <n v="88"/>
    <s v="A"/>
    <n v="82"/>
    <s v="A"/>
    <n v="619"/>
    <n v="88.428571428571431"/>
    <x v="0"/>
    <n v="221"/>
    <x v="1"/>
  </r>
  <r>
    <n v="1524"/>
    <s v="Kevin"/>
    <s v="Koch"/>
    <x v="1503"/>
    <s v="kevin.koch.1524@gslingacademy.com"/>
    <x v="0"/>
    <x v="0"/>
    <n v="3"/>
    <x v="0"/>
    <n v="33"/>
    <x v="8"/>
    <n v="76"/>
    <s v="A-"/>
    <n v="66"/>
    <s v="B"/>
    <n v="96"/>
    <s v="A+"/>
    <n v="86"/>
    <s v="A"/>
    <n v="85"/>
    <s v="A"/>
    <n v="62"/>
    <s v="B-"/>
    <n v="68"/>
    <s v="B"/>
    <n v="539"/>
    <n v="77"/>
    <x v="2"/>
    <n v="1531"/>
    <x v="0"/>
  </r>
  <r>
    <n v="1525"/>
    <s v="Chad"/>
    <s v="Moreno"/>
    <x v="1504"/>
    <s v="chad.moreno.1525@gslingacademy.com"/>
    <x v="0"/>
    <x v="0"/>
    <n v="6"/>
    <x v="0"/>
    <n v="33"/>
    <x v="4"/>
    <n v="72"/>
    <s v="B+"/>
    <n v="67"/>
    <s v="B"/>
    <n v="65"/>
    <s v="B"/>
    <n v="76"/>
    <s v="A-"/>
    <n v="69"/>
    <s v="B"/>
    <n v="81"/>
    <s v="A"/>
    <n v="70"/>
    <s v="B+"/>
    <n v="500"/>
    <n v="71.428571428571431"/>
    <x v="3"/>
    <n v="1875"/>
    <x v="0"/>
  </r>
  <r>
    <n v="1526"/>
    <s v="Stephanie"/>
    <s v="Spencer"/>
    <x v="1505"/>
    <s v="stephanie.spencer.1526@gslingacademy.com"/>
    <x v="1"/>
    <x v="0"/>
    <n v="1"/>
    <x v="0"/>
    <n v="5"/>
    <x v="3"/>
    <n v="63"/>
    <s v="B-"/>
    <n v="86"/>
    <s v="A"/>
    <n v="72"/>
    <s v="B+"/>
    <n v="72"/>
    <s v="B+"/>
    <n v="90"/>
    <s v="A+"/>
    <n v="75"/>
    <s v="A-"/>
    <n v="92"/>
    <s v="A+"/>
    <n v="550"/>
    <n v="78.571428571428569"/>
    <x v="2"/>
    <n v="1338"/>
    <x v="1"/>
  </r>
  <r>
    <n v="1527"/>
    <s v="Peter"/>
    <s v="Vargas"/>
    <x v="1506"/>
    <s v="peter.vargas.1527@gslingacademy.com"/>
    <x v="0"/>
    <x v="1"/>
    <n v="3"/>
    <x v="0"/>
    <n v="23"/>
    <x v="5"/>
    <n v="94"/>
    <s v="A+"/>
    <n v="61"/>
    <s v="B-"/>
    <n v="72"/>
    <s v="B+"/>
    <n v="70"/>
    <s v="B+"/>
    <n v="87"/>
    <s v="A"/>
    <n v="82"/>
    <s v="A"/>
    <n v="76"/>
    <s v="A-"/>
    <n v="542"/>
    <n v="77.428571428571431"/>
    <x v="2"/>
    <n v="1478"/>
    <x v="0"/>
  </r>
  <r>
    <n v="1528"/>
    <s v="Kayla"/>
    <s v="Bailey"/>
    <x v="1507"/>
    <s v="kayla.bailey.1528@gslingacademy.com"/>
    <x v="1"/>
    <x v="0"/>
    <n v="10"/>
    <x v="0"/>
    <n v="2"/>
    <x v="7"/>
    <n v="70"/>
    <s v="B+"/>
    <n v="75"/>
    <s v="A-"/>
    <n v="59"/>
    <s v="C"/>
    <n v="91"/>
    <s v="A+"/>
    <n v="53"/>
    <s v="C"/>
    <n v="97"/>
    <s v="A+"/>
    <n v="95"/>
    <s v="A+"/>
    <n v="540"/>
    <n v="77.142857142857139"/>
    <x v="2"/>
    <n v="1513"/>
    <x v="2"/>
  </r>
  <r>
    <n v="1529"/>
    <s v="Stephanie"/>
    <s v="Jones"/>
    <x v="1472"/>
    <s v="stephanie.jones.1529@gslingacademy.com"/>
    <x v="1"/>
    <x v="0"/>
    <n v="3"/>
    <x v="0"/>
    <n v="23"/>
    <x v="9"/>
    <n v="83"/>
    <s v="A"/>
    <n v="69"/>
    <s v="B"/>
    <n v="66"/>
    <s v="B"/>
    <n v="95"/>
    <s v="A+"/>
    <n v="93"/>
    <s v="A+"/>
    <n v="77"/>
    <s v="A-"/>
    <n v="77"/>
    <s v="A-"/>
    <n v="560"/>
    <n v="80"/>
    <x v="0"/>
    <n v="1134"/>
    <x v="0"/>
  </r>
  <r>
    <n v="1530"/>
    <s v="Nancy"/>
    <s v="Hartman"/>
    <x v="1508"/>
    <s v="nancy.hartman.1530@gslingacademy.com"/>
    <x v="1"/>
    <x v="0"/>
    <n v="6"/>
    <x v="0"/>
    <n v="3"/>
    <x v="7"/>
    <n v="50"/>
    <s v="C"/>
    <n v="61"/>
    <s v="B-"/>
    <n v="50"/>
    <s v="C"/>
    <n v="96"/>
    <s v="A+"/>
    <n v="70"/>
    <s v="B+"/>
    <n v="58"/>
    <s v="C"/>
    <n v="86"/>
    <s v="A"/>
    <n v="471"/>
    <n v="67.285714285714292"/>
    <x v="4"/>
    <n v="1957"/>
    <x v="0"/>
  </r>
  <r>
    <n v="1531"/>
    <s v="Eduardo"/>
    <s v="Brown"/>
    <x v="1509"/>
    <s v="eduardo.brown.1531@gslingacademy.com"/>
    <x v="0"/>
    <x v="0"/>
    <n v="0"/>
    <x v="0"/>
    <n v="48"/>
    <x v="1"/>
    <n v="99"/>
    <s v="A+"/>
    <n v="89"/>
    <s v="A"/>
    <n v="96"/>
    <s v="A+"/>
    <n v="98"/>
    <s v="A+"/>
    <n v="89"/>
    <s v="A"/>
    <n v="98"/>
    <s v="A+"/>
    <n v="93"/>
    <s v="A+"/>
    <n v="662"/>
    <n v="94.571428571428569"/>
    <x v="1"/>
    <n v="13"/>
    <x v="1"/>
  </r>
  <r>
    <n v="1532"/>
    <s v="Thomas"/>
    <s v="Stone"/>
    <x v="743"/>
    <s v="thomas.stone.1532@gslingacademy.com"/>
    <x v="0"/>
    <x v="0"/>
    <n v="3"/>
    <x v="0"/>
    <n v="32"/>
    <x v="9"/>
    <n v="76"/>
    <s v="A-"/>
    <n v="85"/>
    <s v="A"/>
    <n v="62"/>
    <s v="B-"/>
    <n v="65"/>
    <s v="B"/>
    <n v="79"/>
    <s v="A-"/>
    <n v="81"/>
    <s v="A"/>
    <n v="61"/>
    <s v="B-"/>
    <n v="509"/>
    <n v="72.714285714285708"/>
    <x v="3"/>
    <n v="1835"/>
    <x v="0"/>
  </r>
  <r>
    <n v="1533"/>
    <s v="Craig"/>
    <s v="Carter"/>
    <x v="1510"/>
    <s v="craig.carter.1533@gslingacademy.com"/>
    <x v="0"/>
    <x v="1"/>
    <n v="4"/>
    <x v="1"/>
    <n v="3"/>
    <x v="7"/>
    <n v="71"/>
    <s v="B+"/>
    <n v="66"/>
    <s v="B"/>
    <n v="52"/>
    <s v="C"/>
    <n v="99"/>
    <s v="A+"/>
    <n v="87"/>
    <s v="A"/>
    <n v="89"/>
    <s v="A"/>
    <n v="70"/>
    <s v="B+"/>
    <n v="534"/>
    <n v="76.285714285714292"/>
    <x v="2"/>
    <n v="1595"/>
    <x v="0"/>
  </r>
  <r>
    <n v="1534"/>
    <s v="Michael"/>
    <s v="Harrington"/>
    <x v="1511"/>
    <s v="michael.harrington.1534@gslingacademy.com"/>
    <x v="0"/>
    <x v="0"/>
    <n v="1"/>
    <x v="0"/>
    <n v="24"/>
    <x v="4"/>
    <n v="60"/>
    <s v="B-"/>
    <n v="78"/>
    <s v="A-"/>
    <n v="96"/>
    <s v="A+"/>
    <n v="93"/>
    <s v="A+"/>
    <n v="62"/>
    <s v="B-"/>
    <n v="60"/>
    <s v="B-"/>
    <n v="83"/>
    <s v="A"/>
    <n v="532"/>
    <n v="76"/>
    <x v="2"/>
    <n v="1622"/>
    <x v="1"/>
  </r>
  <r>
    <n v="1535"/>
    <s v="Valerie"/>
    <s v="Nichols"/>
    <x v="1512"/>
    <s v="valerie.nichols.1535@gslingacademy.com"/>
    <x v="1"/>
    <x v="0"/>
    <n v="4"/>
    <x v="0"/>
    <n v="21"/>
    <x v="5"/>
    <n v="87"/>
    <s v="A"/>
    <n v="74"/>
    <s v="B+"/>
    <n v="81"/>
    <s v="A"/>
    <n v="65"/>
    <s v="B"/>
    <n v="74"/>
    <s v="B+"/>
    <n v="91"/>
    <s v="A+"/>
    <n v="82"/>
    <s v="A"/>
    <n v="554"/>
    <n v="79.142857142857139"/>
    <x v="2"/>
    <n v="1264"/>
    <x v="0"/>
  </r>
  <r>
    <n v="1536"/>
    <s v="Brian"/>
    <s v="Garcia"/>
    <x v="1513"/>
    <s v="brian.garcia.1536@gslingacademy.com"/>
    <x v="0"/>
    <x v="0"/>
    <n v="10"/>
    <x v="0"/>
    <n v="0"/>
    <x v="7"/>
    <n v="93"/>
    <s v="A+"/>
    <n v="84"/>
    <s v="A"/>
    <n v="65"/>
    <s v="B"/>
    <n v="56"/>
    <s v="C"/>
    <n v="67"/>
    <s v="B"/>
    <n v="92"/>
    <s v="A+"/>
    <n v="81"/>
    <s v="A"/>
    <n v="538"/>
    <n v="76.857142857142861"/>
    <x v="2"/>
    <n v="1537"/>
    <x v="2"/>
  </r>
  <r>
    <n v="1537"/>
    <s v="Renee"/>
    <s v="Smith"/>
    <x v="1514"/>
    <s v="renee.smith.1537@gslingacademy.com"/>
    <x v="1"/>
    <x v="0"/>
    <n v="0"/>
    <x v="0"/>
    <n v="25"/>
    <x v="0"/>
    <n v="87"/>
    <s v="A"/>
    <n v="87"/>
    <s v="A"/>
    <n v="69"/>
    <s v="B"/>
    <n v="71"/>
    <s v="B+"/>
    <n v="74"/>
    <s v="B+"/>
    <n v="91"/>
    <s v="A+"/>
    <n v="74"/>
    <s v="B+"/>
    <n v="553"/>
    <n v="79"/>
    <x v="2"/>
    <n v="1284"/>
    <x v="1"/>
  </r>
  <r>
    <n v="1538"/>
    <s v="Kaitlyn"/>
    <s v="Frazier"/>
    <x v="1515"/>
    <s v="kaitlyn.frazier.1538@gslingacademy.com"/>
    <x v="1"/>
    <x v="0"/>
    <n v="3"/>
    <x v="0"/>
    <n v="10"/>
    <x v="2"/>
    <n v="93"/>
    <s v="A+"/>
    <n v="68"/>
    <s v="B"/>
    <n v="61"/>
    <s v="B-"/>
    <n v="78"/>
    <s v="A-"/>
    <n v="80"/>
    <s v="A"/>
    <n v="65"/>
    <s v="B"/>
    <n v="77"/>
    <s v="A-"/>
    <n v="522"/>
    <n v="74.571428571428569"/>
    <x v="3"/>
    <n v="1739"/>
    <x v="0"/>
  </r>
  <r>
    <n v="1539"/>
    <s v="Jesse"/>
    <s v="Green"/>
    <x v="1516"/>
    <s v="jesse.green.1539@gslingacademy.com"/>
    <x v="0"/>
    <x v="0"/>
    <n v="1"/>
    <x v="0"/>
    <n v="4"/>
    <x v="14"/>
    <n v="96"/>
    <s v="A+"/>
    <n v="64"/>
    <s v="B-"/>
    <n v="91"/>
    <s v="A+"/>
    <n v="69"/>
    <s v="B"/>
    <n v="60"/>
    <s v="B-"/>
    <n v="62"/>
    <s v="B-"/>
    <n v="62"/>
    <s v="B-"/>
    <n v="504"/>
    <n v="72"/>
    <x v="3"/>
    <n v="1858"/>
    <x v="1"/>
  </r>
  <r>
    <n v="1540"/>
    <s v="Kimberly"/>
    <s v="Cooper"/>
    <x v="1517"/>
    <s v="kimberly.cooper.1540@gslingacademy.com"/>
    <x v="1"/>
    <x v="0"/>
    <n v="2"/>
    <x v="0"/>
    <n v="7"/>
    <x v="4"/>
    <n v="62"/>
    <s v="B-"/>
    <n v="73"/>
    <s v="B+"/>
    <n v="74"/>
    <s v="B+"/>
    <n v="72"/>
    <s v="B+"/>
    <n v="83"/>
    <s v="A"/>
    <n v="63"/>
    <s v="B-"/>
    <n v="79"/>
    <s v="A-"/>
    <n v="506"/>
    <n v="72.285714285714292"/>
    <x v="3"/>
    <n v="1848"/>
    <x v="1"/>
  </r>
  <r>
    <n v="1541"/>
    <s v="Matthew"/>
    <s v="Chambers"/>
    <x v="1518"/>
    <s v="matthew.chambers.1541@gslingacademy.com"/>
    <x v="0"/>
    <x v="1"/>
    <n v="8"/>
    <x v="0"/>
    <n v="0"/>
    <x v="7"/>
    <n v="50"/>
    <s v="C"/>
    <n v="80"/>
    <s v="A"/>
    <n v="100"/>
    <s v="A+"/>
    <n v="81"/>
    <s v="A"/>
    <n v="61"/>
    <s v="B-"/>
    <n v="68"/>
    <s v="B"/>
    <n v="72"/>
    <s v="B+"/>
    <n v="512"/>
    <n v="73.142857142857139"/>
    <x v="3"/>
    <n v="1815"/>
    <x v="2"/>
  </r>
  <r>
    <n v="1542"/>
    <s v="Stephanie"/>
    <s v="Yu"/>
    <x v="1519"/>
    <s v="stephanie.yu.1542@gslingacademy.com"/>
    <x v="1"/>
    <x v="0"/>
    <n v="4"/>
    <x v="0"/>
    <n v="2"/>
    <x v="4"/>
    <n v="71"/>
    <s v="B+"/>
    <n v="68"/>
    <s v="B"/>
    <n v="77"/>
    <s v="A-"/>
    <n v="73"/>
    <s v="B+"/>
    <n v="68"/>
    <s v="B"/>
    <n v="73"/>
    <s v="B+"/>
    <n v="64"/>
    <s v="B-"/>
    <n v="494"/>
    <n v="70.571428571428569"/>
    <x v="3"/>
    <n v="1897"/>
    <x v="0"/>
  </r>
  <r>
    <n v="1543"/>
    <s v="Jose"/>
    <s v="Hodge"/>
    <x v="1520"/>
    <s v="jose.hodge.1543@gslingacademy.com"/>
    <x v="0"/>
    <x v="0"/>
    <n v="0"/>
    <x v="1"/>
    <n v="16"/>
    <x v="13"/>
    <n v="99"/>
    <s v="A+"/>
    <n v="88"/>
    <s v="A"/>
    <n v="88"/>
    <s v="A"/>
    <n v="90"/>
    <s v="A+"/>
    <n v="82"/>
    <s v="A"/>
    <n v="88"/>
    <s v="A"/>
    <n v="90"/>
    <s v="A+"/>
    <n v="625"/>
    <n v="89.285714285714292"/>
    <x v="0"/>
    <n v="187"/>
    <x v="1"/>
  </r>
  <r>
    <n v="1544"/>
    <s v="Steve"/>
    <s v="Kelly"/>
    <x v="1521"/>
    <s v="steve.kelly.1544@gslingacademy.com"/>
    <x v="0"/>
    <x v="0"/>
    <n v="4"/>
    <x v="0"/>
    <n v="12"/>
    <x v="15"/>
    <n v="100"/>
    <s v="A+"/>
    <n v="67"/>
    <s v="B"/>
    <n v="100"/>
    <s v="A+"/>
    <n v="60"/>
    <s v="B-"/>
    <n v="94"/>
    <s v="A+"/>
    <n v="72"/>
    <s v="B+"/>
    <n v="70"/>
    <s v="B+"/>
    <n v="563"/>
    <n v="80.428571428571431"/>
    <x v="0"/>
    <n v="1077"/>
    <x v="0"/>
  </r>
  <r>
    <n v="1545"/>
    <s v="Justin"/>
    <s v="Morgan"/>
    <x v="1522"/>
    <s v="justin.morgan.1545@gslingacademy.com"/>
    <x v="0"/>
    <x v="1"/>
    <n v="9"/>
    <x v="0"/>
    <n v="4"/>
    <x v="7"/>
    <n v="77"/>
    <s v="A-"/>
    <n v="59"/>
    <s v="C"/>
    <n v="60"/>
    <s v="B-"/>
    <n v="98"/>
    <s v="A+"/>
    <n v="74"/>
    <s v="B+"/>
    <n v="76"/>
    <s v="A-"/>
    <n v="60"/>
    <s v="B-"/>
    <n v="504"/>
    <n v="72"/>
    <x v="3"/>
    <n v="1858"/>
    <x v="2"/>
  </r>
  <r>
    <n v="1546"/>
    <s v="Robert"/>
    <s v="Black"/>
    <x v="1523"/>
    <s v="robert.black.1546@gslingacademy.com"/>
    <x v="0"/>
    <x v="0"/>
    <n v="3"/>
    <x v="1"/>
    <n v="23"/>
    <x v="5"/>
    <n v="88"/>
    <s v="A"/>
    <n v="73"/>
    <s v="B+"/>
    <n v="86"/>
    <s v="A"/>
    <n v="75"/>
    <s v="A-"/>
    <n v="65"/>
    <s v="B"/>
    <n v="62"/>
    <s v="B-"/>
    <n v="83"/>
    <s v="A"/>
    <n v="532"/>
    <n v="76"/>
    <x v="2"/>
    <n v="1622"/>
    <x v="0"/>
  </r>
  <r>
    <n v="1547"/>
    <s v="Gabriella"/>
    <s v="Pierce"/>
    <x v="1524"/>
    <s v="gabriella.pierce.1547@gslingacademy.com"/>
    <x v="1"/>
    <x v="0"/>
    <n v="6"/>
    <x v="0"/>
    <n v="15"/>
    <x v="11"/>
    <n v="88"/>
    <s v="A"/>
    <n v="99"/>
    <s v="A+"/>
    <n v="64"/>
    <s v="B-"/>
    <n v="79"/>
    <s v="A-"/>
    <n v="52"/>
    <s v="C"/>
    <n v="75"/>
    <s v="A-"/>
    <n v="92"/>
    <s v="A+"/>
    <n v="549"/>
    <n v="78.428571428571431"/>
    <x v="2"/>
    <n v="1355"/>
    <x v="0"/>
  </r>
  <r>
    <n v="1548"/>
    <s v="William"/>
    <s v="Clay"/>
    <x v="1525"/>
    <s v="william.clay.1548@gslingacademy.com"/>
    <x v="0"/>
    <x v="0"/>
    <n v="2"/>
    <x v="0"/>
    <n v="31"/>
    <x v="15"/>
    <n v="99"/>
    <s v="A+"/>
    <n v="88"/>
    <s v="A"/>
    <n v="97"/>
    <s v="A+"/>
    <n v="97"/>
    <s v="A+"/>
    <n v="71"/>
    <s v="B+"/>
    <n v="67"/>
    <s v="B"/>
    <n v="79"/>
    <s v="A-"/>
    <n v="598"/>
    <n v="85.428571428571431"/>
    <x v="0"/>
    <n v="436"/>
    <x v="1"/>
  </r>
  <r>
    <n v="1549"/>
    <s v="Nicholas"/>
    <s v="Shea"/>
    <x v="1526"/>
    <s v="nicholas.shea.1549@gslingacademy.com"/>
    <x v="0"/>
    <x v="1"/>
    <n v="8"/>
    <x v="0"/>
    <n v="3"/>
    <x v="7"/>
    <n v="50"/>
    <s v="C"/>
    <n v="88"/>
    <s v="A"/>
    <n v="58"/>
    <s v="C"/>
    <n v="78"/>
    <s v="A-"/>
    <n v="83"/>
    <s v="A"/>
    <n v="97"/>
    <s v="A+"/>
    <n v="88"/>
    <s v="A"/>
    <n v="542"/>
    <n v="77.428571428571431"/>
    <x v="2"/>
    <n v="1478"/>
    <x v="2"/>
  </r>
  <r>
    <n v="1550"/>
    <s v="Heidi"/>
    <s v="Ellis"/>
    <x v="1527"/>
    <s v="heidi.ellis.1550@gslingacademy.com"/>
    <x v="1"/>
    <x v="0"/>
    <n v="4"/>
    <x v="0"/>
    <n v="2"/>
    <x v="4"/>
    <n v="69"/>
    <s v="B"/>
    <n v="93"/>
    <s v="A+"/>
    <n v="62"/>
    <s v="B-"/>
    <n v="99"/>
    <s v="A+"/>
    <n v="98"/>
    <s v="A+"/>
    <n v="98"/>
    <s v="A+"/>
    <n v="68"/>
    <s v="B"/>
    <n v="587"/>
    <n v="83.857142857142861"/>
    <x v="0"/>
    <n v="583"/>
    <x v="0"/>
  </r>
  <r>
    <n v="1551"/>
    <s v="Cassandra"/>
    <s v="Mills"/>
    <x v="1528"/>
    <s v="cassandra.mills.1551@gslingacademy.com"/>
    <x v="1"/>
    <x v="0"/>
    <n v="5"/>
    <x v="0"/>
    <n v="35"/>
    <x v="9"/>
    <n v="89"/>
    <s v="A"/>
    <n v="86"/>
    <s v="A"/>
    <n v="96"/>
    <s v="A+"/>
    <n v="92"/>
    <s v="A+"/>
    <n v="97"/>
    <s v="A+"/>
    <n v="89"/>
    <s v="A"/>
    <n v="95"/>
    <s v="A+"/>
    <n v="644"/>
    <n v="92"/>
    <x v="1"/>
    <n v="83"/>
    <x v="0"/>
  </r>
  <r>
    <n v="1552"/>
    <s v="Robert"/>
    <s v="Hart"/>
    <x v="1529"/>
    <s v="robert.hart.1552@gslingacademy.com"/>
    <x v="0"/>
    <x v="0"/>
    <n v="5"/>
    <x v="0"/>
    <n v="27"/>
    <x v="12"/>
    <n v="93"/>
    <s v="A+"/>
    <n v="97"/>
    <s v="A+"/>
    <n v="77"/>
    <s v="A-"/>
    <n v="70"/>
    <s v="B+"/>
    <n v="81"/>
    <s v="A"/>
    <n v="83"/>
    <s v="A"/>
    <n v="87"/>
    <s v="A"/>
    <n v="588"/>
    <n v="84"/>
    <x v="0"/>
    <n v="565"/>
    <x v="0"/>
  </r>
  <r>
    <n v="1553"/>
    <s v="Natalie"/>
    <s v="Garrison"/>
    <x v="1530"/>
    <s v="natalie.garrison.1553@gslingacademy.com"/>
    <x v="1"/>
    <x v="0"/>
    <n v="5"/>
    <x v="0"/>
    <n v="32"/>
    <x v="5"/>
    <n v="96"/>
    <s v="A+"/>
    <n v="83"/>
    <s v="A"/>
    <n v="67"/>
    <s v="B"/>
    <n v="86"/>
    <s v="A"/>
    <n v="81"/>
    <s v="A"/>
    <n v="92"/>
    <s v="A+"/>
    <n v="73"/>
    <s v="B+"/>
    <n v="578"/>
    <n v="82.571428571428569"/>
    <x v="0"/>
    <n v="752"/>
    <x v="0"/>
  </r>
  <r>
    <n v="1554"/>
    <s v="Melissa"/>
    <s v="Campbell"/>
    <x v="1531"/>
    <s v="melissa.campbell.1554@gslingacademy.com"/>
    <x v="1"/>
    <x v="1"/>
    <n v="4"/>
    <x v="0"/>
    <n v="24"/>
    <x v="5"/>
    <n v="92"/>
    <s v="A+"/>
    <n v="98"/>
    <s v="A+"/>
    <n v="93"/>
    <s v="A+"/>
    <n v="60"/>
    <s v="B-"/>
    <n v="74"/>
    <s v="B+"/>
    <n v="84"/>
    <s v="A"/>
    <n v="97"/>
    <s v="A+"/>
    <n v="598"/>
    <n v="85.428571428571431"/>
    <x v="0"/>
    <n v="436"/>
    <x v="0"/>
  </r>
  <r>
    <n v="1555"/>
    <s v="Joshua"/>
    <s v="Cervantes"/>
    <x v="1532"/>
    <s v="joshua.cervantes.1555@gslingacademy.com"/>
    <x v="0"/>
    <x v="0"/>
    <n v="3"/>
    <x v="1"/>
    <n v="29"/>
    <x v="5"/>
    <n v="99"/>
    <s v="A+"/>
    <n v="72"/>
    <s v="B+"/>
    <n v="65"/>
    <s v="B"/>
    <n v="66"/>
    <s v="B"/>
    <n v="71"/>
    <s v="B+"/>
    <n v="85"/>
    <s v="A"/>
    <n v="83"/>
    <s v="A"/>
    <n v="541"/>
    <n v="77.285714285714292"/>
    <x v="2"/>
    <n v="1493"/>
    <x v="0"/>
  </r>
  <r>
    <n v="1556"/>
    <s v="Carlos"/>
    <s v="Long"/>
    <x v="1533"/>
    <s v="carlos.long.1556@gslingacademy.com"/>
    <x v="0"/>
    <x v="0"/>
    <n v="10"/>
    <x v="1"/>
    <n v="4"/>
    <x v="7"/>
    <n v="86"/>
    <s v="A"/>
    <n v="59"/>
    <s v="C"/>
    <n v="81"/>
    <s v="A"/>
    <n v="55"/>
    <s v="C"/>
    <n v="77"/>
    <s v="A-"/>
    <n v="69"/>
    <s v="B"/>
    <n v="87"/>
    <s v="A"/>
    <n v="514"/>
    <n v="73.428571428571431"/>
    <x v="3"/>
    <n v="1805"/>
    <x v="2"/>
  </r>
  <r>
    <n v="1557"/>
    <s v="Keith"/>
    <s v="Hunt"/>
    <x v="1534"/>
    <s v="keith.hunt.1557@gslingacademy.com"/>
    <x v="0"/>
    <x v="0"/>
    <n v="4"/>
    <x v="0"/>
    <n v="17"/>
    <x v="5"/>
    <n v="91"/>
    <s v="A+"/>
    <n v="92"/>
    <s v="A+"/>
    <n v="95"/>
    <s v="A+"/>
    <n v="90"/>
    <s v="A+"/>
    <n v="73"/>
    <s v="B+"/>
    <n v="75"/>
    <s v="A-"/>
    <n v="95"/>
    <s v="A+"/>
    <n v="611"/>
    <n v="87.285714285714292"/>
    <x v="0"/>
    <n v="291"/>
    <x v="0"/>
  </r>
  <r>
    <n v="1558"/>
    <s v="Kevin"/>
    <s v="Turner"/>
    <x v="1535"/>
    <s v="kevin.turner.1558@gslingacademy.com"/>
    <x v="0"/>
    <x v="1"/>
    <n v="3"/>
    <x v="0"/>
    <n v="18"/>
    <x v="9"/>
    <n v="95"/>
    <s v="A+"/>
    <n v="91"/>
    <s v="A+"/>
    <n v="74"/>
    <s v="B+"/>
    <n v="61"/>
    <s v="B-"/>
    <n v="94"/>
    <s v="A+"/>
    <n v="86"/>
    <s v="A"/>
    <n v="87"/>
    <s v="A"/>
    <n v="588"/>
    <n v="84"/>
    <x v="0"/>
    <n v="565"/>
    <x v="0"/>
  </r>
  <r>
    <n v="1559"/>
    <s v="Shane"/>
    <s v="Washington"/>
    <x v="1536"/>
    <s v="shane.washington.1559@gslingacademy.com"/>
    <x v="0"/>
    <x v="0"/>
    <n v="5"/>
    <x v="0"/>
    <n v="15"/>
    <x v="2"/>
    <n v="61"/>
    <s v="B-"/>
    <n v="94"/>
    <s v="A+"/>
    <n v="87"/>
    <s v="A"/>
    <n v="74"/>
    <s v="B+"/>
    <n v="92"/>
    <s v="A+"/>
    <n v="79"/>
    <s v="A-"/>
    <n v="97"/>
    <s v="A+"/>
    <n v="584"/>
    <n v="83.428571428571431"/>
    <x v="0"/>
    <n v="635"/>
    <x v="0"/>
  </r>
  <r>
    <n v="1560"/>
    <s v="Mark"/>
    <s v="Duke"/>
    <x v="1537"/>
    <s v="mark.duke.1560@gslingacademy.com"/>
    <x v="0"/>
    <x v="0"/>
    <n v="1"/>
    <x v="0"/>
    <n v="32"/>
    <x v="10"/>
    <n v="65"/>
    <s v="B"/>
    <n v="89"/>
    <s v="A"/>
    <n v="70"/>
    <s v="B+"/>
    <n v="71"/>
    <s v="B+"/>
    <n v="74"/>
    <s v="B+"/>
    <n v="97"/>
    <s v="A+"/>
    <n v="64"/>
    <s v="B-"/>
    <n v="530"/>
    <n v="75.714285714285708"/>
    <x v="2"/>
    <n v="1646"/>
    <x v="1"/>
  </r>
  <r>
    <n v="1561"/>
    <s v="Anna"/>
    <s v="Lane"/>
    <x v="1538"/>
    <s v="anna.lane.1561@gslingacademy.com"/>
    <x v="1"/>
    <x v="0"/>
    <n v="7"/>
    <x v="0"/>
    <n v="3"/>
    <x v="14"/>
    <n v="94"/>
    <s v="A+"/>
    <n v="97"/>
    <s v="A+"/>
    <n v="97"/>
    <s v="A+"/>
    <n v="75"/>
    <s v="A-"/>
    <n v="79"/>
    <s v="A-"/>
    <n v="68"/>
    <s v="B"/>
    <n v="92"/>
    <s v="A+"/>
    <n v="602"/>
    <n v="86"/>
    <x v="0"/>
    <n v="380"/>
    <x v="2"/>
  </r>
  <r>
    <n v="1562"/>
    <s v="Catherine"/>
    <s v="Ibarra"/>
    <x v="1539"/>
    <s v="catherine.ibarra.1562@gslingacademy.com"/>
    <x v="1"/>
    <x v="0"/>
    <n v="5"/>
    <x v="0"/>
    <n v="31"/>
    <x v="12"/>
    <n v="94"/>
    <s v="A+"/>
    <n v="68"/>
    <s v="B"/>
    <n v="89"/>
    <s v="A"/>
    <n v="90"/>
    <s v="A+"/>
    <n v="91"/>
    <s v="A+"/>
    <n v="98"/>
    <s v="A+"/>
    <n v="72"/>
    <s v="B+"/>
    <n v="602"/>
    <n v="86"/>
    <x v="0"/>
    <n v="380"/>
    <x v="0"/>
  </r>
  <r>
    <n v="1563"/>
    <s v="Brian"/>
    <s v="Adams"/>
    <x v="857"/>
    <s v="brian.adams.1563@gslingacademy.com"/>
    <x v="0"/>
    <x v="0"/>
    <n v="5"/>
    <x v="1"/>
    <n v="3"/>
    <x v="7"/>
    <n v="56"/>
    <s v="C"/>
    <n v="67"/>
    <s v="B"/>
    <n v="87"/>
    <s v="A"/>
    <n v="97"/>
    <s v="A+"/>
    <n v="88"/>
    <s v="A"/>
    <n v="57"/>
    <s v="C"/>
    <n v="86"/>
    <s v="A"/>
    <n v="538"/>
    <n v="76.857142857142861"/>
    <x v="2"/>
    <n v="1537"/>
    <x v="0"/>
  </r>
  <r>
    <n v="1564"/>
    <s v="Michael"/>
    <s v="James"/>
    <x v="1540"/>
    <s v="michael.james.1564@gslingacademy.com"/>
    <x v="0"/>
    <x v="0"/>
    <n v="7"/>
    <x v="0"/>
    <n v="25"/>
    <x v="5"/>
    <n v="89"/>
    <s v="A"/>
    <n v="63"/>
    <s v="B-"/>
    <n v="88"/>
    <s v="A"/>
    <n v="73"/>
    <s v="B+"/>
    <n v="78"/>
    <s v="A-"/>
    <n v="84"/>
    <s v="A"/>
    <n v="74"/>
    <s v="B+"/>
    <n v="549"/>
    <n v="78.428571428571431"/>
    <x v="2"/>
    <n v="1355"/>
    <x v="2"/>
  </r>
  <r>
    <n v="1565"/>
    <s v="Robert"/>
    <s v="Hernandez"/>
    <x v="1541"/>
    <s v="robert.hernandez.1565@gslingacademy.com"/>
    <x v="0"/>
    <x v="1"/>
    <n v="1"/>
    <x v="1"/>
    <n v="0"/>
    <x v="16"/>
    <n v="65"/>
    <s v="B"/>
    <n v="70"/>
    <s v="B+"/>
    <n v="100"/>
    <s v="A+"/>
    <n v="66"/>
    <s v="B"/>
    <n v="71"/>
    <s v="B+"/>
    <n v="61"/>
    <s v="B-"/>
    <n v="61"/>
    <s v="B-"/>
    <n v="494"/>
    <n v="70.571428571428569"/>
    <x v="3"/>
    <n v="1897"/>
    <x v="1"/>
  </r>
  <r>
    <n v="1566"/>
    <s v="Anthony"/>
    <s v="Walton"/>
    <x v="1542"/>
    <s v="anthony.walton.1566@gslingacademy.com"/>
    <x v="0"/>
    <x v="1"/>
    <n v="1"/>
    <x v="0"/>
    <n v="29"/>
    <x v="15"/>
    <n v="91"/>
    <s v="A+"/>
    <n v="96"/>
    <s v="A+"/>
    <n v="63"/>
    <s v="B-"/>
    <n v="81"/>
    <s v="A"/>
    <n v="97"/>
    <s v="A+"/>
    <n v="74"/>
    <s v="B+"/>
    <n v="66"/>
    <s v="B"/>
    <n v="568"/>
    <n v="81.142857142857139"/>
    <x v="0"/>
    <n v="975"/>
    <x v="1"/>
  </r>
  <r>
    <n v="1567"/>
    <s v="Meghan"/>
    <s v="Lewis"/>
    <x v="1543"/>
    <s v="meghan.lewis.1567@gslingacademy.com"/>
    <x v="1"/>
    <x v="0"/>
    <n v="1"/>
    <x v="0"/>
    <n v="17"/>
    <x v="9"/>
    <n v="88"/>
    <s v="A"/>
    <n v="100"/>
    <s v="A+"/>
    <n v="71"/>
    <s v="B+"/>
    <n v="85"/>
    <s v="A"/>
    <n v="72"/>
    <s v="B+"/>
    <n v="91"/>
    <s v="A+"/>
    <n v="81"/>
    <s v="A"/>
    <n v="588"/>
    <n v="84"/>
    <x v="0"/>
    <n v="565"/>
    <x v="1"/>
  </r>
  <r>
    <n v="1568"/>
    <s v="Crystal"/>
    <s v="Holland"/>
    <x v="1544"/>
    <s v="crystal.holland.1568@gslingacademy.com"/>
    <x v="1"/>
    <x v="1"/>
    <n v="4"/>
    <x v="0"/>
    <n v="0"/>
    <x v="7"/>
    <n v="49"/>
    <s v="D"/>
    <n v="51"/>
    <s v="C"/>
    <n v="57"/>
    <s v="C"/>
    <n v="80"/>
    <s v="A"/>
    <n v="89"/>
    <s v="A"/>
    <n v="53"/>
    <s v="C"/>
    <n v="76"/>
    <s v="A-"/>
    <n v="455"/>
    <n v="65"/>
    <x v="4"/>
    <n v="1989"/>
    <x v="0"/>
  </r>
  <r>
    <n v="1569"/>
    <s v="Brian"/>
    <s v="Gibson"/>
    <x v="1545"/>
    <s v="brian.gibson.1569@gslingacademy.com"/>
    <x v="0"/>
    <x v="0"/>
    <n v="5"/>
    <x v="0"/>
    <n v="25"/>
    <x v="10"/>
    <n v="73"/>
    <s v="B+"/>
    <n v="94"/>
    <s v="A+"/>
    <n v="74"/>
    <s v="B+"/>
    <n v="72"/>
    <s v="B+"/>
    <n v="80"/>
    <s v="A"/>
    <n v="98"/>
    <s v="A+"/>
    <n v="100"/>
    <s v="A+"/>
    <n v="591"/>
    <n v="84.428571428571431"/>
    <x v="0"/>
    <n v="515"/>
    <x v="0"/>
  </r>
  <r>
    <n v="1570"/>
    <s v="Eric"/>
    <s v="Heath"/>
    <x v="1546"/>
    <s v="eric.heath.1570@gslingacademy.com"/>
    <x v="0"/>
    <x v="0"/>
    <n v="2"/>
    <x v="0"/>
    <n v="23"/>
    <x v="5"/>
    <n v="94"/>
    <s v="A+"/>
    <n v="94"/>
    <s v="A+"/>
    <n v="74"/>
    <s v="B+"/>
    <n v="66"/>
    <s v="B"/>
    <n v="73"/>
    <s v="B+"/>
    <n v="92"/>
    <s v="A+"/>
    <n v="80"/>
    <s v="A"/>
    <n v="573"/>
    <n v="81.857142857142861"/>
    <x v="0"/>
    <n v="864"/>
    <x v="1"/>
  </r>
  <r>
    <n v="1571"/>
    <s v="Holly"/>
    <s v="Dunn"/>
    <x v="1547"/>
    <s v="holly.dunn.1571@gslingacademy.com"/>
    <x v="1"/>
    <x v="1"/>
    <n v="5"/>
    <x v="0"/>
    <n v="4"/>
    <x v="7"/>
    <n v="84"/>
    <s v="A"/>
    <n v="61"/>
    <s v="B-"/>
    <n v="59"/>
    <s v="C"/>
    <n v="76"/>
    <s v="A-"/>
    <n v="72"/>
    <s v="B+"/>
    <n v="54"/>
    <s v="C"/>
    <n v="66"/>
    <s v="B"/>
    <n v="472"/>
    <n v="67.428571428571431"/>
    <x v="4"/>
    <n v="1955"/>
    <x v="0"/>
  </r>
  <r>
    <n v="1572"/>
    <s v="Paul"/>
    <s v="Miller"/>
    <x v="1548"/>
    <s v="paul.miller.1572@gslingacademy.com"/>
    <x v="0"/>
    <x v="0"/>
    <n v="7"/>
    <x v="1"/>
    <n v="11"/>
    <x v="13"/>
    <n v="97"/>
    <s v="A+"/>
    <n v="91"/>
    <s v="A+"/>
    <n v="91"/>
    <s v="A+"/>
    <n v="61"/>
    <s v="B-"/>
    <n v="68"/>
    <s v="B"/>
    <n v="77"/>
    <s v="A-"/>
    <n v="97"/>
    <s v="A+"/>
    <n v="582"/>
    <n v="83.142857142857139"/>
    <x v="0"/>
    <n v="670"/>
    <x v="2"/>
  </r>
  <r>
    <n v="1573"/>
    <s v="Katherine"/>
    <s v="Reyes"/>
    <x v="1549"/>
    <s v="katherine.reyes.1573@gslingacademy.com"/>
    <x v="1"/>
    <x v="0"/>
    <n v="7"/>
    <x v="0"/>
    <n v="12"/>
    <x v="4"/>
    <n v="82"/>
    <s v="A"/>
    <n v="84"/>
    <s v="A"/>
    <n v="69"/>
    <s v="B"/>
    <n v="66"/>
    <s v="B"/>
    <n v="65"/>
    <s v="B"/>
    <n v="74"/>
    <s v="B+"/>
    <n v="68"/>
    <s v="B"/>
    <n v="508"/>
    <n v="72.571428571428569"/>
    <x v="3"/>
    <n v="1840"/>
    <x v="2"/>
  </r>
  <r>
    <n v="1574"/>
    <s v="Paula"/>
    <s v="Hernandez"/>
    <x v="1550"/>
    <s v="paula.hernandez.1574@gslingacademy.com"/>
    <x v="1"/>
    <x v="1"/>
    <n v="2"/>
    <x v="0"/>
    <n v="48"/>
    <x v="1"/>
    <n v="96"/>
    <s v="A+"/>
    <n v="97"/>
    <s v="A+"/>
    <n v="98"/>
    <s v="A+"/>
    <n v="98"/>
    <s v="A+"/>
    <n v="97"/>
    <s v="A+"/>
    <n v="96"/>
    <s v="A+"/>
    <n v="89"/>
    <s v="A"/>
    <n v="671"/>
    <n v="95.857142857142861"/>
    <x v="1"/>
    <n v="2"/>
    <x v="1"/>
  </r>
  <r>
    <n v="1575"/>
    <s v="Aaron"/>
    <s v="Ortega"/>
    <x v="1551"/>
    <s v="aaron.ortega.1575@gslingacademy.com"/>
    <x v="0"/>
    <x v="0"/>
    <n v="4"/>
    <x v="1"/>
    <n v="0"/>
    <x v="7"/>
    <n v="44"/>
    <s v="D"/>
    <n v="98"/>
    <s v="A+"/>
    <n v="53"/>
    <s v="C"/>
    <n v="68"/>
    <s v="B"/>
    <n v="94"/>
    <s v="A+"/>
    <n v="91"/>
    <s v="A+"/>
    <n v="84"/>
    <s v="A"/>
    <n v="532"/>
    <n v="76"/>
    <x v="2"/>
    <n v="1622"/>
    <x v="0"/>
  </r>
  <r>
    <n v="1576"/>
    <s v="Jonathan"/>
    <s v="Carter"/>
    <x v="1552"/>
    <s v="jonathan.carter.1576@gslingacademy.com"/>
    <x v="0"/>
    <x v="0"/>
    <n v="7"/>
    <x v="1"/>
    <n v="12"/>
    <x v="9"/>
    <n v="97"/>
    <s v="A+"/>
    <n v="64"/>
    <s v="B-"/>
    <n v="90"/>
    <s v="A+"/>
    <n v="69"/>
    <s v="B"/>
    <n v="88"/>
    <s v="A"/>
    <n v="83"/>
    <s v="A"/>
    <n v="77"/>
    <s v="A-"/>
    <n v="568"/>
    <n v="81.142857142857139"/>
    <x v="0"/>
    <n v="975"/>
    <x v="2"/>
  </r>
  <r>
    <n v="1577"/>
    <s v="Christina"/>
    <s v="Nguyen"/>
    <x v="1553"/>
    <s v="christina.nguyen.1577@gslingacademy.com"/>
    <x v="1"/>
    <x v="0"/>
    <n v="1"/>
    <x v="1"/>
    <n v="31"/>
    <x v="9"/>
    <n v="77"/>
    <s v="A-"/>
    <n v="93"/>
    <s v="A+"/>
    <n v="65"/>
    <s v="B"/>
    <n v="68"/>
    <s v="B"/>
    <n v="71"/>
    <s v="B+"/>
    <n v="75"/>
    <s v="A-"/>
    <n v="76"/>
    <s v="A-"/>
    <n v="525"/>
    <n v="75"/>
    <x v="2"/>
    <n v="1704"/>
    <x v="1"/>
  </r>
  <r>
    <n v="1578"/>
    <s v="Anita"/>
    <s v="Carter"/>
    <x v="1554"/>
    <s v="anita.carter.1578@gslingacademy.com"/>
    <x v="1"/>
    <x v="1"/>
    <n v="9"/>
    <x v="0"/>
    <n v="19"/>
    <x v="11"/>
    <n v="89"/>
    <s v="A"/>
    <n v="99"/>
    <s v="A+"/>
    <n v="96"/>
    <s v="A+"/>
    <n v="72"/>
    <s v="B+"/>
    <n v="84"/>
    <s v="A"/>
    <n v="62"/>
    <s v="B-"/>
    <n v="98"/>
    <s v="A+"/>
    <n v="600"/>
    <n v="85.714285714285708"/>
    <x v="0"/>
    <n v="406"/>
    <x v="2"/>
  </r>
  <r>
    <n v="1579"/>
    <s v="Madeline"/>
    <s v="Holmes"/>
    <x v="1555"/>
    <s v="madeline.holmes.1579@gslingacademy.com"/>
    <x v="1"/>
    <x v="0"/>
    <n v="0"/>
    <x v="0"/>
    <n v="17"/>
    <x v="5"/>
    <n v="86"/>
    <s v="A"/>
    <n v="92"/>
    <s v="A+"/>
    <n v="65"/>
    <s v="B"/>
    <n v="81"/>
    <s v="A"/>
    <n v="73"/>
    <s v="B+"/>
    <n v="84"/>
    <s v="A"/>
    <n v="79"/>
    <s v="A-"/>
    <n v="560"/>
    <n v="80"/>
    <x v="0"/>
    <n v="1134"/>
    <x v="1"/>
  </r>
  <r>
    <n v="1580"/>
    <s v="Luis"/>
    <s v="Klein"/>
    <x v="1556"/>
    <s v="luis.klein.1580@gslingacademy.com"/>
    <x v="0"/>
    <x v="0"/>
    <n v="6"/>
    <x v="1"/>
    <n v="24"/>
    <x v="4"/>
    <n v="73"/>
    <s v="B+"/>
    <n v="71"/>
    <s v="B+"/>
    <n v="84"/>
    <s v="A"/>
    <n v="96"/>
    <s v="A+"/>
    <n v="92"/>
    <s v="A+"/>
    <n v="94"/>
    <s v="A+"/>
    <n v="75"/>
    <s v="A-"/>
    <n v="585"/>
    <n v="83.571428571428569"/>
    <x v="0"/>
    <n v="615"/>
    <x v="0"/>
  </r>
  <r>
    <n v="1581"/>
    <s v="Laura"/>
    <s v="Thornton"/>
    <x v="1557"/>
    <s v="laura.thornton.1581@gslingacademy.com"/>
    <x v="1"/>
    <x v="0"/>
    <n v="2"/>
    <x v="0"/>
    <n v="11"/>
    <x v="6"/>
    <n v="61"/>
    <s v="B-"/>
    <n v="75"/>
    <s v="A-"/>
    <n v="95"/>
    <s v="A+"/>
    <n v="62"/>
    <s v="B-"/>
    <n v="93"/>
    <s v="A+"/>
    <n v="92"/>
    <s v="A+"/>
    <n v="87"/>
    <s v="A"/>
    <n v="565"/>
    <n v="80.714285714285708"/>
    <x v="0"/>
    <n v="1035"/>
    <x v="1"/>
  </r>
  <r>
    <n v="1582"/>
    <s v="William"/>
    <s v="Ball"/>
    <x v="1558"/>
    <s v="william.ball.1582@gslingacademy.com"/>
    <x v="0"/>
    <x v="1"/>
    <n v="6"/>
    <x v="0"/>
    <n v="2"/>
    <x v="7"/>
    <n v="81"/>
    <s v="A"/>
    <n v="90"/>
    <s v="A+"/>
    <n v="75"/>
    <s v="A-"/>
    <n v="83"/>
    <s v="A"/>
    <n v="70"/>
    <s v="B+"/>
    <n v="55"/>
    <s v="C"/>
    <n v="62"/>
    <s v="B-"/>
    <n v="516"/>
    <n v="73.714285714285708"/>
    <x v="3"/>
    <n v="1792"/>
    <x v="0"/>
  </r>
  <r>
    <n v="1583"/>
    <s v="Kristin"/>
    <s v="Gilbert"/>
    <x v="1559"/>
    <s v="kristin.gilbert.1583@gslingacademy.com"/>
    <x v="1"/>
    <x v="1"/>
    <n v="2"/>
    <x v="1"/>
    <n v="32"/>
    <x v="1"/>
    <n v="90"/>
    <s v="A+"/>
    <n v="99"/>
    <s v="A+"/>
    <n v="94"/>
    <s v="A+"/>
    <n v="91"/>
    <s v="A+"/>
    <n v="92"/>
    <s v="A+"/>
    <n v="85"/>
    <s v="A"/>
    <n v="64"/>
    <s v="B-"/>
    <n v="615"/>
    <n v="87.857142857142861"/>
    <x v="0"/>
    <n v="251"/>
    <x v="1"/>
  </r>
  <r>
    <n v="1584"/>
    <s v="Aaron"/>
    <s v="Ware"/>
    <x v="1560"/>
    <s v="aaron.ware.1584@gslingacademy.com"/>
    <x v="0"/>
    <x v="0"/>
    <n v="7"/>
    <x v="0"/>
    <n v="5"/>
    <x v="14"/>
    <n v="88"/>
    <s v="A"/>
    <n v="60"/>
    <s v="B-"/>
    <n v="87"/>
    <s v="A"/>
    <n v="95"/>
    <s v="A+"/>
    <n v="65"/>
    <s v="B"/>
    <n v="75"/>
    <s v="A-"/>
    <n v="76"/>
    <s v="A-"/>
    <n v="546"/>
    <n v="78"/>
    <x v="2"/>
    <n v="1411"/>
    <x v="2"/>
  </r>
  <r>
    <n v="1585"/>
    <s v="Danny"/>
    <s v="Carlson"/>
    <x v="1561"/>
    <s v="danny.carlson.1585@gslingacademy.com"/>
    <x v="0"/>
    <x v="0"/>
    <n v="5"/>
    <x v="1"/>
    <n v="23"/>
    <x v="1"/>
    <n v="86"/>
    <s v="A"/>
    <n v="92"/>
    <s v="A+"/>
    <n v="84"/>
    <s v="A"/>
    <n v="82"/>
    <s v="A"/>
    <n v="88"/>
    <s v="A"/>
    <n v="84"/>
    <s v="A"/>
    <n v="65"/>
    <s v="B"/>
    <n v="581"/>
    <n v="83"/>
    <x v="0"/>
    <n v="688"/>
    <x v="0"/>
  </r>
  <r>
    <n v="1586"/>
    <s v="Julie"/>
    <s v="Adkins"/>
    <x v="1562"/>
    <s v="julie.adkins.1586@gslingacademy.com"/>
    <x v="1"/>
    <x v="0"/>
    <n v="8"/>
    <x v="0"/>
    <n v="14"/>
    <x v="9"/>
    <n v="78"/>
    <s v="A-"/>
    <n v="75"/>
    <s v="A-"/>
    <n v="82"/>
    <s v="A"/>
    <n v="91"/>
    <s v="A+"/>
    <n v="86"/>
    <s v="A"/>
    <n v="76"/>
    <s v="A-"/>
    <n v="69"/>
    <s v="B"/>
    <n v="557"/>
    <n v="79.571428571428569"/>
    <x v="2"/>
    <n v="1200"/>
    <x v="2"/>
  </r>
  <r>
    <n v="1587"/>
    <s v="Jerry"/>
    <s v="Aguirre"/>
    <x v="1563"/>
    <s v="jerry.aguirre.1587@gslingacademy.com"/>
    <x v="0"/>
    <x v="1"/>
    <n v="6"/>
    <x v="0"/>
    <n v="1"/>
    <x v="7"/>
    <n v="73"/>
    <s v="B+"/>
    <n v="90"/>
    <s v="A+"/>
    <n v="70"/>
    <s v="B+"/>
    <n v="80"/>
    <s v="A"/>
    <n v="64"/>
    <s v="B-"/>
    <n v="53"/>
    <s v="C"/>
    <n v="79"/>
    <s v="A-"/>
    <n v="509"/>
    <n v="72.714285714285708"/>
    <x v="3"/>
    <n v="1835"/>
    <x v="0"/>
  </r>
  <r>
    <n v="1588"/>
    <s v="Jason"/>
    <s v="Thomas"/>
    <x v="1564"/>
    <s v="jason.thomas.1588@gslingacademy.com"/>
    <x v="0"/>
    <x v="0"/>
    <n v="4"/>
    <x v="0"/>
    <n v="32"/>
    <x v="8"/>
    <n v="98"/>
    <s v="A+"/>
    <n v="82"/>
    <s v="A"/>
    <n v="91"/>
    <s v="A+"/>
    <n v="93"/>
    <s v="A+"/>
    <n v="85"/>
    <s v="A"/>
    <n v="75"/>
    <s v="A-"/>
    <n v="78"/>
    <s v="A-"/>
    <n v="602"/>
    <n v="86"/>
    <x v="0"/>
    <n v="380"/>
    <x v="0"/>
  </r>
  <r>
    <n v="1589"/>
    <s v="Zachary"/>
    <s v="Houston"/>
    <x v="1565"/>
    <s v="zachary.houston.1589@gslingacademy.com"/>
    <x v="0"/>
    <x v="0"/>
    <n v="1"/>
    <x v="0"/>
    <n v="34"/>
    <x v="8"/>
    <n v="81"/>
    <s v="A"/>
    <n v="79"/>
    <s v="A-"/>
    <n v="100"/>
    <s v="A+"/>
    <n v="88"/>
    <s v="A"/>
    <n v="81"/>
    <s v="A"/>
    <n v="64"/>
    <s v="B-"/>
    <n v="95"/>
    <s v="A+"/>
    <n v="588"/>
    <n v="84"/>
    <x v="0"/>
    <n v="565"/>
    <x v="1"/>
  </r>
  <r>
    <n v="1590"/>
    <s v="Donna"/>
    <s v="Hoffman"/>
    <x v="1566"/>
    <s v="donna.hoffman.1590@gslingacademy.com"/>
    <x v="1"/>
    <x v="0"/>
    <n v="2"/>
    <x v="1"/>
    <n v="13"/>
    <x v="4"/>
    <n v="73"/>
    <s v="B+"/>
    <n v="87"/>
    <s v="A"/>
    <n v="72"/>
    <s v="B+"/>
    <n v="98"/>
    <s v="A+"/>
    <n v="82"/>
    <s v="A"/>
    <n v="89"/>
    <s v="A"/>
    <n v="98"/>
    <s v="A+"/>
    <n v="599"/>
    <n v="85.571428571428569"/>
    <x v="0"/>
    <n v="426"/>
    <x v="1"/>
  </r>
  <r>
    <n v="1591"/>
    <s v="Austin"/>
    <s v="Sanders"/>
    <x v="1567"/>
    <s v="austin.sanders.1591@gslingacademy.com"/>
    <x v="0"/>
    <x v="0"/>
    <n v="1"/>
    <x v="0"/>
    <n v="24"/>
    <x v="0"/>
    <n v="84"/>
    <s v="A"/>
    <n v="95"/>
    <s v="A+"/>
    <n v="87"/>
    <s v="A"/>
    <n v="100"/>
    <s v="A+"/>
    <n v="96"/>
    <s v="A+"/>
    <n v="92"/>
    <s v="A+"/>
    <n v="76"/>
    <s v="A-"/>
    <n v="630"/>
    <n v="90"/>
    <x v="1"/>
    <n v="154"/>
    <x v="1"/>
  </r>
  <r>
    <n v="1592"/>
    <s v="Leslie"/>
    <s v="Mercado"/>
    <x v="1568"/>
    <s v="leslie.mercado.1592@gslingacademy.com"/>
    <x v="1"/>
    <x v="0"/>
    <n v="5"/>
    <x v="0"/>
    <n v="32"/>
    <x v="0"/>
    <n v="81"/>
    <s v="A"/>
    <n v="90"/>
    <s v="A+"/>
    <n v="82"/>
    <s v="A"/>
    <n v="80"/>
    <s v="A"/>
    <n v="98"/>
    <s v="A+"/>
    <n v="81"/>
    <s v="A"/>
    <n v="91"/>
    <s v="A+"/>
    <n v="603"/>
    <n v="86.142857142857139"/>
    <x v="0"/>
    <n v="370"/>
    <x v="0"/>
  </r>
  <r>
    <n v="1593"/>
    <s v="Derrick"/>
    <s v="Tucker"/>
    <x v="1569"/>
    <s v="derrick.tucker.1593@gslingacademy.com"/>
    <x v="0"/>
    <x v="0"/>
    <n v="2"/>
    <x v="0"/>
    <n v="21"/>
    <x v="9"/>
    <n v="100"/>
    <s v="A+"/>
    <n v="77"/>
    <s v="A-"/>
    <n v="90"/>
    <s v="A+"/>
    <n v="83"/>
    <s v="A"/>
    <n v="88"/>
    <s v="A"/>
    <n v="91"/>
    <s v="A+"/>
    <n v="80"/>
    <s v="A"/>
    <n v="609"/>
    <n v="87"/>
    <x v="0"/>
    <n v="309"/>
    <x v="1"/>
  </r>
  <r>
    <n v="1594"/>
    <s v="Kelsey"/>
    <s v="Alexander"/>
    <x v="1570"/>
    <s v="kelsey.alexander.1594@gslingacademy.com"/>
    <x v="1"/>
    <x v="1"/>
    <n v="6"/>
    <x v="0"/>
    <n v="0"/>
    <x v="7"/>
    <n v="83"/>
    <s v="A"/>
    <n v="50"/>
    <s v="C"/>
    <n v="59"/>
    <s v="C"/>
    <n v="77"/>
    <s v="A-"/>
    <n v="66"/>
    <s v="B"/>
    <n v="87"/>
    <s v="A"/>
    <n v="60"/>
    <s v="B-"/>
    <n v="482"/>
    <n v="68.857142857142861"/>
    <x v="4"/>
    <n v="1930"/>
    <x v="0"/>
  </r>
  <r>
    <n v="1595"/>
    <s v="Rhonda"/>
    <s v="Smith"/>
    <x v="1571"/>
    <s v="rhonda.smith.1595@gslingacademy.com"/>
    <x v="1"/>
    <x v="0"/>
    <n v="6"/>
    <x v="0"/>
    <n v="34"/>
    <x v="11"/>
    <n v="87"/>
    <s v="A"/>
    <n v="75"/>
    <s v="A-"/>
    <n v="90"/>
    <s v="A+"/>
    <n v="82"/>
    <s v="A"/>
    <n v="99"/>
    <s v="A+"/>
    <n v="66"/>
    <s v="B"/>
    <n v="92"/>
    <s v="A+"/>
    <n v="591"/>
    <n v="84.428571428571431"/>
    <x v="0"/>
    <n v="515"/>
    <x v="0"/>
  </r>
  <r>
    <n v="1596"/>
    <s v="Isaac"/>
    <s v="Santos"/>
    <x v="1572"/>
    <s v="isaac.santos.1596@gslingacademy.com"/>
    <x v="0"/>
    <x v="0"/>
    <n v="2"/>
    <x v="0"/>
    <n v="14"/>
    <x v="12"/>
    <n v="96"/>
    <s v="A+"/>
    <n v="94"/>
    <s v="A+"/>
    <n v="60"/>
    <s v="B-"/>
    <n v="62"/>
    <s v="B-"/>
    <n v="86"/>
    <s v="A"/>
    <n v="79"/>
    <s v="A-"/>
    <n v="79"/>
    <s v="A-"/>
    <n v="556"/>
    <n v="79.428571428571431"/>
    <x v="2"/>
    <n v="1224"/>
    <x v="1"/>
  </r>
  <r>
    <n v="1597"/>
    <s v="David"/>
    <s v="Sloan"/>
    <x v="1573"/>
    <s v="david.sloan.1597@gslingacademy.com"/>
    <x v="0"/>
    <x v="0"/>
    <n v="3"/>
    <x v="0"/>
    <n v="25"/>
    <x v="5"/>
    <n v="98"/>
    <s v="A+"/>
    <n v="76"/>
    <s v="A-"/>
    <n v="69"/>
    <s v="B"/>
    <n v="75"/>
    <s v="A-"/>
    <n v="76"/>
    <s v="A-"/>
    <n v="98"/>
    <s v="A+"/>
    <n v="81"/>
    <s v="A"/>
    <n v="573"/>
    <n v="81.857142857142861"/>
    <x v="0"/>
    <n v="864"/>
    <x v="0"/>
  </r>
  <r>
    <n v="1598"/>
    <s v="Amanda"/>
    <s v="Peterson"/>
    <x v="1574"/>
    <s v="amanda.peterson.1598@gslingacademy.com"/>
    <x v="1"/>
    <x v="0"/>
    <n v="3"/>
    <x v="0"/>
    <n v="5"/>
    <x v="14"/>
    <n v="83"/>
    <s v="A"/>
    <n v="66"/>
    <s v="B"/>
    <n v="97"/>
    <s v="A+"/>
    <n v="95"/>
    <s v="A+"/>
    <n v="91"/>
    <s v="A+"/>
    <n v="76"/>
    <s v="A-"/>
    <n v="80"/>
    <s v="A"/>
    <n v="588"/>
    <n v="84"/>
    <x v="0"/>
    <n v="565"/>
    <x v="0"/>
  </r>
  <r>
    <n v="1599"/>
    <s v="Cynthia"/>
    <s v="Weeks"/>
    <x v="1575"/>
    <s v="cynthia.weeks.1599@gslingacademy.com"/>
    <x v="1"/>
    <x v="1"/>
    <n v="10"/>
    <x v="0"/>
    <n v="3"/>
    <x v="7"/>
    <n v="86"/>
    <s v="A"/>
    <n v="59"/>
    <s v="C"/>
    <n v="83"/>
    <s v="A"/>
    <n v="81"/>
    <s v="A"/>
    <n v="100"/>
    <s v="A+"/>
    <n v="82"/>
    <s v="A"/>
    <n v="99"/>
    <s v="A+"/>
    <n v="590"/>
    <n v="84.285714285714292"/>
    <x v="0"/>
    <n v="531"/>
    <x v="2"/>
  </r>
  <r>
    <n v="1600"/>
    <s v="Katherine"/>
    <s v="Turner"/>
    <x v="1576"/>
    <s v="katherine.turner.1600@gslingacademy.com"/>
    <x v="1"/>
    <x v="0"/>
    <n v="7"/>
    <x v="0"/>
    <n v="20"/>
    <x v="12"/>
    <n v="82"/>
    <s v="A"/>
    <n v="67"/>
    <s v="B"/>
    <n v="88"/>
    <s v="A"/>
    <n v="62"/>
    <s v="B-"/>
    <n v="73"/>
    <s v="B+"/>
    <n v="64"/>
    <s v="B-"/>
    <n v="79"/>
    <s v="A-"/>
    <n v="515"/>
    <n v="73.571428571428569"/>
    <x v="3"/>
    <n v="1798"/>
    <x v="2"/>
  </r>
  <r>
    <n v="1601"/>
    <s v="Joseph"/>
    <s v="Patterson"/>
    <x v="1577"/>
    <s v="joseph.patterson.1601@gslingacademy.com"/>
    <x v="0"/>
    <x v="0"/>
    <n v="1"/>
    <x v="1"/>
    <n v="26"/>
    <x v="12"/>
    <n v="82"/>
    <s v="A"/>
    <n v="98"/>
    <s v="A+"/>
    <n v="78"/>
    <s v="A-"/>
    <n v="63"/>
    <s v="B-"/>
    <n v="83"/>
    <s v="A"/>
    <n v="91"/>
    <s v="A+"/>
    <n v="94"/>
    <s v="A+"/>
    <n v="589"/>
    <n v="84.142857142857139"/>
    <x v="0"/>
    <n v="548"/>
    <x v="1"/>
  </r>
  <r>
    <n v="1602"/>
    <s v="Jill"/>
    <s v="Davis"/>
    <x v="1578"/>
    <s v="jill.davis.1602@gslingacademy.com"/>
    <x v="1"/>
    <x v="0"/>
    <n v="9"/>
    <x v="0"/>
    <n v="2"/>
    <x v="7"/>
    <n v="100"/>
    <s v="A+"/>
    <n v="71"/>
    <s v="B+"/>
    <n v="70"/>
    <s v="B+"/>
    <n v="86"/>
    <s v="A"/>
    <n v="80"/>
    <s v="A"/>
    <n v="91"/>
    <s v="A+"/>
    <n v="62"/>
    <s v="B-"/>
    <n v="560"/>
    <n v="80"/>
    <x v="0"/>
    <n v="1134"/>
    <x v="2"/>
  </r>
  <r>
    <n v="1603"/>
    <s v="Amy"/>
    <s v="Moore"/>
    <x v="1579"/>
    <s v="amy.moore.1603@gslingacademy.com"/>
    <x v="1"/>
    <x v="0"/>
    <n v="3"/>
    <x v="1"/>
    <n v="1"/>
    <x v="16"/>
    <n v="100"/>
    <s v="A+"/>
    <n v="80"/>
    <s v="A"/>
    <n v="88"/>
    <s v="A"/>
    <n v="81"/>
    <s v="A"/>
    <n v="93"/>
    <s v="A+"/>
    <n v="93"/>
    <s v="A+"/>
    <n v="84"/>
    <s v="A"/>
    <n v="619"/>
    <n v="88.428571428571431"/>
    <x v="0"/>
    <n v="221"/>
    <x v="0"/>
  </r>
  <r>
    <n v="1604"/>
    <s v="Eric"/>
    <s v="Matthews"/>
    <x v="1580"/>
    <s v="eric.matthews.1604@gslingacademy.com"/>
    <x v="0"/>
    <x v="0"/>
    <n v="10"/>
    <x v="0"/>
    <n v="1"/>
    <x v="7"/>
    <n v="83"/>
    <s v="A"/>
    <n v="93"/>
    <s v="A+"/>
    <n v="75"/>
    <s v="A-"/>
    <n v="55"/>
    <s v="C"/>
    <n v="82"/>
    <s v="A"/>
    <n v="51"/>
    <s v="C"/>
    <n v="91"/>
    <s v="A+"/>
    <n v="530"/>
    <n v="75.714285714285708"/>
    <x v="2"/>
    <n v="1646"/>
    <x v="2"/>
  </r>
  <r>
    <n v="1605"/>
    <s v="Tamara"/>
    <s v="Bennett"/>
    <x v="1581"/>
    <s v="tamara.bennett.1605@gslingacademy.com"/>
    <x v="1"/>
    <x v="0"/>
    <n v="10"/>
    <x v="0"/>
    <n v="25"/>
    <x v="9"/>
    <n v="93"/>
    <s v="A+"/>
    <n v="92"/>
    <s v="A+"/>
    <n v="71"/>
    <s v="B+"/>
    <n v="89"/>
    <s v="A"/>
    <n v="91"/>
    <s v="A+"/>
    <n v="76"/>
    <s v="A-"/>
    <n v="61"/>
    <s v="B-"/>
    <n v="573"/>
    <n v="81.857142857142861"/>
    <x v="0"/>
    <n v="864"/>
    <x v="2"/>
  </r>
  <r>
    <n v="1606"/>
    <s v="Maria"/>
    <s v="Perkins"/>
    <x v="1582"/>
    <s v="maria.perkins.1606@gslingacademy.com"/>
    <x v="1"/>
    <x v="0"/>
    <n v="5"/>
    <x v="0"/>
    <n v="35"/>
    <x v="0"/>
    <n v="86"/>
    <s v="A"/>
    <n v="86"/>
    <s v="A"/>
    <n v="100"/>
    <s v="A+"/>
    <n v="86"/>
    <s v="A"/>
    <n v="94"/>
    <s v="A+"/>
    <n v="87"/>
    <s v="A"/>
    <n v="85"/>
    <s v="A"/>
    <n v="624"/>
    <n v="89.142857142857139"/>
    <x v="0"/>
    <n v="194"/>
    <x v="0"/>
  </r>
  <r>
    <n v="1607"/>
    <s v="Jillian"/>
    <s v="Reed"/>
    <x v="1583"/>
    <s v="jillian.reed.1607@gslingacademy.com"/>
    <x v="1"/>
    <x v="1"/>
    <n v="3"/>
    <x v="0"/>
    <n v="2"/>
    <x v="7"/>
    <n v="50"/>
    <s v="C"/>
    <n v="78"/>
    <s v="A-"/>
    <n v="67"/>
    <s v="B"/>
    <n v="95"/>
    <s v="A+"/>
    <n v="82"/>
    <s v="A"/>
    <n v="97"/>
    <s v="A+"/>
    <n v="80"/>
    <s v="A"/>
    <n v="549"/>
    <n v="78.428571428571431"/>
    <x v="2"/>
    <n v="1355"/>
    <x v="0"/>
  </r>
  <r>
    <n v="1608"/>
    <s v="Melissa"/>
    <s v="Mora"/>
    <x v="1584"/>
    <s v="melissa.mora.1608@gslingacademy.com"/>
    <x v="1"/>
    <x v="0"/>
    <n v="7"/>
    <x v="0"/>
    <n v="5"/>
    <x v="7"/>
    <n v="78"/>
    <s v="A-"/>
    <n v="68"/>
    <s v="B"/>
    <n v="56"/>
    <s v="C"/>
    <n v="50"/>
    <s v="C"/>
    <n v="76"/>
    <s v="A-"/>
    <n v="67"/>
    <s v="B"/>
    <n v="97"/>
    <s v="A+"/>
    <n v="492"/>
    <n v="70.285714285714292"/>
    <x v="3"/>
    <n v="1905"/>
    <x v="2"/>
  </r>
  <r>
    <n v="1609"/>
    <s v="Tina"/>
    <s v="Smith"/>
    <x v="1585"/>
    <s v="tina.smith.1609@gslingacademy.com"/>
    <x v="1"/>
    <x v="0"/>
    <n v="3"/>
    <x v="0"/>
    <n v="24"/>
    <x v="5"/>
    <n v="91"/>
    <s v="A+"/>
    <n v="69"/>
    <s v="B"/>
    <n v="82"/>
    <s v="A"/>
    <n v="87"/>
    <s v="A"/>
    <n v="100"/>
    <s v="A+"/>
    <n v="93"/>
    <s v="A+"/>
    <n v="100"/>
    <s v="A+"/>
    <n v="622"/>
    <n v="88.857142857142861"/>
    <x v="0"/>
    <n v="208"/>
    <x v="0"/>
  </r>
  <r>
    <n v="1610"/>
    <s v="Rhonda"/>
    <s v="Munoz"/>
    <x v="1586"/>
    <s v="rhonda.munoz.1610@gslingacademy.com"/>
    <x v="1"/>
    <x v="0"/>
    <n v="0"/>
    <x v="0"/>
    <n v="5"/>
    <x v="3"/>
    <n v="73"/>
    <s v="B+"/>
    <n v="100"/>
    <s v="A+"/>
    <n v="78"/>
    <s v="A-"/>
    <n v="77"/>
    <s v="A-"/>
    <n v="71"/>
    <s v="B+"/>
    <n v="61"/>
    <s v="B-"/>
    <n v="66"/>
    <s v="B"/>
    <n v="526"/>
    <n v="75.142857142857139"/>
    <x v="2"/>
    <n v="1688"/>
    <x v="1"/>
  </r>
  <r>
    <n v="1611"/>
    <s v="Heidi"/>
    <s v="Johnson"/>
    <x v="1587"/>
    <s v="heidi.johnson.1611@gslingacademy.com"/>
    <x v="1"/>
    <x v="0"/>
    <n v="6"/>
    <x v="0"/>
    <n v="3"/>
    <x v="14"/>
    <n v="99"/>
    <s v="A+"/>
    <n v="66"/>
    <s v="B"/>
    <n v="81"/>
    <s v="A"/>
    <n v="69"/>
    <s v="B"/>
    <n v="82"/>
    <s v="A"/>
    <n v="73"/>
    <s v="B+"/>
    <n v="72"/>
    <s v="B+"/>
    <n v="542"/>
    <n v="77.428571428571431"/>
    <x v="2"/>
    <n v="1478"/>
    <x v="0"/>
  </r>
  <r>
    <n v="1612"/>
    <s v="Joshua"/>
    <s v="Davis"/>
    <x v="1588"/>
    <s v="joshua.davis.1612@gslingacademy.com"/>
    <x v="0"/>
    <x v="0"/>
    <n v="6"/>
    <x v="0"/>
    <n v="5"/>
    <x v="14"/>
    <n v="88"/>
    <s v="A"/>
    <n v="82"/>
    <s v="A"/>
    <n v="99"/>
    <s v="A+"/>
    <n v="65"/>
    <s v="B"/>
    <n v="83"/>
    <s v="A"/>
    <n v="65"/>
    <s v="B"/>
    <n v="98"/>
    <s v="A+"/>
    <n v="580"/>
    <n v="82.857142857142861"/>
    <x v="0"/>
    <n v="709"/>
    <x v="0"/>
  </r>
  <r>
    <n v="1613"/>
    <s v="Laura"/>
    <s v="Sanders"/>
    <x v="1589"/>
    <s v="laura.sanders.1613@gslingacademy.com"/>
    <x v="1"/>
    <x v="0"/>
    <n v="1"/>
    <x v="0"/>
    <n v="33"/>
    <x v="0"/>
    <n v="100"/>
    <s v="A+"/>
    <n v="82"/>
    <s v="A"/>
    <n v="85"/>
    <s v="A"/>
    <n v="68"/>
    <s v="B"/>
    <n v="97"/>
    <s v="A+"/>
    <n v="81"/>
    <s v="A"/>
    <n v="100"/>
    <s v="A+"/>
    <n v="613"/>
    <n v="87.571428571428569"/>
    <x v="0"/>
    <n v="271"/>
    <x v="1"/>
  </r>
  <r>
    <n v="1614"/>
    <s v="Evan"/>
    <s v="Francis"/>
    <x v="1590"/>
    <s v="evan.francis.1614@gslingacademy.com"/>
    <x v="0"/>
    <x v="0"/>
    <n v="2"/>
    <x v="0"/>
    <n v="15"/>
    <x v="4"/>
    <n v="100"/>
    <s v="A+"/>
    <n v="62"/>
    <s v="B-"/>
    <n v="84"/>
    <s v="A"/>
    <n v="66"/>
    <s v="B"/>
    <n v="88"/>
    <s v="A"/>
    <n v="90"/>
    <s v="A+"/>
    <n v="71"/>
    <s v="B+"/>
    <n v="561"/>
    <n v="80.142857142857139"/>
    <x v="0"/>
    <n v="1120"/>
    <x v="1"/>
  </r>
  <r>
    <n v="1615"/>
    <s v="Cynthia"/>
    <s v="Miller"/>
    <x v="1591"/>
    <s v="cynthia.miller.1615@gslingacademy.com"/>
    <x v="1"/>
    <x v="1"/>
    <n v="5"/>
    <x v="0"/>
    <n v="32"/>
    <x v="9"/>
    <n v="99"/>
    <s v="A+"/>
    <n v="61"/>
    <s v="B-"/>
    <n v="76"/>
    <s v="A-"/>
    <n v="95"/>
    <s v="A+"/>
    <n v="79"/>
    <s v="A-"/>
    <n v="78"/>
    <s v="A-"/>
    <n v="66"/>
    <s v="B"/>
    <n v="554"/>
    <n v="79.142857142857139"/>
    <x v="2"/>
    <n v="1264"/>
    <x v="0"/>
  </r>
  <r>
    <n v="1616"/>
    <s v="Bobby"/>
    <s v="Miller"/>
    <x v="1592"/>
    <s v="bobby.miller.1616@gslingacademy.com"/>
    <x v="0"/>
    <x v="0"/>
    <n v="0"/>
    <x v="1"/>
    <n v="14"/>
    <x v="9"/>
    <n v="81"/>
    <s v="A"/>
    <n v="99"/>
    <s v="A+"/>
    <n v="85"/>
    <s v="A"/>
    <n v="72"/>
    <s v="B+"/>
    <n v="67"/>
    <s v="B"/>
    <n v="78"/>
    <s v="A-"/>
    <n v="69"/>
    <s v="B"/>
    <n v="551"/>
    <n v="78.714285714285708"/>
    <x v="2"/>
    <n v="1317"/>
    <x v="1"/>
  </r>
  <r>
    <n v="1617"/>
    <s v="Justin"/>
    <s v="Brooks"/>
    <x v="1217"/>
    <s v="justin.brooks.1617@gslingacademy.com"/>
    <x v="0"/>
    <x v="0"/>
    <n v="3"/>
    <x v="0"/>
    <n v="47"/>
    <x v="1"/>
    <n v="90"/>
    <s v="A+"/>
    <n v="86"/>
    <s v="A"/>
    <n v="98"/>
    <s v="A+"/>
    <n v="97"/>
    <s v="A+"/>
    <n v="99"/>
    <s v="A+"/>
    <n v="96"/>
    <s v="A+"/>
    <n v="85"/>
    <s v="A"/>
    <n v="651"/>
    <n v="93"/>
    <x v="1"/>
    <n v="51"/>
    <x v="0"/>
  </r>
  <r>
    <n v="1618"/>
    <s v="Kayla"/>
    <s v="Krueger"/>
    <x v="1593"/>
    <s v="kayla.krueger.1618@gslingacademy.com"/>
    <x v="1"/>
    <x v="0"/>
    <n v="4"/>
    <x v="0"/>
    <n v="6"/>
    <x v="4"/>
    <n v="67"/>
    <s v="B"/>
    <n v="88"/>
    <s v="A"/>
    <n v="89"/>
    <s v="A"/>
    <n v="90"/>
    <s v="A+"/>
    <n v="78"/>
    <s v="A-"/>
    <n v="84"/>
    <s v="A"/>
    <n v="73"/>
    <s v="B+"/>
    <n v="569"/>
    <n v="81.285714285714292"/>
    <x v="0"/>
    <n v="957"/>
    <x v="0"/>
  </r>
  <r>
    <n v="1619"/>
    <s v="Justin"/>
    <s v="Kim"/>
    <x v="1594"/>
    <s v="justin.kim.1619@gslingacademy.com"/>
    <x v="0"/>
    <x v="0"/>
    <n v="5"/>
    <x v="1"/>
    <n v="3"/>
    <x v="16"/>
    <n v="68"/>
    <s v="B"/>
    <n v="91"/>
    <s v="A+"/>
    <n v="78"/>
    <s v="A-"/>
    <n v="63"/>
    <s v="B-"/>
    <n v="90"/>
    <s v="A+"/>
    <n v="95"/>
    <s v="A+"/>
    <n v="80"/>
    <s v="A"/>
    <n v="565"/>
    <n v="80.714285714285708"/>
    <x v="0"/>
    <n v="1035"/>
    <x v="0"/>
  </r>
  <r>
    <n v="1620"/>
    <s v="Christian"/>
    <s v="Blankenship"/>
    <x v="1595"/>
    <s v="christian.blankenship.1620@gslingacademy.com"/>
    <x v="0"/>
    <x v="0"/>
    <n v="1"/>
    <x v="1"/>
    <n v="42"/>
    <x v="1"/>
    <n v="93"/>
    <s v="A+"/>
    <n v="90"/>
    <s v="A+"/>
    <n v="93"/>
    <s v="A+"/>
    <n v="89"/>
    <s v="A"/>
    <n v="92"/>
    <s v="A+"/>
    <n v="93"/>
    <s v="A+"/>
    <n v="100"/>
    <s v="A+"/>
    <n v="650"/>
    <n v="92.857142857142861"/>
    <x v="1"/>
    <n v="56"/>
    <x v="1"/>
  </r>
  <r>
    <n v="1621"/>
    <s v="Todd"/>
    <s v="Williams"/>
    <x v="1596"/>
    <s v="todd.williams.1621@gslingacademy.com"/>
    <x v="0"/>
    <x v="0"/>
    <n v="1"/>
    <x v="0"/>
    <n v="22"/>
    <x v="13"/>
    <n v="94"/>
    <s v="A+"/>
    <n v="95"/>
    <s v="A+"/>
    <n v="80"/>
    <s v="A"/>
    <n v="60"/>
    <s v="B-"/>
    <n v="89"/>
    <s v="A"/>
    <n v="93"/>
    <s v="A+"/>
    <n v="88"/>
    <s v="A"/>
    <n v="599"/>
    <n v="85.571428571428569"/>
    <x v="0"/>
    <n v="426"/>
    <x v="1"/>
  </r>
  <r>
    <n v="1622"/>
    <s v="Victoria"/>
    <s v="Perez"/>
    <x v="1597"/>
    <s v="victoria.perez.1622@gslingacademy.com"/>
    <x v="1"/>
    <x v="0"/>
    <n v="7"/>
    <x v="0"/>
    <n v="1"/>
    <x v="7"/>
    <n v="88"/>
    <s v="A"/>
    <n v="96"/>
    <s v="A+"/>
    <n v="74"/>
    <s v="B+"/>
    <n v="90"/>
    <s v="A+"/>
    <n v="82"/>
    <s v="A"/>
    <n v="70"/>
    <s v="B+"/>
    <n v="83"/>
    <s v="A"/>
    <n v="583"/>
    <n v="83.285714285714292"/>
    <x v="0"/>
    <n v="655"/>
    <x v="2"/>
  </r>
  <r>
    <n v="1623"/>
    <s v="Madeline"/>
    <s v="Hart"/>
    <x v="1598"/>
    <s v="madeline.hart.1623@gslingacademy.com"/>
    <x v="1"/>
    <x v="0"/>
    <n v="1"/>
    <x v="1"/>
    <n v="21"/>
    <x v="9"/>
    <n v="75"/>
    <s v="A-"/>
    <n v="93"/>
    <s v="A+"/>
    <n v="66"/>
    <s v="B"/>
    <n v="63"/>
    <s v="B-"/>
    <n v="68"/>
    <s v="B"/>
    <n v="91"/>
    <s v="A+"/>
    <n v="99"/>
    <s v="A+"/>
    <n v="555"/>
    <n v="79.285714285714292"/>
    <x v="2"/>
    <n v="1245"/>
    <x v="1"/>
  </r>
  <r>
    <n v="1624"/>
    <s v="Christopher"/>
    <s v="Meyer"/>
    <x v="1599"/>
    <s v="christopher.meyer.1624@gslingacademy.com"/>
    <x v="0"/>
    <x v="0"/>
    <n v="4"/>
    <x v="0"/>
    <n v="50"/>
    <x v="1"/>
    <n v="99"/>
    <s v="A+"/>
    <n v="89"/>
    <s v="A"/>
    <n v="87"/>
    <s v="A"/>
    <n v="90"/>
    <s v="A+"/>
    <n v="87"/>
    <s v="A"/>
    <n v="90"/>
    <s v="A+"/>
    <n v="95"/>
    <s v="A+"/>
    <n v="637"/>
    <n v="91"/>
    <x v="1"/>
    <n v="115"/>
    <x v="0"/>
  </r>
  <r>
    <n v="1625"/>
    <s v="Christopher"/>
    <s v="Fleming"/>
    <x v="1600"/>
    <s v="christopher.fleming.1625@gslingacademy.com"/>
    <x v="0"/>
    <x v="1"/>
    <n v="7"/>
    <x v="0"/>
    <n v="29"/>
    <x v="11"/>
    <n v="93"/>
    <s v="A+"/>
    <n v="64"/>
    <s v="B-"/>
    <n v="86"/>
    <s v="A"/>
    <n v="82"/>
    <s v="A"/>
    <n v="35"/>
    <s v="F"/>
    <n v="73"/>
    <s v="B+"/>
    <n v="84"/>
    <s v="A"/>
    <n v="517"/>
    <n v="73.857142857142861"/>
    <x v="3"/>
    <n v="1781"/>
    <x v="2"/>
  </r>
  <r>
    <n v="1626"/>
    <s v="Karen"/>
    <s v="Ramsey"/>
    <x v="1601"/>
    <s v="karen.ramsey.1626@gslingacademy.com"/>
    <x v="1"/>
    <x v="0"/>
    <n v="4"/>
    <x v="0"/>
    <n v="31"/>
    <x v="0"/>
    <n v="73"/>
    <s v="B+"/>
    <n v="95"/>
    <s v="A+"/>
    <n v="78"/>
    <s v="A-"/>
    <n v="79"/>
    <s v="A-"/>
    <n v="84"/>
    <s v="A"/>
    <n v="89"/>
    <s v="A"/>
    <n v="96"/>
    <s v="A+"/>
    <n v="594"/>
    <n v="84.857142857142861"/>
    <x v="0"/>
    <n v="479"/>
    <x v="0"/>
  </r>
  <r>
    <n v="1627"/>
    <s v="Monica"/>
    <s v="Dalton"/>
    <x v="1602"/>
    <s v="monica.dalton.1627@gslingacademy.com"/>
    <x v="1"/>
    <x v="0"/>
    <n v="6"/>
    <x v="0"/>
    <n v="5"/>
    <x v="16"/>
    <n v="64"/>
    <s v="B-"/>
    <n v="61"/>
    <s v="B-"/>
    <n v="76"/>
    <s v="A-"/>
    <n v="100"/>
    <s v="A+"/>
    <n v="93"/>
    <s v="A+"/>
    <n v="61"/>
    <s v="B-"/>
    <n v="65"/>
    <s v="B"/>
    <n v="520"/>
    <n v="74.285714285714292"/>
    <x v="3"/>
    <n v="1753"/>
    <x v="0"/>
  </r>
  <r>
    <n v="1628"/>
    <s v="Gary"/>
    <s v="Odonnell"/>
    <x v="1603"/>
    <s v="gary.odonnell.1628@gslingacademy.com"/>
    <x v="0"/>
    <x v="0"/>
    <n v="1"/>
    <x v="1"/>
    <n v="25"/>
    <x v="0"/>
    <n v="76"/>
    <s v="A-"/>
    <n v="87"/>
    <s v="A"/>
    <n v="98"/>
    <s v="A+"/>
    <n v="88"/>
    <s v="A"/>
    <n v="94"/>
    <s v="A+"/>
    <n v="86"/>
    <s v="A"/>
    <n v="64"/>
    <s v="B-"/>
    <n v="593"/>
    <n v="84.714285714285708"/>
    <x v="0"/>
    <n v="494"/>
    <x v="1"/>
  </r>
  <r>
    <n v="1629"/>
    <s v="Ann"/>
    <s v="Scott"/>
    <x v="1604"/>
    <s v="ann.scott.1629@gslingacademy.com"/>
    <x v="1"/>
    <x v="0"/>
    <n v="2"/>
    <x v="0"/>
    <n v="22"/>
    <x v="15"/>
    <n v="91"/>
    <s v="A+"/>
    <n v="93"/>
    <s v="A+"/>
    <n v="82"/>
    <s v="A"/>
    <n v="81"/>
    <s v="A"/>
    <n v="95"/>
    <s v="A+"/>
    <n v="91"/>
    <s v="A+"/>
    <n v="70"/>
    <s v="B+"/>
    <n v="603"/>
    <n v="86.142857142857139"/>
    <x v="0"/>
    <n v="370"/>
    <x v="1"/>
  </r>
  <r>
    <n v="1630"/>
    <s v="Jessica"/>
    <s v="Jackson"/>
    <x v="1605"/>
    <s v="jessica.jackson.1630@gslingacademy.com"/>
    <x v="1"/>
    <x v="0"/>
    <n v="8"/>
    <x v="1"/>
    <n v="1"/>
    <x v="7"/>
    <n v="70"/>
    <s v="B+"/>
    <n v="98"/>
    <s v="A+"/>
    <n v="51"/>
    <s v="C"/>
    <n v="51"/>
    <s v="C"/>
    <n v="96"/>
    <s v="A+"/>
    <n v="96"/>
    <s v="A+"/>
    <n v="70"/>
    <s v="B+"/>
    <n v="532"/>
    <n v="76"/>
    <x v="2"/>
    <n v="1622"/>
    <x v="2"/>
  </r>
  <r>
    <n v="1631"/>
    <s v="Lauren"/>
    <s v="Morrison"/>
    <x v="1606"/>
    <s v="lauren.morrison.1631@gslingacademy.com"/>
    <x v="1"/>
    <x v="0"/>
    <n v="5"/>
    <x v="0"/>
    <n v="26"/>
    <x v="1"/>
    <n v="90"/>
    <s v="A+"/>
    <n v="92"/>
    <s v="A+"/>
    <n v="95"/>
    <s v="A+"/>
    <n v="85"/>
    <s v="A"/>
    <n v="93"/>
    <s v="A+"/>
    <n v="69"/>
    <s v="B"/>
    <n v="65"/>
    <s v="B"/>
    <n v="589"/>
    <n v="84.142857142857139"/>
    <x v="0"/>
    <n v="548"/>
    <x v="0"/>
  </r>
  <r>
    <n v="1632"/>
    <s v="Alexander"/>
    <s v="Brown"/>
    <x v="1607"/>
    <s v="alexander.brown.1632@gslingacademy.com"/>
    <x v="0"/>
    <x v="0"/>
    <n v="9"/>
    <x v="0"/>
    <n v="3"/>
    <x v="7"/>
    <n v="93"/>
    <s v="A+"/>
    <n v="83"/>
    <s v="A"/>
    <n v="61"/>
    <s v="B-"/>
    <n v="95"/>
    <s v="A+"/>
    <n v="70"/>
    <s v="B+"/>
    <n v="93"/>
    <s v="A+"/>
    <n v="65"/>
    <s v="B"/>
    <n v="560"/>
    <n v="80"/>
    <x v="0"/>
    <n v="1134"/>
    <x v="2"/>
  </r>
  <r>
    <n v="1633"/>
    <s v="Thomas"/>
    <s v="Smith"/>
    <x v="1608"/>
    <s v="thomas.smith.1633@gslingacademy.com"/>
    <x v="0"/>
    <x v="1"/>
    <n v="7"/>
    <x v="0"/>
    <n v="12"/>
    <x v="4"/>
    <n v="61"/>
    <s v="B-"/>
    <n v="99"/>
    <s v="A+"/>
    <n v="66"/>
    <s v="B"/>
    <n v="99"/>
    <s v="A+"/>
    <n v="100"/>
    <s v="A+"/>
    <n v="70"/>
    <s v="B+"/>
    <n v="60"/>
    <s v="B-"/>
    <n v="555"/>
    <n v="79.285714285714292"/>
    <x v="2"/>
    <n v="1245"/>
    <x v="2"/>
  </r>
  <r>
    <n v="1634"/>
    <s v="Jonathan"/>
    <s v="Torres"/>
    <x v="1609"/>
    <s v="jonathan.torres.1634@gslingacademy.com"/>
    <x v="0"/>
    <x v="0"/>
    <n v="1"/>
    <x v="0"/>
    <n v="1"/>
    <x v="7"/>
    <n v="51"/>
    <s v="C"/>
    <n v="69"/>
    <s v="B"/>
    <n v="85"/>
    <s v="A"/>
    <n v="61"/>
    <s v="B-"/>
    <n v="59"/>
    <s v="C"/>
    <n v="81"/>
    <s v="A"/>
    <n v="63"/>
    <s v="B-"/>
    <n v="469"/>
    <n v="67"/>
    <x v="4"/>
    <n v="1963"/>
    <x v="1"/>
  </r>
  <r>
    <n v="1635"/>
    <s v="Robin"/>
    <s v="Daniel"/>
    <x v="1610"/>
    <s v="robin.daniel.1635@gslingacademy.com"/>
    <x v="1"/>
    <x v="0"/>
    <n v="4"/>
    <x v="1"/>
    <n v="18"/>
    <x v="4"/>
    <n v="91"/>
    <s v="A+"/>
    <n v="72"/>
    <s v="B+"/>
    <n v="69"/>
    <s v="B"/>
    <n v="88"/>
    <s v="A"/>
    <n v="92"/>
    <s v="A+"/>
    <n v="61"/>
    <s v="B-"/>
    <n v="76"/>
    <s v="A-"/>
    <n v="549"/>
    <n v="78.428571428571431"/>
    <x v="2"/>
    <n v="1355"/>
    <x v="0"/>
  </r>
  <r>
    <n v="1636"/>
    <s v="Anthony"/>
    <s v="Peterson"/>
    <x v="1611"/>
    <s v="anthony.peterson.1636@gslingacademy.com"/>
    <x v="0"/>
    <x v="0"/>
    <n v="3"/>
    <x v="0"/>
    <n v="27"/>
    <x v="11"/>
    <n v="96"/>
    <s v="A+"/>
    <n v="64"/>
    <s v="B-"/>
    <n v="76"/>
    <s v="A-"/>
    <n v="97"/>
    <s v="A+"/>
    <n v="81"/>
    <s v="A"/>
    <n v="87"/>
    <s v="A"/>
    <n v="99"/>
    <s v="A+"/>
    <n v="600"/>
    <n v="85.714285714285708"/>
    <x v="0"/>
    <n v="406"/>
    <x v="0"/>
  </r>
  <r>
    <n v="1637"/>
    <s v="Ashley"/>
    <s v="Blankenship"/>
    <x v="1612"/>
    <s v="ashley.blankenship.1637@gslingacademy.com"/>
    <x v="1"/>
    <x v="0"/>
    <n v="5"/>
    <x v="0"/>
    <n v="24"/>
    <x v="5"/>
    <n v="93"/>
    <s v="A+"/>
    <n v="75"/>
    <s v="A-"/>
    <n v="84"/>
    <s v="A"/>
    <n v="66"/>
    <s v="B"/>
    <n v="74"/>
    <s v="B+"/>
    <n v="99"/>
    <s v="A+"/>
    <n v="66"/>
    <s v="B"/>
    <n v="557"/>
    <n v="79.571428571428569"/>
    <x v="2"/>
    <n v="1200"/>
    <x v="0"/>
  </r>
  <r>
    <n v="1638"/>
    <s v="Jennifer"/>
    <s v="Stewart"/>
    <x v="1613"/>
    <s v="jennifer.stewart.1638@gslingacademy.com"/>
    <x v="1"/>
    <x v="0"/>
    <n v="1"/>
    <x v="1"/>
    <n v="19"/>
    <x v="4"/>
    <n v="70"/>
    <s v="B+"/>
    <n v="96"/>
    <s v="A+"/>
    <n v="60"/>
    <s v="B-"/>
    <n v="87"/>
    <s v="A"/>
    <n v="92"/>
    <s v="A+"/>
    <n v="63"/>
    <s v="B-"/>
    <n v="95"/>
    <s v="A+"/>
    <n v="563"/>
    <n v="80.428571428571431"/>
    <x v="0"/>
    <n v="1077"/>
    <x v="1"/>
  </r>
  <r>
    <n v="1639"/>
    <s v="James"/>
    <s v="Compton"/>
    <x v="1614"/>
    <s v="james.compton.1639@gslingacademy.com"/>
    <x v="0"/>
    <x v="0"/>
    <n v="2"/>
    <x v="0"/>
    <n v="47"/>
    <x v="1"/>
    <n v="90"/>
    <s v="A+"/>
    <n v="90"/>
    <s v="A+"/>
    <n v="93"/>
    <s v="A+"/>
    <n v="87"/>
    <s v="A"/>
    <n v="93"/>
    <s v="A+"/>
    <n v="99"/>
    <s v="A+"/>
    <n v="100"/>
    <s v="A+"/>
    <n v="652"/>
    <n v="93.142857142857139"/>
    <x v="1"/>
    <n v="46"/>
    <x v="1"/>
  </r>
  <r>
    <n v="1640"/>
    <s v="David"/>
    <s v="Bates"/>
    <x v="1615"/>
    <s v="david.bates.1640@gslingacademy.com"/>
    <x v="0"/>
    <x v="0"/>
    <n v="1"/>
    <x v="0"/>
    <n v="11"/>
    <x v="4"/>
    <n v="69"/>
    <s v="B"/>
    <n v="78"/>
    <s v="A-"/>
    <n v="80"/>
    <s v="A"/>
    <n v="60"/>
    <s v="B-"/>
    <n v="76"/>
    <s v="A-"/>
    <n v="86"/>
    <s v="A"/>
    <n v="96"/>
    <s v="A+"/>
    <n v="545"/>
    <n v="77.857142857142861"/>
    <x v="2"/>
    <n v="1432"/>
    <x v="1"/>
  </r>
  <r>
    <n v="1641"/>
    <s v="Stephanie"/>
    <s v="Green"/>
    <x v="1616"/>
    <s v="stephanie.green.1641@gslingacademy.com"/>
    <x v="1"/>
    <x v="0"/>
    <n v="2"/>
    <x v="0"/>
    <n v="29"/>
    <x v="5"/>
    <n v="89"/>
    <s v="A"/>
    <n v="90"/>
    <s v="A+"/>
    <n v="72"/>
    <s v="B+"/>
    <n v="98"/>
    <s v="A+"/>
    <n v="96"/>
    <s v="A+"/>
    <n v="84"/>
    <s v="A"/>
    <n v="87"/>
    <s v="A"/>
    <n v="616"/>
    <n v="88"/>
    <x v="0"/>
    <n v="243"/>
    <x v="1"/>
  </r>
  <r>
    <n v="1642"/>
    <s v="Garrett"/>
    <s v="Nichols"/>
    <x v="1617"/>
    <s v="garrett.nichols.1642@gslingacademy.com"/>
    <x v="0"/>
    <x v="0"/>
    <n v="2"/>
    <x v="1"/>
    <n v="14"/>
    <x v="5"/>
    <n v="86"/>
    <s v="A"/>
    <n v="99"/>
    <s v="A+"/>
    <n v="90"/>
    <s v="A+"/>
    <n v="61"/>
    <s v="B-"/>
    <n v="66"/>
    <s v="B"/>
    <n v="96"/>
    <s v="A+"/>
    <n v="87"/>
    <s v="A"/>
    <n v="585"/>
    <n v="83.571428571428569"/>
    <x v="0"/>
    <n v="615"/>
    <x v="1"/>
  </r>
  <r>
    <n v="1643"/>
    <s v="Erica"/>
    <s v="Lopez"/>
    <x v="1618"/>
    <s v="erica.lopez.1643@gslingacademy.com"/>
    <x v="1"/>
    <x v="0"/>
    <n v="5"/>
    <x v="0"/>
    <n v="4"/>
    <x v="3"/>
    <n v="80"/>
    <s v="A"/>
    <n v="61"/>
    <s v="B-"/>
    <n v="89"/>
    <s v="A"/>
    <n v="98"/>
    <s v="A+"/>
    <n v="73"/>
    <s v="B+"/>
    <n v="90"/>
    <s v="A+"/>
    <n v="88"/>
    <s v="A"/>
    <n v="579"/>
    <n v="82.714285714285708"/>
    <x v="0"/>
    <n v="730"/>
    <x v="0"/>
  </r>
  <r>
    <n v="1644"/>
    <s v="Lisa"/>
    <s v="Benitez"/>
    <x v="1619"/>
    <s v="lisa.benitez.1644@gslingacademy.com"/>
    <x v="1"/>
    <x v="0"/>
    <n v="4"/>
    <x v="0"/>
    <n v="15"/>
    <x v="5"/>
    <n v="93"/>
    <s v="A+"/>
    <n v="77"/>
    <s v="A-"/>
    <n v="85"/>
    <s v="A"/>
    <n v="95"/>
    <s v="A+"/>
    <n v="60"/>
    <s v="B-"/>
    <n v="99"/>
    <s v="A+"/>
    <n v="67"/>
    <s v="B"/>
    <n v="576"/>
    <n v="82.285714285714292"/>
    <x v="0"/>
    <n v="789"/>
    <x v="0"/>
  </r>
  <r>
    <n v="1645"/>
    <s v="Cheryl"/>
    <s v="Gutierrez"/>
    <x v="768"/>
    <s v="cheryl.gutierrez.1645@gslingacademy.com"/>
    <x v="1"/>
    <x v="0"/>
    <n v="5"/>
    <x v="0"/>
    <n v="32"/>
    <x v="5"/>
    <n v="87"/>
    <s v="A"/>
    <n v="91"/>
    <s v="A+"/>
    <n v="86"/>
    <s v="A"/>
    <n v="96"/>
    <s v="A+"/>
    <n v="65"/>
    <s v="B"/>
    <n v="77"/>
    <s v="A-"/>
    <n v="83"/>
    <s v="A"/>
    <n v="585"/>
    <n v="83.571428571428569"/>
    <x v="0"/>
    <n v="615"/>
    <x v="0"/>
  </r>
  <r>
    <n v="1646"/>
    <s v="Stephen"/>
    <s v="Hawkins"/>
    <x v="1620"/>
    <s v="stephen.hawkins.1646@gslingacademy.com"/>
    <x v="0"/>
    <x v="0"/>
    <n v="7"/>
    <x v="0"/>
    <n v="33"/>
    <x v="15"/>
    <n v="86"/>
    <s v="A"/>
    <n v="88"/>
    <s v="A"/>
    <n v="96"/>
    <s v="A+"/>
    <n v="86"/>
    <s v="A"/>
    <n v="87"/>
    <s v="A"/>
    <n v="99"/>
    <s v="A+"/>
    <n v="80"/>
    <s v="A"/>
    <n v="622"/>
    <n v="88.857142857142861"/>
    <x v="0"/>
    <n v="208"/>
    <x v="2"/>
  </r>
  <r>
    <n v="1647"/>
    <s v="Natalie"/>
    <s v="Williams"/>
    <x v="1621"/>
    <s v="natalie.williams.1647@gslingacademy.com"/>
    <x v="1"/>
    <x v="0"/>
    <n v="4"/>
    <x v="1"/>
    <n v="29"/>
    <x v="5"/>
    <n v="87"/>
    <s v="A"/>
    <n v="80"/>
    <s v="A"/>
    <n v="97"/>
    <s v="A+"/>
    <n v="98"/>
    <s v="A+"/>
    <n v="91"/>
    <s v="A+"/>
    <n v="64"/>
    <s v="B-"/>
    <n v="97"/>
    <s v="A+"/>
    <n v="614"/>
    <n v="87.714285714285708"/>
    <x v="0"/>
    <n v="260"/>
    <x v="0"/>
  </r>
  <r>
    <n v="1648"/>
    <s v="Anthony"/>
    <s v="Arnold"/>
    <x v="1622"/>
    <s v="anthony.arnold.1648@gslingacademy.com"/>
    <x v="0"/>
    <x v="0"/>
    <n v="2"/>
    <x v="0"/>
    <n v="31"/>
    <x v="0"/>
    <n v="96"/>
    <s v="A+"/>
    <n v="83"/>
    <s v="A"/>
    <n v="97"/>
    <s v="A+"/>
    <n v="100"/>
    <s v="A+"/>
    <n v="85"/>
    <s v="A"/>
    <n v="92"/>
    <s v="A+"/>
    <n v="69"/>
    <s v="B"/>
    <n v="622"/>
    <n v="88.857142857142861"/>
    <x v="0"/>
    <n v="208"/>
    <x v="1"/>
  </r>
  <r>
    <n v="1649"/>
    <s v="Deanna"/>
    <s v="Coleman"/>
    <x v="1623"/>
    <s v="deanna.coleman.1649@gslingacademy.com"/>
    <x v="1"/>
    <x v="0"/>
    <n v="5"/>
    <x v="0"/>
    <n v="29"/>
    <x v="0"/>
    <n v="90"/>
    <s v="A+"/>
    <n v="89"/>
    <s v="A"/>
    <n v="70"/>
    <s v="B+"/>
    <n v="90"/>
    <s v="A+"/>
    <n v="83"/>
    <s v="A"/>
    <n v="82"/>
    <s v="A"/>
    <n v="87"/>
    <s v="A"/>
    <n v="591"/>
    <n v="84.428571428571431"/>
    <x v="0"/>
    <n v="515"/>
    <x v="0"/>
  </r>
  <r>
    <n v="1650"/>
    <s v="Lisa"/>
    <s v="Barber"/>
    <x v="1624"/>
    <s v="lisa.barber.1650@gslingacademy.com"/>
    <x v="1"/>
    <x v="1"/>
    <n v="5"/>
    <x v="0"/>
    <n v="0"/>
    <x v="7"/>
    <n v="89"/>
    <s v="A"/>
    <n v="65"/>
    <s v="B"/>
    <n v="65"/>
    <s v="B"/>
    <n v="91"/>
    <s v="A+"/>
    <n v="76"/>
    <s v="A-"/>
    <n v="91"/>
    <s v="A+"/>
    <n v="92"/>
    <s v="A+"/>
    <n v="569"/>
    <n v="81.285714285714292"/>
    <x v="0"/>
    <n v="957"/>
    <x v="0"/>
  </r>
  <r>
    <n v="1651"/>
    <s v="Stephanie"/>
    <s v="Miller"/>
    <x v="1625"/>
    <s v="stephanie.miller.1651@gslingacademy.com"/>
    <x v="1"/>
    <x v="1"/>
    <n v="6"/>
    <x v="0"/>
    <n v="1"/>
    <x v="7"/>
    <n v="98"/>
    <s v="A+"/>
    <n v="62"/>
    <s v="B-"/>
    <n v="75"/>
    <s v="A-"/>
    <n v="72"/>
    <s v="B+"/>
    <n v="81"/>
    <s v="A"/>
    <n v="73"/>
    <s v="B+"/>
    <n v="93"/>
    <s v="A+"/>
    <n v="554"/>
    <n v="79.142857142857139"/>
    <x v="2"/>
    <n v="1264"/>
    <x v="0"/>
  </r>
  <r>
    <n v="1652"/>
    <s v="Amy"/>
    <s v="White"/>
    <x v="1626"/>
    <s v="amy.white.1652@gslingacademy.com"/>
    <x v="1"/>
    <x v="0"/>
    <n v="3"/>
    <x v="0"/>
    <n v="42"/>
    <x v="1"/>
    <n v="99"/>
    <s v="A+"/>
    <n v="100"/>
    <s v="A+"/>
    <n v="87"/>
    <s v="A"/>
    <n v="96"/>
    <s v="A+"/>
    <n v="93"/>
    <s v="A+"/>
    <n v="92"/>
    <s v="A+"/>
    <n v="88"/>
    <s v="A"/>
    <n v="655"/>
    <n v="93.571428571428569"/>
    <x v="1"/>
    <n v="34"/>
    <x v="0"/>
  </r>
  <r>
    <n v="1653"/>
    <s v="Beverly"/>
    <s v="Chavez"/>
    <x v="1627"/>
    <s v="beverly.chavez.1653@gslingacademy.com"/>
    <x v="1"/>
    <x v="1"/>
    <n v="9"/>
    <x v="1"/>
    <n v="2"/>
    <x v="7"/>
    <n v="99"/>
    <s v="A+"/>
    <n v="65"/>
    <s v="B"/>
    <n v="100"/>
    <s v="A+"/>
    <n v="93"/>
    <s v="A+"/>
    <n v="91"/>
    <s v="A+"/>
    <n v="60"/>
    <s v="B-"/>
    <n v="83"/>
    <s v="A"/>
    <n v="591"/>
    <n v="84.428571428571431"/>
    <x v="0"/>
    <n v="515"/>
    <x v="2"/>
  </r>
  <r>
    <n v="1654"/>
    <s v="Richard"/>
    <s v="Cortez"/>
    <x v="1628"/>
    <s v="richard.cortez.1654@gslingacademy.com"/>
    <x v="0"/>
    <x v="0"/>
    <n v="3"/>
    <x v="0"/>
    <n v="1"/>
    <x v="16"/>
    <n v="55"/>
    <s v="C"/>
    <n v="81"/>
    <s v="A"/>
    <n v="72"/>
    <s v="B+"/>
    <n v="100"/>
    <s v="A+"/>
    <n v="87"/>
    <s v="A"/>
    <n v="85"/>
    <s v="A"/>
    <n v="94"/>
    <s v="A+"/>
    <n v="574"/>
    <n v="82"/>
    <x v="0"/>
    <n v="832"/>
    <x v="0"/>
  </r>
  <r>
    <n v="1655"/>
    <s v="Kevin"/>
    <s v="Morgan"/>
    <x v="1629"/>
    <s v="kevin.morgan.1655@gslingacademy.com"/>
    <x v="0"/>
    <x v="0"/>
    <n v="1"/>
    <x v="0"/>
    <n v="11"/>
    <x v="2"/>
    <n v="86"/>
    <s v="A"/>
    <n v="87"/>
    <s v="A"/>
    <n v="64"/>
    <s v="B-"/>
    <n v="74"/>
    <s v="B+"/>
    <n v="60"/>
    <s v="B-"/>
    <n v="89"/>
    <s v="A"/>
    <n v="84"/>
    <s v="A"/>
    <n v="544"/>
    <n v="77.714285714285708"/>
    <x v="2"/>
    <n v="1446"/>
    <x v="1"/>
  </r>
  <r>
    <n v="1656"/>
    <s v="Emily"/>
    <s v="Hebert"/>
    <x v="1630"/>
    <s v="emily.hebert.1656@gslingacademy.com"/>
    <x v="1"/>
    <x v="1"/>
    <n v="4"/>
    <x v="0"/>
    <n v="18"/>
    <x v="5"/>
    <n v="89"/>
    <s v="A"/>
    <n v="65"/>
    <s v="B"/>
    <n v="60"/>
    <s v="B-"/>
    <n v="70"/>
    <s v="B+"/>
    <n v="86"/>
    <s v="A"/>
    <n v="62"/>
    <s v="B-"/>
    <n v="74"/>
    <s v="B+"/>
    <n v="506"/>
    <n v="72.285714285714292"/>
    <x v="3"/>
    <n v="1848"/>
    <x v="0"/>
  </r>
  <r>
    <n v="1657"/>
    <s v="Lori"/>
    <s v="Roberts"/>
    <x v="1631"/>
    <s v="lori.roberts.1657@gslingacademy.com"/>
    <x v="1"/>
    <x v="0"/>
    <n v="2"/>
    <x v="1"/>
    <n v="35"/>
    <x v="5"/>
    <n v="94"/>
    <s v="A+"/>
    <n v="97"/>
    <s v="A+"/>
    <n v="90"/>
    <s v="A+"/>
    <n v="93"/>
    <s v="A+"/>
    <n v="85"/>
    <s v="A"/>
    <n v="95"/>
    <s v="A+"/>
    <n v="92"/>
    <s v="A+"/>
    <n v="646"/>
    <n v="92.285714285714292"/>
    <x v="1"/>
    <n v="73"/>
    <x v="1"/>
  </r>
  <r>
    <n v="1658"/>
    <s v="Robert"/>
    <s v="Kirby"/>
    <x v="1632"/>
    <s v="robert.kirby.1658@gslingacademy.com"/>
    <x v="0"/>
    <x v="0"/>
    <n v="1"/>
    <x v="0"/>
    <n v="1"/>
    <x v="14"/>
    <n v="85"/>
    <s v="A"/>
    <n v="61"/>
    <s v="B-"/>
    <n v="100"/>
    <s v="A+"/>
    <n v="75"/>
    <s v="A-"/>
    <n v="70"/>
    <s v="B+"/>
    <n v="89"/>
    <s v="A"/>
    <n v="80"/>
    <s v="A"/>
    <n v="560"/>
    <n v="80"/>
    <x v="0"/>
    <n v="1134"/>
    <x v="1"/>
  </r>
  <r>
    <n v="1659"/>
    <s v="Eric"/>
    <s v="Ross"/>
    <x v="1633"/>
    <s v="eric.ross.1659@gslingacademy.com"/>
    <x v="0"/>
    <x v="1"/>
    <n v="0"/>
    <x v="0"/>
    <n v="12"/>
    <x v="4"/>
    <n v="78"/>
    <s v="A-"/>
    <n v="70"/>
    <s v="B+"/>
    <n v="90"/>
    <s v="A+"/>
    <n v="68"/>
    <s v="B"/>
    <n v="90"/>
    <s v="A+"/>
    <n v="87"/>
    <s v="A"/>
    <n v="77"/>
    <s v="A-"/>
    <n v="560"/>
    <n v="80"/>
    <x v="0"/>
    <n v="1134"/>
    <x v="1"/>
  </r>
  <r>
    <n v="1660"/>
    <s v="Rachael"/>
    <s v="Perry"/>
    <x v="1634"/>
    <s v="rachael.perry.1660@gslingacademy.com"/>
    <x v="1"/>
    <x v="0"/>
    <n v="2"/>
    <x v="0"/>
    <n v="21"/>
    <x v="9"/>
    <n v="75"/>
    <s v="A-"/>
    <n v="67"/>
    <s v="B"/>
    <n v="64"/>
    <s v="B-"/>
    <n v="80"/>
    <s v="A"/>
    <n v="79"/>
    <s v="A-"/>
    <n v="77"/>
    <s v="A-"/>
    <n v="80"/>
    <s v="A"/>
    <n v="522"/>
    <n v="74.571428571428569"/>
    <x v="3"/>
    <n v="1739"/>
    <x v="1"/>
  </r>
  <r>
    <n v="1661"/>
    <s v="Kenneth"/>
    <s v="Gallagher"/>
    <x v="1635"/>
    <s v="kenneth.gallagher.1661@gslingacademy.com"/>
    <x v="0"/>
    <x v="0"/>
    <n v="2"/>
    <x v="1"/>
    <n v="18"/>
    <x v="13"/>
    <n v="82"/>
    <s v="A"/>
    <n v="61"/>
    <s v="B-"/>
    <n v="89"/>
    <s v="A"/>
    <n v="88"/>
    <s v="A"/>
    <n v="74"/>
    <s v="B+"/>
    <n v="78"/>
    <s v="A-"/>
    <n v="72"/>
    <s v="B+"/>
    <n v="544"/>
    <n v="77.714285714285708"/>
    <x v="2"/>
    <n v="1446"/>
    <x v="1"/>
  </r>
  <r>
    <n v="1662"/>
    <s v="Thomas"/>
    <s v="Scott"/>
    <x v="1636"/>
    <s v="thomas.scott.1662@gslingacademy.com"/>
    <x v="0"/>
    <x v="1"/>
    <n v="6"/>
    <x v="0"/>
    <n v="5"/>
    <x v="7"/>
    <n v="41"/>
    <s v="D"/>
    <n v="53"/>
    <s v="C"/>
    <n v="64"/>
    <s v="B-"/>
    <n v="62"/>
    <s v="B-"/>
    <n v="79"/>
    <s v="A-"/>
    <n v="50"/>
    <s v="C"/>
    <n v="65"/>
    <s v="B"/>
    <n v="414"/>
    <n v="59.142857142857146"/>
    <x v="6"/>
    <n v="1999"/>
    <x v="0"/>
  </r>
  <r>
    <n v="1663"/>
    <s v="Elizabeth"/>
    <s v="Jones"/>
    <x v="1637"/>
    <s v="elizabeth.jones.1663@gslingacademy.com"/>
    <x v="1"/>
    <x v="0"/>
    <n v="5"/>
    <x v="0"/>
    <n v="2"/>
    <x v="7"/>
    <n v="44"/>
    <s v="D"/>
    <n v="79"/>
    <s v="A-"/>
    <n v="83"/>
    <s v="A"/>
    <n v="50"/>
    <s v="C"/>
    <n v="52"/>
    <s v="C"/>
    <n v="79"/>
    <s v="A-"/>
    <n v="96"/>
    <s v="A+"/>
    <n v="483"/>
    <n v="69"/>
    <x v="4"/>
    <n v="1927"/>
    <x v="0"/>
  </r>
  <r>
    <n v="1664"/>
    <s v="Matthew"/>
    <s v="Bartlett"/>
    <x v="1638"/>
    <s v="matthew.bartlett.1664@gslingacademy.com"/>
    <x v="0"/>
    <x v="0"/>
    <n v="5"/>
    <x v="1"/>
    <n v="27"/>
    <x v="0"/>
    <n v="81"/>
    <s v="A"/>
    <n v="94"/>
    <s v="A+"/>
    <n v="61"/>
    <s v="B-"/>
    <n v="86"/>
    <s v="A"/>
    <n v="72"/>
    <s v="B+"/>
    <n v="97"/>
    <s v="A+"/>
    <n v="82"/>
    <s v="A"/>
    <n v="573"/>
    <n v="81.857142857142861"/>
    <x v="0"/>
    <n v="864"/>
    <x v="0"/>
  </r>
  <r>
    <n v="1665"/>
    <s v="Kendra"/>
    <s v="Perez"/>
    <x v="1639"/>
    <s v="kendra.perez.1665@gslingacademy.com"/>
    <x v="1"/>
    <x v="1"/>
    <n v="6"/>
    <x v="0"/>
    <n v="18"/>
    <x v="9"/>
    <n v="77"/>
    <s v="A-"/>
    <n v="90"/>
    <s v="A+"/>
    <n v="74"/>
    <s v="B+"/>
    <n v="65"/>
    <s v="B"/>
    <n v="100"/>
    <s v="A+"/>
    <n v="76"/>
    <s v="A-"/>
    <n v="80"/>
    <s v="A"/>
    <n v="562"/>
    <n v="80.285714285714292"/>
    <x v="0"/>
    <n v="1099"/>
    <x v="0"/>
  </r>
  <r>
    <n v="1666"/>
    <s v="Daniel"/>
    <s v="Brewer"/>
    <x v="1640"/>
    <s v="daniel.brewer.1666@gslingacademy.com"/>
    <x v="0"/>
    <x v="0"/>
    <n v="2"/>
    <x v="0"/>
    <n v="28"/>
    <x v="5"/>
    <n v="97"/>
    <s v="A+"/>
    <n v="97"/>
    <s v="A+"/>
    <n v="70"/>
    <s v="B+"/>
    <n v="94"/>
    <s v="A+"/>
    <n v="66"/>
    <s v="B"/>
    <n v="83"/>
    <s v="A"/>
    <n v="66"/>
    <s v="B"/>
    <n v="573"/>
    <n v="81.857142857142861"/>
    <x v="0"/>
    <n v="864"/>
    <x v="1"/>
  </r>
  <r>
    <n v="1667"/>
    <s v="Cody"/>
    <s v="Tyler"/>
    <x v="1641"/>
    <s v="cody.tyler.1667@gslingacademy.com"/>
    <x v="0"/>
    <x v="0"/>
    <n v="5"/>
    <x v="0"/>
    <n v="1"/>
    <x v="7"/>
    <n v="66"/>
    <s v="B"/>
    <n v="83"/>
    <s v="A"/>
    <n v="79"/>
    <s v="A-"/>
    <n v="65"/>
    <s v="B"/>
    <n v="57"/>
    <s v="C"/>
    <n v="61"/>
    <s v="B-"/>
    <n v="86"/>
    <s v="A"/>
    <n v="497"/>
    <n v="71"/>
    <x v="3"/>
    <n v="1888"/>
    <x v="0"/>
  </r>
  <r>
    <n v="1668"/>
    <s v="Nicholas"/>
    <s v="Conrad"/>
    <x v="1642"/>
    <s v="nicholas.conrad.1668@gslingacademy.com"/>
    <x v="0"/>
    <x v="0"/>
    <n v="7"/>
    <x v="0"/>
    <n v="42"/>
    <x v="1"/>
    <n v="91"/>
    <s v="A+"/>
    <n v="96"/>
    <s v="A+"/>
    <n v="96"/>
    <s v="A+"/>
    <n v="90"/>
    <s v="A+"/>
    <n v="97"/>
    <s v="A+"/>
    <n v="85"/>
    <s v="A"/>
    <n v="98"/>
    <s v="A+"/>
    <n v="653"/>
    <n v="93.285714285714292"/>
    <x v="1"/>
    <n v="43"/>
    <x v="2"/>
  </r>
  <r>
    <n v="1669"/>
    <s v="Emma"/>
    <s v="Morris"/>
    <x v="1643"/>
    <s v="emma.morris.1669@gslingacademy.com"/>
    <x v="1"/>
    <x v="0"/>
    <n v="8"/>
    <x v="0"/>
    <n v="21"/>
    <x v="11"/>
    <n v="76"/>
    <s v="A-"/>
    <n v="84"/>
    <s v="A"/>
    <n v="95"/>
    <s v="A+"/>
    <n v="66"/>
    <s v="B"/>
    <n v="84"/>
    <s v="A"/>
    <n v="74"/>
    <s v="B+"/>
    <n v="64"/>
    <s v="B-"/>
    <n v="543"/>
    <n v="77.571428571428569"/>
    <x v="2"/>
    <n v="1464"/>
    <x v="2"/>
  </r>
  <r>
    <n v="1670"/>
    <s v="David"/>
    <s v="Brown"/>
    <x v="589"/>
    <s v="david.brown.1670@gslingacademy.com"/>
    <x v="0"/>
    <x v="0"/>
    <n v="4"/>
    <x v="0"/>
    <n v="31"/>
    <x v="5"/>
    <n v="97"/>
    <s v="A+"/>
    <n v="93"/>
    <s v="A+"/>
    <n v="60"/>
    <s v="B-"/>
    <n v="90"/>
    <s v="A+"/>
    <n v="85"/>
    <s v="A"/>
    <n v="72"/>
    <s v="B+"/>
    <n v="83"/>
    <s v="A"/>
    <n v="580"/>
    <n v="82.857142857142861"/>
    <x v="0"/>
    <n v="709"/>
    <x v="0"/>
  </r>
  <r>
    <n v="1671"/>
    <s v="Charlotte"/>
    <s v="Zuniga"/>
    <x v="1644"/>
    <s v="charlotte.zuniga.1671@gslingacademy.com"/>
    <x v="1"/>
    <x v="0"/>
    <n v="8"/>
    <x v="0"/>
    <n v="34"/>
    <x v="0"/>
    <n v="83"/>
    <s v="A"/>
    <n v="94"/>
    <s v="A+"/>
    <n v="93"/>
    <s v="A+"/>
    <n v="62"/>
    <s v="B-"/>
    <n v="92"/>
    <s v="A+"/>
    <n v="98"/>
    <s v="A+"/>
    <n v="94"/>
    <s v="A+"/>
    <n v="616"/>
    <n v="88"/>
    <x v="0"/>
    <n v="243"/>
    <x v="2"/>
  </r>
  <r>
    <n v="1672"/>
    <s v="Luis"/>
    <s v="Knight"/>
    <x v="1645"/>
    <s v="luis.knight.1672@gslingacademy.com"/>
    <x v="0"/>
    <x v="0"/>
    <n v="1"/>
    <x v="1"/>
    <n v="5"/>
    <x v="16"/>
    <n v="98"/>
    <s v="A+"/>
    <n v="83"/>
    <s v="A"/>
    <n v="93"/>
    <s v="A+"/>
    <n v="73"/>
    <s v="B+"/>
    <n v="100"/>
    <s v="A+"/>
    <n v="82"/>
    <s v="A"/>
    <n v="81"/>
    <s v="A"/>
    <n v="610"/>
    <n v="87.142857142857139"/>
    <x v="0"/>
    <n v="298"/>
    <x v="1"/>
  </r>
  <r>
    <n v="1673"/>
    <s v="Matthew"/>
    <s v="Moore"/>
    <x v="1646"/>
    <s v="matthew.moore.1673@gslingacademy.com"/>
    <x v="0"/>
    <x v="0"/>
    <n v="3"/>
    <x v="0"/>
    <n v="46"/>
    <x v="1"/>
    <n v="91"/>
    <s v="A+"/>
    <n v="88"/>
    <s v="A"/>
    <n v="88"/>
    <s v="A"/>
    <n v="91"/>
    <s v="A+"/>
    <n v="85"/>
    <s v="A"/>
    <n v="95"/>
    <s v="A+"/>
    <n v="88"/>
    <s v="A"/>
    <n v="626"/>
    <n v="89.428571428571431"/>
    <x v="0"/>
    <n v="179"/>
    <x v="0"/>
  </r>
  <r>
    <n v="1674"/>
    <s v="Jennifer"/>
    <s v="Chan"/>
    <x v="1647"/>
    <s v="jennifer.chan.1674@gslingacademy.com"/>
    <x v="1"/>
    <x v="0"/>
    <n v="3"/>
    <x v="0"/>
    <n v="9"/>
    <x v="2"/>
    <n v="82"/>
    <s v="A"/>
    <n v="84"/>
    <s v="A"/>
    <n v="93"/>
    <s v="A+"/>
    <n v="89"/>
    <s v="A"/>
    <n v="88"/>
    <s v="A"/>
    <n v="76"/>
    <s v="A-"/>
    <n v="98"/>
    <s v="A+"/>
    <n v="610"/>
    <n v="87.142857142857139"/>
    <x v="0"/>
    <n v="298"/>
    <x v="0"/>
  </r>
  <r>
    <n v="1675"/>
    <s v="Christopher"/>
    <s v="Evans"/>
    <x v="1648"/>
    <s v="christopher.evans.1675@gslingacademy.com"/>
    <x v="0"/>
    <x v="0"/>
    <n v="5"/>
    <x v="0"/>
    <n v="26"/>
    <x v="0"/>
    <n v="77"/>
    <s v="A-"/>
    <n v="86"/>
    <s v="A"/>
    <n v="62"/>
    <s v="B-"/>
    <n v="85"/>
    <s v="A"/>
    <n v="72"/>
    <s v="B+"/>
    <n v="98"/>
    <s v="A+"/>
    <n v="90"/>
    <s v="A+"/>
    <n v="570"/>
    <n v="81.428571428571431"/>
    <x v="0"/>
    <n v="937"/>
    <x v="0"/>
  </r>
  <r>
    <n v="1676"/>
    <s v="Tara"/>
    <s v="Haynes"/>
    <x v="1649"/>
    <s v="tara.haynes.1676@gslingacademy.com"/>
    <x v="1"/>
    <x v="0"/>
    <n v="3"/>
    <x v="0"/>
    <n v="31"/>
    <x v="5"/>
    <n v="95"/>
    <s v="A+"/>
    <n v="98"/>
    <s v="A+"/>
    <n v="76"/>
    <s v="A-"/>
    <n v="61"/>
    <s v="B-"/>
    <n v="87"/>
    <s v="A"/>
    <n v="72"/>
    <s v="B+"/>
    <n v="100"/>
    <s v="A+"/>
    <n v="589"/>
    <n v="84.142857142857139"/>
    <x v="0"/>
    <n v="548"/>
    <x v="0"/>
  </r>
  <r>
    <n v="1677"/>
    <s v="Jason"/>
    <s v="Flores"/>
    <x v="1650"/>
    <s v="jason.flores.1677@gslingacademy.com"/>
    <x v="0"/>
    <x v="0"/>
    <n v="4"/>
    <x v="0"/>
    <n v="27"/>
    <x v="10"/>
    <n v="80"/>
    <s v="A"/>
    <n v="76"/>
    <s v="A-"/>
    <n v="71"/>
    <s v="B+"/>
    <n v="62"/>
    <s v="B-"/>
    <n v="92"/>
    <s v="A+"/>
    <n v="99"/>
    <s v="A+"/>
    <n v="77"/>
    <s v="A-"/>
    <n v="557"/>
    <n v="79.571428571428569"/>
    <x v="2"/>
    <n v="1200"/>
    <x v="0"/>
  </r>
  <r>
    <n v="1678"/>
    <s v="David"/>
    <s v="Flores"/>
    <x v="1651"/>
    <s v="david.flores.1678@gslingacademy.com"/>
    <x v="0"/>
    <x v="1"/>
    <n v="7"/>
    <x v="0"/>
    <n v="28"/>
    <x v="5"/>
    <n v="89"/>
    <s v="A"/>
    <n v="79"/>
    <s v="A-"/>
    <n v="97"/>
    <s v="A+"/>
    <n v="61"/>
    <s v="B-"/>
    <n v="64"/>
    <s v="B-"/>
    <n v="79"/>
    <s v="A-"/>
    <n v="72"/>
    <s v="B+"/>
    <n v="541"/>
    <n v="77.285714285714292"/>
    <x v="2"/>
    <n v="1493"/>
    <x v="2"/>
  </r>
  <r>
    <n v="1679"/>
    <s v="Patricia"/>
    <s v="Rivera"/>
    <x v="1652"/>
    <s v="patricia.rivera.1679@gslingacademy.com"/>
    <x v="1"/>
    <x v="0"/>
    <n v="3"/>
    <x v="1"/>
    <n v="5"/>
    <x v="2"/>
    <n v="69"/>
    <s v="B"/>
    <n v="87"/>
    <s v="A"/>
    <n v="91"/>
    <s v="A+"/>
    <n v="82"/>
    <s v="A"/>
    <n v="86"/>
    <s v="A"/>
    <n v="77"/>
    <s v="A-"/>
    <n v="80"/>
    <s v="A"/>
    <n v="572"/>
    <n v="81.714285714285708"/>
    <x v="0"/>
    <n v="890"/>
    <x v="0"/>
  </r>
  <r>
    <n v="1680"/>
    <s v="Alexis"/>
    <s v="Freeman"/>
    <x v="1653"/>
    <s v="alexis.freeman.1680@gslingacademy.com"/>
    <x v="1"/>
    <x v="0"/>
    <n v="2"/>
    <x v="0"/>
    <n v="4"/>
    <x v="7"/>
    <n v="76"/>
    <s v="A-"/>
    <n v="72"/>
    <s v="B+"/>
    <n v="58"/>
    <s v="C"/>
    <n v="66"/>
    <s v="B"/>
    <n v="66"/>
    <s v="B"/>
    <n v="62"/>
    <s v="B-"/>
    <n v="60"/>
    <s v="B-"/>
    <n v="460"/>
    <n v="65.714285714285708"/>
    <x v="4"/>
    <n v="1979"/>
    <x v="1"/>
  </r>
  <r>
    <n v="1681"/>
    <s v="Scott"/>
    <s v="Baxter"/>
    <x v="1654"/>
    <s v="scott.baxter.1681@gslingacademy.com"/>
    <x v="0"/>
    <x v="0"/>
    <n v="1"/>
    <x v="0"/>
    <n v="33"/>
    <x v="1"/>
    <n v="85"/>
    <s v="A"/>
    <n v="97"/>
    <s v="A+"/>
    <n v="95"/>
    <s v="A+"/>
    <n v="97"/>
    <s v="A+"/>
    <n v="98"/>
    <s v="A+"/>
    <n v="84"/>
    <s v="A"/>
    <n v="94"/>
    <s v="A+"/>
    <n v="650"/>
    <n v="92.857142857142861"/>
    <x v="1"/>
    <n v="56"/>
    <x v="1"/>
  </r>
  <r>
    <n v="1682"/>
    <s v="Kyle"/>
    <s v="Rubio"/>
    <x v="1655"/>
    <s v="kyle.rubio.1682@gslingacademy.com"/>
    <x v="0"/>
    <x v="0"/>
    <n v="3"/>
    <x v="0"/>
    <n v="16"/>
    <x v="9"/>
    <n v="79"/>
    <s v="A-"/>
    <n v="100"/>
    <s v="A+"/>
    <n v="72"/>
    <s v="B+"/>
    <n v="89"/>
    <s v="A"/>
    <n v="68"/>
    <s v="B"/>
    <n v="99"/>
    <s v="A+"/>
    <n v="76"/>
    <s v="A-"/>
    <n v="583"/>
    <n v="83.285714285714292"/>
    <x v="0"/>
    <n v="655"/>
    <x v="0"/>
  </r>
  <r>
    <n v="1683"/>
    <s v="Nancy"/>
    <s v="Montes"/>
    <x v="1656"/>
    <s v="nancy.montes.1683@gslingacademy.com"/>
    <x v="1"/>
    <x v="0"/>
    <n v="1"/>
    <x v="0"/>
    <n v="15"/>
    <x v="6"/>
    <n v="85"/>
    <s v="A"/>
    <n v="76"/>
    <s v="A-"/>
    <n v="63"/>
    <s v="B-"/>
    <n v="62"/>
    <s v="B-"/>
    <n v="74"/>
    <s v="B+"/>
    <n v="82"/>
    <s v="A"/>
    <n v="96"/>
    <s v="A+"/>
    <n v="538"/>
    <n v="76.857142857142861"/>
    <x v="2"/>
    <n v="1537"/>
    <x v="1"/>
  </r>
  <r>
    <n v="1684"/>
    <s v="Andre"/>
    <s v="Graham"/>
    <x v="1657"/>
    <s v="andre.graham.1684@gslingacademy.com"/>
    <x v="0"/>
    <x v="0"/>
    <n v="7"/>
    <x v="0"/>
    <n v="10"/>
    <x v="2"/>
    <n v="78"/>
    <s v="A-"/>
    <n v="69"/>
    <s v="B"/>
    <n v="87"/>
    <s v="A"/>
    <n v="93"/>
    <s v="A+"/>
    <n v="83"/>
    <s v="A"/>
    <n v="94"/>
    <s v="A+"/>
    <n v="75"/>
    <s v="A-"/>
    <n v="579"/>
    <n v="82.714285714285708"/>
    <x v="0"/>
    <n v="730"/>
    <x v="2"/>
  </r>
  <r>
    <n v="1685"/>
    <s v="Christine"/>
    <s v="Rivera"/>
    <x v="1658"/>
    <s v="christine.rivera.1685@gslingacademy.com"/>
    <x v="1"/>
    <x v="0"/>
    <n v="0"/>
    <x v="1"/>
    <n v="18"/>
    <x v="4"/>
    <n v="62"/>
    <s v="B-"/>
    <n v="91"/>
    <s v="A+"/>
    <n v="86"/>
    <s v="A"/>
    <n v="88"/>
    <s v="A"/>
    <n v="80"/>
    <s v="A"/>
    <n v="62"/>
    <s v="B-"/>
    <n v="75"/>
    <s v="A-"/>
    <n v="544"/>
    <n v="77.714285714285708"/>
    <x v="2"/>
    <n v="1446"/>
    <x v="1"/>
  </r>
  <r>
    <n v="1686"/>
    <s v="William"/>
    <s v="Holt"/>
    <x v="1659"/>
    <s v="william.holt.1686@gslingacademy.com"/>
    <x v="0"/>
    <x v="0"/>
    <n v="1"/>
    <x v="0"/>
    <n v="12"/>
    <x v="15"/>
    <n v="93"/>
    <s v="A+"/>
    <n v="86"/>
    <s v="A"/>
    <n v="61"/>
    <s v="B-"/>
    <n v="71"/>
    <s v="B+"/>
    <n v="98"/>
    <s v="A+"/>
    <n v="79"/>
    <s v="A-"/>
    <n v="87"/>
    <s v="A"/>
    <n v="575"/>
    <n v="82.142857142857139"/>
    <x v="0"/>
    <n v="807"/>
    <x v="1"/>
  </r>
  <r>
    <n v="1687"/>
    <s v="Tammy"/>
    <s v="Morris"/>
    <x v="1660"/>
    <s v="tammy.morris.1687@gslingacademy.com"/>
    <x v="1"/>
    <x v="0"/>
    <n v="3"/>
    <x v="0"/>
    <n v="25"/>
    <x v="9"/>
    <n v="94"/>
    <s v="A+"/>
    <n v="76"/>
    <s v="A-"/>
    <n v="100"/>
    <s v="A+"/>
    <n v="60"/>
    <s v="B-"/>
    <n v="80"/>
    <s v="A"/>
    <n v="94"/>
    <s v="A+"/>
    <n v="61"/>
    <s v="B-"/>
    <n v="565"/>
    <n v="80.714285714285708"/>
    <x v="0"/>
    <n v="1035"/>
    <x v="0"/>
  </r>
  <r>
    <n v="1688"/>
    <s v="Kimberly"/>
    <s v="Bates"/>
    <x v="1661"/>
    <s v="kimberly.bates.1688@gslingacademy.com"/>
    <x v="1"/>
    <x v="0"/>
    <n v="3"/>
    <x v="0"/>
    <n v="23"/>
    <x v="9"/>
    <n v="95"/>
    <s v="A+"/>
    <n v="83"/>
    <s v="A"/>
    <n v="94"/>
    <s v="A+"/>
    <n v="83"/>
    <s v="A"/>
    <n v="75"/>
    <s v="A-"/>
    <n v="99"/>
    <s v="A+"/>
    <n v="75"/>
    <s v="A-"/>
    <n v="604"/>
    <n v="86.285714285714292"/>
    <x v="0"/>
    <n v="353"/>
    <x v="0"/>
  </r>
  <r>
    <n v="1689"/>
    <s v="Sheena"/>
    <s v="Murphy"/>
    <x v="1662"/>
    <s v="sheena.murphy.1689@gslingacademy.com"/>
    <x v="1"/>
    <x v="0"/>
    <n v="6"/>
    <x v="0"/>
    <n v="8"/>
    <x v="16"/>
    <n v="81"/>
    <s v="A"/>
    <n v="67"/>
    <s v="B"/>
    <n v="93"/>
    <s v="A+"/>
    <n v="65"/>
    <s v="B"/>
    <n v="87"/>
    <s v="A"/>
    <n v="84"/>
    <s v="A"/>
    <n v="79"/>
    <s v="A-"/>
    <n v="556"/>
    <n v="79.428571428571431"/>
    <x v="2"/>
    <n v="1224"/>
    <x v="0"/>
  </r>
  <r>
    <n v="1690"/>
    <s v="Robert"/>
    <s v="Mccall"/>
    <x v="1663"/>
    <s v="robert.mccall.1690@gslingacademy.com"/>
    <x v="0"/>
    <x v="0"/>
    <n v="4"/>
    <x v="0"/>
    <n v="32"/>
    <x v="11"/>
    <n v="87"/>
    <s v="A"/>
    <n v="100"/>
    <s v="A+"/>
    <n v="60"/>
    <s v="B-"/>
    <n v="99"/>
    <s v="A+"/>
    <n v="45"/>
    <s v="D"/>
    <n v="73"/>
    <s v="B+"/>
    <n v="86"/>
    <s v="A"/>
    <n v="550"/>
    <n v="78.571428571428569"/>
    <x v="2"/>
    <n v="1338"/>
    <x v="0"/>
  </r>
  <r>
    <n v="1691"/>
    <s v="Julie"/>
    <s v="Floyd"/>
    <x v="1664"/>
    <s v="julie.floyd.1691@gslingacademy.com"/>
    <x v="1"/>
    <x v="1"/>
    <n v="10"/>
    <x v="0"/>
    <n v="0"/>
    <x v="7"/>
    <n v="55"/>
    <s v="C"/>
    <n v="86"/>
    <s v="A"/>
    <n v="54"/>
    <s v="C"/>
    <n v="78"/>
    <s v="A-"/>
    <n v="55"/>
    <s v="C"/>
    <n v="60"/>
    <s v="B-"/>
    <n v="88"/>
    <s v="A"/>
    <n v="476"/>
    <n v="68"/>
    <x v="4"/>
    <n v="1944"/>
    <x v="2"/>
  </r>
  <r>
    <n v="1692"/>
    <s v="Barry"/>
    <s v="Taylor"/>
    <x v="1665"/>
    <s v="barry.taylor.1692@gslingacademy.com"/>
    <x v="0"/>
    <x v="0"/>
    <n v="8"/>
    <x v="0"/>
    <n v="0"/>
    <x v="7"/>
    <n v="77"/>
    <s v="A-"/>
    <n v="71"/>
    <s v="B+"/>
    <n v="68"/>
    <s v="B"/>
    <n v="53"/>
    <s v="C"/>
    <n v="70"/>
    <s v="B+"/>
    <n v="72"/>
    <s v="B+"/>
    <n v="69"/>
    <s v="B"/>
    <n v="480"/>
    <n v="68.571428571428569"/>
    <x v="4"/>
    <n v="1935"/>
    <x v="2"/>
  </r>
  <r>
    <n v="1693"/>
    <s v="Dennis"/>
    <s v="Gonzalez"/>
    <x v="1666"/>
    <s v="dennis.gonzalez.1693@gslingacademy.com"/>
    <x v="0"/>
    <x v="0"/>
    <n v="1"/>
    <x v="0"/>
    <n v="6"/>
    <x v="15"/>
    <n v="82"/>
    <s v="A"/>
    <n v="79"/>
    <s v="A-"/>
    <n v="60"/>
    <s v="B-"/>
    <n v="80"/>
    <s v="A"/>
    <n v="65"/>
    <s v="B"/>
    <n v="64"/>
    <s v="B-"/>
    <n v="71"/>
    <s v="B+"/>
    <n v="501"/>
    <n v="71.571428571428569"/>
    <x v="3"/>
    <n v="1872"/>
    <x v="1"/>
  </r>
  <r>
    <n v="1694"/>
    <s v="Angel"/>
    <s v="Williams"/>
    <x v="1667"/>
    <s v="angel.williams.1694@gslingacademy.com"/>
    <x v="0"/>
    <x v="0"/>
    <n v="6"/>
    <x v="0"/>
    <n v="5"/>
    <x v="3"/>
    <n v="81"/>
    <s v="A"/>
    <n v="97"/>
    <s v="A+"/>
    <n v="88"/>
    <s v="A"/>
    <n v="81"/>
    <s v="A"/>
    <n v="63"/>
    <s v="B-"/>
    <n v="88"/>
    <s v="A"/>
    <n v="67"/>
    <s v="B"/>
    <n v="565"/>
    <n v="80.714285714285708"/>
    <x v="0"/>
    <n v="1035"/>
    <x v="0"/>
  </r>
  <r>
    <n v="1695"/>
    <s v="Ronald"/>
    <s v="Palmer"/>
    <x v="1668"/>
    <s v="ronald.palmer.1695@gslingacademy.com"/>
    <x v="0"/>
    <x v="0"/>
    <n v="0"/>
    <x v="0"/>
    <n v="16"/>
    <x v="5"/>
    <n v="99"/>
    <s v="A+"/>
    <n v="70"/>
    <s v="B+"/>
    <n v="86"/>
    <s v="A"/>
    <n v="61"/>
    <s v="B-"/>
    <n v="70"/>
    <s v="B+"/>
    <n v="90"/>
    <s v="A+"/>
    <n v="66"/>
    <s v="B"/>
    <n v="542"/>
    <n v="77.428571428571431"/>
    <x v="2"/>
    <n v="1478"/>
    <x v="1"/>
  </r>
  <r>
    <n v="1696"/>
    <s v="Dustin"/>
    <s v="Stanley"/>
    <x v="1669"/>
    <s v="dustin.stanley.1696@gslingacademy.com"/>
    <x v="0"/>
    <x v="0"/>
    <n v="5"/>
    <x v="1"/>
    <n v="4"/>
    <x v="16"/>
    <n v="87"/>
    <s v="A"/>
    <n v="77"/>
    <s v="A-"/>
    <n v="64"/>
    <s v="B-"/>
    <n v="84"/>
    <s v="A"/>
    <n v="84"/>
    <s v="A"/>
    <n v="94"/>
    <s v="A+"/>
    <n v="80"/>
    <s v="A"/>
    <n v="570"/>
    <n v="81.428571428571431"/>
    <x v="0"/>
    <n v="937"/>
    <x v="0"/>
  </r>
  <r>
    <n v="1697"/>
    <s v="Jennifer"/>
    <s v="Lewis"/>
    <x v="1670"/>
    <s v="jennifer.lewis.1697@gslingacademy.com"/>
    <x v="1"/>
    <x v="1"/>
    <n v="8"/>
    <x v="0"/>
    <n v="2"/>
    <x v="7"/>
    <n v="94"/>
    <s v="A+"/>
    <n v="62"/>
    <s v="B-"/>
    <n v="100"/>
    <s v="A+"/>
    <n v="87"/>
    <s v="A"/>
    <n v="91"/>
    <s v="A+"/>
    <n v="89"/>
    <s v="A"/>
    <n v="93"/>
    <s v="A+"/>
    <n v="616"/>
    <n v="88"/>
    <x v="0"/>
    <n v="243"/>
    <x v="2"/>
  </r>
  <r>
    <n v="1698"/>
    <s v="Mark"/>
    <s v="Gardner"/>
    <x v="1671"/>
    <s v="mark.gardner.1698@gslingacademy.com"/>
    <x v="0"/>
    <x v="0"/>
    <n v="2"/>
    <x v="0"/>
    <n v="35"/>
    <x v="4"/>
    <n v="98"/>
    <s v="A+"/>
    <n v="92"/>
    <s v="A+"/>
    <n v="91"/>
    <s v="A+"/>
    <n v="89"/>
    <s v="A"/>
    <n v="95"/>
    <s v="A+"/>
    <n v="92"/>
    <s v="A+"/>
    <n v="90"/>
    <s v="A+"/>
    <n v="647"/>
    <n v="92.428571428571431"/>
    <x v="1"/>
    <n v="68"/>
    <x v="1"/>
  </r>
  <r>
    <n v="1699"/>
    <s v="Laura"/>
    <s v="Barber"/>
    <x v="1672"/>
    <s v="laura.barber.1699@gslingacademy.com"/>
    <x v="1"/>
    <x v="0"/>
    <n v="2"/>
    <x v="1"/>
    <n v="34"/>
    <x v="0"/>
    <n v="97"/>
    <s v="A+"/>
    <n v="89"/>
    <s v="A"/>
    <n v="76"/>
    <s v="A-"/>
    <n v="61"/>
    <s v="B-"/>
    <n v="91"/>
    <s v="A+"/>
    <n v="91"/>
    <s v="A+"/>
    <n v="70"/>
    <s v="B+"/>
    <n v="575"/>
    <n v="82.142857142857139"/>
    <x v="0"/>
    <n v="807"/>
    <x v="1"/>
  </r>
  <r>
    <n v="1700"/>
    <s v="Nicole"/>
    <s v="Weeks"/>
    <x v="1673"/>
    <s v="nicole.weeks.1700@gslingacademy.com"/>
    <x v="1"/>
    <x v="0"/>
    <n v="1"/>
    <x v="0"/>
    <n v="7"/>
    <x v="12"/>
    <n v="83"/>
    <s v="A"/>
    <n v="81"/>
    <s v="A"/>
    <n v="70"/>
    <s v="B+"/>
    <n v="90"/>
    <s v="A+"/>
    <n v="73"/>
    <s v="B+"/>
    <n v="89"/>
    <s v="A"/>
    <n v="87"/>
    <s v="A"/>
    <n v="573"/>
    <n v="81.857142857142861"/>
    <x v="0"/>
    <n v="864"/>
    <x v="1"/>
  </r>
  <r>
    <n v="1701"/>
    <s v="Ricky"/>
    <s v="Walker"/>
    <x v="1674"/>
    <s v="ricky.walker.1701@gslingacademy.com"/>
    <x v="0"/>
    <x v="0"/>
    <n v="0"/>
    <x v="0"/>
    <n v="14"/>
    <x v="13"/>
    <n v="92"/>
    <s v="A+"/>
    <n v="92"/>
    <s v="A+"/>
    <n v="92"/>
    <s v="A+"/>
    <n v="66"/>
    <s v="B"/>
    <n v="90"/>
    <s v="A+"/>
    <n v="68"/>
    <s v="B"/>
    <n v="66"/>
    <s v="B"/>
    <n v="566"/>
    <n v="80.857142857142861"/>
    <x v="0"/>
    <n v="1019"/>
    <x v="1"/>
  </r>
  <r>
    <n v="1702"/>
    <s v="Whitney"/>
    <s v="Walls"/>
    <x v="1675"/>
    <s v="whitney.walls.1702@gslingacademy.com"/>
    <x v="1"/>
    <x v="0"/>
    <n v="1"/>
    <x v="0"/>
    <n v="24"/>
    <x v="1"/>
    <n v="100"/>
    <s v="A+"/>
    <n v="74"/>
    <s v="B+"/>
    <n v="80"/>
    <s v="A"/>
    <n v="84"/>
    <s v="A"/>
    <n v="85"/>
    <s v="A"/>
    <n v="82"/>
    <s v="A"/>
    <n v="74"/>
    <s v="B+"/>
    <n v="579"/>
    <n v="82.714285714285708"/>
    <x v="0"/>
    <n v="730"/>
    <x v="1"/>
  </r>
  <r>
    <n v="1703"/>
    <s v="Catherine"/>
    <s v="May"/>
    <x v="1676"/>
    <s v="catherine.may.1703@gslingacademy.com"/>
    <x v="1"/>
    <x v="0"/>
    <n v="4"/>
    <x v="0"/>
    <n v="25"/>
    <x v="5"/>
    <n v="86"/>
    <s v="A"/>
    <n v="69"/>
    <s v="B"/>
    <n v="79"/>
    <s v="A-"/>
    <n v="85"/>
    <s v="A"/>
    <n v="63"/>
    <s v="B-"/>
    <n v="82"/>
    <s v="A"/>
    <n v="77"/>
    <s v="A-"/>
    <n v="541"/>
    <n v="77.285714285714292"/>
    <x v="2"/>
    <n v="1493"/>
    <x v="0"/>
  </r>
  <r>
    <n v="1704"/>
    <s v="Joel"/>
    <s v="Williams"/>
    <x v="1677"/>
    <s v="joel.williams.1704@gslingacademy.com"/>
    <x v="0"/>
    <x v="0"/>
    <n v="8"/>
    <x v="0"/>
    <n v="3"/>
    <x v="7"/>
    <n v="48"/>
    <s v="D"/>
    <n v="80"/>
    <s v="A"/>
    <n v="73"/>
    <s v="B+"/>
    <n v="67"/>
    <s v="B"/>
    <n v="84"/>
    <s v="A"/>
    <n v="99"/>
    <s v="A+"/>
    <n v="83"/>
    <s v="A"/>
    <n v="534"/>
    <n v="76.285714285714292"/>
    <x v="2"/>
    <n v="1595"/>
    <x v="2"/>
  </r>
  <r>
    <n v="1705"/>
    <s v="Daisy"/>
    <s v="Ellis"/>
    <x v="1678"/>
    <s v="daisy.ellis.1705@gslingacademy.com"/>
    <x v="1"/>
    <x v="1"/>
    <n v="7"/>
    <x v="1"/>
    <n v="0"/>
    <x v="7"/>
    <n v="69"/>
    <s v="B"/>
    <n v="56"/>
    <s v="C"/>
    <n v="71"/>
    <s v="B+"/>
    <n v="84"/>
    <s v="A"/>
    <n v="52"/>
    <s v="C"/>
    <n v="71"/>
    <s v="B+"/>
    <n v="88"/>
    <s v="A"/>
    <n v="491"/>
    <n v="70.142857142857139"/>
    <x v="3"/>
    <n v="1907"/>
    <x v="2"/>
  </r>
  <r>
    <n v="1706"/>
    <s v="Deborah"/>
    <s v="Miller"/>
    <x v="403"/>
    <s v="deborah.miller.1706@gslingacademy.com"/>
    <x v="1"/>
    <x v="0"/>
    <n v="2"/>
    <x v="0"/>
    <n v="33"/>
    <x v="4"/>
    <n v="73"/>
    <s v="B+"/>
    <n v="84"/>
    <s v="A"/>
    <n v="97"/>
    <s v="A+"/>
    <n v="64"/>
    <s v="B-"/>
    <n v="87"/>
    <s v="A"/>
    <n v="82"/>
    <s v="A"/>
    <n v="70"/>
    <s v="B+"/>
    <n v="557"/>
    <n v="79.571428571428569"/>
    <x v="2"/>
    <n v="1200"/>
    <x v="1"/>
  </r>
  <r>
    <n v="1707"/>
    <s v="David"/>
    <s v="Hoffman"/>
    <x v="1679"/>
    <s v="david.hoffman.1707@gslingacademy.com"/>
    <x v="0"/>
    <x v="0"/>
    <n v="3"/>
    <x v="0"/>
    <n v="12"/>
    <x v="4"/>
    <n v="82"/>
    <s v="A"/>
    <n v="81"/>
    <s v="A"/>
    <n v="78"/>
    <s v="A-"/>
    <n v="95"/>
    <s v="A+"/>
    <n v="60"/>
    <s v="B-"/>
    <n v="88"/>
    <s v="A"/>
    <n v="72"/>
    <s v="B+"/>
    <n v="556"/>
    <n v="79.428571428571431"/>
    <x v="2"/>
    <n v="1224"/>
    <x v="0"/>
  </r>
  <r>
    <n v="1708"/>
    <s v="Rebecca"/>
    <s v="Pearson"/>
    <x v="1680"/>
    <s v="rebecca.pearson.1708@gslingacademy.com"/>
    <x v="1"/>
    <x v="0"/>
    <n v="3"/>
    <x v="1"/>
    <n v="1"/>
    <x v="3"/>
    <n v="90"/>
    <s v="A+"/>
    <n v="96"/>
    <s v="A+"/>
    <n v="89"/>
    <s v="A"/>
    <n v="88"/>
    <s v="A"/>
    <n v="94"/>
    <s v="A+"/>
    <n v="73"/>
    <s v="B+"/>
    <n v="77"/>
    <s v="A-"/>
    <n v="607"/>
    <n v="86.714285714285708"/>
    <x v="0"/>
    <n v="325"/>
    <x v="0"/>
  </r>
  <r>
    <n v="1709"/>
    <s v="Mitchell"/>
    <s v="Walker"/>
    <x v="1681"/>
    <s v="mitchell.walker.1709@gslingacademy.com"/>
    <x v="0"/>
    <x v="0"/>
    <n v="5"/>
    <x v="1"/>
    <n v="19"/>
    <x v="15"/>
    <n v="85"/>
    <s v="A"/>
    <n v="66"/>
    <s v="B"/>
    <n v="61"/>
    <s v="B-"/>
    <n v="85"/>
    <s v="A"/>
    <n v="75"/>
    <s v="A-"/>
    <n v="94"/>
    <s v="A+"/>
    <n v="76"/>
    <s v="A-"/>
    <n v="542"/>
    <n v="77.428571428571431"/>
    <x v="2"/>
    <n v="1478"/>
    <x v="0"/>
  </r>
  <r>
    <n v="1710"/>
    <s v="James"/>
    <s v="Sherman"/>
    <x v="1682"/>
    <s v="james.sherman.1710@gslingacademy.com"/>
    <x v="0"/>
    <x v="0"/>
    <n v="2"/>
    <x v="0"/>
    <n v="2"/>
    <x v="12"/>
    <n v="82"/>
    <s v="A"/>
    <n v="73"/>
    <s v="B+"/>
    <n v="64"/>
    <s v="B-"/>
    <n v="95"/>
    <s v="A+"/>
    <n v="87"/>
    <s v="A"/>
    <n v="73"/>
    <s v="B+"/>
    <n v="99"/>
    <s v="A+"/>
    <n v="573"/>
    <n v="81.857142857142861"/>
    <x v="0"/>
    <n v="864"/>
    <x v="1"/>
  </r>
  <r>
    <n v="1711"/>
    <s v="Justin"/>
    <s v="Johnson"/>
    <x v="1683"/>
    <s v="justin.johnson.1711@gslingacademy.com"/>
    <x v="0"/>
    <x v="0"/>
    <n v="4"/>
    <x v="0"/>
    <n v="3"/>
    <x v="14"/>
    <n v="80"/>
    <s v="A"/>
    <n v="61"/>
    <s v="B-"/>
    <n v="96"/>
    <s v="A+"/>
    <n v="89"/>
    <s v="A"/>
    <n v="96"/>
    <s v="A+"/>
    <n v="61"/>
    <s v="B-"/>
    <n v="80"/>
    <s v="A"/>
    <n v="563"/>
    <n v="80.428571428571431"/>
    <x v="0"/>
    <n v="1077"/>
    <x v="0"/>
  </r>
  <r>
    <n v="1712"/>
    <s v="Brenda"/>
    <s v="Morales"/>
    <x v="1684"/>
    <s v="brenda.morales.1712@gslingacademy.com"/>
    <x v="1"/>
    <x v="0"/>
    <n v="10"/>
    <x v="1"/>
    <n v="1"/>
    <x v="7"/>
    <n v="41"/>
    <s v="D"/>
    <n v="53"/>
    <s v="C"/>
    <n v="98"/>
    <s v="A+"/>
    <n v="67"/>
    <s v="B"/>
    <n v="61"/>
    <s v="B-"/>
    <n v="83"/>
    <s v="A"/>
    <n v="97"/>
    <s v="A+"/>
    <n v="500"/>
    <n v="71.428571428571431"/>
    <x v="3"/>
    <n v="1875"/>
    <x v="2"/>
  </r>
  <r>
    <n v="1713"/>
    <s v="Jesse"/>
    <s v="Melton"/>
    <x v="1685"/>
    <s v="jesse.melton.1713@gslingacademy.com"/>
    <x v="0"/>
    <x v="0"/>
    <n v="1"/>
    <x v="0"/>
    <n v="48"/>
    <x v="1"/>
    <n v="99"/>
    <s v="A+"/>
    <n v="93"/>
    <s v="A+"/>
    <n v="88"/>
    <s v="A"/>
    <n v="92"/>
    <s v="A+"/>
    <n v="99"/>
    <s v="A+"/>
    <n v="94"/>
    <s v="A+"/>
    <n v="95"/>
    <s v="A+"/>
    <n v="660"/>
    <n v="94.285714285714292"/>
    <x v="1"/>
    <n v="17"/>
    <x v="1"/>
  </r>
  <r>
    <n v="1714"/>
    <s v="Jon"/>
    <s v="Mendoza"/>
    <x v="1686"/>
    <s v="jon.mendoza.1714@gslingacademy.com"/>
    <x v="0"/>
    <x v="0"/>
    <n v="2"/>
    <x v="0"/>
    <n v="32"/>
    <x v="0"/>
    <n v="95"/>
    <s v="A+"/>
    <n v="95"/>
    <s v="A+"/>
    <n v="92"/>
    <s v="A+"/>
    <n v="61"/>
    <s v="B-"/>
    <n v="63"/>
    <s v="B-"/>
    <n v="81"/>
    <s v="A"/>
    <n v="100"/>
    <s v="A+"/>
    <n v="587"/>
    <n v="83.857142857142861"/>
    <x v="0"/>
    <n v="583"/>
    <x v="1"/>
  </r>
  <r>
    <n v="1715"/>
    <s v="Samantha"/>
    <s v="Anderson"/>
    <x v="1687"/>
    <s v="samantha.anderson.1715@gslingacademy.com"/>
    <x v="1"/>
    <x v="0"/>
    <n v="6"/>
    <x v="0"/>
    <n v="1"/>
    <x v="4"/>
    <n v="76"/>
    <s v="A-"/>
    <n v="69"/>
    <s v="B"/>
    <n v="100"/>
    <s v="A+"/>
    <n v="88"/>
    <s v="A"/>
    <n v="65"/>
    <s v="B"/>
    <n v="96"/>
    <s v="A+"/>
    <n v="70"/>
    <s v="B+"/>
    <n v="564"/>
    <n v="80.571428571428569"/>
    <x v="0"/>
    <n v="1056"/>
    <x v="0"/>
  </r>
  <r>
    <n v="1716"/>
    <s v="Lindsay"/>
    <s v="Love"/>
    <x v="1688"/>
    <s v="lindsay.love.1716@gslingacademy.com"/>
    <x v="1"/>
    <x v="0"/>
    <n v="1"/>
    <x v="0"/>
    <n v="22"/>
    <x v="1"/>
    <n v="91"/>
    <s v="A+"/>
    <n v="92"/>
    <s v="A+"/>
    <n v="81"/>
    <s v="A"/>
    <n v="98"/>
    <s v="A+"/>
    <n v="88"/>
    <s v="A"/>
    <n v="76"/>
    <s v="A-"/>
    <n v="99"/>
    <s v="A+"/>
    <n v="625"/>
    <n v="89.285714285714292"/>
    <x v="0"/>
    <n v="187"/>
    <x v="1"/>
  </r>
  <r>
    <n v="1717"/>
    <s v="John"/>
    <s v="Benson"/>
    <x v="1689"/>
    <s v="john.benson.1717@gslingacademy.com"/>
    <x v="0"/>
    <x v="0"/>
    <n v="5"/>
    <x v="0"/>
    <n v="16"/>
    <x v="9"/>
    <n v="98"/>
    <s v="A+"/>
    <n v="75"/>
    <s v="A-"/>
    <n v="69"/>
    <s v="B"/>
    <n v="65"/>
    <s v="B"/>
    <n v="67"/>
    <s v="B"/>
    <n v="79"/>
    <s v="A-"/>
    <n v="72"/>
    <s v="B+"/>
    <n v="525"/>
    <n v="75"/>
    <x v="2"/>
    <n v="1704"/>
    <x v="0"/>
  </r>
  <r>
    <n v="1718"/>
    <s v="Isaiah"/>
    <s v="Cruz"/>
    <x v="1690"/>
    <s v="isaiah.cruz.1718@gslingacademy.com"/>
    <x v="0"/>
    <x v="1"/>
    <n v="6"/>
    <x v="0"/>
    <n v="15"/>
    <x v="13"/>
    <n v="90"/>
    <s v="A+"/>
    <n v="71"/>
    <s v="B+"/>
    <n v="93"/>
    <s v="A+"/>
    <n v="73"/>
    <s v="B+"/>
    <n v="80"/>
    <s v="A"/>
    <n v="78"/>
    <s v="A-"/>
    <n v="69"/>
    <s v="B"/>
    <n v="554"/>
    <n v="79.142857142857139"/>
    <x v="2"/>
    <n v="1264"/>
    <x v="0"/>
  </r>
  <r>
    <n v="1719"/>
    <s v="Brian"/>
    <s v="Baker"/>
    <x v="1691"/>
    <s v="brian.baker.1719@gslingacademy.com"/>
    <x v="0"/>
    <x v="0"/>
    <n v="3"/>
    <x v="1"/>
    <n v="26"/>
    <x v="5"/>
    <n v="85"/>
    <s v="A"/>
    <n v="68"/>
    <s v="B"/>
    <n v="73"/>
    <s v="B+"/>
    <n v="94"/>
    <s v="A+"/>
    <n v="88"/>
    <s v="A"/>
    <n v="86"/>
    <s v="A"/>
    <n v="77"/>
    <s v="A-"/>
    <n v="571"/>
    <n v="81.571428571428569"/>
    <x v="0"/>
    <n v="915"/>
    <x v="0"/>
  </r>
  <r>
    <n v="1720"/>
    <s v="Joshua"/>
    <s v="Dillon"/>
    <x v="1692"/>
    <s v="joshua.dillon.1720@gslingacademy.com"/>
    <x v="0"/>
    <x v="0"/>
    <n v="5"/>
    <x v="0"/>
    <n v="46"/>
    <x v="1"/>
    <n v="100"/>
    <s v="A+"/>
    <n v="97"/>
    <s v="A+"/>
    <n v="94"/>
    <s v="A+"/>
    <n v="87"/>
    <s v="A"/>
    <n v="89"/>
    <s v="A"/>
    <n v="91"/>
    <s v="A+"/>
    <n v="100"/>
    <s v="A+"/>
    <n v="658"/>
    <n v="94"/>
    <x v="1"/>
    <n v="24"/>
    <x v="0"/>
  </r>
  <r>
    <n v="1721"/>
    <s v="Christopher"/>
    <s v="Stephens"/>
    <x v="1693"/>
    <s v="christopher.stephens.1721@gslingacademy.com"/>
    <x v="0"/>
    <x v="1"/>
    <n v="4"/>
    <x v="0"/>
    <n v="31"/>
    <x v="8"/>
    <n v="77"/>
    <s v="A-"/>
    <n v="81"/>
    <s v="A"/>
    <n v="80"/>
    <s v="A"/>
    <n v="95"/>
    <s v="A+"/>
    <n v="80"/>
    <s v="A"/>
    <n v="74"/>
    <s v="B+"/>
    <n v="80"/>
    <s v="A"/>
    <n v="567"/>
    <n v="81"/>
    <x v="0"/>
    <n v="994"/>
    <x v="0"/>
  </r>
  <r>
    <n v="1722"/>
    <s v="Kimberly"/>
    <s v="Shaw"/>
    <x v="1694"/>
    <s v="kimberly.shaw.1722@gslingacademy.com"/>
    <x v="1"/>
    <x v="0"/>
    <n v="10"/>
    <x v="0"/>
    <n v="4"/>
    <x v="7"/>
    <n v="92"/>
    <s v="A+"/>
    <n v="98"/>
    <s v="A+"/>
    <n v="60"/>
    <s v="B-"/>
    <n v="74"/>
    <s v="B+"/>
    <n v="63"/>
    <s v="B-"/>
    <n v="89"/>
    <s v="A"/>
    <n v="80"/>
    <s v="A"/>
    <n v="556"/>
    <n v="79.428571428571431"/>
    <x v="2"/>
    <n v="1224"/>
    <x v="2"/>
  </r>
  <r>
    <n v="1723"/>
    <s v="Colleen"/>
    <s v="Vargas"/>
    <x v="1695"/>
    <s v="colleen.vargas.1723@gslingacademy.com"/>
    <x v="1"/>
    <x v="0"/>
    <n v="9"/>
    <x v="0"/>
    <n v="5"/>
    <x v="7"/>
    <n v="53"/>
    <s v="C"/>
    <n v="87"/>
    <s v="A"/>
    <n v="60"/>
    <s v="B-"/>
    <n v="94"/>
    <s v="A+"/>
    <n v="93"/>
    <s v="A+"/>
    <n v="65"/>
    <s v="B"/>
    <n v="88"/>
    <s v="A"/>
    <n v="540"/>
    <n v="77.142857142857139"/>
    <x v="2"/>
    <n v="1513"/>
    <x v="2"/>
  </r>
  <r>
    <n v="1724"/>
    <s v="Mark"/>
    <s v="Mathews"/>
    <x v="1696"/>
    <s v="mark.mathews.1724@gslingacademy.com"/>
    <x v="0"/>
    <x v="0"/>
    <n v="6"/>
    <x v="0"/>
    <n v="21"/>
    <x v="11"/>
    <n v="79"/>
    <s v="A-"/>
    <n v="74"/>
    <s v="B+"/>
    <n v="78"/>
    <s v="A-"/>
    <n v="97"/>
    <s v="A+"/>
    <n v="87"/>
    <s v="A"/>
    <n v="85"/>
    <s v="A"/>
    <n v="79"/>
    <s v="A-"/>
    <n v="579"/>
    <n v="82.714285714285708"/>
    <x v="0"/>
    <n v="730"/>
    <x v="0"/>
  </r>
  <r>
    <n v="1725"/>
    <s v="Teresa"/>
    <s v="Lopez"/>
    <x v="1697"/>
    <s v="teresa.lopez.1725@gslingacademy.com"/>
    <x v="1"/>
    <x v="0"/>
    <n v="2"/>
    <x v="0"/>
    <n v="26"/>
    <x v="12"/>
    <n v="85"/>
    <s v="A"/>
    <n v="89"/>
    <s v="A"/>
    <n v="72"/>
    <s v="B+"/>
    <n v="80"/>
    <s v="A"/>
    <n v="99"/>
    <s v="A+"/>
    <n v="94"/>
    <s v="A+"/>
    <n v="90"/>
    <s v="A+"/>
    <n v="609"/>
    <n v="87"/>
    <x v="0"/>
    <n v="309"/>
    <x v="1"/>
  </r>
  <r>
    <n v="1726"/>
    <s v="Laura"/>
    <s v="Allen"/>
    <x v="1698"/>
    <s v="laura.allen.1726@gslingacademy.com"/>
    <x v="1"/>
    <x v="0"/>
    <n v="1"/>
    <x v="0"/>
    <n v="3"/>
    <x v="3"/>
    <n v="99"/>
    <s v="A+"/>
    <n v="85"/>
    <s v="A"/>
    <n v="60"/>
    <s v="B-"/>
    <n v="81"/>
    <s v="A"/>
    <n v="75"/>
    <s v="A-"/>
    <n v="78"/>
    <s v="A-"/>
    <n v="78"/>
    <s v="A-"/>
    <n v="556"/>
    <n v="79.428571428571431"/>
    <x v="2"/>
    <n v="1224"/>
    <x v="1"/>
  </r>
  <r>
    <n v="1727"/>
    <s v="Lisa"/>
    <s v="Sosa"/>
    <x v="1699"/>
    <s v="lisa.sosa.1727@gslingacademy.com"/>
    <x v="1"/>
    <x v="0"/>
    <n v="1"/>
    <x v="1"/>
    <n v="11"/>
    <x v="9"/>
    <n v="99"/>
    <s v="A+"/>
    <n v="91"/>
    <s v="A+"/>
    <n v="73"/>
    <s v="B+"/>
    <n v="77"/>
    <s v="A-"/>
    <n v="81"/>
    <s v="A"/>
    <n v="75"/>
    <s v="A-"/>
    <n v="90"/>
    <s v="A+"/>
    <n v="586"/>
    <n v="83.714285714285708"/>
    <x v="0"/>
    <n v="601"/>
    <x v="1"/>
  </r>
  <r>
    <n v="1728"/>
    <s v="Drew"/>
    <s v="Nelson"/>
    <x v="1700"/>
    <s v="drew.nelson.1728@gslingacademy.com"/>
    <x v="0"/>
    <x v="0"/>
    <n v="6"/>
    <x v="0"/>
    <n v="5"/>
    <x v="7"/>
    <n v="65"/>
    <s v="B"/>
    <n v="68"/>
    <s v="B"/>
    <n v="74"/>
    <s v="B+"/>
    <n v="50"/>
    <s v="C"/>
    <n v="98"/>
    <s v="A+"/>
    <n v="60"/>
    <s v="B-"/>
    <n v="83"/>
    <s v="A"/>
    <n v="498"/>
    <n v="71.142857142857139"/>
    <x v="3"/>
    <n v="1884"/>
    <x v="0"/>
  </r>
  <r>
    <n v="1729"/>
    <s v="Kimberly"/>
    <s v="Brooks"/>
    <x v="1701"/>
    <s v="kimberly.brooks.1729@gslingacademy.com"/>
    <x v="1"/>
    <x v="0"/>
    <n v="8"/>
    <x v="1"/>
    <n v="19"/>
    <x v="5"/>
    <n v="94"/>
    <s v="A+"/>
    <n v="83"/>
    <s v="A"/>
    <n v="72"/>
    <s v="B+"/>
    <n v="63"/>
    <s v="B-"/>
    <n v="65"/>
    <s v="B"/>
    <n v="63"/>
    <s v="B-"/>
    <n v="74"/>
    <s v="B+"/>
    <n v="514"/>
    <n v="73.428571428571431"/>
    <x v="3"/>
    <n v="1805"/>
    <x v="2"/>
  </r>
  <r>
    <n v="1730"/>
    <s v="Carla"/>
    <s v="Lopez"/>
    <x v="1702"/>
    <s v="carla.lopez.1730@gslingacademy.com"/>
    <x v="1"/>
    <x v="1"/>
    <n v="7"/>
    <x v="0"/>
    <n v="3"/>
    <x v="7"/>
    <n v="73"/>
    <s v="B+"/>
    <n v="52"/>
    <s v="C"/>
    <n v="89"/>
    <s v="A"/>
    <n v="85"/>
    <s v="A"/>
    <n v="74"/>
    <s v="B+"/>
    <n v="66"/>
    <s v="B"/>
    <n v="79"/>
    <s v="A-"/>
    <n v="518"/>
    <n v="74"/>
    <x v="3"/>
    <n v="1775"/>
    <x v="2"/>
  </r>
  <r>
    <n v="1731"/>
    <s v="Keith"/>
    <s v="Smith"/>
    <x v="1703"/>
    <s v="keith.smith.1731@gslingacademy.com"/>
    <x v="0"/>
    <x v="1"/>
    <n v="5"/>
    <x v="0"/>
    <n v="15"/>
    <x v="5"/>
    <n v="85"/>
    <s v="A"/>
    <n v="76"/>
    <s v="A-"/>
    <n v="61"/>
    <s v="B-"/>
    <n v="93"/>
    <s v="A+"/>
    <n v="98"/>
    <s v="A+"/>
    <n v="87"/>
    <s v="A"/>
    <n v="67"/>
    <s v="B"/>
    <n v="567"/>
    <n v="81"/>
    <x v="0"/>
    <n v="994"/>
    <x v="0"/>
  </r>
  <r>
    <n v="1732"/>
    <s v="Eric"/>
    <s v="Erickson"/>
    <x v="1704"/>
    <s v="eric.erickson.1732@gslingacademy.com"/>
    <x v="0"/>
    <x v="0"/>
    <n v="4"/>
    <x v="0"/>
    <n v="32"/>
    <x v="0"/>
    <n v="87"/>
    <s v="A"/>
    <n v="82"/>
    <s v="A"/>
    <n v="74"/>
    <s v="B+"/>
    <n v="77"/>
    <s v="A-"/>
    <n v="100"/>
    <s v="A+"/>
    <n v="93"/>
    <s v="A+"/>
    <n v="65"/>
    <s v="B"/>
    <n v="578"/>
    <n v="82.571428571428569"/>
    <x v="0"/>
    <n v="752"/>
    <x v="0"/>
  </r>
  <r>
    <n v="1733"/>
    <s v="Juan"/>
    <s v="Baker"/>
    <x v="1705"/>
    <s v="juan.baker.1733@gslingacademy.com"/>
    <x v="0"/>
    <x v="1"/>
    <n v="5"/>
    <x v="0"/>
    <n v="4"/>
    <x v="7"/>
    <n v="77"/>
    <s v="A-"/>
    <n v="58"/>
    <s v="C"/>
    <n v="90"/>
    <s v="A+"/>
    <n v="72"/>
    <s v="B+"/>
    <n v="75"/>
    <s v="A-"/>
    <n v="88"/>
    <s v="A"/>
    <n v="90"/>
    <s v="A+"/>
    <n v="550"/>
    <n v="78.571428571428569"/>
    <x v="2"/>
    <n v="1338"/>
    <x v="0"/>
  </r>
  <r>
    <n v="1734"/>
    <s v="Kyle"/>
    <s v="Harrison"/>
    <x v="1706"/>
    <s v="kyle.harrison.1734@gslingacademy.com"/>
    <x v="0"/>
    <x v="0"/>
    <n v="1"/>
    <x v="0"/>
    <n v="31"/>
    <x v="8"/>
    <n v="85"/>
    <s v="A"/>
    <n v="60"/>
    <s v="B-"/>
    <n v="92"/>
    <s v="A+"/>
    <n v="92"/>
    <s v="A+"/>
    <n v="85"/>
    <s v="A"/>
    <n v="62"/>
    <s v="B-"/>
    <n v="84"/>
    <s v="A"/>
    <n v="560"/>
    <n v="80"/>
    <x v="0"/>
    <n v="1134"/>
    <x v="1"/>
  </r>
  <r>
    <n v="1735"/>
    <s v="Duane"/>
    <s v="Meyers"/>
    <x v="1707"/>
    <s v="duane.meyers.1735@gslingacademy.com"/>
    <x v="0"/>
    <x v="0"/>
    <n v="2"/>
    <x v="0"/>
    <n v="19"/>
    <x v="5"/>
    <n v="91"/>
    <s v="A+"/>
    <n v="69"/>
    <s v="B"/>
    <n v="90"/>
    <s v="A+"/>
    <n v="76"/>
    <s v="A-"/>
    <n v="79"/>
    <s v="A-"/>
    <n v="80"/>
    <s v="A"/>
    <n v="82"/>
    <s v="A"/>
    <n v="567"/>
    <n v="81"/>
    <x v="0"/>
    <n v="994"/>
    <x v="1"/>
  </r>
  <r>
    <n v="1736"/>
    <s v="Marissa"/>
    <s v="May"/>
    <x v="1708"/>
    <s v="marissa.may.1736@gslingacademy.com"/>
    <x v="1"/>
    <x v="0"/>
    <n v="1"/>
    <x v="0"/>
    <n v="16"/>
    <x v="5"/>
    <n v="86"/>
    <s v="A"/>
    <n v="96"/>
    <s v="A+"/>
    <n v="83"/>
    <s v="A"/>
    <n v="78"/>
    <s v="A-"/>
    <n v="71"/>
    <s v="B+"/>
    <n v="78"/>
    <s v="A-"/>
    <n v="75"/>
    <s v="A-"/>
    <n v="567"/>
    <n v="81"/>
    <x v="0"/>
    <n v="994"/>
    <x v="1"/>
  </r>
  <r>
    <n v="1737"/>
    <s v="Shane"/>
    <s v="Lopez"/>
    <x v="1709"/>
    <s v="shane.lopez.1737@gslingacademy.com"/>
    <x v="0"/>
    <x v="0"/>
    <n v="1"/>
    <x v="0"/>
    <n v="29"/>
    <x v="0"/>
    <n v="78"/>
    <s v="A-"/>
    <n v="80"/>
    <s v="A"/>
    <n v="72"/>
    <s v="B+"/>
    <n v="65"/>
    <s v="B"/>
    <n v="90"/>
    <s v="A+"/>
    <n v="99"/>
    <s v="A+"/>
    <n v="95"/>
    <s v="A+"/>
    <n v="579"/>
    <n v="82.714285714285708"/>
    <x v="0"/>
    <n v="730"/>
    <x v="1"/>
  </r>
  <r>
    <n v="1738"/>
    <s v="Eric"/>
    <s v="Obrien"/>
    <x v="1710"/>
    <s v="eric.obrien.1738@gslingacademy.com"/>
    <x v="0"/>
    <x v="0"/>
    <n v="3"/>
    <x v="0"/>
    <n v="26"/>
    <x v="0"/>
    <n v="71"/>
    <s v="B+"/>
    <n v="92"/>
    <s v="A+"/>
    <n v="92"/>
    <s v="A+"/>
    <n v="96"/>
    <s v="A+"/>
    <n v="81"/>
    <s v="A"/>
    <n v="81"/>
    <s v="A"/>
    <n v="85"/>
    <s v="A"/>
    <n v="598"/>
    <n v="85.428571428571431"/>
    <x v="0"/>
    <n v="436"/>
    <x v="0"/>
  </r>
  <r>
    <n v="1739"/>
    <s v="Kevin"/>
    <s v="Joyce"/>
    <x v="1711"/>
    <s v="kevin.joyce.1739@gslingacademy.com"/>
    <x v="0"/>
    <x v="1"/>
    <n v="4"/>
    <x v="0"/>
    <n v="27"/>
    <x v="0"/>
    <n v="72"/>
    <s v="B+"/>
    <n v="85"/>
    <s v="A"/>
    <n v="92"/>
    <s v="A+"/>
    <n v="83"/>
    <s v="A"/>
    <n v="84"/>
    <s v="A"/>
    <n v="96"/>
    <s v="A+"/>
    <n v="81"/>
    <s v="A"/>
    <n v="593"/>
    <n v="84.714285714285708"/>
    <x v="0"/>
    <n v="494"/>
    <x v="0"/>
  </r>
  <r>
    <n v="1740"/>
    <s v="Thomas"/>
    <s v="Ward"/>
    <x v="1712"/>
    <s v="thomas.ward.1740@gslingacademy.com"/>
    <x v="0"/>
    <x v="0"/>
    <n v="3"/>
    <x v="0"/>
    <n v="35"/>
    <x v="5"/>
    <n v="88"/>
    <s v="A"/>
    <n v="92"/>
    <s v="A+"/>
    <n v="88"/>
    <s v="A"/>
    <n v="100"/>
    <s v="A+"/>
    <n v="89"/>
    <s v="A"/>
    <n v="94"/>
    <s v="A+"/>
    <n v="87"/>
    <s v="A"/>
    <n v="638"/>
    <n v="91.142857142857139"/>
    <x v="1"/>
    <n v="110"/>
    <x v="0"/>
  </r>
  <r>
    <n v="1741"/>
    <s v="Toni"/>
    <s v="Smith"/>
    <x v="1713"/>
    <s v="toni.smith.1741@gslingacademy.com"/>
    <x v="1"/>
    <x v="0"/>
    <n v="5"/>
    <x v="0"/>
    <n v="26"/>
    <x v="4"/>
    <n v="68"/>
    <s v="B"/>
    <n v="100"/>
    <s v="A+"/>
    <n v="94"/>
    <s v="A+"/>
    <n v="69"/>
    <s v="B"/>
    <n v="93"/>
    <s v="A+"/>
    <n v="64"/>
    <s v="B-"/>
    <n v="93"/>
    <s v="A+"/>
    <n v="581"/>
    <n v="83"/>
    <x v="0"/>
    <n v="688"/>
    <x v="0"/>
  </r>
  <r>
    <n v="1742"/>
    <s v="Caitlin"/>
    <s v="Moody"/>
    <x v="1714"/>
    <s v="caitlin.moody.1742@gslingacademy.com"/>
    <x v="1"/>
    <x v="1"/>
    <n v="2"/>
    <x v="0"/>
    <n v="28"/>
    <x v="1"/>
    <n v="81"/>
    <s v="A"/>
    <n v="75"/>
    <s v="A-"/>
    <n v="94"/>
    <s v="A+"/>
    <n v="93"/>
    <s v="A+"/>
    <n v="87"/>
    <s v="A"/>
    <n v="77"/>
    <s v="A-"/>
    <n v="67"/>
    <s v="B"/>
    <n v="574"/>
    <n v="82"/>
    <x v="0"/>
    <n v="832"/>
    <x v="1"/>
  </r>
  <r>
    <n v="1743"/>
    <s v="Justin"/>
    <s v="Ryan"/>
    <x v="1715"/>
    <s v="justin.ryan.1743@gslingacademy.com"/>
    <x v="0"/>
    <x v="1"/>
    <n v="1"/>
    <x v="0"/>
    <n v="32"/>
    <x v="9"/>
    <n v="92"/>
    <s v="A+"/>
    <n v="69"/>
    <s v="B"/>
    <n v="92"/>
    <s v="A+"/>
    <n v="91"/>
    <s v="A+"/>
    <n v="82"/>
    <s v="A"/>
    <n v="89"/>
    <s v="A"/>
    <n v="69"/>
    <s v="B"/>
    <n v="584"/>
    <n v="83.428571428571431"/>
    <x v="0"/>
    <n v="635"/>
    <x v="1"/>
  </r>
  <r>
    <n v="1744"/>
    <s v="Joseph"/>
    <s v="Griffin"/>
    <x v="1716"/>
    <s v="joseph.griffin.1744@gslingacademy.com"/>
    <x v="0"/>
    <x v="0"/>
    <n v="0"/>
    <x v="0"/>
    <n v="33"/>
    <x v="11"/>
    <n v="84"/>
    <s v="A"/>
    <n v="64"/>
    <s v="B-"/>
    <n v="82"/>
    <s v="A"/>
    <n v="81"/>
    <s v="A"/>
    <n v="85"/>
    <s v="A"/>
    <n v="84"/>
    <s v="A"/>
    <n v="89"/>
    <s v="A"/>
    <n v="569"/>
    <n v="81.285714285714292"/>
    <x v="0"/>
    <n v="957"/>
    <x v="1"/>
  </r>
  <r>
    <n v="1745"/>
    <s v="Dawn"/>
    <s v="Fox"/>
    <x v="1717"/>
    <s v="dawn.fox.1745@gslingacademy.com"/>
    <x v="1"/>
    <x v="0"/>
    <n v="2"/>
    <x v="1"/>
    <n v="18"/>
    <x v="15"/>
    <n v="89"/>
    <s v="A"/>
    <n v="60"/>
    <s v="B-"/>
    <n v="82"/>
    <s v="A"/>
    <n v="90"/>
    <s v="A+"/>
    <n v="96"/>
    <s v="A+"/>
    <n v="67"/>
    <s v="B"/>
    <n v="68"/>
    <s v="B"/>
    <n v="552"/>
    <n v="78.857142857142861"/>
    <x v="2"/>
    <n v="1306"/>
    <x v="1"/>
  </r>
  <r>
    <n v="1746"/>
    <s v="David"/>
    <s v="Ochoa"/>
    <x v="1718"/>
    <s v="david.ochoa.1746@gslingacademy.com"/>
    <x v="0"/>
    <x v="0"/>
    <n v="1"/>
    <x v="0"/>
    <n v="18"/>
    <x v="5"/>
    <n v="94"/>
    <s v="A+"/>
    <n v="66"/>
    <s v="B"/>
    <n v="84"/>
    <s v="A"/>
    <n v="92"/>
    <s v="A+"/>
    <n v="71"/>
    <s v="B+"/>
    <n v="81"/>
    <s v="A"/>
    <n v="99"/>
    <s v="A+"/>
    <n v="587"/>
    <n v="83.857142857142861"/>
    <x v="0"/>
    <n v="583"/>
    <x v="1"/>
  </r>
  <r>
    <n v="1747"/>
    <s v="Bonnie"/>
    <s v="Brown"/>
    <x v="1719"/>
    <s v="bonnie.brown.1747@gslingacademy.com"/>
    <x v="1"/>
    <x v="0"/>
    <n v="1"/>
    <x v="1"/>
    <n v="9"/>
    <x v="4"/>
    <n v="64"/>
    <s v="B-"/>
    <n v="89"/>
    <s v="A"/>
    <n v="91"/>
    <s v="A+"/>
    <n v="99"/>
    <s v="A+"/>
    <n v="60"/>
    <s v="B-"/>
    <n v="98"/>
    <s v="A+"/>
    <n v="93"/>
    <s v="A+"/>
    <n v="594"/>
    <n v="84.857142857142861"/>
    <x v="0"/>
    <n v="479"/>
    <x v="1"/>
  </r>
  <r>
    <n v="1748"/>
    <s v="Michael"/>
    <s v="Evans"/>
    <x v="1720"/>
    <s v="michael.evans.1748@gslingacademy.com"/>
    <x v="0"/>
    <x v="1"/>
    <n v="5"/>
    <x v="0"/>
    <n v="25"/>
    <x v="15"/>
    <n v="81"/>
    <s v="A"/>
    <n v="88"/>
    <s v="A"/>
    <n v="85"/>
    <s v="A"/>
    <n v="90"/>
    <s v="A+"/>
    <n v="93"/>
    <s v="A+"/>
    <n v="62"/>
    <s v="B-"/>
    <n v="96"/>
    <s v="A+"/>
    <n v="595"/>
    <n v="85"/>
    <x v="0"/>
    <n v="465"/>
    <x v="0"/>
  </r>
  <r>
    <n v="1749"/>
    <s v="Molly"/>
    <s v="Meadows"/>
    <x v="1721"/>
    <s v="molly.meadows.1749@gslingacademy.com"/>
    <x v="1"/>
    <x v="0"/>
    <n v="1"/>
    <x v="1"/>
    <n v="18"/>
    <x v="6"/>
    <n v="80"/>
    <s v="A"/>
    <n v="93"/>
    <s v="A+"/>
    <n v="89"/>
    <s v="A"/>
    <n v="79"/>
    <s v="A-"/>
    <n v="89"/>
    <s v="A"/>
    <n v="93"/>
    <s v="A+"/>
    <n v="100"/>
    <s v="A+"/>
    <n v="623"/>
    <n v="89"/>
    <x v="0"/>
    <n v="201"/>
    <x v="1"/>
  </r>
  <r>
    <n v="1750"/>
    <s v="Dana"/>
    <s v="Peters"/>
    <x v="1722"/>
    <s v="dana.peters.1750@gslingacademy.com"/>
    <x v="1"/>
    <x v="0"/>
    <n v="4"/>
    <x v="0"/>
    <n v="3"/>
    <x v="4"/>
    <n v="75"/>
    <s v="A-"/>
    <n v="65"/>
    <s v="B"/>
    <n v="66"/>
    <s v="B"/>
    <n v="79"/>
    <s v="A-"/>
    <n v="91"/>
    <s v="A+"/>
    <n v="82"/>
    <s v="A"/>
    <n v="72"/>
    <s v="B+"/>
    <n v="530"/>
    <n v="75.714285714285708"/>
    <x v="2"/>
    <n v="1646"/>
    <x v="0"/>
  </r>
  <r>
    <n v="1751"/>
    <s v="Patricia"/>
    <s v="Phelps"/>
    <x v="1723"/>
    <s v="patricia.phelps.1751@gslingacademy.com"/>
    <x v="1"/>
    <x v="0"/>
    <n v="4"/>
    <x v="1"/>
    <n v="34"/>
    <x v="0"/>
    <n v="87"/>
    <s v="A"/>
    <n v="90"/>
    <s v="A+"/>
    <n v="98"/>
    <s v="A+"/>
    <n v="90"/>
    <s v="A+"/>
    <n v="83"/>
    <s v="A"/>
    <n v="94"/>
    <s v="A+"/>
    <n v="84"/>
    <s v="A"/>
    <n v="626"/>
    <n v="89.428571428571431"/>
    <x v="0"/>
    <n v="179"/>
    <x v="0"/>
  </r>
  <r>
    <n v="1752"/>
    <s v="Maria"/>
    <s v="Jones"/>
    <x v="1724"/>
    <s v="maria.jones.1752@gslingacademy.com"/>
    <x v="1"/>
    <x v="0"/>
    <n v="7"/>
    <x v="0"/>
    <n v="4"/>
    <x v="7"/>
    <n v="58"/>
    <s v="C"/>
    <n v="50"/>
    <s v="C"/>
    <n v="73"/>
    <s v="B+"/>
    <n v="54"/>
    <s v="C"/>
    <n v="94"/>
    <s v="A+"/>
    <n v="51"/>
    <s v="C"/>
    <n v="74"/>
    <s v="B+"/>
    <n v="454"/>
    <n v="64.857142857142861"/>
    <x v="5"/>
    <n v="1990"/>
    <x v="2"/>
  </r>
  <r>
    <n v="1753"/>
    <s v="Anthony"/>
    <s v="Johns"/>
    <x v="1725"/>
    <s v="anthony.johns.1753@gslingacademy.com"/>
    <x v="0"/>
    <x v="0"/>
    <n v="3"/>
    <x v="0"/>
    <n v="14"/>
    <x v="2"/>
    <n v="60"/>
    <s v="B-"/>
    <n v="90"/>
    <s v="A+"/>
    <n v="87"/>
    <s v="A"/>
    <n v="91"/>
    <s v="A+"/>
    <n v="78"/>
    <s v="A-"/>
    <n v="77"/>
    <s v="A-"/>
    <n v="82"/>
    <s v="A"/>
    <n v="565"/>
    <n v="80.714285714285708"/>
    <x v="0"/>
    <n v="1035"/>
    <x v="0"/>
  </r>
  <r>
    <n v="1754"/>
    <s v="David"/>
    <s v="Schmidt"/>
    <x v="1726"/>
    <s v="david.schmidt.1754@gslingacademy.com"/>
    <x v="0"/>
    <x v="1"/>
    <n v="5"/>
    <x v="0"/>
    <n v="8"/>
    <x v="16"/>
    <n v="91"/>
    <s v="A+"/>
    <n v="70"/>
    <s v="B+"/>
    <n v="88"/>
    <s v="A"/>
    <n v="68"/>
    <s v="B"/>
    <n v="88"/>
    <s v="A"/>
    <n v="63"/>
    <s v="B-"/>
    <n v="68"/>
    <s v="B"/>
    <n v="536"/>
    <n v="76.571428571428569"/>
    <x v="2"/>
    <n v="1567"/>
    <x v="0"/>
  </r>
  <r>
    <n v="1755"/>
    <s v="Amanda"/>
    <s v="Cox"/>
    <x v="1727"/>
    <s v="amanda.cox.1755@gslingacademy.com"/>
    <x v="1"/>
    <x v="0"/>
    <n v="3"/>
    <x v="0"/>
    <n v="35"/>
    <x v="8"/>
    <n v="95"/>
    <s v="A+"/>
    <n v="97"/>
    <s v="A+"/>
    <n v="89"/>
    <s v="A"/>
    <n v="97"/>
    <s v="A+"/>
    <n v="99"/>
    <s v="A+"/>
    <n v="85"/>
    <s v="A"/>
    <n v="92"/>
    <s v="A+"/>
    <n v="654"/>
    <n v="93.428571428571431"/>
    <x v="1"/>
    <n v="37"/>
    <x v="0"/>
  </r>
  <r>
    <n v="1756"/>
    <s v="William"/>
    <s v="Patterson"/>
    <x v="1728"/>
    <s v="william.patterson.1756@gslingacademy.com"/>
    <x v="0"/>
    <x v="0"/>
    <n v="3"/>
    <x v="0"/>
    <n v="2"/>
    <x v="3"/>
    <n v="70"/>
    <s v="B+"/>
    <n v="100"/>
    <s v="A+"/>
    <n v="92"/>
    <s v="A+"/>
    <n v="73"/>
    <s v="B+"/>
    <n v="67"/>
    <s v="B"/>
    <n v="68"/>
    <s v="B"/>
    <n v="76"/>
    <s v="A-"/>
    <n v="546"/>
    <n v="78"/>
    <x v="2"/>
    <n v="1411"/>
    <x v="0"/>
  </r>
  <r>
    <n v="1757"/>
    <s v="Sydney"/>
    <s v="Wood"/>
    <x v="1729"/>
    <s v="sydney.wood.1757@gslingacademy.com"/>
    <x v="1"/>
    <x v="0"/>
    <n v="2"/>
    <x v="0"/>
    <n v="27"/>
    <x v="0"/>
    <n v="76"/>
    <s v="A-"/>
    <n v="100"/>
    <s v="A+"/>
    <n v="94"/>
    <s v="A+"/>
    <n v="81"/>
    <s v="A"/>
    <n v="60"/>
    <s v="B-"/>
    <n v="85"/>
    <s v="A"/>
    <n v="73"/>
    <s v="B+"/>
    <n v="569"/>
    <n v="81.285714285714292"/>
    <x v="0"/>
    <n v="957"/>
    <x v="1"/>
  </r>
  <r>
    <n v="1758"/>
    <s v="Donald"/>
    <s v="Fischer"/>
    <x v="1730"/>
    <s v="donald.fischer.1758@gslingacademy.com"/>
    <x v="0"/>
    <x v="0"/>
    <n v="5"/>
    <x v="0"/>
    <n v="20"/>
    <x v="11"/>
    <n v="79"/>
    <s v="A-"/>
    <n v="65"/>
    <s v="B"/>
    <n v="78"/>
    <s v="A-"/>
    <n v="65"/>
    <s v="B"/>
    <n v="57"/>
    <s v="C"/>
    <n v="99"/>
    <s v="A+"/>
    <n v="92"/>
    <s v="A+"/>
    <n v="535"/>
    <n v="76.428571428571431"/>
    <x v="2"/>
    <n v="1578"/>
    <x v="0"/>
  </r>
  <r>
    <n v="1759"/>
    <s v="Anthony"/>
    <s v="Palmer"/>
    <x v="1731"/>
    <s v="anthony.palmer.1759@gslingacademy.com"/>
    <x v="0"/>
    <x v="0"/>
    <n v="4"/>
    <x v="0"/>
    <n v="21"/>
    <x v="5"/>
    <n v="92"/>
    <s v="A+"/>
    <n v="96"/>
    <s v="A+"/>
    <n v="92"/>
    <s v="A+"/>
    <n v="63"/>
    <s v="B-"/>
    <n v="73"/>
    <s v="B+"/>
    <n v="60"/>
    <s v="B-"/>
    <n v="81"/>
    <s v="A"/>
    <n v="557"/>
    <n v="79.571428571428569"/>
    <x v="2"/>
    <n v="1200"/>
    <x v="0"/>
  </r>
  <r>
    <n v="1760"/>
    <s v="Christina"/>
    <s v="Garcia"/>
    <x v="1732"/>
    <s v="christina.garcia.1760@gslingacademy.com"/>
    <x v="1"/>
    <x v="0"/>
    <n v="5"/>
    <x v="0"/>
    <n v="6"/>
    <x v="2"/>
    <n v="89"/>
    <s v="A"/>
    <n v="73"/>
    <s v="B+"/>
    <n v="71"/>
    <s v="B+"/>
    <n v="97"/>
    <s v="A+"/>
    <n v="78"/>
    <s v="A-"/>
    <n v="99"/>
    <s v="A+"/>
    <n v="60"/>
    <s v="B-"/>
    <n v="567"/>
    <n v="81"/>
    <x v="0"/>
    <n v="994"/>
    <x v="0"/>
  </r>
  <r>
    <n v="1761"/>
    <s v="Misty"/>
    <s v="Anderson"/>
    <x v="1733"/>
    <s v="misty.anderson.1761@gslingacademy.com"/>
    <x v="1"/>
    <x v="0"/>
    <n v="3"/>
    <x v="0"/>
    <n v="18"/>
    <x v="9"/>
    <n v="85"/>
    <s v="A"/>
    <n v="95"/>
    <s v="A+"/>
    <n v="77"/>
    <s v="A-"/>
    <n v="71"/>
    <s v="B+"/>
    <n v="75"/>
    <s v="A-"/>
    <n v="95"/>
    <s v="A+"/>
    <n v="94"/>
    <s v="A+"/>
    <n v="592"/>
    <n v="84.571428571428569"/>
    <x v="0"/>
    <n v="505"/>
    <x v="0"/>
  </r>
  <r>
    <n v="1762"/>
    <s v="Shannon"/>
    <s v="Weber"/>
    <x v="1734"/>
    <s v="shannon.weber.1762@gslingacademy.com"/>
    <x v="1"/>
    <x v="0"/>
    <n v="2"/>
    <x v="0"/>
    <n v="7"/>
    <x v="16"/>
    <n v="92"/>
    <s v="A+"/>
    <n v="66"/>
    <s v="B"/>
    <n v="88"/>
    <s v="A"/>
    <n v="91"/>
    <s v="A+"/>
    <n v="61"/>
    <s v="B-"/>
    <n v="84"/>
    <s v="A"/>
    <n v="69"/>
    <s v="B"/>
    <n v="551"/>
    <n v="78.714285714285708"/>
    <x v="2"/>
    <n v="1317"/>
    <x v="1"/>
  </r>
  <r>
    <n v="1763"/>
    <s v="Jennifer"/>
    <s v="Palmer"/>
    <x v="1735"/>
    <s v="jennifer.palmer.1763@gslingacademy.com"/>
    <x v="1"/>
    <x v="0"/>
    <n v="2"/>
    <x v="0"/>
    <n v="24"/>
    <x v="5"/>
    <n v="87"/>
    <s v="A"/>
    <n v="63"/>
    <s v="B-"/>
    <n v="79"/>
    <s v="A-"/>
    <n v="81"/>
    <s v="A"/>
    <n v="95"/>
    <s v="A+"/>
    <n v="75"/>
    <s v="A-"/>
    <n v="64"/>
    <s v="B-"/>
    <n v="544"/>
    <n v="77.714285714285708"/>
    <x v="2"/>
    <n v="1446"/>
    <x v="1"/>
  </r>
  <r>
    <n v="1764"/>
    <s v="Michael"/>
    <s v="Arnold"/>
    <x v="1736"/>
    <s v="michael.arnold.1764@gslingacademy.com"/>
    <x v="0"/>
    <x v="0"/>
    <n v="5"/>
    <x v="0"/>
    <n v="21"/>
    <x v="11"/>
    <n v="77"/>
    <s v="A-"/>
    <n v="77"/>
    <s v="A-"/>
    <n v="97"/>
    <s v="A+"/>
    <n v="66"/>
    <s v="B"/>
    <n v="87"/>
    <s v="A"/>
    <n v="73"/>
    <s v="B+"/>
    <n v="75"/>
    <s v="A-"/>
    <n v="552"/>
    <n v="78.857142857142861"/>
    <x v="2"/>
    <n v="1306"/>
    <x v="0"/>
  </r>
  <r>
    <n v="1765"/>
    <s v="James"/>
    <s v="Hernandez"/>
    <x v="1737"/>
    <s v="james.hernandez.1765@gslingacademy.com"/>
    <x v="0"/>
    <x v="0"/>
    <n v="10"/>
    <x v="0"/>
    <n v="2"/>
    <x v="7"/>
    <n v="73"/>
    <s v="B+"/>
    <n v="56"/>
    <s v="C"/>
    <n v="59"/>
    <s v="C"/>
    <n v="62"/>
    <s v="B-"/>
    <n v="58"/>
    <s v="C"/>
    <n v="83"/>
    <s v="A"/>
    <n v="80"/>
    <s v="A"/>
    <n v="471"/>
    <n v="67.285714285714292"/>
    <x v="4"/>
    <n v="1957"/>
    <x v="2"/>
  </r>
  <r>
    <n v="1766"/>
    <s v="Erin"/>
    <s v="Cannon"/>
    <x v="1738"/>
    <s v="erin.cannon.1766@gslingacademy.com"/>
    <x v="1"/>
    <x v="1"/>
    <n v="0"/>
    <x v="0"/>
    <n v="34"/>
    <x v="0"/>
    <n v="91"/>
    <s v="A+"/>
    <n v="85"/>
    <s v="A"/>
    <n v="81"/>
    <s v="A"/>
    <n v="93"/>
    <s v="A+"/>
    <n v="100"/>
    <s v="A+"/>
    <n v="87"/>
    <s v="A"/>
    <n v="77"/>
    <s v="A-"/>
    <n v="614"/>
    <n v="87.714285714285708"/>
    <x v="0"/>
    <n v="260"/>
    <x v="1"/>
  </r>
  <r>
    <n v="1767"/>
    <s v="Nicole"/>
    <s v="Lee"/>
    <x v="1739"/>
    <s v="nicole.lee.1767@gslingacademy.com"/>
    <x v="1"/>
    <x v="0"/>
    <n v="7"/>
    <x v="1"/>
    <n v="0"/>
    <x v="7"/>
    <n v="76"/>
    <s v="A-"/>
    <n v="96"/>
    <s v="A+"/>
    <n v="89"/>
    <s v="A"/>
    <n v="83"/>
    <s v="A"/>
    <n v="78"/>
    <s v="A-"/>
    <n v="54"/>
    <s v="C"/>
    <n v="61"/>
    <s v="B-"/>
    <n v="537"/>
    <n v="76.714285714285708"/>
    <x v="2"/>
    <n v="1553"/>
    <x v="2"/>
  </r>
  <r>
    <n v="1768"/>
    <s v="Jacob"/>
    <s v="Ross"/>
    <x v="1740"/>
    <s v="jacob.ross.1768@gslingacademy.com"/>
    <x v="0"/>
    <x v="0"/>
    <n v="4"/>
    <x v="0"/>
    <n v="17"/>
    <x v="5"/>
    <n v="86"/>
    <s v="A"/>
    <n v="70"/>
    <s v="B+"/>
    <n v="94"/>
    <s v="A+"/>
    <n v="96"/>
    <s v="A+"/>
    <n v="74"/>
    <s v="B+"/>
    <n v="67"/>
    <s v="B"/>
    <n v="60"/>
    <s v="B-"/>
    <n v="547"/>
    <n v="78.142857142857139"/>
    <x v="2"/>
    <n v="1388"/>
    <x v="0"/>
  </r>
  <r>
    <n v="1769"/>
    <s v="Morgan"/>
    <s v="Cisneros"/>
    <x v="1741"/>
    <s v="morgan.cisneros.1769@gslingacademy.com"/>
    <x v="1"/>
    <x v="0"/>
    <n v="5"/>
    <x v="0"/>
    <n v="10"/>
    <x v="9"/>
    <n v="81"/>
    <s v="A"/>
    <n v="77"/>
    <s v="A-"/>
    <n v="88"/>
    <s v="A"/>
    <n v="92"/>
    <s v="A+"/>
    <n v="65"/>
    <s v="B"/>
    <n v="92"/>
    <s v="A+"/>
    <n v="87"/>
    <s v="A"/>
    <n v="582"/>
    <n v="83.142857142857139"/>
    <x v="0"/>
    <n v="670"/>
    <x v="0"/>
  </r>
  <r>
    <n v="1770"/>
    <s v="Amber"/>
    <s v="Stuart"/>
    <x v="1742"/>
    <s v="amber.stuart.1770@gslingacademy.com"/>
    <x v="1"/>
    <x v="0"/>
    <n v="4"/>
    <x v="1"/>
    <n v="35"/>
    <x v="0"/>
    <n v="98"/>
    <s v="A+"/>
    <n v="88"/>
    <s v="A"/>
    <n v="88"/>
    <s v="A"/>
    <n v="89"/>
    <s v="A"/>
    <n v="90"/>
    <s v="A+"/>
    <n v="90"/>
    <s v="A+"/>
    <n v="90"/>
    <s v="A+"/>
    <n v="633"/>
    <n v="90.428571428571431"/>
    <x v="1"/>
    <n v="137"/>
    <x v="0"/>
  </r>
  <r>
    <n v="1771"/>
    <s v="Tyler"/>
    <s v="Griffin"/>
    <x v="1743"/>
    <s v="tyler.griffin.1771@gslingacademy.com"/>
    <x v="0"/>
    <x v="0"/>
    <n v="3"/>
    <x v="0"/>
    <n v="27"/>
    <x v="5"/>
    <n v="88"/>
    <s v="A"/>
    <n v="67"/>
    <s v="B"/>
    <n v="96"/>
    <s v="A+"/>
    <n v="70"/>
    <s v="B+"/>
    <n v="66"/>
    <s v="B"/>
    <n v="76"/>
    <s v="A-"/>
    <n v="71"/>
    <s v="B+"/>
    <n v="534"/>
    <n v="76.285714285714292"/>
    <x v="2"/>
    <n v="1595"/>
    <x v="0"/>
  </r>
  <r>
    <n v="1772"/>
    <s v="Daniel"/>
    <s v="Gonzalez"/>
    <x v="1744"/>
    <s v="daniel.gonzalez.1772@gslingacademy.com"/>
    <x v="0"/>
    <x v="0"/>
    <n v="2"/>
    <x v="1"/>
    <n v="30"/>
    <x v="8"/>
    <n v="85"/>
    <s v="A"/>
    <n v="83"/>
    <s v="A"/>
    <n v="94"/>
    <s v="A+"/>
    <n v="100"/>
    <s v="A+"/>
    <n v="89"/>
    <s v="A"/>
    <n v="68"/>
    <s v="B"/>
    <n v="89"/>
    <s v="A"/>
    <n v="608"/>
    <n v="86.857142857142861"/>
    <x v="0"/>
    <n v="318"/>
    <x v="1"/>
  </r>
  <r>
    <n v="1773"/>
    <s v="Joseph"/>
    <s v="Jones"/>
    <x v="1745"/>
    <s v="joseph.jones.1773@gslingacademy.com"/>
    <x v="0"/>
    <x v="0"/>
    <n v="2"/>
    <x v="0"/>
    <n v="35"/>
    <x v="0"/>
    <n v="90"/>
    <s v="A+"/>
    <n v="89"/>
    <s v="A"/>
    <n v="96"/>
    <s v="A+"/>
    <n v="94"/>
    <s v="A+"/>
    <n v="100"/>
    <s v="A+"/>
    <n v="88"/>
    <s v="A"/>
    <n v="85"/>
    <s v="A"/>
    <n v="642"/>
    <n v="91.714285714285708"/>
    <x v="1"/>
    <n v="90"/>
    <x v="1"/>
  </r>
  <r>
    <n v="1774"/>
    <s v="Jessica"/>
    <s v="Hampton"/>
    <x v="1746"/>
    <s v="jessica.hampton.1774@gslingacademy.com"/>
    <x v="1"/>
    <x v="1"/>
    <n v="5"/>
    <x v="0"/>
    <n v="5"/>
    <x v="14"/>
    <n v="97"/>
    <s v="A+"/>
    <n v="83"/>
    <s v="A"/>
    <n v="93"/>
    <s v="A+"/>
    <n v="67"/>
    <s v="B"/>
    <n v="85"/>
    <s v="A"/>
    <n v="63"/>
    <s v="B-"/>
    <n v="66"/>
    <s v="B"/>
    <n v="554"/>
    <n v="79.142857142857139"/>
    <x v="2"/>
    <n v="1264"/>
    <x v="0"/>
  </r>
  <r>
    <n v="1775"/>
    <s v="Deborah"/>
    <s v="Butler"/>
    <x v="1747"/>
    <s v="deborah.butler.1775@gslingacademy.com"/>
    <x v="1"/>
    <x v="0"/>
    <n v="6"/>
    <x v="1"/>
    <n v="10"/>
    <x v="2"/>
    <n v="78"/>
    <s v="A-"/>
    <n v="84"/>
    <s v="A"/>
    <n v="71"/>
    <s v="B+"/>
    <n v="93"/>
    <s v="A+"/>
    <n v="78"/>
    <s v="A-"/>
    <n v="78"/>
    <s v="A-"/>
    <n v="87"/>
    <s v="A"/>
    <n v="569"/>
    <n v="81.285714285714292"/>
    <x v="0"/>
    <n v="957"/>
    <x v="0"/>
  </r>
  <r>
    <n v="1776"/>
    <s v="Julie"/>
    <s v="Black"/>
    <x v="1748"/>
    <s v="julie.black.1776@gslingacademy.com"/>
    <x v="1"/>
    <x v="1"/>
    <n v="8"/>
    <x v="0"/>
    <n v="1"/>
    <x v="7"/>
    <n v="53"/>
    <s v="C"/>
    <n v="98"/>
    <s v="A+"/>
    <n v="90"/>
    <s v="A+"/>
    <n v="81"/>
    <s v="A"/>
    <n v="61"/>
    <s v="B-"/>
    <n v="65"/>
    <s v="B"/>
    <n v="93"/>
    <s v="A+"/>
    <n v="541"/>
    <n v="77.285714285714292"/>
    <x v="2"/>
    <n v="1493"/>
    <x v="2"/>
  </r>
  <r>
    <n v="1777"/>
    <s v="Bryan"/>
    <s v="Dorsey"/>
    <x v="1749"/>
    <s v="bryan.dorsey.1777@gslingacademy.com"/>
    <x v="0"/>
    <x v="1"/>
    <n v="10"/>
    <x v="0"/>
    <n v="0"/>
    <x v="7"/>
    <n v="77"/>
    <s v="A-"/>
    <n v="53"/>
    <s v="C"/>
    <n v="92"/>
    <s v="A+"/>
    <n v="98"/>
    <s v="A+"/>
    <n v="56"/>
    <s v="C"/>
    <n v="53"/>
    <s v="C"/>
    <n v="93"/>
    <s v="A+"/>
    <n v="522"/>
    <n v="74.571428571428569"/>
    <x v="3"/>
    <n v="1739"/>
    <x v="2"/>
  </r>
  <r>
    <n v="1778"/>
    <s v="Chad"/>
    <s v="Gomez"/>
    <x v="1750"/>
    <s v="chad.gomez.1778@gslingacademy.com"/>
    <x v="0"/>
    <x v="1"/>
    <n v="3"/>
    <x v="0"/>
    <n v="30"/>
    <x v="0"/>
    <n v="97"/>
    <s v="A+"/>
    <n v="88"/>
    <s v="A"/>
    <n v="94"/>
    <s v="A+"/>
    <n v="75"/>
    <s v="A-"/>
    <n v="66"/>
    <s v="B"/>
    <n v="91"/>
    <s v="A+"/>
    <n v="64"/>
    <s v="B-"/>
    <n v="575"/>
    <n v="82.142857142857139"/>
    <x v="0"/>
    <n v="807"/>
    <x v="0"/>
  </r>
  <r>
    <n v="1779"/>
    <s v="Andrew"/>
    <s v="Clark"/>
    <x v="1751"/>
    <s v="andrew.clark.1779@gslingacademy.com"/>
    <x v="0"/>
    <x v="0"/>
    <n v="4"/>
    <x v="0"/>
    <n v="3"/>
    <x v="7"/>
    <n v="88"/>
    <s v="A"/>
    <n v="100"/>
    <s v="A+"/>
    <n v="58"/>
    <s v="C"/>
    <n v="59"/>
    <s v="C"/>
    <n v="96"/>
    <s v="A+"/>
    <n v="64"/>
    <s v="B-"/>
    <n v="87"/>
    <s v="A"/>
    <n v="552"/>
    <n v="78.857142857142861"/>
    <x v="2"/>
    <n v="1306"/>
    <x v="0"/>
  </r>
  <r>
    <n v="1780"/>
    <s v="Brian"/>
    <s v="Wright"/>
    <x v="1752"/>
    <s v="brian.wright.1780@gslingacademy.com"/>
    <x v="0"/>
    <x v="0"/>
    <n v="3"/>
    <x v="1"/>
    <n v="18"/>
    <x v="13"/>
    <n v="98"/>
    <s v="A+"/>
    <n v="67"/>
    <s v="B"/>
    <n v="80"/>
    <s v="A"/>
    <n v="68"/>
    <s v="B"/>
    <n v="80"/>
    <s v="A"/>
    <n v="88"/>
    <s v="A"/>
    <n v="85"/>
    <s v="A"/>
    <n v="566"/>
    <n v="80.857142857142861"/>
    <x v="0"/>
    <n v="1019"/>
    <x v="0"/>
  </r>
  <r>
    <n v="1781"/>
    <s v="Jessica"/>
    <s v="Smith"/>
    <x v="1203"/>
    <s v="jessica.smith.1781@gslingacademy.com"/>
    <x v="1"/>
    <x v="1"/>
    <n v="8"/>
    <x v="1"/>
    <n v="0"/>
    <x v="7"/>
    <n v="92"/>
    <s v="A+"/>
    <n v="78"/>
    <s v="A-"/>
    <n v="78"/>
    <s v="A-"/>
    <n v="85"/>
    <s v="A"/>
    <n v="94"/>
    <s v="A+"/>
    <n v="94"/>
    <s v="A+"/>
    <n v="73"/>
    <s v="B+"/>
    <n v="594"/>
    <n v="84.857142857142861"/>
    <x v="0"/>
    <n v="479"/>
    <x v="2"/>
  </r>
  <r>
    <n v="1782"/>
    <s v="Thomas"/>
    <s v="Brooks"/>
    <x v="1753"/>
    <s v="thomas.brooks.1782@gslingacademy.com"/>
    <x v="0"/>
    <x v="1"/>
    <n v="5"/>
    <x v="0"/>
    <n v="15"/>
    <x v="5"/>
    <n v="92"/>
    <s v="A+"/>
    <n v="92"/>
    <s v="A+"/>
    <n v="74"/>
    <s v="B+"/>
    <n v="96"/>
    <s v="A+"/>
    <n v="95"/>
    <s v="A+"/>
    <n v="77"/>
    <s v="A-"/>
    <n v="76"/>
    <s v="A-"/>
    <n v="602"/>
    <n v="86"/>
    <x v="0"/>
    <n v="380"/>
    <x v="0"/>
  </r>
  <r>
    <n v="1783"/>
    <s v="Kimberly"/>
    <s v="Knox"/>
    <x v="1754"/>
    <s v="kimberly.knox.1783@gslingacademy.com"/>
    <x v="1"/>
    <x v="1"/>
    <n v="3"/>
    <x v="0"/>
    <n v="43"/>
    <x v="1"/>
    <n v="86"/>
    <s v="A"/>
    <n v="99"/>
    <s v="A+"/>
    <n v="87"/>
    <s v="A"/>
    <n v="88"/>
    <s v="A"/>
    <n v="99"/>
    <s v="A+"/>
    <n v="89"/>
    <s v="A"/>
    <n v="86"/>
    <s v="A"/>
    <n v="634"/>
    <n v="90.571428571428569"/>
    <x v="1"/>
    <n v="131"/>
    <x v="0"/>
  </r>
  <r>
    <n v="1784"/>
    <s v="Jamie"/>
    <s v="Mccarthy"/>
    <x v="1755"/>
    <s v="jamie.mccarthy.1784@gslingacademy.com"/>
    <x v="0"/>
    <x v="0"/>
    <n v="5"/>
    <x v="0"/>
    <n v="16"/>
    <x v="12"/>
    <n v="91"/>
    <s v="A+"/>
    <n v="69"/>
    <s v="B"/>
    <n v="97"/>
    <s v="A+"/>
    <n v="76"/>
    <s v="A-"/>
    <n v="97"/>
    <s v="A+"/>
    <n v="81"/>
    <s v="A"/>
    <n v="86"/>
    <s v="A"/>
    <n v="597"/>
    <n v="85.285714285714292"/>
    <x v="0"/>
    <n v="446"/>
    <x v="0"/>
  </r>
  <r>
    <n v="1785"/>
    <s v="Kristen"/>
    <s v="Werner"/>
    <x v="1756"/>
    <s v="kristen.werner.1785@gslingacademy.com"/>
    <x v="1"/>
    <x v="0"/>
    <n v="3"/>
    <x v="0"/>
    <n v="23"/>
    <x v="11"/>
    <n v="92"/>
    <s v="A+"/>
    <n v="75"/>
    <s v="A-"/>
    <n v="100"/>
    <s v="A+"/>
    <n v="78"/>
    <s v="A-"/>
    <n v="32"/>
    <s v="F"/>
    <n v="84"/>
    <s v="A"/>
    <n v="69"/>
    <s v="B"/>
    <n v="530"/>
    <n v="75.714285714285708"/>
    <x v="2"/>
    <n v="1646"/>
    <x v="0"/>
  </r>
  <r>
    <n v="1786"/>
    <s v="Jonathan"/>
    <s v="Weiss"/>
    <x v="1757"/>
    <s v="jonathan.weiss.1786@gslingacademy.com"/>
    <x v="0"/>
    <x v="0"/>
    <n v="2"/>
    <x v="0"/>
    <n v="2"/>
    <x v="14"/>
    <n v="82"/>
    <s v="A"/>
    <n v="75"/>
    <s v="A-"/>
    <n v="93"/>
    <s v="A+"/>
    <n v="67"/>
    <s v="B"/>
    <n v="69"/>
    <s v="B"/>
    <n v="65"/>
    <s v="B"/>
    <n v="74"/>
    <s v="B+"/>
    <n v="525"/>
    <n v="75"/>
    <x v="2"/>
    <n v="1704"/>
    <x v="1"/>
  </r>
  <r>
    <n v="1787"/>
    <s v="Renee"/>
    <s v="Smith"/>
    <x v="1514"/>
    <s v="renee.smith.1787@gslingacademy.com"/>
    <x v="1"/>
    <x v="0"/>
    <n v="1"/>
    <x v="0"/>
    <n v="34"/>
    <x v="0"/>
    <n v="99"/>
    <s v="A+"/>
    <n v="81"/>
    <s v="A"/>
    <n v="92"/>
    <s v="A+"/>
    <n v="86"/>
    <s v="A"/>
    <n v="65"/>
    <s v="B"/>
    <n v="99"/>
    <s v="A+"/>
    <n v="79"/>
    <s v="A-"/>
    <n v="601"/>
    <n v="85.857142857142861"/>
    <x v="0"/>
    <n v="394"/>
    <x v="1"/>
  </r>
  <r>
    <n v="1788"/>
    <s v="Tony"/>
    <s v="Hopkins"/>
    <x v="1758"/>
    <s v="tony.hopkins.1788@gslingacademy.com"/>
    <x v="0"/>
    <x v="1"/>
    <n v="2"/>
    <x v="0"/>
    <n v="34"/>
    <x v="5"/>
    <n v="95"/>
    <s v="A+"/>
    <n v="90"/>
    <s v="A+"/>
    <n v="65"/>
    <s v="B"/>
    <n v="84"/>
    <s v="A"/>
    <n v="86"/>
    <s v="A"/>
    <n v="88"/>
    <s v="A"/>
    <n v="94"/>
    <s v="A+"/>
    <n v="602"/>
    <n v="86"/>
    <x v="0"/>
    <n v="380"/>
    <x v="1"/>
  </r>
  <r>
    <n v="1789"/>
    <s v="Thomas"/>
    <s v="Buckley"/>
    <x v="1759"/>
    <s v="thomas.buckley.1789@gslingacademy.com"/>
    <x v="0"/>
    <x v="0"/>
    <n v="3"/>
    <x v="0"/>
    <n v="18"/>
    <x v="5"/>
    <n v="100"/>
    <s v="A+"/>
    <n v="93"/>
    <s v="A+"/>
    <n v="99"/>
    <s v="A+"/>
    <n v="65"/>
    <s v="B"/>
    <n v="72"/>
    <s v="B+"/>
    <n v="79"/>
    <s v="A-"/>
    <n v="88"/>
    <s v="A"/>
    <n v="596"/>
    <n v="85.142857142857139"/>
    <x v="0"/>
    <n v="458"/>
    <x v="0"/>
  </r>
  <r>
    <n v="1790"/>
    <s v="Debra"/>
    <s v="Evans"/>
    <x v="1760"/>
    <s v="debra.evans.1790@gslingacademy.com"/>
    <x v="1"/>
    <x v="0"/>
    <n v="5"/>
    <x v="1"/>
    <n v="21"/>
    <x v="4"/>
    <n v="79"/>
    <s v="A-"/>
    <n v="86"/>
    <s v="A"/>
    <n v="84"/>
    <s v="A"/>
    <n v="84"/>
    <s v="A"/>
    <n v="63"/>
    <s v="B-"/>
    <n v="82"/>
    <s v="A"/>
    <n v="94"/>
    <s v="A+"/>
    <n v="572"/>
    <n v="81.714285714285708"/>
    <x v="0"/>
    <n v="890"/>
    <x v="0"/>
  </r>
  <r>
    <n v="1791"/>
    <s v="Richard"/>
    <s v="Bell"/>
    <x v="1761"/>
    <s v="richard.bell.1791@gslingacademy.com"/>
    <x v="0"/>
    <x v="1"/>
    <n v="3"/>
    <x v="1"/>
    <n v="3"/>
    <x v="7"/>
    <n v="80"/>
    <s v="A"/>
    <n v="95"/>
    <s v="A+"/>
    <n v="96"/>
    <s v="A+"/>
    <n v="96"/>
    <s v="A+"/>
    <n v="94"/>
    <s v="A+"/>
    <n v="84"/>
    <s v="A"/>
    <n v="93"/>
    <s v="A+"/>
    <n v="638"/>
    <n v="91.142857142857139"/>
    <x v="1"/>
    <n v="110"/>
    <x v="0"/>
  </r>
  <r>
    <n v="1792"/>
    <s v="Katelyn"/>
    <s v="Watkins"/>
    <x v="1042"/>
    <s v="katelyn.watkins.1792@gslingacademy.com"/>
    <x v="1"/>
    <x v="0"/>
    <n v="4"/>
    <x v="0"/>
    <n v="31"/>
    <x v="1"/>
    <n v="93"/>
    <s v="A+"/>
    <n v="81"/>
    <s v="A"/>
    <n v="88"/>
    <s v="A"/>
    <n v="90"/>
    <s v="A+"/>
    <n v="89"/>
    <s v="A"/>
    <n v="95"/>
    <s v="A+"/>
    <n v="81"/>
    <s v="A"/>
    <n v="617"/>
    <n v="88.142857142857139"/>
    <x v="0"/>
    <n v="235"/>
    <x v="0"/>
  </r>
  <r>
    <n v="1793"/>
    <s v="Michele"/>
    <s v="Stout"/>
    <x v="1762"/>
    <s v="michele.stout.1793@gslingacademy.com"/>
    <x v="1"/>
    <x v="0"/>
    <n v="5"/>
    <x v="1"/>
    <n v="17"/>
    <x v="5"/>
    <n v="95"/>
    <s v="A+"/>
    <n v="75"/>
    <s v="A-"/>
    <n v="79"/>
    <s v="A-"/>
    <n v="79"/>
    <s v="A-"/>
    <n v="93"/>
    <s v="A+"/>
    <n v="85"/>
    <s v="A"/>
    <n v="71"/>
    <s v="B+"/>
    <n v="577"/>
    <n v="82.428571428571431"/>
    <x v="0"/>
    <n v="769"/>
    <x v="0"/>
  </r>
  <r>
    <n v="1794"/>
    <s v="Lisa"/>
    <s v="Estes"/>
    <x v="1763"/>
    <s v="lisa.estes.1794@gslingacademy.com"/>
    <x v="1"/>
    <x v="0"/>
    <n v="0"/>
    <x v="0"/>
    <n v="10"/>
    <x v="9"/>
    <n v="81"/>
    <s v="A"/>
    <n v="92"/>
    <s v="A+"/>
    <n v="76"/>
    <s v="A-"/>
    <n v="81"/>
    <s v="A"/>
    <n v="73"/>
    <s v="B+"/>
    <n v="92"/>
    <s v="A+"/>
    <n v="63"/>
    <s v="B-"/>
    <n v="558"/>
    <n v="79.714285714285708"/>
    <x v="2"/>
    <n v="1178"/>
    <x v="1"/>
  </r>
  <r>
    <n v="1795"/>
    <s v="Casey"/>
    <s v="Hall"/>
    <x v="1764"/>
    <s v="casey.hall.1795@gslingacademy.com"/>
    <x v="1"/>
    <x v="0"/>
    <n v="1"/>
    <x v="0"/>
    <n v="5"/>
    <x v="12"/>
    <n v="75"/>
    <s v="A-"/>
    <n v="88"/>
    <s v="A"/>
    <n v="63"/>
    <s v="B-"/>
    <n v="64"/>
    <s v="B-"/>
    <n v="84"/>
    <s v="A"/>
    <n v="74"/>
    <s v="B+"/>
    <n v="72"/>
    <s v="B+"/>
    <n v="520"/>
    <n v="74.285714285714292"/>
    <x v="3"/>
    <n v="1753"/>
    <x v="1"/>
  </r>
  <r>
    <n v="1796"/>
    <s v="Joshua"/>
    <s v="Cole"/>
    <x v="1765"/>
    <s v="joshua.cole.1796@gslingacademy.com"/>
    <x v="0"/>
    <x v="0"/>
    <n v="4"/>
    <x v="0"/>
    <n v="8"/>
    <x v="15"/>
    <n v="80"/>
    <s v="A"/>
    <n v="69"/>
    <s v="B"/>
    <n v="70"/>
    <s v="B+"/>
    <n v="60"/>
    <s v="B-"/>
    <n v="71"/>
    <s v="B+"/>
    <n v="60"/>
    <s v="B-"/>
    <n v="89"/>
    <s v="A"/>
    <n v="499"/>
    <n v="71.285714285714292"/>
    <x v="3"/>
    <n v="1882"/>
    <x v="0"/>
  </r>
  <r>
    <n v="1797"/>
    <s v="Andrew"/>
    <s v="Jackson"/>
    <x v="1766"/>
    <s v="andrew.jackson.1797@gslingacademy.com"/>
    <x v="0"/>
    <x v="0"/>
    <n v="4"/>
    <x v="0"/>
    <n v="3"/>
    <x v="7"/>
    <n v="52"/>
    <s v="C"/>
    <n v="81"/>
    <s v="A"/>
    <n v="62"/>
    <s v="B-"/>
    <n v="77"/>
    <s v="A-"/>
    <n v="74"/>
    <s v="B+"/>
    <n v="91"/>
    <s v="A+"/>
    <n v="92"/>
    <s v="A+"/>
    <n v="529"/>
    <n v="75.571428571428569"/>
    <x v="2"/>
    <n v="1664"/>
    <x v="0"/>
  </r>
  <r>
    <n v="1798"/>
    <s v="Karen"/>
    <s v="Rodriguez"/>
    <x v="1767"/>
    <s v="karen.rodriguez.1798@gslingacademy.com"/>
    <x v="1"/>
    <x v="0"/>
    <n v="3"/>
    <x v="0"/>
    <n v="30"/>
    <x v="1"/>
    <n v="95"/>
    <s v="A+"/>
    <n v="94"/>
    <s v="A+"/>
    <n v="82"/>
    <s v="A"/>
    <n v="87"/>
    <s v="A"/>
    <n v="93"/>
    <s v="A+"/>
    <n v="93"/>
    <s v="A+"/>
    <n v="90"/>
    <s v="A+"/>
    <n v="634"/>
    <n v="90.571428571428569"/>
    <x v="1"/>
    <n v="131"/>
    <x v="0"/>
  </r>
  <r>
    <n v="1799"/>
    <s v="Sara"/>
    <s v="Johnson"/>
    <x v="1768"/>
    <s v="sara.johnson.1799@gslingacademy.com"/>
    <x v="1"/>
    <x v="0"/>
    <n v="2"/>
    <x v="0"/>
    <n v="20"/>
    <x v="11"/>
    <n v="99"/>
    <s v="A+"/>
    <n v="70"/>
    <s v="B+"/>
    <n v="97"/>
    <s v="A+"/>
    <n v="93"/>
    <s v="A+"/>
    <n v="87"/>
    <s v="A"/>
    <n v="90"/>
    <s v="A+"/>
    <n v="88"/>
    <s v="A"/>
    <n v="624"/>
    <n v="89.142857142857139"/>
    <x v="0"/>
    <n v="194"/>
    <x v="1"/>
  </r>
  <r>
    <n v="1800"/>
    <s v="Alyssa"/>
    <s v="Costa"/>
    <x v="1769"/>
    <s v="alyssa.costa.1800@gslingacademy.com"/>
    <x v="1"/>
    <x v="1"/>
    <n v="5"/>
    <x v="0"/>
    <n v="25"/>
    <x v="5"/>
    <n v="85"/>
    <s v="A"/>
    <n v="87"/>
    <s v="A"/>
    <n v="68"/>
    <s v="B"/>
    <n v="74"/>
    <s v="B+"/>
    <n v="74"/>
    <s v="B+"/>
    <n v="85"/>
    <s v="A"/>
    <n v="68"/>
    <s v="B"/>
    <n v="541"/>
    <n v="77.285714285714292"/>
    <x v="2"/>
    <n v="1493"/>
    <x v="0"/>
  </r>
  <r>
    <n v="1801"/>
    <s v="Daniel"/>
    <s v="Poole"/>
    <x v="1770"/>
    <s v="daniel.poole.1801@gslingacademy.com"/>
    <x v="0"/>
    <x v="0"/>
    <n v="4"/>
    <x v="1"/>
    <n v="23"/>
    <x v="13"/>
    <n v="96"/>
    <s v="A+"/>
    <n v="89"/>
    <s v="A"/>
    <n v="86"/>
    <s v="A"/>
    <n v="84"/>
    <s v="A"/>
    <n v="64"/>
    <s v="B-"/>
    <n v="60"/>
    <s v="B-"/>
    <n v="66"/>
    <s v="B"/>
    <n v="545"/>
    <n v="77.857142857142861"/>
    <x v="2"/>
    <n v="1432"/>
    <x v="0"/>
  </r>
  <r>
    <n v="1802"/>
    <s v="Ricardo"/>
    <s v="Juarez"/>
    <x v="1771"/>
    <s v="ricardo.juarez.1802@gslingacademy.com"/>
    <x v="0"/>
    <x v="0"/>
    <n v="7"/>
    <x v="0"/>
    <n v="3"/>
    <x v="14"/>
    <n v="91"/>
    <s v="A+"/>
    <n v="63"/>
    <s v="B-"/>
    <n v="86"/>
    <s v="A"/>
    <n v="81"/>
    <s v="A"/>
    <n v="90"/>
    <s v="A+"/>
    <n v="98"/>
    <s v="A+"/>
    <n v="63"/>
    <s v="B-"/>
    <n v="572"/>
    <n v="81.714285714285708"/>
    <x v="0"/>
    <n v="890"/>
    <x v="2"/>
  </r>
  <r>
    <n v="1803"/>
    <s v="Tony"/>
    <s v="Castillo"/>
    <x v="1772"/>
    <s v="tony.castillo.1803@gslingacademy.com"/>
    <x v="0"/>
    <x v="1"/>
    <n v="1"/>
    <x v="0"/>
    <n v="24"/>
    <x v="5"/>
    <n v="89"/>
    <s v="A"/>
    <n v="82"/>
    <s v="A"/>
    <n v="76"/>
    <s v="A-"/>
    <n v="92"/>
    <s v="A+"/>
    <n v="97"/>
    <s v="A+"/>
    <n v="66"/>
    <s v="B"/>
    <n v="60"/>
    <s v="B-"/>
    <n v="562"/>
    <n v="80.285714285714292"/>
    <x v="0"/>
    <n v="1099"/>
    <x v="1"/>
  </r>
  <r>
    <n v="1804"/>
    <s v="Brian"/>
    <s v="Kelly"/>
    <x v="1773"/>
    <s v="brian.kelly.1804@gslingacademy.com"/>
    <x v="0"/>
    <x v="0"/>
    <n v="1"/>
    <x v="0"/>
    <n v="37"/>
    <x v="1"/>
    <n v="98"/>
    <s v="A+"/>
    <n v="87"/>
    <s v="A"/>
    <n v="96"/>
    <s v="A+"/>
    <n v="89"/>
    <s v="A"/>
    <n v="100"/>
    <s v="A+"/>
    <n v="85"/>
    <s v="A"/>
    <n v="91"/>
    <s v="A+"/>
    <n v="646"/>
    <n v="92.285714285714292"/>
    <x v="1"/>
    <n v="73"/>
    <x v="1"/>
  </r>
  <r>
    <n v="1805"/>
    <s v="Tyler"/>
    <s v="Moore"/>
    <x v="1774"/>
    <s v="tyler.moore.1805@gslingacademy.com"/>
    <x v="0"/>
    <x v="0"/>
    <n v="2"/>
    <x v="0"/>
    <n v="28"/>
    <x v="4"/>
    <n v="100"/>
    <s v="A+"/>
    <n v="82"/>
    <s v="A"/>
    <n v="72"/>
    <s v="B+"/>
    <n v="97"/>
    <s v="A+"/>
    <n v="74"/>
    <s v="B+"/>
    <n v="75"/>
    <s v="A-"/>
    <n v="81"/>
    <s v="A"/>
    <n v="581"/>
    <n v="83"/>
    <x v="0"/>
    <n v="688"/>
    <x v="1"/>
  </r>
  <r>
    <n v="1806"/>
    <s v="Sharon"/>
    <s v="Martinez"/>
    <x v="1775"/>
    <s v="sharon.martinez.1806@gslingacademy.com"/>
    <x v="1"/>
    <x v="0"/>
    <n v="2"/>
    <x v="0"/>
    <n v="5"/>
    <x v="7"/>
    <n v="75"/>
    <s v="A-"/>
    <n v="71"/>
    <s v="B+"/>
    <n v="68"/>
    <s v="B"/>
    <n v="91"/>
    <s v="A+"/>
    <n v="79"/>
    <s v="A-"/>
    <n v="62"/>
    <s v="B-"/>
    <n v="94"/>
    <s v="A+"/>
    <n v="540"/>
    <n v="77.142857142857139"/>
    <x v="2"/>
    <n v="1513"/>
    <x v="1"/>
  </r>
  <r>
    <n v="1807"/>
    <s v="Mary"/>
    <s v="Malone"/>
    <x v="1776"/>
    <s v="mary.malone.1807@gslingacademy.com"/>
    <x v="1"/>
    <x v="0"/>
    <n v="3"/>
    <x v="0"/>
    <n v="6"/>
    <x v="16"/>
    <n v="74"/>
    <s v="B+"/>
    <n v="63"/>
    <s v="B-"/>
    <n v="74"/>
    <s v="B+"/>
    <n v="63"/>
    <s v="B-"/>
    <n v="78"/>
    <s v="A-"/>
    <n v="90"/>
    <s v="A+"/>
    <n v="83"/>
    <s v="A"/>
    <n v="525"/>
    <n v="75"/>
    <x v="2"/>
    <n v="1704"/>
    <x v="0"/>
  </r>
  <r>
    <n v="1808"/>
    <s v="Rebecca"/>
    <s v="Huang"/>
    <x v="1777"/>
    <s v="rebecca.huang.1808@gslingacademy.com"/>
    <x v="1"/>
    <x v="0"/>
    <n v="7"/>
    <x v="0"/>
    <n v="40"/>
    <x v="1"/>
    <n v="85"/>
    <s v="A"/>
    <n v="99"/>
    <s v="A+"/>
    <n v="87"/>
    <s v="A"/>
    <n v="85"/>
    <s v="A"/>
    <n v="91"/>
    <s v="A+"/>
    <n v="88"/>
    <s v="A"/>
    <n v="90"/>
    <s v="A+"/>
    <n v="625"/>
    <n v="89.285714285714292"/>
    <x v="0"/>
    <n v="187"/>
    <x v="2"/>
  </r>
  <r>
    <n v="1809"/>
    <s v="Alan"/>
    <s v="Santos"/>
    <x v="1778"/>
    <s v="alan.santos.1809@gslingacademy.com"/>
    <x v="0"/>
    <x v="0"/>
    <n v="3"/>
    <x v="1"/>
    <n v="35"/>
    <x v="4"/>
    <n v="86"/>
    <s v="A"/>
    <n v="87"/>
    <s v="A"/>
    <n v="97"/>
    <s v="A+"/>
    <n v="92"/>
    <s v="A+"/>
    <n v="85"/>
    <s v="A"/>
    <n v="99"/>
    <s v="A+"/>
    <n v="86"/>
    <s v="A"/>
    <n v="632"/>
    <n v="90.285714285714292"/>
    <x v="1"/>
    <n v="143"/>
    <x v="0"/>
  </r>
  <r>
    <n v="1810"/>
    <s v="Martin"/>
    <s v="Duran"/>
    <x v="1779"/>
    <s v="martin.duran.1810@gslingacademy.com"/>
    <x v="0"/>
    <x v="0"/>
    <n v="4"/>
    <x v="1"/>
    <n v="34"/>
    <x v="1"/>
    <n v="91"/>
    <s v="A+"/>
    <n v="71"/>
    <s v="B+"/>
    <n v="99"/>
    <s v="A+"/>
    <n v="96"/>
    <s v="A+"/>
    <n v="85"/>
    <s v="A"/>
    <n v="79"/>
    <s v="A-"/>
    <n v="74"/>
    <s v="B+"/>
    <n v="595"/>
    <n v="85"/>
    <x v="0"/>
    <n v="465"/>
    <x v="0"/>
  </r>
  <r>
    <n v="1811"/>
    <s v="Christopher"/>
    <s v="Gutierrez"/>
    <x v="1780"/>
    <s v="christopher.gutierrez.1811@gslingacademy.com"/>
    <x v="0"/>
    <x v="0"/>
    <n v="2"/>
    <x v="0"/>
    <n v="24"/>
    <x v="5"/>
    <n v="90"/>
    <s v="A+"/>
    <n v="76"/>
    <s v="A-"/>
    <n v="100"/>
    <s v="A+"/>
    <n v="73"/>
    <s v="B+"/>
    <n v="90"/>
    <s v="A+"/>
    <n v="64"/>
    <s v="B-"/>
    <n v="86"/>
    <s v="A"/>
    <n v="579"/>
    <n v="82.714285714285708"/>
    <x v="0"/>
    <n v="730"/>
    <x v="1"/>
  </r>
  <r>
    <n v="1812"/>
    <s v="Brandy"/>
    <s v="Maldonado"/>
    <x v="1781"/>
    <s v="brandy.maldonado.1812@gslingacademy.com"/>
    <x v="1"/>
    <x v="0"/>
    <n v="6"/>
    <x v="0"/>
    <n v="35"/>
    <x v="8"/>
    <n v="91"/>
    <s v="A+"/>
    <n v="91"/>
    <s v="A+"/>
    <n v="92"/>
    <s v="A+"/>
    <n v="95"/>
    <s v="A+"/>
    <n v="98"/>
    <s v="A+"/>
    <n v="91"/>
    <s v="A+"/>
    <n v="85"/>
    <s v="A"/>
    <n v="643"/>
    <n v="91.857142857142861"/>
    <x v="1"/>
    <n v="87"/>
    <x v="0"/>
  </r>
  <r>
    <n v="1813"/>
    <s v="Brenda"/>
    <s v="Sanders"/>
    <x v="1782"/>
    <s v="brenda.sanders.1813@gslingacademy.com"/>
    <x v="1"/>
    <x v="1"/>
    <n v="6"/>
    <x v="0"/>
    <n v="0"/>
    <x v="7"/>
    <n v="80"/>
    <s v="A"/>
    <n v="83"/>
    <s v="A"/>
    <n v="93"/>
    <s v="A+"/>
    <n v="81"/>
    <s v="A"/>
    <n v="95"/>
    <s v="A+"/>
    <n v="87"/>
    <s v="A"/>
    <n v="61"/>
    <s v="B-"/>
    <n v="580"/>
    <n v="82.857142857142861"/>
    <x v="0"/>
    <n v="709"/>
    <x v="0"/>
  </r>
  <r>
    <n v="1814"/>
    <s v="Drew"/>
    <s v="Mccann"/>
    <x v="1783"/>
    <s v="drew.mccann.1814@gslingacademy.com"/>
    <x v="0"/>
    <x v="0"/>
    <n v="1"/>
    <x v="0"/>
    <n v="35"/>
    <x v="1"/>
    <n v="95"/>
    <s v="A+"/>
    <n v="89"/>
    <s v="A"/>
    <n v="92"/>
    <s v="A+"/>
    <n v="87"/>
    <s v="A"/>
    <n v="95"/>
    <s v="A+"/>
    <n v="86"/>
    <s v="A"/>
    <n v="93"/>
    <s v="A+"/>
    <n v="637"/>
    <n v="91"/>
    <x v="1"/>
    <n v="115"/>
    <x v="1"/>
  </r>
  <r>
    <n v="1815"/>
    <s v="Joshua"/>
    <s v="Ayala"/>
    <x v="1784"/>
    <s v="joshua.ayala.1815@gslingacademy.com"/>
    <x v="0"/>
    <x v="0"/>
    <n v="5"/>
    <x v="1"/>
    <n v="18"/>
    <x v="4"/>
    <n v="94"/>
    <s v="A+"/>
    <n v="97"/>
    <s v="A+"/>
    <n v="69"/>
    <s v="B"/>
    <n v="81"/>
    <s v="A"/>
    <n v="100"/>
    <s v="A+"/>
    <n v="68"/>
    <s v="B"/>
    <n v="68"/>
    <s v="B"/>
    <n v="577"/>
    <n v="82.428571428571431"/>
    <x v="0"/>
    <n v="769"/>
    <x v="0"/>
  </r>
  <r>
    <n v="1816"/>
    <s v="Tina"/>
    <s v="Rose"/>
    <x v="1785"/>
    <s v="tina.rose.1816@gslingacademy.com"/>
    <x v="1"/>
    <x v="1"/>
    <n v="1"/>
    <x v="1"/>
    <n v="1"/>
    <x v="7"/>
    <n v="54"/>
    <s v="C"/>
    <n v="55"/>
    <s v="C"/>
    <n v="50"/>
    <s v="C"/>
    <n v="100"/>
    <s v="A+"/>
    <n v="77"/>
    <s v="A-"/>
    <n v="61"/>
    <s v="B-"/>
    <n v="78"/>
    <s v="A-"/>
    <n v="475"/>
    <n v="67.857142857142861"/>
    <x v="4"/>
    <n v="1947"/>
    <x v="1"/>
  </r>
  <r>
    <n v="1817"/>
    <s v="William"/>
    <s v="Khan"/>
    <x v="1786"/>
    <s v="william.khan.1817@gslingacademy.com"/>
    <x v="0"/>
    <x v="0"/>
    <n v="2"/>
    <x v="0"/>
    <n v="16"/>
    <x v="13"/>
    <n v="87"/>
    <s v="A"/>
    <n v="80"/>
    <s v="A"/>
    <n v="85"/>
    <s v="A"/>
    <n v="60"/>
    <s v="B-"/>
    <n v="96"/>
    <s v="A+"/>
    <n v="81"/>
    <s v="A"/>
    <n v="83"/>
    <s v="A"/>
    <n v="572"/>
    <n v="81.714285714285708"/>
    <x v="0"/>
    <n v="890"/>
    <x v="1"/>
  </r>
  <r>
    <n v="1818"/>
    <s v="William"/>
    <s v="Avery"/>
    <x v="1787"/>
    <s v="william.avery.1818@gslingacademy.com"/>
    <x v="0"/>
    <x v="0"/>
    <n v="5"/>
    <x v="0"/>
    <n v="28"/>
    <x v="5"/>
    <n v="100"/>
    <s v="A+"/>
    <n v="75"/>
    <s v="A-"/>
    <n v="72"/>
    <s v="B+"/>
    <n v="79"/>
    <s v="A-"/>
    <n v="61"/>
    <s v="B-"/>
    <n v="94"/>
    <s v="A+"/>
    <n v="82"/>
    <s v="A"/>
    <n v="563"/>
    <n v="80.428571428571431"/>
    <x v="0"/>
    <n v="1077"/>
    <x v="0"/>
  </r>
  <r>
    <n v="1819"/>
    <s v="John"/>
    <s v="Fuller"/>
    <x v="1788"/>
    <s v="john.fuller.1819@gslingacademy.com"/>
    <x v="0"/>
    <x v="0"/>
    <n v="3"/>
    <x v="0"/>
    <n v="14"/>
    <x v="2"/>
    <n v="93"/>
    <s v="A+"/>
    <n v="99"/>
    <s v="A+"/>
    <n v="72"/>
    <s v="B+"/>
    <n v="79"/>
    <s v="A-"/>
    <n v="83"/>
    <s v="A"/>
    <n v="87"/>
    <s v="A"/>
    <n v="73"/>
    <s v="B+"/>
    <n v="586"/>
    <n v="83.714285714285708"/>
    <x v="0"/>
    <n v="601"/>
    <x v="0"/>
  </r>
  <r>
    <n v="1820"/>
    <s v="Jeremy"/>
    <s v="Coleman"/>
    <x v="1789"/>
    <s v="jeremy.coleman.1820@gslingacademy.com"/>
    <x v="0"/>
    <x v="0"/>
    <n v="3"/>
    <x v="0"/>
    <n v="25"/>
    <x v="1"/>
    <n v="99"/>
    <s v="A+"/>
    <n v="70"/>
    <s v="B+"/>
    <n v="89"/>
    <s v="A"/>
    <n v="86"/>
    <s v="A"/>
    <n v="92"/>
    <s v="A+"/>
    <n v="65"/>
    <s v="B"/>
    <n v="64"/>
    <s v="B-"/>
    <n v="565"/>
    <n v="80.714285714285708"/>
    <x v="0"/>
    <n v="1035"/>
    <x v="0"/>
  </r>
  <r>
    <n v="1821"/>
    <s v="Laura"/>
    <s v="Wright"/>
    <x v="1790"/>
    <s v="laura.wright.1821@gslingacademy.com"/>
    <x v="1"/>
    <x v="0"/>
    <n v="2"/>
    <x v="0"/>
    <n v="16"/>
    <x v="9"/>
    <n v="99"/>
    <s v="A+"/>
    <n v="99"/>
    <s v="A+"/>
    <n v="90"/>
    <s v="A+"/>
    <n v="63"/>
    <s v="B-"/>
    <n v="63"/>
    <s v="B-"/>
    <n v="77"/>
    <s v="A-"/>
    <n v="60"/>
    <s v="B-"/>
    <n v="551"/>
    <n v="78.714285714285708"/>
    <x v="2"/>
    <n v="1317"/>
    <x v="1"/>
  </r>
  <r>
    <n v="1822"/>
    <s v="David"/>
    <s v="Luna"/>
    <x v="1791"/>
    <s v="david.luna.1822@gslingacademy.com"/>
    <x v="0"/>
    <x v="0"/>
    <n v="4"/>
    <x v="0"/>
    <n v="28"/>
    <x v="15"/>
    <n v="76"/>
    <s v="A-"/>
    <n v="80"/>
    <s v="A"/>
    <n v="89"/>
    <s v="A"/>
    <n v="74"/>
    <s v="B+"/>
    <n v="61"/>
    <s v="B-"/>
    <n v="86"/>
    <s v="A"/>
    <n v="93"/>
    <s v="A+"/>
    <n v="559"/>
    <n v="79.857142857142861"/>
    <x v="2"/>
    <n v="1155"/>
    <x v="0"/>
  </r>
  <r>
    <n v="1823"/>
    <s v="Christopher"/>
    <s v="Jensen"/>
    <x v="1792"/>
    <s v="christopher.jensen.1823@gslingacademy.com"/>
    <x v="0"/>
    <x v="0"/>
    <n v="0"/>
    <x v="0"/>
    <n v="15"/>
    <x v="5"/>
    <n v="92"/>
    <s v="A+"/>
    <n v="100"/>
    <s v="A+"/>
    <n v="83"/>
    <s v="A"/>
    <n v="74"/>
    <s v="B+"/>
    <n v="73"/>
    <s v="B+"/>
    <n v="66"/>
    <s v="B"/>
    <n v="83"/>
    <s v="A"/>
    <n v="571"/>
    <n v="81.571428571428569"/>
    <x v="0"/>
    <n v="915"/>
    <x v="1"/>
  </r>
  <r>
    <n v="1824"/>
    <s v="Luis"/>
    <s v="Little"/>
    <x v="1793"/>
    <s v="luis.little.1824@gslingacademy.com"/>
    <x v="0"/>
    <x v="0"/>
    <n v="10"/>
    <x v="0"/>
    <n v="46"/>
    <x v="1"/>
    <n v="100"/>
    <s v="A+"/>
    <n v="93"/>
    <s v="A+"/>
    <n v="88"/>
    <s v="A"/>
    <n v="98"/>
    <s v="A+"/>
    <n v="99"/>
    <s v="A+"/>
    <n v="89"/>
    <s v="A"/>
    <n v="95"/>
    <s v="A+"/>
    <n v="662"/>
    <n v="94.571428571428569"/>
    <x v="1"/>
    <n v="13"/>
    <x v="2"/>
  </r>
  <r>
    <n v="1825"/>
    <s v="Joseph"/>
    <s v="Garcia"/>
    <x v="1794"/>
    <s v="joseph.garcia.1825@gslingacademy.com"/>
    <x v="0"/>
    <x v="0"/>
    <n v="2"/>
    <x v="0"/>
    <n v="34"/>
    <x v="0"/>
    <n v="89"/>
    <s v="A"/>
    <n v="97"/>
    <s v="A+"/>
    <n v="77"/>
    <s v="A-"/>
    <n v="90"/>
    <s v="A+"/>
    <n v="93"/>
    <s v="A+"/>
    <n v="87"/>
    <s v="A"/>
    <n v="90"/>
    <s v="A+"/>
    <n v="623"/>
    <n v="89"/>
    <x v="0"/>
    <n v="201"/>
    <x v="1"/>
  </r>
  <r>
    <n v="1826"/>
    <s v="Michael"/>
    <s v="York"/>
    <x v="1795"/>
    <s v="michael.york.1826@gslingacademy.com"/>
    <x v="0"/>
    <x v="0"/>
    <n v="2"/>
    <x v="0"/>
    <n v="27"/>
    <x v="0"/>
    <n v="97"/>
    <s v="A+"/>
    <n v="81"/>
    <s v="A"/>
    <n v="71"/>
    <s v="B+"/>
    <n v="77"/>
    <s v="A-"/>
    <n v="90"/>
    <s v="A+"/>
    <n v="86"/>
    <s v="A"/>
    <n v="80"/>
    <s v="A"/>
    <n v="582"/>
    <n v="83.142857142857139"/>
    <x v="0"/>
    <n v="670"/>
    <x v="1"/>
  </r>
  <r>
    <n v="1827"/>
    <s v="Debbie"/>
    <s v="Landry"/>
    <x v="1796"/>
    <s v="debbie.landry.1827@gslingacademy.com"/>
    <x v="1"/>
    <x v="1"/>
    <n v="4"/>
    <x v="0"/>
    <n v="28"/>
    <x v="1"/>
    <n v="99"/>
    <s v="A+"/>
    <n v="63"/>
    <s v="B-"/>
    <n v="97"/>
    <s v="A+"/>
    <n v="90"/>
    <s v="A+"/>
    <n v="99"/>
    <s v="A+"/>
    <n v="99"/>
    <s v="A+"/>
    <n v="100"/>
    <s v="A+"/>
    <n v="647"/>
    <n v="92.428571428571431"/>
    <x v="1"/>
    <n v="68"/>
    <x v="0"/>
  </r>
  <r>
    <n v="1828"/>
    <s v="Michael"/>
    <s v="Gordon"/>
    <x v="1797"/>
    <s v="michael.gordon.1828@gslingacademy.com"/>
    <x v="0"/>
    <x v="0"/>
    <n v="3"/>
    <x v="0"/>
    <n v="33"/>
    <x v="8"/>
    <n v="100"/>
    <s v="A+"/>
    <n v="63"/>
    <s v="B-"/>
    <n v="96"/>
    <s v="A+"/>
    <n v="95"/>
    <s v="A+"/>
    <n v="92"/>
    <s v="A+"/>
    <n v="76"/>
    <s v="A-"/>
    <n v="88"/>
    <s v="A"/>
    <n v="610"/>
    <n v="87.142857142857139"/>
    <x v="0"/>
    <n v="298"/>
    <x v="0"/>
  </r>
  <r>
    <n v="1829"/>
    <s v="Melissa"/>
    <s v="Harris"/>
    <x v="1798"/>
    <s v="melissa.harris.1829@gslingacademy.com"/>
    <x v="1"/>
    <x v="0"/>
    <n v="5"/>
    <x v="0"/>
    <n v="12"/>
    <x v="9"/>
    <n v="86"/>
    <s v="A"/>
    <n v="87"/>
    <s v="A"/>
    <n v="72"/>
    <s v="B+"/>
    <n v="66"/>
    <s v="B"/>
    <n v="94"/>
    <s v="A+"/>
    <n v="78"/>
    <s v="A-"/>
    <n v="94"/>
    <s v="A+"/>
    <n v="577"/>
    <n v="82.428571428571431"/>
    <x v="0"/>
    <n v="769"/>
    <x v="0"/>
  </r>
  <r>
    <n v="1830"/>
    <s v="Jonathon"/>
    <s v="Wilson"/>
    <x v="1799"/>
    <s v="jonathon.wilson.1830@gslingacademy.com"/>
    <x v="0"/>
    <x v="0"/>
    <n v="0"/>
    <x v="0"/>
    <n v="27"/>
    <x v="0"/>
    <n v="77"/>
    <s v="A-"/>
    <n v="99"/>
    <s v="A+"/>
    <n v="94"/>
    <s v="A+"/>
    <n v="81"/>
    <s v="A"/>
    <n v="80"/>
    <s v="A"/>
    <n v="87"/>
    <s v="A"/>
    <n v="98"/>
    <s v="A+"/>
    <n v="616"/>
    <n v="88"/>
    <x v="0"/>
    <n v="243"/>
    <x v="1"/>
  </r>
  <r>
    <n v="1831"/>
    <s v="Margaret"/>
    <s v="Santos"/>
    <x v="1800"/>
    <s v="margaret.santos.1831@gslingacademy.com"/>
    <x v="1"/>
    <x v="0"/>
    <n v="1"/>
    <x v="0"/>
    <n v="15"/>
    <x v="2"/>
    <n v="86"/>
    <s v="A"/>
    <n v="96"/>
    <s v="A+"/>
    <n v="67"/>
    <s v="B"/>
    <n v="76"/>
    <s v="A-"/>
    <n v="74"/>
    <s v="B+"/>
    <n v="66"/>
    <s v="B"/>
    <n v="69"/>
    <s v="B"/>
    <n v="534"/>
    <n v="76.285714285714292"/>
    <x v="2"/>
    <n v="1595"/>
    <x v="1"/>
  </r>
  <r>
    <n v="1832"/>
    <s v="Hailey"/>
    <s v="Arroyo"/>
    <x v="1801"/>
    <s v="hailey.arroyo.1832@gslingacademy.com"/>
    <x v="1"/>
    <x v="0"/>
    <n v="1"/>
    <x v="1"/>
    <n v="3"/>
    <x v="16"/>
    <n v="75"/>
    <s v="A-"/>
    <n v="64"/>
    <s v="B-"/>
    <n v="98"/>
    <s v="A+"/>
    <n v="65"/>
    <s v="B"/>
    <n v="88"/>
    <s v="A"/>
    <n v="65"/>
    <s v="B"/>
    <n v="71"/>
    <s v="B+"/>
    <n v="526"/>
    <n v="75.142857142857139"/>
    <x v="2"/>
    <n v="1688"/>
    <x v="1"/>
  </r>
  <r>
    <n v="1833"/>
    <s v="Steven"/>
    <s v="Webster"/>
    <x v="1802"/>
    <s v="steven.webster.1833@gslingacademy.com"/>
    <x v="0"/>
    <x v="0"/>
    <n v="2"/>
    <x v="0"/>
    <n v="26"/>
    <x v="0"/>
    <n v="94"/>
    <s v="A+"/>
    <n v="93"/>
    <s v="A+"/>
    <n v="92"/>
    <s v="A+"/>
    <n v="67"/>
    <s v="B"/>
    <n v="61"/>
    <s v="B-"/>
    <n v="85"/>
    <s v="A"/>
    <n v="94"/>
    <s v="A+"/>
    <n v="586"/>
    <n v="83.714285714285708"/>
    <x v="0"/>
    <n v="601"/>
    <x v="1"/>
  </r>
  <r>
    <n v="1834"/>
    <s v="Tina"/>
    <s v="Harrison"/>
    <x v="1803"/>
    <s v="tina.harrison.1834@gslingacademy.com"/>
    <x v="1"/>
    <x v="0"/>
    <n v="1"/>
    <x v="0"/>
    <n v="35"/>
    <x v="12"/>
    <n v="94"/>
    <s v="A+"/>
    <n v="88"/>
    <s v="A"/>
    <n v="87"/>
    <s v="A"/>
    <n v="97"/>
    <s v="A+"/>
    <n v="93"/>
    <s v="A+"/>
    <n v="86"/>
    <s v="A"/>
    <n v="94"/>
    <s v="A+"/>
    <n v="639"/>
    <n v="91.285714285714292"/>
    <x v="1"/>
    <n v="106"/>
    <x v="1"/>
  </r>
  <r>
    <n v="1835"/>
    <s v="Andrew"/>
    <s v="Nunez"/>
    <x v="1804"/>
    <s v="andrew.nunez.1835@gslingacademy.com"/>
    <x v="0"/>
    <x v="0"/>
    <n v="1"/>
    <x v="0"/>
    <n v="20"/>
    <x v="9"/>
    <n v="89"/>
    <s v="A"/>
    <n v="92"/>
    <s v="A+"/>
    <n v="75"/>
    <s v="A-"/>
    <n v="85"/>
    <s v="A"/>
    <n v="65"/>
    <s v="B"/>
    <n v="81"/>
    <s v="A"/>
    <n v="69"/>
    <s v="B"/>
    <n v="556"/>
    <n v="79.428571428571431"/>
    <x v="2"/>
    <n v="1224"/>
    <x v="1"/>
  </r>
  <r>
    <n v="1836"/>
    <s v="Renee"/>
    <s v="Cruz"/>
    <x v="1805"/>
    <s v="renee.cruz.1836@gslingacademy.com"/>
    <x v="1"/>
    <x v="0"/>
    <n v="3"/>
    <x v="0"/>
    <n v="14"/>
    <x v="10"/>
    <n v="89"/>
    <s v="A"/>
    <n v="73"/>
    <s v="B+"/>
    <n v="96"/>
    <s v="A+"/>
    <n v="84"/>
    <s v="A"/>
    <n v="96"/>
    <s v="A+"/>
    <n v="98"/>
    <s v="A+"/>
    <n v="77"/>
    <s v="A-"/>
    <n v="613"/>
    <n v="87.571428571428569"/>
    <x v="0"/>
    <n v="271"/>
    <x v="0"/>
  </r>
  <r>
    <n v="1837"/>
    <s v="Victoria"/>
    <s v="Taylor"/>
    <x v="1806"/>
    <s v="victoria.taylor.1837@gslingacademy.com"/>
    <x v="1"/>
    <x v="0"/>
    <n v="2"/>
    <x v="1"/>
    <n v="24"/>
    <x v="5"/>
    <n v="89"/>
    <s v="A"/>
    <n v="82"/>
    <s v="A"/>
    <n v="83"/>
    <s v="A"/>
    <n v="62"/>
    <s v="B-"/>
    <n v="66"/>
    <s v="B"/>
    <n v="86"/>
    <s v="A"/>
    <n v="90"/>
    <s v="A+"/>
    <n v="558"/>
    <n v="79.714285714285708"/>
    <x v="2"/>
    <n v="1178"/>
    <x v="1"/>
  </r>
  <r>
    <n v="1838"/>
    <s v="Joseph"/>
    <s v="Dixon"/>
    <x v="1807"/>
    <s v="joseph.dixon.1838@gslingacademy.com"/>
    <x v="0"/>
    <x v="0"/>
    <n v="2"/>
    <x v="0"/>
    <n v="8"/>
    <x v="2"/>
    <n v="81"/>
    <s v="A"/>
    <n v="78"/>
    <s v="A-"/>
    <n v="82"/>
    <s v="A"/>
    <n v="83"/>
    <s v="A"/>
    <n v="63"/>
    <s v="B-"/>
    <n v="85"/>
    <s v="A"/>
    <n v="75"/>
    <s v="A-"/>
    <n v="547"/>
    <n v="78.142857142857139"/>
    <x v="2"/>
    <n v="1388"/>
    <x v="1"/>
  </r>
  <r>
    <n v="1839"/>
    <s v="Heather"/>
    <s v="Gutierrez"/>
    <x v="1808"/>
    <s v="heather.gutierrez.1839@gslingacademy.com"/>
    <x v="1"/>
    <x v="0"/>
    <n v="3"/>
    <x v="0"/>
    <n v="19"/>
    <x v="4"/>
    <n v="93"/>
    <s v="A+"/>
    <n v="73"/>
    <s v="B+"/>
    <n v="67"/>
    <s v="B"/>
    <n v="100"/>
    <s v="A+"/>
    <n v="63"/>
    <s v="B-"/>
    <n v="92"/>
    <s v="A+"/>
    <n v="86"/>
    <s v="A"/>
    <n v="574"/>
    <n v="82"/>
    <x v="0"/>
    <n v="832"/>
    <x v="0"/>
  </r>
  <r>
    <n v="1840"/>
    <s v="Cynthia"/>
    <s v="Hodges"/>
    <x v="1809"/>
    <s v="cynthia.hodges.1840@gslingacademy.com"/>
    <x v="1"/>
    <x v="0"/>
    <n v="10"/>
    <x v="1"/>
    <n v="2"/>
    <x v="7"/>
    <n v="79"/>
    <s v="A-"/>
    <n v="95"/>
    <s v="A+"/>
    <n v="70"/>
    <s v="B+"/>
    <n v="92"/>
    <s v="A+"/>
    <n v="63"/>
    <s v="B-"/>
    <n v="57"/>
    <s v="C"/>
    <n v="67"/>
    <s v="B"/>
    <n v="523"/>
    <n v="74.714285714285708"/>
    <x v="3"/>
    <n v="1727"/>
    <x v="2"/>
  </r>
  <r>
    <n v="1841"/>
    <s v="Danielle"/>
    <s v="Kelley"/>
    <x v="1810"/>
    <s v="danielle.kelley.1841@gslingacademy.com"/>
    <x v="1"/>
    <x v="0"/>
    <n v="2"/>
    <x v="0"/>
    <n v="29"/>
    <x v="4"/>
    <n v="97"/>
    <s v="A+"/>
    <n v="86"/>
    <s v="A"/>
    <n v="72"/>
    <s v="B+"/>
    <n v="81"/>
    <s v="A"/>
    <n v="85"/>
    <s v="A"/>
    <n v="70"/>
    <s v="B+"/>
    <n v="72"/>
    <s v="B+"/>
    <n v="563"/>
    <n v="80.428571428571431"/>
    <x v="0"/>
    <n v="1077"/>
    <x v="1"/>
  </r>
  <r>
    <n v="1842"/>
    <s v="Michael"/>
    <s v="Mccall"/>
    <x v="1811"/>
    <s v="michael.mccall.1842@gslingacademy.com"/>
    <x v="0"/>
    <x v="0"/>
    <n v="1"/>
    <x v="0"/>
    <n v="14"/>
    <x v="9"/>
    <n v="78"/>
    <s v="A-"/>
    <n v="66"/>
    <s v="B"/>
    <n v="92"/>
    <s v="A+"/>
    <n v="61"/>
    <s v="B-"/>
    <n v="98"/>
    <s v="A+"/>
    <n v="76"/>
    <s v="A-"/>
    <n v="99"/>
    <s v="A+"/>
    <n v="570"/>
    <n v="81.428571428571431"/>
    <x v="0"/>
    <n v="937"/>
    <x v="1"/>
  </r>
  <r>
    <n v="1843"/>
    <s v="Dylan"/>
    <s v="Edwards"/>
    <x v="1812"/>
    <s v="dylan.edwards.1843@gslingacademy.com"/>
    <x v="0"/>
    <x v="0"/>
    <n v="4"/>
    <x v="0"/>
    <n v="19"/>
    <x v="11"/>
    <n v="83"/>
    <s v="A"/>
    <n v="60"/>
    <s v="B-"/>
    <n v="95"/>
    <s v="A+"/>
    <n v="68"/>
    <s v="B"/>
    <n v="33"/>
    <s v="F"/>
    <n v="62"/>
    <s v="B-"/>
    <n v="73"/>
    <s v="B+"/>
    <n v="474"/>
    <n v="67.714285714285708"/>
    <x v="4"/>
    <n v="1949"/>
    <x v="0"/>
  </r>
  <r>
    <n v="1844"/>
    <s v="Franklin"/>
    <s v="Riley"/>
    <x v="1813"/>
    <s v="franklin.riley.1844@gslingacademy.com"/>
    <x v="0"/>
    <x v="0"/>
    <n v="0"/>
    <x v="0"/>
    <n v="29"/>
    <x v="15"/>
    <n v="86"/>
    <s v="A"/>
    <n v="95"/>
    <s v="A+"/>
    <n v="61"/>
    <s v="B-"/>
    <n v="96"/>
    <s v="A+"/>
    <n v="89"/>
    <s v="A"/>
    <n v="99"/>
    <s v="A+"/>
    <n v="84"/>
    <s v="A"/>
    <n v="610"/>
    <n v="87.142857142857139"/>
    <x v="0"/>
    <n v="298"/>
    <x v="1"/>
  </r>
  <r>
    <n v="1845"/>
    <s v="Caitlin"/>
    <s v="Duncan"/>
    <x v="1814"/>
    <s v="caitlin.duncan.1845@gslingacademy.com"/>
    <x v="1"/>
    <x v="0"/>
    <n v="1"/>
    <x v="0"/>
    <n v="2"/>
    <x v="3"/>
    <n v="87"/>
    <s v="A"/>
    <n v="78"/>
    <s v="A-"/>
    <n v="74"/>
    <s v="B+"/>
    <n v="75"/>
    <s v="A-"/>
    <n v="95"/>
    <s v="A+"/>
    <n v="69"/>
    <s v="B"/>
    <n v="99"/>
    <s v="A+"/>
    <n v="577"/>
    <n v="82.428571428571431"/>
    <x v="0"/>
    <n v="769"/>
    <x v="1"/>
  </r>
  <r>
    <n v="1846"/>
    <s v="Robin"/>
    <s v="Reeves"/>
    <x v="1815"/>
    <s v="robin.reeves.1846@gslingacademy.com"/>
    <x v="1"/>
    <x v="0"/>
    <n v="6"/>
    <x v="0"/>
    <n v="25"/>
    <x v="0"/>
    <n v="81"/>
    <s v="A"/>
    <n v="82"/>
    <s v="A"/>
    <n v="69"/>
    <s v="B"/>
    <n v="94"/>
    <s v="A+"/>
    <n v="88"/>
    <s v="A"/>
    <n v="95"/>
    <s v="A+"/>
    <n v="84"/>
    <s v="A"/>
    <n v="593"/>
    <n v="84.714285714285708"/>
    <x v="0"/>
    <n v="494"/>
    <x v="0"/>
  </r>
  <r>
    <n v="1847"/>
    <s v="Rebecca"/>
    <s v="Gibbs"/>
    <x v="1816"/>
    <s v="rebecca.gibbs.1847@gslingacademy.com"/>
    <x v="1"/>
    <x v="0"/>
    <n v="0"/>
    <x v="0"/>
    <n v="6"/>
    <x v="2"/>
    <n v="83"/>
    <s v="A"/>
    <n v="73"/>
    <s v="B+"/>
    <n v="83"/>
    <s v="A"/>
    <n v="66"/>
    <s v="B"/>
    <n v="93"/>
    <s v="A+"/>
    <n v="68"/>
    <s v="B"/>
    <n v="89"/>
    <s v="A"/>
    <n v="555"/>
    <n v="79.285714285714292"/>
    <x v="2"/>
    <n v="1245"/>
    <x v="1"/>
  </r>
  <r>
    <n v="1848"/>
    <s v="Peter"/>
    <s v="Santos"/>
    <x v="1817"/>
    <s v="peter.santos.1848@gslingacademy.com"/>
    <x v="0"/>
    <x v="0"/>
    <n v="2"/>
    <x v="1"/>
    <n v="11"/>
    <x v="9"/>
    <n v="81"/>
    <s v="A"/>
    <n v="85"/>
    <s v="A"/>
    <n v="91"/>
    <s v="A+"/>
    <n v="94"/>
    <s v="A+"/>
    <n v="97"/>
    <s v="A+"/>
    <n v="93"/>
    <s v="A+"/>
    <n v="65"/>
    <s v="B"/>
    <n v="606"/>
    <n v="86.571428571428569"/>
    <x v="0"/>
    <n v="333"/>
    <x v="1"/>
  </r>
  <r>
    <n v="1849"/>
    <s v="Daryl"/>
    <s v="Arnold"/>
    <x v="1818"/>
    <s v="daryl.arnold.1849@gslingacademy.com"/>
    <x v="0"/>
    <x v="0"/>
    <n v="1"/>
    <x v="1"/>
    <n v="4"/>
    <x v="12"/>
    <n v="65"/>
    <s v="B"/>
    <n v="95"/>
    <s v="A+"/>
    <n v="89"/>
    <s v="A"/>
    <n v="96"/>
    <s v="A+"/>
    <n v="78"/>
    <s v="A-"/>
    <n v="85"/>
    <s v="A"/>
    <n v="80"/>
    <s v="A"/>
    <n v="588"/>
    <n v="84"/>
    <x v="0"/>
    <n v="565"/>
    <x v="1"/>
  </r>
  <r>
    <n v="1850"/>
    <s v="Michael"/>
    <s v="Davis"/>
    <x v="1819"/>
    <s v="michael.davis.1850@gslingacademy.com"/>
    <x v="0"/>
    <x v="0"/>
    <n v="2"/>
    <x v="0"/>
    <n v="33"/>
    <x v="0"/>
    <n v="83"/>
    <s v="A"/>
    <n v="91"/>
    <s v="A+"/>
    <n v="76"/>
    <s v="A-"/>
    <n v="71"/>
    <s v="B+"/>
    <n v="82"/>
    <s v="A"/>
    <n v="82"/>
    <s v="A"/>
    <n v="79"/>
    <s v="A-"/>
    <n v="564"/>
    <n v="80.571428571428569"/>
    <x v="0"/>
    <n v="1056"/>
    <x v="1"/>
  </r>
  <r>
    <n v="1851"/>
    <s v="Leslie"/>
    <s v="Cox"/>
    <x v="1820"/>
    <s v="leslie.cox.1851@gslingacademy.com"/>
    <x v="1"/>
    <x v="0"/>
    <n v="3"/>
    <x v="1"/>
    <n v="22"/>
    <x v="1"/>
    <n v="98"/>
    <s v="A+"/>
    <n v="79"/>
    <s v="A-"/>
    <n v="87"/>
    <s v="A"/>
    <n v="86"/>
    <s v="A"/>
    <n v="98"/>
    <s v="A+"/>
    <n v="85"/>
    <s v="A"/>
    <n v="85"/>
    <s v="A"/>
    <n v="618"/>
    <n v="88.285714285714292"/>
    <x v="0"/>
    <n v="229"/>
    <x v="0"/>
  </r>
  <r>
    <n v="1852"/>
    <s v="Jamie"/>
    <s v="Carter"/>
    <x v="1821"/>
    <s v="jamie.carter.1852@gslingacademy.com"/>
    <x v="1"/>
    <x v="0"/>
    <n v="0"/>
    <x v="0"/>
    <n v="34"/>
    <x v="1"/>
    <n v="83"/>
    <s v="A"/>
    <n v="84"/>
    <s v="A"/>
    <n v="91"/>
    <s v="A+"/>
    <n v="84"/>
    <s v="A"/>
    <n v="85"/>
    <s v="A"/>
    <n v="91"/>
    <s v="A+"/>
    <n v="92"/>
    <s v="A+"/>
    <n v="610"/>
    <n v="87.142857142857139"/>
    <x v="0"/>
    <n v="298"/>
    <x v="1"/>
  </r>
  <r>
    <n v="1853"/>
    <s v="Shane"/>
    <s v="Payne"/>
    <x v="1822"/>
    <s v="shane.payne.1853@gslingacademy.com"/>
    <x v="0"/>
    <x v="0"/>
    <n v="1"/>
    <x v="0"/>
    <n v="22"/>
    <x v="5"/>
    <n v="85"/>
    <s v="A"/>
    <n v="60"/>
    <s v="B-"/>
    <n v="85"/>
    <s v="A"/>
    <n v="76"/>
    <s v="A-"/>
    <n v="90"/>
    <s v="A+"/>
    <n v="75"/>
    <s v="A-"/>
    <n v="93"/>
    <s v="A+"/>
    <n v="564"/>
    <n v="80.571428571428569"/>
    <x v="0"/>
    <n v="1056"/>
    <x v="1"/>
  </r>
  <r>
    <n v="1854"/>
    <s v="Kimberly"/>
    <s v="Haley"/>
    <x v="1823"/>
    <s v="kimberly.haley.1854@gslingacademy.com"/>
    <x v="1"/>
    <x v="0"/>
    <n v="10"/>
    <x v="0"/>
    <n v="5"/>
    <x v="7"/>
    <n v="68"/>
    <s v="B"/>
    <n v="66"/>
    <s v="B"/>
    <n v="82"/>
    <s v="A"/>
    <n v="63"/>
    <s v="B-"/>
    <n v="91"/>
    <s v="A+"/>
    <n v="67"/>
    <s v="B"/>
    <n v="89"/>
    <s v="A"/>
    <n v="526"/>
    <n v="75.142857142857139"/>
    <x v="2"/>
    <n v="1688"/>
    <x v="2"/>
  </r>
  <r>
    <n v="1855"/>
    <s v="George"/>
    <s v="Duran"/>
    <x v="1824"/>
    <s v="george.duran.1855@gslingacademy.com"/>
    <x v="0"/>
    <x v="0"/>
    <n v="1"/>
    <x v="0"/>
    <n v="11"/>
    <x v="2"/>
    <n v="86"/>
    <s v="A"/>
    <n v="82"/>
    <s v="A"/>
    <n v="60"/>
    <s v="B-"/>
    <n v="65"/>
    <s v="B"/>
    <n v="83"/>
    <s v="A"/>
    <n v="69"/>
    <s v="B"/>
    <n v="78"/>
    <s v="A-"/>
    <n v="523"/>
    <n v="74.714285714285708"/>
    <x v="3"/>
    <n v="1727"/>
    <x v="1"/>
  </r>
  <r>
    <n v="1856"/>
    <s v="Donald"/>
    <s v="Carney"/>
    <x v="1825"/>
    <s v="donald.carney.1856@gslingacademy.com"/>
    <x v="0"/>
    <x v="0"/>
    <n v="1"/>
    <x v="0"/>
    <n v="12"/>
    <x v="2"/>
    <n v="83"/>
    <s v="A"/>
    <n v="87"/>
    <s v="A"/>
    <n v="87"/>
    <s v="A"/>
    <n v="80"/>
    <s v="A"/>
    <n v="81"/>
    <s v="A"/>
    <n v="79"/>
    <s v="A-"/>
    <n v="98"/>
    <s v="A+"/>
    <n v="595"/>
    <n v="85"/>
    <x v="0"/>
    <n v="465"/>
    <x v="1"/>
  </r>
  <r>
    <n v="1857"/>
    <s v="Michelle"/>
    <s v="Brown"/>
    <x v="1826"/>
    <s v="michelle.brown.1857@gslingacademy.com"/>
    <x v="1"/>
    <x v="0"/>
    <n v="2"/>
    <x v="0"/>
    <n v="35"/>
    <x v="4"/>
    <n v="92"/>
    <s v="A+"/>
    <n v="92"/>
    <s v="A+"/>
    <n v="99"/>
    <s v="A+"/>
    <n v="87"/>
    <s v="A"/>
    <n v="100"/>
    <s v="A+"/>
    <n v="88"/>
    <s v="A"/>
    <n v="97"/>
    <s v="A+"/>
    <n v="655"/>
    <n v="93.571428571428569"/>
    <x v="1"/>
    <n v="34"/>
    <x v="1"/>
  </r>
  <r>
    <n v="1858"/>
    <s v="Elizabeth"/>
    <s v="Hawkins"/>
    <x v="1827"/>
    <s v="elizabeth.hawkins.1858@gslingacademy.com"/>
    <x v="1"/>
    <x v="0"/>
    <n v="0"/>
    <x v="0"/>
    <n v="6"/>
    <x v="16"/>
    <n v="91"/>
    <s v="A+"/>
    <n v="66"/>
    <s v="B"/>
    <n v="91"/>
    <s v="A+"/>
    <n v="62"/>
    <s v="B-"/>
    <n v="70"/>
    <s v="B+"/>
    <n v="87"/>
    <s v="A"/>
    <n v="90"/>
    <s v="A+"/>
    <n v="557"/>
    <n v="79.571428571428569"/>
    <x v="2"/>
    <n v="1200"/>
    <x v="1"/>
  </r>
  <r>
    <n v="1859"/>
    <s v="Johnny"/>
    <s v="Gomez"/>
    <x v="1828"/>
    <s v="johnny.gomez.1859@gslingacademy.com"/>
    <x v="0"/>
    <x v="0"/>
    <n v="9"/>
    <x v="1"/>
    <n v="0"/>
    <x v="7"/>
    <n v="53"/>
    <s v="C"/>
    <n v="95"/>
    <s v="A+"/>
    <n v="87"/>
    <s v="A"/>
    <n v="60"/>
    <s v="B-"/>
    <n v="68"/>
    <s v="B"/>
    <n v="74"/>
    <s v="B+"/>
    <n v="68"/>
    <s v="B"/>
    <n v="505"/>
    <n v="72.142857142857139"/>
    <x v="3"/>
    <n v="1854"/>
    <x v="2"/>
  </r>
  <r>
    <n v="1860"/>
    <s v="Christopher"/>
    <s v="Mcconnell"/>
    <x v="1829"/>
    <s v="christopher.mcconnell.1860@gslingacademy.com"/>
    <x v="0"/>
    <x v="0"/>
    <n v="2"/>
    <x v="1"/>
    <n v="26"/>
    <x v="0"/>
    <n v="73"/>
    <s v="B+"/>
    <n v="85"/>
    <s v="A"/>
    <n v="80"/>
    <s v="A"/>
    <n v="64"/>
    <s v="B-"/>
    <n v="69"/>
    <s v="B"/>
    <n v="95"/>
    <s v="A+"/>
    <n v="64"/>
    <s v="B-"/>
    <n v="530"/>
    <n v="75.714285714285708"/>
    <x v="2"/>
    <n v="1646"/>
    <x v="1"/>
  </r>
  <r>
    <n v="1861"/>
    <s v="Kyle"/>
    <s v="Rodriguez"/>
    <x v="1830"/>
    <s v="kyle.rodriguez.1861@gslingacademy.com"/>
    <x v="0"/>
    <x v="0"/>
    <n v="0"/>
    <x v="0"/>
    <n v="19"/>
    <x v="9"/>
    <n v="97"/>
    <s v="A+"/>
    <n v="95"/>
    <s v="A+"/>
    <n v="91"/>
    <s v="A+"/>
    <n v="97"/>
    <s v="A+"/>
    <n v="96"/>
    <s v="A+"/>
    <n v="90"/>
    <s v="A+"/>
    <n v="67"/>
    <s v="B"/>
    <n v="633"/>
    <n v="90.428571428571431"/>
    <x v="1"/>
    <n v="137"/>
    <x v="1"/>
  </r>
  <r>
    <n v="1862"/>
    <s v="Rhonda"/>
    <s v="Cook"/>
    <x v="1831"/>
    <s v="rhonda.cook.1862@gslingacademy.com"/>
    <x v="1"/>
    <x v="0"/>
    <n v="0"/>
    <x v="0"/>
    <n v="3"/>
    <x v="2"/>
    <n v="91"/>
    <s v="A+"/>
    <n v="97"/>
    <s v="A+"/>
    <n v="72"/>
    <s v="B+"/>
    <n v="62"/>
    <s v="B-"/>
    <n v="86"/>
    <s v="A"/>
    <n v="78"/>
    <s v="A-"/>
    <n v="72"/>
    <s v="B+"/>
    <n v="558"/>
    <n v="79.714285714285708"/>
    <x v="2"/>
    <n v="1178"/>
    <x v="1"/>
  </r>
  <r>
    <n v="1863"/>
    <s v="Nathan"/>
    <s v="Fitzpatrick"/>
    <x v="1832"/>
    <s v="nathan.fitzpatrick.1863@gslingacademy.com"/>
    <x v="0"/>
    <x v="0"/>
    <n v="1"/>
    <x v="0"/>
    <n v="14"/>
    <x v="9"/>
    <n v="91"/>
    <s v="A+"/>
    <n v="65"/>
    <s v="B"/>
    <n v="75"/>
    <s v="A-"/>
    <n v="60"/>
    <s v="B-"/>
    <n v="93"/>
    <s v="A+"/>
    <n v="79"/>
    <s v="A-"/>
    <n v="82"/>
    <s v="A"/>
    <n v="545"/>
    <n v="77.857142857142861"/>
    <x v="2"/>
    <n v="1432"/>
    <x v="1"/>
  </r>
  <r>
    <n v="1864"/>
    <s v="John"/>
    <s v="Mitchell"/>
    <x v="1833"/>
    <s v="john.mitchell.1864@gslingacademy.com"/>
    <x v="0"/>
    <x v="0"/>
    <n v="9"/>
    <x v="0"/>
    <n v="12"/>
    <x v="10"/>
    <n v="81"/>
    <s v="A"/>
    <n v="72"/>
    <s v="B+"/>
    <n v="87"/>
    <s v="A"/>
    <n v="84"/>
    <s v="A"/>
    <n v="97"/>
    <s v="A+"/>
    <n v="94"/>
    <s v="A+"/>
    <n v="89"/>
    <s v="A"/>
    <n v="604"/>
    <n v="86.285714285714292"/>
    <x v="0"/>
    <n v="353"/>
    <x v="2"/>
  </r>
  <r>
    <n v="1865"/>
    <s v="Billy"/>
    <s v="Compton"/>
    <x v="1834"/>
    <s v="billy.compton.1865@gslingacademy.com"/>
    <x v="0"/>
    <x v="0"/>
    <n v="1"/>
    <x v="0"/>
    <n v="18"/>
    <x v="5"/>
    <n v="92"/>
    <s v="A+"/>
    <n v="99"/>
    <s v="A+"/>
    <n v="100"/>
    <s v="A+"/>
    <n v="64"/>
    <s v="B-"/>
    <n v="100"/>
    <s v="A+"/>
    <n v="65"/>
    <s v="B"/>
    <n v="99"/>
    <s v="A+"/>
    <n v="619"/>
    <n v="88.428571428571431"/>
    <x v="0"/>
    <n v="221"/>
    <x v="1"/>
  </r>
  <r>
    <n v="1866"/>
    <s v="Richard"/>
    <s v="Chavez"/>
    <x v="1835"/>
    <s v="richard.chavez.1866@gslingacademy.com"/>
    <x v="0"/>
    <x v="0"/>
    <n v="5"/>
    <x v="0"/>
    <n v="4"/>
    <x v="7"/>
    <n v="85"/>
    <s v="A"/>
    <n v="53"/>
    <s v="C"/>
    <n v="95"/>
    <s v="A+"/>
    <n v="76"/>
    <s v="A-"/>
    <n v="61"/>
    <s v="B-"/>
    <n v="88"/>
    <s v="A"/>
    <n v="82"/>
    <s v="A"/>
    <n v="540"/>
    <n v="77.142857142857139"/>
    <x v="2"/>
    <n v="1513"/>
    <x v="0"/>
  </r>
  <r>
    <n v="1867"/>
    <s v="Victor"/>
    <s v="Andrade"/>
    <x v="1836"/>
    <s v="victor.andrade.1867@gslingacademy.com"/>
    <x v="0"/>
    <x v="0"/>
    <n v="1"/>
    <x v="0"/>
    <n v="34"/>
    <x v="13"/>
    <n v="83"/>
    <s v="A"/>
    <n v="60"/>
    <s v="B-"/>
    <n v="80"/>
    <s v="A"/>
    <n v="92"/>
    <s v="A+"/>
    <n v="84"/>
    <s v="A"/>
    <n v="60"/>
    <s v="B-"/>
    <n v="70"/>
    <s v="B+"/>
    <n v="529"/>
    <n v="75.571428571428569"/>
    <x v="2"/>
    <n v="1664"/>
    <x v="1"/>
  </r>
  <r>
    <n v="1868"/>
    <s v="Gregory"/>
    <s v="Lee"/>
    <x v="1837"/>
    <s v="gregory.lee.1868@gslingacademy.com"/>
    <x v="0"/>
    <x v="0"/>
    <n v="2"/>
    <x v="0"/>
    <n v="21"/>
    <x v="4"/>
    <n v="92"/>
    <s v="A+"/>
    <n v="85"/>
    <s v="A"/>
    <n v="78"/>
    <s v="A-"/>
    <n v="87"/>
    <s v="A"/>
    <n v="64"/>
    <s v="B-"/>
    <n v="79"/>
    <s v="A-"/>
    <n v="74"/>
    <s v="B+"/>
    <n v="559"/>
    <n v="79.857142857142861"/>
    <x v="2"/>
    <n v="1155"/>
    <x v="1"/>
  </r>
  <r>
    <n v="1869"/>
    <s v="Alexandra"/>
    <s v="Blackburn"/>
    <x v="1838"/>
    <s v="alexandra.blackburn.1869@gslingacademy.com"/>
    <x v="1"/>
    <x v="0"/>
    <n v="3"/>
    <x v="1"/>
    <n v="5"/>
    <x v="16"/>
    <n v="80"/>
    <s v="A"/>
    <n v="88"/>
    <s v="A"/>
    <n v="94"/>
    <s v="A+"/>
    <n v="60"/>
    <s v="B-"/>
    <n v="65"/>
    <s v="B"/>
    <n v="63"/>
    <s v="B-"/>
    <n v="91"/>
    <s v="A+"/>
    <n v="541"/>
    <n v="77.285714285714292"/>
    <x v="2"/>
    <n v="1493"/>
    <x v="0"/>
  </r>
  <r>
    <n v="1870"/>
    <s v="Kristopher"/>
    <s v="Murray"/>
    <x v="1839"/>
    <s v="kristopher.murray.1870@gslingacademy.com"/>
    <x v="0"/>
    <x v="0"/>
    <n v="1"/>
    <x v="1"/>
    <n v="16"/>
    <x v="11"/>
    <n v="87"/>
    <s v="A"/>
    <n v="81"/>
    <s v="A"/>
    <n v="69"/>
    <s v="B"/>
    <n v="82"/>
    <s v="A"/>
    <n v="70"/>
    <s v="B+"/>
    <n v="62"/>
    <s v="B-"/>
    <n v="66"/>
    <s v="B"/>
    <n v="517"/>
    <n v="73.857142857142861"/>
    <x v="3"/>
    <n v="1781"/>
    <x v="1"/>
  </r>
  <r>
    <n v="1871"/>
    <s v="Wanda"/>
    <s v="Pearson"/>
    <x v="1840"/>
    <s v="wanda.pearson.1871@gslingacademy.com"/>
    <x v="1"/>
    <x v="0"/>
    <n v="0"/>
    <x v="0"/>
    <n v="31"/>
    <x v="8"/>
    <n v="88"/>
    <s v="A"/>
    <n v="61"/>
    <s v="B-"/>
    <n v="95"/>
    <s v="A+"/>
    <n v="91"/>
    <s v="A+"/>
    <n v="99"/>
    <s v="A+"/>
    <n v="64"/>
    <s v="B-"/>
    <n v="90"/>
    <s v="A+"/>
    <n v="588"/>
    <n v="84"/>
    <x v="0"/>
    <n v="565"/>
    <x v="1"/>
  </r>
  <r>
    <n v="1872"/>
    <s v="Denise"/>
    <s v="Rose"/>
    <x v="1841"/>
    <s v="denise.rose.1872@gslingacademy.com"/>
    <x v="1"/>
    <x v="1"/>
    <n v="6"/>
    <x v="0"/>
    <n v="1"/>
    <x v="7"/>
    <n v="41"/>
    <s v="D"/>
    <n v="83"/>
    <s v="A"/>
    <n v="54"/>
    <s v="C"/>
    <n v="87"/>
    <s v="A"/>
    <n v="97"/>
    <s v="A+"/>
    <n v="65"/>
    <s v="B"/>
    <n v="69"/>
    <s v="B"/>
    <n v="496"/>
    <n v="70.857142857142861"/>
    <x v="3"/>
    <n v="1892"/>
    <x v="0"/>
  </r>
  <r>
    <n v="1873"/>
    <s v="Andrew"/>
    <s v="Reed"/>
    <x v="1842"/>
    <s v="andrew.reed.1873@gslingacademy.com"/>
    <x v="0"/>
    <x v="0"/>
    <n v="3"/>
    <x v="0"/>
    <n v="35"/>
    <x v="9"/>
    <n v="87"/>
    <s v="A"/>
    <n v="93"/>
    <s v="A+"/>
    <n v="88"/>
    <s v="A"/>
    <n v="97"/>
    <s v="A+"/>
    <n v="91"/>
    <s v="A+"/>
    <n v="88"/>
    <s v="A"/>
    <n v="88"/>
    <s v="A"/>
    <n v="632"/>
    <n v="90.285714285714292"/>
    <x v="1"/>
    <n v="143"/>
    <x v="0"/>
  </r>
  <r>
    <n v="1874"/>
    <s v="David"/>
    <s v="Castro"/>
    <x v="1843"/>
    <s v="david.castro.1874@gslingacademy.com"/>
    <x v="0"/>
    <x v="0"/>
    <n v="1"/>
    <x v="1"/>
    <n v="41"/>
    <x v="1"/>
    <n v="89"/>
    <s v="A"/>
    <n v="95"/>
    <s v="A+"/>
    <n v="97"/>
    <s v="A+"/>
    <n v="99"/>
    <s v="A+"/>
    <n v="87"/>
    <s v="A"/>
    <n v="90"/>
    <s v="A+"/>
    <n v="91"/>
    <s v="A+"/>
    <n v="648"/>
    <n v="92.571428571428569"/>
    <x v="1"/>
    <n v="65"/>
    <x v="1"/>
  </r>
  <r>
    <n v="1875"/>
    <s v="Tim"/>
    <s v="Duncan"/>
    <x v="1844"/>
    <s v="tim.duncan.1875@gslingacademy.com"/>
    <x v="0"/>
    <x v="1"/>
    <n v="5"/>
    <x v="1"/>
    <n v="1"/>
    <x v="7"/>
    <n v="89"/>
    <s v="A"/>
    <n v="53"/>
    <s v="C"/>
    <n v="77"/>
    <s v="A-"/>
    <n v="96"/>
    <s v="A+"/>
    <n v="76"/>
    <s v="A-"/>
    <n v="63"/>
    <s v="B-"/>
    <n v="90"/>
    <s v="A+"/>
    <n v="544"/>
    <n v="77.714285714285708"/>
    <x v="2"/>
    <n v="1446"/>
    <x v="0"/>
  </r>
  <r>
    <n v="1876"/>
    <s v="Joshua"/>
    <s v="Walker"/>
    <x v="1845"/>
    <s v="joshua.walker.1876@gslingacademy.com"/>
    <x v="0"/>
    <x v="0"/>
    <n v="2"/>
    <x v="0"/>
    <n v="6"/>
    <x v="16"/>
    <n v="53"/>
    <s v="C"/>
    <n v="97"/>
    <s v="A+"/>
    <n v="81"/>
    <s v="A"/>
    <n v="86"/>
    <s v="A"/>
    <n v="71"/>
    <s v="B+"/>
    <n v="87"/>
    <s v="A"/>
    <n v="78"/>
    <s v="A-"/>
    <n v="553"/>
    <n v="79"/>
    <x v="2"/>
    <n v="1284"/>
    <x v="1"/>
  </r>
  <r>
    <n v="1877"/>
    <s v="Julie"/>
    <s v="Rogers"/>
    <x v="1846"/>
    <s v="julie.rogers.1877@gslingacademy.com"/>
    <x v="1"/>
    <x v="0"/>
    <n v="3"/>
    <x v="0"/>
    <n v="30"/>
    <x v="8"/>
    <n v="92"/>
    <s v="A+"/>
    <n v="88"/>
    <s v="A"/>
    <n v="99"/>
    <s v="A+"/>
    <n v="92"/>
    <s v="A+"/>
    <n v="89"/>
    <s v="A"/>
    <n v="66"/>
    <s v="B"/>
    <n v="76"/>
    <s v="A-"/>
    <n v="602"/>
    <n v="86"/>
    <x v="0"/>
    <n v="380"/>
    <x v="0"/>
  </r>
  <r>
    <n v="1878"/>
    <s v="Gina"/>
    <s v="Gilbert"/>
    <x v="1847"/>
    <s v="gina.gilbert.1878@gslingacademy.com"/>
    <x v="1"/>
    <x v="0"/>
    <n v="3"/>
    <x v="0"/>
    <n v="32"/>
    <x v="9"/>
    <n v="85"/>
    <s v="A"/>
    <n v="84"/>
    <s v="A"/>
    <n v="66"/>
    <s v="B"/>
    <n v="66"/>
    <s v="B"/>
    <n v="78"/>
    <s v="A-"/>
    <n v="98"/>
    <s v="A+"/>
    <n v="69"/>
    <s v="B"/>
    <n v="546"/>
    <n v="78"/>
    <x v="2"/>
    <n v="1411"/>
    <x v="0"/>
  </r>
  <r>
    <n v="1879"/>
    <s v="Miguel"/>
    <s v="Nicholson"/>
    <x v="1848"/>
    <s v="miguel.nicholson.1879@gslingacademy.com"/>
    <x v="0"/>
    <x v="0"/>
    <n v="2"/>
    <x v="0"/>
    <n v="18"/>
    <x v="5"/>
    <n v="89"/>
    <s v="A"/>
    <n v="67"/>
    <s v="B"/>
    <n v="93"/>
    <s v="A+"/>
    <n v="83"/>
    <s v="A"/>
    <n v="65"/>
    <s v="B"/>
    <n v="94"/>
    <s v="A+"/>
    <n v="67"/>
    <s v="B"/>
    <n v="558"/>
    <n v="79.714285714285708"/>
    <x v="2"/>
    <n v="1178"/>
    <x v="1"/>
  </r>
  <r>
    <n v="1880"/>
    <s v="Daniel"/>
    <s v="Murray"/>
    <x v="1849"/>
    <s v="daniel.murray.1880@gslingacademy.com"/>
    <x v="0"/>
    <x v="0"/>
    <n v="1"/>
    <x v="0"/>
    <n v="2"/>
    <x v="7"/>
    <n v="98"/>
    <s v="A+"/>
    <n v="92"/>
    <s v="A+"/>
    <n v="82"/>
    <s v="A"/>
    <n v="56"/>
    <s v="C"/>
    <n v="71"/>
    <s v="B+"/>
    <n v="79"/>
    <s v="A-"/>
    <n v="89"/>
    <s v="A"/>
    <n v="567"/>
    <n v="81"/>
    <x v="0"/>
    <n v="994"/>
    <x v="1"/>
  </r>
  <r>
    <n v="1881"/>
    <s v="Lauren"/>
    <s v="Ellis"/>
    <x v="1850"/>
    <s v="lauren.ellis.1881@gslingacademy.com"/>
    <x v="1"/>
    <x v="0"/>
    <n v="5"/>
    <x v="0"/>
    <n v="5"/>
    <x v="7"/>
    <n v="66"/>
    <s v="B"/>
    <n v="52"/>
    <s v="C"/>
    <n v="71"/>
    <s v="B+"/>
    <n v="76"/>
    <s v="A-"/>
    <n v="67"/>
    <s v="B"/>
    <n v="72"/>
    <s v="B+"/>
    <n v="60"/>
    <s v="B-"/>
    <n v="464"/>
    <n v="66.285714285714292"/>
    <x v="4"/>
    <n v="1975"/>
    <x v="0"/>
  </r>
  <r>
    <n v="1882"/>
    <s v="Bridget"/>
    <s v="Martin"/>
    <x v="1851"/>
    <s v="bridget.martin.1882@gslingacademy.com"/>
    <x v="1"/>
    <x v="0"/>
    <n v="2"/>
    <x v="0"/>
    <n v="32"/>
    <x v="0"/>
    <n v="90"/>
    <s v="A+"/>
    <n v="96"/>
    <s v="A+"/>
    <n v="95"/>
    <s v="A+"/>
    <n v="80"/>
    <s v="A"/>
    <n v="93"/>
    <s v="A+"/>
    <n v="95"/>
    <s v="A+"/>
    <n v="67"/>
    <s v="B"/>
    <n v="616"/>
    <n v="88"/>
    <x v="0"/>
    <n v="243"/>
    <x v="1"/>
  </r>
  <r>
    <n v="1883"/>
    <s v="Maureen"/>
    <s v="Hart"/>
    <x v="1852"/>
    <s v="maureen.hart.1883@gslingacademy.com"/>
    <x v="1"/>
    <x v="1"/>
    <n v="2"/>
    <x v="0"/>
    <n v="18"/>
    <x v="6"/>
    <n v="84"/>
    <s v="A"/>
    <n v="93"/>
    <s v="A+"/>
    <n v="74"/>
    <s v="B+"/>
    <n v="76"/>
    <s v="A-"/>
    <n v="95"/>
    <s v="A+"/>
    <n v="90"/>
    <s v="A+"/>
    <n v="64"/>
    <s v="B-"/>
    <n v="576"/>
    <n v="82.285714285714292"/>
    <x v="0"/>
    <n v="789"/>
    <x v="1"/>
  </r>
  <r>
    <n v="1884"/>
    <s v="Sabrina"/>
    <s v="Davis"/>
    <x v="1853"/>
    <s v="sabrina.davis.1884@gslingacademy.com"/>
    <x v="1"/>
    <x v="0"/>
    <n v="7"/>
    <x v="0"/>
    <n v="27"/>
    <x v="0"/>
    <n v="88"/>
    <s v="A"/>
    <n v="81"/>
    <s v="A"/>
    <n v="73"/>
    <s v="B+"/>
    <n v="70"/>
    <s v="B+"/>
    <n v="60"/>
    <s v="B-"/>
    <n v="95"/>
    <s v="A+"/>
    <n v="68"/>
    <s v="B"/>
    <n v="535"/>
    <n v="76.428571428571431"/>
    <x v="2"/>
    <n v="1578"/>
    <x v="2"/>
  </r>
  <r>
    <n v="1885"/>
    <s v="Richard"/>
    <s v="Davis"/>
    <x v="703"/>
    <s v="richard.davis.1885@gslingacademy.com"/>
    <x v="0"/>
    <x v="0"/>
    <n v="3"/>
    <x v="0"/>
    <n v="9"/>
    <x v="4"/>
    <n v="66"/>
    <s v="B"/>
    <n v="61"/>
    <s v="B-"/>
    <n v="97"/>
    <s v="A+"/>
    <n v="61"/>
    <s v="B-"/>
    <n v="60"/>
    <s v="B-"/>
    <n v="61"/>
    <s v="B-"/>
    <n v="98"/>
    <s v="A+"/>
    <n v="504"/>
    <n v="72"/>
    <x v="3"/>
    <n v="1858"/>
    <x v="0"/>
  </r>
  <r>
    <n v="1886"/>
    <s v="Angela"/>
    <s v="Koch"/>
    <x v="1854"/>
    <s v="angela.koch.1886@gslingacademy.com"/>
    <x v="1"/>
    <x v="0"/>
    <n v="2"/>
    <x v="0"/>
    <n v="15"/>
    <x v="6"/>
    <n v="86"/>
    <s v="A"/>
    <n v="63"/>
    <s v="B-"/>
    <n v="82"/>
    <s v="A"/>
    <n v="61"/>
    <s v="B-"/>
    <n v="96"/>
    <s v="A+"/>
    <n v="98"/>
    <s v="A+"/>
    <n v="83"/>
    <s v="A"/>
    <n v="569"/>
    <n v="81.285714285714292"/>
    <x v="0"/>
    <n v="957"/>
    <x v="1"/>
  </r>
  <r>
    <n v="1887"/>
    <s v="William"/>
    <s v="Smith"/>
    <x v="607"/>
    <s v="william.smith.1887@gslingacademy.com"/>
    <x v="0"/>
    <x v="0"/>
    <n v="9"/>
    <x v="0"/>
    <n v="1"/>
    <x v="7"/>
    <n v="60"/>
    <s v="B-"/>
    <n v="72"/>
    <s v="B+"/>
    <n v="66"/>
    <s v="B"/>
    <n v="95"/>
    <s v="A+"/>
    <n v="67"/>
    <s v="B"/>
    <n v="78"/>
    <s v="A-"/>
    <n v="94"/>
    <s v="A+"/>
    <n v="532"/>
    <n v="76"/>
    <x v="2"/>
    <n v="1622"/>
    <x v="2"/>
  </r>
  <r>
    <n v="1888"/>
    <s v="Catherine"/>
    <s v="Coffey"/>
    <x v="1855"/>
    <s v="catherine.coffey.1888@gslingacademy.com"/>
    <x v="1"/>
    <x v="0"/>
    <n v="10"/>
    <x v="0"/>
    <n v="2"/>
    <x v="7"/>
    <n v="41"/>
    <s v="D"/>
    <n v="59"/>
    <s v="C"/>
    <n v="69"/>
    <s v="B"/>
    <n v="70"/>
    <s v="B+"/>
    <n v="100"/>
    <s v="A+"/>
    <n v="65"/>
    <s v="B"/>
    <n v="72"/>
    <s v="B+"/>
    <n v="476"/>
    <n v="68"/>
    <x v="4"/>
    <n v="1944"/>
    <x v="2"/>
  </r>
  <r>
    <n v="1889"/>
    <s v="Christopher"/>
    <s v="Pace"/>
    <x v="1856"/>
    <s v="christopher.pace.1889@gslingacademy.com"/>
    <x v="0"/>
    <x v="0"/>
    <n v="2"/>
    <x v="0"/>
    <n v="31"/>
    <x v="5"/>
    <n v="94"/>
    <s v="A+"/>
    <n v="62"/>
    <s v="B-"/>
    <n v="66"/>
    <s v="B"/>
    <n v="95"/>
    <s v="A+"/>
    <n v="66"/>
    <s v="B"/>
    <n v="64"/>
    <s v="B-"/>
    <n v="62"/>
    <s v="B-"/>
    <n v="509"/>
    <n v="72.714285714285708"/>
    <x v="3"/>
    <n v="1835"/>
    <x v="1"/>
  </r>
  <r>
    <n v="1890"/>
    <s v="Rachel"/>
    <s v="Reeves"/>
    <x v="1857"/>
    <s v="rachel.reeves.1890@gslingacademy.com"/>
    <x v="1"/>
    <x v="0"/>
    <n v="3"/>
    <x v="0"/>
    <n v="2"/>
    <x v="3"/>
    <n v="64"/>
    <s v="B-"/>
    <n v="69"/>
    <s v="B"/>
    <n v="79"/>
    <s v="A-"/>
    <n v="89"/>
    <s v="A"/>
    <n v="72"/>
    <s v="B+"/>
    <n v="64"/>
    <s v="B-"/>
    <n v="82"/>
    <s v="A"/>
    <n v="519"/>
    <n v="74.142857142857139"/>
    <x v="3"/>
    <n v="1766"/>
    <x v="0"/>
  </r>
  <r>
    <n v="1891"/>
    <s v="Jillian"/>
    <s v="Arroyo"/>
    <x v="1858"/>
    <s v="jillian.arroyo.1891@gslingacademy.com"/>
    <x v="1"/>
    <x v="1"/>
    <n v="4"/>
    <x v="0"/>
    <n v="2"/>
    <x v="14"/>
    <n v="99"/>
    <s v="A+"/>
    <n v="97"/>
    <s v="A+"/>
    <n v="87"/>
    <s v="A"/>
    <n v="93"/>
    <s v="A+"/>
    <n v="79"/>
    <s v="A-"/>
    <n v="83"/>
    <s v="A"/>
    <n v="94"/>
    <s v="A+"/>
    <n v="632"/>
    <n v="90.285714285714292"/>
    <x v="1"/>
    <n v="143"/>
    <x v="0"/>
  </r>
  <r>
    <n v="1892"/>
    <s v="Patricia"/>
    <s v="Douglas"/>
    <x v="1859"/>
    <s v="patricia.douglas.1892@gslingacademy.com"/>
    <x v="1"/>
    <x v="1"/>
    <n v="6"/>
    <x v="0"/>
    <n v="5"/>
    <x v="7"/>
    <n v="46"/>
    <s v="D"/>
    <n v="53"/>
    <s v="C"/>
    <n v="92"/>
    <s v="A+"/>
    <n v="71"/>
    <s v="B+"/>
    <n v="90"/>
    <s v="A+"/>
    <n v="76"/>
    <s v="A-"/>
    <n v="81"/>
    <s v="A"/>
    <n v="509"/>
    <n v="72.714285714285708"/>
    <x v="3"/>
    <n v="1835"/>
    <x v="0"/>
  </r>
  <r>
    <n v="1893"/>
    <s v="Brandon"/>
    <s v="Butler"/>
    <x v="1860"/>
    <s v="brandon.butler.1893@gslingacademy.com"/>
    <x v="0"/>
    <x v="0"/>
    <n v="1"/>
    <x v="0"/>
    <n v="21"/>
    <x v="5"/>
    <n v="89"/>
    <s v="A"/>
    <n v="87"/>
    <s v="A"/>
    <n v="81"/>
    <s v="A"/>
    <n v="67"/>
    <s v="B"/>
    <n v="93"/>
    <s v="A+"/>
    <n v="98"/>
    <s v="A+"/>
    <n v="68"/>
    <s v="B"/>
    <n v="583"/>
    <n v="83.285714285714292"/>
    <x v="0"/>
    <n v="655"/>
    <x v="1"/>
  </r>
  <r>
    <n v="1894"/>
    <s v="Erica"/>
    <s v="Valdez"/>
    <x v="1861"/>
    <s v="erica.valdez.1894@gslingacademy.com"/>
    <x v="1"/>
    <x v="0"/>
    <n v="6"/>
    <x v="0"/>
    <n v="12"/>
    <x v="12"/>
    <n v="83"/>
    <s v="A"/>
    <n v="79"/>
    <s v="A-"/>
    <n v="87"/>
    <s v="A"/>
    <n v="66"/>
    <s v="B"/>
    <n v="78"/>
    <s v="A-"/>
    <n v="93"/>
    <s v="A+"/>
    <n v="82"/>
    <s v="A"/>
    <n v="568"/>
    <n v="81.142857142857139"/>
    <x v="0"/>
    <n v="975"/>
    <x v="0"/>
  </r>
  <r>
    <n v="1895"/>
    <s v="Alexis"/>
    <s v="Byrd"/>
    <x v="1862"/>
    <s v="alexis.byrd.1895@gslingacademy.com"/>
    <x v="1"/>
    <x v="1"/>
    <n v="5"/>
    <x v="0"/>
    <n v="0"/>
    <x v="7"/>
    <n v="51"/>
    <s v="C"/>
    <n v="55"/>
    <s v="C"/>
    <n v="87"/>
    <s v="A"/>
    <n v="51"/>
    <s v="C"/>
    <n v="77"/>
    <s v="A-"/>
    <n v="87"/>
    <s v="A"/>
    <n v="65"/>
    <s v="B"/>
    <n v="473"/>
    <n v="67.571428571428569"/>
    <x v="4"/>
    <n v="1952"/>
    <x v="0"/>
  </r>
  <r>
    <n v="1896"/>
    <s v="James"/>
    <s v="Simpson"/>
    <x v="1863"/>
    <s v="james.simpson.1896@gslingacademy.com"/>
    <x v="0"/>
    <x v="0"/>
    <n v="5"/>
    <x v="0"/>
    <n v="26"/>
    <x v="11"/>
    <n v="79"/>
    <s v="A-"/>
    <n v="90"/>
    <s v="A+"/>
    <n v="82"/>
    <s v="A"/>
    <n v="92"/>
    <s v="A+"/>
    <n v="70"/>
    <s v="B+"/>
    <n v="60"/>
    <s v="B-"/>
    <n v="80"/>
    <s v="A"/>
    <n v="553"/>
    <n v="79"/>
    <x v="2"/>
    <n v="1284"/>
    <x v="0"/>
  </r>
  <r>
    <n v="1897"/>
    <s v="Robert"/>
    <s v="Campbell"/>
    <x v="783"/>
    <s v="robert.campbell.1897@gslingacademy.com"/>
    <x v="0"/>
    <x v="0"/>
    <n v="3"/>
    <x v="0"/>
    <n v="15"/>
    <x v="11"/>
    <n v="97"/>
    <s v="A+"/>
    <n v="73"/>
    <s v="B+"/>
    <n v="64"/>
    <s v="B-"/>
    <n v="95"/>
    <s v="A+"/>
    <n v="71"/>
    <s v="B+"/>
    <n v="68"/>
    <s v="B"/>
    <n v="78"/>
    <s v="A-"/>
    <n v="546"/>
    <n v="78"/>
    <x v="2"/>
    <n v="1411"/>
    <x v="0"/>
  </r>
  <r>
    <n v="1898"/>
    <s v="Nicole"/>
    <s v="Smith"/>
    <x v="1864"/>
    <s v="nicole.smith.1898@gslingacademy.com"/>
    <x v="1"/>
    <x v="1"/>
    <n v="1"/>
    <x v="0"/>
    <n v="14"/>
    <x v="11"/>
    <n v="100"/>
    <s v="A+"/>
    <n v="68"/>
    <s v="B"/>
    <n v="85"/>
    <s v="A"/>
    <n v="85"/>
    <s v="A"/>
    <n v="62"/>
    <s v="B-"/>
    <n v="63"/>
    <s v="B-"/>
    <n v="92"/>
    <s v="A+"/>
    <n v="555"/>
    <n v="79.285714285714292"/>
    <x v="2"/>
    <n v="1245"/>
    <x v="1"/>
  </r>
  <r>
    <n v="1899"/>
    <s v="Patricia"/>
    <s v="Porter"/>
    <x v="1865"/>
    <s v="patricia.porter.1899@gslingacademy.com"/>
    <x v="1"/>
    <x v="0"/>
    <n v="6"/>
    <x v="0"/>
    <n v="9"/>
    <x v="6"/>
    <n v="70"/>
    <s v="B+"/>
    <n v="99"/>
    <s v="A+"/>
    <n v="60"/>
    <s v="B-"/>
    <n v="79"/>
    <s v="A-"/>
    <n v="71"/>
    <s v="B+"/>
    <n v="79"/>
    <s v="A-"/>
    <n v="75"/>
    <s v="A-"/>
    <n v="533"/>
    <n v="76.142857142857139"/>
    <x v="2"/>
    <n v="1613"/>
    <x v="0"/>
  </r>
  <r>
    <n v="1900"/>
    <s v="Brian"/>
    <s v="Chan"/>
    <x v="1866"/>
    <s v="brian.chan.1900@gslingacademy.com"/>
    <x v="0"/>
    <x v="0"/>
    <n v="2"/>
    <x v="0"/>
    <n v="19"/>
    <x v="4"/>
    <n v="70"/>
    <s v="B+"/>
    <n v="66"/>
    <s v="B"/>
    <n v="90"/>
    <s v="A+"/>
    <n v="74"/>
    <s v="B+"/>
    <n v="100"/>
    <s v="A+"/>
    <n v="96"/>
    <s v="A+"/>
    <n v="81"/>
    <s v="A"/>
    <n v="577"/>
    <n v="82.428571428571431"/>
    <x v="0"/>
    <n v="769"/>
    <x v="1"/>
  </r>
  <r>
    <n v="1901"/>
    <s v="Katherine"/>
    <s v="Norman"/>
    <x v="1867"/>
    <s v="katherine.norman.1901@gslingacademy.com"/>
    <x v="1"/>
    <x v="0"/>
    <n v="7"/>
    <x v="0"/>
    <n v="17"/>
    <x v="6"/>
    <n v="67"/>
    <s v="B"/>
    <n v="80"/>
    <s v="A"/>
    <n v="86"/>
    <s v="A"/>
    <n v="98"/>
    <s v="A+"/>
    <n v="83"/>
    <s v="A"/>
    <n v="82"/>
    <s v="A"/>
    <n v="76"/>
    <s v="A-"/>
    <n v="572"/>
    <n v="81.714285714285708"/>
    <x v="0"/>
    <n v="890"/>
    <x v="2"/>
  </r>
  <r>
    <n v="1902"/>
    <s v="Pamela"/>
    <s v="Gomez"/>
    <x v="1868"/>
    <s v="pamela.gomez.1902@gslingacademy.com"/>
    <x v="1"/>
    <x v="0"/>
    <n v="3"/>
    <x v="1"/>
    <n v="9"/>
    <x v="16"/>
    <n v="71"/>
    <s v="B+"/>
    <n v="95"/>
    <s v="A+"/>
    <n v="72"/>
    <s v="B+"/>
    <n v="88"/>
    <s v="A"/>
    <n v="89"/>
    <s v="A"/>
    <n v="78"/>
    <s v="A-"/>
    <n v="67"/>
    <s v="B"/>
    <n v="560"/>
    <n v="80"/>
    <x v="0"/>
    <n v="1134"/>
    <x v="0"/>
  </r>
  <r>
    <n v="1903"/>
    <s v="Amy"/>
    <s v="Morrow"/>
    <x v="1869"/>
    <s v="amy.morrow.1903@gslingacademy.com"/>
    <x v="1"/>
    <x v="0"/>
    <n v="5"/>
    <x v="1"/>
    <n v="14"/>
    <x v="9"/>
    <n v="87"/>
    <s v="A"/>
    <n v="64"/>
    <s v="B-"/>
    <n v="68"/>
    <s v="B"/>
    <n v="60"/>
    <s v="B-"/>
    <n v="81"/>
    <s v="A"/>
    <n v="75"/>
    <s v="A-"/>
    <n v="67"/>
    <s v="B"/>
    <n v="502"/>
    <n v="71.714285714285708"/>
    <x v="3"/>
    <n v="1866"/>
    <x v="0"/>
  </r>
  <r>
    <n v="1904"/>
    <s v="Luke"/>
    <s v="Hernandez"/>
    <x v="1870"/>
    <s v="luke.hernandez.1904@gslingacademy.com"/>
    <x v="0"/>
    <x v="0"/>
    <n v="1"/>
    <x v="1"/>
    <n v="3"/>
    <x v="14"/>
    <n v="80"/>
    <s v="A"/>
    <n v="79"/>
    <s v="A-"/>
    <n v="94"/>
    <s v="A+"/>
    <n v="74"/>
    <s v="B+"/>
    <n v="83"/>
    <s v="A"/>
    <n v="83"/>
    <s v="A"/>
    <n v="61"/>
    <s v="B-"/>
    <n v="554"/>
    <n v="79.142857142857139"/>
    <x v="2"/>
    <n v="1264"/>
    <x v="1"/>
  </r>
  <r>
    <n v="1905"/>
    <s v="Roberto"/>
    <s v="Rodriguez"/>
    <x v="1871"/>
    <s v="roberto.rodriguez.1905@gslingacademy.com"/>
    <x v="0"/>
    <x v="1"/>
    <n v="9"/>
    <x v="1"/>
    <n v="22"/>
    <x v="5"/>
    <n v="94"/>
    <s v="A+"/>
    <n v="80"/>
    <s v="A"/>
    <n v="72"/>
    <s v="B+"/>
    <n v="90"/>
    <s v="A+"/>
    <n v="60"/>
    <s v="B-"/>
    <n v="78"/>
    <s v="A-"/>
    <n v="94"/>
    <s v="A+"/>
    <n v="568"/>
    <n v="81.142857142857139"/>
    <x v="0"/>
    <n v="975"/>
    <x v="2"/>
  </r>
  <r>
    <n v="1906"/>
    <s v="Carla"/>
    <s v="Jackson"/>
    <x v="1872"/>
    <s v="carla.jackson.1906@gslingacademy.com"/>
    <x v="1"/>
    <x v="0"/>
    <n v="3"/>
    <x v="0"/>
    <n v="10"/>
    <x v="16"/>
    <n v="83"/>
    <s v="A"/>
    <n v="91"/>
    <s v="A+"/>
    <n v="82"/>
    <s v="A"/>
    <n v="93"/>
    <s v="A+"/>
    <n v="71"/>
    <s v="B+"/>
    <n v="80"/>
    <s v="A"/>
    <n v="85"/>
    <s v="A"/>
    <n v="585"/>
    <n v="83.571428571428569"/>
    <x v="0"/>
    <n v="615"/>
    <x v="0"/>
  </r>
  <r>
    <n v="1907"/>
    <s v="Aaron"/>
    <s v="Allen"/>
    <x v="1873"/>
    <s v="aaron.allen.1907@gslingacademy.com"/>
    <x v="0"/>
    <x v="1"/>
    <n v="1"/>
    <x v="0"/>
    <n v="1"/>
    <x v="7"/>
    <n v="63"/>
    <s v="B-"/>
    <n v="69"/>
    <s v="B"/>
    <n v="57"/>
    <s v="C"/>
    <n v="60"/>
    <s v="B-"/>
    <n v="80"/>
    <s v="A"/>
    <n v="92"/>
    <s v="A+"/>
    <n v="62"/>
    <s v="B-"/>
    <n v="483"/>
    <n v="69"/>
    <x v="4"/>
    <n v="1927"/>
    <x v="1"/>
  </r>
  <r>
    <n v="1908"/>
    <s v="Wendy"/>
    <s v="Burch"/>
    <x v="1874"/>
    <s v="wendy.burch.1908@gslingacademy.com"/>
    <x v="1"/>
    <x v="0"/>
    <n v="0"/>
    <x v="0"/>
    <n v="10"/>
    <x v="4"/>
    <n v="93"/>
    <s v="A+"/>
    <n v="78"/>
    <s v="A-"/>
    <n v="72"/>
    <s v="B+"/>
    <n v="66"/>
    <s v="B"/>
    <n v="73"/>
    <s v="B+"/>
    <n v="76"/>
    <s v="A-"/>
    <n v="68"/>
    <s v="B"/>
    <n v="526"/>
    <n v="75.142857142857139"/>
    <x v="2"/>
    <n v="1688"/>
    <x v="1"/>
  </r>
  <r>
    <n v="1909"/>
    <s v="Sarah"/>
    <s v="Hansen"/>
    <x v="1875"/>
    <s v="sarah.hansen.1909@gslingacademy.com"/>
    <x v="1"/>
    <x v="0"/>
    <n v="2"/>
    <x v="0"/>
    <n v="36"/>
    <x v="1"/>
    <n v="94"/>
    <s v="A+"/>
    <n v="100"/>
    <s v="A+"/>
    <n v="95"/>
    <s v="A+"/>
    <n v="92"/>
    <s v="A+"/>
    <n v="95"/>
    <s v="A+"/>
    <n v="88"/>
    <s v="A"/>
    <n v="88"/>
    <s v="A"/>
    <n v="652"/>
    <n v="93.142857142857139"/>
    <x v="1"/>
    <n v="46"/>
    <x v="1"/>
  </r>
  <r>
    <n v="1910"/>
    <s v="Amy"/>
    <s v="Dominguez"/>
    <x v="1876"/>
    <s v="amy.dominguez.1910@gslingacademy.com"/>
    <x v="1"/>
    <x v="0"/>
    <n v="3"/>
    <x v="0"/>
    <n v="34"/>
    <x v="5"/>
    <n v="99"/>
    <s v="A+"/>
    <n v="75"/>
    <s v="A-"/>
    <n v="87"/>
    <s v="A"/>
    <n v="76"/>
    <s v="A-"/>
    <n v="95"/>
    <s v="A+"/>
    <n v="99"/>
    <s v="A+"/>
    <n v="67"/>
    <s v="B"/>
    <n v="598"/>
    <n v="85.428571428571431"/>
    <x v="0"/>
    <n v="436"/>
    <x v="0"/>
  </r>
  <r>
    <n v="1911"/>
    <s v="Mark"/>
    <s v="Jacobs"/>
    <x v="1877"/>
    <s v="mark.jacobs.1911@gslingacademy.com"/>
    <x v="0"/>
    <x v="0"/>
    <n v="3"/>
    <x v="0"/>
    <n v="32"/>
    <x v="1"/>
    <n v="82"/>
    <s v="A"/>
    <n v="98"/>
    <s v="A+"/>
    <n v="100"/>
    <s v="A+"/>
    <n v="100"/>
    <s v="A+"/>
    <n v="100"/>
    <s v="A+"/>
    <n v="64"/>
    <s v="B-"/>
    <n v="87"/>
    <s v="A"/>
    <n v="631"/>
    <n v="90.142857142857139"/>
    <x v="1"/>
    <n v="151"/>
    <x v="0"/>
  </r>
  <r>
    <n v="1912"/>
    <s v="Melissa"/>
    <s v="Mendoza"/>
    <x v="1878"/>
    <s v="melissa.mendoza.1912@gslingacademy.com"/>
    <x v="1"/>
    <x v="0"/>
    <n v="2"/>
    <x v="0"/>
    <n v="28"/>
    <x v="5"/>
    <n v="95"/>
    <s v="A+"/>
    <n v="82"/>
    <s v="A"/>
    <n v="100"/>
    <s v="A+"/>
    <n v="60"/>
    <s v="B-"/>
    <n v="77"/>
    <s v="A-"/>
    <n v="95"/>
    <s v="A+"/>
    <n v="80"/>
    <s v="A"/>
    <n v="589"/>
    <n v="84.142857142857139"/>
    <x v="0"/>
    <n v="548"/>
    <x v="1"/>
  </r>
  <r>
    <n v="1913"/>
    <s v="Bethany"/>
    <s v="Thomas"/>
    <x v="1879"/>
    <s v="bethany.thomas.1913@gslingacademy.com"/>
    <x v="1"/>
    <x v="1"/>
    <n v="10"/>
    <x v="0"/>
    <n v="3"/>
    <x v="7"/>
    <n v="55"/>
    <s v="C"/>
    <n v="92"/>
    <s v="A+"/>
    <n v="59"/>
    <s v="C"/>
    <n v="78"/>
    <s v="A-"/>
    <n v="61"/>
    <s v="B-"/>
    <n v="83"/>
    <s v="A"/>
    <n v="60"/>
    <s v="B-"/>
    <n v="488"/>
    <n v="69.714285714285708"/>
    <x v="4"/>
    <n v="1919"/>
    <x v="2"/>
  </r>
  <r>
    <n v="1914"/>
    <s v="Michael"/>
    <s v="Webb"/>
    <x v="1880"/>
    <s v="michael.webb.1914@gslingacademy.com"/>
    <x v="0"/>
    <x v="0"/>
    <n v="2"/>
    <x v="0"/>
    <n v="32"/>
    <x v="5"/>
    <n v="90"/>
    <s v="A+"/>
    <n v="90"/>
    <s v="A+"/>
    <n v="82"/>
    <s v="A"/>
    <n v="64"/>
    <s v="B-"/>
    <n v="75"/>
    <s v="A-"/>
    <n v="82"/>
    <s v="A"/>
    <n v="93"/>
    <s v="A+"/>
    <n v="576"/>
    <n v="82.285714285714292"/>
    <x v="0"/>
    <n v="789"/>
    <x v="1"/>
  </r>
  <r>
    <n v="1915"/>
    <s v="Gregory"/>
    <s v="Cole"/>
    <x v="1881"/>
    <s v="gregory.cole.1915@gslingacademy.com"/>
    <x v="0"/>
    <x v="0"/>
    <n v="2"/>
    <x v="0"/>
    <n v="4"/>
    <x v="7"/>
    <n v="46"/>
    <s v="D"/>
    <n v="77"/>
    <s v="A-"/>
    <n v="90"/>
    <s v="A+"/>
    <n v="78"/>
    <s v="A-"/>
    <n v="66"/>
    <s v="B"/>
    <n v="76"/>
    <s v="A-"/>
    <n v="86"/>
    <s v="A"/>
    <n v="519"/>
    <n v="74.142857142857139"/>
    <x v="3"/>
    <n v="1766"/>
    <x v="1"/>
  </r>
  <r>
    <n v="1916"/>
    <s v="Jeffrey"/>
    <s v="Miller"/>
    <x v="1882"/>
    <s v="jeffrey.miller.1916@gslingacademy.com"/>
    <x v="0"/>
    <x v="0"/>
    <n v="2"/>
    <x v="0"/>
    <n v="21"/>
    <x v="11"/>
    <n v="91"/>
    <s v="A+"/>
    <n v="100"/>
    <s v="A+"/>
    <n v="98"/>
    <s v="A+"/>
    <n v="96"/>
    <s v="A+"/>
    <n v="66"/>
    <s v="B"/>
    <n v="87"/>
    <s v="A"/>
    <n v="65"/>
    <s v="B"/>
    <n v="603"/>
    <n v="86.142857142857139"/>
    <x v="0"/>
    <n v="370"/>
    <x v="1"/>
  </r>
  <r>
    <n v="1917"/>
    <s v="Rebecca"/>
    <s v="Castillo"/>
    <x v="1883"/>
    <s v="rebecca.castillo.1917@gslingacademy.com"/>
    <x v="1"/>
    <x v="0"/>
    <n v="1"/>
    <x v="1"/>
    <n v="22"/>
    <x v="10"/>
    <n v="72"/>
    <s v="B+"/>
    <n v="100"/>
    <s v="A+"/>
    <n v="78"/>
    <s v="A-"/>
    <n v="100"/>
    <s v="A+"/>
    <n v="98"/>
    <s v="A+"/>
    <n v="92"/>
    <s v="A+"/>
    <n v="97"/>
    <s v="A+"/>
    <n v="637"/>
    <n v="91"/>
    <x v="1"/>
    <n v="115"/>
    <x v="1"/>
  </r>
  <r>
    <n v="1918"/>
    <s v="Amanda"/>
    <s v="Green"/>
    <x v="1884"/>
    <s v="amanda.green.1918@gslingacademy.com"/>
    <x v="1"/>
    <x v="0"/>
    <n v="4"/>
    <x v="0"/>
    <n v="28"/>
    <x v="9"/>
    <n v="79"/>
    <s v="A-"/>
    <n v="87"/>
    <s v="A"/>
    <n v="98"/>
    <s v="A+"/>
    <n v="87"/>
    <s v="A"/>
    <n v="99"/>
    <s v="A+"/>
    <n v="94"/>
    <s v="A+"/>
    <n v="88"/>
    <s v="A"/>
    <n v="632"/>
    <n v="90.285714285714292"/>
    <x v="1"/>
    <n v="143"/>
    <x v="0"/>
  </r>
  <r>
    <n v="1919"/>
    <s v="Joseph"/>
    <s v="Hess"/>
    <x v="1885"/>
    <s v="joseph.hess.1919@gslingacademy.com"/>
    <x v="0"/>
    <x v="0"/>
    <n v="3"/>
    <x v="0"/>
    <n v="35"/>
    <x v="13"/>
    <n v="85"/>
    <s v="A"/>
    <n v="90"/>
    <s v="A+"/>
    <n v="96"/>
    <s v="A+"/>
    <n v="95"/>
    <s v="A+"/>
    <n v="95"/>
    <s v="A+"/>
    <n v="88"/>
    <s v="A"/>
    <n v="90"/>
    <s v="A+"/>
    <n v="639"/>
    <n v="91.285714285714292"/>
    <x v="1"/>
    <n v="106"/>
    <x v="0"/>
  </r>
  <r>
    <n v="1920"/>
    <s v="Kyle"/>
    <s v="Novak"/>
    <x v="1886"/>
    <s v="kyle.novak.1920@gslingacademy.com"/>
    <x v="0"/>
    <x v="0"/>
    <n v="1"/>
    <x v="0"/>
    <n v="35"/>
    <x v="0"/>
    <n v="100"/>
    <s v="A+"/>
    <n v="87"/>
    <s v="A"/>
    <n v="85"/>
    <s v="A"/>
    <n v="90"/>
    <s v="A+"/>
    <n v="92"/>
    <s v="A+"/>
    <n v="99"/>
    <s v="A+"/>
    <n v="94"/>
    <s v="A+"/>
    <n v="647"/>
    <n v="92.428571428571431"/>
    <x v="1"/>
    <n v="68"/>
    <x v="1"/>
  </r>
  <r>
    <n v="1921"/>
    <s v="Kara"/>
    <s v="Coleman"/>
    <x v="1887"/>
    <s v="kara.coleman.1921@gslingacademy.com"/>
    <x v="1"/>
    <x v="0"/>
    <n v="4"/>
    <x v="1"/>
    <n v="16"/>
    <x v="9"/>
    <n v="96"/>
    <s v="A+"/>
    <n v="70"/>
    <s v="B+"/>
    <n v="65"/>
    <s v="B"/>
    <n v="63"/>
    <s v="B-"/>
    <n v="97"/>
    <s v="A+"/>
    <n v="97"/>
    <s v="A+"/>
    <n v="98"/>
    <s v="A+"/>
    <n v="586"/>
    <n v="83.714285714285708"/>
    <x v="0"/>
    <n v="601"/>
    <x v="0"/>
  </r>
  <r>
    <n v="1922"/>
    <s v="Daniel"/>
    <s v="Martin"/>
    <x v="1888"/>
    <s v="daniel.martin.1922@gslingacademy.com"/>
    <x v="0"/>
    <x v="0"/>
    <n v="1"/>
    <x v="1"/>
    <n v="20"/>
    <x v="9"/>
    <n v="85"/>
    <s v="A"/>
    <n v="96"/>
    <s v="A+"/>
    <n v="71"/>
    <s v="B+"/>
    <n v="67"/>
    <s v="B"/>
    <n v="98"/>
    <s v="A+"/>
    <n v="92"/>
    <s v="A+"/>
    <n v="91"/>
    <s v="A+"/>
    <n v="600"/>
    <n v="85.714285714285708"/>
    <x v="0"/>
    <n v="406"/>
    <x v="1"/>
  </r>
  <r>
    <n v="1923"/>
    <s v="Andrea"/>
    <s v="Richards"/>
    <x v="1889"/>
    <s v="andrea.richards.1923@gslingacademy.com"/>
    <x v="1"/>
    <x v="0"/>
    <n v="4"/>
    <x v="0"/>
    <n v="27"/>
    <x v="5"/>
    <n v="90"/>
    <s v="A+"/>
    <n v="82"/>
    <s v="A"/>
    <n v="98"/>
    <s v="A+"/>
    <n v="61"/>
    <s v="B-"/>
    <n v="92"/>
    <s v="A+"/>
    <n v="67"/>
    <s v="B"/>
    <n v="80"/>
    <s v="A"/>
    <n v="570"/>
    <n v="81.428571428571431"/>
    <x v="0"/>
    <n v="937"/>
    <x v="0"/>
  </r>
  <r>
    <n v="1924"/>
    <s v="Sydney"/>
    <s v="Clay"/>
    <x v="1890"/>
    <s v="sydney.clay.1924@gslingacademy.com"/>
    <x v="1"/>
    <x v="0"/>
    <n v="6"/>
    <x v="0"/>
    <n v="14"/>
    <x v="9"/>
    <n v="94"/>
    <s v="A+"/>
    <n v="96"/>
    <s v="A+"/>
    <n v="94"/>
    <s v="A+"/>
    <n v="99"/>
    <s v="A+"/>
    <n v="67"/>
    <s v="B"/>
    <n v="98"/>
    <s v="A+"/>
    <n v="67"/>
    <s v="B"/>
    <n v="615"/>
    <n v="87.857142857142861"/>
    <x v="0"/>
    <n v="251"/>
    <x v="0"/>
  </r>
  <r>
    <n v="1925"/>
    <s v="Jeremy"/>
    <s v="Tran"/>
    <x v="1891"/>
    <s v="jeremy.tran.1925@gslingacademy.com"/>
    <x v="0"/>
    <x v="0"/>
    <n v="1"/>
    <x v="0"/>
    <n v="35"/>
    <x v="13"/>
    <n v="98"/>
    <s v="A+"/>
    <n v="85"/>
    <s v="A"/>
    <n v="100"/>
    <s v="A+"/>
    <n v="94"/>
    <s v="A+"/>
    <n v="93"/>
    <s v="A+"/>
    <n v="92"/>
    <s v="A+"/>
    <n v="94"/>
    <s v="A+"/>
    <n v="656"/>
    <n v="93.714285714285708"/>
    <x v="1"/>
    <n v="28"/>
    <x v="1"/>
  </r>
  <r>
    <n v="1926"/>
    <s v="Michael"/>
    <s v="Hayden"/>
    <x v="1892"/>
    <s v="michael.hayden.1926@gslingacademy.com"/>
    <x v="0"/>
    <x v="1"/>
    <n v="6"/>
    <x v="0"/>
    <n v="2"/>
    <x v="7"/>
    <n v="62"/>
    <s v="B-"/>
    <n v="54"/>
    <s v="C"/>
    <n v="77"/>
    <s v="A-"/>
    <n v="60"/>
    <s v="B-"/>
    <n v="74"/>
    <s v="B+"/>
    <n v="62"/>
    <s v="B-"/>
    <n v="76"/>
    <s v="A-"/>
    <n v="465"/>
    <n v="66.428571428571431"/>
    <x v="4"/>
    <n v="1971"/>
    <x v="0"/>
  </r>
  <r>
    <n v="1927"/>
    <s v="Antonio"/>
    <s v="Beasley"/>
    <x v="1893"/>
    <s v="antonio.beasley.1927@gslingacademy.com"/>
    <x v="0"/>
    <x v="0"/>
    <n v="4"/>
    <x v="0"/>
    <n v="3"/>
    <x v="3"/>
    <n v="63"/>
    <s v="B-"/>
    <n v="97"/>
    <s v="A+"/>
    <n v="80"/>
    <s v="A"/>
    <n v="84"/>
    <s v="A"/>
    <n v="90"/>
    <s v="A+"/>
    <n v="63"/>
    <s v="B-"/>
    <n v="64"/>
    <s v="B-"/>
    <n v="541"/>
    <n v="77.285714285714292"/>
    <x v="2"/>
    <n v="1493"/>
    <x v="0"/>
  </r>
  <r>
    <n v="1928"/>
    <s v="Michelle"/>
    <s v="Lopez"/>
    <x v="1894"/>
    <s v="michelle.lopez.1928@gslingacademy.com"/>
    <x v="1"/>
    <x v="0"/>
    <n v="2"/>
    <x v="0"/>
    <n v="32"/>
    <x v="0"/>
    <n v="72"/>
    <s v="B+"/>
    <n v="95"/>
    <s v="A+"/>
    <n v="71"/>
    <s v="B+"/>
    <n v="74"/>
    <s v="B+"/>
    <n v="84"/>
    <s v="A"/>
    <n v="97"/>
    <s v="A+"/>
    <n v="66"/>
    <s v="B"/>
    <n v="559"/>
    <n v="79.857142857142861"/>
    <x v="2"/>
    <n v="1155"/>
    <x v="1"/>
  </r>
  <r>
    <n v="1929"/>
    <s v="Catherine"/>
    <s v="Brooks"/>
    <x v="1895"/>
    <s v="catherine.brooks.1929@gslingacademy.com"/>
    <x v="1"/>
    <x v="1"/>
    <n v="6"/>
    <x v="1"/>
    <n v="33"/>
    <x v="5"/>
    <n v="94"/>
    <s v="A+"/>
    <n v="90"/>
    <s v="A+"/>
    <n v="79"/>
    <s v="A-"/>
    <n v="69"/>
    <s v="B"/>
    <n v="100"/>
    <s v="A+"/>
    <n v="72"/>
    <s v="B+"/>
    <n v="98"/>
    <s v="A+"/>
    <n v="602"/>
    <n v="86"/>
    <x v="0"/>
    <n v="380"/>
    <x v="0"/>
  </r>
  <r>
    <n v="1930"/>
    <s v="Anita"/>
    <s v="Gonzalez"/>
    <x v="1896"/>
    <s v="anita.gonzalez.1930@gslingacademy.com"/>
    <x v="1"/>
    <x v="0"/>
    <n v="2"/>
    <x v="1"/>
    <n v="24"/>
    <x v="9"/>
    <n v="99"/>
    <s v="A+"/>
    <n v="84"/>
    <s v="A"/>
    <n v="94"/>
    <s v="A+"/>
    <n v="76"/>
    <s v="A-"/>
    <n v="62"/>
    <s v="B-"/>
    <n v="79"/>
    <s v="A-"/>
    <n v="67"/>
    <s v="B"/>
    <n v="561"/>
    <n v="80.142857142857139"/>
    <x v="0"/>
    <n v="1120"/>
    <x v="1"/>
  </r>
  <r>
    <n v="1931"/>
    <s v="James"/>
    <s v="Hudson"/>
    <x v="1897"/>
    <s v="james.hudson.1931@gslingacademy.com"/>
    <x v="0"/>
    <x v="0"/>
    <n v="2"/>
    <x v="0"/>
    <n v="5"/>
    <x v="4"/>
    <n v="81"/>
    <s v="A"/>
    <n v="91"/>
    <s v="A+"/>
    <n v="85"/>
    <s v="A"/>
    <n v="64"/>
    <s v="B-"/>
    <n v="82"/>
    <s v="A"/>
    <n v="90"/>
    <s v="A+"/>
    <n v="94"/>
    <s v="A+"/>
    <n v="587"/>
    <n v="83.857142857142861"/>
    <x v="0"/>
    <n v="583"/>
    <x v="1"/>
  </r>
  <r>
    <n v="1932"/>
    <s v="Alicia"/>
    <s v="Rodriguez"/>
    <x v="514"/>
    <s v="alicia.rodriguez.1932@gslingacademy.com"/>
    <x v="1"/>
    <x v="0"/>
    <n v="5"/>
    <x v="0"/>
    <n v="8"/>
    <x v="6"/>
    <n v="61"/>
    <s v="B-"/>
    <n v="100"/>
    <s v="A+"/>
    <n v="85"/>
    <s v="A"/>
    <n v="99"/>
    <s v="A+"/>
    <n v="65"/>
    <s v="B"/>
    <n v="79"/>
    <s v="A-"/>
    <n v="86"/>
    <s v="A"/>
    <n v="575"/>
    <n v="82.142857142857139"/>
    <x v="0"/>
    <n v="807"/>
    <x v="0"/>
  </r>
  <r>
    <n v="1933"/>
    <s v="Tracy"/>
    <s v="Martinez"/>
    <x v="1898"/>
    <s v="tracy.martinez.1933@gslingacademy.com"/>
    <x v="1"/>
    <x v="0"/>
    <n v="2"/>
    <x v="1"/>
    <n v="8"/>
    <x v="6"/>
    <n v="68"/>
    <s v="B"/>
    <n v="95"/>
    <s v="A+"/>
    <n v="76"/>
    <s v="A-"/>
    <n v="97"/>
    <s v="A+"/>
    <n v="91"/>
    <s v="A+"/>
    <n v="78"/>
    <s v="A-"/>
    <n v="71"/>
    <s v="B+"/>
    <n v="576"/>
    <n v="82.285714285714292"/>
    <x v="0"/>
    <n v="789"/>
    <x v="1"/>
  </r>
  <r>
    <n v="1934"/>
    <s v="Christopher"/>
    <s v="Montgomery"/>
    <x v="1899"/>
    <s v="christopher.montgomery.1934@gslingacademy.com"/>
    <x v="0"/>
    <x v="0"/>
    <n v="0"/>
    <x v="0"/>
    <n v="21"/>
    <x v="4"/>
    <n v="64"/>
    <s v="B-"/>
    <n v="74"/>
    <s v="B+"/>
    <n v="79"/>
    <s v="A-"/>
    <n v="72"/>
    <s v="B+"/>
    <n v="74"/>
    <s v="B+"/>
    <n v="65"/>
    <s v="B"/>
    <n v="95"/>
    <s v="A+"/>
    <n v="523"/>
    <n v="74.714285714285708"/>
    <x v="3"/>
    <n v="1727"/>
    <x v="1"/>
  </r>
  <r>
    <n v="1935"/>
    <s v="Sherri"/>
    <s v="Cruz"/>
    <x v="1900"/>
    <s v="sherri.cruz.1935@gslingacademy.com"/>
    <x v="1"/>
    <x v="0"/>
    <n v="1"/>
    <x v="1"/>
    <n v="6"/>
    <x v="2"/>
    <n v="66"/>
    <s v="B"/>
    <n v="94"/>
    <s v="A+"/>
    <n v="67"/>
    <s v="B"/>
    <n v="79"/>
    <s v="A-"/>
    <n v="64"/>
    <s v="B-"/>
    <n v="89"/>
    <s v="A"/>
    <n v="75"/>
    <s v="A-"/>
    <n v="534"/>
    <n v="76.285714285714292"/>
    <x v="2"/>
    <n v="1595"/>
    <x v="1"/>
  </r>
  <r>
    <n v="1936"/>
    <s v="Elizabeth"/>
    <s v="Adams"/>
    <x v="1901"/>
    <s v="elizabeth.adams.1936@gslingacademy.com"/>
    <x v="1"/>
    <x v="1"/>
    <n v="0"/>
    <x v="0"/>
    <n v="15"/>
    <x v="5"/>
    <n v="100"/>
    <s v="A+"/>
    <n v="95"/>
    <s v="A+"/>
    <n v="72"/>
    <s v="B+"/>
    <n v="77"/>
    <s v="A-"/>
    <n v="66"/>
    <s v="B"/>
    <n v="68"/>
    <s v="B"/>
    <n v="76"/>
    <s v="A-"/>
    <n v="554"/>
    <n v="79.142857142857139"/>
    <x v="2"/>
    <n v="1264"/>
    <x v="1"/>
  </r>
  <r>
    <n v="1937"/>
    <s v="Melissa"/>
    <s v="Simmons"/>
    <x v="1902"/>
    <s v="melissa.simmons.1937@gslingacademy.com"/>
    <x v="1"/>
    <x v="1"/>
    <n v="1"/>
    <x v="0"/>
    <n v="12"/>
    <x v="2"/>
    <n v="74"/>
    <s v="B+"/>
    <n v="86"/>
    <s v="A"/>
    <n v="70"/>
    <s v="B+"/>
    <n v="94"/>
    <s v="A+"/>
    <n v="71"/>
    <s v="B+"/>
    <n v="70"/>
    <s v="B+"/>
    <n v="63"/>
    <s v="B-"/>
    <n v="528"/>
    <n v="75.428571428571431"/>
    <x v="2"/>
    <n v="1678"/>
    <x v="1"/>
  </r>
  <r>
    <n v="1938"/>
    <s v="Carol"/>
    <s v="Ramos"/>
    <x v="1903"/>
    <s v="carol.ramos.1938@gslingacademy.com"/>
    <x v="1"/>
    <x v="0"/>
    <n v="6"/>
    <x v="0"/>
    <n v="1"/>
    <x v="3"/>
    <n v="96"/>
    <s v="A+"/>
    <n v="66"/>
    <s v="B"/>
    <n v="76"/>
    <s v="A-"/>
    <n v="71"/>
    <s v="B+"/>
    <n v="94"/>
    <s v="A+"/>
    <n v="72"/>
    <s v="B+"/>
    <n v="86"/>
    <s v="A"/>
    <n v="561"/>
    <n v="80.142857142857139"/>
    <x v="0"/>
    <n v="1120"/>
    <x v="0"/>
  </r>
  <r>
    <n v="1939"/>
    <s v="Michael"/>
    <s v="Adams"/>
    <x v="1904"/>
    <s v="michael.adams.1939@gslingacademy.com"/>
    <x v="0"/>
    <x v="0"/>
    <n v="2"/>
    <x v="0"/>
    <n v="14"/>
    <x v="5"/>
    <n v="90"/>
    <s v="A+"/>
    <n v="92"/>
    <s v="A+"/>
    <n v="95"/>
    <s v="A+"/>
    <n v="88"/>
    <s v="A"/>
    <n v="88"/>
    <s v="A"/>
    <n v="85"/>
    <s v="A"/>
    <n v="92"/>
    <s v="A+"/>
    <n v="630"/>
    <n v="90"/>
    <x v="1"/>
    <n v="154"/>
    <x v="1"/>
  </r>
  <r>
    <n v="1940"/>
    <s v="Michael"/>
    <s v="Wilson"/>
    <x v="1905"/>
    <s v="michael.wilson.1940@gslingacademy.com"/>
    <x v="0"/>
    <x v="0"/>
    <n v="3"/>
    <x v="0"/>
    <n v="26"/>
    <x v="11"/>
    <n v="92"/>
    <s v="A+"/>
    <n v="86"/>
    <s v="A"/>
    <n v="61"/>
    <s v="B-"/>
    <n v="78"/>
    <s v="A-"/>
    <n v="56"/>
    <s v="C"/>
    <n v="68"/>
    <s v="B"/>
    <n v="85"/>
    <s v="A"/>
    <n v="526"/>
    <n v="75.142857142857139"/>
    <x v="2"/>
    <n v="1688"/>
    <x v="0"/>
  </r>
  <r>
    <n v="1941"/>
    <s v="Matthew"/>
    <s v="Gonzalez"/>
    <x v="1906"/>
    <s v="matthew.gonzalez.1941@gslingacademy.com"/>
    <x v="0"/>
    <x v="1"/>
    <n v="1"/>
    <x v="0"/>
    <n v="31"/>
    <x v="1"/>
    <n v="99"/>
    <s v="A+"/>
    <n v="78"/>
    <s v="A-"/>
    <n v="99"/>
    <s v="A+"/>
    <n v="88"/>
    <s v="A"/>
    <n v="96"/>
    <s v="A+"/>
    <n v="96"/>
    <s v="A+"/>
    <n v="90"/>
    <s v="A+"/>
    <n v="646"/>
    <n v="92.285714285714292"/>
    <x v="1"/>
    <n v="73"/>
    <x v="1"/>
  </r>
  <r>
    <n v="1942"/>
    <s v="Lisa"/>
    <s v="Palmer"/>
    <x v="1907"/>
    <s v="lisa.palmer.1942@gslingacademy.com"/>
    <x v="1"/>
    <x v="0"/>
    <n v="4"/>
    <x v="0"/>
    <n v="5"/>
    <x v="4"/>
    <n v="63"/>
    <s v="B-"/>
    <n v="68"/>
    <s v="B"/>
    <n v="91"/>
    <s v="A+"/>
    <n v="82"/>
    <s v="A"/>
    <n v="90"/>
    <s v="A+"/>
    <n v="86"/>
    <s v="A"/>
    <n v="75"/>
    <s v="A-"/>
    <n v="555"/>
    <n v="79.285714285714292"/>
    <x v="2"/>
    <n v="1245"/>
    <x v="0"/>
  </r>
  <r>
    <n v="1943"/>
    <s v="Andrew"/>
    <s v="Olson"/>
    <x v="1908"/>
    <s v="andrew.olson.1943@gslingacademy.com"/>
    <x v="0"/>
    <x v="0"/>
    <n v="2"/>
    <x v="0"/>
    <n v="28"/>
    <x v="11"/>
    <n v="98"/>
    <s v="A+"/>
    <n v="88"/>
    <s v="A"/>
    <n v="81"/>
    <s v="A"/>
    <n v="65"/>
    <s v="B"/>
    <n v="59"/>
    <s v="C"/>
    <n v="84"/>
    <s v="A"/>
    <n v="87"/>
    <s v="A"/>
    <n v="562"/>
    <n v="80.285714285714292"/>
    <x v="0"/>
    <n v="1099"/>
    <x v="1"/>
  </r>
  <r>
    <n v="1944"/>
    <s v="Jennifer"/>
    <s v="Johnson"/>
    <x v="1312"/>
    <s v="jennifer.johnson.1944@gslingacademy.com"/>
    <x v="1"/>
    <x v="0"/>
    <n v="1"/>
    <x v="1"/>
    <n v="11"/>
    <x v="4"/>
    <n v="87"/>
    <s v="A"/>
    <n v="61"/>
    <s v="B-"/>
    <n v="62"/>
    <s v="B-"/>
    <n v="66"/>
    <s v="B"/>
    <n v="67"/>
    <s v="B"/>
    <n v="81"/>
    <s v="A"/>
    <n v="65"/>
    <s v="B"/>
    <n v="489"/>
    <n v="69.857142857142861"/>
    <x v="4"/>
    <n v="1914"/>
    <x v="1"/>
  </r>
  <r>
    <n v="1945"/>
    <s v="Benjamin"/>
    <s v="Marks"/>
    <x v="1909"/>
    <s v="benjamin.marks.1945@gslingacademy.com"/>
    <x v="0"/>
    <x v="0"/>
    <n v="1"/>
    <x v="1"/>
    <n v="19"/>
    <x v="5"/>
    <n v="96"/>
    <s v="A+"/>
    <n v="96"/>
    <s v="A+"/>
    <n v="80"/>
    <s v="A"/>
    <n v="93"/>
    <s v="A+"/>
    <n v="82"/>
    <s v="A"/>
    <n v="65"/>
    <s v="B"/>
    <n v="70"/>
    <s v="B+"/>
    <n v="582"/>
    <n v="83.142857142857139"/>
    <x v="0"/>
    <n v="670"/>
    <x v="1"/>
  </r>
  <r>
    <n v="1946"/>
    <s v="Christopher"/>
    <s v="Gonzales"/>
    <x v="1910"/>
    <s v="christopher.gonzales.1946@gslingacademy.com"/>
    <x v="0"/>
    <x v="0"/>
    <n v="3"/>
    <x v="0"/>
    <n v="17"/>
    <x v="15"/>
    <n v="80"/>
    <s v="A"/>
    <n v="98"/>
    <s v="A+"/>
    <n v="99"/>
    <s v="A+"/>
    <n v="90"/>
    <s v="A+"/>
    <n v="64"/>
    <s v="B-"/>
    <n v="86"/>
    <s v="A"/>
    <n v="93"/>
    <s v="A+"/>
    <n v="610"/>
    <n v="87.142857142857139"/>
    <x v="0"/>
    <n v="298"/>
    <x v="0"/>
  </r>
  <r>
    <n v="1947"/>
    <s v="Melissa"/>
    <s v="Finley"/>
    <x v="1911"/>
    <s v="melissa.finley.1947@gslingacademy.com"/>
    <x v="1"/>
    <x v="0"/>
    <n v="0"/>
    <x v="1"/>
    <n v="30"/>
    <x v="4"/>
    <n v="80"/>
    <s v="A"/>
    <n v="77"/>
    <s v="A-"/>
    <n v="96"/>
    <s v="A+"/>
    <n v="64"/>
    <s v="B-"/>
    <n v="93"/>
    <s v="A+"/>
    <n v="62"/>
    <s v="B-"/>
    <n v="86"/>
    <s v="A"/>
    <n v="558"/>
    <n v="79.714285714285708"/>
    <x v="2"/>
    <n v="1178"/>
    <x v="1"/>
  </r>
  <r>
    <n v="1948"/>
    <s v="Tracy"/>
    <s v="Hendricks"/>
    <x v="1912"/>
    <s v="tracy.hendricks.1948@gslingacademy.com"/>
    <x v="0"/>
    <x v="0"/>
    <n v="2"/>
    <x v="0"/>
    <n v="23"/>
    <x v="5"/>
    <n v="91"/>
    <s v="A+"/>
    <n v="79"/>
    <s v="A-"/>
    <n v="70"/>
    <s v="B+"/>
    <n v="94"/>
    <s v="A+"/>
    <n v="77"/>
    <s v="A-"/>
    <n v="83"/>
    <s v="A"/>
    <n v="81"/>
    <s v="A"/>
    <n v="575"/>
    <n v="82.142857142857139"/>
    <x v="0"/>
    <n v="807"/>
    <x v="1"/>
  </r>
  <r>
    <n v="1949"/>
    <s v="Steven"/>
    <s v="Ramsey"/>
    <x v="1913"/>
    <s v="steven.ramsey.1949@gslingacademy.com"/>
    <x v="0"/>
    <x v="0"/>
    <n v="6"/>
    <x v="0"/>
    <n v="0"/>
    <x v="7"/>
    <n v="91"/>
    <s v="A+"/>
    <n v="96"/>
    <s v="A+"/>
    <n v="78"/>
    <s v="A-"/>
    <n v="70"/>
    <s v="B+"/>
    <n v="50"/>
    <s v="C"/>
    <n v="50"/>
    <s v="C"/>
    <n v="69"/>
    <s v="B"/>
    <n v="504"/>
    <n v="72"/>
    <x v="3"/>
    <n v="1858"/>
    <x v="0"/>
  </r>
  <r>
    <n v="1950"/>
    <s v="Pamela"/>
    <s v="Smith"/>
    <x v="1914"/>
    <s v="pamela.smith.1950@gslingacademy.com"/>
    <x v="1"/>
    <x v="0"/>
    <n v="0"/>
    <x v="1"/>
    <n v="19"/>
    <x v="9"/>
    <n v="83"/>
    <s v="A"/>
    <n v="70"/>
    <s v="B+"/>
    <n v="72"/>
    <s v="B+"/>
    <n v="65"/>
    <s v="B"/>
    <n v="63"/>
    <s v="B-"/>
    <n v="88"/>
    <s v="A"/>
    <n v="94"/>
    <s v="A+"/>
    <n v="535"/>
    <n v="76.428571428571431"/>
    <x v="2"/>
    <n v="1578"/>
    <x v="1"/>
  </r>
  <r>
    <n v="1951"/>
    <s v="Vicki"/>
    <s v="Jackson"/>
    <x v="1915"/>
    <s v="vicki.jackson.1951@gslingacademy.com"/>
    <x v="1"/>
    <x v="0"/>
    <n v="2"/>
    <x v="1"/>
    <n v="33"/>
    <x v="0"/>
    <n v="89"/>
    <s v="A"/>
    <n v="89"/>
    <s v="A"/>
    <n v="69"/>
    <s v="B"/>
    <n v="87"/>
    <s v="A"/>
    <n v="69"/>
    <s v="B"/>
    <n v="97"/>
    <s v="A+"/>
    <n v="79"/>
    <s v="A-"/>
    <n v="579"/>
    <n v="82.714285714285708"/>
    <x v="0"/>
    <n v="730"/>
    <x v="1"/>
  </r>
  <r>
    <n v="1952"/>
    <s v="Anne"/>
    <s v="Malone"/>
    <x v="1916"/>
    <s v="anne.malone.1952@gslingacademy.com"/>
    <x v="1"/>
    <x v="1"/>
    <n v="2"/>
    <x v="1"/>
    <n v="1"/>
    <x v="14"/>
    <n v="81"/>
    <s v="A"/>
    <n v="73"/>
    <s v="B+"/>
    <n v="99"/>
    <s v="A+"/>
    <n v="72"/>
    <s v="B+"/>
    <n v="100"/>
    <s v="A+"/>
    <n v="90"/>
    <s v="A+"/>
    <n v="64"/>
    <s v="B-"/>
    <n v="579"/>
    <n v="82.714285714285708"/>
    <x v="0"/>
    <n v="730"/>
    <x v="1"/>
  </r>
  <r>
    <n v="1953"/>
    <s v="Danielle"/>
    <s v="Johnson"/>
    <x v="1917"/>
    <s v="danielle.johnson.1953@gslingacademy.com"/>
    <x v="1"/>
    <x v="0"/>
    <n v="2"/>
    <x v="0"/>
    <n v="35"/>
    <x v="10"/>
    <n v="97"/>
    <s v="A+"/>
    <n v="85"/>
    <s v="A"/>
    <n v="86"/>
    <s v="A"/>
    <n v="99"/>
    <s v="A+"/>
    <n v="96"/>
    <s v="A+"/>
    <n v="90"/>
    <s v="A+"/>
    <n v="88"/>
    <s v="A"/>
    <n v="641"/>
    <n v="91.571428571428569"/>
    <x v="1"/>
    <n v="94"/>
    <x v="1"/>
  </r>
  <r>
    <n v="1954"/>
    <s v="Willie"/>
    <s v="Miller"/>
    <x v="1918"/>
    <s v="willie.miller.1954@gslingacademy.com"/>
    <x v="0"/>
    <x v="0"/>
    <n v="1"/>
    <x v="0"/>
    <n v="3"/>
    <x v="16"/>
    <n v="93"/>
    <s v="A+"/>
    <n v="91"/>
    <s v="A+"/>
    <n v="61"/>
    <s v="B-"/>
    <n v="68"/>
    <s v="B"/>
    <n v="83"/>
    <s v="A"/>
    <n v="82"/>
    <s v="A"/>
    <n v="63"/>
    <s v="B-"/>
    <n v="541"/>
    <n v="77.285714285714292"/>
    <x v="2"/>
    <n v="1493"/>
    <x v="1"/>
  </r>
  <r>
    <n v="1955"/>
    <s v="Andrea"/>
    <s v="Delgado"/>
    <x v="1919"/>
    <s v="andrea.delgado.1955@gslingacademy.com"/>
    <x v="1"/>
    <x v="0"/>
    <n v="2"/>
    <x v="0"/>
    <n v="2"/>
    <x v="14"/>
    <n v="99"/>
    <s v="A+"/>
    <n v="86"/>
    <s v="A"/>
    <n v="83"/>
    <s v="A"/>
    <n v="80"/>
    <s v="A"/>
    <n v="69"/>
    <s v="B"/>
    <n v="96"/>
    <s v="A+"/>
    <n v="88"/>
    <s v="A"/>
    <n v="601"/>
    <n v="85.857142857142861"/>
    <x v="0"/>
    <n v="394"/>
    <x v="1"/>
  </r>
  <r>
    <n v="1956"/>
    <s v="Melanie"/>
    <s v="Clark"/>
    <x v="1920"/>
    <s v="melanie.clark.1956@gslingacademy.com"/>
    <x v="1"/>
    <x v="0"/>
    <n v="5"/>
    <x v="1"/>
    <n v="16"/>
    <x v="5"/>
    <n v="95"/>
    <s v="A+"/>
    <n v="97"/>
    <s v="A+"/>
    <n v="68"/>
    <s v="B"/>
    <n v="79"/>
    <s v="A-"/>
    <n v="63"/>
    <s v="B-"/>
    <n v="88"/>
    <s v="A"/>
    <n v="63"/>
    <s v="B-"/>
    <n v="553"/>
    <n v="79"/>
    <x v="2"/>
    <n v="1284"/>
    <x v="0"/>
  </r>
  <r>
    <n v="1957"/>
    <s v="Jessica"/>
    <s v="Beasley"/>
    <x v="1921"/>
    <s v="jessica.beasley.1957@gslingacademy.com"/>
    <x v="1"/>
    <x v="0"/>
    <n v="3"/>
    <x v="0"/>
    <n v="38"/>
    <x v="1"/>
    <n v="100"/>
    <s v="A+"/>
    <n v="92"/>
    <s v="A+"/>
    <n v="87"/>
    <s v="A"/>
    <n v="94"/>
    <s v="A+"/>
    <n v="85"/>
    <s v="A"/>
    <n v="97"/>
    <s v="A+"/>
    <n v="100"/>
    <s v="A+"/>
    <n v="655"/>
    <n v="93.571428571428569"/>
    <x v="1"/>
    <n v="34"/>
    <x v="0"/>
  </r>
  <r>
    <n v="1958"/>
    <s v="Cindy"/>
    <s v="Bradley"/>
    <x v="1922"/>
    <s v="cindy.bradley.1958@gslingacademy.com"/>
    <x v="1"/>
    <x v="0"/>
    <n v="2"/>
    <x v="0"/>
    <n v="3"/>
    <x v="3"/>
    <n v="62"/>
    <s v="B-"/>
    <n v="67"/>
    <s v="B"/>
    <n v="85"/>
    <s v="A"/>
    <n v="97"/>
    <s v="A+"/>
    <n v="98"/>
    <s v="A+"/>
    <n v="62"/>
    <s v="B-"/>
    <n v="73"/>
    <s v="B+"/>
    <n v="544"/>
    <n v="77.714285714285708"/>
    <x v="2"/>
    <n v="1446"/>
    <x v="1"/>
  </r>
  <r>
    <n v="1959"/>
    <s v="Dennis"/>
    <s v="Richardson"/>
    <x v="1923"/>
    <s v="dennis.richardson.1959@gslingacademy.com"/>
    <x v="0"/>
    <x v="1"/>
    <n v="10"/>
    <x v="1"/>
    <n v="3"/>
    <x v="14"/>
    <n v="88"/>
    <s v="A"/>
    <n v="71"/>
    <s v="B+"/>
    <n v="99"/>
    <s v="A+"/>
    <n v="74"/>
    <s v="B+"/>
    <n v="76"/>
    <s v="A-"/>
    <n v="97"/>
    <s v="A+"/>
    <n v="87"/>
    <s v="A"/>
    <n v="592"/>
    <n v="84.571428571428569"/>
    <x v="0"/>
    <n v="505"/>
    <x v="2"/>
  </r>
  <r>
    <n v="1960"/>
    <s v="Peggy"/>
    <s v="Hoover"/>
    <x v="1924"/>
    <s v="peggy.hoover.1960@gslingacademy.com"/>
    <x v="1"/>
    <x v="1"/>
    <n v="5"/>
    <x v="0"/>
    <n v="11"/>
    <x v="6"/>
    <n v="75"/>
    <s v="A-"/>
    <n v="100"/>
    <s v="A+"/>
    <n v="100"/>
    <s v="A+"/>
    <n v="82"/>
    <s v="A"/>
    <n v="63"/>
    <s v="B-"/>
    <n v="84"/>
    <s v="A"/>
    <n v="82"/>
    <s v="A"/>
    <n v="586"/>
    <n v="83.714285714285708"/>
    <x v="0"/>
    <n v="601"/>
    <x v="0"/>
  </r>
  <r>
    <n v="1961"/>
    <s v="Peter"/>
    <s v="Rice"/>
    <x v="1925"/>
    <s v="peter.rice.1961@gslingacademy.com"/>
    <x v="0"/>
    <x v="0"/>
    <n v="1"/>
    <x v="0"/>
    <n v="1"/>
    <x v="14"/>
    <n v="87"/>
    <s v="A"/>
    <n v="91"/>
    <s v="A+"/>
    <n v="97"/>
    <s v="A+"/>
    <n v="82"/>
    <s v="A"/>
    <n v="79"/>
    <s v="A-"/>
    <n v="69"/>
    <s v="B"/>
    <n v="62"/>
    <s v="B-"/>
    <n v="567"/>
    <n v="81"/>
    <x v="0"/>
    <n v="994"/>
    <x v="1"/>
  </r>
  <r>
    <n v="1962"/>
    <s v="Sabrina"/>
    <s v="Perez"/>
    <x v="1926"/>
    <s v="sabrina.perez.1962@gslingacademy.com"/>
    <x v="1"/>
    <x v="0"/>
    <n v="4"/>
    <x v="0"/>
    <n v="4"/>
    <x v="4"/>
    <n v="85"/>
    <s v="A"/>
    <n v="60"/>
    <s v="B-"/>
    <n v="61"/>
    <s v="B-"/>
    <n v="75"/>
    <s v="A-"/>
    <n v="83"/>
    <s v="A"/>
    <n v="87"/>
    <s v="A"/>
    <n v="65"/>
    <s v="B"/>
    <n v="516"/>
    <n v="73.714285714285708"/>
    <x v="3"/>
    <n v="1792"/>
    <x v="0"/>
  </r>
  <r>
    <n v="1963"/>
    <s v="Michael"/>
    <s v="Parker"/>
    <x v="1927"/>
    <s v="michael.parker.1963@gslingacademy.com"/>
    <x v="0"/>
    <x v="0"/>
    <n v="3"/>
    <x v="0"/>
    <n v="43"/>
    <x v="1"/>
    <n v="88"/>
    <s v="A"/>
    <n v="98"/>
    <s v="A+"/>
    <n v="94"/>
    <s v="A+"/>
    <n v="96"/>
    <s v="A+"/>
    <n v="96"/>
    <s v="A+"/>
    <n v="89"/>
    <s v="A"/>
    <n v="92"/>
    <s v="A+"/>
    <n v="653"/>
    <n v="93.285714285714292"/>
    <x v="1"/>
    <n v="43"/>
    <x v="0"/>
  </r>
  <r>
    <n v="1964"/>
    <s v="David"/>
    <s v="Calderon"/>
    <x v="1928"/>
    <s v="david.calderon.1964@gslingacademy.com"/>
    <x v="0"/>
    <x v="0"/>
    <n v="1"/>
    <x v="0"/>
    <n v="47"/>
    <x v="1"/>
    <n v="86"/>
    <s v="A"/>
    <n v="93"/>
    <s v="A+"/>
    <n v="91"/>
    <s v="A+"/>
    <n v="94"/>
    <s v="A+"/>
    <n v="93"/>
    <s v="A+"/>
    <n v="88"/>
    <s v="A"/>
    <n v="86"/>
    <s v="A"/>
    <n v="631"/>
    <n v="90.142857142857139"/>
    <x v="1"/>
    <n v="151"/>
    <x v="1"/>
  </r>
  <r>
    <n v="1965"/>
    <s v="James"/>
    <s v="Gordon"/>
    <x v="1929"/>
    <s v="james.gordon.1965@gslingacademy.com"/>
    <x v="0"/>
    <x v="0"/>
    <n v="1"/>
    <x v="0"/>
    <n v="9"/>
    <x v="2"/>
    <n v="68"/>
    <s v="B"/>
    <n v="65"/>
    <s v="B"/>
    <n v="95"/>
    <s v="A+"/>
    <n v="88"/>
    <s v="A"/>
    <n v="62"/>
    <s v="B-"/>
    <n v="87"/>
    <s v="A"/>
    <n v="62"/>
    <s v="B-"/>
    <n v="527"/>
    <n v="75.285714285714292"/>
    <x v="2"/>
    <n v="1683"/>
    <x v="1"/>
  </r>
  <r>
    <n v="1966"/>
    <s v="Jennifer"/>
    <s v="Leblanc"/>
    <x v="1930"/>
    <s v="jennifer.leblanc.1966@gslingacademy.com"/>
    <x v="1"/>
    <x v="0"/>
    <n v="6"/>
    <x v="0"/>
    <n v="2"/>
    <x v="7"/>
    <n v="67"/>
    <s v="B"/>
    <n v="54"/>
    <s v="C"/>
    <n v="71"/>
    <s v="B+"/>
    <n v="50"/>
    <s v="C"/>
    <n v="55"/>
    <s v="C"/>
    <n v="51"/>
    <s v="C"/>
    <n v="66"/>
    <s v="B"/>
    <n v="414"/>
    <n v="59.142857142857146"/>
    <x v="6"/>
    <n v="1999"/>
    <x v="0"/>
  </r>
  <r>
    <n v="1967"/>
    <s v="Paul"/>
    <s v="Bailey"/>
    <x v="1931"/>
    <s v="paul.bailey.1967@gslingacademy.com"/>
    <x v="0"/>
    <x v="1"/>
    <n v="4"/>
    <x v="0"/>
    <n v="5"/>
    <x v="7"/>
    <n v="82"/>
    <s v="A"/>
    <n v="69"/>
    <s v="B"/>
    <n v="92"/>
    <s v="A+"/>
    <n v="85"/>
    <s v="A"/>
    <n v="59"/>
    <s v="C"/>
    <n v="87"/>
    <s v="A"/>
    <n v="83"/>
    <s v="A"/>
    <n v="557"/>
    <n v="79.571428571428569"/>
    <x v="2"/>
    <n v="1200"/>
    <x v="0"/>
  </r>
  <r>
    <n v="1968"/>
    <s v="Tiffany"/>
    <s v="Smith"/>
    <x v="1932"/>
    <s v="tiffany.smith.1968@gslingacademy.com"/>
    <x v="1"/>
    <x v="0"/>
    <n v="2"/>
    <x v="0"/>
    <n v="26"/>
    <x v="4"/>
    <n v="86"/>
    <s v="A"/>
    <n v="88"/>
    <s v="A"/>
    <n v="71"/>
    <s v="B+"/>
    <n v="65"/>
    <s v="B"/>
    <n v="86"/>
    <s v="A"/>
    <n v="69"/>
    <s v="B"/>
    <n v="84"/>
    <s v="A"/>
    <n v="549"/>
    <n v="78.428571428571431"/>
    <x v="2"/>
    <n v="1355"/>
    <x v="1"/>
  </r>
  <r>
    <n v="1969"/>
    <s v="Victoria"/>
    <s v="Alvarez"/>
    <x v="1933"/>
    <s v="victoria.alvarez.1969@gslingacademy.com"/>
    <x v="1"/>
    <x v="1"/>
    <n v="3"/>
    <x v="0"/>
    <n v="25"/>
    <x v="5"/>
    <n v="95"/>
    <s v="A+"/>
    <n v="91"/>
    <s v="A+"/>
    <n v="64"/>
    <s v="B-"/>
    <n v="65"/>
    <s v="B"/>
    <n v="60"/>
    <s v="B-"/>
    <n v="84"/>
    <s v="A"/>
    <n v="99"/>
    <s v="A+"/>
    <n v="558"/>
    <n v="79.714285714285708"/>
    <x v="2"/>
    <n v="1178"/>
    <x v="0"/>
  </r>
  <r>
    <n v="1970"/>
    <s v="Willie"/>
    <s v="Elliott"/>
    <x v="1934"/>
    <s v="willie.elliott.1970@gslingacademy.com"/>
    <x v="0"/>
    <x v="0"/>
    <n v="5"/>
    <x v="0"/>
    <n v="9"/>
    <x v="16"/>
    <n v="72"/>
    <s v="B+"/>
    <n v="82"/>
    <s v="A"/>
    <n v="76"/>
    <s v="A-"/>
    <n v="69"/>
    <s v="B"/>
    <n v="67"/>
    <s v="B"/>
    <n v="92"/>
    <s v="A+"/>
    <n v="87"/>
    <s v="A"/>
    <n v="545"/>
    <n v="77.857142857142861"/>
    <x v="2"/>
    <n v="1432"/>
    <x v="0"/>
  </r>
  <r>
    <n v="1971"/>
    <s v="James"/>
    <s v="Bryant"/>
    <x v="1935"/>
    <s v="james.bryant.1971@gslingacademy.com"/>
    <x v="0"/>
    <x v="0"/>
    <n v="1"/>
    <x v="0"/>
    <n v="27"/>
    <x v="11"/>
    <n v="99"/>
    <s v="A+"/>
    <n v="87"/>
    <s v="A"/>
    <n v="67"/>
    <s v="B"/>
    <n v="91"/>
    <s v="A+"/>
    <n v="36"/>
    <s v="F"/>
    <n v="76"/>
    <s v="A-"/>
    <n v="64"/>
    <s v="B-"/>
    <n v="520"/>
    <n v="74.285714285714292"/>
    <x v="3"/>
    <n v="1753"/>
    <x v="1"/>
  </r>
  <r>
    <n v="1972"/>
    <s v="Kimberly"/>
    <s v="Swanson"/>
    <x v="1936"/>
    <s v="kimberly.swanson.1972@gslingacademy.com"/>
    <x v="1"/>
    <x v="0"/>
    <n v="2"/>
    <x v="1"/>
    <n v="19"/>
    <x v="9"/>
    <n v="75"/>
    <s v="A-"/>
    <n v="88"/>
    <s v="A"/>
    <n v="71"/>
    <s v="B+"/>
    <n v="80"/>
    <s v="A"/>
    <n v="65"/>
    <s v="B"/>
    <n v="85"/>
    <s v="A"/>
    <n v="60"/>
    <s v="B-"/>
    <n v="524"/>
    <n v="74.857142857142861"/>
    <x v="3"/>
    <n v="1715"/>
    <x v="1"/>
  </r>
  <r>
    <n v="1973"/>
    <s v="Beverly"/>
    <s v="Dawson"/>
    <x v="1937"/>
    <s v="beverly.dawson.1973@gslingacademy.com"/>
    <x v="1"/>
    <x v="1"/>
    <n v="1"/>
    <x v="0"/>
    <n v="31"/>
    <x v="8"/>
    <n v="77"/>
    <s v="A-"/>
    <n v="80"/>
    <s v="A"/>
    <n v="86"/>
    <s v="A"/>
    <n v="87"/>
    <s v="A"/>
    <n v="98"/>
    <s v="A+"/>
    <n v="98"/>
    <s v="A+"/>
    <n v="88"/>
    <s v="A"/>
    <n v="614"/>
    <n v="87.714285714285708"/>
    <x v="0"/>
    <n v="260"/>
    <x v="1"/>
  </r>
  <r>
    <n v="1974"/>
    <s v="Lisa"/>
    <s v="Stewart"/>
    <x v="1938"/>
    <s v="lisa.stewart.1974@gslingacademy.com"/>
    <x v="1"/>
    <x v="0"/>
    <n v="4"/>
    <x v="1"/>
    <n v="26"/>
    <x v="5"/>
    <n v="95"/>
    <s v="A+"/>
    <n v="97"/>
    <s v="A+"/>
    <n v="84"/>
    <s v="A"/>
    <n v="97"/>
    <s v="A+"/>
    <n v="75"/>
    <s v="A-"/>
    <n v="92"/>
    <s v="A+"/>
    <n v="92"/>
    <s v="A+"/>
    <n v="632"/>
    <n v="90.285714285714292"/>
    <x v="1"/>
    <n v="143"/>
    <x v="0"/>
  </r>
  <r>
    <n v="1975"/>
    <s v="Dwayne"/>
    <s v="Sims"/>
    <x v="1939"/>
    <s v="dwayne.sims.1975@gslingacademy.com"/>
    <x v="0"/>
    <x v="0"/>
    <n v="6"/>
    <x v="1"/>
    <n v="11"/>
    <x v="9"/>
    <n v="77"/>
    <s v="A-"/>
    <n v="97"/>
    <s v="A+"/>
    <n v="88"/>
    <s v="A"/>
    <n v="89"/>
    <s v="A"/>
    <n v="74"/>
    <s v="B+"/>
    <n v="95"/>
    <s v="A+"/>
    <n v="64"/>
    <s v="B-"/>
    <n v="584"/>
    <n v="83.428571428571431"/>
    <x v="0"/>
    <n v="635"/>
    <x v="0"/>
  </r>
  <r>
    <n v="1976"/>
    <s v="Ashley"/>
    <s v="Fleming"/>
    <x v="1940"/>
    <s v="ashley.fleming.1976@gslingacademy.com"/>
    <x v="1"/>
    <x v="1"/>
    <n v="6"/>
    <x v="0"/>
    <n v="6"/>
    <x v="12"/>
    <n v="90"/>
    <s v="A+"/>
    <n v="74"/>
    <s v="B+"/>
    <n v="92"/>
    <s v="A+"/>
    <n v="67"/>
    <s v="B"/>
    <n v="83"/>
    <s v="A"/>
    <n v="73"/>
    <s v="B+"/>
    <n v="89"/>
    <s v="A"/>
    <n v="568"/>
    <n v="81.142857142857139"/>
    <x v="0"/>
    <n v="975"/>
    <x v="0"/>
  </r>
  <r>
    <n v="1977"/>
    <s v="Lisa"/>
    <s v="Stafford"/>
    <x v="1941"/>
    <s v="lisa.stafford.1977@gslingacademy.com"/>
    <x v="1"/>
    <x v="0"/>
    <n v="8"/>
    <x v="0"/>
    <n v="2"/>
    <x v="7"/>
    <n v="74"/>
    <s v="B+"/>
    <n v="59"/>
    <s v="C"/>
    <n v="82"/>
    <s v="A"/>
    <n v="51"/>
    <s v="C"/>
    <n v="91"/>
    <s v="A+"/>
    <n v="96"/>
    <s v="A+"/>
    <n v="94"/>
    <s v="A+"/>
    <n v="547"/>
    <n v="78.142857142857139"/>
    <x v="2"/>
    <n v="1388"/>
    <x v="2"/>
  </r>
  <r>
    <n v="1978"/>
    <s v="Kristin"/>
    <s v="Garcia"/>
    <x v="1942"/>
    <s v="kristin.garcia.1978@gslingacademy.com"/>
    <x v="1"/>
    <x v="0"/>
    <n v="10"/>
    <x v="1"/>
    <n v="5"/>
    <x v="7"/>
    <n v="56"/>
    <s v="C"/>
    <n v="66"/>
    <s v="B"/>
    <n v="87"/>
    <s v="A"/>
    <n v="64"/>
    <s v="B-"/>
    <n v="95"/>
    <s v="A+"/>
    <n v="89"/>
    <s v="A"/>
    <n v="76"/>
    <s v="A-"/>
    <n v="533"/>
    <n v="76.142857142857139"/>
    <x v="2"/>
    <n v="1613"/>
    <x v="2"/>
  </r>
  <r>
    <n v="1979"/>
    <s v="Eric"/>
    <s v="Adkins"/>
    <x v="1943"/>
    <s v="eric.adkins.1979@gslingacademy.com"/>
    <x v="0"/>
    <x v="0"/>
    <n v="7"/>
    <x v="0"/>
    <n v="5"/>
    <x v="7"/>
    <n v="72"/>
    <s v="B+"/>
    <n v="69"/>
    <s v="B"/>
    <n v="91"/>
    <s v="A+"/>
    <n v="69"/>
    <s v="B"/>
    <n v="53"/>
    <s v="C"/>
    <n v="73"/>
    <s v="B+"/>
    <n v="95"/>
    <s v="A+"/>
    <n v="522"/>
    <n v="74.571428571428569"/>
    <x v="3"/>
    <n v="1739"/>
    <x v="2"/>
  </r>
  <r>
    <n v="1980"/>
    <s v="Allison"/>
    <s v="Henderson"/>
    <x v="1944"/>
    <s v="allison.henderson.1980@gslingacademy.com"/>
    <x v="1"/>
    <x v="0"/>
    <n v="3"/>
    <x v="0"/>
    <n v="27"/>
    <x v="0"/>
    <n v="87"/>
    <s v="A"/>
    <n v="86"/>
    <s v="A"/>
    <n v="83"/>
    <s v="A"/>
    <n v="80"/>
    <s v="A"/>
    <n v="90"/>
    <s v="A+"/>
    <n v="90"/>
    <s v="A+"/>
    <n v="61"/>
    <s v="B-"/>
    <n v="577"/>
    <n v="82.428571428571431"/>
    <x v="0"/>
    <n v="769"/>
    <x v="0"/>
  </r>
  <r>
    <n v="1981"/>
    <s v="Alison"/>
    <s v="Palmer"/>
    <x v="1945"/>
    <s v="alison.palmer.1981@gslingacademy.com"/>
    <x v="1"/>
    <x v="0"/>
    <n v="2"/>
    <x v="0"/>
    <n v="30"/>
    <x v="0"/>
    <n v="80"/>
    <s v="A"/>
    <n v="81"/>
    <s v="A"/>
    <n v="96"/>
    <s v="A+"/>
    <n v="92"/>
    <s v="A+"/>
    <n v="100"/>
    <s v="A+"/>
    <n v="91"/>
    <s v="A+"/>
    <n v="87"/>
    <s v="A"/>
    <n v="627"/>
    <n v="89.571428571428569"/>
    <x v="0"/>
    <n v="168"/>
    <x v="1"/>
  </r>
  <r>
    <n v="1982"/>
    <s v="Shane"/>
    <s v="Parker"/>
    <x v="1946"/>
    <s v="shane.parker.1982@gslingacademy.com"/>
    <x v="0"/>
    <x v="0"/>
    <n v="5"/>
    <x v="0"/>
    <n v="21"/>
    <x v="5"/>
    <n v="98"/>
    <s v="A+"/>
    <n v="72"/>
    <s v="B+"/>
    <n v="64"/>
    <s v="B-"/>
    <n v="68"/>
    <s v="B"/>
    <n v="76"/>
    <s v="A-"/>
    <n v="84"/>
    <s v="A"/>
    <n v="72"/>
    <s v="B+"/>
    <n v="534"/>
    <n v="76.285714285714292"/>
    <x v="2"/>
    <n v="1595"/>
    <x v="0"/>
  </r>
  <r>
    <n v="1983"/>
    <s v="Debra"/>
    <s v="Gilbert"/>
    <x v="1947"/>
    <s v="debra.gilbert.1983@gslingacademy.com"/>
    <x v="1"/>
    <x v="0"/>
    <n v="0"/>
    <x v="0"/>
    <n v="8"/>
    <x v="6"/>
    <n v="83"/>
    <s v="A"/>
    <n v="91"/>
    <s v="A+"/>
    <n v="69"/>
    <s v="B"/>
    <n v="74"/>
    <s v="B+"/>
    <n v="98"/>
    <s v="A+"/>
    <n v="86"/>
    <s v="A"/>
    <n v="76"/>
    <s v="A-"/>
    <n v="577"/>
    <n v="82.428571428571431"/>
    <x v="0"/>
    <n v="769"/>
    <x v="1"/>
  </r>
  <r>
    <n v="1984"/>
    <s v="Mary"/>
    <s v="Jackson"/>
    <x v="1948"/>
    <s v="mary.jackson.1984@gslingacademy.com"/>
    <x v="1"/>
    <x v="0"/>
    <n v="2"/>
    <x v="0"/>
    <n v="21"/>
    <x v="9"/>
    <n v="92"/>
    <s v="A+"/>
    <n v="77"/>
    <s v="A-"/>
    <n v="91"/>
    <s v="A+"/>
    <n v="79"/>
    <s v="A-"/>
    <n v="98"/>
    <s v="A+"/>
    <n v="77"/>
    <s v="A-"/>
    <n v="87"/>
    <s v="A"/>
    <n v="601"/>
    <n v="85.857142857142861"/>
    <x v="0"/>
    <n v="394"/>
    <x v="1"/>
  </r>
  <r>
    <n v="1985"/>
    <s v="Joshua"/>
    <s v="Stuart"/>
    <x v="1949"/>
    <s v="joshua.stuart.1985@gslingacademy.com"/>
    <x v="0"/>
    <x v="1"/>
    <n v="3"/>
    <x v="0"/>
    <n v="18"/>
    <x v="9"/>
    <n v="79"/>
    <s v="A-"/>
    <n v="68"/>
    <s v="B"/>
    <n v="64"/>
    <s v="B-"/>
    <n v="68"/>
    <s v="B"/>
    <n v="97"/>
    <s v="A+"/>
    <n v="78"/>
    <s v="A-"/>
    <n v="84"/>
    <s v="A"/>
    <n v="538"/>
    <n v="76.857142857142861"/>
    <x v="2"/>
    <n v="1537"/>
    <x v="0"/>
  </r>
  <r>
    <n v="1986"/>
    <s v="Benjamin"/>
    <s v="Williams"/>
    <x v="1950"/>
    <s v="benjamin.williams.1986@gslingacademy.com"/>
    <x v="0"/>
    <x v="0"/>
    <n v="4"/>
    <x v="0"/>
    <n v="3"/>
    <x v="2"/>
    <n v="72"/>
    <s v="B+"/>
    <n v="81"/>
    <s v="A"/>
    <n v="89"/>
    <s v="A"/>
    <n v="92"/>
    <s v="A+"/>
    <n v="88"/>
    <s v="A"/>
    <n v="87"/>
    <s v="A"/>
    <n v="82"/>
    <s v="A"/>
    <n v="591"/>
    <n v="84.428571428571431"/>
    <x v="0"/>
    <n v="515"/>
    <x v="0"/>
  </r>
  <r>
    <n v="1987"/>
    <s v="David"/>
    <s v="Frank"/>
    <x v="1951"/>
    <s v="david.frank.1987@gslingacademy.com"/>
    <x v="0"/>
    <x v="0"/>
    <n v="1"/>
    <x v="0"/>
    <n v="32"/>
    <x v="1"/>
    <n v="89"/>
    <s v="A"/>
    <n v="74"/>
    <s v="B+"/>
    <n v="94"/>
    <s v="A+"/>
    <n v="87"/>
    <s v="A"/>
    <n v="92"/>
    <s v="A+"/>
    <n v="82"/>
    <s v="A"/>
    <n v="79"/>
    <s v="A-"/>
    <n v="597"/>
    <n v="85.285714285714292"/>
    <x v="0"/>
    <n v="446"/>
    <x v="1"/>
  </r>
  <r>
    <n v="1988"/>
    <s v="Holly"/>
    <s v="Erickson"/>
    <x v="1952"/>
    <s v="holly.erickson.1988@gslingacademy.com"/>
    <x v="1"/>
    <x v="0"/>
    <n v="6"/>
    <x v="0"/>
    <n v="8"/>
    <x v="12"/>
    <n v="97"/>
    <s v="A+"/>
    <n v="91"/>
    <s v="A+"/>
    <n v="61"/>
    <s v="B-"/>
    <n v="75"/>
    <s v="A-"/>
    <n v="95"/>
    <s v="A+"/>
    <n v="61"/>
    <s v="B-"/>
    <n v="89"/>
    <s v="A"/>
    <n v="569"/>
    <n v="81.285714285714292"/>
    <x v="0"/>
    <n v="957"/>
    <x v="0"/>
  </r>
  <r>
    <n v="1989"/>
    <s v="Charles"/>
    <s v="Miller"/>
    <x v="1953"/>
    <s v="charles.miller.1989@gslingacademy.com"/>
    <x v="0"/>
    <x v="0"/>
    <n v="2"/>
    <x v="0"/>
    <n v="3"/>
    <x v="4"/>
    <n v="66"/>
    <s v="B"/>
    <n v="63"/>
    <s v="B-"/>
    <n v="95"/>
    <s v="A+"/>
    <n v="76"/>
    <s v="A-"/>
    <n v="71"/>
    <s v="B+"/>
    <n v="99"/>
    <s v="A+"/>
    <n v="73"/>
    <s v="B+"/>
    <n v="543"/>
    <n v="77.571428571428569"/>
    <x v="2"/>
    <n v="1464"/>
    <x v="1"/>
  </r>
  <r>
    <n v="1990"/>
    <s v="Samuel"/>
    <s v="Baker"/>
    <x v="1954"/>
    <s v="samuel.baker.1990@gslingacademy.com"/>
    <x v="0"/>
    <x v="0"/>
    <n v="2"/>
    <x v="0"/>
    <n v="17"/>
    <x v="15"/>
    <n v="77"/>
    <s v="A-"/>
    <n v="86"/>
    <s v="A"/>
    <n v="97"/>
    <s v="A+"/>
    <n v="85"/>
    <s v="A"/>
    <n v="77"/>
    <s v="A-"/>
    <n v="88"/>
    <s v="A"/>
    <n v="93"/>
    <s v="A+"/>
    <n v="603"/>
    <n v="86.142857142857139"/>
    <x v="0"/>
    <n v="370"/>
    <x v="1"/>
  </r>
  <r>
    <n v="1991"/>
    <s v="Anthony"/>
    <s v="Moore"/>
    <x v="1955"/>
    <s v="anthony.moore.1991@gslingacademy.com"/>
    <x v="0"/>
    <x v="0"/>
    <n v="0"/>
    <x v="0"/>
    <n v="17"/>
    <x v="5"/>
    <n v="98"/>
    <s v="A+"/>
    <n v="63"/>
    <s v="B-"/>
    <n v="64"/>
    <s v="B-"/>
    <n v="82"/>
    <s v="A"/>
    <n v="64"/>
    <s v="B-"/>
    <n v="96"/>
    <s v="A+"/>
    <n v="79"/>
    <s v="A-"/>
    <n v="546"/>
    <n v="78"/>
    <x v="2"/>
    <n v="1411"/>
    <x v="1"/>
  </r>
  <r>
    <n v="1992"/>
    <s v="Charlotte"/>
    <s v="Rowe"/>
    <x v="1956"/>
    <s v="charlotte.rowe.1992@gslingacademy.com"/>
    <x v="1"/>
    <x v="0"/>
    <n v="4"/>
    <x v="0"/>
    <n v="27"/>
    <x v="0"/>
    <n v="88"/>
    <s v="A"/>
    <n v="96"/>
    <s v="A+"/>
    <n v="79"/>
    <s v="A-"/>
    <n v="70"/>
    <s v="B+"/>
    <n v="95"/>
    <s v="A+"/>
    <n v="90"/>
    <s v="A+"/>
    <n v="99"/>
    <s v="A+"/>
    <n v="617"/>
    <n v="88.142857142857139"/>
    <x v="0"/>
    <n v="235"/>
    <x v="0"/>
  </r>
  <r>
    <n v="1993"/>
    <s v="John"/>
    <s v="Peterson"/>
    <x v="1957"/>
    <s v="john.peterson.1993@gslingacademy.com"/>
    <x v="0"/>
    <x v="0"/>
    <n v="2"/>
    <x v="1"/>
    <n v="12"/>
    <x v="9"/>
    <n v="79"/>
    <s v="A-"/>
    <n v="83"/>
    <s v="A"/>
    <n v="76"/>
    <s v="A-"/>
    <n v="99"/>
    <s v="A+"/>
    <n v="100"/>
    <s v="A+"/>
    <n v="84"/>
    <s v="A"/>
    <n v="71"/>
    <s v="B+"/>
    <n v="592"/>
    <n v="84.571428571428569"/>
    <x v="0"/>
    <n v="505"/>
    <x v="1"/>
  </r>
  <r>
    <n v="1994"/>
    <s v="Shawn"/>
    <s v="Ochoa"/>
    <x v="1958"/>
    <s v="shawn.ochoa.1994@gslingacademy.com"/>
    <x v="0"/>
    <x v="0"/>
    <n v="3"/>
    <x v="0"/>
    <n v="46"/>
    <x v="1"/>
    <n v="92"/>
    <s v="A+"/>
    <n v="92"/>
    <s v="A+"/>
    <n v="91"/>
    <s v="A+"/>
    <n v="95"/>
    <s v="A+"/>
    <n v="88"/>
    <s v="A"/>
    <n v="94"/>
    <s v="A+"/>
    <n v="93"/>
    <s v="A+"/>
    <n v="645"/>
    <n v="92.142857142857139"/>
    <x v="1"/>
    <n v="81"/>
    <x v="0"/>
  </r>
  <r>
    <n v="1995"/>
    <s v="Steven"/>
    <s v="Lewis"/>
    <x v="1959"/>
    <s v="steven.lewis.1995@gslingacademy.com"/>
    <x v="0"/>
    <x v="0"/>
    <n v="1"/>
    <x v="0"/>
    <n v="19"/>
    <x v="11"/>
    <n v="76"/>
    <s v="A-"/>
    <n v="62"/>
    <s v="B-"/>
    <n v="90"/>
    <s v="A+"/>
    <n v="82"/>
    <s v="A"/>
    <n v="93"/>
    <s v="A+"/>
    <n v="71"/>
    <s v="B+"/>
    <n v="61"/>
    <s v="B-"/>
    <n v="535"/>
    <n v="76.428571428571431"/>
    <x v="2"/>
    <n v="1578"/>
    <x v="1"/>
  </r>
  <r>
    <n v="1996"/>
    <s v="Alan"/>
    <s v="Reynolds"/>
    <x v="1960"/>
    <s v="alan.reynolds.1996@gslingacademy.com"/>
    <x v="0"/>
    <x v="0"/>
    <n v="2"/>
    <x v="0"/>
    <n v="30"/>
    <x v="13"/>
    <n v="83"/>
    <s v="A"/>
    <n v="77"/>
    <s v="A-"/>
    <n v="84"/>
    <s v="A"/>
    <n v="73"/>
    <s v="B+"/>
    <n v="75"/>
    <s v="A-"/>
    <n v="84"/>
    <s v="A"/>
    <n v="82"/>
    <s v="A"/>
    <n v="558"/>
    <n v="79.714285714285708"/>
    <x v="2"/>
    <n v="1178"/>
    <x v="1"/>
  </r>
  <r>
    <n v="1997"/>
    <s v="Thomas"/>
    <s v="Gilbert"/>
    <x v="1961"/>
    <s v="thomas.gilbert.1997@gslingacademy.com"/>
    <x v="0"/>
    <x v="0"/>
    <n v="2"/>
    <x v="0"/>
    <n v="20"/>
    <x v="5"/>
    <n v="89"/>
    <s v="A"/>
    <n v="65"/>
    <s v="B"/>
    <n v="73"/>
    <s v="B+"/>
    <n v="80"/>
    <s v="A"/>
    <n v="87"/>
    <s v="A"/>
    <n v="67"/>
    <s v="B"/>
    <n v="73"/>
    <s v="B+"/>
    <n v="534"/>
    <n v="76.285714285714292"/>
    <x v="2"/>
    <n v="1595"/>
    <x v="1"/>
  </r>
  <r>
    <n v="1998"/>
    <s v="Madison"/>
    <s v="Cross"/>
    <x v="1962"/>
    <s v="madison.cross.1998@gslingacademy.com"/>
    <x v="1"/>
    <x v="0"/>
    <n v="5"/>
    <x v="0"/>
    <n v="14"/>
    <x v="5"/>
    <n v="97"/>
    <s v="A+"/>
    <n v="85"/>
    <s v="A"/>
    <n v="63"/>
    <s v="B-"/>
    <n v="93"/>
    <s v="A+"/>
    <n v="68"/>
    <s v="B"/>
    <n v="94"/>
    <s v="A+"/>
    <n v="78"/>
    <s v="A-"/>
    <n v="578"/>
    <n v="82.571428571428569"/>
    <x v="0"/>
    <n v="752"/>
    <x v="0"/>
  </r>
  <r>
    <n v="1999"/>
    <s v="Brittany"/>
    <s v="Compton"/>
    <x v="1963"/>
    <s v="brittany.compton.1999@gslingacademy.com"/>
    <x v="1"/>
    <x v="1"/>
    <n v="10"/>
    <x v="1"/>
    <n v="5"/>
    <x v="7"/>
    <n v="51"/>
    <s v="C"/>
    <n v="96"/>
    <s v="A+"/>
    <n v="72"/>
    <s v="B+"/>
    <n v="89"/>
    <s v="A"/>
    <n v="95"/>
    <s v="A+"/>
    <n v="88"/>
    <s v="A"/>
    <n v="75"/>
    <s v="A-"/>
    <n v="566"/>
    <n v="80.857142857142861"/>
    <x v="0"/>
    <n v="1019"/>
    <x v="2"/>
  </r>
  <r>
    <n v="2000"/>
    <s v="Natalie"/>
    <s v="Smith"/>
    <x v="1964"/>
    <s v="natalie.smith.2000@gslingacademy.com"/>
    <x v="1"/>
    <x v="0"/>
    <n v="5"/>
    <x v="0"/>
    <n v="27"/>
    <x v="11"/>
    <n v="82"/>
    <s v="A"/>
    <n v="99"/>
    <s v="A+"/>
    <n v="91"/>
    <s v="A+"/>
    <n v="69"/>
    <s v="B"/>
    <n v="83"/>
    <s v="A"/>
    <n v="93"/>
    <s v="A+"/>
    <n v="100"/>
    <s v="A+"/>
    <n v="617"/>
    <n v="88.142857142857139"/>
    <x v="0"/>
    <n v="23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9C3B2C0-1BBE-4DD7-BFDC-4782A9053BB7}" name="PivotTable8" cacheId="0" applyNumberFormats="0" applyBorderFormats="0" applyFontFormats="0" applyPatternFormats="0" applyAlignmentFormats="0" applyWidthHeightFormats="1" dataCaption="Values" updatedVersion="8" minRefreshableVersion="3" useAutoFormatting="1" colGrandTotals="0" itemPrintTitles="1" createdVersion="7" indent="0" outline="1" outlineData="1" multipleFieldFilters="0" chartFormat="5">
  <location ref="H3:I4" firstHeaderRow="0" firstDataRow="1" firstDataCol="0"/>
  <pivotFields count="30">
    <pivotField dataField="1" showAll="0"/>
    <pivotField showAll="0"/>
    <pivotField showAll="0"/>
    <pivotField showAll="0"/>
    <pivotField showAll="0"/>
    <pivotField showAll="0">
      <items count="3">
        <item x="1"/>
        <item x="0"/>
        <item t="default"/>
      </items>
    </pivotField>
    <pivotField showAll="0">
      <items count="5">
        <item x="0"/>
        <item x="1"/>
        <item m="1" x="2"/>
        <item m="1" x="3"/>
        <item t="default"/>
      </items>
    </pivotField>
    <pivotField numFmtId="2" showAll="0"/>
    <pivotField showAll="0">
      <items count="5">
        <item x="0"/>
        <item x="1"/>
        <item m="1" x="2"/>
        <item m="1" x="3"/>
        <item t="default"/>
      </items>
    </pivotField>
    <pivotField showAll="0"/>
    <pivotField showAll="0">
      <items count="18">
        <item x="11"/>
        <item x="3"/>
        <item x="9"/>
        <item x="7"/>
        <item x="13"/>
        <item x="12"/>
        <item x="1"/>
        <item x="14"/>
        <item x="2"/>
        <item x="0"/>
        <item x="16"/>
        <item x="8"/>
        <item x="5"/>
        <item x="15"/>
        <item x="6"/>
        <item x="4"/>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2" showAll="0"/>
    <pivotField showAll="0"/>
    <pivotField showAll="0"/>
    <pivotField showAll="0">
      <items count="4">
        <item x="1"/>
        <item x="0"/>
        <item x="2"/>
        <item t="default"/>
      </items>
    </pivotField>
  </pivotFields>
  <rowItems count="1">
    <i/>
  </rowItems>
  <colFields count="1">
    <field x="-2"/>
  </colFields>
  <colItems count="2">
    <i>
      <x/>
    </i>
    <i i="1">
      <x v="1"/>
    </i>
  </colItems>
  <dataFields count="2">
    <dataField name="Count of ID" fld="0" subtotal="count" baseField="0" baseItem="1" numFmtId="1"/>
    <dataField name="Average of Average " fld="26" subtotal="average" baseField="0" baseItem="1"/>
  </dataFields>
  <formats count="2">
    <format dxfId="30">
      <pivotArea outline="0" collapsedLevelsAreSubtotals="1" fieldPosition="0"/>
    </format>
    <format dxfId="29">
      <pivotArea outline="0" collapsedLevelsAreSubtotals="1" fieldPosition="0">
        <references count="1">
          <reference field="4294967294" count="1" selected="0">
            <x v="0"/>
          </reference>
        </references>
      </pivotArea>
    </format>
  </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B84024E-4B80-46D4-9801-7AC9D13F668F}" name="PivotTable3" cacheId="0" applyNumberFormats="0" applyBorderFormats="0" applyFontFormats="0" applyPatternFormats="0" applyAlignmentFormats="0" applyWidthHeightFormats="1" dataCaption="Values" updatedVersion="8" minRefreshableVersion="3" useAutoFormatting="1" colGrandTotals="0" itemPrintTitles="1" createdVersion="7" indent="0" outline="1" outlineData="1" multipleFieldFilters="0" chartFormat="11">
  <location ref="B21:H22" firstHeaderRow="0" firstDataRow="1" firstDataCol="0"/>
  <pivotFields count="30">
    <pivotField showAll="0"/>
    <pivotField showAll="0"/>
    <pivotField showAll="0"/>
    <pivotField showAll="0"/>
    <pivotField showAll="0"/>
    <pivotField showAll="0">
      <items count="3">
        <item x="1"/>
        <item x="0"/>
        <item t="default"/>
      </items>
    </pivotField>
    <pivotField showAll="0">
      <items count="5">
        <item x="0"/>
        <item x="1"/>
        <item m="1" x="2"/>
        <item m="1" x="3"/>
        <item t="default"/>
      </items>
    </pivotField>
    <pivotField numFmtId="2" showAll="0"/>
    <pivotField showAll="0">
      <items count="5">
        <item x="0"/>
        <item x="1"/>
        <item m="1" x="2"/>
        <item m="1" x="3"/>
        <item t="default"/>
      </items>
    </pivotField>
    <pivotField showAll="0"/>
    <pivotField showAll="0">
      <items count="18">
        <item x="11"/>
        <item x="3"/>
        <item x="9"/>
        <item x="7"/>
        <item x="13"/>
        <item x="12"/>
        <item x="1"/>
        <item x="14"/>
        <item x="2"/>
        <item x="0"/>
        <item x="16"/>
        <item x="8"/>
        <item x="5"/>
        <item x="15"/>
        <item x="6"/>
        <item x="4"/>
        <item x="10"/>
        <item t="default"/>
      </items>
    </pivotField>
    <pivotField dataField="1" showAll="0"/>
    <pivotField showAll="0"/>
    <pivotField dataField="1" showAll="0"/>
    <pivotField showAll="0"/>
    <pivotField dataField="1" showAll="0"/>
    <pivotField showAll="0"/>
    <pivotField dataField="1" showAll="0"/>
    <pivotField showAll="0"/>
    <pivotField dataField="1" showAll="0"/>
    <pivotField showAll="0"/>
    <pivotField dataField="1" showAll="0"/>
    <pivotField showAll="0"/>
    <pivotField dataField="1" showAll="0"/>
    <pivotField showAll="0"/>
    <pivotField showAll="0"/>
    <pivotField numFmtId="2" showAll="0"/>
    <pivotField showAll="0"/>
    <pivotField showAll="0"/>
    <pivotField showAll="0">
      <items count="4">
        <item x="1"/>
        <item x="0"/>
        <item x="2"/>
        <item t="default"/>
      </items>
    </pivotField>
  </pivotFields>
  <rowItems count="1">
    <i/>
  </rowItems>
  <colFields count="1">
    <field x="-2"/>
  </colFields>
  <colItems count="7">
    <i>
      <x/>
    </i>
    <i i="1">
      <x v="1"/>
    </i>
    <i i="2">
      <x v="2"/>
    </i>
    <i i="3">
      <x v="3"/>
    </i>
    <i i="4">
      <x v="4"/>
    </i>
    <i i="5">
      <x v="5"/>
    </i>
    <i i="6">
      <x v="6"/>
    </i>
  </colItems>
  <dataFields count="7">
    <dataField name="Average of Math " fld="11" subtotal="average" baseField="0" baseItem="1"/>
    <dataField name="Average of History " fld="13" subtotal="average" baseField="0" baseItem="1"/>
    <dataField name="Average of Physics " fld="15" subtotal="average" baseField="0" baseItem="1"/>
    <dataField name="Average of Chemistry " fld="17" subtotal="average" baseField="0" baseItem="1"/>
    <dataField name="Average of Biology " fld="19" subtotal="average" baseField="0" baseItem="1"/>
    <dataField name="Average of English " fld="21" subtotal="average" baseField="0" baseItem="1"/>
    <dataField name="Average of Geography " fld="23" subtotal="average" baseField="0" baseItem="1"/>
  </dataFields>
  <formats count="1">
    <format dxfId="31">
      <pivotArea outline="0" collapsedLevelsAreSubtotals="1" fieldPosition="0"/>
    </format>
  </formats>
  <chartFormats count="10">
    <chartFormat chart="4" format="7"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1"/>
          </reference>
        </references>
      </pivotArea>
    </chartFormat>
    <chartFormat chart="4" format="9" series="1">
      <pivotArea type="data" outline="0" fieldPosition="0">
        <references count="1">
          <reference field="4294967294" count="1" selected="0">
            <x v="2"/>
          </reference>
        </references>
      </pivotArea>
    </chartFormat>
    <chartFormat chart="4" format="10" series="1">
      <pivotArea type="data" outline="0" fieldPosition="0">
        <references count="1">
          <reference field="4294967294" count="1" selected="0">
            <x v="3"/>
          </reference>
        </references>
      </pivotArea>
    </chartFormat>
    <chartFormat chart="4" format="11" series="1">
      <pivotArea type="data" outline="0" fieldPosition="0">
        <references count="1">
          <reference field="4294967294" count="1" selected="0">
            <x v="4"/>
          </reference>
        </references>
      </pivotArea>
    </chartFormat>
    <chartFormat chart="4" format="12" series="1">
      <pivotArea type="data" outline="0" fieldPosition="0">
        <references count="1">
          <reference field="4294967294" count="1" selected="0">
            <x v="5"/>
          </reference>
        </references>
      </pivotArea>
    </chartFormat>
    <chartFormat chart="4" format="13" series="1">
      <pivotArea type="data" outline="0" fieldPosition="0">
        <references count="1">
          <reference field="4294967294" count="1" selected="0">
            <x v="6"/>
          </reference>
        </references>
      </pivotArea>
    </chartFormat>
    <chartFormat chart="4" format="14">
      <pivotArea type="data" outline="0" fieldPosition="0">
        <references count="1">
          <reference field="4294967294" count="1" selected="0">
            <x v="0"/>
          </reference>
        </references>
      </pivotArea>
    </chartFormat>
    <chartFormat chart="4" format="15">
      <pivotArea type="data" outline="0" fieldPosition="0">
        <references count="1">
          <reference field="4294967294" count="1" selected="0">
            <x v="5"/>
          </reference>
        </references>
      </pivotArea>
    </chartFormat>
    <chartFormat chart="4" format="16">
      <pivotArea type="data" outline="0" fieldPosition="0">
        <references count="1">
          <reference field="4294967294" count="1" selected="0">
            <x v="1"/>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22CD48-4469-4625-8C36-E8F331AA7DB6}" name="PivotTable12" cacheId="0" applyNumberFormats="0" applyBorderFormats="0" applyFontFormats="0" applyPatternFormats="0" applyAlignmentFormats="0" applyWidthHeightFormats="1" dataCaption="Values" updatedVersion="8" minRefreshableVersion="3" useAutoFormatting="1" colGrandTotals="0" itemPrintTitles="1" createdVersion="7" indent="0" outline="1" outlineData="1" multipleFieldFilters="0" chartFormat="3">
  <location ref="B44:C62" firstHeaderRow="1" firstDataRow="1" firstDataCol="1"/>
  <pivotFields count="30">
    <pivotField showAll="0"/>
    <pivotField showAll="0"/>
    <pivotField showAll="0"/>
    <pivotField showAll="0"/>
    <pivotField showAll="0"/>
    <pivotField showAll="0">
      <items count="3">
        <item x="1"/>
        <item x="0"/>
        <item t="default"/>
      </items>
    </pivotField>
    <pivotField showAll="0">
      <items count="5">
        <item x="0"/>
        <item x="1"/>
        <item m="1" x="2"/>
        <item m="1" x="3"/>
        <item t="default"/>
      </items>
    </pivotField>
    <pivotField numFmtId="2" showAll="0"/>
    <pivotField showAll="0">
      <items count="5">
        <item x="0"/>
        <item x="1"/>
        <item m="1" x="2"/>
        <item m="1" x="3"/>
        <item t="default"/>
      </items>
    </pivotField>
    <pivotField showAll="0"/>
    <pivotField axis="axisRow" showAll="0">
      <items count="18">
        <item x="11"/>
        <item x="3"/>
        <item x="9"/>
        <item x="7"/>
        <item x="13"/>
        <item x="12"/>
        <item x="1"/>
        <item x="14"/>
        <item x="2"/>
        <item x="0"/>
        <item x="16"/>
        <item x="8"/>
        <item x="5"/>
        <item x="15"/>
        <item x="6"/>
        <item x="4"/>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2" showAll="0"/>
    <pivotField showAll="0"/>
    <pivotField showAll="0"/>
    <pivotField showAll="0">
      <items count="4">
        <item x="1"/>
        <item x="0"/>
        <item x="2"/>
        <item t="default"/>
      </items>
    </pivotField>
  </pivotFields>
  <rowFields count="1">
    <field x="10"/>
  </rowFields>
  <rowItems count="18">
    <i>
      <x/>
    </i>
    <i>
      <x v="1"/>
    </i>
    <i>
      <x v="2"/>
    </i>
    <i>
      <x v="3"/>
    </i>
    <i>
      <x v="4"/>
    </i>
    <i>
      <x v="5"/>
    </i>
    <i>
      <x v="6"/>
    </i>
    <i>
      <x v="7"/>
    </i>
    <i>
      <x v="8"/>
    </i>
    <i>
      <x v="9"/>
    </i>
    <i>
      <x v="10"/>
    </i>
    <i>
      <x v="11"/>
    </i>
    <i>
      <x v="12"/>
    </i>
    <i>
      <x v="13"/>
    </i>
    <i>
      <x v="14"/>
    </i>
    <i>
      <x v="15"/>
    </i>
    <i>
      <x v="16"/>
    </i>
    <i t="grand">
      <x/>
    </i>
  </rowItems>
  <colItems count="1">
    <i/>
  </colItems>
  <dataFields count="1">
    <dataField name="Average of Average " fld="26" subtotal="average" baseField="10" baseItem="0" numFmtId="2"/>
  </dataFields>
  <formats count="1">
    <format dxfId="32">
      <pivotArea outline="0" collapsedLevelsAreSubtotals="1" fieldPosition="0"/>
    </format>
  </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78ADEEE-9A0A-4531-901B-0ADD30A0BD81}" name="PivotTable7" cacheId="0" applyNumberFormats="0" applyBorderFormats="0" applyFontFormats="0" applyPatternFormats="0" applyAlignmentFormats="0" applyWidthHeightFormats="1" dataCaption="Values" updatedVersion="8" minRefreshableVersion="3" useAutoFormatting="1" colGrandTotals="0" itemPrintTitles="1" createdVersion="7" indent="0" outline="1" outlineData="1" multipleFieldFilters="0" chartFormat="17">
  <location ref="E8:F12" firstHeaderRow="1" firstDataRow="1" firstDataCol="1"/>
  <pivotFields count="30">
    <pivotField showAll="0"/>
    <pivotField showAll="0"/>
    <pivotField showAll="0"/>
    <pivotField showAll="0"/>
    <pivotField showAll="0"/>
    <pivotField showAll="0">
      <items count="3">
        <item x="1"/>
        <item x="0"/>
        <item t="default"/>
      </items>
    </pivotField>
    <pivotField showAll="0">
      <items count="5">
        <item x="0"/>
        <item x="1"/>
        <item m="1" x="2"/>
        <item m="1" x="3"/>
        <item t="default"/>
      </items>
    </pivotField>
    <pivotField numFmtId="2" showAll="0"/>
    <pivotField showAll="0">
      <items count="5">
        <item x="0"/>
        <item x="1"/>
        <item m="1" x="2"/>
        <item m="1" x="3"/>
        <item t="default"/>
      </items>
    </pivotField>
    <pivotField showAll="0"/>
    <pivotField showAll="0">
      <items count="18">
        <item x="11"/>
        <item x="3"/>
        <item x="9"/>
        <item x="7"/>
        <item x="13"/>
        <item x="12"/>
        <item x="1"/>
        <item x="14"/>
        <item x="2"/>
        <item x="0"/>
        <item x="16"/>
        <item x="8"/>
        <item x="5"/>
        <item x="15"/>
        <item x="6"/>
        <item x="4"/>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2" showAll="0"/>
    <pivotField showAll="0"/>
    <pivotField showAll="0"/>
    <pivotField axis="axisRow" showAll="0">
      <items count="4">
        <item x="1"/>
        <item x="0"/>
        <item x="2"/>
        <item t="default"/>
      </items>
    </pivotField>
  </pivotFields>
  <rowFields count="1">
    <field x="29"/>
  </rowFields>
  <rowItems count="4">
    <i>
      <x/>
    </i>
    <i>
      <x v="1"/>
    </i>
    <i>
      <x v="2"/>
    </i>
    <i t="grand">
      <x/>
    </i>
  </rowItems>
  <colItems count="1">
    <i/>
  </colItems>
  <dataFields count="1">
    <dataField name="Average of Average " fld="26" subtotal="average" baseField="29" baseItem="0"/>
  </dataFields>
  <formats count="1">
    <format dxfId="33">
      <pivotArea outline="0" collapsedLevelsAreSubtotals="1" fieldPosition="0"/>
    </format>
  </formats>
  <chartFormats count="4">
    <chartFormat chart="7" format="1" series="1">
      <pivotArea type="data" outline="0" fieldPosition="0">
        <references count="1">
          <reference field="4294967294" count="1" selected="0">
            <x v="0"/>
          </reference>
        </references>
      </pivotArea>
    </chartFormat>
    <chartFormat chart="7" format="2">
      <pivotArea type="data" outline="0" fieldPosition="0">
        <references count="2">
          <reference field="4294967294" count="1" selected="0">
            <x v="0"/>
          </reference>
          <reference field="29" count="1" selected="0">
            <x v="1"/>
          </reference>
        </references>
      </pivotArea>
    </chartFormat>
    <chartFormat chart="7" format="3">
      <pivotArea type="data" outline="0" fieldPosition="0">
        <references count="2">
          <reference field="4294967294" count="1" selected="0">
            <x v="0"/>
          </reference>
          <reference field="29" count="1" selected="0">
            <x v="2"/>
          </reference>
        </references>
      </pivotArea>
    </chartFormat>
    <chartFormat chart="7" format="4">
      <pivotArea type="data" outline="0" fieldPosition="0">
        <references count="2">
          <reference field="4294967294" count="1" selected="0">
            <x v="0"/>
          </reference>
          <reference field="29" count="1" selected="0">
            <x v="0"/>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2923CAE-C1C7-4C33-9ACF-51A77BC3441F}" name="PivotTable5" cacheId="0" applyNumberFormats="0" applyBorderFormats="0" applyFontFormats="0" applyPatternFormats="0" applyAlignmentFormats="0" applyWidthHeightFormats="1" dataCaption="Values" updatedVersion="8" minRefreshableVersion="3" useAutoFormatting="1" colGrandTotals="0" itemPrintTitles="1" createdVersion="7" indent="0" outline="1" outlineData="1" multipleFieldFilters="0" chartFormat="8">
  <location ref="E3:F6" firstHeaderRow="1" firstDataRow="1" firstDataCol="1"/>
  <pivotFields count="30">
    <pivotField showAll="0"/>
    <pivotField showAll="0"/>
    <pivotField showAll="0"/>
    <pivotField showAll="0"/>
    <pivotField showAll="0"/>
    <pivotField showAll="0">
      <items count="3">
        <item x="1"/>
        <item x="0"/>
        <item t="default"/>
      </items>
    </pivotField>
    <pivotField axis="axisRow" dataField="1" showAll="0">
      <items count="5">
        <item m="1" x="2"/>
        <item m="1" x="3"/>
        <item x="0"/>
        <item x="1"/>
        <item t="default"/>
      </items>
    </pivotField>
    <pivotField numFmtId="2" showAll="0"/>
    <pivotField showAll="0">
      <items count="5">
        <item x="0"/>
        <item x="1"/>
        <item m="1" x="2"/>
        <item m="1" x="3"/>
        <item t="default"/>
      </items>
    </pivotField>
    <pivotField showAll="0"/>
    <pivotField showAll="0">
      <items count="18">
        <item x="11"/>
        <item x="3"/>
        <item x="9"/>
        <item x="7"/>
        <item x="13"/>
        <item x="12"/>
        <item x="1"/>
        <item x="14"/>
        <item x="2"/>
        <item x="0"/>
        <item x="16"/>
        <item x="8"/>
        <item x="5"/>
        <item x="15"/>
        <item x="6"/>
        <item x="4"/>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showAll="0"/>
    <pivotField showAll="0"/>
    <pivotField showAll="0">
      <items count="4">
        <item x="1"/>
        <item x="0"/>
        <item x="2"/>
        <item t="default"/>
      </items>
    </pivotField>
  </pivotFields>
  <rowFields count="1">
    <field x="6"/>
  </rowFields>
  <rowItems count="3">
    <i>
      <x v="2"/>
    </i>
    <i>
      <x v="3"/>
    </i>
    <i t="grand">
      <x/>
    </i>
  </rowItems>
  <colItems count="1">
    <i/>
  </colItems>
  <dataFields count="1">
    <dataField name="Count of Part Time _x000a_Job" fld="6" subtotal="count" baseField="0" baseItem="0" numFmtId="1"/>
  </dataFields>
  <formats count="1">
    <format dxfId="34">
      <pivotArea outline="0" collapsedLevelsAreSubtotals="1" fieldPosition="0"/>
    </format>
  </formats>
  <chartFormats count="11">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6" count="1" selected="0">
            <x v="1"/>
          </reference>
        </references>
      </pivotArea>
    </chartFormat>
    <chartFormat chart="4" format="6">
      <pivotArea type="data" outline="0" fieldPosition="0">
        <references count="2">
          <reference field="4294967294" count="1" selected="0">
            <x v="0"/>
          </reference>
          <reference field="6" count="1" selected="0">
            <x v="0"/>
          </reference>
        </references>
      </pivotArea>
    </chartFormat>
    <chartFormat chart="4" format="7">
      <pivotArea type="data" outline="0" fieldPosition="0">
        <references count="2">
          <reference field="4294967294" count="1" selected="0">
            <x v="0"/>
          </reference>
          <reference field="6" count="1" selected="0">
            <x v="3"/>
          </reference>
        </references>
      </pivotArea>
    </chartFormat>
    <chartFormat chart="4" format="8">
      <pivotArea type="data" outline="0" fieldPosition="0">
        <references count="2">
          <reference field="4294967294" count="1" selected="0">
            <x v="0"/>
          </reference>
          <reference field="6" count="1" selected="0">
            <x v="2"/>
          </reference>
        </references>
      </pivotArea>
    </chartFormat>
    <chartFormat chart="6" format="9" series="1">
      <pivotArea type="data" outline="0" fieldPosition="0">
        <references count="1">
          <reference field="4294967294" count="1" selected="0">
            <x v="0"/>
          </reference>
        </references>
      </pivotArea>
    </chartFormat>
    <chartFormat chart="6" format="10">
      <pivotArea type="data" outline="0" fieldPosition="0">
        <references count="2">
          <reference field="4294967294" count="1" selected="0">
            <x v="0"/>
          </reference>
          <reference field="6" count="1" selected="0">
            <x v="2"/>
          </reference>
        </references>
      </pivotArea>
    </chartFormat>
    <chartFormat chart="6" format="11">
      <pivotArea type="data" outline="0" fieldPosition="0">
        <references count="2">
          <reference field="4294967294" count="1" selected="0">
            <x v="0"/>
          </reference>
          <reference field="6" count="1" selected="0">
            <x v="3"/>
          </reference>
        </references>
      </pivotArea>
    </chartFormat>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6" count="1" selected="0">
            <x v="2"/>
          </reference>
        </references>
      </pivotArea>
    </chartFormat>
    <chartFormat chart="7" format="14">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836797D-A5E4-4E7C-8DB3-D4AF87998586}" name="PivotTable6" cacheId="0" applyNumberFormats="0" applyBorderFormats="0" applyFontFormats="0" applyPatternFormats="0" applyAlignmentFormats="0" applyWidthHeightFormats="1" dataCaption="Values" updatedVersion="8" minRefreshableVersion="3" useAutoFormatting="1" colGrandTotals="0" itemPrintTitles="1" createdVersion="7" indent="0" outline="1" outlineData="1" multipleFieldFilters="0" chartFormat="4">
  <location ref="E24:G35" firstHeaderRow="0" firstDataRow="1" firstDataCol="1"/>
  <pivotFields count="30">
    <pivotField showAll="0"/>
    <pivotField showAll="0"/>
    <pivotField showAll="0"/>
    <pivotField axis="axisRow" showAll="0" measureFilter="1" sortType="descending">
      <items count="1966">
        <item x="1445"/>
        <item x="1565"/>
        <item x="678"/>
        <item x="86"/>
        <item x="660"/>
        <item x="1918"/>
        <item x="245"/>
        <item x="1934"/>
        <item x="229"/>
        <item x="607"/>
        <item x="1396"/>
        <item x="1728"/>
        <item x="741"/>
        <item x="1344"/>
        <item x="1786"/>
        <item x="720"/>
        <item x="675"/>
        <item x="929"/>
        <item x="590"/>
        <item x="1659"/>
        <item x="850"/>
        <item x="152"/>
        <item x="1079"/>
        <item x="767"/>
        <item x="1525"/>
        <item x="88"/>
        <item x="620"/>
        <item x="372"/>
        <item x="1558"/>
        <item x="1787"/>
        <item x="521"/>
        <item x="1675"/>
        <item x="484"/>
        <item x="266"/>
        <item x="592"/>
        <item x="122"/>
        <item x="1039"/>
        <item x="1874"/>
        <item x="567"/>
        <item x="341"/>
        <item x="1840"/>
        <item x="301"/>
        <item x="630"/>
        <item x="1012"/>
        <item x="1353"/>
        <item x="251"/>
        <item x="277"/>
        <item x="594"/>
        <item x="1806"/>
        <item x="1597"/>
        <item x="94"/>
        <item x="982"/>
        <item x="181"/>
        <item x="494"/>
        <item x="1933"/>
        <item x="472"/>
        <item x="947"/>
        <item x="144"/>
        <item x="1171"/>
        <item x="1836"/>
        <item x="16"/>
        <item x="1915"/>
        <item x="1111"/>
        <item x="63"/>
        <item x="224"/>
        <item x="191"/>
        <item x="684"/>
        <item x="861"/>
        <item x="904"/>
        <item x="1512"/>
        <item x="640"/>
        <item x="1774"/>
        <item x="1164"/>
        <item x="1743"/>
        <item x="1278"/>
        <item x="580"/>
        <item x="785"/>
        <item x="994"/>
        <item x="161"/>
        <item x="765"/>
        <item x="1086"/>
        <item x="1074"/>
        <item x="211"/>
        <item x="615"/>
        <item x="787"/>
        <item x="1898"/>
        <item x="309"/>
        <item x="296"/>
        <item x="1912"/>
        <item x="365"/>
        <item x="1198"/>
        <item x="734"/>
        <item x="1228"/>
        <item x="176"/>
        <item x="255"/>
        <item x="1380"/>
        <item x="1758"/>
        <item x="1772"/>
        <item x="1220"/>
        <item x="1713"/>
        <item x="1596"/>
        <item x="1276"/>
        <item x="777"/>
        <item x="516"/>
        <item x="576"/>
        <item x="1585"/>
        <item x="1785"/>
        <item x="131"/>
        <item x="1803"/>
        <item x="810"/>
        <item x="2"/>
        <item x="1161"/>
        <item x="593"/>
        <item x="393"/>
        <item x="369"/>
        <item x="1235"/>
        <item x="1462"/>
        <item x="863"/>
        <item x="32"/>
        <item x="922"/>
        <item x="1297"/>
        <item x="209"/>
        <item x="20"/>
        <item x="1844"/>
        <item x="1932"/>
        <item x="800"/>
        <item x="311"/>
        <item x="194"/>
        <item x="926"/>
        <item x="96"/>
        <item x="1712"/>
        <item x="743"/>
        <item x="1608"/>
        <item x="1636"/>
        <item x="495"/>
        <item x="1432"/>
        <item x="925"/>
        <item x="674"/>
        <item x="1469"/>
        <item x="824"/>
        <item x="1961"/>
        <item x="1097"/>
        <item x="737"/>
        <item x="532"/>
        <item x="1350"/>
        <item x="1759"/>
        <item x="1753"/>
        <item x="1368"/>
        <item x="217"/>
        <item x="722"/>
        <item x="559"/>
        <item x="1022"/>
        <item x="1163"/>
        <item x="299"/>
        <item x="572"/>
        <item x="1239"/>
        <item x="400"/>
        <item x="1697"/>
        <item x="762"/>
        <item x="920"/>
        <item x="479"/>
        <item x="1393"/>
        <item x="460"/>
        <item x="318"/>
        <item x="685"/>
        <item x="1649"/>
        <item x="656"/>
        <item x="3"/>
        <item x="147"/>
        <item x="584"/>
        <item x="256"/>
        <item x="1660"/>
        <item x="213"/>
        <item x="601"/>
        <item x="490"/>
        <item x="350"/>
        <item x="1133"/>
        <item x="440"/>
        <item x="502"/>
        <item x="972"/>
        <item x="1581"/>
        <item x="379"/>
        <item x="1729"/>
        <item x="354"/>
        <item x="329"/>
        <item x="1890"/>
        <item x="1404"/>
        <item x="965"/>
        <item x="1237"/>
        <item x="989"/>
        <item x="457"/>
        <item x="600"/>
        <item x="709"/>
        <item x="499"/>
        <item x="1298"/>
        <item x="447"/>
        <item x="222"/>
        <item x="1802"/>
        <item x="187"/>
        <item x="66"/>
        <item x="1371"/>
        <item x="1913"/>
        <item x="491"/>
        <item x="809"/>
        <item x="1959"/>
        <item x="1009"/>
        <item x="646"/>
        <item x="389"/>
        <item x="317"/>
        <item x="325"/>
        <item x="817"/>
        <item x="1088"/>
        <item x="1521"/>
        <item x="1114"/>
        <item x="150"/>
        <item x="102"/>
        <item x="1620"/>
        <item x="493"/>
        <item x="1519"/>
        <item x="1505"/>
        <item x="1270"/>
        <item x="1465"/>
        <item x="1625"/>
        <item x="1261"/>
        <item x="1347"/>
        <item x="1472"/>
        <item x="862"/>
        <item x="1616"/>
        <item x="469"/>
        <item x="841"/>
        <item x="1123"/>
        <item x="8"/>
        <item x="1392"/>
        <item x="247"/>
        <item x="1296"/>
        <item x="791"/>
        <item x="1480"/>
        <item x="49"/>
        <item x="188"/>
        <item x="1066"/>
        <item x="143"/>
        <item x="563"/>
        <item x="1900"/>
        <item x="914"/>
        <item x="1364"/>
        <item x="955"/>
        <item x="1457"/>
        <item x="257"/>
        <item x="366"/>
        <item x="1662"/>
        <item x="1958"/>
        <item x="78"/>
        <item x="1260"/>
        <item x="1259"/>
        <item x="876"/>
        <item x="470"/>
        <item x="1775"/>
        <item x="1087"/>
        <item x="710"/>
        <item x="1734"/>
        <item x="22"/>
        <item x="1255"/>
        <item x="951"/>
        <item x="840"/>
        <item x="1536"/>
        <item x="1822"/>
        <item x="1946"/>
        <item x="1709"/>
        <item x="483"/>
        <item x="626"/>
        <item x="776"/>
        <item x="1267"/>
        <item x="1333"/>
        <item x="23"/>
        <item x="1195"/>
        <item x="539"/>
        <item x="1167"/>
        <item x="887"/>
        <item x="1283"/>
        <item x="963"/>
        <item x="335"/>
        <item x="1144"/>
        <item x="1654"/>
        <item x="1129"/>
        <item x="1008"/>
        <item x="1483"/>
        <item x="259"/>
        <item x="297"/>
        <item x="853"/>
        <item x="1029"/>
        <item x="986"/>
        <item x="1013"/>
        <item x="744"/>
        <item x="1875"/>
        <item x="1200"/>
        <item x="1768"/>
        <item x="503"/>
        <item x="387"/>
        <item x="51"/>
        <item x="508"/>
        <item x="408"/>
        <item x="419"/>
        <item x="886"/>
        <item x="459"/>
        <item x="1376"/>
        <item x="352"/>
        <item x="1309"/>
        <item x="1954"/>
        <item x="659"/>
        <item x="1027"/>
        <item x="1427"/>
        <item x="1106"/>
        <item x="215"/>
        <item x="1463"/>
        <item x="1486"/>
        <item x="1243"/>
        <item x="395"/>
        <item x="1687"/>
        <item x="605"/>
        <item x="952"/>
        <item x="1090"/>
        <item x="1926"/>
        <item x="304"/>
        <item x="1853"/>
        <item x="642"/>
        <item x="1183"/>
        <item x="822"/>
        <item x="159"/>
        <item x="889"/>
        <item x="1248"/>
        <item x="1268"/>
        <item x="36"/>
        <item x="351"/>
        <item x="1258"/>
        <item x="449"/>
        <item x="617"/>
        <item x="717"/>
        <item x="1442"/>
        <item x="900"/>
        <item x="1067"/>
        <item x="690"/>
        <item x="1138"/>
        <item x="1668"/>
        <item x="1192"/>
        <item x="1429"/>
        <item x="1211"/>
        <item x="15"/>
        <item x="1408"/>
        <item x="437"/>
        <item x="1815"/>
        <item x="1110"/>
        <item x="289"/>
        <item x="1303"/>
        <item x="1610"/>
        <item x="1365"/>
        <item x="1871"/>
        <item x="1311"/>
        <item x="227"/>
        <item x="113"/>
        <item x="897"/>
        <item x="248"/>
        <item x="276"/>
        <item x="1148"/>
        <item x="91"/>
        <item x="1663"/>
        <item x="206"/>
        <item x="1632"/>
        <item x="342"/>
        <item x="701"/>
        <item x="114"/>
        <item x="1541"/>
        <item x="524"/>
        <item x="246"/>
        <item x="1229"/>
        <item x="1529"/>
        <item x="1269"/>
        <item x="1010"/>
        <item x="223"/>
        <item x="783"/>
        <item x="1290"/>
        <item x="1523"/>
        <item x="1068"/>
        <item x="87"/>
        <item x="843"/>
        <item x="573"/>
        <item x="1674"/>
        <item x="346"/>
        <item x="1184"/>
        <item x="946"/>
        <item x="1354"/>
        <item x="692"/>
        <item x="703"/>
        <item x="1628"/>
        <item x="1835"/>
        <item x="1434"/>
        <item x="1054"/>
        <item x="1761"/>
        <item x="464"/>
        <item x="278"/>
        <item x="1771"/>
        <item x="171"/>
        <item x="1571"/>
        <item x="1586"/>
        <item x="99"/>
        <item x="443"/>
        <item x="76"/>
        <item x="1831"/>
        <item x="413"/>
        <item x="1514"/>
        <item x="1805"/>
        <item x="907"/>
        <item x="1071"/>
        <item x="1390"/>
        <item x="1150"/>
        <item x="1154"/>
        <item x="1680"/>
        <item x="169"/>
        <item x="884"/>
        <item x="1103"/>
        <item x="818"/>
        <item x="1049"/>
        <item x="1162"/>
        <item x="1777"/>
        <item x="1816"/>
        <item x="1279"/>
        <item x="1124"/>
        <item x="1883"/>
        <item x="1044"/>
        <item x="758"/>
        <item x="68"/>
        <item x="959"/>
        <item x="273"/>
        <item x="837"/>
        <item x="1182"/>
        <item x="1332"/>
        <item x="1473"/>
        <item x="1857"/>
        <item x="649"/>
        <item x="1263"/>
        <item x="183"/>
        <item x="267"/>
        <item x="924"/>
        <item x="1094"/>
        <item x="993"/>
        <item x="220"/>
        <item x="1634"/>
        <item x="531"/>
        <item x="33"/>
        <item x="687"/>
        <item x="1231"/>
        <item x="664"/>
        <item x="108"/>
        <item x="650"/>
        <item x="1466"/>
        <item x="782"/>
        <item x="1506"/>
        <item x="1817"/>
        <item x="1925"/>
        <item x="1435"/>
        <item x="27"/>
        <item x="239"/>
        <item x="1452"/>
        <item x="285"/>
        <item x="189"/>
        <item x="1924"/>
        <item x="1550"/>
        <item x="1117"/>
        <item x="549"/>
        <item x="405"/>
        <item x="1548"/>
        <item x="1406"/>
        <item x="506"/>
        <item x="0"/>
        <item x="1931"/>
        <item x="934"/>
        <item x="274"/>
        <item x="430"/>
        <item x="89"/>
        <item x="988"/>
        <item x="826"/>
        <item x="375"/>
        <item x="1051"/>
        <item x="385"/>
        <item x="868"/>
        <item x="1652"/>
        <item x="1329"/>
        <item x="1865"/>
        <item x="1369"/>
        <item x="1723"/>
        <item x="418"/>
        <item x="641"/>
        <item x="265"/>
        <item x="12"/>
        <item x="1409"/>
        <item x="1859"/>
        <item x="25"/>
        <item x="291"/>
        <item x="1914"/>
        <item x="772"/>
        <item x="1331"/>
        <item x="13"/>
        <item x="568"/>
        <item x="652"/>
        <item x="996"/>
        <item x="1868"/>
        <item x="968"/>
        <item x="893"/>
        <item x="43"/>
        <item x="985"/>
        <item x="1474"/>
        <item x="1424"/>
        <item x="909"/>
        <item x="992"/>
        <item x="1673"/>
        <item x="1864"/>
        <item x="1102"/>
        <item x="877"/>
        <item x="753"/>
        <item x="1169"/>
        <item x="881"/>
        <item x="1739"/>
        <item x="1441"/>
        <item x="1299"/>
        <item x="1451"/>
        <item x="1343"/>
        <item x="653"/>
        <item x="1128"/>
        <item x="361"/>
        <item x="917"/>
        <item x="1038"/>
        <item x="1157"/>
        <item x="1526"/>
        <item x="261"/>
        <item x="738"/>
        <item x="1386"/>
        <item x="450"/>
        <item x="390"/>
        <item x="1642"/>
        <item x="162"/>
        <item x="1075"/>
        <item x="253"/>
        <item x="258"/>
        <item x="1832"/>
        <item x="1383"/>
        <item x="429"/>
        <item x="1058"/>
        <item x="95"/>
        <item x="892"/>
        <item x="1032"/>
        <item x="1621"/>
        <item x="1964"/>
        <item x="93"/>
        <item x="1530"/>
        <item x="1334"/>
        <item x="1062"/>
        <item x="282"/>
        <item x="153"/>
        <item x="1656"/>
        <item x="315"/>
        <item x="1508"/>
        <item x="1174"/>
        <item x="1194"/>
        <item x="504"/>
        <item x="1741"/>
        <item x="424"/>
        <item x="540"/>
        <item x="1602"/>
        <item x="1721"/>
        <item x="806"/>
        <item x="1681"/>
        <item x="1405"/>
        <item x="1733"/>
        <item x="326"/>
        <item x="308"/>
        <item x="1500"/>
        <item x="190"/>
        <item x="1848"/>
        <item x="38"/>
        <item x="1146"/>
        <item x="534"/>
        <item x="60"/>
        <item x="442"/>
        <item x="538"/>
        <item x="599"/>
        <item x="1178"/>
        <item x="1096"/>
        <item x="670"/>
        <item x="1894"/>
        <item x="136"/>
        <item x="1464"/>
        <item x="1206"/>
        <item x="1826"/>
        <item x="208"/>
        <item x="1762"/>
        <item x="1795"/>
        <item x="234"/>
        <item x="1905"/>
        <item x="795"/>
        <item x="1880"/>
        <item x="694"/>
        <item x="714"/>
        <item x="644"/>
        <item x="1437"/>
        <item x="1440"/>
        <item x="569"/>
        <item x="158"/>
        <item x="1028"/>
        <item x="1927"/>
        <item x="923"/>
        <item x="128"/>
        <item x="522"/>
        <item x="911"/>
        <item x="1811"/>
        <item x="1135"/>
        <item x="1540"/>
        <item x="72"/>
        <item x="688"/>
        <item x="732"/>
        <item x="1892"/>
        <item x="1511"/>
        <item x="1797"/>
        <item x="37"/>
        <item x="1410"/>
        <item x="1720"/>
        <item x="1819"/>
        <item x="489"/>
        <item x="1011"/>
        <item x="467"/>
        <item x="1736"/>
        <item x="856"/>
        <item x="763"/>
        <item x="1904"/>
        <item x="588"/>
        <item x="527"/>
        <item x="1060"/>
        <item x="381"/>
        <item x="1109"/>
        <item x="1902"/>
        <item x="1411"/>
        <item x="212"/>
        <item x="945"/>
        <item x="1584"/>
        <item x="1878"/>
        <item x="268"/>
        <item x="56"/>
        <item x="343"/>
        <item x="1497"/>
        <item x="270"/>
        <item x="610"/>
        <item x="1798"/>
        <item x="966"/>
        <item x="873"/>
        <item x="1911"/>
        <item x="1245"/>
        <item x="1168"/>
        <item x="1531"/>
        <item x="414"/>
        <item x="859"/>
        <item x="706"/>
        <item x="517"/>
        <item x="628"/>
        <item x="634"/>
        <item x="1920"/>
        <item x="836"/>
        <item x="586"/>
        <item x="1543"/>
        <item x="944"/>
        <item x="438"/>
        <item x="1468"/>
        <item x="901"/>
        <item x="204"/>
        <item x="17"/>
        <item x="928"/>
        <item x="1306"/>
        <item x="995"/>
        <item x="1852"/>
        <item x="1490"/>
        <item x="1025"/>
        <item x="1063"/>
        <item x="154"/>
        <item x="1646"/>
        <item x="797"/>
        <item x="415"/>
        <item x="444"/>
        <item x="912"/>
        <item x="146"/>
        <item x="205"/>
        <item x="368"/>
        <item x="1232"/>
        <item x="1906"/>
        <item x="784"/>
        <item x="492"/>
        <item x="1518"/>
        <item x="844"/>
        <item x="1210"/>
        <item x="1638"/>
        <item x="327"/>
        <item x="1120"/>
        <item x="439"/>
        <item x="801"/>
        <item x="612"/>
        <item x="779"/>
        <item x="1776"/>
        <item x="1948"/>
        <item x="757"/>
        <item x="1015"/>
        <item x="798"/>
        <item x="834"/>
        <item x="1403"/>
        <item x="1295"/>
        <item x="1035"/>
        <item x="1779"/>
        <item x="766"/>
        <item x="145"/>
        <item x="1448"/>
        <item x="1166"/>
        <item x="1489"/>
        <item x="496"/>
        <item x="1455"/>
        <item x="624"/>
        <item x="195"/>
        <item x="1696"/>
        <item x="1877"/>
        <item x="1671"/>
        <item x="1537"/>
        <item x="1246"/>
        <item x="536"/>
        <item x="719"/>
        <item x="1708"/>
        <item x="126"/>
        <item x="1287"/>
        <item x="216"/>
        <item x="1582"/>
        <item x="1048"/>
        <item x="482"/>
        <item x="802"/>
        <item x="932"/>
        <item x="1724"/>
        <item x="718"/>
        <item x="636"/>
        <item x="712"/>
        <item x="1137"/>
        <item x="1324"/>
        <item x="1072"/>
        <item x="1800"/>
        <item x="1257"/>
        <item x="466"/>
        <item x="1273"/>
        <item x="471"/>
        <item x="140"/>
        <item x="392"/>
        <item x="477"/>
        <item x="1113"/>
        <item x="475"/>
        <item x="1962"/>
        <item x="948"/>
        <item x="1555"/>
        <item x="1598"/>
        <item x="52"/>
        <item x="583"/>
        <item x="1870"/>
        <item x="1793"/>
        <item x="1645"/>
        <item x="1556"/>
        <item x="811"/>
        <item x="921"/>
        <item x="1274"/>
        <item x="71"/>
        <item x="448"/>
        <item x="1631"/>
        <item x="1294"/>
        <item x="874"/>
        <item x="1219"/>
        <item x="622"/>
        <item x="182"/>
        <item x="288"/>
        <item x="124"/>
        <item x="1938"/>
        <item x="1941"/>
        <item x="1699"/>
        <item x="164"/>
        <item x="1907"/>
        <item x="691"/>
        <item x="794"/>
        <item x="657"/>
        <item x="80"/>
        <item x="230"/>
        <item x="1482"/>
        <item x="1763"/>
        <item x="752"/>
        <item x="34"/>
        <item x="851"/>
        <item x="1342"/>
        <item x="1619"/>
        <item x="631"/>
        <item x="1624"/>
        <item x="1173"/>
        <item x="1122"/>
        <item x="637"/>
        <item x="53"/>
        <item x="597"/>
        <item x="1688"/>
        <item x="581"/>
        <item x="727"/>
        <item x="1026"/>
        <item x="1207"/>
        <item x="233"/>
        <item x="643"/>
        <item x="1568"/>
        <item x="1820"/>
        <item x="846"/>
        <item x="908"/>
        <item x="711"/>
        <item x="138"/>
        <item x="883"/>
        <item x="668"/>
        <item x="1606"/>
        <item x="305"/>
        <item x="537"/>
        <item x="1187"/>
        <item x="42"/>
        <item x="1850"/>
        <item x="661"/>
        <item x="1340"/>
        <item x="1790"/>
        <item x="956"/>
        <item x="1557"/>
        <item x="1130"/>
        <item x="1493"/>
        <item x="1589"/>
        <item x="980"/>
        <item x="905"/>
        <item x="293"/>
        <item x="651"/>
        <item x="165"/>
        <item x="324"/>
        <item x="14"/>
        <item x="339"/>
        <item x="1373"/>
        <item x="1399"/>
        <item x="1672"/>
        <item x="1698"/>
        <item x="1018"/>
        <item x="730"/>
        <item x="1208"/>
        <item x="380"/>
        <item x="454"/>
        <item x="977"/>
        <item x="1046"/>
        <item x="21"/>
        <item x="623"/>
        <item x="1655"/>
        <item x="1391"/>
        <item x="1830"/>
        <item x="1886"/>
        <item x="235"/>
        <item x="1706"/>
        <item x="1073"/>
        <item x="65"/>
        <item x="1839"/>
        <item x="547"/>
        <item x="362"/>
        <item x="1559"/>
        <item x="1942"/>
        <item x="1756"/>
        <item x="1271"/>
        <item x="373"/>
        <item x="1384"/>
        <item x="1326"/>
        <item x="461"/>
        <item x="98"/>
        <item x="359"/>
        <item x="1936"/>
        <item x="1694"/>
        <item x="1498"/>
        <item x="1212"/>
        <item x="186"/>
        <item x="1754"/>
        <item x="48"/>
        <item x="1078"/>
        <item x="1823"/>
        <item x="1450"/>
        <item x="1517"/>
        <item x="1701"/>
        <item x="70"/>
        <item x="1661"/>
        <item x="1197"/>
        <item x="275"/>
        <item x="852"/>
        <item x="1535"/>
        <item x="320"/>
        <item x="895"/>
        <item x="1629"/>
        <item x="825"/>
        <item x="1503"/>
        <item x="1711"/>
        <item x="1400"/>
        <item x="1460"/>
        <item x="1253"/>
        <item x="609"/>
        <item x="1335"/>
        <item x="271"/>
        <item x="1172"/>
        <item x="1057"/>
        <item x="334"/>
        <item x="1056"/>
        <item x="1083"/>
        <item x="1635"/>
        <item x="328"/>
        <item x="45"/>
        <item x="682"/>
        <item x="616"/>
        <item x="1256"/>
        <item x="501"/>
        <item x="1639"/>
        <item x="804"/>
        <item x="112"/>
        <item x="1570"/>
        <item x="5"/>
        <item x="603"/>
        <item x="488"/>
        <item x="790"/>
        <item x="716"/>
        <item x="1180"/>
        <item x="35"/>
        <item x="713"/>
        <item x="842"/>
        <item x="232"/>
        <item x="1703"/>
        <item x="1534"/>
        <item x="1401"/>
        <item x="1593"/>
        <item x="1507"/>
        <item x="1242"/>
        <item x="669"/>
        <item x="1319"/>
        <item x="1422"/>
        <item x="1412"/>
        <item x="1134"/>
        <item x="541"/>
        <item x="198"/>
        <item x="1337"/>
        <item x="1320"/>
        <item x="1244"/>
        <item x="1576"/>
        <item x="1188"/>
        <item x="1549"/>
        <item x="1867"/>
        <item x="666"/>
        <item x="978"/>
        <item x="1131"/>
        <item x="1036"/>
        <item x="1042"/>
        <item x="1443"/>
        <item x="497"/>
        <item x="756"/>
        <item x="197"/>
        <item x="252"/>
        <item x="1767"/>
        <item x="1601"/>
        <item x="1887"/>
        <item x="1515"/>
        <item x="1715"/>
        <item x="1522"/>
        <item x="556"/>
        <item x="974"/>
        <item x="953"/>
        <item x="1594"/>
        <item x="865"/>
        <item x="1683"/>
        <item x="728"/>
        <item x="553"/>
        <item x="1217"/>
        <item x="481"/>
        <item x="371"/>
        <item x="1846"/>
        <item x="1394"/>
        <item x="1305"/>
        <item x="1366"/>
        <item x="148"/>
        <item x="1317"/>
        <item x="1664"/>
        <item x="294"/>
        <item x="1748"/>
        <item x="1562"/>
        <item x="705"/>
        <item x="778"/>
        <item x="1126"/>
        <item x="815"/>
        <item x="621"/>
        <item x="1705"/>
        <item x="1458"/>
        <item x="1845"/>
        <item x="1949"/>
        <item x="353"/>
        <item x="613"/>
        <item x="742"/>
        <item x="614"/>
        <item x="109"/>
        <item x="1692"/>
        <item x="1588"/>
        <item x="1765"/>
        <item x="1532"/>
        <item x="1784"/>
        <item x="445"/>
        <item x="451"/>
        <item x="1397"/>
        <item x="1024"/>
        <item x="1577"/>
        <item x="218"/>
        <item x="1254"/>
        <item x="298"/>
        <item x="1745"/>
        <item x="383"/>
        <item x="871"/>
        <item x="1885"/>
        <item x="888"/>
        <item x="1716"/>
        <item x="574"/>
        <item x="1794"/>
        <item x="1378"/>
        <item x="1807"/>
        <item x="1007"/>
        <item x="1348"/>
        <item x="1095"/>
        <item x="729"/>
        <item x="1520"/>
        <item x="667"/>
        <item x="280"/>
        <item x="1351"/>
        <item x="1085"/>
        <item x="1407"/>
        <item x="200"/>
        <item x="1017"/>
        <item x="119"/>
        <item x="1799"/>
        <item x="18"/>
        <item x="1757"/>
        <item x="1609"/>
        <item x="1431"/>
        <item x="1101"/>
        <item x="1099"/>
        <item x="1552"/>
        <item x="1686"/>
        <item x="1828"/>
        <item x="1081"/>
        <item x="1433"/>
        <item x="1252"/>
        <item x="913"/>
        <item x="1224"/>
        <item x="1501"/>
        <item x="1957"/>
        <item x="1361"/>
        <item x="562"/>
        <item x="511"/>
        <item x="1833"/>
        <item x="314"/>
        <item x="500"/>
        <item x="1395"/>
        <item x="1093"/>
        <item x="1316"/>
        <item x="808"/>
        <item x="665"/>
        <item x="1023"/>
        <item x="1788"/>
        <item x="237"/>
        <item x="885"/>
        <item x="386"/>
        <item x="175"/>
        <item x="1689"/>
        <item x="172"/>
        <item x="973"/>
        <item x="1677"/>
        <item x="412"/>
        <item x="313"/>
        <item x="210"/>
        <item x="316"/>
        <item x="1084"/>
        <item x="1438"/>
        <item x="134"/>
        <item x="1000"/>
        <item x="1218"/>
        <item x="1456"/>
        <item x="185"/>
        <item x="780"/>
        <item x="1583"/>
        <item x="1105"/>
        <item x="1858"/>
        <item x="425"/>
        <item x="69"/>
        <item x="455"/>
        <item x="1578"/>
        <item x="1019"/>
        <item x="1213"/>
        <item x="41"/>
        <item x="1284"/>
        <item x="799"/>
        <item x="899"/>
        <item x="847"/>
        <item x="262"/>
        <item x="1143"/>
        <item x="1203"/>
        <item x="875"/>
        <item x="1461"/>
        <item x="446"/>
        <item x="1421"/>
        <item x="927"/>
        <item x="1488"/>
        <item x="1605"/>
        <item x="579"/>
        <item x="1746"/>
        <item x="1151"/>
        <item x="306"/>
        <item x="137"/>
        <item x="1921"/>
        <item x="1685"/>
        <item x="761"/>
        <item x="1233"/>
        <item x="1016"/>
        <item x="1516"/>
        <item x="1355"/>
        <item x="474"/>
        <item x="796"/>
        <item x="1563"/>
        <item x="1328"/>
        <item x="1891"/>
        <item x="1152"/>
        <item x="434"/>
        <item x="242"/>
        <item x="1423"/>
        <item x="1789"/>
        <item x="595"/>
        <item x="174"/>
        <item x="1385"/>
        <item x="671"/>
        <item x="1358"/>
        <item x="519"/>
        <item x="184"/>
        <item x="1449"/>
        <item x="676"/>
        <item x="1149"/>
        <item x="417"/>
        <item x="560"/>
        <item x="936"/>
        <item x="1613"/>
        <item x="1092"/>
        <item x="1735"/>
        <item x="55"/>
        <item x="123"/>
        <item x="1418"/>
        <item x="1292"/>
        <item x="1670"/>
        <item x="1930"/>
        <item x="1266"/>
        <item x="426"/>
        <item x="1312"/>
        <item x="602"/>
        <item x="902"/>
        <item x="1426"/>
        <item x="75"/>
        <item x="1491"/>
        <item x="1387"/>
        <item x="960"/>
        <item x="1417"/>
        <item x="1647"/>
        <item x="201"/>
        <item x="85"/>
        <item x="1201"/>
        <item x="839"/>
        <item x="814"/>
        <item x="964"/>
        <item x="1492"/>
        <item x="421"/>
        <item x="812"/>
        <item x="331"/>
        <item x="677"/>
        <item x="1479"/>
        <item x="1882"/>
        <item x="1041"/>
        <item x="813"/>
        <item x="1476"/>
        <item x="360"/>
        <item x="28"/>
        <item x="1307"/>
        <item x="654"/>
        <item x="997"/>
        <item x="681"/>
        <item x="745"/>
        <item x="1413"/>
        <item x="26"/>
        <item x="933"/>
        <item x="1564"/>
        <item x="1402"/>
        <item x="422"/>
        <item x="1650"/>
        <item x="180"/>
        <item x="420"/>
        <item x="1352"/>
        <item x="1052"/>
        <item x="478"/>
        <item x="54"/>
        <item x="388"/>
        <item x="1755"/>
        <item x="1821"/>
        <item x="338"/>
        <item x="101"/>
        <item x="1356"/>
        <item x="139"/>
        <item x="1863"/>
        <item x="1682"/>
        <item x="90"/>
        <item x="819"/>
        <item x="849"/>
        <item x="263"/>
        <item x="696"/>
        <item x="1897"/>
        <item x="1737"/>
        <item x="1929"/>
        <item x="441"/>
        <item x="83"/>
        <item x="1614"/>
        <item x="1439"/>
        <item x="382"/>
        <item x="707"/>
        <item x="1935"/>
        <item x="830"/>
        <item x="1053"/>
        <item x="721"/>
        <item x="1272"/>
        <item x="1070"/>
        <item x="1221"/>
        <item x="1222"/>
        <item x="760"/>
        <item x="999"/>
        <item x="1740"/>
        <item x="121"/>
        <item x="284"/>
        <item x="1014"/>
        <item x="269"/>
        <item x="58"/>
        <item x="1447"/>
        <item x="92"/>
        <item x="1005"/>
        <item x="693"/>
        <item x="1690"/>
        <item x="672"/>
        <item x="1572"/>
        <item x="755"/>
        <item x="954"/>
        <item x="950"/>
        <item x="544"/>
        <item x="848"/>
        <item x="1216"/>
        <item x="249"/>
        <item x="1952"/>
        <item x="1547"/>
        <item x="513"/>
        <item x="781"/>
        <item x="347"/>
        <item x="67"/>
        <item x="816"/>
        <item x="241"/>
        <item x="1587"/>
        <item x="1527"/>
        <item x="906"/>
        <item x="1362"/>
        <item x="1177"/>
        <item x="1225"/>
        <item x="845"/>
        <item x="633"/>
        <item x="1808"/>
        <item x="1325"/>
        <item x="300"/>
        <item x="774"/>
        <item x="1196"/>
        <item x="771"/>
        <item x="820"/>
        <item x="1496"/>
        <item x="683"/>
        <item x="1262"/>
        <item x="930"/>
        <item x="453"/>
        <item x="1037"/>
        <item x="673"/>
        <item x="1801"/>
        <item x="1382"/>
        <item x="788"/>
        <item x="970"/>
        <item x="1446"/>
        <item x="1837"/>
        <item x="698"/>
        <item x="533"/>
        <item x="1881"/>
        <item x="1301"/>
        <item x="548"/>
        <item x="1064"/>
        <item x="618"/>
        <item x="303"/>
        <item x="1327"/>
        <item x="1847"/>
        <item x="7"/>
        <item x="866"/>
        <item x="1082"/>
        <item x="1205"/>
        <item x="1824"/>
        <item x="384"/>
        <item x="582"/>
        <item x="598"/>
        <item x="1603"/>
        <item x="358"/>
        <item x="931"/>
        <item x="1617"/>
        <item x="10"/>
        <item x="1524"/>
        <item x="1076"/>
        <item x="1175"/>
        <item x="1484"/>
        <item x="1813"/>
        <item x="1185"/>
        <item x="1155"/>
        <item x="396"/>
        <item x="364"/>
        <item x="167"/>
        <item x="406"/>
        <item x="1590"/>
        <item x="168"/>
        <item x="625"/>
        <item x="515"/>
        <item x="803"/>
        <item x="523"/>
        <item x="105"/>
        <item x="110"/>
        <item x="1738"/>
        <item x="967"/>
        <item x="310"/>
        <item x="1291"/>
        <item x="1861"/>
        <item x="170"/>
        <item x="1618"/>
        <item x="487"/>
        <item x="196"/>
        <item x="505"/>
        <item x="1633"/>
        <item x="64"/>
        <item x="591"/>
        <item x="1710"/>
        <item x="546"/>
        <item x="378"/>
        <item x="1580"/>
        <item x="750"/>
        <item x="1546"/>
        <item x="1704"/>
        <item x="1360"/>
        <item x="987"/>
        <item x="587"/>
        <item x="1943"/>
        <item x="103"/>
        <item x="1643"/>
        <item x="1119"/>
        <item x="940"/>
        <item x="1193"/>
        <item x="1251"/>
        <item x="225"/>
        <item x="1425"/>
        <item x="510"/>
        <item x="648"/>
        <item x="40"/>
        <item x="1630"/>
        <item x="363"/>
        <item x="629"/>
        <item x="151"/>
        <item x="854"/>
        <item x="46"/>
        <item x="658"/>
        <item x="1637"/>
        <item x="1827"/>
        <item x="611"/>
        <item x="79"/>
        <item x="177"/>
        <item x="1901"/>
        <item x="896"/>
        <item x="1304"/>
        <item x="1509"/>
        <item x="775"/>
        <item x="793"/>
        <item x="1107"/>
        <item x="1812"/>
        <item x="1939"/>
        <item x="1669"/>
        <item x="243"/>
        <item x="1707"/>
        <item x="1381"/>
        <item x="1700"/>
        <item x="1783"/>
        <item x="476"/>
        <item x="240"/>
        <item x="1089"/>
        <item x="402"/>
        <item x="632"/>
        <item x="564"/>
        <item x="910"/>
        <item x="1031"/>
        <item x="1566"/>
        <item x="1234"/>
        <item x="1730"/>
        <item x="1055"/>
        <item x="663"/>
        <item x="340"/>
        <item x="1825"/>
        <item x="769"/>
        <item x="1495"/>
        <item x="1100"/>
        <item x="526"/>
        <item x="357"/>
        <item x="1487"/>
        <item x="1142"/>
        <item x="1569"/>
        <item x="1322"/>
        <item x="1030"/>
        <item x="1165"/>
        <item x="97"/>
        <item x="1247"/>
        <item x="991"/>
        <item x="1923"/>
        <item x="157"/>
        <item x="697"/>
        <item x="84"/>
        <item x="1666"/>
        <item x="397"/>
        <item x="163"/>
        <item x="1841"/>
        <item x="1003"/>
        <item x="1277"/>
        <item x="1077"/>
        <item x="250"/>
        <item x="1359"/>
        <item x="726"/>
        <item x="1947"/>
        <item x="1760"/>
        <item x="1475"/>
        <item x="525"/>
        <item x="855"/>
        <item x="403"/>
        <item x="1372"/>
        <item x="1747"/>
        <item x="1796"/>
        <item x="1623"/>
        <item x="1069"/>
        <item x="1002"/>
        <item x="509"/>
        <item x="345"/>
        <item x="1717"/>
        <item x="1226"/>
        <item x="322"/>
        <item x="1478"/>
        <item x="1141"/>
        <item x="57"/>
        <item x="1033"/>
        <item x="1293"/>
        <item x="1573"/>
        <item x="1494"/>
        <item x="1726"/>
        <item x="344"/>
        <item x="748"/>
        <item x="916"/>
        <item x="135"/>
        <item x="1718"/>
        <item x="1059"/>
        <item x="1065"/>
        <item x="619"/>
        <item x="1791"/>
        <item x="869"/>
        <item x="1467"/>
        <item x="411"/>
        <item x="1679"/>
        <item x="1116"/>
        <item x="427"/>
        <item x="983"/>
        <item x="44"/>
        <item x="1951"/>
        <item x="1651"/>
        <item x="1238"/>
        <item x="838"/>
        <item x="1214"/>
        <item x="1843"/>
        <item x="1928"/>
        <item x="589"/>
        <item x="1346"/>
        <item x="1615"/>
        <item x="319"/>
        <item x="238"/>
        <item x="1818"/>
        <item x="638"/>
        <item x="398"/>
        <item x="1281"/>
        <item x="1561"/>
        <item x="1264"/>
        <item x="1"/>
        <item x="942"/>
        <item x="1810"/>
        <item x="1917"/>
        <item x="1419"/>
        <item x="1139"/>
        <item x="937"/>
        <item x="1770"/>
        <item x="961"/>
        <item x="1849"/>
        <item x="695"/>
        <item x="1888"/>
        <item x="1112"/>
        <item x="1471"/>
        <item x="975"/>
        <item x="529"/>
        <item x="1104"/>
        <item x="1744"/>
        <item x="452"/>
        <item x="1640"/>
        <item x="1722"/>
        <item x="1430"/>
        <item x="507"/>
        <item x="1302"/>
        <item x="1678"/>
        <item x="518"/>
        <item x="1485"/>
        <item x="1575"/>
        <item x="290"/>
        <item x="1367"/>
        <item x="894"/>
        <item x="1591"/>
        <item x="1459"/>
        <item x="31"/>
        <item x="1809"/>
        <item x="104"/>
        <item x="407"/>
        <item x="679"/>
        <item x="725"/>
        <item x="118"/>
        <item x="456"/>
        <item x="1156"/>
        <item x="1544"/>
        <item x="1006"/>
        <item x="792"/>
        <item x="1510"/>
        <item x="394"/>
        <item x="149"/>
        <item x="608"/>
        <item x="555"/>
        <item x="1300"/>
        <item x="132"/>
        <item x="401"/>
        <item x="1477"/>
        <item x="979"/>
        <item x="1159"/>
        <item x="1091"/>
        <item x="498"/>
        <item x="949"/>
        <item x="1388"/>
        <item x="1330"/>
        <item x="1695"/>
        <item x="1641"/>
        <item x="870"/>
        <item x="336"/>
        <item x="1288"/>
        <item x="11"/>
        <item x="432"/>
        <item x="463"/>
        <item x="409"/>
        <item x="1061"/>
        <item x="1922"/>
        <item x="179"/>
        <item x="39"/>
        <item x="50"/>
        <item x="1693"/>
        <item x="355"/>
        <item x="882"/>
        <item x="348"/>
        <item x="1230"/>
        <item x="545"/>
        <item x="228"/>
        <item x="1856"/>
        <item x="410"/>
        <item x="535"/>
        <item x="1899"/>
        <item x="1599"/>
        <item x="1829"/>
        <item x="1286"/>
        <item x="1034"/>
        <item x="1792"/>
        <item x="133"/>
        <item x="558"/>
        <item x="423"/>
        <item x="1780"/>
        <item x="1910"/>
        <item x="1600"/>
        <item x="1648"/>
        <item x="260"/>
        <item x="236"/>
        <item x="244"/>
        <item x="577"/>
        <item x="1345"/>
        <item x="655"/>
        <item x="759"/>
        <item x="606"/>
        <item x="1454"/>
        <item x="1658"/>
        <item x="1389"/>
        <item x="627"/>
        <item x="1453"/>
        <item x="370"/>
        <item x="1415"/>
        <item x="1349"/>
        <item x="542"/>
        <item x="1398"/>
        <item x="473"/>
        <item x="1553"/>
        <item x="1308"/>
        <item x="578"/>
        <item x="528"/>
        <item x="1732"/>
        <item x="202"/>
        <item x="1227"/>
        <item x="431"/>
        <item x="828"/>
        <item x="1595"/>
        <item x="1436"/>
        <item x="428"/>
        <item x="768"/>
        <item x="391"/>
        <item x="1040"/>
        <item x="647"/>
        <item x="130"/>
        <item x="374"/>
        <item x="77"/>
        <item x="552"/>
        <item x="1644"/>
        <item x="1956"/>
        <item x="1098"/>
        <item x="984"/>
        <item x="221"/>
        <item x="554"/>
        <item x="1190"/>
        <item x="219"/>
        <item x="919"/>
        <item x="1209"/>
        <item x="1953"/>
        <item x="1357"/>
        <item x="111"/>
        <item x="1249"/>
        <item x="82"/>
        <item x="891"/>
        <item x="214"/>
        <item x="1504"/>
        <item x="1750"/>
        <item x="141"/>
        <item x="283"/>
        <item x="231"/>
        <item x="1377"/>
        <item x="1132"/>
        <item x="1676"/>
        <item x="1539"/>
        <item x="1855"/>
        <item x="1895"/>
        <item x="938"/>
        <item x="24"/>
        <item x="1528"/>
        <item x="827"/>
        <item x="1145"/>
        <item x="59"/>
        <item x="1764"/>
        <item x="377"/>
        <item x="1321"/>
        <item x="789"/>
        <item x="81"/>
        <item x="1903"/>
        <item x="1204"/>
        <item x="29"/>
        <item x="864"/>
        <item x="570"/>
        <item x="1533"/>
        <item x="1310"/>
        <item x="376"/>
        <item x="1702"/>
        <item x="330"/>
        <item x="1872"/>
        <item x="551"/>
        <item x="736"/>
        <item x="903"/>
        <item x="1289"/>
        <item x="1416"/>
        <item x="1323"/>
        <item x="435"/>
        <item x="1714"/>
        <item x="1814"/>
        <item x="1370"/>
        <item x="1318"/>
        <item x="585"/>
        <item x="880"/>
        <item x="1749"/>
        <item x="557"/>
        <item x="1191"/>
        <item x="786"/>
        <item x="1147"/>
        <item x="1108"/>
        <item x="1118"/>
        <item x="604"/>
        <item x="61"/>
        <item x="1215"/>
        <item x="1963"/>
        <item x="829"/>
        <item x="1851"/>
        <item x="807"/>
        <item x="1752"/>
        <item x="156"/>
        <item x="1136"/>
        <item x="872"/>
        <item x="62"/>
        <item x="125"/>
        <item x="1773"/>
        <item x="1420"/>
        <item x="1001"/>
        <item x="1545"/>
        <item x="1513"/>
        <item x="770"/>
        <item x="1223"/>
        <item x="1866"/>
        <item x="1691"/>
        <item x="857"/>
        <item x="1121"/>
        <item x="990"/>
        <item x="823"/>
        <item x="1170"/>
        <item x="1004"/>
        <item x="1782"/>
        <item x="1199"/>
        <item x="458"/>
        <item x="292"/>
        <item x="1684"/>
        <item x="485"/>
        <item x="1470"/>
        <item x="890"/>
        <item x="356"/>
        <item x="739"/>
        <item x="1781"/>
        <item x="312"/>
        <item x="333"/>
        <item x="1140"/>
        <item x="566"/>
        <item x="1080"/>
        <item x="1860"/>
        <item x="735"/>
        <item x="279"/>
        <item x="530"/>
        <item x="1374"/>
        <item x="1379"/>
        <item x="941"/>
        <item x="462"/>
        <item x="1719"/>
        <item x="833"/>
        <item x="1592"/>
        <item x="47"/>
        <item x="1834"/>
        <item x="1937"/>
        <item x="1627"/>
        <item x="1240"/>
        <item x="773"/>
        <item x="1879"/>
        <item x="639"/>
        <item x="1481"/>
        <item x="1336"/>
        <item x="958"/>
        <item x="116"/>
        <item x="733"/>
        <item x="1950"/>
        <item x="106"/>
        <item x="1909"/>
        <item x="281"/>
        <item x="1665"/>
        <item x="596"/>
        <item x="699"/>
        <item x="295"/>
        <item x="702"/>
        <item x="404"/>
        <item x="1265"/>
        <item x="1567"/>
        <item x="998"/>
        <item x="731"/>
        <item x="416"/>
        <item x="9"/>
        <item x="1189"/>
        <item x="367"/>
        <item x="746"/>
        <item x="957"/>
        <item x="307"/>
        <item x="1940"/>
        <item x="867"/>
        <item x="1612"/>
        <item x="1045"/>
        <item x="723"/>
        <item x="981"/>
        <item x="1158"/>
        <item x="1285"/>
        <item x="203"/>
        <item x="645"/>
        <item x="1021"/>
        <item x="764"/>
        <item x="571"/>
        <item x="465"/>
        <item x="120"/>
        <item x="1893"/>
        <item x="1542"/>
        <item x="160"/>
        <item x="6"/>
        <item x="858"/>
        <item x="1313"/>
        <item x="1611"/>
        <item x="1731"/>
        <item x="323"/>
        <item x="480"/>
        <item x="1955"/>
        <item x="272"/>
        <item x="1725"/>
        <item x="199"/>
        <item x="805"/>
        <item x="286"/>
        <item x="1181"/>
        <item x="4"/>
        <item x="1622"/>
        <item x="704"/>
        <item x="1428"/>
        <item x="754"/>
        <item x="971"/>
        <item x="1916"/>
        <item x="1043"/>
        <item x="943"/>
        <item x="73"/>
        <item x="1538"/>
        <item x="1604"/>
        <item x="724"/>
        <item x="915"/>
        <item x="155"/>
        <item x="1896"/>
        <item x="1554"/>
        <item x="740"/>
        <item x="30"/>
        <item x="976"/>
        <item x="193"/>
        <item x="226"/>
        <item x="19"/>
        <item x="332"/>
        <item x="287"/>
        <item x="1375"/>
        <item x="1047"/>
        <item x="1854"/>
        <item x="1339"/>
        <item x="520"/>
        <item x="1414"/>
        <item x="1315"/>
        <item x="749"/>
        <item x="486"/>
        <item x="1667"/>
        <item x="1160"/>
        <item x="1153"/>
        <item x="751"/>
        <item x="832"/>
        <item x="543"/>
        <item x="1499"/>
        <item x="399"/>
        <item x="1125"/>
        <item x="835"/>
        <item x="1842"/>
        <item x="1908"/>
        <item x="1804"/>
        <item x="962"/>
        <item x="1766"/>
        <item x="1115"/>
        <item x="436"/>
        <item x="117"/>
        <item x="1751"/>
        <item x="512"/>
        <item x="1363"/>
        <item x="321"/>
        <item x="254"/>
        <item x="1889"/>
        <item x="1919"/>
        <item x="74"/>
        <item x="1176"/>
        <item x="700"/>
        <item x="860"/>
        <item x="1657"/>
        <item x="1626"/>
        <item x="166"/>
        <item x="1869"/>
        <item x="1579"/>
        <item x="1236"/>
        <item x="1876"/>
        <item x="1742"/>
        <item x="1127"/>
        <item x="207"/>
        <item x="127"/>
        <item x="129"/>
        <item x="1050"/>
        <item x="1574"/>
        <item x="1502"/>
        <item x="173"/>
        <item x="969"/>
        <item x="662"/>
        <item x="1884"/>
        <item x="918"/>
        <item x="1282"/>
        <item x="1250"/>
        <item x="302"/>
        <item x="1727"/>
        <item x="939"/>
        <item x="115"/>
        <item x="1341"/>
        <item x="715"/>
        <item x="1769"/>
        <item x="1444"/>
        <item x="1944"/>
        <item x="1202"/>
        <item x="680"/>
        <item x="337"/>
        <item x="468"/>
        <item x="878"/>
        <item x="1945"/>
        <item x="514"/>
        <item x="898"/>
        <item x="821"/>
        <item x="1653"/>
        <item x="1862"/>
        <item x="1280"/>
        <item x="575"/>
        <item x="107"/>
        <item x="561"/>
        <item x="935"/>
        <item x="1838"/>
        <item x="879"/>
        <item x="831"/>
        <item x="550"/>
        <item x="635"/>
        <item x="1607"/>
        <item x="689"/>
        <item x="565"/>
        <item x="178"/>
        <item x="708"/>
        <item x="1241"/>
        <item x="1778"/>
        <item x="1960"/>
        <item x="1186"/>
        <item x="1314"/>
        <item x="349"/>
        <item x="433"/>
        <item x="1179"/>
        <item x="142"/>
        <item x="264"/>
        <item x="747"/>
        <item x="192"/>
        <item x="100"/>
        <item x="686"/>
        <item x="1560"/>
        <item x="1020"/>
        <item x="1275"/>
        <item x="1551"/>
        <item x="1338"/>
        <item x="1873"/>
        <item t="default"/>
      </items>
      <autoSortScope>
        <pivotArea dataOnly="0" outline="0" fieldPosition="0">
          <references count="1">
            <reference field="4294967294" count="1" selected="0">
              <x v="0"/>
            </reference>
          </references>
        </pivotArea>
      </autoSortScope>
    </pivotField>
    <pivotField showAll="0"/>
    <pivotField showAll="0">
      <items count="3">
        <item x="1"/>
        <item x="0"/>
        <item t="default"/>
      </items>
    </pivotField>
    <pivotField showAll="0">
      <items count="5">
        <item x="0"/>
        <item x="1"/>
        <item m="1" x="2"/>
        <item m="1" x="3"/>
        <item t="default"/>
      </items>
    </pivotField>
    <pivotField numFmtId="2" showAll="0"/>
    <pivotField showAll="0">
      <items count="5">
        <item x="0"/>
        <item x="1"/>
        <item m="1" x="2"/>
        <item m="1" x="3"/>
        <item t="default"/>
      </items>
    </pivotField>
    <pivotField showAll="0"/>
    <pivotField showAll="0">
      <items count="18">
        <item x="11"/>
        <item x="3"/>
        <item x="9"/>
        <item x="7"/>
        <item x="13"/>
        <item x="12"/>
        <item x="1"/>
        <item x="14"/>
        <item x="2"/>
        <item x="0"/>
        <item x="16"/>
        <item x="8"/>
        <item x="5"/>
        <item x="15"/>
        <item x="6"/>
        <item x="4"/>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2" showAll="0"/>
    <pivotField showAll="0"/>
    <pivotField dataField="1" showAll="0"/>
    <pivotField showAll="0">
      <items count="4">
        <item x="1"/>
        <item x="0"/>
        <item x="2"/>
        <item t="default"/>
      </items>
    </pivotField>
  </pivotFields>
  <rowFields count="1">
    <field x="3"/>
  </rowFields>
  <rowItems count="11">
    <i>
      <x v="783"/>
    </i>
    <i>
      <x v="102"/>
    </i>
    <i>
      <x v="465"/>
    </i>
    <i>
      <x v="708"/>
    </i>
    <i>
      <x v="467"/>
    </i>
    <i>
      <x v="1509"/>
    </i>
    <i>
      <x v="538"/>
    </i>
    <i>
      <x v="847"/>
    </i>
    <i>
      <x v="275"/>
    </i>
    <i>
      <x v="922"/>
    </i>
    <i t="grand">
      <x/>
    </i>
  </rowItems>
  <colFields count="1">
    <field x="-2"/>
  </colFields>
  <colItems count="2">
    <i>
      <x/>
    </i>
    <i i="1">
      <x v="1"/>
    </i>
  </colItems>
  <dataFields count="2">
    <dataField name="Average of Average " fld="26" subtotal="average" baseField="3" baseItem="0"/>
    <dataField name="Top 10 Ranking" fld="28" baseField="3" baseItem="783" numFmtId="1"/>
  </dataFields>
  <formats count="2">
    <format dxfId="36">
      <pivotArea outline="0" collapsedLevelsAreSubtotals="1" fieldPosition="0"/>
    </format>
    <format dxfId="35">
      <pivotArea outline="0" collapsedLevelsAreSubtotals="1" fieldPosition="0">
        <references count="1">
          <reference field="4294967294" count="1" selected="0">
            <x v="1"/>
          </reference>
        </references>
      </pivotArea>
    </format>
  </format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1" showColStripes="0" showLastColumn="1"/>
  <filters count="1">
    <filter fld="3"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63A5C05-5346-42CE-AF14-4CFCDDB4790F}" name="PivotTable10" cacheId="0" applyNumberFormats="0" applyBorderFormats="0" applyFontFormats="0" applyPatternFormats="0" applyAlignmentFormats="0" applyWidthHeightFormats="1" dataCaption="Values" updatedVersion="8" minRefreshableVersion="3" useAutoFormatting="1" colGrandTotals="0" itemPrintTitles="1" createdVersion="7" indent="0" outline="1" outlineData="1" multipleFieldFilters="0" chartFormat="13">
  <location ref="E14:F17" firstHeaderRow="1" firstDataRow="1" firstDataCol="1"/>
  <pivotFields count="30">
    <pivotField showAll="0"/>
    <pivotField showAll="0"/>
    <pivotField showAll="0"/>
    <pivotField showAll="0"/>
    <pivotField showAll="0"/>
    <pivotField showAll="0">
      <items count="3">
        <item x="1"/>
        <item x="0"/>
        <item t="default"/>
      </items>
    </pivotField>
    <pivotField showAll="0">
      <items count="5">
        <item x="0"/>
        <item x="1"/>
        <item m="1" x="2"/>
        <item m="1" x="3"/>
        <item t="default"/>
      </items>
    </pivotField>
    <pivotField numFmtId="2" showAll="0"/>
    <pivotField axis="axisRow" dataField="1" showAll="0">
      <items count="5">
        <item m="1" x="2"/>
        <item m="1" x="3"/>
        <item x="0"/>
        <item x="1"/>
        <item t="default"/>
      </items>
    </pivotField>
    <pivotField showAll="0"/>
    <pivotField showAll="0">
      <items count="18">
        <item x="11"/>
        <item x="3"/>
        <item x="9"/>
        <item x="7"/>
        <item x="13"/>
        <item x="12"/>
        <item x="1"/>
        <item x="14"/>
        <item x="2"/>
        <item x="0"/>
        <item x="16"/>
        <item x="8"/>
        <item x="5"/>
        <item x="15"/>
        <item x="6"/>
        <item x="4"/>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showAll="0"/>
    <pivotField showAll="0"/>
    <pivotField showAll="0">
      <items count="4">
        <item x="1"/>
        <item x="0"/>
        <item x="2"/>
        <item t="default"/>
      </items>
    </pivotField>
  </pivotFields>
  <rowFields count="1">
    <field x="8"/>
  </rowFields>
  <rowItems count="3">
    <i>
      <x v="2"/>
    </i>
    <i>
      <x v="3"/>
    </i>
    <i t="grand">
      <x/>
    </i>
  </rowItems>
  <colItems count="1">
    <i/>
  </colItems>
  <dataFields count="1">
    <dataField name="Count of Extracurricular _x000a_Activities" fld="8" subtotal="count" baseField="0" baseItem="0" numFmtId="1"/>
  </dataFields>
  <formats count="1">
    <format dxfId="37">
      <pivotArea outline="0" collapsedLevelsAreSubtotals="1" fieldPosition="0"/>
    </format>
  </formats>
  <chartFormats count="5">
    <chartFormat chart="6" format="1"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8" count="1" selected="0">
            <x v="0"/>
          </reference>
        </references>
      </pivotArea>
    </chartFormat>
    <chartFormat chart="6" format="3">
      <pivotArea type="data" outline="0" fieldPosition="0">
        <references count="2">
          <reference field="4294967294" count="1" selected="0">
            <x v="0"/>
          </reference>
          <reference field="8" count="1" selected="0">
            <x v="1"/>
          </reference>
        </references>
      </pivotArea>
    </chartFormat>
    <chartFormat chart="6" format="4">
      <pivotArea type="data" outline="0" fieldPosition="0">
        <references count="2">
          <reference field="4294967294" count="1" selected="0">
            <x v="0"/>
          </reference>
          <reference field="8" count="1" selected="0">
            <x v="3"/>
          </reference>
        </references>
      </pivotArea>
    </chartFormat>
    <chartFormat chart="6" format="5">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6D3B672-4078-465B-9B12-7191441E2E45}" name="PivotTable1"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8">
  <location ref="B3:C6" firstHeaderRow="1" firstDataRow="1" firstDataCol="1"/>
  <pivotFields count="30">
    <pivotField showAll="0"/>
    <pivotField showAll="0"/>
    <pivotField showAll="0"/>
    <pivotField showAll="0"/>
    <pivotField showAll="0"/>
    <pivotField axis="axisRow" dataField="1" showAll="0">
      <items count="3">
        <item x="1"/>
        <item x="0"/>
        <item t="default"/>
      </items>
    </pivotField>
    <pivotField showAll="0">
      <items count="5">
        <item x="0"/>
        <item x="1"/>
        <item m="1" x="2"/>
        <item m="1" x="3"/>
        <item t="default"/>
      </items>
    </pivotField>
    <pivotField numFmtId="2" showAll="0"/>
    <pivotField showAll="0">
      <items count="5">
        <item x="0"/>
        <item x="1"/>
        <item m="1" x="2"/>
        <item m="1" x="3"/>
        <item t="default"/>
      </items>
    </pivotField>
    <pivotField showAll="0"/>
    <pivotField showAll="0">
      <items count="18">
        <item x="11"/>
        <item x="3"/>
        <item x="9"/>
        <item x="7"/>
        <item x="13"/>
        <item x="12"/>
        <item x="1"/>
        <item x="14"/>
        <item x="2"/>
        <item x="0"/>
        <item x="16"/>
        <item x="8"/>
        <item x="5"/>
        <item x="15"/>
        <item x="6"/>
        <item x="4"/>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showAll="0"/>
    <pivotField showAll="0"/>
    <pivotField showAll="0">
      <items count="4">
        <item x="1"/>
        <item x="0"/>
        <item x="2"/>
        <item t="default"/>
      </items>
    </pivotField>
  </pivotFields>
  <rowFields count="1">
    <field x="5"/>
  </rowFields>
  <rowItems count="3">
    <i>
      <x/>
    </i>
    <i>
      <x v="1"/>
    </i>
    <i t="grand">
      <x/>
    </i>
  </rowItems>
  <colItems count="1">
    <i/>
  </colItems>
  <dataFields count="1">
    <dataField name="Count of Gender" fld="5" subtotal="count" baseField="0" baseItem="0"/>
  </dataFields>
  <chartFormats count="3">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5" count="1" selected="0">
            <x v="0"/>
          </reference>
        </references>
      </pivotArea>
    </chartFormat>
    <chartFormat chart="1" format="3">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F7880E6-1AC6-4208-AFF7-7A5D6102E0F9}" name="PivotTable9" cacheId="0" applyNumberFormats="0" applyBorderFormats="0" applyFontFormats="0" applyPatternFormats="0" applyAlignmentFormats="0" applyWidthHeightFormats="1" dataCaption="Values" updatedVersion="8" minRefreshableVersion="3" useAutoFormatting="1" colGrandTotals="0" itemPrintTitles="1" createdVersion="7" indent="0" outline="1" outlineData="1" multipleFieldFilters="0" chartFormat="5">
  <location ref="H6:I14" firstHeaderRow="1" firstDataRow="1" firstDataCol="1"/>
  <pivotFields count="30">
    <pivotField dataField="1" showAll="0"/>
    <pivotField showAll="0"/>
    <pivotField showAll="0"/>
    <pivotField showAll="0"/>
    <pivotField showAll="0"/>
    <pivotField showAll="0">
      <items count="3">
        <item x="1"/>
        <item x="0"/>
        <item t="default"/>
      </items>
    </pivotField>
    <pivotField showAll="0">
      <items count="5">
        <item x="0"/>
        <item x="1"/>
        <item m="1" x="2"/>
        <item m="1" x="3"/>
        <item t="default"/>
      </items>
    </pivotField>
    <pivotField numFmtId="2" showAll="0"/>
    <pivotField showAll="0">
      <items count="5">
        <item x="0"/>
        <item x="1"/>
        <item m="1" x="2"/>
        <item m="1" x="3"/>
        <item t="default"/>
      </items>
    </pivotField>
    <pivotField showAll="0"/>
    <pivotField showAll="0">
      <items count="18">
        <item x="11"/>
        <item x="3"/>
        <item x="9"/>
        <item x="7"/>
        <item x="13"/>
        <item x="12"/>
        <item x="1"/>
        <item x="14"/>
        <item x="2"/>
        <item x="0"/>
        <item x="16"/>
        <item x="8"/>
        <item x="5"/>
        <item x="15"/>
        <item x="6"/>
        <item x="4"/>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axis="axisRow" showAll="0">
      <items count="8">
        <item x="0"/>
        <item x="2"/>
        <item x="1"/>
        <item x="4"/>
        <item x="5"/>
        <item x="3"/>
        <item x="6"/>
        <item t="default"/>
      </items>
    </pivotField>
    <pivotField showAll="0"/>
    <pivotField showAll="0">
      <items count="4">
        <item x="1"/>
        <item x="0"/>
        <item x="2"/>
        <item t="default"/>
      </items>
    </pivotField>
  </pivotFields>
  <rowFields count="1">
    <field x="27"/>
  </rowFields>
  <rowItems count="8">
    <i>
      <x/>
    </i>
    <i>
      <x v="1"/>
    </i>
    <i>
      <x v="2"/>
    </i>
    <i>
      <x v="3"/>
    </i>
    <i>
      <x v="4"/>
    </i>
    <i>
      <x v="5"/>
    </i>
    <i>
      <x v="6"/>
    </i>
    <i t="grand">
      <x/>
    </i>
  </rowItems>
  <colItems count="1">
    <i/>
  </colItems>
  <dataFields count="1">
    <dataField name="Count of ID" fld="0" subtotal="count" showDataAs="percentOfTotal" baseField="27" baseItem="0" numFmtId="10"/>
  </dataFields>
  <formats count="3">
    <format dxfId="40">
      <pivotArea collapsedLevelsAreSubtotals="1" fieldPosition="0">
        <references count="1">
          <reference field="27" count="1">
            <x v="1"/>
          </reference>
        </references>
      </pivotArea>
    </format>
    <format dxfId="39">
      <pivotArea outline="0" collapsedLevelsAreSubtotals="1" fieldPosition="0"/>
    </format>
    <format dxfId="38">
      <pivotArea outline="0" fieldPosition="0">
        <references count="1">
          <reference field="4294967294" count="1">
            <x v="0"/>
          </reference>
        </references>
      </pivotArea>
    </format>
  </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CFA5CDC-2EBC-4AD5-95BB-CA8D1714C36B}" name="PivotTable2"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8">
  <location ref="B8:C16" firstHeaderRow="1" firstDataRow="1" firstDataCol="1"/>
  <pivotFields count="30">
    <pivotField dataField="1" showAll="0"/>
    <pivotField showAll="0"/>
    <pivotField showAll="0"/>
    <pivotField showAll="0"/>
    <pivotField showAll="0"/>
    <pivotField showAll="0">
      <items count="3">
        <item x="1"/>
        <item x="0"/>
        <item t="default"/>
      </items>
    </pivotField>
    <pivotField showAll="0">
      <items count="5">
        <item x="0"/>
        <item x="1"/>
        <item m="1" x="2"/>
        <item m="1" x="3"/>
        <item t="default"/>
      </items>
    </pivotField>
    <pivotField numFmtId="2" showAll="0"/>
    <pivotField showAll="0">
      <items count="5">
        <item x="0"/>
        <item x="1"/>
        <item m="1" x="2"/>
        <item m="1" x="3"/>
        <item t="default"/>
      </items>
    </pivotField>
    <pivotField showAll="0"/>
    <pivotField showAll="0">
      <items count="18">
        <item x="11"/>
        <item x="3"/>
        <item x="9"/>
        <item x="7"/>
        <item x="13"/>
        <item x="12"/>
        <item x="1"/>
        <item x="14"/>
        <item x="2"/>
        <item x="0"/>
        <item x="16"/>
        <item x="8"/>
        <item x="5"/>
        <item x="15"/>
        <item x="6"/>
        <item x="4"/>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axis="axisRow" showAll="0" sortType="descending">
      <items count="8">
        <item x="6"/>
        <item x="3"/>
        <item x="5"/>
        <item x="4"/>
        <item x="1"/>
        <item x="2"/>
        <item x="0"/>
        <item t="default"/>
      </items>
    </pivotField>
    <pivotField showAll="0"/>
    <pivotField showAll="0">
      <items count="4">
        <item x="1"/>
        <item x="0"/>
        <item x="2"/>
        <item t="default"/>
      </items>
    </pivotField>
  </pivotFields>
  <rowFields count="1">
    <field x="27"/>
  </rowFields>
  <rowItems count="8">
    <i>
      <x/>
    </i>
    <i>
      <x v="1"/>
    </i>
    <i>
      <x v="2"/>
    </i>
    <i>
      <x v="3"/>
    </i>
    <i>
      <x v="4"/>
    </i>
    <i>
      <x v="5"/>
    </i>
    <i>
      <x v="6"/>
    </i>
    <i t="grand">
      <x/>
    </i>
  </rowItems>
  <colItems count="1">
    <i/>
  </colItems>
  <dataFields count="1">
    <dataField name="Count of Student" fld="0" subtotal="count" baseField="27" baseItem="0"/>
  </dataFields>
  <chartFormats count="8">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27" count="1" selected="0">
            <x v="6"/>
          </reference>
        </references>
      </pivotArea>
    </chartFormat>
    <chartFormat chart="4" format="3">
      <pivotArea type="data" outline="0" fieldPosition="0">
        <references count="2">
          <reference field="4294967294" count="1" selected="0">
            <x v="0"/>
          </reference>
          <reference field="27" count="1" selected="0">
            <x v="5"/>
          </reference>
        </references>
      </pivotArea>
    </chartFormat>
    <chartFormat chart="4" format="4">
      <pivotArea type="data" outline="0" fieldPosition="0">
        <references count="2">
          <reference field="4294967294" count="1" selected="0">
            <x v="0"/>
          </reference>
          <reference field="27" count="1" selected="0">
            <x v="4"/>
          </reference>
        </references>
      </pivotArea>
    </chartFormat>
    <chartFormat chart="4" format="5">
      <pivotArea type="data" outline="0" fieldPosition="0">
        <references count="2">
          <reference field="4294967294" count="1" selected="0">
            <x v="0"/>
          </reference>
          <reference field="27" count="1" selected="0">
            <x v="3"/>
          </reference>
        </references>
      </pivotArea>
    </chartFormat>
    <chartFormat chart="4" format="6">
      <pivotArea type="data" outline="0" fieldPosition="0">
        <references count="2">
          <reference field="4294967294" count="1" selected="0">
            <x v="0"/>
          </reference>
          <reference field="27" count="1" selected="0">
            <x v="2"/>
          </reference>
        </references>
      </pivotArea>
    </chartFormat>
    <chartFormat chart="4" format="7">
      <pivotArea type="data" outline="0" fieldPosition="0">
        <references count="2">
          <reference field="4294967294" count="1" selected="0">
            <x v="0"/>
          </reference>
          <reference field="27" count="1" selected="0">
            <x v="1"/>
          </reference>
        </references>
      </pivotArea>
    </chartFormat>
    <chartFormat chart="4" format="8">
      <pivotArea type="data" outline="0" fieldPosition="0">
        <references count="2">
          <reference field="4294967294" count="1" selected="0">
            <x v="0"/>
          </reference>
          <reference field="2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66CDD08-675E-4C73-8DBC-13BF81227D3D}" name="PivotTable4" cacheId="0" applyNumberFormats="0" applyBorderFormats="0" applyFontFormats="0" applyPatternFormats="0" applyAlignmentFormats="0" applyWidthHeightFormats="1" dataCaption="Values" updatedVersion="8" minRefreshableVersion="3" useAutoFormatting="1" colGrandTotals="0" itemPrintTitles="1" createdVersion="7" indent="0" outline="1" outlineData="1" multipleFieldFilters="0" chartFormat="24">
  <location ref="B24:C42" firstHeaderRow="1" firstDataRow="1" firstDataCol="1"/>
  <pivotFields count="30">
    <pivotField showAll="0"/>
    <pivotField showAll="0"/>
    <pivotField showAll="0"/>
    <pivotField showAll="0"/>
    <pivotField showAll="0"/>
    <pivotField showAll="0">
      <items count="3">
        <item x="1"/>
        <item x="0"/>
        <item t="default"/>
      </items>
    </pivotField>
    <pivotField showAll="0">
      <items count="5">
        <item x="0"/>
        <item x="1"/>
        <item m="1" x="2"/>
        <item m="1" x="3"/>
        <item t="default"/>
      </items>
    </pivotField>
    <pivotField numFmtId="2" showAll="0"/>
    <pivotField showAll="0">
      <items count="5">
        <item x="0"/>
        <item x="1"/>
        <item m="1" x="2"/>
        <item m="1" x="3"/>
        <item t="default"/>
      </items>
    </pivotField>
    <pivotField showAll="0"/>
    <pivotField axis="axisRow" dataField="1" showAll="0" sortType="descending">
      <items count="18">
        <item x="11"/>
        <item x="3"/>
        <item x="9"/>
        <item x="7"/>
        <item x="13"/>
        <item x="12"/>
        <item x="1"/>
        <item x="14"/>
        <item x="2"/>
        <item x="0"/>
        <item x="16"/>
        <item x="8"/>
        <item x="5"/>
        <item x="15"/>
        <item x="6"/>
        <item x="4"/>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showAll="0"/>
    <pivotField showAll="0"/>
    <pivotField showAll="0">
      <items count="4">
        <item x="1"/>
        <item x="0"/>
        <item x="2"/>
        <item t="default"/>
      </items>
    </pivotField>
  </pivotFields>
  <rowFields count="1">
    <field x="10"/>
  </rowFields>
  <rowItems count="18">
    <i>
      <x v="12"/>
    </i>
    <i>
      <x v="3"/>
    </i>
    <i>
      <x v="15"/>
    </i>
    <i>
      <x v="2"/>
    </i>
    <i>
      <x v="9"/>
    </i>
    <i>
      <x/>
    </i>
    <i>
      <x v="6"/>
    </i>
    <i>
      <x v="10"/>
    </i>
    <i>
      <x v="13"/>
    </i>
    <i>
      <x v="4"/>
    </i>
    <i>
      <x v="1"/>
    </i>
    <i>
      <x v="7"/>
    </i>
    <i>
      <x v="8"/>
    </i>
    <i>
      <x v="14"/>
    </i>
    <i>
      <x v="5"/>
    </i>
    <i>
      <x v="11"/>
    </i>
    <i>
      <x v="16"/>
    </i>
    <i t="grand">
      <x/>
    </i>
  </rowItems>
  <colItems count="1">
    <i/>
  </colItems>
  <dataFields count="1">
    <dataField name="Count of Career _x000a_Aspiration" fld="10" subtotal="count" baseField="0" baseItem="0" numFmtId="1"/>
  </dataFields>
  <formats count="2">
    <format dxfId="42">
      <pivotArea collapsedLevelsAreSubtotals="1" fieldPosition="0">
        <references count="1">
          <reference field="10" count="0"/>
        </references>
      </pivotArea>
    </format>
    <format dxfId="41">
      <pivotArea outline="0" collapsedLevelsAreSubtotals="1" fieldPosition="0"/>
    </format>
  </formats>
  <chartFormats count="18">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10" count="1" selected="0">
            <x v="12"/>
          </reference>
        </references>
      </pivotArea>
    </chartFormat>
    <chartFormat chart="4" format="3">
      <pivotArea type="data" outline="0" fieldPosition="0">
        <references count="2">
          <reference field="4294967294" count="1" selected="0">
            <x v="0"/>
          </reference>
          <reference field="10" count="1" selected="0">
            <x v="3"/>
          </reference>
        </references>
      </pivotArea>
    </chartFormat>
    <chartFormat chart="4" format="4">
      <pivotArea type="data" outline="0" fieldPosition="0">
        <references count="2">
          <reference field="4294967294" count="1" selected="0">
            <x v="0"/>
          </reference>
          <reference field="10" count="1" selected="0">
            <x v="15"/>
          </reference>
        </references>
      </pivotArea>
    </chartFormat>
    <chartFormat chart="4" format="5">
      <pivotArea type="data" outline="0" fieldPosition="0">
        <references count="2">
          <reference field="4294967294" count="1" selected="0">
            <x v="0"/>
          </reference>
          <reference field="10" count="1" selected="0">
            <x v="2"/>
          </reference>
        </references>
      </pivotArea>
    </chartFormat>
    <chartFormat chart="4" format="6">
      <pivotArea type="data" outline="0" fieldPosition="0">
        <references count="2">
          <reference field="4294967294" count="1" selected="0">
            <x v="0"/>
          </reference>
          <reference field="10" count="1" selected="0">
            <x v="9"/>
          </reference>
        </references>
      </pivotArea>
    </chartFormat>
    <chartFormat chart="4" format="7">
      <pivotArea type="data" outline="0" fieldPosition="0">
        <references count="2">
          <reference field="4294967294" count="1" selected="0">
            <x v="0"/>
          </reference>
          <reference field="10" count="1" selected="0">
            <x v="0"/>
          </reference>
        </references>
      </pivotArea>
    </chartFormat>
    <chartFormat chart="4" format="8">
      <pivotArea type="data" outline="0" fieldPosition="0">
        <references count="2">
          <reference field="4294967294" count="1" selected="0">
            <x v="0"/>
          </reference>
          <reference field="10" count="1" selected="0">
            <x v="6"/>
          </reference>
        </references>
      </pivotArea>
    </chartFormat>
    <chartFormat chart="4" format="9">
      <pivotArea type="data" outline="0" fieldPosition="0">
        <references count="2">
          <reference field="4294967294" count="1" selected="0">
            <x v="0"/>
          </reference>
          <reference field="10" count="1" selected="0">
            <x v="10"/>
          </reference>
        </references>
      </pivotArea>
    </chartFormat>
    <chartFormat chart="4" format="10">
      <pivotArea type="data" outline="0" fieldPosition="0">
        <references count="2">
          <reference field="4294967294" count="1" selected="0">
            <x v="0"/>
          </reference>
          <reference field="10" count="1" selected="0">
            <x v="13"/>
          </reference>
        </references>
      </pivotArea>
    </chartFormat>
    <chartFormat chart="4" format="11">
      <pivotArea type="data" outline="0" fieldPosition="0">
        <references count="2">
          <reference field="4294967294" count="1" selected="0">
            <x v="0"/>
          </reference>
          <reference field="10" count="1" selected="0">
            <x v="4"/>
          </reference>
        </references>
      </pivotArea>
    </chartFormat>
    <chartFormat chart="4" format="12">
      <pivotArea type="data" outline="0" fieldPosition="0">
        <references count="2">
          <reference field="4294967294" count="1" selected="0">
            <x v="0"/>
          </reference>
          <reference field="10" count="1" selected="0">
            <x v="1"/>
          </reference>
        </references>
      </pivotArea>
    </chartFormat>
    <chartFormat chart="4" format="13">
      <pivotArea type="data" outline="0" fieldPosition="0">
        <references count="2">
          <reference field="4294967294" count="1" selected="0">
            <x v="0"/>
          </reference>
          <reference field="10" count="1" selected="0">
            <x v="7"/>
          </reference>
        </references>
      </pivotArea>
    </chartFormat>
    <chartFormat chart="4" format="14">
      <pivotArea type="data" outline="0" fieldPosition="0">
        <references count="2">
          <reference field="4294967294" count="1" selected="0">
            <x v="0"/>
          </reference>
          <reference field="10" count="1" selected="0">
            <x v="8"/>
          </reference>
        </references>
      </pivotArea>
    </chartFormat>
    <chartFormat chart="4" format="15">
      <pivotArea type="data" outline="0" fieldPosition="0">
        <references count="2">
          <reference field="4294967294" count="1" selected="0">
            <x v="0"/>
          </reference>
          <reference field="10" count="1" selected="0">
            <x v="14"/>
          </reference>
        </references>
      </pivotArea>
    </chartFormat>
    <chartFormat chart="4" format="16">
      <pivotArea type="data" outline="0" fieldPosition="0">
        <references count="2">
          <reference field="4294967294" count="1" selected="0">
            <x v="0"/>
          </reference>
          <reference field="10" count="1" selected="0">
            <x v="5"/>
          </reference>
        </references>
      </pivotArea>
    </chartFormat>
    <chartFormat chart="4" format="17">
      <pivotArea type="data" outline="0" fieldPosition="0">
        <references count="2">
          <reference field="4294967294" count="1" selected="0">
            <x v="0"/>
          </reference>
          <reference field="10" count="1" selected="0">
            <x v="11"/>
          </reference>
        </references>
      </pivotArea>
    </chartFormat>
    <chartFormat chart="4" format="18">
      <pivotArea type="data" outline="0" fieldPosition="0">
        <references count="2">
          <reference field="4294967294" count="1" selected="0">
            <x v="0"/>
          </reference>
          <reference field="10" count="1" selected="0">
            <x v="16"/>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4357FD3-90D4-4FE6-96E9-6DEA8226368F}" sourceName="Gender">
  <pivotTables>
    <pivotTable tabId="9" name="PivotTable1"/>
    <pivotTable tabId="9" name="PivotTable12"/>
    <pivotTable tabId="9" name="PivotTable2"/>
    <pivotTable tabId="9" name="PivotTable3"/>
    <pivotTable tabId="9" name="PivotTable4"/>
    <pivotTable tabId="9" name="PivotTable5"/>
    <pivotTable tabId="9" name="PivotTable6"/>
    <pivotTable tabId="9" name="PivotTable7"/>
    <pivotTable tabId="9" name="PivotTable8"/>
    <pivotTable tabId="9" name="PivotTable9"/>
    <pivotTable tabId="9" name="PivotTable10"/>
  </pivotTables>
  <data>
    <tabular pivotCacheId="750211383" sortOrder="descending">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t_Time__Job" xr10:uid="{95D4B79F-C49A-4D5C-8978-981EB72E3D02}" sourceName="Part Time _x000a_Job">
  <pivotTables>
    <pivotTable tabId="9" name="PivotTable1"/>
    <pivotTable tabId="9" name="PivotTable12"/>
    <pivotTable tabId="9" name="PivotTable2"/>
    <pivotTable tabId="9" name="PivotTable3"/>
    <pivotTable tabId="9" name="PivotTable4"/>
    <pivotTable tabId="9" name="PivotTable5"/>
    <pivotTable tabId="9" name="PivotTable6"/>
    <pivotTable tabId="9" name="PivotTable7"/>
    <pivotTable tabId="9" name="PivotTable8"/>
    <pivotTable tabId="9" name="PivotTable9"/>
    <pivotTable tabId="9" name="PivotTable10"/>
  </pivotTables>
  <data>
    <tabular pivotCacheId="750211383" sortOrder="descending">
      <items count="4">
        <i x="1" s="1"/>
        <i x="0" s="1"/>
        <i x="3" s="1" nd="1"/>
        <i x="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tracurricular__Activities" xr10:uid="{02117D51-144A-48CC-ACA3-79AC896BF192}" sourceName="Extracurricular _x000a_Activities">
  <pivotTables>
    <pivotTable tabId="9" name="PivotTable1"/>
    <pivotTable tabId="9" name="PivotTable12"/>
    <pivotTable tabId="9" name="PivotTable2"/>
    <pivotTable tabId="9" name="PivotTable3"/>
    <pivotTable tabId="9" name="PivotTable4"/>
    <pivotTable tabId="9" name="PivotTable5"/>
    <pivotTable tabId="9" name="PivotTable6"/>
    <pivotTable tabId="9" name="PivotTable7"/>
    <pivotTable tabId="9" name="PivotTable8"/>
    <pivotTable tabId="9" name="PivotTable9"/>
    <pivotTable tabId="9" name="PivotTable10"/>
  </pivotTables>
  <data>
    <tabular pivotCacheId="750211383" sortOrder="descending">
      <items count="4">
        <i x="1" s="1"/>
        <i x="0" s="1"/>
        <i x="3" s="1" nd="1"/>
        <i x="2"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eer__Aspiration" xr10:uid="{D4E5231E-7D06-480C-B944-B0971AAC9B95}" sourceName="Career _x000a_Aspiration">
  <pivotTables>
    <pivotTable tabId="9" name="PivotTable1"/>
    <pivotTable tabId="9" name="PivotTable12"/>
    <pivotTable tabId="9" name="PivotTable2"/>
    <pivotTable tabId="9" name="PivotTable3"/>
    <pivotTable tabId="9" name="PivotTable4"/>
    <pivotTable tabId="9" name="PivotTable5"/>
    <pivotTable tabId="9" name="PivotTable6"/>
    <pivotTable tabId="9" name="PivotTable7"/>
    <pivotTable tabId="9" name="PivotTable8"/>
    <pivotTable tabId="9" name="PivotTable9"/>
    <pivotTable tabId="9" name="PivotTable10"/>
  </pivotTables>
  <data>
    <tabular pivotCacheId="750211383">
      <items count="17">
        <i x="11" s="1"/>
        <i x="3" s="1"/>
        <i x="9" s="1"/>
        <i x="7" s="1"/>
        <i x="13" s="1"/>
        <i x="12" s="1"/>
        <i x="1" s="1"/>
        <i x="14" s="1"/>
        <i x="2" s="1"/>
        <i x="0" s="1"/>
        <i x="16" s="1"/>
        <i x="8" s="1"/>
        <i x="5" s="1"/>
        <i x="15" s="1"/>
        <i x="6" s="1"/>
        <i x="4" s="1"/>
        <i x="1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endance__Performance" xr10:uid="{228B02B6-3860-496C-ADD6-3F5916B5211B}" sourceName="Attendance _x000a_Performance ">
  <pivotTables>
    <pivotTable tabId="9" name="PivotTable1"/>
    <pivotTable tabId="9" name="PivotTable12"/>
    <pivotTable tabId="9" name="PivotTable2"/>
    <pivotTable tabId="9" name="PivotTable3"/>
    <pivotTable tabId="9" name="PivotTable4"/>
    <pivotTable tabId="9" name="PivotTable5"/>
    <pivotTable tabId="9" name="PivotTable6"/>
    <pivotTable tabId="9" name="PivotTable7"/>
    <pivotTable tabId="9" name="PivotTable8"/>
    <pivotTable tabId="9" name="PivotTable9"/>
    <pivotTable tabId="9" name="PivotTable10"/>
  </pivotTables>
  <data>
    <tabular pivotCacheId="750211383">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76DF82DF-7935-4A95-A948-C642DC83C205}" cache="Slicer_Gender" caption="Gender" style="Slicer Style 1" rowHeight="360000"/>
  <slicer name="Part Time _x000a_Job" xr10:uid="{C8B49B7F-2082-4622-BE5A-577F9D3FB1F4}" cache="Slicer_Part_Time__Job" caption="Part Time _x000a_Job" style="Slicer Style 1" rowHeight="360000"/>
  <slicer name="Extracurricular _x000a_Activities" xr10:uid="{4F6DBAC3-48E8-4037-8DDA-14CB3967097B}" cache="Slicer_Extracurricular__Activities" caption="Extracurricular _x000a_Activities" startItem="2" style="Slicer Style 1" rowHeight="360000"/>
  <slicer name="Career _x000a_Aspiration" xr10:uid="{AEF4BAA5-7633-436E-B46A-6580F9EE95B4}" cache="Slicer_Career__Aspiration" caption="Career _x000a_Aspiration" style="Slicer Style 1" rowHeight="360000"/>
  <slicer name="Attendance _x000a_Performance " xr10:uid="{9CE093EC-FCCC-4B35-9317-F8B9DEE3E7EC}" cache="Slicer_Attendance__Performance" caption="Attendance _x000a_Performance " style="Slicer Style 1" rowHeight="36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BC9F9E4-4B45-4BF8-A345-AAAD3AB29089}" name="Table1" displayName="Table1" ref="A1:AD2001" totalsRowShown="0" headerRowDxfId="60">
  <autoFilter ref="A1:AD2001" xr:uid="{CBC9F9E4-4B45-4BF8-A345-AAAD3AB29089}"/>
  <tableColumns count="30">
    <tableColumn id="1" xr3:uid="{62B24EC2-D39E-4AE1-9B12-F1F2A1E55FA2}" name="ID"/>
    <tableColumn id="2" xr3:uid="{E5EF02A1-4205-4FDB-A04A-A5D002DD3670}" name="First _x000a_Name" dataDxfId="59"/>
    <tableColumn id="3" xr3:uid="{3AA69B1A-C182-4515-BAF7-91359E9FBEAE}" name="Last _x000a_Name"/>
    <tableColumn id="18" xr3:uid="{0AE19D56-E710-4C38-9225-B0664A2F2EC2}" name="Full _x000a_Name" dataDxfId="58">
      <calculatedColumnFormula>_xlfn.TEXTJOIN(" ",TRUE,Table1[[#This Row],[First 
Name]:[Last 
Name]])</calculatedColumnFormula>
    </tableColumn>
    <tableColumn id="4" xr3:uid="{A110CCBB-3BE9-4C90-ADD6-9EEC88BD37E7}" name="Email"/>
    <tableColumn id="5" xr3:uid="{D7906236-4C8C-4C1D-9435-90F03DB1D4DE}" name="Gender"/>
    <tableColumn id="6" xr3:uid="{AB7A5FBA-1E81-4253-8FC1-32BDDCF93FC8}" name="Part Time _x000a_Job" dataDxfId="57">
      <calculatedColumnFormula>PROPER(Table1[[#This Row],[Part Time 
Job]])</calculatedColumnFormula>
    </tableColumn>
    <tableColumn id="7" xr3:uid="{C12C7F12-A62B-4D9B-8C1A-3699CEFDAF92}" name="Absence _x000a_Days" dataDxfId="56"/>
    <tableColumn id="8" xr3:uid="{471AFC90-EE45-4006-82CF-BA97DCDCE823}" name="Extracurricular _x000a_Activities" dataDxfId="55">
      <calculatedColumnFormula>PROPER(Table1[[#This Row],[Extracurricular 
Activities]])</calculatedColumnFormula>
    </tableColumn>
    <tableColumn id="9" xr3:uid="{4F0A83D4-A414-407C-9B5C-8EE53067EEA2}" name="Self Study _x000a_Hours"/>
    <tableColumn id="10" xr3:uid="{483D701B-CD91-416E-A4FE-2791F9A6F8AD}" name="Career _x000a_Aspiration"/>
    <tableColumn id="11" xr3:uid="{E767C780-58B2-4FF4-96FF-B21435877FA5}" name="Math _x000a_Score"/>
    <tableColumn id="19" xr3:uid="{9EC21D64-30AC-429F-A735-D66681DAEAD5}" name="Math _x000a_Grade" dataDxfId="54">
      <calculatedColumnFormula array="1">_xlfn.IFS(Table1[[#This Row],[Math 
Score]]&gt;=90,"A+",Table1[[#This Row],[Math 
Score]]&gt;=80,"A", Table1[[#This Row],[Math 
Score]]&gt;=75,"A-",Table1[[#This Row],[Math 
Score]]&gt;=70,"B+",Table1[[#This Row],[Math 
Score]]&gt;=65,"B",Table1[[#This Row],[Math 
Score]]&gt;=60,"B-",Table1[[#This Row],[Math 
Score]]&gt;=50,"C",Table1[[#This Row],[Math 
Score]]&gt;=40,"D",Table1[[#This Row],[Math 
Score]]&lt;40,"F")</calculatedColumnFormula>
    </tableColumn>
    <tableColumn id="12" xr3:uid="{379AAC38-B112-4536-9FB4-051BD321A8E2}" name="History _x000a_Score"/>
    <tableColumn id="21" xr3:uid="{2C8D24FF-3F2E-437B-8A5D-753C3DD599CB}" name="History _x000a_Grade" dataDxfId="53">
      <calculatedColumnFormula array="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calculatedColumnFormula>
    </tableColumn>
    <tableColumn id="13" xr3:uid="{2787CB76-4B41-4B20-8C7E-EE3CD7508481}" name="Physics _x000a_Score"/>
    <tableColumn id="22" xr3:uid="{F3361E69-C1D7-4C6C-AAAD-9908FEB14138}" name="Physics _x000a_Grade" dataDxfId="52">
      <calculatedColumnFormula array="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calculatedColumnFormula>
    </tableColumn>
    <tableColumn id="14" xr3:uid="{4F3DA6E5-1893-4371-A159-846C77D06386}" name="Chemistry _x000a_Score"/>
    <tableColumn id="23" xr3:uid="{70B3FAF9-56A8-47BD-BF1D-5F9C412224A5}" name="Chemistry _x000a_Grade" dataDxfId="51">
      <calculatedColumnFormula array="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calculatedColumnFormula>
    </tableColumn>
    <tableColumn id="15" xr3:uid="{9CC54A53-202F-40D8-A3DD-9CEA68B8BA67}" name="Biology _x000a_Score"/>
    <tableColumn id="24" xr3:uid="{2E581D99-F998-4648-AF41-50D9B02FBA99}" name="Biology _x000a_Grade" dataDxfId="50">
      <calculatedColumnFormula array="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calculatedColumnFormula>
    </tableColumn>
    <tableColumn id="16" xr3:uid="{2398C395-A832-4926-8E30-F31C25B932DF}" name="English _x000a_Score"/>
    <tableColumn id="25" xr3:uid="{A1DB348B-D3B2-4550-9671-92B49D065BF4}" name="English _x000a_Grade" dataDxfId="49">
      <calculatedColumnFormula array="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calculatedColumnFormula>
    </tableColumn>
    <tableColumn id="17" xr3:uid="{506F2925-2416-4CF7-BDB8-7D7D48A040B7}" name="Geography _x000a_Score"/>
    <tableColumn id="26" xr3:uid="{16422E96-6E7F-4497-885D-142DF9F6BCAC}" name="Geography _x000a_Grade" dataDxfId="48">
      <calculatedColumnFormula array="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calculatedColumnFormula>
    </tableColumn>
    <tableColumn id="27" xr3:uid="{69AFC9FE-149D-43BE-A5F2-83B4CA08F539}" name="Total _x000a_Score" dataDxfId="47">
      <calculatedColumnFormula>SUM(Table1[[#This Row],[Math 
Score]],Table1[[#This Row],[History 
Score]],Table1[[#This Row],[Physics 
Score]],Table1[[#This Row],[Chemistry 
Score]],Table1[[#This Row],[Biology 
Score]],Table1[[#This Row],[English 
Score]],Table1[[#This Row],[Geography 
Score]])</calculatedColumnFormula>
    </tableColumn>
    <tableColumn id="20" xr3:uid="{991D367C-373E-46ED-8B91-0F9157DC4FE6}" name="Average _x000a_Score" dataDxfId="46">
      <calculatedColumnFormula>AVERAGE(Table1[[#This Row],[Math 
Score]],Table1[[#This Row],[History 
Score]],Table1[[#This Row],[Physics 
Score]],Table1[[#This Row],[Chemistry 
Score]],Table1[[#This Row],[Biology 
Score]],Table1[[#This Row],[English 
Score]],Table1[[#This Row],[Geography 
Score]])</calculatedColumnFormula>
    </tableColumn>
    <tableColumn id="28" xr3:uid="{10F235A5-A102-44B5-9BF0-2A233791C2B5}" name="Overall _x000a_Grade" dataDxfId="45">
      <calculatedColumnFormula>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calculatedColumnFormula>
    </tableColumn>
    <tableColumn id="29" xr3:uid="{2EB059D0-307E-4F8E-801F-DDE1D79BDCBE}" name="Ranking" dataDxfId="44">
      <calculatedColumnFormula>RANK(AA2,$AA$2:$AA$2001,0)</calculatedColumnFormula>
    </tableColumn>
    <tableColumn id="30" xr3:uid="{4DC92E8D-7D09-42F4-B94C-0A4BDA255748}" name="Attendance _x000a_Performance " dataDxfId="43">
      <calculatedColumnFormula>_xlfn.IFS(Table1[[#This Row],[Absence 
Days]]&lt;3,"Excellent",Table1[[#This Row],[Absence 
Days]]&lt;=6,"Good",Table1[[#This Row],[Absence 
Days]]&gt;6,"Poor")</calculatedColumnFormula>
    </tableColumn>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74A2006-E6D9-47F0-82E0-99E41659210C}" name="Table2" displayName="Table2" ref="C3:D20" totalsRowShown="0" headerRowDxfId="28" dataDxfId="26" headerRowBorderDxfId="27" tableBorderDxfId="25" totalsRowBorderDxfId="24">
  <autoFilter ref="C3:D20" xr:uid="{E74A2006-E6D9-47F0-82E0-99E41659210C}"/>
  <tableColumns count="2">
    <tableColumn id="1" xr3:uid="{41B5D6D8-B9F7-4948-9247-4F86034FA773}" name="Column Name" dataDxfId="23"/>
    <tableColumn id="2" xr3:uid="{6F815499-4EFD-4162-8766-F9AE8A0E6BC8}" name="DataType" dataDxfId="22"/>
  </tableColumns>
  <tableStyleInfo name="TableStyleMedium1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DA31F72-1CAE-4E7F-8AE3-387FEA29C7D1}" name="Table3" displayName="Table3" ref="F3:G7" totalsRowShown="0" headerRowDxfId="21" headerRowBorderDxfId="20" tableBorderDxfId="19" totalsRowBorderDxfId="18">
  <autoFilter ref="F3:G7" xr:uid="{5DA31F72-1CAE-4E7F-8AE3-387FEA29C7D1}"/>
  <tableColumns count="2">
    <tableColumn id="1" xr3:uid="{6EB81542-E6D5-4452-9A56-F0D4BF4C0EAF}" name="Value" dataDxfId="17"/>
    <tableColumn id="2" xr3:uid="{F5DE44A3-2113-4C68-9AE5-EF8EC0A1FAD0}" name="Description" dataDxfId="16"/>
  </tableColumns>
  <tableStyleInfo name="TableStyleMedium1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6A2F885-3336-4FA2-912D-60DF88BC7623}" name="Table25" displayName="Table25" ref="C23:D53" totalsRowShown="0" headerRowDxfId="15" headerRowBorderDxfId="14" tableBorderDxfId="13" totalsRowBorderDxfId="12">
  <autoFilter ref="C23:D53" xr:uid="{C6A2F885-3336-4FA2-912D-60DF88BC7623}"/>
  <tableColumns count="2">
    <tableColumn id="1" xr3:uid="{C78E3768-F102-4676-BB1F-62951E7A3D21}" name="Column Name" dataDxfId="11"/>
    <tableColumn id="2" xr3:uid="{45F038CB-B1CB-4147-9FF7-2FECB7657E10}" name="DataType" dataDxfId="10"/>
  </tableColumns>
  <tableStyleInfo name="TableStyleMedium16"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3025180-E19C-4433-9FC9-A4D34D29E826}" name="Table37" displayName="Table37" ref="F23:G27" totalsRowShown="0" headerRowDxfId="9" headerRowBorderDxfId="8" tableBorderDxfId="7" totalsRowBorderDxfId="6">
  <autoFilter ref="F23:G27" xr:uid="{83025180-E19C-4433-9FC9-A4D34D29E826}"/>
  <tableColumns count="2">
    <tableColumn id="1" xr3:uid="{7C8FF967-D1C4-4587-BC4E-9830A3AE5B1D}" name="Value" dataDxfId="5"/>
    <tableColumn id="2" xr3:uid="{82A06C59-3B81-4479-B81B-CB07978555F5}" name="Description" dataDxfId="4"/>
  </tableColumns>
  <tableStyleInfo name="TableStyleMedium16"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 Id="rId4"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2001"/>
  <sheetViews>
    <sheetView topLeftCell="I1" zoomScaleNormal="95" workbookViewId="0">
      <selection activeCell="AE9" sqref="AE9"/>
    </sheetView>
  </sheetViews>
  <sheetFormatPr defaultRowHeight="14.5" x14ac:dyDescent="0.35"/>
  <cols>
    <col min="1" max="1" width="4.81640625" bestFit="1" customWidth="1"/>
    <col min="2" max="2" width="10.453125" style="2" bestFit="1" customWidth="1"/>
    <col min="3" max="3" width="9.36328125" customWidth="1"/>
    <col min="4" max="4" width="21.81640625" bestFit="1" customWidth="1"/>
    <col min="5" max="5" width="38.1796875" customWidth="1"/>
    <col min="6" max="6" width="9.81640625" customWidth="1"/>
    <col min="7" max="7" width="10.36328125" customWidth="1"/>
    <col min="8" max="8" width="11" style="3" bestFit="1" customWidth="1"/>
    <col min="9" max="9" width="15" customWidth="1"/>
    <col min="10" max="10" width="10.08984375" customWidth="1"/>
    <col min="11" max="11" width="17.1796875" customWidth="1"/>
    <col min="12" max="12" width="8.1796875" bestFit="1" customWidth="1"/>
    <col min="13" max="13" width="8.90625" style="12" bestFit="1" customWidth="1"/>
    <col min="14" max="17" width="9.90625" bestFit="1" customWidth="1"/>
    <col min="18" max="19" width="12.54296875" bestFit="1" customWidth="1"/>
    <col min="20" max="21" width="10" bestFit="1" customWidth="1"/>
    <col min="22" max="23" width="9.81640625" bestFit="1" customWidth="1"/>
    <col min="24" max="24" width="13.36328125" bestFit="1" customWidth="1"/>
    <col min="25" max="25" width="12.453125" bestFit="1" customWidth="1"/>
    <col min="26" max="26" width="8.1796875" bestFit="1" customWidth="1"/>
    <col min="27" max="27" width="10.6328125" bestFit="1" customWidth="1"/>
    <col min="28" max="28" width="9.90625" bestFit="1" customWidth="1"/>
    <col min="30" max="30" width="16.453125" bestFit="1" customWidth="1"/>
  </cols>
  <sheetData>
    <row r="1" spans="1:31" ht="34.25" customHeight="1" x14ac:dyDescent="0.35">
      <c r="A1" s="1" t="s">
        <v>3145</v>
      </c>
      <c r="B1" s="15" t="s">
        <v>3169</v>
      </c>
      <c r="C1" s="14" t="s">
        <v>3170</v>
      </c>
      <c r="D1" s="14" t="s">
        <v>3171</v>
      </c>
      <c r="E1" s="1" t="s">
        <v>3131</v>
      </c>
      <c r="F1" s="1" t="s">
        <v>3132</v>
      </c>
      <c r="G1" s="14" t="s">
        <v>3172</v>
      </c>
      <c r="H1" s="16" t="s">
        <v>3173</v>
      </c>
      <c r="I1" s="14" t="s">
        <v>3174</v>
      </c>
      <c r="J1" s="14" t="s">
        <v>3175</v>
      </c>
      <c r="K1" s="14" t="s">
        <v>3176</v>
      </c>
      <c r="L1" s="14" t="s">
        <v>3177</v>
      </c>
      <c r="M1" s="17" t="s">
        <v>3178</v>
      </c>
      <c r="N1" s="14" t="s">
        <v>3179</v>
      </c>
      <c r="O1" s="14" t="s">
        <v>3180</v>
      </c>
      <c r="P1" s="14" t="s">
        <v>3181</v>
      </c>
      <c r="Q1" s="14" t="s">
        <v>3182</v>
      </c>
      <c r="R1" s="14" t="s">
        <v>3183</v>
      </c>
      <c r="S1" s="14" t="s">
        <v>3184</v>
      </c>
      <c r="T1" s="14" t="s">
        <v>3185</v>
      </c>
      <c r="U1" s="14" t="s">
        <v>3186</v>
      </c>
      <c r="V1" s="14" t="s">
        <v>3187</v>
      </c>
      <c r="W1" s="14" t="s">
        <v>3188</v>
      </c>
      <c r="X1" s="14" t="s">
        <v>3189</v>
      </c>
      <c r="Y1" s="18" t="s">
        <v>3190</v>
      </c>
      <c r="Z1" s="14" t="s">
        <v>3168</v>
      </c>
      <c r="AA1" s="14" t="s">
        <v>3167</v>
      </c>
      <c r="AB1" s="14" t="s">
        <v>3166</v>
      </c>
      <c r="AC1" s="1" t="s">
        <v>3165</v>
      </c>
      <c r="AD1" s="14" t="s">
        <v>3191</v>
      </c>
      <c r="AE1" s="1"/>
    </row>
    <row r="2" spans="1:31" x14ac:dyDescent="0.35">
      <c r="A2">
        <v>1</v>
      </c>
      <c r="B2" s="2" t="s">
        <v>0</v>
      </c>
      <c r="C2" t="s">
        <v>53</v>
      </c>
      <c r="D2" t="str">
        <f>_xlfn.TEXTJOIN(" ",TRUE,Table1[[#This Row],[First 
Name]:[Last 
Name]])</f>
        <v>Paul Casey</v>
      </c>
      <c r="E2" t="s">
        <v>1112</v>
      </c>
      <c r="F2" t="s">
        <v>3244</v>
      </c>
      <c r="G2" t="str">
        <f ca="1">PROPER(Table1[[#This Row],[Part Time 
Job]])</f>
        <v>False</v>
      </c>
      <c r="H2" s="3">
        <v>3</v>
      </c>
      <c r="I2" t="str">
        <f ca="1">PROPER(Table1[[#This Row],[Extracurricular 
Activities]])</f>
        <v>False</v>
      </c>
      <c r="J2">
        <v>27</v>
      </c>
      <c r="K2" t="s">
        <v>3112</v>
      </c>
      <c r="L2">
        <v>73</v>
      </c>
      <c r="M2" s="12" t="str" cm="1">
        <f t="array" ref="M2">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2">
        <v>81</v>
      </c>
      <c r="O2" s="13" t="str" cm="1">
        <f t="array" ref="O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2">
        <v>93</v>
      </c>
      <c r="Q2" s="13" t="str" cm="1">
        <f t="array" ref="Q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2">
        <v>97</v>
      </c>
      <c r="S2" t="str" cm="1">
        <f t="array" ref="S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2">
        <v>63</v>
      </c>
      <c r="U2" t="str" cm="1">
        <f t="array" ref="U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2">
        <v>80</v>
      </c>
      <c r="W2" t="str" cm="1">
        <f t="array" ref="W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2">
        <v>87</v>
      </c>
      <c r="Y2" t="str" cm="1">
        <f t="array" ref="Y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2">
        <f>SUM(Table1[[#This Row],[Math 
Score]],Table1[[#This Row],[History 
Score]],Table1[[#This Row],[Physics 
Score]],Table1[[#This Row],[Chemistry 
Score]],Table1[[#This Row],[Biology 
Score]],Table1[[#This Row],[English 
Score]],Table1[[#This Row],[Geography 
Score]])</f>
        <v>574</v>
      </c>
      <c r="AA2" s="3">
        <f>AVERAGE(Table1[[#This Row],[Math 
Score]],Table1[[#This Row],[History 
Score]],Table1[[#This Row],[Physics 
Score]],Table1[[#This Row],[Chemistry 
Score]],Table1[[#This Row],[Biology 
Score]],Table1[[#This Row],[English 
Score]],Table1[[#This Row],[Geography 
Score]])</f>
        <v>82</v>
      </c>
      <c r="AB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2">
        <f t="shared" ref="AC2:AC65" si="0">RANK(AA2,$AA$2:$AA$2001,0)</f>
        <v>832</v>
      </c>
      <c r="AD2" t="str">
        <f>_xlfn.IFS(Table1[[#This Row],[Absence 
Days]]&lt;3,"Excellent",Table1[[#This Row],[Absence 
Days]]&lt;=6,"Good",Table1[[#This Row],[Absence 
Days]]&gt;6,"Poor")</f>
        <v>Good</v>
      </c>
    </row>
    <row r="3" spans="1:31" x14ac:dyDescent="0.35">
      <c r="A3">
        <v>2</v>
      </c>
      <c r="B3" s="2" t="s">
        <v>1</v>
      </c>
      <c r="C3" t="s">
        <v>453</v>
      </c>
      <c r="D3" t="str">
        <f>_xlfn.TEXTJOIN(" ",TRUE,Table1[[#This Row],[First 
Name]:[Last 
Name]])</f>
        <v>Danielle Sandoval</v>
      </c>
      <c r="E3" t="s">
        <v>1113</v>
      </c>
      <c r="F3" t="s">
        <v>3245</v>
      </c>
      <c r="G3" t="str">
        <f ca="1">PROPER(Table1[[#This Row],[Part Time 
Job]])</f>
        <v>False</v>
      </c>
      <c r="H3" s="3">
        <v>2</v>
      </c>
      <c r="I3" t="str">
        <f ca="1">PROPER(Table1[[#This Row],[Extracurricular 
Activities]])</f>
        <v>False</v>
      </c>
      <c r="J3">
        <v>47</v>
      </c>
      <c r="K3" t="s">
        <v>3113</v>
      </c>
      <c r="L3">
        <v>90</v>
      </c>
      <c r="M3" s="12" t="str" cm="1">
        <f t="array" ref="M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3">
        <v>86</v>
      </c>
      <c r="O3" s="13" t="str" cm="1">
        <f t="array" ref="O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3">
        <v>96</v>
      </c>
      <c r="Q3" s="13" t="str" cm="1">
        <f t="array" ref="Q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3">
        <v>100</v>
      </c>
      <c r="S3" t="str" cm="1">
        <f t="array" ref="S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3">
        <v>90</v>
      </c>
      <c r="U3" t="str" cm="1">
        <f t="array" ref="U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3">
        <v>88</v>
      </c>
      <c r="W3" t="str" cm="1">
        <f t="array" ref="W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3">
        <v>90</v>
      </c>
      <c r="Y3" t="str" cm="1">
        <f t="array" ref="Y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3">
        <f>SUM(Table1[[#This Row],[Math 
Score]],Table1[[#This Row],[History 
Score]],Table1[[#This Row],[Physics 
Score]],Table1[[#This Row],[Chemistry 
Score]],Table1[[#This Row],[Biology 
Score]],Table1[[#This Row],[English 
Score]],Table1[[#This Row],[Geography 
Score]])</f>
        <v>640</v>
      </c>
      <c r="AA3" s="3">
        <f>AVERAGE(Table1[[#This Row],[Math 
Score]],Table1[[#This Row],[History 
Score]],Table1[[#This Row],[Physics 
Score]],Table1[[#This Row],[Chemistry 
Score]],Table1[[#This Row],[Biology 
Score]],Table1[[#This Row],[English 
Score]],Table1[[#This Row],[Geography 
Score]])</f>
        <v>91.428571428571431</v>
      </c>
      <c r="AB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3">
        <f t="shared" si="0"/>
        <v>98</v>
      </c>
      <c r="AD3" t="str">
        <f>_xlfn.IFS(Table1[[#This Row],[Absence 
Days]]&lt;3,"Excellent",Table1[[#This Row],[Absence 
Days]]&lt;=6,"Good",Table1[[#This Row],[Absence 
Days]]&gt;6,"Poor")</f>
        <v>Excellent</v>
      </c>
    </row>
    <row r="4" spans="1:31" x14ac:dyDescent="0.35">
      <c r="A4">
        <v>3</v>
      </c>
      <c r="B4" s="2" t="s">
        <v>2</v>
      </c>
      <c r="C4" t="s">
        <v>454</v>
      </c>
      <c r="D4" t="str">
        <f>_xlfn.TEXTJOIN(" ",TRUE,Table1[[#This Row],[First 
Name]:[Last 
Name]])</f>
        <v>Tina Andrews</v>
      </c>
      <c r="E4" t="s">
        <v>1114</v>
      </c>
      <c r="F4" t="s">
        <v>3245</v>
      </c>
      <c r="G4" t="str">
        <f ca="1">PROPER(Table1[[#This Row],[Part Time 
Job]])</f>
        <v>False</v>
      </c>
      <c r="H4" s="3">
        <v>9</v>
      </c>
      <c r="I4" t="str">
        <f ca="1">PROPER(Table1[[#This Row],[Extracurricular 
Activities]])</f>
        <v>True</v>
      </c>
      <c r="J4">
        <v>13</v>
      </c>
      <c r="K4" t="s">
        <v>3114</v>
      </c>
      <c r="L4">
        <v>81</v>
      </c>
      <c r="M4" s="12" t="str" cm="1">
        <f t="array" ref="M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4">
        <v>97</v>
      </c>
      <c r="O4" s="13" t="str" cm="1">
        <f t="array" ref="O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4">
        <v>95</v>
      </c>
      <c r="Q4" s="13" t="str" cm="1">
        <f t="array" ref="Q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4">
        <v>96</v>
      </c>
      <c r="S4" t="str" cm="1">
        <f t="array" ref="S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4">
        <v>65</v>
      </c>
      <c r="U4" t="str" cm="1">
        <f t="array" ref="U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4">
        <v>77</v>
      </c>
      <c r="W4" t="str" cm="1">
        <f t="array" ref="W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4">
        <v>94</v>
      </c>
      <c r="Y4" t="str" cm="1">
        <f t="array" ref="Y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4">
        <f>SUM(Table1[[#This Row],[Math 
Score]],Table1[[#This Row],[History 
Score]],Table1[[#This Row],[Physics 
Score]],Table1[[#This Row],[Chemistry 
Score]],Table1[[#This Row],[Biology 
Score]],Table1[[#This Row],[English 
Score]],Table1[[#This Row],[Geography 
Score]])</f>
        <v>605</v>
      </c>
      <c r="AA4" s="3">
        <f>AVERAGE(Table1[[#This Row],[Math 
Score]],Table1[[#This Row],[History 
Score]],Table1[[#This Row],[Physics 
Score]],Table1[[#This Row],[Chemistry 
Score]],Table1[[#This Row],[Biology 
Score]],Table1[[#This Row],[English 
Score]],Table1[[#This Row],[Geography 
Score]])</f>
        <v>86.428571428571431</v>
      </c>
      <c r="AB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4">
        <f t="shared" si="0"/>
        <v>344</v>
      </c>
      <c r="AD4" t="str">
        <f>_xlfn.IFS(Table1[[#This Row],[Absence 
Days]]&lt;3,"Excellent",Table1[[#This Row],[Absence 
Days]]&lt;=6,"Good",Table1[[#This Row],[Absence 
Days]]&gt;6,"Poor")</f>
        <v>Poor</v>
      </c>
    </row>
    <row r="5" spans="1:31" x14ac:dyDescent="0.35">
      <c r="A5">
        <v>4</v>
      </c>
      <c r="B5" s="2" t="s">
        <v>3</v>
      </c>
      <c r="C5" t="s">
        <v>455</v>
      </c>
      <c r="D5" t="str">
        <f>_xlfn.TEXTJOIN(" ",TRUE,Table1[[#This Row],[First 
Name]:[Last 
Name]])</f>
        <v>Tara Clark</v>
      </c>
      <c r="E5" t="s">
        <v>1115</v>
      </c>
      <c r="F5" t="s">
        <v>3245</v>
      </c>
      <c r="G5" t="str">
        <f ca="1">PROPER(Table1[[#This Row],[Part Time 
Job]])</f>
        <v>False</v>
      </c>
      <c r="H5" s="3">
        <v>5</v>
      </c>
      <c r="I5" t="str">
        <f ca="1">PROPER(Table1[[#This Row],[Extracurricular 
Activities]])</f>
        <v>False</v>
      </c>
      <c r="J5">
        <v>3</v>
      </c>
      <c r="K5" t="s">
        <v>3115</v>
      </c>
      <c r="L5">
        <v>71</v>
      </c>
      <c r="M5" s="12" t="str" cm="1">
        <f t="array" ref="M5">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5">
        <v>74</v>
      </c>
      <c r="O5" s="13" t="str" cm="1">
        <f t="array" ref="O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5">
        <v>88</v>
      </c>
      <c r="Q5" s="13" t="str" cm="1">
        <f t="array" ref="Q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5">
        <v>80</v>
      </c>
      <c r="S5" t="str" cm="1">
        <f t="array" ref="S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5">
        <v>89</v>
      </c>
      <c r="U5" t="str" cm="1">
        <f t="array" ref="U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5">
        <v>63</v>
      </c>
      <c r="W5" t="str" cm="1">
        <f t="array" ref="W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5">
        <v>86</v>
      </c>
      <c r="Y5" t="str" cm="1">
        <f t="array" ref="Y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5">
        <f>SUM(Table1[[#This Row],[Math 
Score]],Table1[[#This Row],[History 
Score]],Table1[[#This Row],[Physics 
Score]],Table1[[#This Row],[Chemistry 
Score]],Table1[[#This Row],[Biology 
Score]],Table1[[#This Row],[English 
Score]],Table1[[#This Row],[Geography 
Score]])</f>
        <v>551</v>
      </c>
      <c r="AA5" s="3">
        <f>AVERAGE(Table1[[#This Row],[Math 
Score]],Table1[[#This Row],[History 
Score]],Table1[[#This Row],[Physics 
Score]],Table1[[#This Row],[Chemistry 
Score]],Table1[[#This Row],[Biology 
Score]],Table1[[#This Row],[English 
Score]],Table1[[#This Row],[Geography 
Score]])</f>
        <v>78.714285714285708</v>
      </c>
      <c r="AB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5">
        <f t="shared" si="0"/>
        <v>1317</v>
      </c>
      <c r="AD5" t="str">
        <f>_xlfn.IFS(Table1[[#This Row],[Absence 
Days]]&lt;3,"Excellent",Table1[[#This Row],[Absence 
Days]]&lt;=6,"Good",Table1[[#This Row],[Absence 
Days]]&gt;6,"Poor")</f>
        <v>Good</v>
      </c>
    </row>
    <row r="6" spans="1:31" x14ac:dyDescent="0.35">
      <c r="A6">
        <v>5</v>
      </c>
      <c r="B6" s="2" t="s">
        <v>4</v>
      </c>
      <c r="C6" t="s">
        <v>456</v>
      </c>
      <c r="D6" t="str">
        <f>_xlfn.TEXTJOIN(" ",TRUE,Table1[[#This Row],[First 
Name]:[Last 
Name]])</f>
        <v>Anthony Campos</v>
      </c>
      <c r="E6" t="s">
        <v>1116</v>
      </c>
      <c r="F6" t="s">
        <v>3244</v>
      </c>
      <c r="G6" t="str">
        <f ca="1">PROPER(Table1[[#This Row],[Part Time 
Job]])</f>
        <v>False</v>
      </c>
      <c r="H6" s="3">
        <v>5</v>
      </c>
      <c r="I6" t="str">
        <f ca="1">PROPER(Table1[[#This Row],[Extracurricular 
Activities]])</f>
        <v>False</v>
      </c>
      <c r="J6">
        <v>10</v>
      </c>
      <c r="K6" t="s">
        <v>3116</v>
      </c>
      <c r="L6">
        <v>84</v>
      </c>
      <c r="M6" s="12" t="str" cm="1">
        <f t="array" ref="M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6">
        <v>77</v>
      </c>
      <c r="O6" s="13" t="str" cm="1">
        <f t="array" ref="O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6">
        <v>65</v>
      </c>
      <c r="Q6" s="13" t="str" cm="1">
        <f t="array" ref="Q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6">
        <v>65</v>
      </c>
      <c r="S6" t="str" cm="1">
        <f t="array" ref="S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6">
        <v>80</v>
      </c>
      <c r="U6" t="str" cm="1">
        <f t="array" ref="U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6">
        <v>74</v>
      </c>
      <c r="W6" t="str" cm="1">
        <f t="array" ref="W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6">
        <v>76</v>
      </c>
      <c r="Y6" t="str" cm="1">
        <f t="array" ref="Y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6">
        <f>SUM(Table1[[#This Row],[Math 
Score]],Table1[[#This Row],[History 
Score]],Table1[[#This Row],[Physics 
Score]],Table1[[#This Row],[Chemistry 
Score]],Table1[[#This Row],[Biology 
Score]],Table1[[#This Row],[English 
Score]],Table1[[#This Row],[Geography 
Score]])</f>
        <v>521</v>
      </c>
      <c r="AA6" s="3">
        <f>AVERAGE(Table1[[#This Row],[Math 
Score]],Table1[[#This Row],[History 
Score]],Table1[[#This Row],[Physics 
Score]],Table1[[#This Row],[Chemistry 
Score]],Table1[[#This Row],[Biology 
Score]],Table1[[#This Row],[English 
Score]],Table1[[#This Row],[Geography 
Score]])</f>
        <v>74.428571428571431</v>
      </c>
      <c r="AB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6">
        <f t="shared" si="0"/>
        <v>1749</v>
      </c>
      <c r="AD6" t="str">
        <f>_xlfn.IFS(Table1[[#This Row],[Absence 
Days]]&lt;3,"Excellent",Table1[[#This Row],[Absence 
Days]]&lt;=6,"Good",Table1[[#This Row],[Absence 
Days]]&gt;6,"Poor")</f>
        <v>Good</v>
      </c>
    </row>
    <row r="7" spans="1:31" x14ac:dyDescent="0.35">
      <c r="A7">
        <v>6</v>
      </c>
      <c r="B7" s="2" t="s">
        <v>5</v>
      </c>
      <c r="C7" t="s">
        <v>457</v>
      </c>
      <c r="D7" t="str">
        <f>_xlfn.TEXTJOIN(" ",TRUE,Table1[[#This Row],[First 
Name]:[Last 
Name]])</f>
        <v>Kelly Wade</v>
      </c>
      <c r="E7" t="s">
        <v>1117</v>
      </c>
      <c r="F7" t="s">
        <v>3245</v>
      </c>
      <c r="G7" t="str">
        <f ca="1">PROPER(Table1[[#This Row],[Part Time 
Job]])</f>
        <v>False</v>
      </c>
      <c r="H7" s="3">
        <v>2</v>
      </c>
      <c r="I7" t="str">
        <f ca="1">PROPER(Table1[[#This Row],[Extracurricular 
Activities]])</f>
        <v>False</v>
      </c>
      <c r="J7">
        <v>26</v>
      </c>
      <c r="K7" t="s">
        <v>3116</v>
      </c>
      <c r="L7">
        <v>93</v>
      </c>
      <c r="M7" s="12" t="str" cm="1">
        <f t="array" ref="M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7">
        <v>100</v>
      </c>
      <c r="O7" s="13" t="str" cm="1">
        <f t="array" ref="O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7">
        <v>67</v>
      </c>
      <c r="Q7" s="13" t="str" cm="1">
        <f t="array" ref="Q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7">
        <v>78</v>
      </c>
      <c r="S7" t="str" cm="1">
        <f t="array" ref="S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7">
        <v>72</v>
      </c>
      <c r="U7" t="str" cm="1">
        <f t="array" ref="U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7">
        <v>80</v>
      </c>
      <c r="W7" t="str" cm="1">
        <f t="array" ref="W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7">
        <v>84</v>
      </c>
      <c r="Y7" t="str" cm="1">
        <f t="array" ref="Y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7">
        <f>SUM(Table1[[#This Row],[Math 
Score]],Table1[[#This Row],[History 
Score]],Table1[[#This Row],[Physics 
Score]],Table1[[#This Row],[Chemistry 
Score]],Table1[[#This Row],[Biology 
Score]],Table1[[#This Row],[English 
Score]],Table1[[#This Row],[Geography 
Score]])</f>
        <v>574</v>
      </c>
      <c r="AA7" s="3">
        <f>AVERAGE(Table1[[#This Row],[Math 
Score]],Table1[[#This Row],[History 
Score]],Table1[[#This Row],[Physics 
Score]],Table1[[#This Row],[Chemistry 
Score]],Table1[[#This Row],[Biology 
Score]],Table1[[#This Row],[English 
Score]],Table1[[#This Row],[Geography 
Score]])</f>
        <v>82</v>
      </c>
      <c r="AB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7">
        <f t="shared" si="0"/>
        <v>832</v>
      </c>
      <c r="AD7" t="str">
        <f>_xlfn.IFS(Table1[[#This Row],[Absence 
Days]]&lt;3,"Excellent",Table1[[#This Row],[Absence 
Days]]&lt;=6,"Good",Table1[[#This Row],[Absence 
Days]]&gt;6,"Poor")</f>
        <v>Excellent</v>
      </c>
    </row>
    <row r="8" spans="1:31" x14ac:dyDescent="0.35">
      <c r="A8">
        <v>7</v>
      </c>
      <c r="B8" s="2" t="s">
        <v>4</v>
      </c>
      <c r="C8" t="s">
        <v>458</v>
      </c>
      <c r="D8" t="str">
        <f>_xlfn.TEXTJOIN(" ",TRUE,Table1[[#This Row],[First 
Name]:[Last 
Name]])</f>
        <v>Anthony Smith</v>
      </c>
      <c r="E8" t="s">
        <v>1118</v>
      </c>
      <c r="F8" t="s">
        <v>3244</v>
      </c>
      <c r="G8" t="str">
        <f ca="1">PROPER(Table1[[#This Row],[Part Time 
Job]])</f>
        <v>False</v>
      </c>
      <c r="H8" s="3">
        <v>3</v>
      </c>
      <c r="I8" t="str">
        <f ca="1">PROPER(Table1[[#This Row],[Extracurricular 
Activities]])</f>
        <v>True</v>
      </c>
      <c r="J8">
        <v>23</v>
      </c>
      <c r="K8" t="s">
        <v>3117</v>
      </c>
      <c r="L8">
        <v>99</v>
      </c>
      <c r="M8" s="12" t="str" cm="1">
        <f t="array" ref="M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8">
        <v>96</v>
      </c>
      <c r="O8" s="13" t="str" cm="1">
        <f t="array" ref="O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8">
        <v>97</v>
      </c>
      <c r="Q8" s="13" t="str" cm="1">
        <f t="array" ref="Q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8">
        <v>73</v>
      </c>
      <c r="S8" t="str" cm="1">
        <f t="array" ref="S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8">
        <v>88</v>
      </c>
      <c r="U8" t="str" cm="1">
        <f t="array" ref="U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8">
        <v>76</v>
      </c>
      <c r="W8" t="str" cm="1">
        <f t="array" ref="W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8">
        <v>64</v>
      </c>
      <c r="Y8" t="str" cm="1">
        <f t="array" ref="Y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8">
        <f>SUM(Table1[[#This Row],[Math 
Score]],Table1[[#This Row],[History 
Score]],Table1[[#This Row],[Physics 
Score]],Table1[[#This Row],[Chemistry 
Score]],Table1[[#This Row],[Biology 
Score]],Table1[[#This Row],[English 
Score]],Table1[[#This Row],[Geography 
Score]])</f>
        <v>593</v>
      </c>
      <c r="AA8" s="3">
        <f>AVERAGE(Table1[[#This Row],[Math 
Score]],Table1[[#This Row],[History 
Score]],Table1[[#This Row],[Physics 
Score]],Table1[[#This Row],[Chemistry 
Score]],Table1[[#This Row],[Biology 
Score]],Table1[[#This Row],[English 
Score]],Table1[[#This Row],[Geography 
Score]])</f>
        <v>84.714285714285708</v>
      </c>
      <c r="AB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8">
        <f t="shared" si="0"/>
        <v>494</v>
      </c>
      <c r="AD8" t="str">
        <f>_xlfn.IFS(Table1[[#This Row],[Absence 
Days]]&lt;3,"Excellent",Table1[[#This Row],[Absence 
Days]]&lt;=6,"Good",Table1[[#This Row],[Absence 
Days]]&gt;6,"Poor")</f>
        <v>Good</v>
      </c>
    </row>
    <row r="9" spans="1:31" x14ac:dyDescent="0.35">
      <c r="A9">
        <v>8</v>
      </c>
      <c r="B9" s="2" t="s">
        <v>6</v>
      </c>
      <c r="C9" t="s">
        <v>459</v>
      </c>
      <c r="D9" t="str">
        <f>_xlfn.TEXTJOIN(" ",TRUE,Table1[[#This Row],[First 
Name]:[Last 
Name]])</f>
        <v>George Short</v>
      </c>
      <c r="E9" t="s">
        <v>1119</v>
      </c>
      <c r="F9" t="s">
        <v>3244</v>
      </c>
      <c r="G9" t="str">
        <f ca="1">PROPER(Table1[[#This Row],[Part Time 
Job]])</f>
        <v>True</v>
      </c>
      <c r="H9" s="3">
        <v>2</v>
      </c>
      <c r="I9" t="str">
        <f ca="1">PROPER(Table1[[#This Row],[Extracurricular 
Activities]])</f>
        <v>True</v>
      </c>
      <c r="J9">
        <v>34</v>
      </c>
      <c r="K9" t="s">
        <v>3117</v>
      </c>
      <c r="L9">
        <v>95</v>
      </c>
      <c r="M9" s="12" t="str" cm="1">
        <f t="array" ref="M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9">
        <v>95</v>
      </c>
      <c r="O9" s="13" t="str" cm="1">
        <f t="array" ref="O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9">
        <v>82</v>
      </c>
      <c r="Q9" s="13" t="str" cm="1">
        <f t="array" ref="Q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9">
        <v>63</v>
      </c>
      <c r="S9" t="str" cm="1">
        <f t="array" ref="S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9">
        <v>84</v>
      </c>
      <c r="U9" t="str" cm="1">
        <f t="array" ref="U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9">
        <v>70</v>
      </c>
      <c r="W9" t="str" cm="1">
        <f t="array" ref="W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9">
        <v>85</v>
      </c>
      <c r="Y9" t="str" cm="1">
        <f t="array" ref="Y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9">
        <f>SUM(Table1[[#This Row],[Math 
Score]],Table1[[#This Row],[History 
Score]],Table1[[#This Row],[Physics 
Score]],Table1[[#This Row],[Chemistry 
Score]],Table1[[#This Row],[Biology 
Score]],Table1[[#This Row],[English 
Score]],Table1[[#This Row],[Geography 
Score]])</f>
        <v>574</v>
      </c>
      <c r="AA9" s="3">
        <f>AVERAGE(Table1[[#This Row],[Math 
Score]],Table1[[#This Row],[History 
Score]],Table1[[#This Row],[Physics 
Score]],Table1[[#This Row],[Chemistry 
Score]],Table1[[#This Row],[Biology 
Score]],Table1[[#This Row],[English 
Score]],Table1[[#This Row],[Geography 
Score]])</f>
        <v>82</v>
      </c>
      <c r="AB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9">
        <f t="shared" si="0"/>
        <v>832</v>
      </c>
      <c r="AD9" t="str">
        <f>_xlfn.IFS(Table1[[#This Row],[Absence 
Days]]&lt;3,"Excellent",Table1[[#This Row],[Absence 
Days]]&lt;=6,"Good",Table1[[#This Row],[Absence 
Days]]&gt;6,"Poor")</f>
        <v>Excellent</v>
      </c>
    </row>
    <row r="10" spans="1:31" x14ac:dyDescent="0.35">
      <c r="A10">
        <v>9</v>
      </c>
      <c r="B10" s="2" t="s">
        <v>7</v>
      </c>
      <c r="C10" t="s">
        <v>460</v>
      </c>
      <c r="D10" t="str">
        <f>_xlfn.TEXTJOIN(" ",TRUE,Table1[[#This Row],[First 
Name]:[Last 
Name]])</f>
        <v>Stanley Gutierrez</v>
      </c>
      <c r="E10" t="s">
        <v>1120</v>
      </c>
      <c r="F10" t="s">
        <v>3244</v>
      </c>
      <c r="G10" t="str">
        <f ca="1">PROPER(Table1[[#This Row],[Part Time 
Job]])</f>
        <v>False</v>
      </c>
      <c r="H10" s="3">
        <v>6</v>
      </c>
      <c r="I10" t="str">
        <f ca="1">PROPER(Table1[[#This Row],[Extracurricular 
Activities]])</f>
        <v>False</v>
      </c>
      <c r="J10">
        <v>25</v>
      </c>
      <c r="K10" t="s">
        <v>3116</v>
      </c>
      <c r="L10">
        <v>94</v>
      </c>
      <c r="M10" s="12" t="str" cm="1">
        <f t="array" ref="M1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0">
        <v>68</v>
      </c>
      <c r="O10" s="13" t="str" cm="1">
        <f t="array" ref="O1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0">
        <v>94</v>
      </c>
      <c r="Q10" s="13" t="str" cm="1">
        <f t="array" ref="Q1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0">
        <v>85</v>
      </c>
      <c r="S10" t="str" cm="1">
        <f t="array" ref="S1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0">
        <v>81</v>
      </c>
      <c r="U10" t="str" cm="1">
        <f t="array" ref="U1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0">
        <v>74</v>
      </c>
      <c r="W10" t="str" cm="1">
        <f t="array" ref="W1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0">
        <v>72</v>
      </c>
      <c r="Y10" t="str" cm="1">
        <f t="array" ref="Y1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0">
        <f>SUM(Table1[[#This Row],[Math 
Score]],Table1[[#This Row],[History 
Score]],Table1[[#This Row],[Physics 
Score]],Table1[[#This Row],[Chemistry 
Score]],Table1[[#This Row],[Biology 
Score]],Table1[[#This Row],[English 
Score]],Table1[[#This Row],[Geography 
Score]])</f>
        <v>568</v>
      </c>
      <c r="AA10" s="3">
        <f>AVERAGE(Table1[[#This Row],[Math 
Score]],Table1[[#This Row],[History 
Score]],Table1[[#This Row],[Physics 
Score]],Table1[[#This Row],[Chemistry 
Score]],Table1[[#This Row],[Biology 
Score]],Table1[[#This Row],[English 
Score]],Table1[[#This Row],[Geography 
Score]])</f>
        <v>81.142857142857139</v>
      </c>
      <c r="AB1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0">
        <f t="shared" si="0"/>
        <v>975</v>
      </c>
      <c r="AD10" t="str">
        <f>_xlfn.IFS(Table1[[#This Row],[Absence 
Days]]&lt;3,"Excellent",Table1[[#This Row],[Absence 
Days]]&lt;=6,"Good",Table1[[#This Row],[Absence 
Days]]&gt;6,"Poor")</f>
        <v>Good</v>
      </c>
    </row>
    <row r="11" spans="1:31" x14ac:dyDescent="0.35">
      <c r="A11">
        <v>10</v>
      </c>
      <c r="B11" s="2" t="s">
        <v>8</v>
      </c>
      <c r="C11" t="s">
        <v>461</v>
      </c>
      <c r="D11" t="str">
        <f>_xlfn.TEXTJOIN(" ",TRUE,Table1[[#This Row],[First 
Name]:[Last 
Name]])</f>
        <v>Audrey Simpson</v>
      </c>
      <c r="E11" t="s">
        <v>1121</v>
      </c>
      <c r="F11" t="s">
        <v>3245</v>
      </c>
      <c r="G11" t="str">
        <f ca="1">PROPER(Table1[[#This Row],[Part Time 
Job]])</f>
        <v>False</v>
      </c>
      <c r="H11" s="3">
        <v>3</v>
      </c>
      <c r="I11" t="str">
        <f ca="1">PROPER(Table1[[#This Row],[Extracurricular 
Activities]])</f>
        <v>True</v>
      </c>
      <c r="J11">
        <v>18</v>
      </c>
      <c r="K11" t="s">
        <v>3118</v>
      </c>
      <c r="L11">
        <v>98</v>
      </c>
      <c r="M11" s="12" t="str" cm="1">
        <f t="array" ref="M1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1">
        <v>69</v>
      </c>
      <c r="O11" s="13" t="str" cm="1">
        <f t="array" ref="O1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1">
        <v>88</v>
      </c>
      <c r="Q11" s="13" t="str" cm="1">
        <f t="array" ref="Q1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1">
        <v>71</v>
      </c>
      <c r="S11" t="str" cm="1">
        <f t="array" ref="S1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1">
        <v>67</v>
      </c>
      <c r="U11" t="str" cm="1">
        <f t="array" ref="U1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1">
        <v>71</v>
      </c>
      <c r="W11" t="str" cm="1">
        <f t="array" ref="W1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1">
        <v>73</v>
      </c>
      <c r="Y11" t="str" cm="1">
        <f t="array" ref="Y1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1">
        <f>SUM(Table1[[#This Row],[Math 
Score]],Table1[[#This Row],[History 
Score]],Table1[[#This Row],[Physics 
Score]],Table1[[#This Row],[Chemistry 
Score]],Table1[[#This Row],[Biology 
Score]],Table1[[#This Row],[English 
Score]],Table1[[#This Row],[Geography 
Score]])</f>
        <v>537</v>
      </c>
      <c r="AA11" s="3">
        <f>AVERAGE(Table1[[#This Row],[Math 
Score]],Table1[[#This Row],[History 
Score]],Table1[[#This Row],[Physics 
Score]],Table1[[#This Row],[Chemistry 
Score]],Table1[[#This Row],[Biology 
Score]],Table1[[#This Row],[English 
Score]],Table1[[#This Row],[Geography 
Score]])</f>
        <v>76.714285714285708</v>
      </c>
      <c r="AB1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1">
        <f t="shared" si="0"/>
        <v>1553</v>
      </c>
      <c r="AD11" t="str">
        <f>_xlfn.IFS(Table1[[#This Row],[Absence 
Days]]&lt;3,"Excellent",Table1[[#This Row],[Absence 
Days]]&lt;=6,"Good",Table1[[#This Row],[Absence 
Days]]&gt;6,"Poor")</f>
        <v>Good</v>
      </c>
    </row>
    <row r="12" spans="1:31" x14ac:dyDescent="0.35">
      <c r="A12">
        <v>11</v>
      </c>
      <c r="B12" s="2" t="s">
        <v>9</v>
      </c>
      <c r="C12" t="s">
        <v>462</v>
      </c>
      <c r="D12" t="str">
        <f>_xlfn.TEXTJOIN(" ",TRUE,Table1[[#This Row],[First 
Name]:[Last 
Name]])</f>
        <v>Gabrielle White</v>
      </c>
      <c r="E12" t="s">
        <v>1122</v>
      </c>
      <c r="F12" t="s">
        <v>3245</v>
      </c>
      <c r="G12" t="str">
        <f ca="1">PROPER(Table1[[#This Row],[Part Time 
Job]])</f>
        <v>False</v>
      </c>
      <c r="H12" s="3">
        <v>2</v>
      </c>
      <c r="I12" t="str">
        <f ca="1">PROPER(Table1[[#This Row],[Extracurricular 
Activities]])</f>
        <v>False</v>
      </c>
      <c r="J12">
        <v>7</v>
      </c>
      <c r="K12" t="s">
        <v>3118</v>
      </c>
      <c r="L12">
        <v>65</v>
      </c>
      <c r="M12" s="12" t="str" cm="1">
        <f t="array" ref="M12">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2">
        <v>60</v>
      </c>
      <c r="O12" s="13" t="str" cm="1">
        <f t="array" ref="O1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2">
        <v>97</v>
      </c>
      <c r="Q12" s="13" t="str" cm="1">
        <f t="array" ref="Q1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2">
        <v>94</v>
      </c>
      <c r="S12" t="str" cm="1">
        <f t="array" ref="S1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2">
        <v>71</v>
      </c>
      <c r="U12" t="str" cm="1">
        <f t="array" ref="U1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2">
        <v>81</v>
      </c>
      <c r="W12" t="str" cm="1">
        <f t="array" ref="W1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2">
        <v>66</v>
      </c>
      <c r="Y12" t="str" cm="1">
        <f t="array" ref="Y1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2">
        <f>SUM(Table1[[#This Row],[Math 
Score]],Table1[[#This Row],[History 
Score]],Table1[[#This Row],[Physics 
Score]],Table1[[#This Row],[Chemistry 
Score]],Table1[[#This Row],[Biology 
Score]],Table1[[#This Row],[English 
Score]],Table1[[#This Row],[Geography 
Score]])</f>
        <v>534</v>
      </c>
      <c r="AA12" s="3">
        <f>AVERAGE(Table1[[#This Row],[Math 
Score]],Table1[[#This Row],[History 
Score]],Table1[[#This Row],[Physics 
Score]],Table1[[#This Row],[Chemistry 
Score]],Table1[[#This Row],[Biology 
Score]],Table1[[#This Row],[English 
Score]],Table1[[#This Row],[Geography 
Score]])</f>
        <v>76.285714285714292</v>
      </c>
      <c r="AB1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2">
        <f t="shared" si="0"/>
        <v>1595</v>
      </c>
      <c r="AD12" t="str">
        <f>_xlfn.IFS(Table1[[#This Row],[Absence 
Days]]&lt;3,"Excellent",Table1[[#This Row],[Absence 
Days]]&lt;=6,"Good",Table1[[#This Row],[Absence 
Days]]&gt;6,"Poor")</f>
        <v>Excellent</v>
      </c>
    </row>
    <row r="13" spans="1:31" x14ac:dyDescent="0.35">
      <c r="A13">
        <v>12</v>
      </c>
      <c r="B13" s="2" t="s">
        <v>10</v>
      </c>
      <c r="C13" t="s">
        <v>463</v>
      </c>
      <c r="D13" t="str">
        <f>_xlfn.TEXTJOIN(" ",TRUE,Table1[[#This Row],[First 
Name]:[Last 
Name]])</f>
        <v>Clinton Randolph</v>
      </c>
      <c r="E13" t="s">
        <v>1123</v>
      </c>
      <c r="F13" t="s">
        <v>3244</v>
      </c>
      <c r="G13" t="str">
        <f ca="1">PROPER(Table1[[#This Row],[Part Time 
Job]])</f>
        <v>False</v>
      </c>
      <c r="H13" s="3">
        <v>1</v>
      </c>
      <c r="I13" t="str">
        <f ca="1">PROPER(Table1[[#This Row],[Extracurricular 
Activities]])</f>
        <v>False</v>
      </c>
      <c r="J13">
        <v>7</v>
      </c>
      <c r="K13" t="s">
        <v>3116</v>
      </c>
      <c r="L13">
        <v>80</v>
      </c>
      <c r="M13" s="12" t="str" cm="1">
        <f t="array" ref="M1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3">
        <v>61</v>
      </c>
      <c r="O13" s="13" t="str" cm="1">
        <f t="array" ref="O1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3">
        <v>100</v>
      </c>
      <c r="Q13" s="13" t="str" cm="1">
        <f t="array" ref="Q1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3">
        <v>65</v>
      </c>
      <c r="S13" t="str" cm="1">
        <f t="array" ref="S1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3">
        <v>87</v>
      </c>
      <c r="U13" t="str" cm="1">
        <f t="array" ref="U1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3">
        <v>64</v>
      </c>
      <c r="W13" t="str" cm="1">
        <f t="array" ref="W1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3">
        <v>61</v>
      </c>
      <c r="Y13" t="str" cm="1">
        <f t="array" ref="Y1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3">
        <f>SUM(Table1[[#This Row],[Math 
Score]],Table1[[#This Row],[History 
Score]],Table1[[#This Row],[Physics 
Score]],Table1[[#This Row],[Chemistry 
Score]],Table1[[#This Row],[Biology 
Score]],Table1[[#This Row],[English 
Score]],Table1[[#This Row],[Geography 
Score]])</f>
        <v>518</v>
      </c>
      <c r="AA13" s="3">
        <f>AVERAGE(Table1[[#This Row],[Math 
Score]],Table1[[#This Row],[History 
Score]],Table1[[#This Row],[Physics 
Score]],Table1[[#This Row],[Chemistry 
Score]],Table1[[#This Row],[Biology 
Score]],Table1[[#This Row],[English 
Score]],Table1[[#This Row],[Geography 
Score]])</f>
        <v>74</v>
      </c>
      <c r="AB1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3">
        <f t="shared" si="0"/>
        <v>1775</v>
      </c>
      <c r="AD13" t="str">
        <f>_xlfn.IFS(Table1[[#This Row],[Absence 
Days]]&lt;3,"Excellent",Table1[[#This Row],[Absence 
Days]]&lt;=6,"Good",Table1[[#This Row],[Absence 
Days]]&gt;6,"Poor")</f>
        <v>Excellent</v>
      </c>
    </row>
    <row r="14" spans="1:31" x14ac:dyDescent="0.35">
      <c r="A14">
        <v>13</v>
      </c>
      <c r="B14" s="2" t="s">
        <v>11</v>
      </c>
      <c r="C14" t="s">
        <v>464</v>
      </c>
      <c r="D14" t="str">
        <f>_xlfn.TEXTJOIN(" ",TRUE,Table1[[#This Row],[First 
Name]:[Last 
Name]])</f>
        <v>Patricia Gomez</v>
      </c>
      <c r="E14" t="s">
        <v>1124</v>
      </c>
      <c r="F14" t="s">
        <v>3245</v>
      </c>
      <c r="G14" t="str">
        <f ca="1">PROPER(Table1[[#This Row],[Part Time 
Job]])</f>
        <v>True</v>
      </c>
      <c r="H14" s="3">
        <v>7</v>
      </c>
      <c r="I14" t="str">
        <f ca="1">PROPER(Table1[[#This Row],[Extracurricular 
Activities]])</f>
        <v>False</v>
      </c>
      <c r="J14">
        <v>4</v>
      </c>
      <c r="K14" t="s">
        <v>3119</v>
      </c>
      <c r="L14">
        <v>94</v>
      </c>
      <c r="M14" s="12" t="str" cm="1">
        <f t="array" ref="M1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4">
        <v>59</v>
      </c>
      <c r="O14" s="13" t="str" cm="1">
        <f t="array" ref="O1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C</v>
      </c>
      <c r="P14">
        <v>69</v>
      </c>
      <c r="Q14" s="13" t="str" cm="1">
        <f t="array" ref="Q1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4">
        <v>67</v>
      </c>
      <c r="S14" t="str" cm="1">
        <f t="array" ref="S1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4">
        <v>89</v>
      </c>
      <c r="U14" t="str" cm="1">
        <f t="array" ref="U1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4">
        <v>65</v>
      </c>
      <c r="W14" t="str" cm="1">
        <f t="array" ref="W1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4">
        <v>73</v>
      </c>
      <c r="Y14" t="str" cm="1">
        <f t="array" ref="Y1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4">
        <f>SUM(Table1[[#This Row],[Math 
Score]],Table1[[#This Row],[History 
Score]],Table1[[#This Row],[Physics 
Score]],Table1[[#This Row],[Chemistry 
Score]],Table1[[#This Row],[Biology 
Score]],Table1[[#This Row],[English 
Score]],Table1[[#This Row],[Geography 
Score]])</f>
        <v>516</v>
      </c>
      <c r="AA14" s="3">
        <f>AVERAGE(Table1[[#This Row],[Math 
Score]],Table1[[#This Row],[History 
Score]],Table1[[#This Row],[Physics 
Score]],Table1[[#This Row],[Chemistry 
Score]],Table1[[#This Row],[Biology 
Score]],Table1[[#This Row],[English 
Score]],Table1[[#This Row],[Geography 
Score]])</f>
        <v>73.714285714285708</v>
      </c>
      <c r="AB1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4">
        <f t="shared" si="0"/>
        <v>1792</v>
      </c>
      <c r="AD14" t="str">
        <f>_xlfn.IFS(Table1[[#This Row],[Absence 
Days]]&lt;3,"Excellent",Table1[[#This Row],[Absence 
Days]]&lt;=6,"Good",Table1[[#This Row],[Absence 
Days]]&gt;6,"Poor")</f>
        <v>Poor</v>
      </c>
    </row>
    <row r="15" spans="1:31" x14ac:dyDescent="0.35">
      <c r="A15">
        <v>14</v>
      </c>
      <c r="B15" s="2" t="s">
        <v>12</v>
      </c>
      <c r="C15" t="s">
        <v>294</v>
      </c>
      <c r="D15" t="str">
        <f>_xlfn.TEXTJOIN(" ",TRUE,Table1[[#This Row],[First 
Name]:[Last 
Name]])</f>
        <v>Pamela Jackson</v>
      </c>
      <c r="E15" t="s">
        <v>1125</v>
      </c>
      <c r="F15" t="s">
        <v>3245</v>
      </c>
      <c r="G15" t="str">
        <f ca="1">PROPER(Table1[[#This Row],[Part Time 
Job]])</f>
        <v>False</v>
      </c>
      <c r="H15" s="3">
        <v>10</v>
      </c>
      <c r="I15" t="str">
        <f ca="1">PROPER(Table1[[#This Row],[Extracurricular 
Activities]])</f>
        <v>False</v>
      </c>
      <c r="J15">
        <v>2</v>
      </c>
      <c r="K15" t="s">
        <v>3119</v>
      </c>
      <c r="L15">
        <v>66</v>
      </c>
      <c r="M15" s="12" t="str" cm="1">
        <f t="array" ref="M15">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5">
        <v>94</v>
      </c>
      <c r="O15" s="13" t="str" cm="1">
        <f t="array" ref="O1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5">
        <v>86</v>
      </c>
      <c r="Q15" s="13" t="str" cm="1">
        <f t="array" ref="Q1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5">
        <v>100</v>
      </c>
      <c r="S15" t="str" cm="1">
        <f t="array" ref="S1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5">
        <v>57</v>
      </c>
      <c r="U15" t="str" cm="1">
        <f t="array" ref="U1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C</v>
      </c>
      <c r="V15">
        <v>90</v>
      </c>
      <c r="W15" t="str" cm="1">
        <f t="array" ref="W1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5">
        <v>63</v>
      </c>
      <c r="Y15" t="str" cm="1">
        <f t="array" ref="Y1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5">
        <f>SUM(Table1[[#This Row],[Math 
Score]],Table1[[#This Row],[History 
Score]],Table1[[#This Row],[Physics 
Score]],Table1[[#This Row],[Chemistry 
Score]],Table1[[#This Row],[Biology 
Score]],Table1[[#This Row],[English 
Score]],Table1[[#This Row],[Geography 
Score]])</f>
        <v>556</v>
      </c>
      <c r="AA15" s="3">
        <f>AVERAGE(Table1[[#This Row],[Math 
Score]],Table1[[#This Row],[History 
Score]],Table1[[#This Row],[Physics 
Score]],Table1[[#This Row],[Chemistry 
Score]],Table1[[#This Row],[Biology 
Score]],Table1[[#This Row],[English 
Score]],Table1[[#This Row],[Geography 
Score]])</f>
        <v>79.428571428571431</v>
      </c>
      <c r="AB1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5">
        <f t="shared" si="0"/>
        <v>1224</v>
      </c>
      <c r="AD15" t="str">
        <f>_xlfn.IFS(Table1[[#This Row],[Absence 
Days]]&lt;3,"Excellent",Table1[[#This Row],[Absence 
Days]]&lt;=6,"Good",Table1[[#This Row],[Absence 
Days]]&gt;6,"Poor")</f>
        <v>Poor</v>
      </c>
    </row>
    <row r="16" spans="1:31" x14ac:dyDescent="0.35">
      <c r="A16">
        <v>15</v>
      </c>
      <c r="B16" s="2" t="s">
        <v>13</v>
      </c>
      <c r="C16" t="s">
        <v>294</v>
      </c>
      <c r="D16" t="str">
        <f>_xlfn.TEXTJOIN(" ",TRUE,Table1[[#This Row],[First 
Name]:[Last 
Name]])</f>
        <v>Laura Jackson</v>
      </c>
      <c r="E16" t="s">
        <v>1126</v>
      </c>
      <c r="F16" t="s">
        <v>3245</v>
      </c>
      <c r="G16" t="str">
        <f ca="1">PROPER(Table1[[#This Row],[Part Time 
Job]])</f>
        <v>False</v>
      </c>
      <c r="H16" s="3">
        <v>3</v>
      </c>
      <c r="I16" t="str">
        <f ca="1">PROPER(Table1[[#This Row],[Extracurricular 
Activities]])</f>
        <v>False</v>
      </c>
      <c r="J16">
        <v>39</v>
      </c>
      <c r="K16" t="s">
        <v>3113</v>
      </c>
      <c r="L16">
        <v>96</v>
      </c>
      <c r="M16" s="12" t="str" cm="1">
        <f t="array" ref="M1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6">
        <v>90</v>
      </c>
      <c r="O16" s="13" t="str" cm="1">
        <f t="array" ref="O1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6">
        <v>86</v>
      </c>
      <c r="Q16" s="13" t="str" cm="1">
        <f t="array" ref="Q1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6">
        <v>92</v>
      </c>
      <c r="S16" t="str" cm="1">
        <f t="array" ref="S1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6">
        <v>92</v>
      </c>
      <c r="U16" t="str" cm="1">
        <f t="array" ref="U1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6">
        <v>95</v>
      </c>
      <c r="W16" t="str" cm="1">
        <f t="array" ref="W1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6">
        <v>87</v>
      </c>
      <c r="Y16" t="str" cm="1">
        <f t="array" ref="Y1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6">
        <f>SUM(Table1[[#This Row],[Math 
Score]],Table1[[#This Row],[History 
Score]],Table1[[#This Row],[Physics 
Score]],Table1[[#This Row],[Chemistry 
Score]],Table1[[#This Row],[Biology 
Score]],Table1[[#This Row],[English 
Score]],Table1[[#This Row],[Geography 
Score]])</f>
        <v>638</v>
      </c>
      <c r="AA16" s="3">
        <f>AVERAGE(Table1[[#This Row],[Math 
Score]],Table1[[#This Row],[History 
Score]],Table1[[#This Row],[Physics 
Score]],Table1[[#This Row],[Chemistry 
Score]],Table1[[#This Row],[Biology 
Score]],Table1[[#This Row],[English 
Score]],Table1[[#This Row],[Geography 
Score]])</f>
        <v>91.142857142857139</v>
      </c>
      <c r="AB1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6">
        <f t="shared" si="0"/>
        <v>110</v>
      </c>
      <c r="AD16" t="str">
        <f>_xlfn.IFS(Table1[[#This Row],[Absence 
Days]]&lt;3,"Excellent",Table1[[#This Row],[Absence 
Days]]&lt;=6,"Good",Table1[[#This Row],[Absence 
Days]]&gt;6,"Poor")</f>
        <v>Good</v>
      </c>
    </row>
    <row r="17" spans="1:30" x14ac:dyDescent="0.35">
      <c r="A17">
        <v>16</v>
      </c>
      <c r="B17" s="2" t="s">
        <v>14</v>
      </c>
      <c r="C17" t="s">
        <v>465</v>
      </c>
      <c r="D17" t="str">
        <f>_xlfn.TEXTJOIN(" ",TRUE,Table1[[#This Row],[First 
Name]:[Last 
Name]])</f>
        <v>Roger Wiley</v>
      </c>
      <c r="E17" t="s">
        <v>1127</v>
      </c>
      <c r="F17" t="s">
        <v>3244</v>
      </c>
      <c r="G17" t="str">
        <f ca="1">PROPER(Table1[[#This Row],[Part Time 
Job]])</f>
        <v>False</v>
      </c>
      <c r="H17" s="3">
        <v>6</v>
      </c>
      <c r="I17" t="str">
        <f ca="1">PROPER(Table1[[#This Row],[Extracurricular 
Activities]])</f>
        <v>False</v>
      </c>
      <c r="J17">
        <v>0</v>
      </c>
      <c r="K17" t="s">
        <v>3119</v>
      </c>
      <c r="L17">
        <v>94</v>
      </c>
      <c r="M17" s="12" t="str" cm="1">
        <f t="array" ref="M1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7">
        <v>50</v>
      </c>
      <c r="O17" s="13" t="str" cm="1">
        <f t="array" ref="O1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C</v>
      </c>
      <c r="P17">
        <v>78</v>
      </c>
      <c r="Q17" s="13" t="str" cm="1">
        <f t="array" ref="Q1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7">
        <v>64</v>
      </c>
      <c r="S17" t="str" cm="1">
        <f t="array" ref="S1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7">
        <v>79</v>
      </c>
      <c r="U17" t="str" cm="1">
        <f t="array" ref="U1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7">
        <v>74</v>
      </c>
      <c r="W17" t="str" cm="1">
        <f t="array" ref="W1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7">
        <v>84</v>
      </c>
      <c r="Y17" t="str" cm="1">
        <f t="array" ref="Y1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7">
        <f>SUM(Table1[[#This Row],[Math 
Score]],Table1[[#This Row],[History 
Score]],Table1[[#This Row],[Physics 
Score]],Table1[[#This Row],[Chemistry 
Score]],Table1[[#This Row],[Biology 
Score]],Table1[[#This Row],[English 
Score]],Table1[[#This Row],[Geography 
Score]])</f>
        <v>523</v>
      </c>
      <c r="AA17" s="3">
        <f>AVERAGE(Table1[[#This Row],[Math 
Score]],Table1[[#This Row],[History 
Score]],Table1[[#This Row],[Physics 
Score]],Table1[[#This Row],[Chemistry 
Score]],Table1[[#This Row],[Biology 
Score]],Table1[[#This Row],[English 
Score]],Table1[[#This Row],[Geography 
Score]])</f>
        <v>74.714285714285708</v>
      </c>
      <c r="AB1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7">
        <f t="shared" si="0"/>
        <v>1727</v>
      </c>
      <c r="AD17" t="str">
        <f>_xlfn.IFS(Table1[[#This Row],[Absence 
Days]]&lt;3,"Excellent",Table1[[#This Row],[Absence 
Days]]&lt;=6,"Good",Table1[[#This Row],[Absence 
Days]]&gt;6,"Poor")</f>
        <v>Good</v>
      </c>
    </row>
    <row r="18" spans="1:30" x14ac:dyDescent="0.35">
      <c r="A18">
        <v>17</v>
      </c>
      <c r="B18" s="2" t="s">
        <v>15</v>
      </c>
      <c r="C18" t="s">
        <v>466</v>
      </c>
      <c r="D18" t="str">
        <f>_xlfn.TEXTJOIN(" ",TRUE,Table1[[#This Row],[First 
Name]:[Last 
Name]])</f>
        <v>Vicki Thompson</v>
      </c>
      <c r="E18" t="s">
        <v>1128</v>
      </c>
      <c r="F18" t="s">
        <v>3245</v>
      </c>
      <c r="G18" t="str">
        <f ca="1">PROPER(Table1[[#This Row],[Part Time 
Job]])</f>
        <v>False</v>
      </c>
      <c r="H18" s="3">
        <v>3</v>
      </c>
      <c r="I18" t="str">
        <f ca="1">PROPER(Table1[[#This Row],[Extracurricular 
Activities]])</f>
        <v>True</v>
      </c>
      <c r="J18">
        <v>30</v>
      </c>
      <c r="K18" t="s">
        <v>3120</v>
      </c>
      <c r="L18">
        <v>92</v>
      </c>
      <c r="M18" s="12" t="str" cm="1">
        <f t="array" ref="M1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8">
        <v>64</v>
      </c>
      <c r="O18" s="13" t="str" cm="1">
        <f t="array" ref="O1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8">
        <v>93</v>
      </c>
      <c r="Q18" s="13" t="str" cm="1">
        <f t="array" ref="Q1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8">
        <v>91</v>
      </c>
      <c r="S18" t="str" cm="1">
        <f t="array" ref="S1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8">
        <v>80</v>
      </c>
      <c r="U18" t="str" cm="1">
        <f t="array" ref="U1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8">
        <v>89</v>
      </c>
      <c r="W18" t="str" cm="1">
        <f t="array" ref="W1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8">
        <v>72</v>
      </c>
      <c r="Y18" t="str" cm="1">
        <f t="array" ref="Y1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8">
        <f>SUM(Table1[[#This Row],[Math 
Score]],Table1[[#This Row],[History 
Score]],Table1[[#This Row],[Physics 
Score]],Table1[[#This Row],[Chemistry 
Score]],Table1[[#This Row],[Biology 
Score]],Table1[[#This Row],[English 
Score]],Table1[[#This Row],[Geography 
Score]])</f>
        <v>581</v>
      </c>
      <c r="AA18" s="3">
        <f>AVERAGE(Table1[[#This Row],[Math 
Score]],Table1[[#This Row],[History 
Score]],Table1[[#This Row],[Physics 
Score]],Table1[[#This Row],[Chemistry 
Score]],Table1[[#This Row],[Biology 
Score]],Table1[[#This Row],[English 
Score]],Table1[[#This Row],[Geography 
Score]])</f>
        <v>83</v>
      </c>
      <c r="AB1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8">
        <f t="shared" si="0"/>
        <v>688</v>
      </c>
      <c r="AD18" t="str">
        <f>_xlfn.IFS(Table1[[#This Row],[Absence 
Days]]&lt;3,"Excellent",Table1[[#This Row],[Absence 
Days]]&lt;=6,"Good",Table1[[#This Row],[Absence 
Days]]&gt;6,"Poor")</f>
        <v>Good</v>
      </c>
    </row>
    <row r="19" spans="1:30" x14ac:dyDescent="0.35">
      <c r="A19">
        <v>18</v>
      </c>
      <c r="B19" s="2" t="s">
        <v>16</v>
      </c>
      <c r="C19" t="s">
        <v>467</v>
      </c>
      <c r="D19" t="str">
        <f>_xlfn.TEXTJOIN(" ",TRUE,Table1[[#This Row],[First 
Name]:[Last 
Name]])</f>
        <v>Maxwell Davidson</v>
      </c>
      <c r="E19" t="s">
        <v>1129</v>
      </c>
      <c r="F19" t="s">
        <v>3244</v>
      </c>
      <c r="G19" t="str">
        <f ca="1">PROPER(Table1[[#This Row],[Part Time 
Job]])</f>
        <v>False</v>
      </c>
      <c r="H19" s="3">
        <v>2</v>
      </c>
      <c r="I19" t="str">
        <f ca="1">PROPER(Table1[[#This Row],[Extracurricular 
Activities]])</f>
        <v>True</v>
      </c>
      <c r="J19">
        <v>28</v>
      </c>
      <c r="K19" t="s">
        <v>3117</v>
      </c>
      <c r="L19">
        <v>86</v>
      </c>
      <c r="M19" s="12" t="str" cm="1">
        <f t="array" ref="M1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9">
        <v>83</v>
      </c>
      <c r="O19" s="13" t="str" cm="1">
        <f t="array" ref="O1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9">
        <v>85</v>
      </c>
      <c r="Q19" s="13" t="str" cm="1">
        <f t="array" ref="Q1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9">
        <v>79</v>
      </c>
      <c r="S19" t="str" cm="1">
        <f t="array" ref="S1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9">
        <v>93</v>
      </c>
      <c r="U19" t="str" cm="1">
        <f t="array" ref="U1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9">
        <v>76</v>
      </c>
      <c r="W19" t="str" cm="1">
        <f t="array" ref="W1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9">
        <v>77</v>
      </c>
      <c r="Y19" t="str" cm="1">
        <f t="array" ref="Y1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9">
        <f>SUM(Table1[[#This Row],[Math 
Score]],Table1[[#This Row],[History 
Score]],Table1[[#This Row],[Physics 
Score]],Table1[[#This Row],[Chemistry 
Score]],Table1[[#This Row],[Biology 
Score]],Table1[[#This Row],[English 
Score]],Table1[[#This Row],[Geography 
Score]])</f>
        <v>579</v>
      </c>
      <c r="AA19" s="3">
        <f>AVERAGE(Table1[[#This Row],[Math 
Score]],Table1[[#This Row],[History 
Score]],Table1[[#This Row],[Physics 
Score]],Table1[[#This Row],[Chemistry 
Score]],Table1[[#This Row],[Biology 
Score]],Table1[[#This Row],[English 
Score]],Table1[[#This Row],[Geography 
Score]])</f>
        <v>82.714285714285708</v>
      </c>
      <c r="AB1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9">
        <f t="shared" si="0"/>
        <v>730</v>
      </c>
      <c r="AD19" t="str">
        <f>_xlfn.IFS(Table1[[#This Row],[Absence 
Days]]&lt;3,"Excellent",Table1[[#This Row],[Absence 
Days]]&lt;=6,"Good",Table1[[#This Row],[Absence 
Days]]&gt;6,"Poor")</f>
        <v>Excellent</v>
      </c>
    </row>
    <row r="20" spans="1:30" x14ac:dyDescent="0.35">
      <c r="A20">
        <v>19</v>
      </c>
      <c r="B20" s="2" t="s">
        <v>17</v>
      </c>
      <c r="C20" t="s">
        <v>468</v>
      </c>
      <c r="D20" t="str">
        <f>_xlfn.TEXTJOIN(" ",TRUE,Table1[[#This Row],[First 
Name]:[Last 
Name]])</f>
        <v>Jonathan Werner</v>
      </c>
      <c r="E20" t="s">
        <v>1130</v>
      </c>
      <c r="F20" t="s">
        <v>3244</v>
      </c>
      <c r="G20" t="str">
        <f ca="1">PROPER(Table1[[#This Row],[Part Time 
Job]])</f>
        <v>False</v>
      </c>
      <c r="H20" s="3">
        <v>1</v>
      </c>
      <c r="I20" t="str">
        <f ca="1">PROPER(Table1[[#This Row],[Extracurricular 
Activities]])</f>
        <v>False</v>
      </c>
      <c r="J20">
        <v>37</v>
      </c>
      <c r="K20" t="s">
        <v>3113</v>
      </c>
      <c r="L20">
        <v>92</v>
      </c>
      <c r="M20" s="12" t="str" cm="1">
        <f t="array" ref="M2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20">
        <v>87</v>
      </c>
      <c r="O20" s="13" t="str" cm="1">
        <f t="array" ref="O2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20">
        <v>92</v>
      </c>
      <c r="Q20" s="13" t="str" cm="1">
        <f t="array" ref="Q2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20">
        <v>99</v>
      </c>
      <c r="S20" t="str" cm="1">
        <f t="array" ref="S2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20">
        <v>97</v>
      </c>
      <c r="U20" t="str" cm="1">
        <f t="array" ref="U2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20">
        <v>87</v>
      </c>
      <c r="W20" t="str" cm="1">
        <f t="array" ref="W2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20">
        <v>86</v>
      </c>
      <c r="Y20" t="str" cm="1">
        <f t="array" ref="Y2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20">
        <f>SUM(Table1[[#This Row],[Math 
Score]],Table1[[#This Row],[History 
Score]],Table1[[#This Row],[Physics 
Score]],Table1[[#This Row],[Chemistry 
Score]],Table1[[#This Row],[Biology 
Score]],Table1[[#This Row],[English 
Score]],Table1[[#This Row],[Geography 
Score]])</f>
        <v>640</v>
      </c>
      <c r="AA20" s="3">
        <f>AVERAGE(Table1[[#This Row],[Math 
Score]],Table1[[#This Row],[History 
Score]],Table1[[#This Row],[Physics 
Score]],Table1[[#This Row],[Chemistry 
Score]],Table1[[#This Row],[Biology 
Score]],Table1[[#This Row],[English 
Score]],Table1[[#This Row],[Geography 
Score]])</f>
        <v>91.428571428571431</v>
      </c>
      <c r="AB2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20">
        <f t="shared" si="0"/>
        <v>98</v>
      </c>
      <c r="AD20" t="str">
        <f>_xlfn.IFS(Table1[[#This Row],[Absence 
Days]]&lt;3,"Excellent",Table1[[#This Row],[Absence 
Days]]&lt;=6,"Good",Table1[[#This Row],[Absence 
Days]]&gt;6,"Poor")</f>
        <v>Excellent</v>
      </c>
    </row>
    <row r="21" spans="1:30" x14ac:dyDescent="0.35">
      <c r="A21">
        <v>20</v>
      </c>
      <c r="B21" s="2" t="s">
        <v>18</v>
      </c>
      <c r="C21" t="s">
        <v>469</v>
      </c>
      <c r="D21" t="str">
        <f>_xlfn.TEXTJOIN(" ",TRUE,Table1[[#This Row],[First 
Name]:[Last 
Name]])</f>
        <v>Angela Rios</v>
      </c>
      <c r="E21" t="s">
        <v>1131</v>
      </c>
      <c r="F21" t="s">
        <v>3245</v>
      </c>
      <c r="G21" t="str">
        <f ca="1">PROPER(Table1[[#This Row],[Part Time 
Job]])</f>
        <v>False</v>
      </c>
      <c r="H21" s="3">
        <v>2</v>
      </c>
      <c r="I21" t="str">
        <f ca="1">PROPER(Table1[[#This Row],[Extracurricular 
Activities]])</f>
        <v>False</v>
      </c>
      <c r="J21">
        <v>27</v>
      </c>
      <c r="K21" t="s">
        <v>3117</v>
      </c>
      <c r="L21">
        <v>99</v>
      </c>
      <c r="M21" s="12" t="str" cm="1">
        <f t="array" ref="M2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21">
        <v>65</v>
      </c>
      <c r="O21" s="13" t="str" cm="1">
        <f t="array" ref="O2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21">
        <v>98</v>
      </c>
      <c r="Q21" s="13" t="str" cm="1">
        <f t="array" ref="Q2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21">
        <v>75</v>
      </c>
      <c r="S21" t="str" cm="1">
        <f t="array" ref="S2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21">
        <v>66</v>
      </c>
      <c r="U21" t="str" cm="1">
        <f t="array" ref="U2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21">
        <v>72</v>
      </c>
      <c r="W21" t="str" cm="1">
        <f t="array" ref="W2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21">
        <v>100</v>
      </c>
      <c r="Y21" t="str" cm="1">
        <f t="array" ref="Y2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21">
        <f>SUM(Table1[[#This Row],[Math 
Score]],Table1[[#This Row],[History 
Score]],Table1[[#This Row],[Physics 
Score]],Table1[[#This Row],[Chemistry 
Score]],Table1[[#This Row],[Biology 
Score]],Table1[[#This Row],[English 
Score]],Table1[[#This Row],[Geography 
Score]])</f>
        <v>575</v>
      </c>
      <c r="AA21" s="3">
        <f>AVERAGE(Table1[[#This Row],[Math 
Score]],Table1[[#This Row],[History 
Score]],Table1[[#This Row],[Physics 
Score]],Table1[[#This Row],[Chemistry 
Score]],Table1[[#This Row],[Biology 
Score]],Table1[[#This Row],[English 
Score]],Table1[[#This Row],[Geography 
Score]])</f>
        <v>82.142857142857139</v>
      </c>
      <c r="AB2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21">
        <f t="shared" si="0"/>
        <v>807</v>
      </c>
      <c r="AD21" t="str">
        <f>_xlfn.IFS(Table1[[#This Row],[Absence 
Days]]&lt;3,"Excellent",Table1[[#This Row],[Absence 
Days]]&lt;=6,"Good",Table1[[#This Row],[Absence 
Days]]&gt;6,"Poor")</f>
        <v>Excellent</v>
      </c>
    </row>
    <row r="22" spans="1:30" x14ac:dyDescent="0.35">
      <c r="A22">
        <v>21</v>
      </c>
      <c r="B22" s="2" t="s">
        <v>19</v>
      </c>
      <c r="C22" t="s">
        <v>470</v>
      </c>
      <c r="D22" t="str">
        <f>_xlfn.TEXTJOIN(" ",TRUE,Table1[[#This Row],[First 
Name]:[Last 
Name]])</f>
        <v>Tim Nichols</v>
      </c>
      <c r="E22" t="s">
        <v>1132</v>
      </c>
      <c r="F22" t="s">
        <v>3244</v>
      </c>
      <c r="G22" t="str">
        <f ca="1">PROPER(Table1[[#This Row],[Part Time 
Job]])</f>
        <v>True</v>
      </c>
      <c r="H22" s="3">
        <v>3</v>
      </c>
      <c r="I22" t="str">
        <f ca="1">PROPER(Table1[[#This Row],[Extracurricular 
Activities]])</f>
        <v>False</v>
      </c>
      <c r="J22">
        <v>15</v>
      </c>
      <c r="K22" t="s">
        <v>3117</v>
      </c>
      <c r="L22">
        <v>100</v>
      </c>
      <c r="M22" s="12" t="str" cm="1">
        <f t="array" ref="M2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22">
        <v>90</v>
      </c>
      <c r="O22" s="13" t="str" cm="1">
        <f t="array" ref="O2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22">
        <v>72</v>
      </c>
      <c r="Q22" s="13" t="str" cm="1">
        <f t="array" ref="Q2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22">
        <v>98</v>
      </c>
      <c r="S22" t="str" cm="1">
        <f t="array" ref="S2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22">
        <v>73</v>
      </c>
      <c r="U22" t="str" cm="1">
        <f t="array" ref="U2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22">
        <v>97</v>
      </c>
      <c r="W22" t="str" cm="1">
        <f t="array" ref="W2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22">
        <v>72</v>
      </c>
      <c r="Y22" t="str" cm="1">
        <f t="array" ref="Y2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22">
        <f>SUM(Table1[[#This Row],[Math 
Score]],Table1[[#This Row],[History 
Score]],Table1[[#This Row],[Physics 
Score]],Table1[[#This Row],[Chemistry 
Score]],Table1[[#This Row],[Biology 
Score]],Table1[[#This Row],[English 
Score]],Table1[[#This Row],[Geography 
Score]])</f>
        <v>602</v>
      </c>
      <c r="AA22" s="3">
        <f>AVERAGE(Table1[[#This Row],[Math 
Score]],Table1[[#This Row],[History 
Score]],Table1[[#This Row],[Physics 
Score]],Table1[[#This Row],[Chemistry 
Score]],Table1[[#This Row],[Biology 
Score]],Table1[[#This Row],[English 
Score]],Table1[[#This Row],[Geography 
Score]])</f>
        <v>86</v>
      </c>
      <c r="AB2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22">
        <f t="shared" si="0"/>
        <v>380</v>
      </c>
      <c r="AD22" t="str">
        <f>_xlfn.IFS(Table1[[#This Row],[Absence 
Days]]&lt;3,"Excellent",Table1[[#This Row],[Absence 
Days]]&lt;=6,"Good",Table1[[#This Row],[Absence 
Days]]&gt;6,"Poor")</f>
        <v>Good</v>
      </c>
    </row>
    <row r="23" spans="1:30" x14ac:dyDescent="0.35">
      <c r="A23">
        <v>22</v>
      </c>
      <c r="B23" s="2" t="s">
        <v>20</v>
      </c>
      <c r="C23" t="s">
        <v>471</v>
      </c>
      <c r="D23" t="str">
        <f>_xlfn.TEXTJOIN(" ",TRUE,Table1[[#This Row],[First 
Name]:[Last 
Name]])</f>
        <v>Kyle Willis</v>
      </c>
      <c r="E23" t="s">
        <v>1133</v>
      </c>
      <c r="F23" t="s">
        <v>3244</v>
      </c>
      <c r="G23" t="str">
        <f ca="1">PROPER(Table1[[#This Row],[Part Time 
Job]])</f>
        <v>False</v>
      </c>
      <c r="H23" s="3">
        <v>8</v>
      </c>
      <c r="I23" t="str">
        <f ca="1">PROPER(Table1[[#This Row],[Extracurricular 
Activities]])</f>
        <v>False</v>
      </c>
      <c r="J23">
        <v>4</v>
      </c>
      <c r="K23" t="s">
        <v>3119</v>
      </c>
      <c r="L23">
        <v>57</v>
      </c>
      <c r="M23" s="12" t="str" cm="1">
        <f t="array" ref="M23">_xlfn.IFS(Table1[[#This Row],[Math 
Score]]&gt;=90,"A+",Table1[[#This Row],[Math 
Score]]&gt;=80,"A", Table1[[#This Row],[Math 
Score]]&gt;=75,"A-",Table1[[#This Row],[Math 
Score]]&gt;=70,"B+",Table1[[#This Row],[Math 
Score]]&gt;=65,"B",Table1[[#This Row],[Math 
Score]]&gt;=60,"B-",Table1[[#This Row],[Math 
Score]]&gt;=50,"C",Table1[[#This Row],[Math 
Score]]&gt;=40,"D",Table1[[#This Row],[Math 
Score]]&lt;40,"F")</f>
        <v>C</v>
      </c>
      <c r="N23">
        <v>55</v>
      </c>
      <c r="O23" s="13" t="str" cm="1">
        <f t="array" ref="O2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C</v>
      </c>
      <c r="P23">
        <v>78</v>
      </c>
      <c r="Q23" s="13" t="str" cm="1">
        <f t="array" ref="Q2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23">
        <v>94</v>
      </c>
      <c r="S23" t="str" cm="1">
        <f t="array" ref="S2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23">
        <v>83</v>
      </c>
      <c r="U23" t="str" cm="1">
        <f t="array" ref="U2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23">
        <v>88</v>
      </c>
      <c r="W23" t="str" cm="1">
        <f t="array" ref="W2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23">
        <v>88</v>
      </c>
      <c r="Y23" t="str" cm="1">
        <f t="array" ref="Y2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23">
        <f>SUM(Table1[[#This Row],[Math 
Score]],Table1[[#This Row],[History 
Score]],Table1[[#This Row],[Physics 
Score]],Table1[[#This Row],[Chemistry 
Score]],Table1[[#This Row],[Biology 
Score]],Table1[[#This Row],[English 
Score]],Table1[[#This Row],[Geography 
Score]])</f>
        <v>543</v>
      </c>
      <c r="AA23" s="3">
        <f>AVERAGE(Table1[[#This Row],[Math 
Score]],Table1[[#This Row],[History 
Score]],Table1[[#This Row],[Physics 
Score]],Table1[[#This Row],[Chemistry 
Score]],Table1[[#This Row],[Biology 
Score]],Table1[[#This Row],[English 
Score]],Table1[[#This Row],[Geography 
Score]])</f>
        <v>77.571428571428569</v>
      </c>
      <c r="AB2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23">
        <f t="shared" si="0"/>
        <v>1464</v>
      </c>
      <c r="AD23" t="str">
        <f>_xlfn.IFS(Table1[[#This Row],[Absence 
Days]]&lt;3,"Excellent",Table1[[#This Row],[Absence 
Days]]&lt;=6,"Good",Table1[[#This Row],[Absence 
Days]]&gt;6,"Poor")</f>
        <v>Poor</v>
      </c>
    </row>
    <row r="24" spans="1:30" x14ac:dyDescent="0.35">
      <c r="A24">
        <v>23</v>
      </c>
      <c r="B24" s="2" t="s">
        <v>21</v>
      </c>
      <c r="C24" t="s">
        <v>461</v>
      </c>
      <c r="D24" t="str">
        <f>_xlfn.TEXTJOIN(" ",TRUE,Table1[[#This Row],[First 
Name]:[Last 
Name]])</f>
        <v>Shannon Simpson</v>
      </c>
      <c r="E24" t="s">
        <v>1134</v>
      </c>
      <c r="F24" t="s">
        <v>3245</v>
      </c>
      <c r="G24" t="str">
        <f ca="1">PROPER(Table1[[#This Row],[Part Time 
Job]])</f>
        <v>False</v>
      </c>
      <c r="H24" s="3">
        <v>9</v>
      </c>
      <c r="I24" t="str">
        <f ca="1">PROPER(Table1[[#This Row],[Extracurricular 
Activities]])</f>
        <v>False</v>
      </c>
      <c r="J24">
        <v>2</v>
      </c>
      <c r="K24" t="s">
        <v>3119</v>
      </c>
      <c r="L24">
        <v>89</v>
      </c>
      <c r="M24" s="12" t="str" cm="1">
        <f t="array" ref="M2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24">
        <v>72</v>
      </c>
      <c r="O24" s="13" t="str" cm="1">
        <f t="array" ref="O2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24">
        <v>68</v>
      </c>
      <c r="Q24" s="13" t="str" cm="1">
        <f t="array" ref="Q2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24">
        <v>72</v>
      </c>
      <c r="S24" t="str" cm="1">
        <f t="array" ref="S2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24">
        <v>71</v>
      </c>
      <c r="U24" t="str" cm="1">
        <f t="array" ref="U2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24">
        <v>54</v>
      </c>
      <c r="W24" t="str" cm="1">
        <f t="array" ref="W2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C</v>
      </c>
      <c r="X24">
        <v>90</v>
      </c>
      <c r="Y24" t="str" cm="1">
        <f t="array" ref="Y2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24">
        <f>SUM(Table1[[#This Row],[Math 
Score]],Table1[[#This Row],[History 
Score]],Table1[[#This Row],[Physics 
Score]],Table1[[#This Row],[Chemistry 
Score]],Table1[[#This Row],[Biology 
Score]],Table1[[#This Row],[English 
Score]],Table1[[#This Row],[Geography 
Score]])</f>
        <v>516</v>
      </c>
      <c r="AA24" s="3">
        <f>AVERAGE(Table1[[#This Row],[Math 
Score]],Table1[[#This Row],[History 
Score]],Table1[[#This Row],[Physics 
Score]],Table1[[#This Row],[Chemistry 
Score]],Table1[[#This Row],[Biology 
Score]],Table1[[#This Row],[English 
Score]],Table1[[#This Row],[Geography 
Score]])</f>
        <v>73.714285714285708</v>
      </c>
      <c r="AB2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24">
        <f t="shared" si="0"/>
        <v>1792</v>
      </c>
      <c r="AD24" t="str">
        <f>_xlfn.IFS(Table1[[#This Row],[Absence 
Days]]&lt;3,"Excellent",Table1[[#This Row],[Absence 
Days]]&lt;=6,"Good",Table1[[#This Row],[Absence 
Days]]&gt;6,"Poor")</f>
        <v>Poor</v>
      </c>
    </row>
    <row r="25" spans="1:30" x14ac:dyDescent="0.35">
      <c r="A25">
        <v>24</v>
      </c>
      <c r="B25" s="2" t="s">
        <v>22</v>
      </c>
      <c r="C25" t="s">
        <v>472</v>
      </c>
      <c r="D25" t="str">
        <f>_xlfn.TEXTJOIN(" ",TRUE,Table1[[#This Row],[First 
Name]:[Last 
Name]])</f>
        <v>Sean Griffin</v>
      </c>
      <c r="E25" t="s">
        <v>1135</v>
      </c>
      <c r="F25" t="s">
        <v>3244</v>
      </c>
      <c r="G25" t="str">
        <f ca="1">PROPER(Table1[[#This Row],[Part Time 
Job]])</f>
        <v>False</v>
      </c>
      <c r="H25" s="3">
        <v>9</v>
      </c>
      <c r="I25" t="str">
        <f ca="1">PROPER(Table1[[#This Row],[Extracurricular 
Activities]])</f>
        <v>False</v>
      </c>
      <c r="J25">
        <v>1</v>
      </c>
      <c r="K25" t="s">
        <v>3119</v>
      </c>
      <c r="L25">
        <v>50</v>
      </c>
      <c r="M25" s="12" t="str" cm="1">
        <f t="array" ref="M25">_xlfn.IFS(Table1[[#This Row],[Math 
Score]]&gt;=90,"A+",Table1[[#This Row],[Math 
Score]]&gt;=80,"A", Table1[[#This Row],[Math 
Score]]&gt;=75,"A-",Table1[[#This Row],[Math 
Score]]&gt;=70,"B+",Table1[[#This Row],[Math 
Score]]&gt;=65,"B",Table1[[#This Row],[Math 
Score]]&gt;=60,"B-",Table1[[#This Row],[Math 
Score]]&gt;=50,"C",Table1[[#This Row],[Math 
Score]]&gt;=40,"D",Table1[[#This Row],[Math 
Score]]&lt;40,"F")</f>
        <v>C</v>
      </c>
      <c r="N25">
        <v>76</v>
      </c>
      <c r="O25" s="13" t="str" cm="1">
        <f t="array" ref="O2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25">
        <v>81</v>
      </c>
      <c r="Q25" s="13" t="str" cm="1">
        <f t="array" ref="Q2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25">
        <v>55</v>
      </c>
      <c r="S25" t="str" cm="1">
        <f t="array" ref="S2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C</v>
      </c>
      <c r="T25">
        <v>56</v>
      </c>
      <c r="U25" t="str" cm="1">
        <f t="array" ref="U2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C</v>
      </c>
      <c r="V25">
        <v>80</v>
      </c>
      <c r="W25" t="str" cm="1">
        <f t="array" ref="W2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25">
        <v>79</v>
      </c>
      <c r="Y25" t="str" cm="1">
        <f t="array" ref="Y2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25">
        <f>SUM(Table1[[#This Row],[Math 
Score]],Table1[[#This Row],[History 
Score]],Table1[[#This Row],[Physics 
Score]],Table1[[#This Row],[Chemistry 
Score]],Table1[[#This Row],[Biology 
Score]],Table1[[#This Row],[English 
Score]],Table1[[#This Row],[Geography 
Score]])</f>
        <v>477</v>
      </c>
      <c r="AA25" s="3">
        <f>AVERAGE(Table1[[#This Row],[Math 
Score]],Table1[[#This Row],[History 
Score]],Table1[[#This Row],[Physics 
Score]],Table1[[#This Row],[Chemistry 
Score]],Table1[[#This Row],[Biology 
Score]],Table1[[#This Row],[English 
Score]],Table1[[#This Row],[Geography 
Score]])</f>
        <v>68.142857142857139</v>
      </c>
      <c r="AB2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25">
        <f t="shared" si="0"/>
        <v>1941</v>
      </c>
      <c r="AD25" t="str">
        <f>_xlfn.IFS(Table1[[#This Row],[Absence 
Days]]&lt;3,"Excellent",Table1[[#This Row],[Absence 
Days]]&lt;=6,"Good",Table1[[#This Row],[Absence 
Days]]&gt;6,"Poor")</f>
        <v>Poor</v>
      </c>
    </row>
    <row r="26" spans="1:30" x14ac:dyDescent="0.35">
      <c r="A26">
        <v>25</v>
      </c>
      <c r="B26" s="2" t="s">
        <v>23</v>
      </c>
      <c r="C26" t="s">
        <v>473</v>
      </c>
      <c r="D26" t="str">
        <f>_xlfn.TEXTJOIN(" ",TRUE,Table1[[#This Row],[First 
Name]:[Last 
Name]])</f>
        <v>Cassandra West</v>
      </c>
      <c r="E26" t="s">
        <v>1136</v>
      </c>
      <c r="F26" t="s">
        <v>3245</v>
      </c>
      <c r="G26" t="str">
        <f ca="1">PROPER(Table1[[#This Row],[Part Time 
Job]])</f>
        <v>False</v>
      </c>
      <c r="H26" s="3">
        <v>4</v>
      </c>
      <c r="I26" t="str">
        <f ca="1">PROPER(Table1[[#This Row],[Extracurricular 
Activities]])</f>
        <v>False</v>
      </c>
      <c r="J26">
        <v>35</v>
      </c>
      <c r="K26" t="s">
        <v>3117</v>
      </c>
      <c r="L26">
        <v>87</v>
      </c>
      <c r="M26" s="12" t="str" cm="1">
        <f t="array" ref="M2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26">
        <v>91</v>
      </c>
      <c r="O26" s="13" t="str" cm="1">
        <f t="array" ref="O2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26">
        <v>90</v>
      </c>
      <c r="Q26" s="13" t="str" cm="1">
        <f t="array" ref="Q2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26">
        <v>88</v>
      </c>
      <c r="S26" t="str" cm="1">
        <f t="array" ref="S2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26">
        <v>95</v>
      </c>
      <c r="U26" t="str" cm="1">
        <f t="array" ref="U2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26">
        <v>88</v>
      </c>
      <c r="W26" t="str" cm="1">
        <f t="array" ref="W2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26">
        <v>93</v>
      </c>
      <c r="Y26" t="str" cm="1">
        <f t="array" ref="Y2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26">
        <f>SUM(Table1[[#This Row],[Math 
Score]],Table1[[#This Row],[History 
Score]],Table1[[#This Row],[Physics 
Score]],Table1[[#This Row],[Chemistry 
Score]],Table1[[#This Row],[Biology 
Score]],Table1[[#This Row],[English 
Score]],Table1[[#This Row],[Geography 
Score]])</f>
        <v>632</v>
      </c>
      <c r="AA26" s="3">
        <f>AVERAGE(Table1[[#This Row],[Math 
Score]],Table1[[#This Row],[History 
Score]],Table1[[#This Row],[Physics 
Score]],Table1[[#This Row],[Chemistry 
Score]],Table1[[#This Row],[Biology 
Score]],Table1[[#This Row],[English 
Score]],Table1[[#This Row],[Geography 
Score]])</f>
        <v>90.285714285714292</v>
      </c>
      <c r="AB2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26">
        <f t="shared" si="0"/>
        <v>143</v>
      </c>
      <c r="AD26" t="str">
        <f>_xlfn.IFS(Table1[[#This Row],[Absence 
Days]]&lt;3,"Excellent",Table1[[#This Row],[Absence 
Days]]&lt;=6,"Good",Table1[[#This Row],[Absence 
Days]]&gt;6,"Poor")</f>
        <v>Good</v>
      </c>
    </row>
    <row r="27" spans="1:30" x14ac:dyDescent="0.35">
      <c r="A27">
        <v>26</v>
      </c>
      <c r="B27" s="2" t="s">
        <v>11</v>
      </c>
      <c r="C27" t="s">
        <v>474</v>
      </c>
      <c r="D27" t="str">
        <f>_xlfn.TEXTJOIN(" ",TRUE,Table1[[#This Row],[First 
Name]:[Last 
Name]])</f>
        <v>Patricia Chavez</v>
      </c>
      <c r="E27" t="s">
        <v>1137</v>
      </c>
      <c r="F27" t="s">
        <v>3245</v>
      </c>
      <c r="G27" t="str">
        <f ca="1">PROPER(Table1[[#This Row],[Part Time 
Job]])</f>
        <v>False</v>
      </c>
      <c r="H27" s="3">
        <v>5</v>
      </c>
      <c r="I27" t="str">
        <f ca="1">PROPER(Table1[[#This Row],[Extracurricular 
Activities]])</f>
        <v>False</v>
      </c>
      <c r="J27">
        <v>22</v>
      </c>
      <c r="K27" t="s">
        <v>3113</v>
      </c>
      <c r="L27">
        <v>92</v>
      </c>
      <c r="M27" s="12" t="str" cm="1">
        <f t="array" ref="M2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27">
        <v>86</v>
      </c>
      <c r="O27" s="13" t="str" cm="1">
        <f t="array" ref="O2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27">
        <v>87</v>
      </c>
      <c r="Q27" s="13" t="str" cm="1">
        <f t="array" ref="Q2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27">
        <v>81</v>
      </c>
      <c r="S27" t="str" cm="1">
        <f t="array" ref="S2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27">
        <v>93</v>
      </c>
      <c r="U27" t="str" cm="1">
        <f t="array" ref="U2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27">
        <v>90</v>
      </c>
      <c r="W27" t="str" cm="1">
        <f t="array" ref="W2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27">
        <v>99</v>
      </c>
      <c r="Y27" t="str" cm="1">
        <f t="array" ref="Y2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27">
        <f>SUM(Table1[[#This Row],[Math 
Score]],Table1[[#This Row],[History 
Score]],Table1[[#This Row],[Physics 
Score]],Table1[[#This Row],[Chemistry 
Score]],Table1[[#This Row],[Biology 
Score]],Table1[[#This Row],[English 
Score]],Table1[[#This Row],[Geography 
Score]])</f>
        <v>628</v>
      </c>
      <c r="AA27" s="3">
        <f>AVERAGE(Table1[[#This Row],[Math 
Score]],Table1[[#This Row],[History 
Score]],Table1[[#This Row],[Physics 
Score]],Table1[[#This Row],[Chemistry 
Score]],Table1[[#This Row],[Biology 
Score]],Table1[[#This Row],[English 
Score]],Table1[[#This Row],[Geography 
Score]])</f>
        <v>89.714285714285708</v>
      </c>
      <c r="AB2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27">
        <f t="shared" si="0"/>
        <v>164</v>
      </c>
      <c r="AD27" t="str">
        <f>_xlfn.IFS(Table1[[#This Row],[Absence 
Days]]&lt;3,"Excellent",Table1[[#This Row],[Absence 
Days]]&lt;=6,"Good",Table1[[#This Row],[Absence 
Days]]&gt;6,"Poor")</f>
        <v>Good</v>
      </c>
    </row>
    <row r="28" spans="1:30" x14ac:dyDescent="0.35">
      <c r="A28">
        <v>27</v>
      </c>
      <c r="B28" s="2" t="s">
        <v>24</v>
      </c>
      <c r="C28" t="s">
        <v>475</v>
      </c>
      <c r="D28" t="str">
        <f>_xlfn.TEXTJOIN(" ",TRUE,Table1[[#This Row],[First 
Name]:[Last 
Name]])</f>
        <v>Jason Williams</v>
      </c>
      <c r="E28" t="s">
        <v>1138</v>
      </c>
      <c r="F28" t="s">
        <v>3244</v>
      </c>
      <c r="G28" t="str">
        <f ca="1">PROPER(Table1[[#This Row],[Part Time 
Job]])</f>
        <v>False</v>
      </c>
      <c r="H28" s="3">
        <v>3</v>
      </c>
      <c r="I28" t="str">
        <f ca="1">PROPER(Table1[[#This Row],[Extracurricular 
Activities]])</f>
        <v>False</v>
      </c>
      <c r="J28">
        <v>34</v>
      </c>
      <c r="K28" t="s">
        <v>3121</v>
      </c>
      <c r="L28">
        <v>100</v>
      </c>
      <c r="M28" s="12" t="str" cm="1">
        <f t="array" ref="M2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28">
        <v>77</v>
      </c>
      <c r="O28" s="13" t="str" cm="1">
        <f t="array" ref="O2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28">
        <v>80</v>
      </c>
      <c r="Q28" s="13" t="str" cm="1">
        <f t="array" ref="Q2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28">
        <v>94</v>
      </c>
      <c r="S28" t="str" cm="1">
        <f t="array" ref="S2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28">
        <v>63</v>
      </c>
      <c r="U28" t="str" cm="1">
        <f t="array" ref="U2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28">
        <v>90</v>
      </c>
      <c r="W28" t="str" cm="1">
        <f t="array" ref="W2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28">
        <v>90</v>
      </c>
      <c r="Y28" t="str" cm="1">
        <f t="array" ref="Y2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28">
        <f>SUM(Table1[[#This Row],[Math 
Score]],Table1[[#This Row],[History 
Score]],Table1[[#This Row],[Physics 
Score]],Table1[[#This Row],[Chemistry 
Score]],Table1[[#This Row],[Biology 
Score]],Table1[[#This Row],[English 
Score]],Table1[[#This Row],[Geography 
Score]])</f>
        <v>594</v>
      </c>
      <c r="AA28" s="3">
        <f>AVERAGE(Table1[[#This Row],[Math 
Score]],Table1[[#This Row],[History 
Score]],Table1[[#This Row],[Physics 
Score]],Table1[[#This Row],[Chemistry 
Score]],Table1[[#This Row],[Biology 
Score]],Table1[[#This Row],[English 
Score]],Table1[[#This Row],[Geography 
Score]])</f>
        <v>84.857142857142861</v>
      </c>
      <c r="AB2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28">
        <f t="shared" si="0"/>
        <v>479</v>
      </c>
      <c r="AD28" t="str">
        <f>_xlfn.IFS(Table1[[#This Row],[Absence 
Days]]&lt;3,"Excellent",Table1[[#This Row],[Absence 
Days]]&lt;=6,"Good",Table1[[#This Row],[Absence 
Days]]&gt;6,"Poor")</f>
        <v>Good</v>
      </c>
    </row>
    <row r="29" spans="1:30" x14ac:dyDescent="0.35">
      <c r="A29">
        <v>28</v>
      </c>
      <c r="B29" s="2" t="s">
        <v>25</v>
      </c>
      <c r="C29" t="s">
        <v>476</v>
      </c>
      <c r="D29" t="str">
        <f>_xlfn.TEXTJOIN(" ",TRUE,Table1[[#This Row],[First 
Name]:[Last 
Name]])</f>
        <v>Peter Gibbs</v>
      </c>
      <c r="E29" t="s">
        <v>1139</v>
      </c>
      <c r="F29" t="s">
        <v>3244</v>
      </c>
      <c r="G29" t="str">
        <f ca="1">PROPER(Table1[[#This Row],[Part Time 
Job]])</f>
        <v>False</v>
      </c>
      <c r="H29" s="3">
        <v>0</v>
      </c>
      <c r="I29" t="str">
        <f ca="1">PROPER(Table1[[#This Row],[Extracurricular 
Activities]])</f>
        <v>False</v>
      </c>
      <c r="J29">
        <v>23</v>
      </c>
      <c r="K29" t="s">
        <v>3122</v>
      </c>
      <c r="L29">
        <v>64</v>
      </c>
      <c r="M29" s="12" t="str" cm="1">
        <f t="array" ref="M29">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29">
        <v>75</v>
      </c>
      <c r="O29" s="13" t="str" cm="1">
        <f t="array" ref="O2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29">
        <v>93</v>
      </c>
      <c r="Q29" s="13" t="str" cm="1">
        <f t="array" ref="Q2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29">
        <v>79</v>
      </c>
      <c r="S29" t="str" cm="1">
        <f t="array" ref="S2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29">
        <v>81</v>
      </c>
      <c r="U29" t="str" cm="1">
        <f t="array" ref="U2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29">
        <v>96</v>
      </c>
      <c r="W29" t="str" cm="1">
        <f t="array" ref="W2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29">
        <v>85</v>
      </c>
      <c r="Y29" t="str" cm="1">
        <f t="array" ref="Y2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29">
        <f>SUM(Table1[[#This Row],[Math 
Score]],Table1[[#This Row],[History 
Score]],Table1[[#This Row],[Physics 
Score]],Table1[[#This Row],[Chemistry 
Score]],Table1[[#This Row],[Biology 
Score]],Table1[[#This Row],[English 
Score]],Table1[[#This Row],[Geography 
Score]])</f>
        <v>573</v>
      </c>
      <c r="AA29" s="3">
        <f>AVERAGE(Table1[[#This Row],[Math 
Score]],Table1[[#This Row],[History 
Score]],Table1[[#This Row],[Physics 
Score]],Table1[[#This Row],[Chemistry 
Score]],Table1[[#This Row],[Biology 
Score]],Table1[[#This Row],[English 
Score]],Table1[[#This Row],[Geography 
Score]])</f>
        <v>81.857142857142861</v>
      </c>
      <c r="AB2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29">
        <f t="shared" si="0"/>
        <v>864</v>
      </c>
      <c r="AD29" t="str">
        <f>_xlfn.IFS(Table1[[#This Row],[Absence 
Days]]&lt;3,"Excellent",Table1[[#This Row],[Absence 
Days]]&lt;=6,"Good",Table1[[#This Row],[Absence 
Days]]&gt;6,"Poor")</f>
        <v>Excellent</v>
      </c>
    </row>
    <row r="30" spans="1:30" x14ac:dyDescent="0.35">
      <c r="A30">
        <v>29</v>
      </c>
      <c r="B30" s="2" t="s">
        <v>26</v>
      </c>
      <c r="C30" t="s">
        <v>477</v>
      </c>
      <c r="D30" t="str">
        <f>_xlfn.TEXTJOIN(" ",TRUE,Table1[[#This Row],[First 
Name]:[Last 
Name]])</f>
        <v>Jeffrey Blanchard</v>
      </c>
      <c r="E30" t="s">
        <v>1140</v>
      </c>
      <c r="F30" t="s">
        <v>3244</v>
      </c>
      <c r="G30" t="str">
        <f ca="1">PROPER(Table1[[#This Row],[Part Time 
Job]])</f>
        <v>False</v>
      </c>
      <c r="H30" s="3">
        <v>1</v>
      </c>
      <c r="I30" t="str">
        <f ca="1">PROPER(Table1[[#This Row],[Extracurricular 
Activities]])</f>
        <v>True</v>
      </c>
      <c r="J30">
        <v>17</v>
      </c>
      <c r="K30" t="s">
        <v>3123</v>
      </c>
      <c r="L30">
        <v>79</v>
      </c>
      <c r="M30" s="12" t="str" cm="1">
        <f t="array" ref="M3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30">
        <v>65</v>
      </c>
      <c r="O30" s="13" t="str" cm="1">
        <f t="array" ref="O3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30">
        <v>99</v>
      </c>
      <c r="Q30" s="13" t="str" cm="1">
        <f t="array" ref="Q3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30">
        <v>71</v>
      </c>
      <c r="S30" t="str" cm="1">
        <f t="array" ref="S3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30">
        <v>76</v>
      </c>
      <c r="U30" t="str" cm="1">
        <f t="array" ref="U3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30">
        <v>77</v>
      </c>
      <c r="W30" t="str" cm="1">
        <f t="array" ref="W3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30">
        <v>83</v>
      </c>
      <c r="Y30" t="str" cm="1">
        <f t="array" ref="Y3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30">
        <f>SUM(Table1[[#This Row],[Math 
Score]],Table1[[#This Row],[History 
Score]],Table1[[#This Row],[Physics 
Score]],Table1[[#This Row],[Chemistry 
Score]],Table1[[#This Row],[Biology 
Score]],Table1[[#This Row],[English 
Score]],Table1[[#This Row],[Geography 
Score]])</f>
        <v>550</v>
      </c>
      <c r="AA30" s="3">
        <f>AVERAGE(Table1[[#This Row],[Math 
Score]],Table1[[#This Row],[History 
Score]],Table1[[#This Row],[Physics 
Score]],Table1[[#This Row],[Chemistry 
Score]],Table1[[#This Row],[Biology 
Score]],Table1[[#This Row],[English 
Score]],Table1[[#This Row],[Geography 
Score]])</f>
        <v>78.571428571428569</v>
      </c>
      <c r="AB3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30">
        <f t="shared" si="0"/>
        <v>1338</v>
      </c>
      <c r="AD30" t="str">
        <f>_xlfn.IFS(Table1[[#This Row],[Absence 
Days]]&lt;3,"Excellent",Table1[[#This Row],[Absence 
Days]]&lt;=6,"Good",Table1[[#This Row],[Absence 
Days]]&gt;6,"Poor")</f>
        <v>Excellent</v>
      </c>
    </row>
    <row r="31" spans="1:30" x14ac:dyDescent="0.35">
      <c r="A31">
        <v>30</v>
      </c>
      <c r="B31" s="2" t="s">
        <v>27</v>
      </c>
      <c r="C31" t="s">
        <v>478</v>
      </c>
      <c r="D31" t="str">
        <f>_xlfn.TEXTJOIN(" ",TRUE,Table1[[#This Row],[First 
Name]:[Last 
Name]])</f>
        <v>Carol Hill</v>
      </c>
      <c r="E31" t="s">
        <v>1141</v>
      </c>
      <c r="F31" t="s">
        <v>3245</v>
      </c>
      <c r="G31" t="str">
        <f ca="1">PROPER(Table1[[#This Row],[Part Time 
Job]])</f>
        <v>False</v>
      </c>
      <c r="H31" s="3">
        <v>3</v>
      </c>
      <c r="I31" t="str">
        <f ca="1">PROPER(Table1[[#This Row],[Extracurricular 
Activities]])</f>
        <v>False</v>
      </c>
      <c r="J31">
        <v>19</v>
      </c>
      <c r="K31" t="s">
        <v>3123</v>
      </c>
      <c r="L31">
        <v>82</v>
      </c>
      <c r="M31" s="12" t="str" cm="1">
        <f t="array" ref="M3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31">
        <v>100</v>
      </c>
      <c r="O31" s="13" t="str" cm="1">
        <f t="array" ref="O3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31">
        <v>61</v>
      </c>
      <c r="Q31" s="13" t="str" cm="1">
        <f t="array" ref="Q3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31">
        <v>97</v>
      </c>
      <c r="S31" t="str" cm="1">
        <f t="array" ref="S3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31">
        <v>30</v>
      </c>
      <c r="U31" t="str" cm="1">
        <f t="array" ref="U3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F</v>
      </c>
      <c r="V31">
        <v>74</v>
      </c>
      <c r="W31" t="str" cm="1">
        <f t="array" ref="W3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31">
        <v>73</v>
      </c>
      <c r="Y31" t="str" cm="1">
        <f t="array" ref="Y3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31">
        <f>SUM(Table1[[#This Row],[Math 
Score]],Table1[[#This Row],[History 
Score]],Table1[[#This Row],[Physics 
Score]],Table1[[#This Row],[Chemistry 
Score]],Table1[[#This Row],[Biology 
Score]],Table1[[#This Row],[English 
Score]],Table1[[#This Row],[Geography 
Score]])</f>
        <v>517</v>
      </c>
      <c r="AA31" s="3">
        <f>AVERAGE(Table1[[#This Row],[Math 
Score]],Table1[[#This Row],[History 
Score]],Table1[[#This Row],[Physics 
Score]],Table1[[#This Row],[Chemistry 
Score]],Table1[[#This Row],[Biology 
Score]],Table1[[#This Row],[English 
Score]],Table1[[#This Row],[Geography 
Score]])</f>
        <v>73.857142857142861</v>
      </c>
      <c r="AB3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31">
        <f t="shared" si="0"/>
        <v>1781</v>
      </c>
      <c r="AD31" t="str">
        <f>_xlfn.IFS(Table1[[#This Row],[Absence 
Days]]&lt;3,"Excellent",Table1[[#This Row],[Absence 
Days]]&lt;=6,"Good",Table1[[#This Row],[Absence 
Days]]&gt;6,"Poor")</f>
        <v>Good</v>
      </c>
    </row>
    <row r="32" spans="1:30" x14ac:dyDescent="0.35">
      <c r="A32">
        <v>31</v>
      </c>
      <c r="B32" s="2" t="s">
        <v>28</v>
      </c>
      <c r="C32" t="s">
        <v>479</v>
      </c>
      <c r="D32" t="str">
        <f>_xlfn.TEXTJOIN(" ",TRUE,Table1[[#This Row],[First 
Name]:[Last 
Name]])</f>
        <v>Angie Miller</v>
      </c>
      <c r="E32" t="s">
        <v>1142</v>
      </c>
      <c r="F32" t="s">
        <v>3245</v>
      </c>
      <c r="G32" t="str">
        <f ca="1">PROPER(Table1[[#This Row],[Part Time 
Job]])</f>
        <v>False</v>
      </c>
      <c r="H32" s="3">
        <v>0</v>
      </c>
      <c r="I32" t="str">
        <f ca="1">PROPER(Table1[[#This Row],[Extracurricular 
Activities]])</f>
        <v>False</v>
      </c>
      <c r="J32">
        <v>14</v>
      </c>
      <c r="K32" t="s">
        <v>3117</v>
      </c>
      <c r="L32">
        <v>88</v>
      </c>
      <c r="M32" s="12" t="str" cm="1">
        <f t="array" ref="M3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32">
        <v>69</v>
      </c>
      <c r="O32" s="13" t="str" cm="1">
        <f t="array" ref="O3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32">
        <v>87</v>
      </c>
      <c r="Q32" s="13" t="str" cm="1">
        <f t="array" ref="Q3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32">
        <v>100</v>
      </c>
      <c r="S32" t="str" cm="1">
        <f t="array" ref="S3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32">
        <v>88</v>
      </c>
      <c r="U32" t="str" cm="1">
        <f t="array" ref="U3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32">
        <v>85</v>
      </c>
      <c r="W32" t="str" cm="1">
        <f t="array" ref="W3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32">
        <v>72</v>
      </c>
      <c r="Y32" t="str" cm="1">
        <f t="array" ref="Y3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32">
        <f>SUM(Table1[[#This Row],[Math 
Score]],Table1[[#This Row],[History 
Score]],Table1[[#This Row],[Physics 
Score]],Table1[[#This Row],[Chemistry 
Score]],Table1[[#This Row],[Biology 
Score]],Table1[[#This Row],[English 
Score]],Table1[[#This Row],[Geography 
Score]])</f>
        <v>589</v>
      </c>
      <c r="AA32" s="3">
        <f>AVERAGE(Table1[[#This Row],[Math 
Score]],Table1[[#This Row],[History 
Score]],Table1[[#This Row],[Physics 
Score]],Table1[[#This Row],[Chemistry 
Score]],Table1[[#This Row],[Biology 
Score]],Table1[[#This Row],[English 
Score]],Table1[[#This Row],[Geography 
Score]])</f>
        <v>84.142857142857139</v>
      </c>
      <c r="AB3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32">
        <f t="shared" si="0"/>
        <v>548</v>
      </c>
      <c r="AD32" t="str">
        <f>_xlfn.IFS(Table1[[#This Row],[Absence 
Days]]&lt;3,"Excellent",Table1[[#This Row],[Absence 
Days]]&lt;=6,"Good",Table1[[#This Row],[Absence 
Days]]&gt;6,"Poor")</f>
        <v>Excellent</v>
      </c>
    </row>
    <row r="33" spans="1:30" x14ac:dyDescent="0.35">
      <c r="A33">
        <v>32</v>
      </c>
      <c r="B33" s="2" t="s">
        <v>29</v>
      </c>
      <c r="C33" t="s">
        <v>480</v>
      </c>
      <c r="D33" t="str">
        <f>_xlfn.TEXTJOIN(" ",TRUE,Table1[[#This Row],[First 
Name]:[Last 
Name]])</f>
        <v>Cynthia Knapp</v>
      </c>
      <c r="E33" t="s">
        <v>1143</v>
      </c>
      <c r="F33" t="s">
        <v>3245</v>
      </c>
      <c r="G33" t="str">
        <f ca="1">PROPER(Table1[[#This Row],[Part Time 
Job]])</f>
        <v>False</v>
      </c>
      <c r="H33" s="3">
        <v>4</v>
      </c>
      <c r="I33" t="str">
        <f ca="1">PROPER(Table1[[#This Row],[Extracurricular 
Activities]])</f>
        <v>False</v>
      </c>
      <c r="J33">
        <v>30</v>
      </c>
      <c r="K33" t="s">
        <v>3124</v>
      </c>
      <c r="L33">
        <v>70</v>
      </c>
      <c r="M33" s="12" t="str" cm="1">
        <f t="array" ref="M33">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33">
        <v>68</v>
      </c>
      <c r="O33" s="13" t="str" cm="1">
        <f t="array" ref="O3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33">
        <v>92</v>
      </c>
      <c r="Q33" s="13" t="str" cm="1">
        <f t="array" ref="Q3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33">
        <v>74</v>
      </c>
      <c r="S33" t="str" cm="1">
        <f t="array" ref="S3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33">
        <v>82</v>
      </c>
      <c r="U33" t="str" cm="1">
        <f t="array" ref="U3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33">
        <v>85</v>
      </c>
      <c r="W33" t="str" cm="1">
        <f t="array" ref="W3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33">
        <v>72</v>
      </c>
      <c r="Y33" t="str" cm="1">
        <f t="array" ref="Y3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33">
        <f>SUM(Table1[[#This Row],[Math 
Score]],Table1[[#This Row],[History 
Score]],Table1[[#This Row],[Physics 
Score]],Table1[[#This Row],[Chemistry 
Score]],Table1[[#This Row],[Biology 
Score]],Table1[[#This Row],[English 
Score]],Table1[[#This Row],[Geography 
Score]])</f>
        <v>543</v>
      </c>
      <c r="AA33" s="3">
        <f>AVERAGE(Table1[[#This Row],[Math 
Score]],Table1[[#This Row],[History 
Score]],Table1[[#This Row],[Physics 
Score]],Table1[[#This Row],[Chemistry 
Score]],Table1[[#This Row],[Biology 
Score]],Table1[[#This Row],[English 
Score]],Table1[[#This Row],[Geography 
Score]])</f>
        <v>77.571428571428569</v>
      </c>
      <c r="AB3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33">
        <f t="shared" si="0"/>
        <v>1464</v>
      </c>
      <c r="AD33" t="str">
        <f>_xlfn.IFS(Table1[[#This Row],[Absence 
Days]]&lt;3,"Excellent",Table1[[#This Row],[Absence 
Days]]&lt;=6,"Good",Table1[[#This Row],[Absence 
Days]]&gt;6,"Poor")</f>
        <v>Good</v>
      </c>
    </row>
    <row r="34" spans="1:30" x14ac:dyDescent="0.35">
      <c r="A34">
        <v>33</v>
      </c>
      <c r="B34" s="2" t="s">
        <v>30</v>
      </c>
      <c r="C34" t="s">
        <v>481</v>
      </c>
      <c r="D34" t="str">
        <f>_xlfn.TEXTJOIN(" ",TRUE,Table1[[#This Row],[First 
Name]:[Last 
Name]])</f>
        <v>Timothy Bryant</v>
      </c>
      <c r="E34" t="s">
        <v>1144</v>
      </c>
      <c r="F34" t="s">
        <v>3244</v>
      </c>
      <c r="G34" t="str">
        <f ca="1">PROPER(Table1[[#This Row],[Part Time 
Job]])</f>
        <v>False</v>
      </c>
      <c r="H34" s="3">
        <v>4</v>
      </c>
      <c r="I34" t="str">
        <f ca="1">PROPER(Table1[[#This Row],[Extracurricular 
Activities]])</f>
        <v>False</v>
      </c>
      <c r="J34">
        <v>30</v>
      </c>
      <c r="K34" t="s">
        <v>3123</v>
      </c>
      <c r="L34">
        <v>77</v>
      </c>
      <c r="M34" s="12" t="str" cm="1">
        <f t="array" ref="M3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34">
        <v>96</v>
      </c>
      <c r="O34" s="13" t="str" cm="1">
        <f t="array" ref="O3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34">
        <v>98</v>
      </c>
      <c r="Q34" s="13" t="str" cm="1">
        <f t="array" ref="Q3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34">
        <v>89</v>
      </c>
      <c r="S34" t="str" cm="1">
        <f t="array" ref="S3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34">
        <v>85</v>
      </c>
      <c r="U34" t="str" cm="1">
        <f t="array" ref="U3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34">
        <v>62</v>
      </c>
      <c r="W34" t="str" cm="1">
        <f t="array" ref="W3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34">
        <v>62</v>
      </c>
      <c r="Y34" t="str" cm="1">
        <f t="array" ref="Y3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34">
        <f>SUM(Table1[[#This Row],[Math 
Score]],Table1[[#This Row],[History 
Score]],Table1[[#This Row],[Physics 
Score]],Table1[[#This Row],[Chemistry 
Score]],Table1[[#This Row],[Biology 
Score]],Table1[[#This Row],[English 
Score]],Table1[[#This Row],[Geography 
Score]])</f>
        <v>569</v>
      </c>
      <c r="AA34" s="3">
        <f>AVERAGE(Table1[[#This Row],[Math 
Score]],Table1[[#This Row],[History 
Score]],Table1[[#This Row],[Physics 
Score]],Table1[[#This Row],[Chemistry 
Score]],Table1[[#This Row],[Biology 
Score]],Table1[[#This Row],[English 
Score]],Table1[[#This Row],[Geography 
Score]])</f>
        <v>81.285714285714292</v>
      </c>
      <c r="AB3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34">
        <f t="shared" si="0"/>
        <v>957</v>
      </c>
      <c r="AD34" t="str">
        <f>_xlfn.IFS(Table1[[#This Row],[Absence 
Days]]&lt;3,"Excellent",Table1[[#This Row],[Absence 
Days]]&lt;=6,"Good",Table1[[#This Row],[Absence 
Days]]&gt;6,"Poor")</f>
        <v>Good</v>
      </c>
    </row>
    <row r="35" spans="1:30" x14ac:dyDescent="0.35">
      <c r="A35">
        <v>34</v>
      </c>
      <c r="B35" s="2" t="s">
        <v>31</v>
      </c>
      <c r="C35" t="s">
        <v>482</v>
      </c>
      <c r="D35" t="str">
        <f>_xlfn.TEXTJOIN(" ",TRUE,Table1[[#This Row],[First 
Name]:[Last 
Name]])</f>
        <v>Phyllis Diaz</v>
      </c>
      <c r="E35" t="s">
        <v>1145</v>
      </c>
      <c r="F35" t="s">
        <v>3245</v>
      </c>
      <c r="G35" t="str">
        <f ca="1">PROPER(Table1[[#This Row],[Part Time 
Job]])</f>
        <v>False</v>
      </c>
      <c r="H35" s="3">
        <v>1</v>
      </c>
      <c r="I35" t="str">
        <f ca="1">PROPER(Table1[[#This Row],[Extracurricular 
Activities]])</f>
        <v>False</v>
      </c>
      <c r="J35">
        <v>24</v>
      </c>
      <c r="K35" t="s">
        <v>3121</v>
      </c>
      <c r="L35">
        <v>99</v>
      </c>
      <c r="M35" s="12" t="str" cm="1">
        <f t="array" ref="M3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35">
        <v>84</v>
      </c>
      <c r="O35" s="13" t="str" cm="1">
        <f t="array" ref="O3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35">
        <v>84</v>
      </c>
      <c r="Q35" s="13" t="str" cm="1">
        <f t="array" ref="Q3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35">
        <v>78</v>
      </c>
      <c r="S35" t="str" cm="1">
        <f t="array" ref="S3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35">
        <v>78</v>
      </c>
      <c r="U35" t="str" cm="1">
        <f t="array" ref="U3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35">
        <v>77</v>
      </c>
      <c r="W35" t="str" cm="1">
        <f t="array" ref="W3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35">
        <v>68</v>
      </c>
      <c r="Y35" t="str" cm="1">
        <f t="array" ref="Y3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35">
        <f>SUM(Table1[[#This Row],[Math 
Score]],Table1[[#This Row],[History 
Score]],Table1[[#This Row],[Physics 
Score]],Table1[[#This Row],[Chemistry 
Score]],Table1[[#This Row],[Biology 
Score]],Table1[[#This Row],[English 
Score]],Table1[[#This Row],[Geography 
Score]])</f>
        <v>568</v>
      </c>
      <c r="AA35" s="3">
        <f>AVERAGE(Table1[[#This Row],[Math 
Score]],Table1[[#This Row],[History 
Score]],Table1[[#This Row],[Physics 
Score]],Table1[[#This Row],[Chemistry 
Score]],Table1[[#This Row],[Biology 
Score]],Table1[[#This Row],[English 
Score]],Table1[[#This Row],[Geography 
Score]])</f>
        <v>81.142857142857139</v>
      </c>
      <c r="AB3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35">
        <f t="shared" si="0"/>
        <v>975</v>
      </c>
      <c r="AD35" t="str">
        <f>_xlfn.IFS(Table1[[#This Row],[Absence 
Days]]&lt;3,"Excellent",Table1[[#This Row],[Absence 
Days]]&lt;=6,"Good",Table1[[#This Row],[Absence 
Days]]&gt;6,"Poor")</f>
        <v>Excellent</v>
      </c>
    </row>
    <row r="36" spans="1:30" x14ac:dyDescent="0.35">
      <c r="A36">
        <v>35</v>
      </c>
      <c r="B36" s="2" t="s">
        <v>32</v>
      </c>
      <c r="C36" t="s">
        <v>483</v>
      </c>
      <c r="D36" t="str">
        <f>_xlfn.TEXTJOIN(" ",TRUE,Table1[[#This Row],[First 
Name]:[Last 
Name]])</f>
        <v>Lisa Burns</v>
      </c>
      <c r="E36" t="s">
        <v>1146</v>
      </c>
      <c r="F36" t="s">
        <v>3245</v>
      </c>
      <c r="G36" t="str">
        <f ca="1">PROPER(Table1[[#This Row],[Part Time 
Job]])</f>
        <v>False</v>
      </c>
      <c r="H36" s="3">
        <v>3</v>
      </c>
      <c r="I36" t="str">
        <f ca="1">PROPER(Table1[[#This Row],[Extracurricular 
Activities]])</f>
        <v>True</v>
      </c>
      <c r="J36">
        <v>31</v>
      </c>
      <c r="K36" t="s">
        <v>3116</v>
      </c>
      <c r="L36">
        <v>90</v>
      </c>
      <c r="M36" s="12" t="str" cm="1">
        <f t="array" ref="M3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36">
        <v>93</v>
      </c>
      <c r="O36" s="13" t="str" cm="1">
        <f t="array" ref="O3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36">
        <v>91</v>
      </c>
      <c r="Q36" s="13" t="str" cm="1">
        <f t="array" ref="Q3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36">
        <v>80</v>
      </c>
      <c r="S36" t="str" cm="1">
        <f t="array" ref="S3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36">
        <v>86</v>
      </c>
      <c r="U36" t="str" cm="1">
        <f t="array" ref="U3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36">
        <v>69</v>
      </c>
      <c r="W36" t="str" cm="1">
        <f t="array" ref="W3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36">
        <v>62</v>
      </c>
      <c r="Y36" t="str" cm="1">
        <f t="array" ref="Y3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36">
        <f>SUM(Table1[[#This Row],[Math 
Score]],Table1[[#This Row],[History 
Score]],Table1[[#This Row],[Physics 
Score]],Table1[[#This Row],[Chemistry 
Score]],Table1[[#This Row],[Biology 
Score]],Table1[[#This Row],[English 
Score]],Table1[[#This Row],[Geography 
Score]])</f>
        <v>571</v>
      </c>
      <c r="AA36" s="3">
        <f>AVERAGE(Table1[[#This Row],[Math 
Score]],Table1[[#This Row],[History 
Score]],Table1[[#This Row],[Physics 
Score]],Table1[[#This Row],[Chemistry 
Score]],Table1[[#This Row],[Biology 
Score]],Table1[[#This Row],[English 
Score]],Table1[[#This Row],[Geography 
Score]])</f>
        <v>81.571428571428569</v>
      </c>
      <c r="AB3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36">
        <f t="shared" si="0"/>
        <v>915</v>
      </c>
      <c r="AD36" t="str">
        <f>_xlfn.IFS(Table1[[#This Row],[Absence 
Days]]&lt;3,"Excellent",Table1[[#This Row],[Absence 
Days]]&lt;=6,"Good",Table1[[#This Row],[Absence 
Days]]&gt;6,"Poor")</f>
        <v>Good</v>
      </c>
    </row>
    <row r="37" spans="1:30" x14ac:dyDescent="0.35">
      <c r="A37">
        <v>36</v>
      </c>
      <c r="B37" s="2" t="s">
        <v>5</v>
      </c>
      <c r="C37" t="s">
        <v>484</v>
      </c>
      <c r="D37" t="str">
        <f>_xlfn.TEXTJOIN(" ",TRUE,Table1[[#This Row],[First 
Name]:[Last 
Name]])</f>
        <v>Kelly Farley</v>
      </c>
      <c r="E37" t="s">
        <v>1147</v>
      </c>
      <c r="F37" t="s">
        <v>3245</v>
      </c>
      <c r="G37" t="str">
        <f ca="1">PROPER(Table1[[#This Row],[Part Time 
Job]])</f>
        <v>False</v>
      </c>
      <c r="H37" s="3">
        <v>1</v>
      </c>
      <c r="I37" t="str">
        <f ca="1">PROPER(Table1[[#This Row],[Extracurricular 
Activities]])</f>
        <v>False</v>
      </c>
      <c r="J37">
        <v>21</v>
      </c>
      <c r="K37" t="s">
        <v>3116</v>
      </c>
      <c r="L37">
        <v>65</v>
      </c>
      <c r="M37" s="12" t="str" cm="1">
        <f t="array" ref="M37">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37">
        <v>70</v>
      </c>
      <c r="O37" s="13" t="str" cm="1">
        <f t="array" ref="O3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37">
        <v>78</v>
      </c>
      <c r="Q37" s="13" t="str" cm="1">
        <f t="array" ref="Q3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37">
        <v>98</v>
      </c>
      <c r="S37" t="str" cm="1">
        <f t="array" ref="S3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37">
        <v>80</v>
      </c>
      <c r="U37" t="str" cm="1">
        <f t="array" ref="U3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37">
        <v>66</v>
      </c>
      <c r="W37" t="str" cm="1">
        <f t="array" ref="W3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37">
        <v>65</v>
      </c>
      <c r="Y37" t="str" cm="1">
        <f t="array" ref="Y3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37">
        <f>SUM(Table1[[#This Row],[Math 
Score]],Table1[[#This Row],[History 
Score]],Table1[[#This Row],[Physics 
Score]],Table1[[#This Row],[Chemistry 
Score]],Table1[[#This Row],[Biology 
Score]],Table1[[#This Row],[English 
Score]],Table1[[#This Row],[Geography 
Score]])</f>
        <v>522</v>
      </c>
      <c r="AA37" s="3">
        <f>AVERAGE(Table1[[#This Row],[Math 
Score]],Table1[[#This Row],[History 
Score]],Table1[[#This Row],[Physics 
Score]],Table1[[#This Row],[Chemistry 
Score]],Table1[[#This Row],[Biology 
Score]],Table1[[#This Row],[English 
Score]],Table1[[#This Row],[Geography 
Score]])</f>
        <v>74.571428571428569</v>
      </c>
      <c r="AB3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37">
        <f t="shared" si="0"/>
        <v>1739</v>
      </c>
      <c r="AD37" t="str">
        <f>_xlfn.IFS(Table1[[#This Row],[Absence 
Days]]&lt;3,"Excellent",Table1[[#This Row],[Absence 
Days]]&lt;=6,"Good",Table1[[#This Row],[Absence 
Days]]&gt;6,"Poor")</f>
        <v>Excellent</v>
      </c>
    </row>
    <row r="38" spans="1:30" x14ac:dyDescent="0.35">
      <c r="A38">
        <v>37</v>
      </c>
      <c r="B38" s="2" t="s">
        <v>33</v>
      </c>
      <c r="C38" t="s">
        <v>326</v>
      </c>
      <c r="D38" t="str">
        <f>_xlfn.TEXTJOIN(" ",TRUE,Table1[[#This Row],[First 
Name]:[Last 
Name]])</f>
        <v>Ryan Lee</v>
      </c>
      <c r="E38" t="s">
        <v>1148</v>
      </c>
      <c r="F38" t="s">
        <v>3244</v>
      </c>
      <c r="G38" t="str">
        <f ca="1">PROPER(Table1[[#This Row],[Part Time 
Job]])</f>
        <v>False</v>
      </c>
      <c r="H38" s="3">
        <v>2</v>
      </c>
      <c r="I38" t="str">
        <f ca="1">PROPER(Table1[[#This Row],[Extracurricular 
Activities]])</f>
        <v>True</v>
      </c>
      <c r="J38">
        <v>19</v>
      </c>
      <c r="K38" t="s">
        <v>3125</v>
      </c>
      <c r="L38">
        <v>99</v>
      </c>
      <c r="M38" s="12" t="str" cm="1">
        <f t="array" ref="M3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38">
        <v>94</v>
      </c>
      <c r="O38" s="13" t="str" cm="1">
        <f t="array" ref="O3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38">
        <v>87</v>
      </c>
      <c r="Q38" s="13" t="str" cm="1">
        <f t="array" ref="Q3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38">
        <v>71</v>
      </c>
      <c r="S38" t="str" cm="1">
        <f t="array" ref="S3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38">
        <v>89</v>
      </c>
      <c r="U38" t="str" cm="1">
        <f t="array" ref="U3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38">
        <v>91</v>
      </c>
      <c r="W38" t="str" cm="1">
        <f t="array" ref="W3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38">
        <v>96</v>
      </c>
      <c r="Y38" t="str" cm="1">
        <f t="array" ref="Y3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38">
        <f>SUM(Table1[[#This Row],[Math 
Score]],Table1[[#This Row],[History 
Score]],Table1[[#This Row],[Physics 
Score]],Table1[[#This Row],[Chemistry 
Score]],Table1[[#This Row],[Biology 
Score]],Table1[[#This Row],[English 
Score]],Table1[[#This Row],[Geography 
Score]])</f>
        <v>627</v>
      </c>
      <c r="AA38" s="3">
        <f>AVERAGE(Table1[[#This Row],[Math 
Score]],Table1[[#This Row],[History 
Score]],Table1[[#This Row],[Physics 
Score]],Table1[[#This Row],[Chemistry 
Score]],Table1[[#This Row],[Biology 
Score]],Table1[[#This Row],[English 
Score]],Table1[[#This Row],[Geography 
Score]])</f>
        <v>89.571428571428569</v>
      </c>
      <c r="AB3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38">
        <f t="shared" si="0"/>
        <v>168</v>
      </c>
      <c r="AD38" t="str">
        <f>_xlfn.IFS(Table1[[#This Row],[Absence 
Days]]&lt;3,"Excellent",Table1[[#This Row],[Absence 
Days]]&lt;=6,"Good",Table1[[#This Row],[Absence 
Days]]&gt;6,"Poor")</f>
        <v>Excellent</v>
      </c>
    </row>
    <row r="39" spans="1:30" x14ac:dyDescent="0.35">
      <c r="A39">
        <v>38</v>
      </c>
      <c r="B39" s="2" t="s">
        <v>34</v>
      </c>
      <c r="C39" t="s">
        <v>485</v>
      </c>
      <c r="D39" t="str">
        <f>_xlfn.TEXTJOIN(" ",TRUE,Table1[[#This Row],[First 
Name]:[Last 
Name]])</f>
        <v>Michael Gilmore</v>
      </c>
      <c r="E39" t="s">
        <v>1149</v>
      </c>
      <c r="F39" t="s">
        <v>3244</v>
      </c>
      <c r="G39" t="str">
        <f ca="1">PROPER(Table1[[#This Row],[Part Time 
Job]])</f>
        <v>False</v>
      </c>
      <c r="H39" s="3">
        <v>1</v>
      </c>
      <c r="I39" t="str">
        <f ca="1">PROPER(Table1[[#This Row],[Extracurricular 
Activities]])</f>
        <v>False</v>
      </c>
      <c r="J39">
        <v>29</v>
      </c>
      <c r="K39" t="s">
        <v>3125</v>
      </c>
      <c r="L39">
        <v>92</v>
      </c>
      <c r="M39" s="12" t="str" cm="1">
        <f t="array" ref="M3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39">
        <v>100</v>
      </c>
      <c r="O39" s="13" t="str" cm="1">
        <f t="array" ref="O3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39">
        <v>85</v>
      </c>
      <c r="Q39" s="13" t="str" cm="1">
        <f t="array" ref="Q3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39">
        <v>89</v>
      </c>
      <c r="S39" t="str" cm="1">
        <f t="array" ref="S3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39">
        <v>81</v>
      </c>
      <c r="U39" t="str" cm="1">
        <f t="array" ref="U3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39">
        <v>91</v>
      </c>
      <c r="W39" t="str" cm="1">
        <f t="array" ref="W3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39">
        <v>88</v>
      </c>
      <c r="Y39" t="str" cm="1">
        <f t="array" ref="Y3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39">
        <f>SUM(Table1[[#This Row],[Math 
Score]],Table1[[#This Row],[History 
Score]],Table1[[#This Row],[Physics 
Score]],Table1[[#This Row],[Chemistry 
Score]],Table1[[#This Row],[Biology 
Score]],Table1[[#This Row],[English 
Score]],Table1[[#This Row],[Geography 
Score]])</f>
        <v>626</v>
      </c>
      <c r="AA39" s="3">
        <f>AVERAGE(Table1[[#This Row],[Math 
Score]],Table1[[#This Row],[History 
Score]],Table1[[#This Row],[Physics 
Score]],Table1[[#This Row],[Chemistry 
Score]],Table1[[#This Row],[Biology 
Score]],Table1[[#This Row],[English 
Score]],Table1[[#This Row],[Geography 
Score]])</f>
        <v>89.428571428571431</v>
      </c>
      <c r="AB3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39">
        <f t="shared" si="0"/>
        <v>179</v>
      </c>
      <c r="AD39" t="str">
        <f>_xlfn.IFS(Table1[[#This Row],[Absence 
Days]]&lt;3,"Excellent",Table1[[#This Row],[Absence 
Days]]&lt;=6,"Good",Table1[[#This Row],[Absence 
Days]]&gt;6,"Poor")</f>
        <v>Excellent</v>
      </c>
    </row>
    <row r="40" spans="1:30" x14ac:dyDescent="0.35">
      <c r="A40">
        <v>39</v>
      </c>
      <c r="B40" s="2" t="s">
        <v>35</v>
      </c>
      <c r="C40" t="s">
        <v>486</v>
      </c>
      <c r="D40" t="str">
        <f>_xlfn.TEXTJOIN(" ",TRUE,Table1[[#This Row],[First 
Name]:[Last 
Name]])</f>
        <v>Miguel Martinez</v>
      </c>
      <c r="E40" t="s">
        <v>1150</v>
      </c>
      <c r="F40" t="s">
        <v>3244</v>
      </c>
      <c r="G40" t="str">
        <f ca="1">PROPER(Table1[[#This Row],[Part Time 
Job]])</f>
        <v>False</v>
      </c>
      <c r="H40" s="3">
        <v>4</v>
      </c>
      <c r="I40" t="str">
        <f ca="1">PROPER(Table1[[#This Row],[Extracurricular 
Activities]])</f>
        <v>False</v>
      </c>
      <c r="J40">
        <v>21</v>
      </c>
      <c r="K40" t="s">
        <v>3121</v>
      </c>
      <c r="L40">
        <v>77</v>
      </c>
      <c r="M40" s="12" t="str" cm="1">
        <f t="array" ref="M4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40">
        <v>64</v>
      </c>
      <c r="O40" s="13" t="str" cm="1">
        <f t="array" ref="O4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40">
        <v>64</v>
      </c>
      <c r="Q40" s="13" t="str" cm="1">
        <f t="array" ref="Q4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40">
        <v>88</v>
      </c>
      <c r="S40" t="str" cm="1">
        <f t="array" ref="S4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40">
        <v>94</v>
      </c>
      <c r="U40" t="str" cm="1">
        <f t="array" ref="U4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40">
        <v>82</v>
      </c>
      <c r="W40" t="str" cm="1">
        <f t="array" ref="W4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40">
        <v>78</v>
      </c>
      <c r="Y40" t="str" cm="1">
        <f t="array" ref="Y4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40">
        <f>SUM(Table1[[#This Row],[Math 
Score]],Table1[[#This Row],[History 
Score]],Table1[[#This Row],[Physics 
Score]],Table1[[#This Row],[Chemistry 
Score]],Table1[[#This Row],[Biology 
Score]],Table1[[#This Row],[English 
Score]],Table1[[#This Row],[Geography 
Score]])</f>
        <v>547</v>
      </c>
      <c r="AA40" s="3">
        <f>AVERAGE(Table1[[#This Row],[Math 
Score]],Table1[[#This Row],[History 
Score]],Table1[[#This Row],[Physics 
Score]],Table1[[#This Row],[Chemistry 
Score]],Table1[[#This Row],[Biology 
Score]],Table1[[#This Row],[English 
Score]],Table1[[#This Row],[Geography 
Score]])</f>
        <v>78.142857142857139</v>
      </c>
      <c r="AB4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40">
        <f t="shared" si="0"/>
        <v>1388</v>
      </c>
      <c r="AD40" t="str">
        <f>_xlfn.IFS(Table1[[#This Row],[Absence 
Days]]&lt;3,"Excellent",Table1[[#This Row],[Absence 
Days]]&lt;=6,"Good",Table1[[#This Row],[Absence 
Days]]&gt;6,"Poor")</f>
        <v>Good</v>
      </c>
    </row>
    <row r="41" spans="1:30" x14ac:dyDescent="0.35">
      <c r="A41">
        <v>40</v>
      </c>
      <c r="B41" s="2" t="s">
        <v>36</v>
      </c>
      <c r="C41" t="s">
        <v>188</v>
      </c>
      <c r="D41" t="str">
        <f>_xlfn.TEXTJOIN(" ",TRUE,Table1[[#This Row],[First 
Name]:[Last 
Name]])</f>
        <v>Christopher Taylor</v>
      </c>
      <c r="E41" t="s">
        <v>1151</v>
      </c>
      <c r="F41" t="s">
        <v>3244</v>
      </c>
      <c r="G41" t="str">
        <f ca="1">PROPER(Table1[[#This Row],[Part Time 
Job]])</f>
        <v>False</v>
      </c>
      <c r="H41" s="3">
        <v>4</v>
      </c>
      <c r="I41" t="str">
        <f ca="1">PROPER(Table1[[#This Row],[Extracurricular 
Activities]])</f>
        <v>False</v>
      </c>
      <c r="J41">
        <v>18</v>
      </c>
      <c r="K41" t="s">
        <v>3123</v>
      </c>
      <c r="L41">
        <v>92</v>
      </c>
      <c r="M41" s="12" t="str" cm="1">
        <f t="array" ref="M4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41">
        <v>60</v>
      </c>
      <c r="O41" s="13" t="str" cm="1">
        <f t="array" ref="O4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41">
        <v>66</v>
      </c>
      <c r="Q41" s="13" t="str" cm="1">
        <f t="array" ref="Q4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41">
        <v>87</v>
      </c>
      <c r="S41" t="str" cm="1">
        <f t="array" ref="S4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41">
        <v>60</v>
      </c>
      <c r="U41" t="str" cm="1">
        <f t="array" ref="U4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41">
        <v>83</v>
      </c>
      <c r="W41" t="str" cm="1">
        <f t="array" ref="W4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41">
        <v>95</v>
      </c>
      <c r="Y41" t="str" cm="1">
        <f t="array" ref="Y4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41">
        <f>SUM(Table1[[#This Row],[Math 
Score]],Table1[[#This Row],[History 
Score]],Table1[[#This Row],[Physics 
Score]],Table1[[#This Row],[Chemistry 
Score]],Table1[[#This Row],[Biology 
Score]],Table1[[#This Row],[English 
Score]],Table1[[#This Row],[Geography 
Score]])</f>
        <v>543</v>
      </c>
      <c r="AA41" s="3">
        <f>AVERAGE(Table1[[#This Row],[Math 
Score]],Table1[[#This Row],[History 
Score]],Table1[[#This Row],[Physics 
Score]],Table1[[#This Row],[Chemistry 
Score]],Table1[[#This Row],[Biology 
Score]],Table1[[#This Row],[English 
Score]],Table1[[#This Row],[Geography 
Score]])</f>
        <v>77.571428571428569</v>
      </c>
      <c r="AB4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41">
        <f t="shared" si="0"/>
        <v>1464</v>
      </c>
      <c r="AD41" t="str">
        <f>_xlfn.IFS(Table1[[#This Row],[Absence 
Days]]&lt;3,"Excellent",Table1[[#This Row],[Absence 
Days]]&lt;=6,"Good",Table1[[#This Row],[Absence 
Days]]&gt;6,"Poor")</f>
        <v>Good</v>
      </c>
    </row>
    <row r="42" spans="1:30" x14ac:dyDescent="0.35">
      <c r="A42">
        <v>41</v>
      </c>
      <c r="B42" s="2" t="s">
        <v>37</v>
      </c>
      <c r="C42" t="s">
        <v>487</v>
      </c>
      <c r="D42" t="str">
        <f>_xlfn.TEXTJOIN(" ",TRUE,Table1[[#This Row],[First 
Name]:[Last 
Name]])</f>
        <v>Emily Holloway</v>
      </c>
      <c r="E42" t="s">
        <v>1152</v>
      </c>
      <c r="F42" t="s">
        <v>3245</v>
      </c>
      <c r="G42" t="str">
        <f ca="1">PROPER(Table1[[#This Row],[Part Time 
Job]])</f>
        <v>False</v>
      </c>
      <c r="H42" s="3">
        <v>4</v>
      </c>
      <c r="I42" t="str">
        <f ca="1">PROPER(Table1[[#This Row],[Extracurricular 
Activities]])</f>
        <v>False</v>
      </c>
      <c r="J42">
        <v>31</v>
      </c>
      <c r="K42" t="s">
        <v>3117</v>
      </c>
      <c r="L42">
        <v>85</v>
      </c>
      <c r="M42" s="12" t="str" cm="1">
        <f t="array" ref="M4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42">
        <v>97</v>
      </c>
      <c r="O42" s="13" t="str" cm="1">
        <f t="array" ref="O4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42">
        <v>64</v>
      </c>
      <c r="Q42" s="13" t="str" cm="1">
        <f t="array" ref="Q4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42">
        <v>90</v>
      </c>
      <c r="S42" t="str" cm="1">
        <f t="array" ref="S4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42">
        <v>79</v>
      </c>
      <c r="U42" t="str" cm="1">
        <f t="array" ref="U4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42">
        <v>81</v>
      </c>
      <c r="W42" t="str" cm="1">
        <f t="array" ref="W4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42">
        <v>81</v>
      </c>
      <c r="Y42" t="str" cm="1">
        <f t="array" ref="Y4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42">
        <f>SUM(Table1[[#This Row],[Math 
Score]],Table1[[#This Row],[History 
Score]],Table1[[#This Row],[Physics 
Score]],Table1[[#This Row],[Chemistry 
Score]],Table1[[#This Row],[Biology 
Score]],Table1[[#This Row],[English 
Score]],Table1[[#This Row],[Geography 
Score]])</f>
        <v>577</v>
      </c>
      <c r="AA42" s="3">
        <f>AVERAGE(Table1[[#This Row],[Math 
Score]],Table1[[#This Row],[History 
Score]],Table1[[#This Row],[Physics 
Score]],Table1[[#This Row],[Chemistry 
Score]],Table1[[#This Row],[Biology 
Score]],Table1[[#This Row],[English 
Score]],Table1[[#This Row],[Geography 
Score]])</f>
        <v>82.428571428571431</v>
      </c>
      <c r="AB4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42">
        <f t="shared" si="0"/>
        <v>769</v>
      </c>
      <c r="AD42" t="str">
        <f>_xlfn.IFS(Table1[[#This Row],[Absence 
Days]]&lt;3,"Excellent",Table1[[#This Row],[Absence 
Days]]&lt;=6,"Good",Table1[[#This Row],[Absence 
Days]]&gt;6,"Poor")</f>
        <v>Good</v>
      </c>
    </row>
    <row r="43" spans="1:30" x14ac:dyDescent="0.35">
      <c r="A43">
        <v>42</v>
      </c>
      <c r="B43" s="2" t="s">
        <v>38</v>
      </c>
      <c r="C43" t="s">
        <v>488</v>
      </c>
      <c r="D43" t="str">
        <f>_xlfn.TEXTJOIN(" ",TRUE,Table1[[#This Row],[First 
Name]:[Last 
Name]])</f>
        <v>Jesus Rasmussen</v>
      </c>
      <c r="E43" t="s">
        <v>1153</v>
      </c>
      <c r="F43" t="s">
        <v>3244</v>
      </c>
      <c r="G43" t="str">
        <f ca="1">PROPER(Table1[[#This Row],[Part Time 
Job]])</f>
        <v>True</v>
      </c>
      <c r="H43" s="3">
        <v>7</v>
      </c>
      <c r="I43" t="str">
        <f ca="1">PROPER(Table1[[#This Row],[Extracurricular 
Activities]])</f>
        <v>False</v>
      </c>
      <c r="J43">
        <v>4</v>
      </c>
      <c r="K43" t="s">
        <v>3119</v>
      </c>
      <c r="L43">
        <v>65</v>
      </c>
      <c r="M43" s="12" t="str" cm="1">
        <f t="array" ref="M43">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43">
        <v>55</v>
      </c>
      <c r="O43" s="13" t="str" cm="1">
        <f t="array" ref="O4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C</v>
      </c>
      <c r="P43">
        <v>66</v>
      </c>
      <c r="Q43" s="13" t="str" cm="1">
        <f t="array" ref="Q4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43">
        <v>50</v>
      </c>
      <c r="S43" t="str" cm="1">
        <f t="array" ref="S4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C</v>
      </c>
      <c r="T43">
        <v>88</v>
      </c>
      <c r="U43" t="str" cm="1">
        <f t="array" ref="U4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43">
        <v>56</v>
      </c>
      <c r="W43" t="str" cm="1">
        <f t="array" ref="W4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C</v>
      </c>
      <c r="X43">
        <v>86</v>
      </c>
      <c r="Y43" t="str" cm="1">
        <f t="array" ref="Y4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43">
        <f>SUM(Table1[[#This Row],[Math 
Score]],Table1[[#This Row],[History 
Score]],Table1[[#This Row],[Physics 
Score]],Table1[[#This Row],[Chemistry 
Score]],Table1[[#This Row],[Biology 
Score]],Table1[[#This Row],[English 
Score]],Table1[[#This Row],[Geography 
Score]])</f>
        <v>466</v>
      </c>
      <c r="AA43" s="3">
        <f>AVERAGE(Table1[[#This Row],[Math 
Score]],Table1[[#This Row],[History 
Score]],Table1[[#This Row],[Physics 
Score]],Table1[[#This Row],[Chemistry 
Score]],Table1[[#This Row],[Biology 
Score]],Table1[[#This Row],[English 
Score]],Table1[[#This Row],[Geography 
Score]])</f>
        <v>66.571428571428569</v>
      </c>
      <c r="AB4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43">
        <f t="shared" si="0"/>
        <v>1970</v>
      </c>
      <c r="AD43" t="str">
        <f>_xlfn.IFS(Table1[[#This Row],[Absence 
Days]]&lt;3,"Excellent",Table1[[#This Row],[Absence 
Days]]&lt;=6,"Good",Table1[[#This Row],[Absence 
Days]]&gt;6,"Poor")</f>
        <v>Poor</v>
      </c>
    </row>
    <row r="44" spans="1:30" x14ac:dyDescent="0.35">
      <c r="A44">
        <v>43</v>
      </c>
      <c r="B44" s="2" t="s">
        <v>39</v>
      </c>
      <c r="C44" t="s">
        <v>489</v>
      </c>
      <c r="D44" t="str">
        <f>_xlfn.TEXTJOIN(" ",TRUE,Table1[[#This Row],[First 
Name]:[Last 
Name]])</f>
        <v>Lauren Farmer</v>
      </c>
      <c r="E44" t="s">
        <v>1154</v>
      </c>
      <c r="F44" t="s">
        <v>3245</v>
      </c>
      <c r="G44" t="str">
        <f ca="1">PROPER(Table1[[#This Row],[Part Time 
Job]])</f>
        <v>True</v>
      </c>
      <c r="H44" s="3">
        <v>6</v>
      </c>
      <c r="I44" t="str">
        <f ca="1">PROPER(Table1[[#This Row],[Extracurricular 
Activities]])</f>
        <v>False</v>
      </c>
      <c r="J44">
        <v>3</v>
      </c>
      <c r="K44" t="s">
        <v>3119</v>
      </c>
      <c r="L44">
        <v>93</v>
      </c>
      <c r="M44" s="12" t="str" cm="1">
        <f t="array" ref="M4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44">
        <v>94</v>
      </c>
      <c r="O44" s="13" t="str" cm="1">
        <f t="array" ref="O4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44">
        <v>92</v>
      </c>
      <c r="Q44" s="13" t="str" cm="1">
        <f t="array" ref="Q4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44">
        <v>77</v>
      </c>
      <c r="S44" t="str" cm="1">
        <f t="array" ref="S4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44">
        <v>87</v>
      </c>
      <c r="U44" t="str" cm="1">
        <f t="array" ref="U4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44">
        <v>98</v>
      </c>
      <c r="W44" t="str" cm="1">
        <f t="array" ref="W4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44">
        <v>63</v>
      </c>
      <c r="Y44" t="str" cm="1">
        <f t="array" ref="Y4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44">
        <f>SUM(Table1[[#This Row],[Math 
Score]],Table1[[#This Row],[History 
Score]],Table1[[#This Row],[Physics 
Score]],Table1[[#This Row],[Chemistry 
Score]],Table1[[#This Row],[Biology 
Score]],Table1[[#This Row],[English 
Score]],Table1[[#This Row],[Geography 
Score]])</f>
        <v>604</v>
      </c>
      <c r="AA44" s="3">
        <f>AVERAGE(Table1[[#This Row],[Math 
Score]],Table1[[#This Row],[History 
Score]],Table1[[#This Row],[Physics 
Score]],Table1[[#This Row],[Chemistry 
Score]],Table1[[#This Row],[Biology 
Score]],Table1[[#This Row],[English 
Score]],Table1[[#This Row],[Geography 
Score]])</f>
        <v>86.285714285714292</v>
      </c>
      <c r="AB4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44">
        <f t="shared" si="0"/>
        <v>353</v>
      </c>
      <c r="AD44" t="str">
        <f>_xlfn.IFS(Table1[[#This Row],[Absence 
Days]]&lt;3,"Excellent",Table1[[#This Row],[Absence 
Days]]&lt;=6,"Good",Table1[[#This Row],[Absence 
Days]]&gt;6,"Poor")</f>
        <v>Good</v>
      </c>
    </row>
    <row r="45" spans="1:30" x14ac:dyDescent="0.35">
      <c r="A45">
        <v>44</v>
      </c>
      <c r="B45" s="2" t="s">
        <v>12</v>
      </c>
      <c r="C45" t="s">
        <v>490</v>
      </c>
      <c r="D45" t="str">
        <f>_xlfn.TEXTJOIN(" ",TRUE,Table1[[#This Row],[First 
Name]:[Last 
Name]])</f>
        <v>Pamela Cole</v>
      </c>
      <c r="E45" t="s">
        <v>1155</v>
      </c>
      <c r="F45" t="s">
        <v>3245</v>
      </c>
      <c r="G45" t="str">
        <f ca="1">PROPER(Table1[[#This Row],[Part Time 
Job]])</f>
        <v>False</v>
      </c>
      <c r="H45" s="3">
        <v>4</v>
      </c>
      <c r="I45" t="str">
        <f ca="1">PROPER(Table1[[#This Row],[Extracurricular 
Activities]])</f>
        <v>False</v>
      </c>
      <c r="J45">
        <v>3</v>
      </c>
      <c r="K45" t="s">
        <v>3126</v>
      </c>
      <c r="L45">
        <v>97</v>
      </c>
      <c r="M45" s="12" t="str" cm="1">
        <f t="array" ref="M4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45">
        <v>99</v>
      </c>
      <c r="O45" s="13" t="str" cm="1">
        <f t="array" ref="O4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45">
        <v>85</v>
      </c>
      <c r="Q45" s="13" t="str" cm="1">
        <f t="array" ref="Q4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45">
        <v>96</v>
      </c>
      <c r="S45" t="str" cm="1">
        <f t="array" ref="S4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45">
        <v>91</v>
      </c>
      <c r="U45" t="str" cm="1">
        <f t="array" ref="U4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45">
        <v>68</v>
      </c>
      <c r="W45" t="str" cm="1">
        <f t="array" ref="W4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45">
        <v>66</v>
      </c>
      <c r="Y45" t="str" cm="1">
        <f t="array" ref="Y4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45">
        <f>SUM(Table1[[#This Row],[Math 
Score]],Table1[[#This Row],[History 
Score]],Table1[[#This Row],[Physics 
Score]],Table1[[#This Row],[Chemistry 
Score]],Table1[[#This Row],[Biology 
Score]],Table1[[#This Row],[English 
Score]],Table1[[#This Row],[Geography 
Score]])</f>
        <v>602</v>
      </c>
      <c r="AA45" s="3">
        <f>AVERAGE(Table1[[#This Row],[Math 
Score]],Table1[[#This Row],[History 
Score]],Table1[[#This Row],[Physics 
Score]],Table1[[#This Row],[Chemistry 
Score]],Table1[[#This Row],[Biology 
Score]],Table1[[#This Row],[English 
Score]],Table1[[#This Row],[Geography 
Score]])</f>
        <v>86</v>
      </c>
      <c r="AB4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45">
        <f t="shared" si="0"/>
        <v>380</v>
      </c>
      <c r="AD45" t="str">
        <f>_xlfn.IFS(Table1[[#This Row],[Absence 
Days]]&lt;3,"Excellent",Table1[[#This Row],[Absence 
Days]]&lt;=6,"Good",Table1[[#This Row],[Absence 
Days]]&gt;6,"Poor")</f>
        <v>Good</v>
      </c>
    </row>
    <row r="46" spans="1:30" x14ac:dyDescent="0.35">
      <c r="A46">
        <v>45</v>
      </c>
      <c r="B46" s="2" t="s">
        <v>40</v>
      </c>
      <c r="C46" t="s">
        <v>491</v>
      </c>
      <c r="D46" t="str">
        <f>_xlfn.TEXTJOIN(" ",TRUE,Table1[[#This Row],[First 
Name]:[Last 
Name]])</f>
        <v>David Gillespie</v>
      </c>
      <c r="E46" t="s">
        <v>1156</v>
      </c>
      <c r="F46" t="s">
        <v>3244</v>
      </c>
      <c r="G46" t="str">
        <f ca="1">PROPER(Table1[[#This Row],[Part Time 
Job]])</f>
        <v>True</v>
      </c>
      <c r="H46" s="3">
        <v>4</v>
      </c>
      <c r="I46" t="str">
        <f ca="1">PROPER(Table1[[#This Row],[Extracurricular 
Activities]])</f>
        <v>False</v>
      </c>
      <c r="J46">
        <v>3</v>
      </c>
      <c r="K46" t="s">
        <v>3119</v>
      </c>
      <c r="L46">
        <v>54</v>
      </c>
      <c r="M46" s="12" t="str" cm="1">
        <f t="array" ref="M46">_xlfn.IFS(Table1[[#This Row],[Math 
Score]]&gt;=90,"A+",Table1[[#This Row],[Math 
Score]]&gt;=80,"A", Table1[[#This Row],[Math 
Score]]&gt;=75,"A-",Table1[[#This Row],[Math 
Score]]&gt;=70,"B+",Table1[[#This Row],[Math 
Score]]&gt;=65,"B",Table1[[#This Row],[Math 
Score]]&gt;=60,"B-",Table1[[#This Row],[Math 
Score]]&gt;=50,"C",Table1[[#This Row],[Math 
Score]]&gt;=40,"D",Table1[[#This Row],[Math 
Score]]&lt;40,"F")</f>
        <v>C</v>
      </c>
      <c r="N46">
        <v>99</v>
      </c>
      <c r="O46" s="13" t="str" cm="1">
        <f t="array" ref="O4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46">
        <v>79</v>
      </c>
      <c r="Q46" s="13" t="str" cm="1">
        <f t="array" ref="Q4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46">
        <v>57</v>
      </c>
      <c r="S46" t="str" cm="1">
        <f t="array" ref="S4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C</v>
      </c>
      <c r="T46">
        <v>53</v>
      </c>
      <c r="U46" t="str" cm="1">
        <f t="array" ref="U4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C</v>
      </c>
      <c r="V46">
        <v>95</v>
      </c>
      <c r="W46" t="str" cm="1">
        <f t="array" ref="W4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46">
        <v>83</v>
      </c>
      <c r="Y46" t="str" cm="1">
        <f t="array" ref="Y4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46">
        <f>SUM(Table1[[#This Row],[Math 
Score]],Table1[[#This Row],[History 
Score]],Table1[[#This Row],[Physics 
Score]],Table1[[#This Row],[Chemistry 
Score]],Table1[[#This Row],[Biology 
Score]],Table1[[#This Row],[English 
Score]],Table1[[#This Row],[Geography 
Score]])</f>
        <v>520</v>
      </c>
      <c r="AA46" s="3">
        <f>AVERAGE(Table1[[#This Row],[Math 
Score]],Table1[[#This Row],[History 
Score]],Table1[[#This Row],[Physics 
Score]],Table1[[#This Row],[Chemistry 
Score]],Table1[[#This Row],[Biology 
Score]],Table1[[#This Row],[English 
Score]],Table1[[#This Row],[Geography 
Score]])</f>
        <v>74.285714285714292</v>
      </c>
      <c r="AB4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46">
        <f t="shared" si="0"/>
        <v>1753</v>
      </c>
      <c r="AD46" t="str">
        <f>_xlfn.IFS(Table1[[#This Row],[Absence 
Days]]&lt;3,"Excellent",Table1[[#This Row],[Absence 
Days]]&lt;=6,"Good",Table1[[#This Row],[Absence 
Days]]&gt;6,"Poor")</f>
        <v>Good</v>
      </c>
    </row>
    <row r="47" spans="1:30" x14ac:dyDescent="0.35">
      <c r="A47">
        <v>46</v>
      </c>
      <c r="B47" s="2" t="s">
        <v>41</v>
      </c>
      <c r="C47" t="s">
        <v>492</v>
      </c>
      <c r="D47" t="str">
        <f>_xlfn.TEXTJOIN(" ",TRUE,Table1[[#This Row],[First 
Name]:[Last 
Name]])</f>
        <v>Kenneth Davis</v>
      </c>
      <c r="E47" t="s">
        <v>1157</v>
      </c>
      <c r="F47" t="s">
        <v>3244</v>
      </c>
      <c r="G47" t="str">
        <f ca="1">PROPER(Table1[[#This Row],[Part Time 
Job]])</f>
        <v>True</v>
      </c>
      <c r="H47" s="3">
        <v>5</v>
      </c>
      <c r="I47" t="str">
        <f ca="1">PROPER(Table1[[#This Row],[Extracurricular 
Activities]])</f>
        <v>True</v>
      </c>
      <c r="J47">
        <v>5</v>
      </c>
      <c r="K47" t="s">
        <v>3119</v>
      </c>
      <c r="L47">
        <v>88</v>
      </c>
      <c r="M47" s="12" t="str" cm="1">
        <f t="array" ref="M4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47">
        <v>53</v>
      </c>
      <c r="O47" s="13" t="str" cm="1">
        <f t="array" ref="O4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C</v>
      </c>
      <c r="P47">
        <v>50</v>
      </c>
      <c r="Q47" s="13" t="str" cm="1">
        <f t="array" ref="Q4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C</v>
      </c>
      <c r="R47">
        <v>58</v>
      </c>
      <c r="S47" t="str" cm="1">
        <f t="array" ref="S4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C</v>
      </c>
      <c r="T47">
        <v>84</v>
      </c>
      <c r="U47" t="str" cm="1">
        <f t="array" ref="U4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47">
        <v>53</v>
      </c>
      <c r="W47" t="str" cm="1">
        <f t="array" ref="W4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C</v>
      </c>
      <c r="X47">
        <v>96</v>
      </c>
      <c r="Y47" t="str" cm="1">
        <f t="array" ref="Y4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47">
        <f>SUM(Table1[[#This Row],[Math 
Score]],Table1[[#This Row],[History 
Score]],Table1[[#This Row],[Physics 
Score]],Table1[[#This Row],[Chemistry 
Score]],Table1[[#This Row],[Biology 
Score]],Table1[[#This Row],[English 
Score]],Table1[[#This Row],[Geography 
Score]])</f>
        <v>482</v>
      </c>
      <c r="AA47" s="3">
        <f>AVERAGE(Table1[[#This Row],[Math 
Score]],Table1[[#This Row],[History 
Score]],Table1[[#This Row],[Physics 
Score]],Table1[[#This Row],[Chemistry 
Score]],Table1[[#This Row],[Biology 
Score]],Table1[[#This Row],[English 
Score]],Table1[[#This Row],[Geography 
Score]])</f>
        <v>68.857142857142861</v>
      </c>
      <c r="AB4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47">
        <f t="shared" si="0"/>
        <v>1930</v>
      </c>
      <c r="AD47" t="str">
        <f>_xlfn.IFS(Table1[[#This Row],[Absence 
Days]]&lt;3,"Excellent",Table1[[#This Row],[Absence 
Days]]&lt;=6,"Good",Table1[[#This Row],[Absence 
Days]]&gt;6,"Poor")</f>
        <v>Good</v>
      </c>
    </row>
    <row r="48" spans="1:30" x14ac:dyDescent="0.35">
      <c r="A48">
        <v>47</v>
      </c>
      <c r="B48" s="2" t="s">
        <v>42</v>
      </c>
      <c r="C48" t="s">
        <v>353</v>
      </c>
      <c r="D48" t="str">
        <f>_xlfn.TEXTJOIN(" ",TRUE,Table1[[#This Row],[First 
Name]:[Last 
Name]])</f>
        <v>Elizabeth Martin</v>
      </c>
      <c r="E48" t="s">
        <v>1158</v>
      </c>
      <c r="F48" t="s">
        <v>3245</v>
      </c>
      <c r="G48" t="str">
        <f ca="1">PROPER(Table1[[#This Row],[Part Time 
Job]])</f>
        <v>False</v>
      </c>
      <c r="H48" s="3">
        <v>5</v>
      </c>
      <c r="I48" t="str">
        <f ca="1">PROPER(Table1[[#This Row],[Extracurricular 
Activities]])</f>
        <v>True</v>
      </c>
      <c r="J48">
        <v>27</v>
      </c>
      <c r="K48" t="s">
        <v>3112</v>
      </c>
      <c r="L48">
        <v>71</v>
      </c>
      <c r="M48" s="12" t="str" cm="1">
        <f t="array" ref="M48">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48">
        <v>85</v>
      </c>
      <c r="O48" s="13" t="str" cm="1">
        <f t="array" ref="O4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48">
        <v>93</v>
      </c>
      <c r="Q48" s="13" t="str" cm="1">
        <f t="array" ref="Q4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48">
        <v>68</v>
      </c>
      <c r="S48" t="str" cm="1">
        <f t="array" ref="S4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48">
        <v>100</v>
      </c>
      <c r="U48" t="str" cm="1">
        <f t="array" ref="U4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48">
        <v>91</v>
      </c>
      <c r="W48" t="str" cm="1">
        <f t="array" ref="W4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48">
        <v>87</v>
      </c>
      <c r="Y48" t="str" cm="1">
        <f t="array" ref="Y4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48">
        <f>SUM(Table1[[#This Row],[Math 
Score]],Table1[[#This Row],[History 
Score]],Table1[[#This Row],[Physics 
Score]],Table1[[#This Row],[Chemistry 
Score]],Table1[[#This Row],[Biology 
Score]],Table1[[#This Row],[English 
Score]],Table1[[#This Row],[Geography 
Score]])</f>
        <v>595</v>
      </c>
      <c r="AA48" s="3">
        <f>AVERAGE(Table1[[#This Row],[Math 
Score]],Table1[[#This Row],[History 
Score]],Table1[[#This Row],[Physics 
Score]],Table1[[#This Row],[Chemistry 
Score]],Table1[[#This Row],[Biology 
Score]],Table1[[#This Row],[English 
Score]],Table1[[#This Row],[Geography 
Score]])</f>
        <v>85</v>
      </c>
      <c r="AB4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48">
        <f t="shared" si="0"/>
        <v>465</v>
      </c>
      <c r="AD48" t="str">
        <f>_xlfn.IFS(Table1[[#This Row],[Absence 
Days]]&lt;3,"Excellent",Table1[[#This Row],[Absence 
Days]]&lt;=6,"Good",Table1[[#This Row],[Absence 
Days]]&gt;6,"Poor")</f>
        <v>Good</v>
      </c>
    </row>
    <row r="49" spans="1:30" x14ac:dyDescent="0.35">
      <c r="A49">
        <v>48</v>
      </c>
      <c r="B49" s="2" t="s">
        <v>43</v>
      </c>
      <c r="C49" t="s">
        <v>493</v>
      </c>
      <c r="D49" t="str">
        <f>_xlfn.TEXTJOIN(" ",TRUE,Table1[[#This Row],[First 
Name]:[Last 
Name]])</f>
        <v>Billy Soto</v>
      </c>
      <c r="E49" t="s">
        <v>1159</v>
      </c>
      <c r="F49" t="s">
        <v>3244</v>
      </c>
      <c r="G49" t="str">
        <f ca="1">PROPER(Table1[[#This Row],[Part Time 
Job]])</f>
        <v>False</v>
      </c>
      <c r="H49" s="3">
        <v>0</v>
      </c>
      <c r="I49" t="str">
        <f ca="1">PROPER(Table1[[#This Row],[Extracurricular 
Activities]])</f>
        <v>True</v>
      </c>
      <c r="J49">
        <v>28</v>
      </c>
      <c r="K49" t="s">
        <v>3127</v>
      </c>
      <c r="L49">
        <v>81</v>
      </c>
      <c r="M49" s="12" t="str" cm="1">
        <f t="array" ref="M4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49">
        <v>98</v>
      </c>
      <c r="O49" s="13" t="str" cm="1">
        <f t="array" ref="O4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49">
        <v>74</v>
      </c>
      <c r="Q49" s="13" t="str" cm="1">
        <f t="array" ref="Q4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49">
        <v>70</v>
      </c>
      <c r="S49" t="str" cm="1">
        <f t="array" ref="S4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49">
        <v>97</v>
      </c>
      <c r="U49" t="str" cm="1">
        <f t="array" ref="U4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49">
        <v>65</v>
      </c>
      <c r="W49" t="str" cm="1">
        <f t="array" ref="W4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49">
        <v>65</v>
      </c>
      <c r="Y49" t="str" cm="1">
        <f t="array" ref="Y4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49">
        <f>SUM(Table1[[#This Row],[Math 
Score]],Table1[[#This Row],[History 
Score]],Table1[[#This Row],[Physics 
Score]],Table1[[#This Row],[Chemistry 
Score]],Table1[[#This Row],[Biology 
Score]],Table1[[#This Row],[English 
Score]],Table1[[#This Row],[Geography 
Score]])</f>
        <v>550</v>
      </c>
      <c r="AA49" s="3">
        <f>AVERAGE(Table1[[#This Row],[Math 
Score]],Table1[[#This Row],[History 
Score]],Table1[[#This Row],[Physics 
Score]],Table1[[#This Row],[Chemistry 
Score]],Table1[[#This Row],[Biology 
Score]],Table1[[#This Row],[English 
Score]],Table1[[#This Row],[Geography 
Score]])</f>
        <v>78.571428571428569</v>
      </c>
      <c r="AB4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49">
        <f t="shared" si="0"/>
        <v>1338</v>
      </c>
      <c r="AD49" t="str">
        <f>_xlfn.IFS(Table1[[#This Row],[Absence 
Days]]&lt;3,"Excellent",Table1[[#This Row],[Absence 
Days]]&lt;=6,"Good",Table1[[#This Row],[Absence 
Days]]&gt;6,"Poor")</f>
        <v>Excellent</v>
      </c>
    </row>
    <row r="50" spans="1:30" x14ac:dyDescent="0.35">
      <c r="A50">
        <v>49</v>
      </c>
      <c r="B50" s="2" t="s">
        <v>44</v>
      </c>
      <c r="C50" t="s">
        <v>5</v>
      </c>
      <c r="D50" t="str">
        <f>_xlfn.TEXTJOIN(" ",TRUE,Table1[[#This Row],[First 
Name]:[Last 
Name]])</f>
        <v>Kimberly Kelly</v>
      </c>
      <c r="E50" t="s">
        <v>1160</v>
      </c>
      <c r="F50" t="s">
        <v>3245</v>
      </c>
      <c r="G50" t="str">
        <f ca="1">PROPER(Table1[[#This Row],[Part Time 
Job]])</f>
        <v>False</v>
      </c>
      <c r="H50" s="3">
        <v>4</v>
      </c>
      <c r="I50" t="str">
        <f ca="1">PROPER(Table1[[#This Row],[Extracurricular 
Activities]])</f>
        <v>False</v>
      </c>
      <c r="J50">
        <v>32</v>
      </c>
      <c r="K50" t="s">
        <v>3116</v>
      </c>
      <c r="L50">
        <v>80</v>
      </c>
      <c r="M50" s="12" t="str" cm="1">
        <f t="array" ref="M5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50">
        <v>78</v>
      </c>
      <c r="O50" s="13" t="str" cm="1">
        <f t="array" ref="O5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50">
        <v>86</v>
      </c>
      <c r="Q50" s="13" t="str" cm="1">
        <f t="array" ref="Q5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50">
        <v>80</v>
      </c>
      <c r="S50" t="str" cm="1">
        <f t="array" ref="S5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50">
        <v>64</v>
      </c>
      <c r="U50" t="str" cm="1">
        <f t="array" ref="U5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50">
        <v>68</v>
      </c>
      <c r="W50" t="str" cm="1">
        <f t="array" ref="W5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50">
        <v>100</v>
      </c>
      <c r="Y50" t="str" cm="1">
        <f t="array" ref="Y5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50">
        <f>SUM(Table1[[#This Row],[Math 
Score]],Table1[[#This Row],[History 
Score]],Table1[[#This Row],[Physics 
Score]],Table1[[#This Row],[Chemistry 
Score]],Table1[[#This Row],[Biology 
Score]],Table1[[#This Row],[English 
Score]],Table1[[#This Row],[Geography 
Score]])</f>
        <v>556</v>
      </c>
      <c r="AA50" s="3">
        <f>AVERAGE(Table1[[#This Row],[Math 
Score]],Table1[[#This Row],[History 
Score]],Table1[[#This Row],[Physics 
Score]],Table1[[#This Row],[Chemistry 
Score]],Table1[[#This Row],[Biology 
Score]],Table1[[#This Row],[English 
Score]],Table1[[#This Row],[Geography 
Score]])</f>
        <v>79.428571428571431</v>
      </c>
      <c r="AB5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50">
        <f t="shared" si="0"/>
        <v>1224</v>
      </c>
      <c r="AD50" t="str">
        <f>_xlfn.IFS(Table1[[#This Row],[Absence 
Days]]&lt;3,"Excellent",Table1[[#This Row],[Absence 
Days]]&lt;=6,"Good",Table1[[#This Row],[Absence 
Days]]&gt;6,"Poor")</f>
        <v>Good</v>
      </c>
    </row>
    <row r="51" spans="1:30" x14ac:dyDescent="0.35">
      <c r="A51">
        <v>50</v>
      </c>
      <c r="B51" s="2" t="s">
        <v>45</v>
      </c>
      <c r="C51" t="s">
        <v>494</v>
      </c>
      <c r="D51" t="str">
        <f>_xlfn.TEXTJOIN(" ",TRUE,Table1[[#This Row],[First 
Name]:[Last 
Name]])</f>
        <v>Sonia Noble</v>
      </c>
      <c r="E51" t="s">
        <v>1161</v>
      </c>
      <c r="F51" t="s">
        <v>3245</v>
      </c>
      <c r="G51" t="str">
        <f ca="1">PROPER(Table1[[#This Row],[Part Time 
Job]])</f>
        <v>False</v>
      </c>
      <c r="H51" s="3">
        <v>0</v>
      </c>
      <c r="I51" t="str">
        <f ca="1">PROPER(Table1[[#This Row],[Extracurricular 
Activities]])</f>
        <v>False</v>
      </c>
      <c r="J51">
        <v>14</v>
      </c>
      <c r="K51" t="s">
        <v>3123</v>
      </c>
      <c r="L51">
        <v>100</v>
      </c>
      <c r="M51" s="12" t="str" cm="1">
        <f t="array" ref="M5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51">
        <v>89</v>
      </c>
      <c r="O51" s="13" t="str" cm="1">
        <f t="array" ref="O5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51">
        <v>90</v>
      </c>
      <c r="Q51" s="13" t="str" cm="1">
        <f t="array" ref="Q5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51">
        <v>93</v>
      </c>
      <c r="S51" t="str" cm="1">
        <f t="array" ref="S5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51">
        <v>30</v>
      </c>
      <c r="U51" t="str" cm="1">
        <f t="array" ref="U5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F</v>
      </c>
      <c r="V51">
        <v>83</v>
      </c>
      <c r="W51" t="str" cm="1">
        <f t="array" ref="W5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51">
        <v>74</v>
      </c>
      <c r="Y51" t="str" cm="1">
        <f t="array" ref="Y5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51">
        <f>SUM(Table1[[#This Row],[Math 
Score]],Table1[[#This Row],[History 
Score]],Table1[[#This Row],[Physics 
Score]],Table1[[#This Row],[Chemistry 
Score]],Table1[[#This Row],[Biology 
Score]],Table1[[#This Row],[English 
Score]],Table1[[#This Row],[Geography 
Score]])</f>
        <v>559</v>
      </c>
      <c r="AA51" s="3">
        <f>AVERAGE(Table1[[#This Row],[Math 
Score]],Table1[[#This Row],[History 
Score]],Table1[[#This Row],[Physics 
Score]],Table1[[#This Row],[Chemistry 
Score]],Table1[[#This Row],[Biology 
Score]],Table1[[#This Row],[English 
Score]],Table1[[#This Row],[Geography 
Score]])</f>
        <v>79.857142857142861</v>
      </c>
      <c r="AB5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51">
        <f t="shared" si="0"/>
        <v>1155</v>
      </c>
      <c r="AD51" t="str">
        <f>_xlfn.IFS(Table1[[#This Row],[Absence 
Days]]&lt;3,"Excellent",Table1[[#This Row],[Absence 
Days]]&lt;=6,"Good",Table1[[#This Row],[Absence 
Days]]&gt;6,"Poor")</f>
        <v>Excellent</v>
      </c>
    </row>
    <row r="52" spans="1:30" x14ac:dyDescent="0.35">
      <c r="A52">
        <v>51</v>
      </c>
      <c r="B52" s="2" t="s">
        <v>36</v>
      </c>
      <c r="C52" t="s">
        <v>495</v>
      </c>
      <c r="D52" t="str">
        <f>_xlfn.TEXTJOIN(" ",TRUE,Table1[[#This Row],[First 
Name]:[Last 
Name]])</f>
        <v>Christopher Stewart</v>
      </c>
      <c r="E52" t="s">
        <v>1162</v>
      </c>
      <c r="F52" t="s">
        <v>3244</v>
      </c>
      <c r="G52" t="str">
        <f ca="1">PROPER(Table1[[#This Row],[Part Time 
Job]])</f>
        <v>False</v>
      </c>
      <c r="H52" s="3">
        <v>6</v>
      </c>
      <c r="I52" t="str">
        <f ca="1">PROPER(Table1[[#This Row],[Extracurricular 
Activities]])</f>
        <v>True</v>
      </c>
      <c r="J52">
        <v>16</v>
      </c>
      <c r="K52" t="s">
        <v>3127</v>
      </c>
      <c r="L52">
        <v>76</v>
      </c>
      <c r="M52" s="12" t="str" cm="1">
        <f t="array" ref="M5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52">
        <v>72</v>
      </c>
      <c r="O52" s="13" t="str" cm="1">
        <f t="array" ref="O5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52">
        <v>96</v>
      </c>
      <c r="Q52" s="13" t="str" cm="1">
        <f t="array" ref="Q5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52">
        <v>65</v>
      </c>
      <c r="S52" t="str" cm="1">
        <f t="array" ref="S5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52">
        <v>89</v>
      </c>
      <c r="U52" t="str" cm="1">
        <f t="array" ref="U5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52">
        <v>87</v>
      </c>
      <c r="W52" t="str" cm="1">
        <f t="array" ref="W5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52">
        <v>94</v>
      </c>
      <c r="Y52" t="str" cm="1">
        <f t="array" ref="Y5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52">
        <f>SUM(Table1[[#This Row],[Math 
Score]],Table1[[#This Row],[History 
Score]],Table1[[#This Row],[Physics 
Score]],Table1[[#This Row],[Chemistry 
Score]],Table1[[#This Row],[Biology 
Score]],Table1[[#This Row],[English 
Score]],Table1[[#This Row],[Geography 
Score]])</f>
        <v>579</v>
      </c>
      <c r="AA52" s="3">
        <f>AVERAGE(Table1[[#This Row],[Math 
Score]],Table1[[#This Row],[History 
Score]],Table1[[#This Row],[Physics 
Score]],Table1[[#This Row],[Chemistry 
Score]],Table1[[#This Row],[Biology 
Score]],Table1[[#This Row],[English 
Score]],Table1[[#This Row],[Geography 
Score]])</f>
        <v>82.714285714285708</v>
      </c>
      <c r="AB5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52">
        <f t="shared" si="0"/>
        <v>730</v>
      </c>
      <c r="AD52" t="str">
        <f>_xlfn.IFS(Table1[[#This Row],[Absence 
Days]]&lt;3,"Excellent",Table1[[#This Row],[Absence 
Days]]&lt;=6,"Good",Table1[[#This Row],[Absence 
Days]]&gt;6,"Poor")</f>
        <v>Good</v>
      </c>
    </row>
    <row r="53" spans="1:30" x14ac:dyDescent="0.35">
      <c r="A53">
        <v>52</v>
      </c>
      <c r="B53" s="2" t="s">
        <v>46</v>
      </c>
      <c r="C53" t="s">
        <v>496</v>
      </c>
      <c r="D53" t="str">
        <f>_xlfn.TEXTJOIN(" ",TRUE,Table1[[#This Row],[First 
Name]:[Last 
Name]])</f>
        <v>Sandra Thornton</v>
      </c>
      <c r="E53" t="s">
        <v>1163</v>
      </c>
      <c r="F53" t="s">
        <v>3245</v>
      </c>
      <c r="G53" t="str">
        <f ca="1">PROPER(Table1[[#This Row],[Part Time 
Job]])</f>
        <v>False</v>
      </c>
      <c r="H53" s="3">
        <v>2</v>
      </c>
      <c r="I53" t="str">
        <f ca="1">PROPER(Table1[[#This Row],[Extracurricular 
Activities]])</f>
        <v>False</v>
      </c>
      <c r="J53">
        <v>24</v>
      </c>
      <c r="K53" t="s">
        <v>3112</v>
      </c>
      <c r="L53">
        <v>99</v>
      </c>
      <c r="M53" s="12" t="str" cm="1">
        <f t="array" ref="M5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53">
        <v>81</v>
      </c>
      <c r="O53" s="13" t="str" cm="1">
        <f t="array" ref="O5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53">
        <v>73</v>
      </c>
      <c r="Q53" s="13" t="str" cm="1">
        <f t="array" ref="Q5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53">
        <v>70</v>
      </c>
      <c r="S53" t="str" cm="1">
        <f t="array" ref="S5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53">
        <v>85</v>
      </c>
      <c r="U53" t="str" cm="1">
        <f t="array" ref="U5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53">
        <v>86</v>
      </c>
      <c r="W53" t="str" cm="1">
        <f t="array" ref="W5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53">
        <v>61</v>
      </c>
      <c r="Y53" t="str" cm="1">
        <f t="array" ref="Y5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53">
        <f>SUM(Table1[[#This Row],[Math 
Score]],Table1[[#This Row],[History 
Score]],Table1[[#This Row],[Physics 
Score]],Table1[[#This Row],[Chemistry 
Score]],Table1[[#This Row],[Biology 
Score]],Table1[[#This Row],[English 
Score]],Table1[[#This Row],[Geography 
Score]])</f>
        <v>555</v>
      </c>
      <c r="AA53" s="3">
        <f>AVERAGE(Table1[[#This Row],[Math 
Score]],Table1[[#This Row],[History 
Score]],Table1[[#This Row],[Physics 
Score]],Table1[[#This Row],[Chemistry 
Score]],Table1[[#This Row],[Biology 
Score]],Table1[[#This Row],[English 
Score]],Table1[[#This Row],[Geography 
Score]])</f>
        <v>79.285714285714292</v>
      </c>
      <c r="AB5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53">
        <f t="shared" si="0"/>
        <v>1245</v>
      </c>
      <c r="AD53" t="str">
        <f>_xlfn.IFS(Table1[[#This Row],[Absence 
Days]]&lt;3,"Excellent",Table1[[#This Row],[Absence 
Days]]&lt;=6,"Good",Table1[[#This Row],[Absence 
Days]]&gt;6,"Poor")</f>
        <v>Excellent</v>
      </c>
    </row>
    <row r="54" spans="1:30" x14ac:dyDescent="0.35">
      <c r="A54">
        <v>53</v>
      </c>
      <c r="B54" s="2" t="s">
        <v>47</v>
      </c>
      <c r="C54" t="s">
        <v>21</v>
      </c>
      <c r="D54" t="str">
        <f>_xlfn.TEXTJOIN(" ",TRUE,Table1[[#This Row],[First 
Name]:[Last 
Name]])</f>
        <v>Luke Shannon</v>
      </c>
      <c r="E54" t="s">
        <v>1164</v>
      </c>
      <c r="F54" t="s">
        <v>3244</v>
      </c>
      <c r="G54" t="str">
        <f ca="1">PROPER(Table1[[#This Row],[Part Time 
Job]])</f>
        <v>False</v>
      </c>
      <c r="H54" s="3">
        <v>9</v>
      </c>
      <c r="I54" t="str">
        <f ca="1">PROPER(Table1[[#This Row],[Extracurricular 
Activities]])</f>
        <v>False</v>
      </c>
      <c r="J54">
        <v>0</v>
      </c>
      <c r="K54" t="s">
        <v>3119</v>
      </c>
      <c r="L54">
        <v>64</v>
      </c>
      <c r="M54" s="12" t="str" cm="1">
        <f t="array" ref="M54">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54">
        <v>70</v>
      </c>
      <c r="O54" s="13" t="str" cm="1">
        <f t="array" ref="O5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54">
        <v>61</v>
      </c>
      <c r="Q54" s="13" t="str" cm="1">
        <f t="array" ref="Q5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54">
        <v>81</v>
      </c>
      <c r="S54" t="str" cm="1">
        <f t="array" ref="S5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54">
        <v>82</v>
      </c>
      <c r="U54" t="str" cm="1">
        <f t="array" ref="U5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54">
        <v>51</v>
      </c>
      <c r="W54" t="str" cm="1">
        <f t="array" ref="W5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C</v>
      </c>
      <c r="X54">
        <v>70</v>
      </c>
      <c r="Y54" t="str" cm="1">
        <f t="array" ref="Y5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54">
        <f>SUM(Table1[[#This Row],[Math 
Score]],Table1[[#This Row],[History 
Score]],Table1[[#This Row],[Physics 
Score]],Table1[[#This Row],[Chemistry 
Score]],Table1[[#This Row],[Biology 
Score]],Table1[[#This Row],[English 
Score]],Table1[[#This Row],[Geography 
Score]])</f>
        <v>479</v>
      </c>
      <c r="AA54" s="3">
        <f>AVERAGE(Table1[[#This Row],[Math 
Score]],Table1[[#This Row],[History 
Score]],Table1[[#This Row],[Physics 
Score]],Table1[[#This Row],[Chemistry 
Score]],Table1[[#This Row],[Biology 
Score]],Table1[[#This Row],[English 
Score]],Table1[[#This Row],[Geography 
Score]])</f>
        <v>68.428571428571431</v>
      </c>
      <c r="AB5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54">
        <f t="shared" si="0"/>
        <v>1938</v>
      </c>
      <c r="AD54" t="str">
        <f>_xlfn.IFS(Table1[[#This Row],[Absence 
Days]]&lt;3,"Excellent",Table1[[#This Row],[Absence 
Days]]&lt;=6,"Good",Table1[[#This Row],[Absence 
Days]]&gt;6,"Poor")</f>
        <v>Poor</v>
      </c>
    </row>
    <row r="55" spans="1:30" x14ac:dyDescent="0.35">
      <c r="A55">
        <v>54</v>
      </c>
      <c r="B55" s="2" t="s">
        <v>48</v>
      </c>
      <c r="C55" t="s">
        <v>497</v>
      </c>
      <c r="D55" t="str">
        <f>_xlfn.TEXTJOIN(" ",TRUE,Table1[[#This Row],[First 
Name]:[Last 
Name]])</f>
        <v>Lindsay Pruitt</v>
      </c>
      <c r="E55" t="s">
        <v>1165</v>
      </c>
      <c r="F55" t="s">
        <v>3245</v>
      </c>
      <c r="G55" t="str">
        <f ca="1">PROPER(Table1[[#This Row],[Part Time 
Job]])</f>
        <v>False</v>
      </c>
      <c r="H55" s="3">
        <v>3</v>
      </c>
      <c r="I55" t="str">
        <f ca="1">PROPER(Table1[[#This Row],[Extracurricular 
Activities]])</f>
        <v>False</v>
      </c>
      <c r="J55">
        <v>32</v>
      </c>
      <c r="K55" t="s">
        <v>3121</v>
      </c>
      <c r="L55">
        <v>90</v>
      </c>
      <c r="M55" s="12" t="str" cm="1">
        <f t="array" ref="M5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55">
        <v>96</v>
      </c>
      <c r="O55" s="13" t="str" cm="1">
        <f t="array" ref="O5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55">
        <v>86</v>
      </c>
      <c r="Q55" s="13" t="str" cm="1">
        <f t="array" ref="Q5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55">
        <v>61</v>
      </c>
      <c r="S55" t="str" cm="1">
        <f t="array" ref="S5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55">
        <v>89</v>
      </c>
      <c r="U55" t="str" cm="1">
        <f t="array" ref="U5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55">
        <v>98</v>
      </c>
      <c r="W55" t="str" cm="1">
        <f t="array" ref="W5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55">
        <v>68</v>
      </c>
      <c r="Y55" t="str" cm="1">
        <f t="array" ref="Y5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55">
        <f>SUM(Table1[[#This Row],[Math 
Score]],Table1[[#This Row],[History 
Score]],Table1[[#This Row],[Physics 
Score]],Table1[[#This Row],[Chemistry 
Score]],Table1[[#This Row],[Biology 
Score]],Table1[[#This Row],[English 
Score]],Table1[[#This Row],[Geography 
Score]])</f>
        <v>588</v>
      </c>
      <c r="AA55" s="3">
        <f>AVERAGE(Table1[[#This Row],[Math 
Score]],Table1[[#This Row],[History 
Score]],Table1[[#This Row],[Physics 
Score]],Table1[[#This Row],[Chemistry 
Score]],Table1[[#This Row],[Biology 
Score]],Table1[[#This Row],[English 
Score]],Table1[[#This Row],[Geography 
Score]])</f>
        <v>84</v>
      </c>
      <c r="AB5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55">
        <f t="shared" si="0"/>
        <v>565</v>
      </c>
      <c r="AD55" t="str">
        <f>_xlfn.IFS(Table1[[#This Row],[Absence 
Days]]&lt;3,"Excellent",Table1[[#This Row],[Absence 
Days]]&lt;=6,"Good",Table1[[#This Row],[Absence 
Days]]&gt;6,"Poor")</f>
        <v>Good</v>
      </c>
    </row>
    <row r="56" spans="1:30" x14ac:dyDescent="0.35">
      <c r="A56">
        <v>55</v>
      </c>
      <c r="B56" s="2" t="s">
        <v>49</v>
      </c>
      <c r="C56" t="s">
        <v>188</v>
      </c>
      <c r="D56" t="str">
        <f>_xlfn.TEXTJOIN(" ",TRUE,Table1[[#This Row],[First 
Name]:[Last 
Name]])</f>
        <v>Jamie Taylor</v>
      </c>
      <c r="E56" t="s">
        <v>1166</v>
      </c>
      <c r="F56" t="s">
        <v>3244</v>
      </c>
      <c r="G56" t="str">
        <f ca="1">PROPER(Table1[[#This Row],[Part Time 
Job]])</f>
        <v>False</v>
      </c>
      <c r="H56" s="3">
        <v>2</v>
      </c>
      <c r="I56" t="str">
        <f ca="1">PROPER(Table1[[#This Row],[Extracurricular 
Activities]])</f>
        <v>False</v>
      </c>
      <c r="J56">
        <v>3</v>
      </c>
      <c r="K56" t="s">
        <v>3126</v>
      </c>
      <c r="L56">
        <v>85</v>
      </c>
      <c r="M56" s="12" t="str" cm="1">
        <f t="array" ref="M5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56">
        <v>100</v>
      </c>
      <c r="O56" s="13" t="str" cm="1">
        <f t="array" ref="O5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56">
        <v>92</v>
      </c>
      <c r="Q56" s="13" t="str" cm="1">
        <f t="array" ref="Q5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56">
        <v>68</v>
      </c>
      <c r="S56" t="str" cm="1">
        <f t="array" ref="S5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56">
        <v>60</v>
      </c>
      <c r="U56" t="str" cm="1">
        <f t="array" ref="U5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56">
        <v>77</v>
      </c>
      <c r="W56" t="str" cm="1">
        <f t="array" ref="W5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56">
        <v>83</v>
      </c>
      <c r="Y56" t="str" cm="1">
        <f t="array" ref="Y5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56">
        <f>SUM(Table1[[#This Row],[Math 
Score]],Table1[[#This Row],[History 
Score]],Table1[[#This Row],[Physics 
Score]],Table1[[#This Row],[Chemistry 
Score]],Table1[[#This Row],[Biology 
Score]],Table1[[#This Row],[English 
Score]],Table1[[#This Row],[Geography 
Score]])</f>
        <v>565</v>
      </c>
      <c r="AA56" s="3">
        <f>AVERAGE(Table1[[#This Row],[Math 
Score]],Table1[[#This Row],[History 
Score]],Table1[[#This Row],[Physics 
Score]],Table1[[#This Row],[Chemistry 
Score]],Table1[[#This Row],[Biology 
Score]],Table1[[#This Row],[English 
Score]],Table1[[#This Row],[Geography 
Score]])</f>
        <v>80.714285714285708</v>
      </c>
      <c r="AB5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56">
        <f t="shared" si="0"/>
        <v>1035</v>
      </c>
      <c r="AD56" t="str">
        <f>_xlfn.IFS(Table1[[#This Row],[Absence 
Days]]&lt;3,"Excellent",Table1[[#This Row],[Absence 
Days]]&lt;=6,"Good",Table1[[#This Row],[Absence 
Days]]&gt;6,"Poor")</f>
        <v>Excellent</v>
      </c>
    </row>
    <row r="57" spans="1:30" x14ac:dyDescent="0.35">
      <c r="A57">
        <v>56</v>
      </c>
      <c r="B57" s="2" t="s">
        <v>50</v>
      </c>
      <c r="C57" t="s">
        <v>498</v>
      </c>
      <c r="D57" t="str">
        <f>_xlfn.TEXTJOIN(" ",TRUE,Table1[[#This Row],[First 
Name]:[Last 
Name]])</f>
        <v>Jennifer Murphy</v>
      </c>
      <c r="E57" t="s">
        <v>1167</v>
      </c>
      <c r="F57" t="s">
        <v>3245</v>
      </c>
      <c r="G57" t="str">
        <f ca="1">PROPER(Table1[[#This Row],[Part Time 
Job]])</f>
        <v>False</v>
      </c>
      <c r="H57" s="3">
        <v>6</v>
      </c>
      <c r="I57" t="str">
        <f ca="1">PROPER(Table1[[#This Row],[Extracurricular 
Activities]])</f>
        <v>False</v>
      </c>
      <c r="J57">
        <v>31</v>
      </c>
      <c r="K57" t="s">
        <v>3117</v>
      </c>
      <c r="L57">
        <v>91</v>
      </c>
      <c r="M57" s="12" t="str" cm="1">
        <f t="array" ref="M5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57">
        <v>60</v>
      </c>
      <c r="O57" s="13" t="str" cm="1">
        <f t="array" ref="O5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57">
        <v>84</v>
      </c>
      <c r="Q57" s="13" t="str" cm="1">
        <f t="array" ref="Q5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57">
        <v>88</v>
      </c>
      <c r="S57" t="str" cm="1">
        <f t="array" ref="S5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57">
        <v>76</v>
      </c>
      <c r="U57" t="str" cm="1">
        <f t="array" ref="U5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57">
        <v>71</v>
      </c>
      <c r="W57" t="str" cm="1">
        <f t="array" ref="W5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57">
        <v>99</v>
      </c>
      <c r="Y57" t="str" cm="1">
        <f t="array" ref="Y5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57">
        <f>SUM(Table1[[#This Row],[Math 
Score]],Table1[[#This Row],[History 
Score]],Table1[[#This Row],[Physics 
Score]],Table1[[#This Row],[Chemistry 
Score]],Table1[[#This Row],[Biology 
Score]],Table1[[#This Row],[English 
Score]],Table1[[#This Row],[Geography 
Score]])</f>
        <v>569</v>
      </c>
      <c r="AA57" s="3">
        <f>AVERAGE(Table1[[#This Row],[Math 
Score]],Table1[[#This Row],[History 
Score]],Table1[[#This Row],[Physics 
Score]],Table1[[#This Row],[Chemistry 
Score]],Table1[[#This Row],[Biology 
Score]],Table1[[#This Row],[English 
Score]],Table1[[#This Row],[Geography 
Score]])</f>
        <v>81.285714285714292</v>
      </c>
      <c r="AB5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57">
        <f t="shared" si="0"/>
        <v>957</v>
      </c>
      <c r="AD57" t="str">
        <f>_xlfn.IFS(Table1[[#This Row],[Absence 
Days]]&lt;3,"Excellent",Table1[[#This Row],[Absence 
Days]]&lt;=6,"Good",Table1[[#This Row],[Absence 
Days]]&gt;6,"Poor")</f>
        <v>Good</v>
      </c>
    </row>
    <row r="58" spans="1:30" x14ac:dyDescent="0.35">
      <c r="A58">
        <v>57</v>
      </c>
      <c r="B58" s="2" t="s">
        <v>51</v>
      </c>
      <c r="C58" t="s">
        <v>326</v>
      </c>
      <c r="D58" t="str">
        <f>_xlfn.TEXTJOIN(" ",TRUE,Table1[[#This Row],[First 
Name]:[Last 
Name]])</f>
        <v>Melissa Lee</v>
      </c>
      <c r="E58" t="s">
        <v>1168</v>
      </c>
      <c r="F58" t="s">
        <v>3245</v>
      </c>
      <c r="G58" t="str">
        <f ca="1">PROPER(Table1[[#This Row],[Part Time 
Job]])</f>
        <v>False</v>
      </c>
      <c r="H58" s="3">
        <v>3</v>
      </c>
      <c r="I58" t="str">
        <f ca="1">PROPER(Table1[[#This Row],[Extracurricular 
Activities]])</f>
        <v>False</v>
      </c>
      <c r="J58">
        <v>21</v>
      </c>
      <c r="K58" t="s">
        <v>3116</v>
      </c>
      <c r="L58">
        <v>95</v>
      </c>
      <c r="M58" s="12" t="str" cm="1">
        <f t="array" ref="M5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58">
        <v>72</v>
      </c>
      <c r="O58" s="13" t="str" cm="1">
        <f t="array" ref="O5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58">
        <v>79</v>
      </c>
      <c r="Q58" s="13" t="str" cm="1">
        <f t="array" ref="Q5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58">
        <v>86</v>
      </c>
      <c r="S58" t="str" cm="1">
        <f t="array" ref="S5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58">
        <v>87</v>
      </c>
      <c r="U58" t="str" cm="1">
        <f t="array" ref="U5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58">
        <v>81</v>
      </c>
      <c r="W58" t="str" cm="1">
        <f t="array" ref="W5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58">
        <v>62</v>
      </c>
      <c r="Y58" t="str" cm="1">
        <f t="array" ref="Y5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58">
        <f>SUM(Table1[[#This Row],[Math 
Score]],Table1[[#This Row],[History 
Score]],Table1[[#This Row],[Physics 
Score]],Table1[[#This Row],[Chemistry 
Score]],Table1[[#This Row],[Biology 
Score]],Table1[[#This Row],[English 
Score]],Table1[[#This Row],[Geography 
Score]])</f>
        <v>562</v>
      </c>
      <c r="AA58" s="3">
        <f>AVERAGE(Table1[[#This Row],[Math 
Score]],Table1[[#This Row],[History 
Score]],Table1[[#This Row],[Physics 
Score]],Table1[[#This Row],[Chemistry 
Score]],Table1[[#This Row],[Biology 
Score]],Table1[[#This Row],[English 
Score]],Table1[[#This Row],[Geography 
Score]])</f>
        <v>80.285714285714292</v>
      </c>
      <c r="AB5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58">
        <f t="shared" si="0"/>
        <v>1099</v>
      </c>
      <c r="AD58" t="str">
        <f>_xlfn.IFS(Table1[[#This Row],[Absence 
Days]]&lt;3,"Excellent",Table1[[#This Row],[Absence 
Days]]&lt;=6,"Good",Table1[[#This Row],[Absence 
Days]]&gt;6,"Poor")</f>
        <v>Good</v>
      </c>
    </row>
    <row r="59" spans="1:30" x14ac:dyDescent="0.35">
      <c r="A59">
        <v>58</v>
      </c>
      <c r="B59" s="2" t="s">
        <v>40</v>
      </c>
      <c r="C59" t="s">
        <v>499</v>
      </c>
      <c r="D59" t="str">
        <f>_xlfn.TEXTJOIN(" ",TRUE,Table1[[#This Row],[First 
Name]:[Last 
Name]])</f>
        <v>David Vaughn</v>
      </c>
      <c r="E59" t="s">
        <v>1169</v>
      </c>
      <c r="F59" t="s">
        <v>3244</v>
      </c>
      <c r="G59" t="str">
        <f ca="1">PROPER(Table1[[#This Row],[Part Time 
Job]])</f>
        <v>True</v>
      </c>
      <c r="H59" s="3">
        <v>2</v>
      </c>
      <c r="I59" t="str">
        <f ca="1">PROPER(Table1[[#This Row],[Extracurricular 
Activities]])</f>
        <v>False</v>
      </c>
      <c r="J59">
        <v>18</v>
      </c>
      <c r="K59" t="s">
        <v>3121</v>
      </c>
      <c r="L59">
        <v>94</v>
      </c>
      <c r="M59" s="12" t="str" cm="1">
        <f t="array" ref="M5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59">
        <v>78</v>
      </c>
      <c r="O59" s="13" t="str" cm="1">
        <f t="array" ref="O5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59">
        <v>73</v>
      </c>
      <c r="Q59" s="13" t="str" cm="1">
        <f t="array" ref="Q5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59">
        <v>97</v>
      </c>
      <c r="S59" t="str" cm="1">
        <f t="array" ref="S5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59">
        <v>67</v>
      </c>
      <c r="U59" t="str" cm="1">
        <f t="array" ref="U5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59">
        <v>78</v>
      </c>
      <c r="W59" t="str" cm="1">
        <f t="array" ref="W5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59">
        <v>99</v>
      </c>
      <c r="Y59" t="str" cm="1">
        <f t="array" ref="Y5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59">
        <f>SUM(Table1[[#This Row],[Math 
Score]],Table1[[#This Row],[History 
Score]],Table1[[#This Row],[Physics 
Score]],Table1[[#This Row],[Chemistry 
Score]],Table1[[#This Row],[Biology 
Score]],Table1[[#This Row],[English 
Score]],Table1[[#This Row],[Geography 
Score]])</f>
        <v>586</v>
      </c>
      <c r="AA59" s="3">
        <f>AVERAGE(Table1[[#This Row],[Math 
Score]],Table1[[#This Row],[History 
Score]],Table1[[#This Row],[Physics 
Score]],Table1[[#This Row],[Chemistry 
Score]],Table1[[#This Row],[Biology 
Score]],Table1[[#This Row],[English 
Score]],Table1[[#This Row],[Geography 
Score]])</f>
        <v>83.714285714285708</v>
      </c>
      <c r="AB5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59">
        <f t="shared" si="0"/>
        <v>601</v>
      </c>
      <c r="AD59" t="str">
        <f>_xlfn.IFS(Table1[[#This Row],[Absence 
Days]]&lt;3,"Excellent",Table1[[#This Row],[Absence 
Days]]&lt;=6,"Good",Table1[[#This Row],[Absence 
Days]]&gt;6,"Poor")</f>
        <v>Excellent</v>
      </c>
    </row>
    <row r="60" spans="1:30" x14ac:dyDescent="0.35">
      <c r="A60">
        <v>59</v>
      </c>
      <c r="B60" s="2" t="s">
        <v>52</v>
      </c>
      <c r="C60" t="s">
        <v>500</v>
      </c>
      <c r="D60" t="str">
        <f>_xlfn.TEXTJOIN(" ",TRUE,Table1[[#This Row],[First 
Name]:[Last 
Name]])</f>
        <v>Jacob Hanson</v>
      </c>
      <c r="E60" t="s">
        <v>1170</v>
      </c>
      <c r="F60" t="s">
        <v>3244</v>
      </c>
      <c r="G60" t="str">
        <f ca="1">PROPER(Table1[[#This Row],[Part Time 
Job]])</f>
        <v>False</v>
      </c>
      <c r="H60" s="3">
        <v>7</v>
      </c>
      <c r="I60" t="str">
        <f ca="1">PROPER(Table1[[#This Row],[Extracurricular 
Activities]])</f>
        <v>False</v>
      </c>
      <c r="J60">
        <v>26</v>
      </c>
      <c r="K60" t="s">
        <v>3117</v>
      </c>
      <c r="L60">
        <v>94</v>
      </c>
      <c r="M60" s="12" t="str" cm="1">
        <f t="array" ref="M6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60">
        <v>89</v>
      </c>
      <c r="O60" s="13" t="str" cm="1">
        <f t="array" ref="O6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60">
        <v>64</v>
      </c>
      <c r="Q60" s="13" t="str" cm="1">
        <f t="array" ref="Q6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60">
        <v>96</v>
      </c>
      <c r="S60" t="str" cm="1">
        <f t="array" ref="S6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60">
        <v>91</v>
      </c>
      <c r="U60" t="str" cm="1">
        <f t="array" ref="U6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60">
        <v>95</v>
      </c>
      <c r="W60" t="str" cm="1">
        <f t="array" ref="W6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60">
        <v>77</v>
      </c>
      <c r="Y60" t="str" cm="1">
        <f t="array" ref="Y6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60">
        <f>SUM(Table1[[#This Row],[Math 
Score]],Table1[[#This Row],[History 
Score]],Table1[[#This Row],[Physics 
Score]],Table1[[#This Row],[Chemistry 
Score]],Table1[[#This Row],[Biology 
Score]],Table1[[#This Row],[English 
Score]],Table1[[#This Row],[Geography 
Score]])</f>
        <v>606</v>
      </c>
      <c r="AA60" s="3">
        <f>AVERAGE(Table1[[#This Row],[Math 
Score]],Table1[[#This Row],[History 
Score]],Table1[[#This Row],[Physics 
Score]],Table1[[#This Row],[Chemistry 
Score]],Table1[[#This Row],[Biology 
Score]],Table1[[#This Row],[English 
Score]],Table1[[#This Row],[Geography 
Score]])</f>
        <v>86.571428571428569</v>
      </c>
      <c r="AB6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60">
        <f t="shared" si="0"/>
        <v>333</v>
      </c>
      <c r="AD60" t="str">
        <f>_xlfn.IFS(Table1[[#This Row],[Absence 
Days]]&lt;3,"Excellent",Table1[[#This Row],[Absence 
Days]]&lt;=6,"Good",Table1[[#This Row],[Absence 
Days]]&gt;6,"Poor")</f>
        <v>Poor</v>
      </c>
    </row>
    <row r="61" spans="1:30" x14ac:dyDescent="0.35">
      <c r="A61">
        <v>60</v>
      </c>
      <c r="B61" s="2" t="s">
        <v>53</v>
      </c>
      <c r="C61" t="s">
        <v>501</v>
      </c>
      <c r="D61" t="str">
        <f>_xlfn.TEXTJOIN(" ",TRUE,Table1[[#This Row],[First 
Name]:[Last 
Name]])</f>
        <v>Casey May</v>
      </c>
      <c r="E61" t="s">
        <v>1171</v>
      </c>
      <c r="F61" t="s">
        <v>3244</v>
      </c>
      <c r="G61" t="str">
        <f ca="1">PROPER(Table1[[#This Row],[Part Time 
Job]])</f>
        <v>False</v>
      </c>
      <c r="H61" s="3">
        <v>4</v>
      </c>
      <c r="I61" t="str">
        <f ca="1">PROPER(Table1[[#This Row],[Extracurricular 
Activities]])</f>
        <v>False</v>
      </c>
      <c r="J61">
        <v>23</v>
      </c>
      <c r="K61" t="s">
        <v>3117</v>
      </c>
      <c r="L61">
        <v>89</v>
      </c>
      <c r="M61" s="12" t="str" cm="1">
        <f t="array" ref="M6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61">
        <v>99</v>
      </c>
      <c r="O61" s="13" t="str" cm="1">
        <f t="array" ref="O6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61">
        <v>90</v>
      </c>
      <c r="Q61" s="13" t="str" cm="1">
        <f t="array" ref="Q6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61">
        <v>79</v>
      </c>
      <c r="S61" t="str" cm="1">
        <f t="array" ref="S6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61">
        <v>85</v>
      </c>
      <c r="U61" t="str" cm="1">
        <f t="array" ref="U6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61">
        <v>96</v>
      </c>
      <c r="W61" t="str" cm="1">
        <f t="array" ref="W6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61">
        <v>98</v>
      </c>
      <c r="Y61" t="str" cm="1">
        <f t="array" ref="Y6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61">
        <f>SUM(Table1[[#This Row],[Math 
Score]],Table1[[#This Row],[History 
Score]],Table1[[#This Row],[Physics 
Score]],Table1[[#This Row],[Chemistry 
Score]],Table1[[#This Row],[Biology 
Score]],Table1[[#This Row],[English 
Score]],Table1[[#This Row],[Geography 
Score]])</f>
        <v>636</v>
      </c>
      <c r="AA61" s="3">
        <f>AVERAGE(Table1[[#This Row],[Math 
Score]],Table1[[#This Row],[History 
Score]],Table1[[#This Row],[Physics 
Score]],Table1[[#This Row],[Chemistry 
Score]],Table1[[#This Row],[Biology 
Score]],Table1[[#This Row],[English 
Score]],Table1[[#This Row],[Geography 
Score]])</f>
        <v>90.857142857142861</v>
      </c>
      <c r="AB6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61">
        <f t="shared" si="0"/>
        <v>124</v>
      </c>
      <c r="AD61" t="str">
        <f>_xlfn.IFS(Table1[[#This Row],[Absence 
Days]]&lt;3,"Excellent",Table1[[#This Row],[Absence 
Days]]&lt;=6,"Good",Table1[[#This Row],[Absence 
Days]]&gt;6,"Poor")</f>
        <v>Good</v>
      </c>
    </row>
    <row r="62" spans="1:30" x14ac:dyDescent="0.35">
      <c r="A62">
        <v>61</v>
      </c>
      <c r="B62" s="2" t="s">
        <v>54</v>
      </c>
      <c r="C62" t="s">
        <v>502</v>
      </c>
      <c r="D62" t="str">
        <f>_xlfn.TEXTJOIN(" ",TRUE,Table1[[#This Row],[First 
Name]:[Last 
Name]])</f>
        <v>Michelle Roman</v>
      </c>
      <c r="E62" t="s">
        <v>1172</v>
      </c>
      <c r="F62" t="s">
        <v>3245</v>
      </c>
      <c r="G62" t="str">
        <f ca="1">PROPER(Table1[[#This Row],[Part Time 
Job]])</f>
        <v>False</v>
      </c>
      <c r="H62" s="3">
        <v>2</v>
      </c>
      <c r="I62" t="str">
        <f ca="1">PROPER(Table1[[#This Row],[Extracurricular 
Activities]])</f>
        <v>False</v>
      </c>
      <c r="J62">
        <v>1</v>
      </c>
      <c r="K62" t="s">
        <v>3126</v>
      </c>
      <c r="L62">
        <v>91</v>
      </c>
      <c r="M62" s="12" t="str" cm="1">
        <f t="array" ref="M6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62">
        <v>81</v>
      </c>
      <c r="O62" s="13" t="str" cm="1">
        <f t="array" ref="O6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62">
        <v>88</v>
      </c>
      <c r="Q62" s="13" t="str" cm="1">
        <f t="array" ref="Q6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62">
        <v>71</v>
      </c>
      <c r="S62" t="str" cm="1">
        <f t="array" ref="S6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62">
        <v>78</v>
      </c>
      <c r="U62" t="str" cm="1">
        <f t="array" ref="U6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62">
        <v>83</v>
      </c>
      <c r="W62" t="str" cm="1">
        <f t="array" ref="W6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62">
        <v>76</v>
      </c>
      <c r="Y62" t="str" cm="1">
        <f t="array" ref="Y6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62">
        <f>SUM(Table1[[#This Row],[Math 
Score]],Table1[[#This Row],[History 
Score]],Table1[[#This Row],[Physics 
Score]],Table1[[#This Row],[Chemistry 
Score]],Table1[[#This Row],[Biology 
Score]],Table1[[#This Row],[English 
Score]],Table1[[#This Row],[Geography 
Score]])</f>
        <v>568</v>
      </c>
      <c r="AA62" s="3">
        <f>AVERAGE(Table1[[#This Row],[Math 
Score]],Table1[[#This Row],[History 
Score]],Table1[[#This Row],[Physics 
Score]],Table1[[#This Row],[Chemistry 
Score]],Table1[[#This Row],[Biology 
Score]],Table1[[#This Row],[English 
Score]],Table1[[#This Row],[Geography 
Score]])</f>
        <v>81.142857142857139</v>
      </c>
      <c r="AB6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62">
        <f t="shared" si="0"/>
        <v>975</v>
      </c>
      <c r="AD62" t="str">
        <f>_xlfn.IFS(Table1[[#This Row],[Absence 
Days]]&lt;3,"Excellent",Table1[[#This Row],[Absence 
Days]]&lt;=6,"Good",Table1[[#This Row],[Absence 
Days]]&gt;6,"Poor")</f>
        <v>Excellent</v>
      </c>
    </row>
    <row r="63" spans="1:30" x14ac:dyDescent="0.35">
      <c r="A63">
        <v>62</v>
      </c>
      <c r="B63" s="2" t="s">
        <v>55</v>
      </c>
      <c r="C63" t="s">
        <v>503</v>
      </c>
      <c r="D63" t="str">
        <f>_xlfn.TEXTJOIN(" ",TRUE,Table1[[#This Row],[First 
Name]:[Last 
Name]])</f>
        <v>Brittany Koch</v>
      </c>
      <c r="E63" t="s">
        <v>1173</v>
      </c>
      <c r="F63" t="s">
        <v>3245</v>
      </c>
      <c r="G63" t="str">
        <f ca="1">PROPER(Table1[[#This Row],[Part Time 
Job]])</f>
        <v>False</v>
      </c>
      <c r="H63" s="3">
        <v>5</v>
      </c>
      <c r="I63" t="str">
        <f ca="1">PROPER(Table1[[#This Row],[Extracurricular 
Activities]])</f>
        <v>False</v>
      </c>
      <c r="J63">
        <v>33</v>
      </c>
      <c r="K63" t="s">
        <v>3112</v>
      </c>
      <c r="L63">
        <v>83</v>
      </c>
      <c r="M63" s="12" t="str" cm="1">
        <f t="array" ref="M6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63">
        <v>86</v>
      </c>
      <c r="O63" s="13" t="str" cm="1">
        <f t="array" ref="O6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63">
        <v>61</v>
      </c>
      <c r="Q63" s="13" t="str" cm="1">
        <f t="array" ref="Q6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63">
        <v>99</v>
      </c>
      <c r="S63" t="str" cm="1">
        <f t="array" ref="S6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63">
        <v>99</v>
      </c>
      <c r="U63" t="str" cm="1">
        <f t="array" ref="U6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63">
        <v>88</v>
      </c>
      <c r="W63" t="str" cm="1">
        <f t="array" ref="W6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63">
        <v>73</v>
      </c>
      <c r="Y63" t="str" cm="1">
        <f t="array" ref="Y6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63">
        <f>SUM(Table1[[#This Row],[Math 
Score]],Table1[[#This Row],[History 
Score]],Table1[[#This Row],[Physics 
Score]],Table1[[#This Row],[Chemistry 
Score]],Table1[[#This Row],[Biology 
Score]],Table1[[#This Row],[English 
Score]],Table1[[#This Row],[Geography 
Score]])</f>
        <v>589</v>
      </c>
      <c r="AA63" s="3">
        <f>AVERAGE(Table1[[#This Row],[Math 
Score]],Table1[[#This Row],[History 
Score]],Table1[[#This Row],[Physics 
Score]],Table1[[#This Row],[Chemistry 
Score]],Table1[[#This Row],[Biology 
Score]],Table1[[#This Row],[English 
Score]],Table1[[#This Row],[Geography 
Score]])</f>
        <v>84.142857142857139</v>
      </c>
      <c r="AB6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63">
        <f t="shared" si="0"/>
        <v>548</v>
      </c>
      <c r="AD63" t="str">
        <f>_xlfn.IFS(Table1[[#This Row],[Absence 
Days]]&lt;3,"Excellent",Table1[[#This Row],[Absence 
Days]]&lt;=6,"Good",Table1[[#This Row],[Absence 
Days]]&gt;6,"Poor")</f>
        <v>Good</v>
      </c>
    </row>
    <row r="64" spans="1:30" x14ac:dyDescent="0.35">
      <c r="A64">
        <v>63</v>
      </c>
      <c r="B64" s="2" t="s">
        <v>56</v>
      </c>
      <c r="C64" t="s">
        <v>504</v>
      </c>
      <c r="D64" t="str">
        <f>_xlfn.TEXTJOIN(" ",TRUE,Table1[[#This Row],[First 
Name]:[Last 
Name]])</f>
        <v>Brian Lewis</v>
      </c>
      <c r="E64" t="s">
        <v>1174</v>
      </c>
      <c r="F64" t="s">
        <v>3244</v>
      </c>
      <c r="G64" t="str">
        <f ca="1">PROPER(Table1[[#This Row],[Part Time 
Job]])</f>
        <v>False</v>
      </c>
      <c r="H64" s="3">
        <v>7</v>
      </c>
      <c r="I64" t="str">
        <f ca="1">PROPER(Table1[[#This Row],[Extracurricular 
Activities]])</f>
        <v>False</v>
      </c>
      <c r="J64">
        <v>2</v>
      </c>
      <c r="K64" t="s">
        <v>3119</v>
      </c>
      <c r="L64">
        <v>98</v>
      </c>
      <c r="M64" s="12" t="str" cm="1">
        <f t="array" ref="M6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64">
        <v>65</v>
      </c>
      <c r="O64" s="13" t="str" cm="1">
        <f t="array" ref="O6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64">
        <v>53</v>
      </c>
      <c r="Q64" s="13" t="str" cm="1">
        <f t="array" ref="Q6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C</v>
      </c>
      <c r="R64">
        <v>64</v>
      </c>
      <c r="S64" t="str" cm="1">
        <f t="array" ref="S6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64">
        <v>52</v>
      </c>
      <c r="U64" t="str" cm="1">
        <f t="array" ref="U6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C</v>
      </c>
      <c r="V64">
        <v>96</v>
      </c>
      <c r="W64" t="str" cm="1">
        <f t="array" ref="W6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64">
        <v>62</v>
      </c>
      <c r="Y64" t="str" cm="1">
        <f t="array" ref="Y6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64">
        <f>SUM(Table1[[#This Row],[Math 
Score]],Table1[[#This Row],[History 
Score]],Table1[[#This Row],[Physics 
Score]],Table1[[#This Row],[Chemistry 
Score]],Table1[[#This Row],[Biology 
Score]],Table1[[#This Row],[English 
Score]],Table1[[#This Row],[Geography 
Score]])</f>
        <v>490</v>
      </c>
      <c r="AA64" s="3">
        <f>AVERAGE(Table1[[#This Row],[Math 
Score]],Table1[[#This Row],[History 
Score]],Table1[[#This Row],[Physics 
Score]],Table1[[#This Row],[Chemistry 
Score]],Table1[[#This Row],[Biology 
Score]],Table1[[#This Row],[English 
Score]],Table1[[#This Row],[Geography 
Score]])</f>
        <v>70</v>
      </c>
      <c r="AB6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64">
        <f t="shared" si="0"/>
        <v>1911</v>
      </c>
      <c r="AD64" t="str">
        <f>_xlfn.IFS(Table1[[#This Row],[Absence 
Days]]&lt;3,"Excellent",Table1[[#This Row],[Absence 
Days]]&lt;=6,"Good",Table1[[#This Row],[Absence 
Days]]&gt;6,"Poor")</f>
        <v>Poor</v>
      </c>
    </row>
    <row r="65" spans="1:30" x14ac:dyDescent="0.35">
      <c r="A65">
        <v>64</v>
      </c>
      <c r="B65" s="2" t="s">
        <v>57</v>
      </c>
      <c r="C65" t="s">
        <v>505</v>
      </c>
      <c r="D65" t="str">
        <f>_xlfn.TEXTJOIN(" ",TRUE,Table1[[#This Row],[First 
Name]:[Last 
Name]])</f>
        <v>Veronica Cameron</v>
      </c>
      <c r="E65" t="s">
        <v>1175</v>
      </c>
      <c r="F65" t="s">
        <v>3245</v>
      </c>
      <c r="G65" t="str">
        <f ca="1">PROPER(Table1[[#This Row],[Part Time 
Job]])</f>
        <v>False</v>
      </c>
      <c r="H65" s="3">
        <v>1</v>
      </c>
      <c r="I65" t="str">
        <f ca="1">PROPER(Table1[[#This Row],[Extracurricular 
Activities]])</f>
        <v>False</v>
      </c>
      <c r="J65">
        <v>34</v>
      </c>
      <c r="K65" t="s">
        <v>3121</v>
      </c>
      <c r="L65">
        <v>83</v>
      </c>
      <c r="M65" s="12" t="str" cm="1">
        <f t="array" ref="M6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65">
        <v>97</v>
      </c>
      <c r="O65" s="13" t="str" cm="1">
        <f t="array" ref="O6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65">
        <v>65</v>
      </c>
      <c r="Q65" s="13" t="str" cm="1">
        <f t="array" ref="Q6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65">
        <v>88</v>
      </c>
      <c r="S65" t="str" cm="1">
        <f t="array" ref="S6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65">
        <v>67</v>
      </c>
      <c r="U65" t="str" cm="1">
        <f t="array" ref="U6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65">
        <v>95</v>
      </c>
      <c r="W65" t="str" cm="1">
        <f t="array" ref="W6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65">
        <v>69</v>
      </c>
      <c r="Y65" t="str" cm="1">
        <f t="array" ref="Y6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65">
        <f>SUM(Table1[[#This Row],[Math 
Score]],Table1[[#This Row],[History 
Score]],Table1[[#This Row],[Physics 
Score]],Table1[[#This Row],[Chemistry 
Score]],Table1[[#This Row],[Biology 
Score]],Table1[[#This Row],[English 
Score]],Table1[[#This Row],[Geography 
Score]])</f>
        <v>564</v>
      </c>
      <c r="AA65" s="3">
        <f>AVERAGE(Table1[[#This Row],[Math 
Score]],Table1[[#This Row],[History 
Score]],Table1[[#This Row],[Physics 
Score]],Table1[[#This Row],[Chemistry 
Score]],Table1[[#This Row],[Biology 
Score]],Table1[[#This Row],[English 
Score]],Table1[[#This Row],[Geography 
Score]])</f>
        <v>80.571428571428569</v>
      </c>
      <c r="AB6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65">
        <f t="shared" si="0"/>
        <v>1056</v>
      </c>
      <c r="AD65" t="str">
        <f>_xlfn.IFS(Table1[[#This Row],[Absence 
Days]]&lt;3,"Excellent",Table1[[#This Row],[Absence 
Days]]&lt;=6,"Good",Table1[[#This Row],[Absence 
Days]]&gt;6,"Poor")</f>
        <v>Excellent</v>
      </c>
    </row>
    <row r="66" spans="1:30" x14ac:dyDescent="0.35">
      <c r="A66">
        <v>65</v>
      </c>
      <c r="B66" s="2" t="s">
        <v>58</v>
      </c>
      <c r="C66" t="s">
        <v>506</v>
      </c>
      <c r="D66" t="str">
        <f>_xlfn.TEXTJOIN(" ",TRUE,Table1[[#This Row],[First 
Name]:[Last 
Name]])</f>
        <v>Eric Reyes</v>
      </c>
      <c r="E66" t="s">
        <v>1176</v>
      </c>
      <c r="F66" t="s">
        <v>3244</v>
      </c>
      <c r="G66" t="str">
        <f ca="1">PROPER(Table1[[#This Row],[Part Time 
Job]])</f>
        <v>False</v>
      </c>
      <c r="H66" s="3">
        <v>2</v>
      </c>
      <c r="I66" t="str">
        <f ca="1">PROPER(Table1[[#This Row],[Extracurricular 
Activities]])</f>
        <v>False</v>
      </c>
      <c r="J66">
        <v>18</v>
      </c>
      <c r="K66" t="s">
        <v>3125</v>
      </c>
      <c r="L66">
        <v>91</v>
      </c>
      <c r="M66" s="12" t="str" cm="1">
        <f t="array" ref="M6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66">
        <v>73</v>
      </c>
      <c r="O66" s="13" t="str" cm="1">
        <f t="array" ref="O6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66">
        <v>99</v>
      </c>
      <c r="Q66" s="13" t="str" cm="1">
        <f t="array" ref="Q6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66">
        <v>70</v>
      </c>
      <c r="S66" t="str" cm="1">
        <f t="array" ref="S6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66">
        <v>63</v>
      </c>
      <c r="U66" t="str" cm="1">
        <f t="array" ref="U6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66">
        <v>80</v>
      </c>
      <c r="W66" t="str" cm="1">
        <f t="array" ref="W6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66">
        <v>78</v>
      </c>
      <c r="Y66" t="str" cm="1">
        <f t="array" ref="Y6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66">
        <f>SUM(Table1[[#This Row],[Math 
Score]],Table1[[#This Row],[History 
Score]],Table1[[#This Row],[Physics 
Score]],Table1[[#This Row],[Chemistry 
Score]],Table1[[#This Row],[Biology 
Score]],Table1[[#This Row],[English 
Score]],Table1[[#This Row],[Geography 
Score]])</f>
        <v>554</v>
      </c>
      <c r="AA66" s="3">
        <f>AVERAGE(Table1[[#This Row],[Math 
Score]],Table1[[#This Row],[History 
Score]],Table1[[#This Row],[Physics 
Score]],Table1[[#This Row],[Chemistry 
Score]],Table1[[#This Row],[Biology 
Score]],Table1[[#This Row],[English 
Score]],Table1[[#This Row],[Geography 
Score]])</f>
        <v>79.142857142857139</v>
      </c>
      <c r="AB6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66">
        <f t="shared" ref="AC66:AC129" si="1">RANK(AA66,$AA$2:$AA$2001,0)</f>
        <v>1264</v>
      </c>
      <c r="AD66" t="str">
        <f>_xlfn.IFS(Table1[[#This Row],[Absence 
Days]]&lt;3,"Excellent",Table1[[#This Row],[Absence 
Days]]&lt;=6,"Good",Table1[[#This Row],[Absence 
Days]]&gt;6,"Poor")</f>
        <v>Excellent</v>
      </c>
    </row>
    <row r="67" spans="1:30" x14ac:dyDescent="0.35">
      <c r="A67">
        <v>66</v>
      </c>
      <c r="B67" s="2" t="s">
        <v>59</v>
      </c>
      <c r="C67" t="s">
        <v>507</v>
      </c>
      <c r="D67" t="str">
        <f>_xlfn.TEXTJOIN(" ",TRUE,Table1[[#This Row],[First 
Name]:[Last 
Name]])</f>
        <v>Kristy Weber</v>
      </c>
      <c r="E67" t="s">
        <v>1177</v>
      </c>
      <c r="F67" t="s">
        <v>3245</v>
      </c>
      <c r="G67" t="str">
        <f ca="1">PROPER(Table1[[#This Row],[Part Time 
Job]])</f>
        <v>True</v>
      </c>
      <c r="H67" s="3">
        <v>6</v>
      </c>
      <c r="I67" t="str">
        <f ca="1">PROPER(Table1[[#This Row],[Extracurricular 
Activities]])</f>
        <v>False</v>
      </c>
      <c r="J67">
        <v>2</v>
      </c>
      <c r="K67" t="s">
        <v>3119</v>
      </c>
      <c r="L67">
        <v>90</v>
      </c>
      <c r="M67" s="12" t="str" cm="1">
        <f t="array" ref="M6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67">
        <v>54</v>
      </c>
      <c r="O67" s="13" t="str" cm="1">
        <f t="array" ref="O6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C</v>
      </c>
      <c r="P67">
        <v>77</v>
      </c>
      <c r="Q67" s="13" t="str" cm="1">
        <f t="array" ref="Q6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67">
        <v>74</v>
      </c>
      <c r="S67" t="str" cm="1">
        <f t="array" ref="S6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67">
        <v>76</v>
      </c>
      <c r="U67" t="str" cm="1">
        <f t="array" ref="U6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67">
        <v>96</v>
      </c>
      <c r="W67" t="str" cm="1">
        <f t="array" ref="W6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67">
        <v>88</v>
      </c>
      <c r="Y67" t="str" cm="1">
        <f t="array" ref="Y6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67">
        <f>SUM(Table1[[#This Row],[Math 
Score]],Table1[[#This Row],[History 
Score]],Table1[[#This Row],[Physics 
Score]],Table1[[#This Row],[Chemistry 
Score]],Table1[[#This Row],[Biology 
Score]],Table1[[#This Row],[English 
Score]],Table1[[#This Row],[Geography 
Score]])</f>
        <v>555</v>
      </c>
      <c r="AA67" s="3">
        <f>AVERAGE(Table1[[#This Row],[Math 
Score]],Table1[[#This Row],[History 
Score]],Table1[[#This Row],[Physics 
Score]],Table1[[#This Row],[Chemistry 
Score]],Table1[[#This Row],[Biology 
Score]],Table1[[#This Row],[English 
Score]],Table1[[#This Row],[Geography 
Score]])</f>
        <v>79.285714285714292</v>
      </c>
      <c r="AB6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67">
        <f t="shared" si="1"/>
        <v>1245</v>
      </c>
      <c r="AD67" t="str">
        <f>_xlfn.IFS(Table1[[#This Row],[Absence 
Days]]&lt;3,"Excellent",Table1[[#This Row],[Absence 
Days]]&lt;=6,"Good",Table1[[#This Row],[Absence 
Days]]&gt;6,"Poor")</f>
        <v>Good</v>
      </c>
    </row>
    <row r="68" spans="1:30" x14ac:dyDescent="0.35">
      <c r="A68">
        <v>67</v>
      </c>
      <c r="B68" s="2" t="s">
        <v>4</v>
      </c>
      <c r="C68" t="s">
        <v>458</v>
      </c>
      <c r="D68" t="str">
        <f>_xlfn.TEXTJOIN(" ",TRUE,Table1[[#This Row],[First 
Name]:[Last 
Name]])</f>
        <v>Anthony Smith</v>
      </c>
      <c r="E68" t="s">
        <v>1178</v>
      </c>
      <c r="F68" t="s">
        <v>3244</v>
      </c>
      <c r="G68" t="str">
        <f ca="1">PROPER(Table1[[#This Row],[Part Time 
Job]])</f>
        <v>False</v>
      </c>
      <c r="H68" s="3">
        <v>3</v>
      </c>
      <c r="I68" t="str">
        <f ca="1">PROPER(Table1[[#This Row],[Extracurricular 
Activities]])</f>
        <v>False</v>
      </c>
      <c r="J68">
        <v>27</v>
      </c>
      <c r="K68" t="s">
        <v>3117</v>
      </c>
      <c r="L68">
        <v>92</v>
      </c>
      <c r="M68" s="12" t="str" cm="1">
        <f t="array" ref="M6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68">
        <v>86</v>
      </c>
      <c r="O68" s="13" t="str" cm="1">
        <f t="array" ref="O6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68">
        <v>66</v>
      </c>
      <c r="Q68" s="13" t="str" cm="1">
        <f t="array" ref="Q6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68">
        <v>69</v>
      </c>
      <c r="S68" t="str" cm="1">
        <f t="array" ref="S6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68">
        <v>100</v>
      </c>
      <c r="U68" t="str" cm="1">
        <f t="array" ref="U6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68">
        <v>71</v>
      </c>
      <c r="W68" t="str" cm="1">
        <f t="array" ref="W6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68">
        <v>80</v>
      </c>
      <c r="Y68" t="str" cm="1">
        <f t="array" ref="Y6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68">
        <f>SUM(Table1[[#This Row],[Math 
Score]],Table1[[#This Row],[History 
Score]],Table1[[#This Row],[Physics 
Score]],Table1[[#This Row],[Chemistry 
Score]],Table1[[#This Row],[Biology 
Score]],Table1[[#This Row],[English 
Score]],Table1[[#This Row],[Geography 
Score]])</f>
        <v>564</v>
      </c>
      <c r="AA68" s="3">
        <f>AVERAGE(Table1[[#This Row],[Math 
Score]],Table1[[#This Row],[History 
Score]],Table1[[#This Row],[Physics 
Score]],Table1[[#This Row],[Chemistry 
Score]],Table1[[#This Row],[Biology 
Score]],Table1[[#This Row],[English 
Score]],Table1[[#This Row],[Geography 
Score]])</f>
        <v>80.571428571428569</v>
      </c>
      <c r="AB6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68">
        <f t="shared" si="1"/>
        <v>1056</v>
      </c>
      <c r="AD68" t="str">
        <f>_xlfn.IFS(Table1[[#This Row],[Absence 
Days]]&lt;3,"Excellent",Table1[[#This Row],[Absence 
Days]]&lt;=6,"Good",Table1[[#This Row],[Absence 
Days]]&gt;6,"Poor")</f>
        <v>Good</v>
      </c>
    </row>
    <row r="69" spans="1:30" x14ac:dyDescent="0.35">
      <c r="A69">
        <v>68</v>
      </c>
      <c r="B69" s="2" t="s">
        <v>60</v>
      </c>
      <c r="C69" t="s">
        <v>508</v>
      </c>
      <c r="D69" t="str">
        <f>_xlfn.TEXTJOIN(" ",TRUE,Table1[[#This Row],[First 
Name]:[Last 
Name]])</f>
        <v>Steven Stephens</v>
      </c>
      <c r="E69" t="s">
        <v>1179</v>
      </c>
      <c r="F69" t="s">
        <v>3244</v>
      </c>
      <c r="G69" t="str">
        <f ca="1">PROPER(Table1[[#This Row],[Part Time 
Job]])</f>
        <v>False</v>
      </c>
      <c r="H69" s="3">
        <v>2</v>
      </c>
      <c r="I69" t="str">
        <f ca="1">PROPER(Table1[[#This Row],[Extracurricular 
Activities]])</f>
        <v>False</v>
      </c>
      <c r="J69">
        <v>8</v>
      </c>
      <c r="K69" t="s">
        <v>3128</v>
      </c>
      <c r="L69">
        <v>64</v>
      </c>
      <c r="M69" s="12" t="str" cm="1">
        <f t="array" ref="M69">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69">
        <v>64</v>
      </c>
      <c r="O69" s="13" t="str" cm="1">
        <f t="array" ref="O6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69">
        <v>73</v>
      </c>
      <c r="Q69" s="13" t="str" cm="1">
        <f t="array" ref="Q6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69">
        <v>76</v>
      </c>
      <c r="S69" t="str" cm="1">
        <f t="array" ref="S6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69">
        <v>72</v>
      </c>
      <c r="U69" t="str" cm="1">
        <f t="array" ref="U6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69">
        <v>97</v>
      </c>
      <c r="W69" t="str" cm="1">
        <f t="array" ref="W6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69">
        <v>91</v>
      </c>
      <c r="Y69" t="str" cm="1">
        <f t="array" ref="Y6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69">
        <f>SUM(Table1[[#This Row],[Math 
Score]],Table1[[#This Row],[History 
Score]],Table1[[#This Row],[Physics 
Score]],Table1[[#This Row],[Chemistry 
Score]],Table1[[#This Row],[Biology 
Score]],Table1[[#This Row],[English 
Score]],Table1[[#This Row],[Geography 
Score]])</f>
        <v>537</v>
      </c>
      <c r="AA69" s="3">
        <f>AVERAGE(Table1[[#This Row],[Math 
Score]],Table1[[#This Row],[History 
Score]],Table1[[#This Row],[Physics 
Score]],Table1[[#This Row],[Chemistry 
Score]],Table1[[#This Row],[Biology 
Score]],Table1[[#This Row],[English 
Score]],Table1[[#This Row],[Geography 
Score]])</f>
        <v>76.714285714285708</v>
      </c>
      <c r="AB6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69">
        <f t="shared" si="1"/>
        <v>1553</v>
      </c>
      <c r="AD69" t="str">
        <f>_xlfn.IFS(Table1[[#This Row],[Absence 
Days]]&lt;3,"Excellent",Table1[[#This Row],[Absence 
Days]]&lt;=6,"Good",Table1[[#This Row],[Absence 
Days]]&gt;6,"Poor")</f>
        <v>Excellent</v>
      </c>
    </row>
    <row r="70" spans="1:30" x14ac:dyDescent="0.35">
      <c r="A70">
        <v>69</v>
      </c>
      <c r="B70" s="2" t="s">
        <v>61</v>
      </c>
      <c r="C70" t="s">
        <v>492</v>
      </c>
      <c r="D70" t="str">
        <f>_xlfn.TEXTJOIN(" ",TRUE,Table1[[#This Row],[First 
Name]:[Last 
Name]])</f>
        <v>Henry Davis</v>
      </c>
      <c r="E70" t="s">
        <v>1180</v>
      </c>
      <c r="F70" t="s">
        <v>3244</v>
      </c>
      <c r="G70" t="str">
        <f ca="1">PROPER(Table1[[#This Row],[Part Time 
Job]])</f>
        <v>False</v>
      </c>
      <c r="H70" s="3">
        <v>4</v>
      </c>
      <c r="I70" t="str">
        <f ca="1">PROPER(Table1[[#This Row],[Extracurricular 
Activities]])</f>
        <v>False</v>
      </c>
      <c r="J70">
        <v>14</v>
      </c>
      <c r="K70" t="s">
        <v>3117</v>
      </c>
      <c r="L70">
        <v>90</v>
      </c>
      <c r="M70" s="12" t="str" cm="1">
        <f t="array" ref="M7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70">
        <v>70</v>
      </c>
      <c r="O70" s="13" t="str" cm="1">
        <f t="array" ref="O7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70">
        <v>85</v>
      </c>
      <c r="Q70" s="13" t="str" cm="1">
        <f t="array" ref="Q7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70">
        <v>60</v>
      </c>
      <c r="S70" t="str" cm="1">
        <f t="array" ref="S7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70">
        <v>81</v>
      </c>
      <c r="U70" t="str" cm="1">
        <f t="array" ref="U7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70">
        <v>71</v>
      </c>
      <c r="W70" t="str" cm="1">
        <f t="array" ref="W7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70">
        <v>88</v>
      </c>
      <c r="Y70" t="str" cm="1">
        <f t="array" ref="Y7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70">
        <f>SUM(Table1[[#This Row],[Math 
Score]],Table1[[#This Row],[History 
Score]],Table1[[#This Row],[Physics 
Score]],Table1[[#This Row],[Chemistry 
Score]],Table1[[#This Row],[Biology 
Score]],Table1[[#This Row],[English 
Score]],Table1[[#This Row],[Geography 
Score]])</f>
        <v>545</v>
      </c>
      <c r="AA70" s="3">
        <f>AVERAGE(Table1[[#This Row],[Math 
Score]],Table1[[#This Row],[History 
Score]],Table1[[#This Row],[Physics 
Score]],Table1[[#This Row],[Chemistry 
Score]],Table1[[#This Row],[Biology 
Score]],Table1[[#This Row],[English 
Score]],Table1[[#This Row],[Geography 
Score]])</f>
        <v>77.857142857142861</v>
      </c>
      <c r="AB7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70">
        <f t="shared" si="1"/>
        <v>1432</v>
      </c>
      <c r="AD70" t="str">
        <f>_xlfn.IFS(Table1[[#This Row],[Absence 
Days]]&lt;3,"Excellent",Table1[[#This Row],[Absence 
Days]]&lt;=6,"Good",Table1[[#This Row],[Absence 
Days]]&gt;6,"Poor")</f>
        <v>Good</v>
      </c>
    </row>
    <row r="71" spans="1:30" x14ac:dyDescent="0.35">
      <c r="A71">
        <v>70</v>
      </c>
      <c r="B71" s="2" t="s">
        <v>62</v>
      </c>
      <c r="C71" t="s">
        <v>509</v>
      </c>
      <c r="D71" t="str">
        <f>_xlfn.TEXTJOIN(" ",TRUE,Table1[[#This Row],[First 
Name]:[Last 
Name]])</f>
        <v>Raymond Shea</v>
      </c>
      <c r="E71" t="s">
        <v>1181</v>
      </c>
      <c r="F71" t="s">
        <v>3244</v>
      </c>
      <c r="G71" t="str">
        <f ca="1">PROPER(Table1[[#This Row],[Part Time 
Job]])</f>
        <v>False</v>
      </c>
      <c r="H71" s="3">
        <v>10</v>
      </c>
      <c r="I71" t="str">
        <f ca="1">PROPER(Table1[[#This Row],[Extracurricular 
Activities]])</f>
        <v>True</v>
      </c>
      <c r="J71">
        <v>22</v>
      </c>
      <c r="K71" t="s">
        <v>3121</v>
      </c>
      <c r="L71">
        <v>99</v>
      </c>
      <c r="M71" s="12" t="str" cm="1">
        <f t="array" ref="M7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71">
        <v>81</v>
      </c>
      <c r="O71" s="13" t="str" cm="1">
        <f t="array" ref="O7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71">
        <v>96</v>
      </c>
      <c r="Q71" s="13" t="str" cm="1">
        <f t="array" ref="Q7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71">
        <v>69</v>
      </c>
      <c r="S71" t="str" cm="1">
        <f t="array" ref="S7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71">
        <v>91</v>
      </c>
      <c r="U71" t="str" cm="1">
        <f t="array" ref="U7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71">
        <v>87</v>
      </c>
      <c r="W71" t="str" cm="1">
        <f t="array" ref="W7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71">
        <v>83</v>
      </c>
      <c r="Y71" t="str" cm="1">
        <f t="array" ref="Y7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71">
        <f>SUM(Table1[[#This Row],[Math 
Score]],Table1[[#This Row],[History 
Score]],Table1[[#This Row],[Physics 
Score]],Table1[[#This Row],[Chemistry 
Score]],Table1[[#This Row],[Biology 
Score]],Table1[[#This Row],[English 
Score]],Table1[[#This Row],[Geography 
Score]])</f>
        <v>606</v>
      </c>
      <c r="AA71" s="3">
        <f>AVERAGE(Table1[[#This Row],[Math 
Score]],Table1[[#This Row],[History 
Score]],Table1[[#This Row],[Physics 
Score]],Table1[[#This Row],[Chemistry 
Score]],Table1[[#This Row],[Biology 
Score]],Table1[[#This Row],[English 
Score]],Table1[[#This Row],[Geography 
Score]])</f>
        <v>86.571428571428569</v>
      </c>
      <c r="AB7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71">
        <f t="shared" si="1"/>
        <v>333</v>
      </c>
      <c r="AD71" t="str">
        <f>_xlfn.IFS(Table1[[#This Row],[Absence 
Days]]&lt;3,"Excellent",Table1[[#This Row],[Absence 
Days]]&lt;=6,"Good",Table1[[#This Row],[Absence 
Days]]&gt;6,"Poor")</f>
        <v>Poor</v>
      </c>
    </row>
    <row r="72" spans="1:30" x14ac:dyDescent="0.35">
      <c r="A72">
        <v>71</v>
      </c>
      <c r="B72" s="2" t="s">
        <v>63</v>
      </c>
      <c r="C72" t="s">
        <v>510</v>
      </c>
      <c r="D72" t="str">
        <f>_xlfn.TEXTJOIN(" ",TRUE,Table1[[#This Row],[First 
Name]:[Last 
Name]])</f>
        <v>Jill Perez</v>
      </c>
      <c r="E72" t="s">
        <v>1182</v>
      </c>
      <c r="F72" t="s">
        <v>3245</v>
      </c>
      <c r="G72" t="str">
        <f ca="1">PROPER(Table1[[#This Row],[Part Time 
Job]])</f>
        <v>False</v>
      </c>
      <c r="H72" s="3">
        <v>1</v>
      </c>
      <c r="I72" t="str">
        <f ca="1">PROPER(Table1[[#This Row],[Extracurricular 
Activities]])</f>
        <v>False</v>
      </c>
      <c r="J72">
        <v>15</v>
      </c>
      <c r="K72" t="s">
        <v>3124</v>
      </c>
      <c r="L72">
        <v>89</v>
      </c>
      <c r="M72" s="12" t="str" cm="1">
        <f t="array" ref="M7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72">
        <v>66</v>
      </c>
      <c r="O72" s="13" t="str" cm="1">
        <f t="array" ref="O7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72">
        <v>93</v>
      </c>
      <c r="Q72" s="13" t="str" cm="1">
        <f t="array" ref="Q7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72">
        <v>81</v>
      </c>
      <c r="S72" t="str" cm="1">
        <f t="array" ref="S7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72">
        <v>86</v>
      </c>
      <c r="U72" t="str" cm="1">
        <f t="array" ref="U7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72">
        <v>88</v>
      </c>
      <c r="W72" t="str" cm="1">
        <f t="array" ref="W7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72">
        <v>70</v>
      </c>
      <c r="Y72" t="str" cm="1">
        <f t="array" ref="Y7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72">
        <f>SUM(Table1[[#This Row],[Math 
Score]],Table1[[#This Row],[History 
Score]],Table1[[#This Row],[Physics 
Score]],Table1[[#This Row],[Chemistry 
Score]],Table1[[#This Row],[Biology 
Score]],Table1[[#This Row],[English 
Score]],Table1[[#This Row],[Geography 
Score]])</f>
        <v>573</v>
      </c>
      <c r="AA72" s="3">
        <f>AVERAGE(Table1[[#This Row],[Math 
Score]],Table1[[#This Row],[History 
Score]],Table1[[#This Row],[Physics 
Score]],Table1[[#This Row],[Chemistry 
Score]],Table1[[#This Row],[Biology 
Score]],Table1[[#This Row],[English 
Score]],Table1[[#This Row],[Geography 
Score]])</f>
        <v>81.857142857142861</v>
      </c>
      <c r="AB7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72">
        <f t="shared" si="1"/>
        <v>864</v>
      </c>
      <c r="AD72" t="str">
        <f>_xlfn.IFS(Table1[[#This Row],[Absence 
Days]]&lt;3,"Excellent",Table1[[#This Row],[Absence 
Days]]&lt;=6,"Good",Table1[[#This Row],[Absence 
Days]]&gt;6,"Poor")</f>
        <v>Excellent</v>
      </c>
    </row>
    <row r="73" spans="1:30" x14ac:dyDescent="0.35">
      <c r="A73">
        <v>72</v>
      </c>
      <c r="B73" s="2" t="s">
        <v>44</v>
      </c>
      <c r="C73" t="s">
        <v>511</v>
      </c>
      <c r="D73" t="str">
        <f>_xlfn.TEXTJOIN(" ",TRUE,Table1[[#This Row],[First 
Name]:[Last 
Name]])</f>
        <v>Kimberly Bonilla</v>
      </c>
      <c r="E73" t="s">
        <v>1183</v>
      </c>
      <c r="F73" t="s">
        <v>3245</v>
      </c>
      <c r="G73" t="str">
        <f ca="1">PROPER(Table1[[#This Row],[Part Time 
Job]])</f>
        <v>True</v>
      </c>
      <c r="H73" s="3">
        <v>3</v>
      </c>
      <c r="I73" t="str">
        <f ca="1">PROPER(Table1[[#This Row],[Extracurricular 
Activities]])</f>
        <v>False</v>
      </c>
      <c r="J73">
        <v>22</v>
      </c>
      <c r="K73" t="s">
        <v>3122</v>
      </c>
      <c r="L73">
        <v>62</v>
      </c>
      <c r="M73" s="12" t="str" cm="1">
        <f t="array" ref="M73">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73">
        <v>87</v>
      </c>
      <c r="O73" s="13" t="str" cm="1">
        <f t="array" ref="O7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73">
        <v>93</v>
      </c>
      <c r="Q73" s="13" t="str" cm="1">
        <f t="array" ref="Q7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73">
        <v>83</v>
      </c>
      <c r="S73" t="str" cm="1">
        <f t="array" ref="S7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73">
        <v>93</v>
      </c>
      <c r="U73" t="str" cm="1">
        <f t="array" ref="U7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73">
        <v>97</v>
      </c>
      <c r="W73" t="str" cm="1">
        <f t="array" ref="W7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73">
        <v>73</v>
      </c>
      <c r="Y73" t="str" cm="1">
        <f t="array" ref="Y7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73">
        <f>SUM(Table1[[#This Row],[Math 
Score]],Table1[[#This Row],[History 
Score]],Table1[[#This Row],[Physics 
Score]],Table1[[#This Row],[Chemistry 
Score]],Table1[[#This Row],[Biology 
Score]],Table1[[#This Row],[English 
Score]],Table1[[#This Row],[Geography 
Score]])</f>
        <v>588</v>
      </c>
      <c r="AA73" s="3">
        <f>AVERAGE(Table1[[#This Row],[Math 
Score]],Table1[[#This Row],[History 
Score]],Table1[[#This Row],[Physics 
Score]],Table1[[#This Row],[Chemistry 
Score]],Table1[[#This Row],[Biology 
Score]],Table1[[#This Row],[English 
Score]],Table1[[#This Row],[Geography 
Score]])</f>
        <v>84</v>
      </c>
      <c r="AB7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73">
        <f t="shared" si="1"/>
        <v>565</v>
      </c>
      <c r="AD73" t="str">
        <f>_xlfn.IFS(Table1[[#This Row],[Absence 
Days]]&lt;3,"Excellent",Table1[[#This Row],[Absence 
Days]]&lt;=6,"Good",Table1[[#This Row],[Absence 
Days]]&gt;6,"Poor")</f>
        <v>Good</v>
      </c>
    </row>
    <row r="74" spans="1:30" x14ac:dyDescent="0.35">
      <c r="A74">
        <v>73</v>
      </c>
      <c r="B74" s="2" t="s">
        <v>64</v>
      </c>
      <c r="C74" t="s">
        <v>512</v>
      </c>
      <c r="D74" t="str">
        <f>_xlfn.TEXTJOIN(" ",TRUE,Table1[[#This Row],[First 
Name]:[Last 
Name]])</f>
        <v>Louis Edwards</v>
      </c>
      <c r="E74" t="s">
        <v>1184</v>
      </c>
      <c r="F74" t="s">
        <v>3244</v>
      </c>
      <c r="G74" t="str">
        <f ca="1">PROPER(Table1[[#This Row],[Part Time 
Job]])</f>
        <v>True</v>
      </c>
      <c r="H74" s="3">
        <v>10</v>
      </c>
      <c r="I74" t="str">
        <f ca="1">PROPER(Table1[[#This Row],[Extracurricular 
Activities]])</f>
        <v>False</v>
      </c>
      <c r="J74">
        <v>1</v>
      </c>
      <c r="K74" t="s">
        <v>3119</v>
      </c>
      <c r="L74">
        <v>61</v>
      </c>
      <c r="M74" s="12" t="str" cm="1">
        <f t="array" ref="M74">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74">
        <v>70</v>
      </c>
      <c r="O74" s="13" t="str" cm="1">
        <f t="array" ref="O7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74">
        <v>69</v>
      </c>
      <c r="Q74" s="13" t="str" cm="1">
        <f t="array" ref="Q7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74">
        <v>64</v>
      </c>
      <c r="S74" t="str" cm="1">
        <f t="array" ref="S7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74">
        <v>59</v>
      </c>
      <c r="U74" t="str" cm="1">
        <f t="array" ref="U7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C</v>
      </c>
      <c r="V74">
        <v>78</v>
      </c>
      <c r="W74" t="str" cm="1">
        <f t="array" ref="W7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74">
        <v>80</v>
      </c>
      <c r="Y74" t="str" cm="1">
        <f t="array" ref="Y7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74">
        <f>SUM(Table1[[#This Row],[Math 
Score]],Table1[[#This Row],[History 
Score]],Table1[[#This Row],[Physics 
Score]],Table1[[#This Row],[Chemistry 
Score]],Table1[[#This Row],[Biology 
Score]],Table1[[#This Row],[English 
Score]],Table1[[#This Row],[Geography 
Score]])</f>
        <v>481</v>
      </c>
      <c r="AA74" s="3">
        <f>AVERAGE(Table1[[#This Row],[Math 
Score]],Table1[[#This Row],[History 
Score]],Table1[[#This Row],[Physics 
Score]],Table1[[#This Row],[Chemistry 
Score]],Table1[[#This Row],[Biology 
Score]],Table1[[#This Row],[English 
Score]],Table1[[#This Row],[Geography 
Score]])</f>
        <v>68.714285714285708</v>
      </c>
      <c r="AB7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74">
        <f t="shared" si="1"/>
        <v>1933</v>
      </c>
      <c r="AD74" t="str">
        <f>_xlfn.IFS(Table1[[#This Row],[Absence 
Days]]&lt;3,"Excellent",Table1[[#This Row],[Absence 
Days]]&lt;=6,"Good",Table1[[#This Row],[Absence 
Days]]&gt;6,"Poor")</f>
        <v>Poor</v>
      </c>
    </row>
    <row r="75" spans="1:30" x14ac:dyDescent="0.35">
      <c r="A75">
        <v>74</v>
      </c>
      <c r="B75" s="2" t="s">
        <v>34</v>
      </c>
      <c r="C75" t="s">
        <v>513</v>
      </c>
      <c r="D75" t="str">
        <f>_xlfn.TEXTJOIN(" ",TRUE,Table1[[#This Row],[First 
Name]:[Last 
Name]])</f>
        <v>Michael Hodge</v>
      </c>
      <c r="E75" t="s">
        <v>1185</v>
      </c>
      <c r="F75" t="s">
        <v>3244</v>
      </c>
      <c r="G75" t="str">
        <f ca="1">PROPER(Table1[[#This Row],[Part Time 
Job]])</f>
        <v>True</v>
      </c>
      <c r="H75" s="3">
        <v>8</v>
      </c>
      <c r="I75" t="str">
        <f ca="1">PROPER(Table1[[#This Row],[Extracurricular 
Activities]])</f>
        <v>False</v>
      </c>
      <c r="J75">
        <v>3</v>
      </c>
      <c r="K75" t="s">
        <v>3119</v>
      </c>
      <c r="L75">
        <v>51</v>
      </c>
      <c r="M75" s="12" t="str" cm="1">
        <f t="array" ref="M75">_xlfn.IFS(Table1[[#This Row],[Math 
Score]]&gt;=90,"A+",Table1[[#This Row],[Math 
Score]]&gt;=80,"A", Table1[[#This Row],[Math 
Score]]&gt;=75,"A-",Table1[[#This Row],[Math 
Score]]&gt;=70,"B+",Table1[[#This Row],[Math 
Score]]&gt;=65,"B",Table1[[#This Row],[Math 
Score]]&gt;=60,"B-",Table1[[#This Row],[Math 
Score]]&gt;=50,"C",Table1[[#This Row],[Math 
Score]]&gt;=40,"D",Table1[[#This Row],[Math 
Score]]&lt;40,"F")</f>
        <v>C</v>
      </c>
      <c r="N75">
        <v>54</v>
      </c>
      <c r="O75" s="13" t="str" cm="1">
        <f t="array" ref="O7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C</v>
      </c>
      <c r="P75">
        <v>66</v>
      </c>
      <c r="Q75" s="13" t="str" cm="1">
        <f t="array" ref="Q7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75">
        <v>87</v>
      </c>
      <c r="S75" t="str" cm="1">
        <f t="array" ref="S7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75">
        <v>99</v>
      </c>
      <c r="U75" t="str" cm="1">
        <f t="array" ref="U7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75">
        <v>58</v>
      </c>
      <c r="W75" t="str" cm="1">
        <f t="array" ref="W7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C</v>
      </c>
      <c r="X75">
        <v>68</v>
      </c>
      <c r="Y75" t="str" cm="1">
        <f t="array" ref="Y7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75">
        <f>SUM(Table1[[#This Row],[Math 
Score]],Table1[[#This Row],[History 
Score]],Table1[[#This Row],[Physics 
Score]],Table1[[#This Row],[Chemistry 
Score]],Table1[[#This Row],[Biology 
Score]],Table1[[#This Row],[English 
Score]],Table1[[#This Row],[Geography 
Score]])</f>
        <v>483</v>
      </c>
      <c r="AA75" s="3">
        <f>AVERAGE(Table1[[#This Row],[Math 
Score]],Table1[[#This Row],[History 
Score]],Table1[[#This Row],[Physics 
Score]],Table1[[#This Row],[Chemistry 
Score]],Table1[[#This Row],[Biology 
Score]],Table1[[#This Row],[English 
Score]],Table1[[#This Row],[Geography 
Score]])</f>
        <v>69</v>
      </c>
      <c r="AB7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75">
        <f t="shared" si="1"/>
        <v>1927</v>
      </c>
      <c r="AD75" t="str">
        <f>_xlfn.IFS(Table1[[#This Row],[Absence 
Days]]&lt;3,"Excellent",Table1[[#This Row],[Absence 
Days]]&lt;=6,"Good",Table1[[#This Row],[Absence 
Days]]&gt;6,"Poor")</f>
        <v>Poor</v>
      </c>
    </row>
    <row r="76" spans="1:30" x14ac:dyDescent="0.35">
      <c r="A76">
        <v>75</v>
      </c>
      <c r="B76" s="2" t="s">
        <v>65</v>
      </c>
      <c r="C76" t="s">
        <v>514</v>
      </c>
      <c r="D76" t="str">
        <f>_xlfn.TEXTJOIN(" ",TRUE,Table1[[#This Row],[First 
Name]:[Last 
Name]])</f>
        <v>Anna Li</v>
      </c>
      <c r="E76" t="s">
        <v>1186</v>
      </c>
      <c r="F76" t="s">
        <v>3245</v>
      </c>
      <c r="G76" t="str">
        <f ca="1">PROPER(Table1[[#This Row],[Part Time 
Job]])</f>
        <v>False</v>
      </c>
      <c r="H76" s="3">
        <v>2</v>
      </c>
      <c r="I76" t="str">
        <f ca="1">PROPER(Table1[[#This Row],[Extracurricular 
Activities]])</f>
        <v>False</v>
      </c>
      <c r="J76">
        <v>20</v>
      </c>
      <c r="K76" t="s">
        <v>3117</v>
      </c>
      <c r="L76">
        <v>85</v>
      </c>
      <c r="M76" s="12" t="str" cm="1">
        <f t="array" ref="M7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76">
        <v>100</v>
      </c>
      <c r="O76" s="13" t="str" cm="1">
        <f t="array" ref="O7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76">
        <v>64</v>
      </c>
      <c r="Q76" s="13" t="str" cm="1">
        <f t="array" ref="Q7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76">
        <v>68</v>
      </c>
      <c r="S76" t="str" cm="1">
        <f t="array" ref="S7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76">
        <v>73</v>
      </c>
      <c r="U76" t="str" cm="1">
        <f t="array" ref="U7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76">
        <v>81</v>
      </c>
      <c r="W76" t="str" cm="1">
        <f t="array" ref="W7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76">
        <v>87</v>
      </c>
      <c r="Y76" t="str" cm="1">
        <f t="array" ref="Y7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76">
        <f>SUM(Table1[[#This Row],[Math 
Score]],Table1[[#This Row],[History 
Score]],Table1[[#This Row],[Physics 
Score]],Table1[[#This Row],[Chemistry 
Score]],Table1[[#This Row],[Biology 
Score]],Table1[[#This Row],[English 
Score]],Table1[[#This Row],[Geography 
Score]])</f>
        <v>558</v>
      </c>
      <c r="AA76" s="3">
        <f>AVERAGE(Table1[[#This Row],[Math 
Score]],Table1[[#This Row],[History 
Score]],Table1[[#This Row],[Physics 
Score]],Table1[[#This Row],[Chemistry 
Score]],Table1[[#This Row],[Biology 
Score]],Table1[[#This Row],[English 
Score]],Table1[[#This Row],[Geography 
Score]])</f>
        <v>79.714285714285708</v>
      </c>
      <c r="AB7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76">
        <f t="shared" si="1"/>
        <v>1178</v>
      </c>
      <c r="AD76" t="str">
        <f>_xlfn.IFS(Table1[[#This Row],[Absence 
Days]]&lt;3,"Excellent",Table1[[#This Row],[Absence 
Days]]&lt;=6,"Good",Table1[[#This Row],[Absence 
Days]]&gt;6,"Poor")</f>
        <v>Excellent</v>
      </c>
    </row>
    <row r="77" spans="1:30" x14ac:dyDescent="0.35">
      <c r="A77">
        <v>76</v>
      </c>
      <c r="B77" s="2" t="s">
        <v>66</v>
      </c>
      <c r="C77" t="s">
        <v>515</v>
      </c>
      <c r="D77" t="str">
        <f>_xlfn.TEXTJOIN(" ",TRUE,Table1[[#This Row],[First 
Name]:[Last 
Name]])</f>
        <v>Andrea Case</v>
      </c>
      <c r="E77" t="s">
        <v>1187</v>
      </c>
      <c r="F77" t="s">
        <v>3245</v>
      </c>
      <c r="G77" t="str">
        <f ca="1">PROPER(Table1[[#This Row],[Part Time 
Job]])</f>
        <v>False</v>
      </c>
      <c r="H77" s="3">
        <v>7</v>
      </c>
      <c r="I77" t="str">
        <f ca="1">PROPER(Table1[[#This Row],[Extracurricular 
Activities]])</f>
        <v>True</v>
      </c>
      <c r="J77">
        <v>27</v>
      </c>
      <c r="K77" t="s">
        <v>3117</v>
      </c>
      <c r="L77">
        <v>99</v>
      </c>
      <c r="M77" s="12" t="str" cm="1">
        <f t="array" ref="M7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77">
        <v>90</v>
      </c>
      <c r="O77" s="13" t="str" cm="1">
        <f t="array" ref="O7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77">
        <v>96</v>
      </c>
      <c r="Q77" s="13" t="str" cm="1">
        <f t="array" ref="Q7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77">
        <v>92</v>
      </c>
      <c r="S77" t="str" cm="1">
        <f t="array" ref="S7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77">
        <v>100</v>
      </c>
      <c r="U77" t="str" cm="1">
        <f t="array" ref="U7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77">
        <v>98</v>
      </c>
      <c r="W77" t="str" cm="1">
        <f t="array" ref="W7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77">
        <v>77</v>
      </c>
      <c r="Y77" t="str" cm="1">
        <f t="array" ref="Y7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77">
        <f>SUM(Table1[[#This Row],[Math 
Score]],Table1[[#This Row],[History 
Score]],Table1[[#This Row],[Physics 
Score]],Table1[[#This Row],[Chemistry 
Score]],Table1[[#This Row],[Biology 
Score]],Table1[[#This Row],[English 
Score]],Table1[[#This Row],[Geography 
Score]])</f>
        <v>652</v>
      </c>
      <c r="AA77" s="3">
        <f>AVERAGE(Table1[[#This Row],[Math 
Score]],Table1[[#This Row],[History 
Score]],Table1[[#This Row],[Physics 
Score]],Table1[[#This Row],[Chemistry 
Score]],Table1[[#This Row],[Biology 
Score]],Table1[[#This Row],[English 
Score]],Table1[[#This Row],[Geography 
Score]])</f>
        <v>93.142857142857139</v>
      </c>
      <c r="AB7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77">
        <f t="shared" si="1"/>
        <v>46</v>
      </c>
      <c r="AD77" t="str">
        <f>_xlfn.IFS(Table1[[#This Row],[Absence 
Days]]&lt;3,"Excellent",Table1[[#This Row],[Absence 
Days]]&lt;=6,"Good",Table1[[#This Row],[Absence 
Days]]&gt;6,"Poor")</f>
        <v>Poor</v>
      </c>
    </row>
    <row r="78" spans="1:30" x14ac:dyDescent="0.35">
      <c r="A78">
        <v>77</v>
      </c>
      <c r="B78" s="2" t="s">
        <v>50</v>
      </c>
      <c r="C78" t="s">
        <v>516</v>
      </c>
      <c r="D78" t="str">
        <f>_xlfn.TEXTJOIN(" ",TRUE,Table1[[#This Row],[First 
Name]:[Last 
Name]])</f>
        <v>Jennifer Garcia</v>
      </c>
      <c r="E78" t="s">
        <v>1188</v>
      </c>
      <c r="F78" t="s">
        <v>3245</v>
      </c>
      <c r="G78" t="str">
        <f ca="1">PROPER(Table1[[#This Row],[Part Time 
Job]])</f>
        <v>False</v>
      </c>
      <c r="H78" s="3">
        <v>3</v>
      </c>
      <c r="I78" t="str">
        <f ca="1">PROPER(Table1[[#This Row],[Extracurricular 
Activities]])</f>
        <v>False</v>
      </c>
      <c r="J78">
        <v>24</v>
      </c>
      <c r="K78" t="s">
        <v>3117</v>
      </c>
      <c r="L78">
        <v>87</v>
      </c>
      <c r="M78" s="12" t="str" cm="1">
        <f t="array" ref="M7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78">
        <v>63</v>
      </c>
      <c r="O78" s="13" t="str" cm="1">
        <f t="array" ref="O7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78">
        <v>60</v>
      </c>
      <c r="Q78" s="13" t="str" cm="1">
        <f t="array" ref="Q7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78">
        <v>90</v>
      </c>
      <c r="S78" t="str" cm="1">
        <f t="array" ref="S7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78">
        <v>89</v>
      </c>
      <c r="U78" t="str" cm="1">
        <f t="array" ref="U7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78">
        <v>99</v>
      </c>
      <c r="W78" t="str" cm="1">
        <f t="array" ref="W7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78">
        <v>80</v>
      </c>
      <c r="Y78" t="str" cm="1">
        <f t="array" ref="Y7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78">
        <f>SUM(Table1[[#This Row],[Math 
Score]],Table1[[#This Row],[History 
Score]],Table1[[#This Row],[Physics 
Score]],Table1[[#This Row],[Chemistry 
Score]],Table1[[#This Row],[Biology 
Score]],Table1[[#This Row],[English 
Score]],Table1[[#This Row],[Geography 
Score]])</f>
        <v>568</v>
      </c>
      <c r="AA78" s="3">
        <f>AVERAGE(Table1[[#This Row],[Math 
Score]],Table1[[#This Row],[History 
Score]],Table1[[#This Row],[Physics 
Score]],Table1[[#This Row],[Chemistry 
Score]],Table1[[#This Row],[Biology 
Score]],Table1[[#This Row],[English 
Score]],Table1[[#This Row],[Geography 
Score]])</f>
        <v>81.142857142857139</v>
      </c>
      <c r="AB7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78">
        <f t="shared" si="1"/>
        <v>975</v>
      </c>
      <c r="AD78" t="str">
        <f>_xlfn.IFS(Table1[[#This Row],[Absence 
Days]]&lt;3,"Excellent",Table1[[#This Row],[Absence 
Days]]&lt;=6,"Good",Table1[[#This Row],[Absence 
Days]]&gt;6,"Poor")</f>
        <v>Good</v>
      </c>
    </row>
    <row r="79" spans="1:30" x14ac:dyDescent="0.35">
      <c r="A79">
        <v>78</v>
      </c>
      <c r="B79" s="2" t="s">
        <v>67</v>
      </c>
      <c r="C79" t="s">
        <v>517</v>
      </c>
      <c r="D79" t="str">
        <f>_xlfn.TEXTJOIN(" ",TRUE,Table1[[#This Row],[First 
Name]:[Last 
Name]])</f>
        <v>Rhonda Davenport</v>
      </c>
      <c r="E79" t="s">
        <v>1189</v>
      </c>
      <c r="F79" t="s">
        <v>3245</v>
      </c>
      <c r="G79" t="str">
        <f ca="1">PROPER(Table1[[#This Row],[Part Time 
Job]])</f>
        <v>False</v>
      </c>
      <c r="H79" s="3">
        <v>1</v>
      </c>
      <c r="I79" t="str">
        <f ca="1">PROPER(Table1[[#This Row],[Extracurricular 
Activities]])</f>
        <v>True</v>
      </c>
      <c r="J79">
        <v>5</v>
      </c>
      <c r="K79" t="s">
        <v>3116</v>
      </c>
      <c r="L79">
        <v>75</v>
      </c>
      <c r="M79" s="12" t="str" cm="1">
        <f t="array" ref="M7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79">
        <v>91</v>
      </c>
      <c r="O79" s="13" t="str" cm="1">
        <f t="array" ref="O7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79">
        <v>80</v>
      </c>
      <c r="Q79" s="13" t="str" cm="1">
        <f t="array" ref="Q7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79">
        <v>93</v>
      </c>
      <c r="S79" t="str" cm="1">
        <f t="array" ref="S7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79">
        <v>74</v>
      </c>
      <c r="U79" t="str" cm="1">
        <f t="array" ref="U7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79">
        <v>93</v>
      </c>
      <c r="W79" t="str" cm="1">
        <f t="array" ref="W7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79">
        <v>65</v>
      </c>
      <c r="Y79" t="str" cm="1">
        <f t="array" ref="Y7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79">
        <f>SUM(Table1[[#This Row],[Math 
Score]],Table1[[#This Row],[History 
Score]],Table1[[#This Row],[Physics 
Score]],Table1[[#This Row],[Chemistry 
Score]],Table1[[#This Row],[Biology 
Score]],Table1[[#This Row],[English 
Score]],Table1[[#This Row],[Geography 
Score]])</f>
        <v>571</v>
      </c>
      <c r="AA79" s="3">
        <f>AVERAGE(Table1[[#This Row],[Math 
Score]],Table1[[#This Row],[History 
Score]],Table1[[#This Row],[Physics 
Score]],Table1[[#This Row],[Chemistry 
Score]],Table1[[#This Row],[Biology 
Score]],Table1[[#This Row],[English 
Score]],Table1[[#This Row],[Geography 
Score]])</f>
        <v>81.571428571428569</v>
      </c>
      <c r="AB7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79">
        <f t="shared" si="1"/>
        <v>915</v>
      </c>
      <c r="AD79" t="str">
        <f>_xlfn.IFS(Table1[[#This Row],[Absence 
Days]]&lt;3,"Excellent",Table1[[#This Row],[Absence 
Days]]&lt;=6,"Good",Table1[[#This Row],[Absence 
Days]]&gt;6,"Poor")</f>
        <v>Excellent</v>
      </c>
    </row>
    <row r="80" spans="1:30" x14ac:dyDescent="0.35">
      <c r="A80">
        <v>79</v>
      </c>
      <c r="B80" s="2" t="s">
        <v>68</v>
      </c>
      <c r="C80" t="s">
        <v>318</v>
      </c>
      <c r="D80" t="str">
        <f>_xlfn.TEXTJOIN(" ",TRUE,Table1[[#This Row],[First 
Name]:[Last 
Name]])</f>
        <v>Chelsea Craig</v>
      </c>
      <c r="E80" t="s">
        <v>1190</v>
      </c>
      <c r="F80" t="s">
        <v>3245</v>
      </c>
      <c r="G80" t="str">
        <f ca="1">PROPER(Table1[[#This Row],[Part Time 
Job]])</f>
        <v>False</v>
      </c>
      <c r="H80" s="3">
        <v>7</v>
      </c>
      <c r="I80" t="str">
        <f ca="1">PROPER(Table1[[#This Row],[Extracurricular 
Activities]])</f>
        <v>False</v>
      </c>
      <c r="J80">
        <v>34</v>
      </c>
      <c r="K80" t="s">
        <v>3116</v>
      </c>
      <c r="L80">
        <v>88</v>
      </c>
      <c r="M80" s="12" t="str" cm="1">
        <f t="array" ref="M8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80">
        <v>94</v>
      </c>
      <c r="O80" s="13" t="str" cm="1">
        <f t="array" ref="O8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80">
        <v>80</v>
      </c>
      <c r="Q80" s="13" t="str" cm="1">
        <f t="array" ref="Q8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80">
        <v>63</v>
      </c>
      <c r="S80" t="str" cm="1">
        <f t="array" ref="S8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80">
        <v>68</v>
      </c>
      <c r="U80" t="str" cm="1">
        <f t="array" ref="U8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80">
        <v>77</v>
      </c>
      <c r="W80" t="str" cm="1">
        <f t="array" ref="W8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80">
        <v>64</v>
      </c>
      <c r="Y80" t="str" cm="1">
        <f t="array" ref="Y8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80">
        <f>SUM(Table1[[#This Row],[Math 
Score]],Table1[[#This Row],[History 
Score]],Table1[[#This Row],[Physics 
Score]],Table1[[#This Row],[Chemistry 
Score]],Table1[[#This Row],[Biology 
Score]],Table1[[#This Row],[English 
Score]],Table1[[#This Row],[Geography 
Score]])</f>
        <v>534</v>
      </c>
      <c r="AA80" s="3">
        <f>AVERAGE(Table1[[#This Row],[Math 
Score]],Table1[[#This Row],[History 
Score]],Table1[[#This Row],[Physics 
Score]],Table1[[#This Row],[Chemistry 
Score]],Table1[[#This Row],[Biology 
Score]],Table1[[#This Row],[English 
Score]],Table1[[#This Row],[Geography 
Score]])</f>
        <v>76.285714285714292</v>
      </c>
      <c r="AB8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80">
        <f t="shared" si="1"/>
        <v>1595</v>
      </c>
      <c r="AD80" t="str">
        <f>_xlfn.IFS(Table1[[#This Row],[Absence 
Days]]&lt;3,"Excellent",Table1[[#This Row],[Absence 
Days]]&lt;=6,"Good",Table1[[#This Row],[Absence 
Days]]&gt;6,"Poor")</f>
        <v>Poor</v>
      </c>
    </row>
    <row r="81" spans="1:30" x14ac:dyDescent="0.35">
      <c r="A81">
        <v>80</v>
      </c>
      <c r="B81" s="2" t="s">
        <v>69</v>
      </c>
      <c r="C81" t="s">
        <v>518</v>
      </c>
      <c r="D81" t="str">
        <f>_xlfn.TEXTJOIN(" ",TRUE,Table1[[#This Row],[First 
Name]:[Last 
Name]])</f>
        <v>Shawn Chase</v>
      </c>
      <c r="E81" t="s">
        <v>1191</v>
      </c>
      <c r="F81" t="s">
        <v>3244</v>
      </c>
      <c r="G81" t="str">
        <f ca="1">PROPER(Table1[[#This Row],[Part Time 
Job]])</f>
        <v>False</v>
      </c>
      <c r="H81" s="3">
        <v>3</v>
      </c>
      <c r="I81" t="str">
        <f ca="1">PROPER(Table1[[#This Row],[Extracurricular 
Activities]])</f>
        <v>False</v>
      </c>
      <c r="J81">
        <v>16</v>
      </c>
      <c r="K81" t="s">
        <v>3117</v>
      </c>
      <c r="L81">
        <v>87</v>
      </c>
      <c r="M81" s="12" t="str" cm="1">
        <f t="array" ref="M8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81">
        <v>79</v>
      </c>
      <c r="O81" s="13" t="str" cm="1">
        <f t="array" ref="O8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81">
        <v>89</v>
      </c>
      <c r="Q81" s="13" t="str" cm="1">
        <f t="array" ref="Q8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81">
        <v>68</v>
      </c>
      <c r="S81" t="str" cm="1">
        <f t="array" ref="S8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81">
        <v>93</v>
      </c>
      <c r="U81" t="str" cm="1">
        <f t="array" ref="U8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81">
        <v>75</v>
      </c>
      <c r="W81" t="str" cm="1">
        <f t="array" ref="W8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81">
        <v>92</v>
      </c>
      <c r="Y81" t="str" cm="1">
        <f t="array" ref="Y8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81">
        <f>SUM(Table1[[#This Row],[Math 
Score]],Table1[[#This Row],[History 
Score]],Table1[[#This Row],[Physics 
Score]],Table1[[#This Row],[Chemistry 
Score]],Table1[[#This Row],[Biology 
Score]],Table1[[#This Row],[English 
Score]],Table1[[#This Row],[Geography 
Score]])</f>
        <v>583</v>
      </c>
      <c r="AA81" s="3">
        <f>AVERAGE(Table1[[#This Row],[Math 
Score]],Table1[[#This Row],[History 
Score]],Table1[[#This Row],[Physics 
Score]],Table1[[#This Row],[Chemistry 
Score]],Table1[[#This Row],[Biology 
Score]],Table1[[#This Row],[English 
Score]],Table1[[#This Row],[Geography 
Score]])</f>
        <v>83.285714285714292</v>
      </c>
      <c r="AB8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81">
        <f t="shared" si="1"/>
        <v>655</v>
      </c>
      <c r="AD81" t="str">
        <f>_xlfn.IFS(Table1[[#This Row],[Absence 
Days]]&lt;3,"Excellent",Table1[[#This Row],[Absence 
Days]]&lt;=6,"Good",Table1[[#This Row],[Absence 
Days]]&gt;6,"Poor")</f>
        <v>Good</v>
      </c>
    </row>
    <row r="82" spans="1:30" x14ac:dyDescent="0.35">
      <c r="A82">
        <v>81</v>
      </c>
      <c r="B82" s="2" t="s">
        <v>42</v>
      </c>
      <c r="C82" t="s">
        <v>519</v>
      </c>
      <c r="D82" t="str">
        <f>_xlfn.TEXTJOIN(" ",TRUE,Table1[[#This Row],[First 
Name]:[Last 
Name]])</f>
        <v>Elizabeth Calhoun</v>
      </c>
      <c r="E82" t="s">
        <v>1192</v>
      </c>
      <c r="F82" t="s">
        <v>3245</v>
      </c>
      <c r="G82" t="str">
        <f ca="1">PROPER(Table1[[#This Row],[Part Time 
Job]])</f>
        <v>True</v>
      </c>
      <c r="H82" s="3">
        <v>3</v>
      </c>
      <c r="I82" t="str">
        <f ca="1">PROPER(Table1[[#This Row],[Extracurricular 
Activities]])</f>
        <v>False</v>
      </c>
      <c r="J82">
        <v>3</v>
      </c>
      <c r="K82" t="s">
        <v>3119</v>
      </c>
      <c r="L82">
        <v>87</v>
      </c>
      <c r="M82" s="12" t="str" cm="1">
        <f t="array" ref="M8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82">
        <v>67</v>
      </c>
      <c r="O82" s="13" t="str" cm="1">
        <f t="array" ref="O8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82">
        <v>94</v>
      </c>
      <c r="Q82" s="13" t="str" cm="1">
        <f t="array" ref="Q8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82">
        <v>92</v>
      </c>
      <c r="S82" t="str" cm="1">
        <f t="array" ref="S8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82">
        <v>62</v>
      </c>
      <c r="U82" t="str" cm="1">
        <f t="array" ref="U8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82">
        <v>58</v>
      </c>
      <c r="W82" t="str" cm="1">
        <f t="array" ref="W8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C</v>
      </c>
      <c r="X82">
        <v>65</v>
      </c>
      <c r="Y82" t="str" cm="1">
        <f t="array" ref="Y8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82">
        <f>SUM(Table1[[#This Row],[Math 
Score]],Table1[[#This Row],[History 
Score]],Table1[[#This Row],[Physics 
Score]],Table1[[#This Row],[Chemistry 
Score]],Table1[[#This Row],[Biology 
Score]],Table1[[#This Row],[English 
Score]],Table1[[#This Row],[Geography 
Score]])</f>
        <v>525</v>
      </c>
      <c r="AA82" s="3">
        <f>AVERAGE(Table1[[#This Row],[Math 
Score]],Table1[[#This Row],[History 
Score]],Table1[[#This Row],[Physics 
Score]],Table1[[#This Row],[Chemistry 
Score]],Table1[[#This Row],[Biology 
Score]],Table1[[#This Row],[English 
Score]],Table1[[#This Row],[Geography 
Score]])</f>
        <v>75</v>
      </c>
      <c r="AB8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82">
        <f t="shared" si="1"/>
        <v>1704</v>
      </c>
      <c r="AD82" t="str">
        <f>_xlfn.IFS(Table1[[#This Row],[Absence 
Days]]&lt;3,"Excellent",Table1[[#This Row],[Absence 
Days]]&lt;=6,"Good",Table1[[#This Row],[Absence 
Days]]&gt;6,"Poor")</f>
        <v>Good</v>
      </c>
    </row>
    <row r="83" spans="1:30" x14ac:dyDescent="0.35">
      <c r="A83">
        <v>82</v>
      </c>
      <c r="B83" s="2" t="s">
        <v>32</v>
      </c>
      <c r="C83" t="s">
        <v>520</v>
      </c>
      <c r="D83" t="str">
        <f>_xlfn.TEXTJOIN(" ",TRUE,Table1[[#This Row],[First 
Name]:[Last 
Name]])</f>
        <v>Lisa Harris</v>
      </c>
      <c r="E83" t="s">
        <v>1193</v>
      </c>
      <c r="F83" t="s">
        <v>3245</v>
      </c>
      <c r="G83" t="str">
        <f ca="1">PROPER(Table1[[#This Row],[Part Time 
Job]])</f>
        <v>False</v>
      </c>
      <c r="H83" s="3">
        <v>1</v>
      </c>
      <c r="I83" t="str">
        <f ca="1">PROPER(Table1[[#This Row],[Extracurricular 
Activities]])</f>
        <v>False</v>
      </c>
      <c r="J83">
        <v>15</v>
      </c>
      <c r="K83" t="s">
        <v>3127</v>
      </c>
      <c r="L83">
        <v>76</v>
      </c>
      <c r="M83" s="12" t="str" cm="1">
        <f t="array" ref="M8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83">
        <v>67</v>
      </c>
      <c r="O83" s="13" t="str" cm="1">
        <f t="array" ref="O8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83">
        <v>83</v>
      </c>
      <c r="Q83" s="13" t="str" cm="1">
        <f t="array" ref="Q8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83">
        <v>85</v>
      </c>
      <c r="S83" t="str" cm="1">
        <f t="array" ref="S8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83">
        <v>91</v>
      </c>
      <c r="U83" t="str" cm="1">
        <f t="array" ref="U8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83">
        <v>61</v>
      </c>
      <c r="W83" t="str" cm="1">
        <f t="array" ref="W8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83">
        <v>67</v>
      </c>
      <c r="Y83" t="str" cm="1">
        <f t="array" ref="Y8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83">
        <f>SUM(Table1[[#This Row],[Math 
Score]],Table1[[#This Row],[History 
Score]],Table1[[#This Row],[Physics 
Score]],Table1[[#This Row],[Chemistry 
Score]],Table1[[#This Row],[Biology 
Score]],Table1[[#This Row],[English 
Score]],Table1[[#This Row],[Geography 
Score]])</f>
        <v>530</v>
      </c>
      <c r="AA83" s="3">
        <f>AVERAGE(Table1[[#This Row],[Math 
Score]],Table1[[#This Row],[History 
Score]],Table1[[#This Row],[Physics 
Score]],Table1[[#This Row],[Chemistry 
Score]],Table1[[#This Row],[Biology 
Score]],Table1[[#This Row],[English 
Score]],Table1[[#This Row],[Geography 
Score]])</f>
        <v>75.714285714285708</v>
      </c>
      <c r="AB8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83">
        <f t="shared" si="1"/>
        <v>1646</v>
      </c>
      <c r="AD83" t="str">
        <f>_xlfn.IFS(Table1[[#This Row],[Absence 
Days]]&lt;3,"Excellent",Table1[[#This Row],[Absence 
Days]]&lt;=6,"Good",Table1[[#This Row],[Absence 
Days]]&gt;6,"Poor")</f>
        <v>Excellent</v>
      </c>
    </row>
    <row r="84" spans="1:30" x14ac:dyDescent="0.35">
      <c r="A84">
        <v>83</v>
      </c>
      <c r="B84" s="2" t="s">
        <v>27</v>
      </c>
      <c r="C84" t="s">
        <v>521</v>
      </c>
      <c r="D84" t="str">
        <f>_xlfn.TEXTJOIN(" ",TRUE,Table1[[#This Row],[First 
Name]:[Last 
Name]])</f>
        <v>Carol Snyder</v>
      </c>
      <c r="E84" t="s">
        <v>1194</v>
      </c>
      <c r="F84" t="s">
        <v>3245</v>
      </c>
      <c r="G84" t="str">
        <f ca="1">PROPER(Table1[[#This Row],[Part Time 
Job]])</f>
        <v>False</v>
      </c>
      <c r="H84" s="3">
        <v>7</v>
      </c>
      <c r="I84" t="str">
        <f ca="1">PROPER(Table1[[#This Row],[Extracurricular 
Activities]])</f>
        <v>False</v>
      </c>
      <c r="J84">
        <v>11</v>
      </c>
      <c r="K84" t="s">
        <v>3114</v>
      </c>
      <c r="L84">
        <v>60</v>
      </c>
      <c r="M84" s="12" t="str" cm="1">
        <f t="array" ref="M84">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84">
        <v>80</v>
      </c>
      <c r="O84" s="13" t="str" cm="1">
        <f t="array" ref="O8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84">
        <v>61</v>
      </c>
      <c r="Q84" s="13" t="str" cm="1">
        <f t="array" ref="Q8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84">
        <v>63</v>
      </c>
      <c r="S84" t="str" cm="1">
        <f t="array" ref="S8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84">
        <v>95</v>
      </c>
      <c r="U84" t="str" cm="1">
        <f t="array" ref="U8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84">
        <v>92</v>
      </c>
      <c r="W84" t="str" cm="1">
        <f t="array" ref="W8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84">
        <v>75</v>
      </c>
      <c r="Y84" t="str" cm="1">
        <f t="array" ref="Y8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84">
        <f>SUM(Table1[[#This Row],[Math 
Score]],Table1[[#This Row],[History 
Score]],Table1[[#This Row],[Physics 
Score]],Table1[[#This Row],[Chemistry 
Score]],Table1[[#This Row],[Biology 
Score]],Table1[[#This Row],[English 
Score]],Table1[[#This Row],[Geography 
Score]])</f>
        <v>526</v>
      </c>
      <c r="AA84" s="3">
        <f>AVERAGE(Table1[[#This Row],[Math 
Score]],Table1[[#This Row],[History 
Score]],Table1[[#This Row],[Physics 
Score]],Table1[[#This Row],[Chemistry 
Score]],Table1[[#This Row],[Biology 
Score]],Table1[[#This Row],[English 
Score]],Table1[[#This Row],[Geography 
Score]])</f>
        <v>75.142857142857139</v>
      </c>
      <c r="AB8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84">
        <f t="shared" si="1"/>
        <v>1688</v>
      </c>
      <c r="AD84" t="str">
        <f>_xlfn.IFS(Table1[[#This Row],[Absence 
Days]]&lt;3,"Excellent",Table1[[#This Row],[Absence 
Days]]&lt;=6,"Good",Table1[[#This Row],[Absence 
Days]]&gt;6,"Poor")</f>
        <v>Poor</v>
      </c>
    </row>
    <row r="85" spans="1:30" x14ac:dyDescent="0.35">
      <c r="A85">
        <v>84</v>
      </c>
      <c r="B85" s="2" t="s">
        <v>70</v>
      </c>
      <c r="C85" t="s">
        <v>522</v>
      </c>
      <c r="D85" t="str">
        <f>_xlfn.TEXTJOIN(" ",TRUE,Table1[[#This Row],[First 
Name]:[Last 
Name]])</f>
        <v>Charles Butler</v>
      </c>
      <c r="E85" t="s">
        <v>1195</v>
      </c>
      <c r="F85" t="s">
        <v>3244</v>
      </c>
      <c r="G85" t="str">
        <f ca="1">PROPER(Table1[[#This Row],[Part Time 
Job]])</f>
        <v>False</v>
      </c>
      <c r="H85" s="3">
        <v>7</v>
      </c>
      <c r="I85" t="str">
        <f ca="1">PROPER(Table1[[#This Row],[Extracurricular 
Activities]])</f>
        <v>False</v>
      </c>
      <c r="J85">
        <v>32</v>
      </c>
      <c r="K85" t="s">
        <v>3120</v>
      </c>
      <c r="L85">
        <v>85</v>
      </c>
      <c r="M85" s="12" t="str" cm="1">
        <f t="array" ref="M8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85">
        <v>65</v>
      </c>
      <c r="O85" s="13" t="str" cm="1">
        <f t="array" ref="O8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85">
        <v>99</v>
      </c>
      <c r="Q85" s="13" t="str" cm="1">
        <f t="array" ref="Q8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85">
        <v>100</v>
      </c>
      <c r="S85" t="str" cm="1">
        <f t="array" ref="S8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85">
        <v>88</v>
      </c>
      <c r="U85" t="str" cm="1">
        <f t="array" ref="U8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85">
        <v>93</v>
      </c>
      <c r="W85" t="str" cm="1">
        <f t="array" ref="W8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85">
        <v>72</v>
      </c>
      <c r="Y85" t="str" cm="1">
        <f t="array" ref="Y8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85">
        <f>SUM(Table1[[#This Row],[Math 
Score]],Table1[[#This Row],[History 
Score]],Table1[[#This Row],[Physics 
Score]],Table1[[#This Row],[Chemistry 
Score]],Table1[[#This Row],[Biology 
Score]],Table1[[#This Row],[English 
Score]],Table1[[#This Row],[Geography 
Score]])</f>
        <v>602</v>
      </c>
      <c r="AA85" s="3">
        <f>AVERAGE(Table1[[#This Row],[Math 
Score]],Table1[[#This Row],[History 
Score]],Table1[[#This Row],[Physics 
Score]],Table1[[#This Row],[Chemistry 
Score]],Table1[[#This Row],[Biology 
Score]],Table1[[#This Row],[English 
Score]],Table1[[#This Row],[Geography 
Score]])</f>
        <v>86</v>
      </c>
      <c r="AB8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85">
        <f t="shared" si="1"/>
        <v>380</v>
      </c>
      <c r="AD85" t="str">
        <f>_xlfn.IFS(Table1[[#This Row],[Absence 
Days]]&lt;3,"Excellent",Table1[[#This Row],[Absence 
Days]]&lt;=6,"Good",Table1[[#This Row],[Absence 
Days]]&gt;6,"Poor")</f>
        <v>Poor</v>
      </c>
    </row>
    <row r="86" spans="1:30" x14ac:dyDescent="0.35">
      <c r="A86">
        <v>85</v>
      </c>
      <c r="B86" s="2" t="s">
        <v>71</v>
      </c>
      <c r="C86" t="s">
        <v>523</v>
      </c>
      <c r="D86" t="str">
        <f>_xlfn.TEXTJOIN(" ",TRUE,Table1[[#This Row],[First 
Name]:[Last 
Name]])</f>
        <v>James Dawson</v>
      </c>
      <c r="E86" t="s">
        <v>1196</v>
      </c>
      <c r="F86" t="s">
        <v>3244</v>
      </c>
      <c r="G86" t="str">
        <f ca="1">PROPER(Table1[[#This Row],[Part Time 
Job]])</f>
        <v>False</v>
      </c>
      <c r="H86" s="3">
        <v>3</v>
      </c>
      <c r="I86" t="str">
        <f ca="1">PROPER(Table1[[#This Row],[Extracurricular 
Activities]])</f>
        <v>False</v>
      </c>
      <c r="J86">
        <v>28</v>
      </c>
      <c r="K86" t="s">
        <v>3116</v>
      </c>
      <c r="L86">
        <v>73</v>
      </c>
      <c r="M86" s="12" t="str" cm="1">
        <f t="array" ref="M86">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86">
        <v>67</v>
      </c>
      <c r="O86" s="13" t="str" cm="1">
        <f t="array" ref="O8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86">
        <v>70</v>
      </c>
      <c r="Q86" s="13" t="str" cm="1">
        <f t="array" ref="Q8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86">
        <v>71</v>
      </c>
      <c r="S86" t="str" cm="1">
        <f t="array" ref="S8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86">
        <v>65</v>
      </c>
      <c r="U86" t="str" cm="1">
        <f t="array" ref="U8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86">
        <v>73</v>
      </c>
      <c r="W86" t="str" cm="1">
        <f t="array" ref="W8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86">
        <v>87</v>
      </c>
      <c r="Y86" t="str" cm="1">
        <f t="array" ref="Y8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86">
        <f>SUM(Table1[[#This Row],[Math 
Score]],Table1[[#This Row],[History 
Score]],Table1[[#This Row],[Physics 
Score]],Table1[[#This Row],[Chemistry 
Score]],Table1[[#This Row],[Biology 
Score]],Table1[[#This Row],[English 
Score]],Table1[[#This Row],[Geography 
Score]])</f>
        <v>506</v>
      </c>
      <c r="AA86" s="3">
        <f>AVERAGE(Table1[[#This Row],[Math 
Score]],Table1[[#This Row],[History 
Score]],Table1[[#This Row],[Physics 
Score]],Table1[[#This Row],[Chemistry 
Score]],Table1[[#This Row],[Biology 
Score]],Table1[[#This Row],[English 
Score]],Table1[[#This Row],[Geography 
Score]])</f>
        <v>72.285714285714292</v>
      </c>
      <c r="AB8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86">
        <f t="shared" si="1"/>
        <v>1848</v>
      </c>
      <c r="AD86" t="str">
        <f>_xlfn.IFS(Table1[[#This Row],[Absence 
Days]]&lt;3,"Excellent",Table1[[#This Row],[Absence 
Days]]&lt;=6,"Good",Table1[[#This Row],[Absence 
Days]]&gt;6,"Poor")</f>
        <v>Good</v>
      </c>
    </row>
    <row r="87" spans="1:30" x14ac:dyDescent="0.35">
      <c r="A87">
        <v>86</v>
      </c>
      <c r="B87" s="2" t="s">
        <v>72</v>
      </c>
      <c r="C87" t="s">
        <v>169</v>
      </c>
      <c r="D87" t="str">
        <f>_xlfn.TEXTJOIN(" ",TRUE,Table1[[#This Row],[First 
Name]:[Last 
Name]])</f>
        <v>Dennis Kim</v>
      </c>
      <c r="E87" t="s">
        <v>1197</v>
      </c>
      <c r="F87" t="s">
        <v>3244</v>
      </c>
      <c r="G87" t="str">
        <f ca="1">PROPER(Table1[[#This Row],[Part Time 
Job]])</f>
        <v>False</v>
      </c>
      <c r="H87" s="3">
        <v>1</v>
      </c>
      <c r="I87" t="str">
        <f ca="1">PROPER(Table1[[#This Row],[Extracurricular 
Activities]])</f>
        <v>False</v>
      </c>
      <c r="J87">
        <v>24</v>
      </c>
      <c r="K87" t="s">
        <v>3117</v>
      </c>
      <c r="L87">
        <v>85</v>
      </c>
      <c r="M87" s="12" t="str" cm="1">
        <f t="array" ref="M8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87">
        <v>71</v>
      </c>
      <c r="O87" s="13" t="str" cm="1">
        <f t="array" ref="O8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87">
        <v>69</v>
      </c>
      <c r="Q87" s="13" t="str" cm="1">
        <f t="array" ref="Q8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87">
        <v>80</v>
      </c>
      <c r="S87" t="str" cm="1">
        <f t="array" ref="S8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87">
        <v>70</v>
      </c>
      <c r="U87" t="str" cm="1">
        <f t="array" ref="U8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87">
        <v>77</v>
      </c>
      <c r="W87" t="str" cm="1">
        <f t="array" ref="W8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87">
        <v>66</v>
      </c>
      <c r="Y87" t="str" cm="1">
        <f t="array" ref="Y8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87">
        <f>SUM(Table1[[#This Row],[Math 
Score]],Table1[[#This Row],[History 
Score]],Table1[[#This Row],[Physics 
Score]],Table1[[#This Row],[Chemistry 
Score]],Table1[[#This Row],[Biology 
Score]],Table1[[#This Row],[English 
Score]],Table1[[#This Row],[Geography 
Score]])</f>
        <v>518</v>
      </c>
      <c r="AA87" s="3">
        <f>AVERAGE(Table1[[#This Row],[Math 
Score]],Table1[[#This Row],[History 
Score]],Table1[[#This Row],[Physics 
Score]],Table1[[#This Row],[Chemistry 
Score]],Table1[[#This Row],[Biology 
Score]],Table1[[#This Row],[English 
Score]],Table1[[#This Row],[Geography 
Score]])</f>
        <v>74</v>
      </c>
      <c r="AB8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87">
        <f t="shared" si="1"/>
        <v>1775</v>
      </c>
      <c r="AD87" t="str">
        <f>_xlfn.IFS(Table1[[#This Row],[Absence 
Days]]&lt;3,"Excellent",Table1[[#This Row],[Absence 
Days]]&lt;=6,"Good",Table1[[#This Row],[Absence 
Days]]&gt;6,"Poor")</f>
        <v>Excellent</v>
      </c>
    </row>
    <row r="88" spans="1:30" x14ac:dyDescent="0.35">
      <c r="A88">
        <v>87</v>
      </c>
      <c r="B88" s="2" t="s">
        <v>50</v>
      </c>
      <c r="C88" t="s">
        <v>524</v>
      </c>
      <c r="D88" t="str">
        <f>_xlfn.TEXTJOIN(" ",TRUE,Table1[[#This Row],[First 
Name]:[Last 
Name]])</f>
        <v>Jennifer Berry</v>
      </c>
      <c r="E88" t="s">
        <v>1198</v>
      </c>
      <c r="F88" t="s">
        <v>3245</v>
      </c>
      <c r="G88" t="str">
        <f ca="1">PROPER(Table1[[#This Row],[Part Time 
Job]])</f>
        <v>False</v>
      </c>
      <c r="H88" s="3">
        <v>2</v>
      </c>
      <c r="I88" t="str">
        <f ca="1">PROPER(Table1[[#This Row],[Extracurricular 
Activities]])</f>
        <v>False</v>
      </c>
      <c r="J88">
        <v>9</v>
      </c>
      <c r="K88" t="s">
        <v>3114</v>
      </c>
      <c r="L88">
        <v>91</v>
      </c>
      <c r="M88" s="12" t="str" cm="1">
        <f t="array" ref="M8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88">
        <v>76</v>
      </c>
      <c r="O88" s="13" t="str" cm="1">
        <f t="array" ref="O8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88">
        <v>71</v>
      </c>
      <c r="Q88" s="13" t="str" cm="1">
        <f t="array" ref="Q8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88">
        <v>72</v>
      </c>
      <c r="S88" t="str" cm="1">
        <f t="array" ref="S8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88">
        <v>92</v>
      </c>
      <c r="U88" t="str" cm="1">
        <f t="array" ref="U8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88">
        <v>67</v>
      </c>
      <c r="W88" t="str" cm="1">
        <f t="array" ref="W8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88">
        <v>90</v>
      </c>
      <c r="Y88" t="str" cm="1">
        <f t="array" ref="Y8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88">
        <f>SUM(Table1[[#This Row],[Math 
Score]],Table1[[#This Row],[History 
Score]],Table1[[#This Row],[Physics 
Score]],Table1[[#This Row],[Chemistry 
Score]],Table1[[#This Row],[Biology 
Score]],Table1[[#This Row],[English 
Score]],Table1[[#This Row],[Geography 
Score]])</f>
        <v>559</v>
      </c>
      <c r="AA88" s="3">
        <f>AVERAGE(Table1[[#This Row],[Math 
Score]],Table1[[#This Row],[History 
Score]],Table1[[#This Row],[Physics 
Score]],Table1[[#This Row],[Chemistry 
Score]],Table1[[#This Row],[Biology 
Score]],Table1[[#This Row],[English 
Score]],Table1[[#This Row],[Geography 
Score]])</f>
        <v>79.857142857142861</v>
      </c>
      <c r="AB8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88">
        <f t="shared" si="1"/>
        <v>1155</v>
      </c>
      <c r="AD88" t="str">
        <f>_xlfn.IFS(Table1[[#This Row],[Absence 
Days]]&lt;3,"Excellent",Table1[[#This Row],[Absence 
Days]]&lt;=6,"Good",Table1[[#This Row],[Absence 
Days]]&gt;6,"Poor")</f>
        <v>Excellent</v>
      </c>
    </row>
    <row r="89" spans="1:30" x14ac:dyDescent="0.35">
      <c r="A89">
        <v>88</v>
      </c>
      <c r="B89" s="2" t="s">
        <v>73</v>
      </c>
      <c r="C89" t="s">
        <v>525</v>
      </c>
      <c r="D89" t="str">
        <f>_xlfn.TEXTJOIN(" ",TRUE,Table1[[#This Row],[First 
Name]:[Last 
Name]])</f>
        <v>Yvette Bridges</v>
      </c>
      <c r="E89" t="s">
        <v>1199</v>
      </c>
      <c r="F89" t="s">
        <v>3245</v>
      </c>
      <c r="G89" t="str">
        <f ca="1">PROPER(Table1[[#This Row],[Part Time 
Job]])</f>
        <v>False</v>
      </c>
      <c r="H89" s="3">
        <v>3</v>
      </c>
      <c r="I89" t="str">
        <f ca="1">PROPER(Table1[[#This Row],[Extracurricular 
Activities]])</f>
        <v>True</v>
      </c>
      <c r="J89">
        <v>14</v>
      </c>
      <c r="K89" t="s">
        <v>3117</v>
      </c>
      <c r="L89">
        <v>99</v>
      </c>
      <c r="M89" s="12" t="str" cm="1">
        <f t="array" ref="M8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89">
        <v>95</v>
      </c>
      <c r="O89" s="13" t="str" cm="1">
        <f t="array" ref="O8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89">
        <v>83</v>
      </c>
      <c r="Q89" s="13" t="str" cm="1">
        <f t="array" ref="Q8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89">
        <v>89</v>
      </c>
      <c r="S89" t="str" cm="1">
        <f t="array" ref="S8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89">
        <v>81</v>
      </c>
      <c r="U89" t="str" cm="1">
        <f t="array" ref="U8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89">
        <v>63</v>
      </c>
      <c r="W89" t="str" cm="1">
        <f t="array" ref="W8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89">
        <v>70</v>
      </c>
      <c r="Y89" t="str" cm="1">
        <f t="array" ref="Y8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89">
        <f>SUM(Table1[[#This Row],[Math 
Score]],Table1[[#This Row],[History 
Score]],Table1[[#This Row],[Physics 
Score]],Table1[[#This Row],[Chemistry 
Score]],Table1[[#This Row],[Biology 
Score]],Table1[[#This Row],[English 
Score]],Table1[[#This Row],[Geography 
Score]])</f>
        <v>580</v>
      </c>
      <c r="AA89" s="3">
        <f>AVERAGE(Table1[[#This Row],[Math 
Score]],Table1[[#This Row],[History 
Score]],Table1[[#This Row],[Physics 
Score]],Table1[[#This Row],[Chemistry 
Score]],Table1[[#This Row],[Biology 
Score]],Table1[[#This Row],[English 
Score]],Table1[[#This Row],[Geography 
Score]])</f>
        <v>82.857142857142861</v>
      </c>
      <c r="AB8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89">
        <f t="shared" si="1"/>
        <v>709</v>
      </c>
      <c r="AD89" t="str">
        <f>_xlfn.IFS(Table1[[#This Row],[Absence 
Days]]&lt;3,"Excellent",Table1[[#This Row],[Absence 
Days]]&lt;=6,"Good",Table1[[#This Row],[Absence 
Days]]&gt;6,"Poor")</f>
        <v>Good</v>
      </c>
    </row>
    <row r="90" spans="1:30" x14ac:dyDescent="0.35">
      <c r="A90">
        <v>89</v>
      </c>
      <c r="B90" s="2" t="s">
        <v>74</v>
      </c>
      <c r="C90" t="s">
        <v>526</v>
      </c>
      <c r="D90" t="str">
        <f>_xlfn.TEXTJOIN(" ",TRUE,Table1[[#This Row],[First 
Name]:[Last 
Name]])</f>
        <v>Robert Atkins</v>
      </c>
      <c r="E90" t="s">
        <v>1200</v>
      </c>
      <c r="F90" t="s">
        <v>3244</v>
      </c>
      <c r="G90" t="str">
        <f ca="1">PROPER(Table1[[#This Row],[Part Time 
Job]])</f>
        <v>False</v>
      </c>
      <c r="H90" s="3">
        <v>3</v>
      </c>
      <c r="I90" t="str">
        <f ca="1">PROPER(Table1[[#This Row],[Extracurricular 
Activities]])</f>
        <v>False</v>
      </c>
      <c r="J90">
        <v>16</v>
      </c>
      <c r="K90" t="s">
        <v>3127</v>
      </c>
      <c r="L90">
        <v>93</v>
      </c>
      <c r="M90" s="12" t="str" cm="1">
        <f t="array" ref="M9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90">
        <v>96</v>
      </c>
      <c r="O90" s="13" t="str" cm="1">
        <f t="array" ref="O9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90">
        <v>68</v>
      </c>
      <c r="Q90" s="13" t="str" cm="1">
        <f t="array" ref="Q9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90">
        <v>87</v>
      </c>
      <c r="S90" t="str" cm="1">
        <f t="array" ref="S9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90">
        <v>69</v>
      </c>
      <c r="U90" t="str" cm="1">
        <f t="array" ref="U9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90">
        <v>89</v>
      </c>
      <c r="W90" t="str" cm="1">
        <f t="array" ref="W9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90">
        <v>100</v>
      </c>
      <c r="Y90" t="str" cm="1">
        <f t="array" ref="Y9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90">
        <f>SUM(Table1[[#This Row],[Math 
Score]],Table1[[#This Row],[History 
Score]],Table1[[#This Row],[Physics 
Score]],Table1[[#This Row],[Chemistry 
Score]],Table1[[#This Row],[Biology 
Score]],Table1[[#This Row],[English 
Score]],Table1[[#This Row],[Geography 
Score]])</f>
        <v>602</v>
      </c>
      <c r="AA90" s="3">
        <f>AVERAGE(Table1[[#This Row],[Math 
Score]],Table1[[#This Row],[History 
Score]],Table1[[#This Row],[Physics 
Score]],Table1[[#This Row],[Chemistry 
Score]],Table1[[#This Row],[Biology 
Score]],Table1[[#This Row],[English 
Score]],Table1[[#This Row],[Geography 
Score]])</f>
        <v>86</v>
      </c>
      <c r="AB9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90">
        <f t="shared" si="1"/>
        <v>380</v>
      </c>
      <c r="AD90" t="str">
        <f>_xlfn.IFS(Table1[[#This Row],[Absence 
Days]]&lt;3,"Excellent",Table1[[#This Row],[Absence 
Days]]&lt;=6,"Good",Table1[[#This Row],[Absence 
Days]]&gt;6,"Poor")</f>
        <v>Good</v>
      </c>
    </row>
    <row r="91" spans="1:30" x14ac:dyDescent="0.35">
      <c r="A91">
        <v>90</v>
      </c>
      <c r="B91" s="2" t="s">
        <v>75</v>
      </c>
      <c r="C91" t="s">
        <v>527</v>
      </c>
      <c r="D91" t="str">
        <f>_xlfn.TEXTJOIN(" ",TRUE,Table1[[#This Row],[First 
Name]:[Last 
Name]])</f>
        <v>William Brown</v>
      </c>
      <c r="E91" t="s">
        <v>1201</v>
      </c>
      <c r="F91" t="s">
        <v>3244</v>
      </c>
      <c r="G91" t="str">
        <f ca="1">PROPER(Table1[[#This Row],[Part Time 
Job]])</f>
        <v>False</v>
      </c>
      <c r="H91" s="3">
        <v>3</v>
      </c>
      <c r="I91" t="str">
        <f ca="1">PROPER(Table1[[#This Row],[Extracurricular 
Activities]])</f>
        <v>False</v>
      </c>
      <c r="J91">
        <v>29</v>
      </c>
      <c r="K91" t="s">
        <v>3117</v>
      </c>
      <c r="L91">
        <v>89</v>
      </c>
      <c r="M91" s="12" t="str" cm="1">
        <f t="array" ref="M9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91">
        <v>75</v>
      </c>
      <c r="O91" s="13" t="str" cm="1">
        <f t="array" ref="O9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91">
        <v>60</v>
      </c>
      <c r="Q91" s="13" t="str" cm="1">
        <f t="array" ref="Q9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91">
        <v>80</v>
      </c>
      <c r="S91" t="str" cm="1">
        <f t="array" ref="S9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91">
        <v>62</v>
      </c>
      <c r="U91" t="str" cm="1">
        <f t="array" ref="U9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91">
        <v>85</v>
      </c>
      <c r="W91" t="str" cm="1">
        <f t="array" ref="W9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91">
        <v>73</v>
      </c>
      <c r="Y91" t="str" cm="1">
        <f t="array" ref="Y9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91">
        <f>SUM(Table1[[#This Row],[Math 
Score]],Table1[[#This Row],[History 
Score]],Table1[[#This Row],[Physics 
Score]],Table1[[#This Row],[Chemistry 
Score]],Table1[[#This Row],[Biology 
Score]],Table1[[#This Row],[English 
Score]],Table1[[#This Row],[Geography 
Score]])</f>
        <v>524</v>
      </c>
      <c r="AA91" s="3">
        <f>AVERAGE(Table1[[#This Row],[Math 
Score]],Table1[[#This Row],[History 
Score]],Table1[[#This Row],[Physics 
Score]],Table1[[#This Row],[Chemistry 
Score]],Table1[[#This Row],[Biology 
Score]],Table1[[#This Row],[English 
Score]],Table1[[#This Row],[Geography 
Score]])</f>
        <v>74.857142857142861</v>
      </c>
      <c r="AB9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91">
        <f t="shared" si="1"/>
        <v>1715</v>
      </c>
      <c r="AD91" t="str">
        <f>_xlfn.IFS(Table1[[#This Row],[Absence 
Days]]&lt;3,"Excellent",Table1[[#This Row],[Absence 
Days]]&lt;=6,"Good",Table1[[#This Row],[Absence 
Days]]&gt;6,"Poor")</f>
        <v>Good</v>
      </c>
    </row>
    <row r="92" spans="1:30" x14ac:dyDescent="0.35">
      <c r="A92">
        <v>91</v>
      </c>
      <c r="B92" s="2" t="s">
        <v>76</v>
      </c>
      <c r="C92" t="s">
        <v>528</v>
      </c>
      <c r="D92" t="str">
        <f>_xlfn.TEXTJOIN(" ",TRUE,Table1[[#This Row],[First 
Name]:[Last 
Name]])</f>
        <v>Patrick Parker</v>
      </c>
      <c r="E92" t="s">
        <v>1202</v>
      </c>
      <c r="F92" t="s">
        <v>3244</v>
      </c>
      <c r="G92" t="str">
        <f ca="1">PROPER(Table1[[#This Row],[Part Time 
Job]])</f>
        <v>False</v>
      </c>
      <c r="H92" s="3">
        <v>0</v>
      </c>
      <c r="I92" t="str">
        <f ca="1">PROPER(Table1[[#This Row],[Extracurricular 
Activities]])</f>
        <v>False</v>
      </c>
      <c r="J92">
        <v>14</v>
      </c>
      <c r="K92" t="s">
        <v>3123</v>
      </c>
      <c r="L92">
        <v>95</v>
      </c>
      <c r="M92" s="12" t="str" cm="1">
        <f t="array" ref="M9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92">
        <v>78</v>
      </c>
      <c r="O92" s="13" t="str" cm="1">
        <f t="array" ref="O9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92">
        <v>95</v>
      </c>
      <c r="Q92" s="13" t="str" cm="1">
        <f t="array" ref="Q9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92">
        <v>73</v>
      </c>
      <c r="S92" t="str" cm="1">
        <f t="array" ref="S9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92">
        <v>32</v>
      </c>
      <c r="U92" t="str" cm="1">
        <f t="array" ref="U9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F</v>
      </c>
      <c r="V92">
        <v>65</v>
      </c>
      <c r="W92" t="str" cm="1">
        <f t="array" ref="W9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92">
        <v>68</v>
      </c>
      <c r="Y92" t="str" cm="1">
        <f t="array" ref="Y9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92">
        <f>SUM(Table1[[#This Row],[Math 
Score]],Table1[[#This Row],[History 
Score]],Table1[[#This Row],[Physics 
Score]],Table1[[#This Row],[Chemistry 
Score]],Table1[[#This Row],[Biology 
Score]],Table1[[#This Row],[English 
Score]],Table1[[#This Row],[Geography 
Score]])</f>
        <v>506</v>
      </c>
      <c r="AA92" s="3">
        <f>AVERAGE(Table1[[#This Row],[Math 
Score]],Table1[[#This Row],[History 
Score]],Table1[[#This Row],[Physics 
Score]],Table1[[#This Row],[Chemistry 
Score]],Table1[[#This Row],[Biology 
Score]],Table1[[#This Row],[English 
Score]],Table1[[#This Row],[Geography 
Score]])</f>
        <v>72.285714285714292</v>
      </c>
      <c r="AB9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92">
        <f t="shared" si="1"/>
        <v>1848</v>
      </c>
      <c r="AD92" t="str">
        <f>_xlfn.IFS(Table1[[#This Row],[Absence 
Days]]&lt;3,"Excellent",Table1[[#This Row],[Absence 
Days]]&lt;=6,"Good",Table1[[#This Row],[Absence 
Days]]&gt;6,"Poor")</f>
        <v>Excellent</v>
      </c>
    </row>
    <row r="93" spans="1:30" x14ac:dyDescent="0.35">
      <c r="A93">
        <v>92</v>
      </c>
      <c r="B93" s="2" t="s">
        <v>71</v>
      </c>
      <c r="C93" t="s">
        <v>529</v>
      </c>
      <c r="D93" t="str">
        <f>_xlfn.TEXTJOIN(" ",TRUE,Table1[[#This Row],[First 
Name]:[Last 
Name]])</f>
        <v>James Santiago</v>
      </c>
      <c r="E93" t="s">
        <v>1203</v>
      </c>
      <c r="F93" t="s">
        <v>3244</v>
      </c>
      <c r="G93" t="str">
        <f ca="1">PROPER(Table1[[#This Row],[Part Time 
Job]])</f>
        <v>False</v>
      </c>
      <c r="H93" s="3">
        <v>4</v>
      </c>
      <c r="I93" t="str">
        <f ca="1">PROPER(Table1[[#This Row],[Extracurricular 
Activities]])</f>
        <v>False</v>
      </c>
      <c r="J93">
        <v>10</v>
      </c>
      <c r="K93" t="s">
        <v>3114</v>
      </c>
      <c r="L93">
        <v>68</v>
      </c>
      <c r="M93" s="12" t="str" cm="1">
        <f t="array" ref="M93">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93">
        <v>82</v>
      </c>
      <c r="O93" s="13" t="str" cm="1">
        <f t="array" ref="O9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93">
        <v>95</v>
      </c>
      <c r="Q93" s="13" t="str" cm="1">
        <f t="array" ref="Q9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93">
        <v>63</v>
      </c>
      <c r="S93" t="str" cm="1">
        <f t="array" ref="S9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93">
        <v>62</v>
      </c>
      <c r="U93" t="str" cm="1">
        <f t="array" ref="U9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93">
        <v>98</v>
      </c>
      <c r="W93" t="str" cm="1">
        <f t="array" ref="W9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93">
        <v>93</v>
      </c>
      <c r="Y93" t="str" cm="1">
        <f t="array" ref="Y9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93">
        <f>SUM(Table1[[#This Row],[Math 
Score]],Table1[[#This Row],[History 
Score]],Table1[[#This Row],[Physics 
Score]],Table1[[#This Row],[Chemistry 
Score]],Table1[[#This Row],[Biology 
Score]],Table1[[#This Row],[English 
Score]],Table1[[#This Row],[Geography 
Score]])</f>
        <v>561</v>
      </c>
      <c r="AA93" s="3">
        <f>AVERAGE(Table1[[#This Row],[Math 
Score]],Table1[[#This Row],[History 
Score]],Table1[[#This Row],[Physics 
Score]],Table1[[#This Row],[Chemistry 
Score]],Table1[[#This Row],[Biology 
Score]],Table1[[#This Row],[English 
Score]],Table1[[#This Row],[Geography 
Score]])</f>
        <v>80.142857142857139</v>
      </c>
      <c r="AB9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93">
        <f t="shared" si="1"/>
        <v>1120</v>
      </c>
      <c r="AD93" t="str">
        <f>_xlfn.IFS(Table1[[#This Row],[Absence 
Days]]&lt;3,"Excellent",Table1[[#This Row],[Absence 
Days]]&lt;=6,"Good",Table1[[#This Row],[Absence 
Days]]&gt;6,"Poor")</f>
        <v>Good</v>
      </c>
    </row>
    <row r="94" spans="1:30" x14ac:dyDescent="0.35">
      <c r="A94">
        <v>93</v>
      </c>
      <c r="B94" s="2" t="s">
        <v>74</v>
      </c>
      <c r="C94" t="s">
        <v>530</v>
      </c>
      <c r="D94" t="str">
        <f>_xlfn.TEXTJOIN(" ",TRUE,Table1[[#This Row],[First 
Name]:[Last 
Name]])</f>
        <v>Robert Parsons</v>
      </c>
      <c r="E94" t="s">
        <v>1204</v>
      </c>
      <c r="F94" t="s">
        <v>3244</v>
      </c>
      <c r="G94" t="str">
        <f ca="1">PROPER(Table1[[#This Row],[Part Time 
Job]])</f>
        <v>False</v>
      </c>
      <c r="H94" s="3">
        <v>5</v>
      </c>
      <c r="I94" t="str">
        <f ca="1">PROPER(Table1[[#This Row],[Extracurricular 
Activities]])</f>
        <v>False</v>
      </c>
      <c r="J94">
        <v>31</v>
      </c>
      <c r="K94" t="s">
        <v>3117</v>
      </c>
      <c r="L94">
        <v>98</v>
      </c>
      <c r="M94" s="12" t="str" cm="1">
        <f t="array" ref="M9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94">
        <v>73</v>
      </c>
      <c r="O94" s="13" t="str" cm="1">
        <f t="array" ref="O9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94">
        <v>73</v>
      </c>
      <c r="Q94" s="13" t="str" cm="1">
        <f t="array" ref="Q9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94">
        <v>77</v>
      </c>
      <c r="S94" t="str" cm="1">
        <f t="array" ref="S9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94">
        <v>87</v>
      </c>
      <c r="U94" t="str" cm="1">
        <f t="array" ref="U9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94">
        <v>98</v>
      </c>
      <c r="W94" t="str" cm="1">
        <f t="array" ref="W9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94">
        <v>83</v>
      </c>
      <c r="Y94" t="str" cm="1">
        <f t="array" ref="Y9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94">
        <f>SUM(Table1[[#This Row],[Math 
Score]],Table1[[#This Row],[History 
Score]],Table1[[#This Row],[Physics 
Score]],Table1[[#This Row],[Chemistry 
Score]],Table1[[#This Row],[Biology 
Score]],Table1[[#This Row],[English 
Score]],Table1[[#This Row],[Geography 
Score]])</f>
        <v>589</v>
      </c>
      <c r="AA94" s="3">
        <f>AVERAGE(Table1[[#This Row],[Math 
Score]],Table1[[#This Row],[History 
Score]],Table1[[#This Row],[Physics 
Score]],Table1[[#This Row],[Chemistry 
Score]],Table1[[#This Row],[Biology 
Score]],Table1[[#This Row],[English 
Score]],Table1[[#This Row],[Geography 
Score]])</f>
        <v>84.142857142857139</v>
      </c>
      <c r="AB9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94">
        <f t="shared" si="1"/>
        <v>548</v>
      </c>
      <c r="AD94" t="str">
        <f>_xlfn.IFS(Table1[[#This Row],[Absence 
Days]]&lt;3,"Excellent",Table1[[#This Row],[Absence 
Days]]&lt;=6,"Good",Table1[[#This Row],[Absence 
Days]]&gt;6,"Poor")</f>
        <v>Good</v>
      </c>
    </row>
    <row r="95" spans="1:30" x14ac:dyDescent="0.35">
      <c r="A95">
        <v>94</v>
      </c>
      <c r="B95" s="2" t="s">
        <v>52</v>
      </c>
      <c r="C95" t="s">
        <v>527</v>
      </c>
      <c r="D95" t="str">
        <f>_xlfn.TEXTJOIN(" ",TRUE,Table1[[#This Row],[First 
Name]:[Last 
Name]])</f>
        <v>Jacob Brown</v>
      </c>
      <c r="E95" t="s">
        <v>1205</v>
      </c>
      <c r="F95" t="s">
        <v>3244</v>
      </c>
      <c r="G95" t="str">
        <f ca="1">PROPER(Table1[[#This Row],[Part Time 
Job]])</f>
        <v>False</v>
      </c>
      <c r="H95" s="3">
        <v>4</v>
      </c>
      <c r="I95" t="str">
        <f ca="1">PROPER(Table1[[#This Row],[Extracurricular 
Activities]])</f>
        <v>False</v>
      </c>
      <c r="J95">
        <v>34</v>
      </c>
      <c r="K95" t="s">
        <v>3127</v>
      </c>
      <c r="L95">
        <v>79</v>
      </c>
      <c r="M95" s="12" t="str" cm="1">
        <f t="array" ref="M9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95">
        <v>92</v>
      </c>
      <c r="O95" s="13" t="str" cm="1">
        <f t="array" ref="O9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95">
        <v>79</v>
      </c>
      <c r="Q95" s="13" t="str" cm="1">
        <f t="array" ref="Q9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95">
        <v>76</v>
      </c>
      <c r="S95" t="str" cm="1">
        <f t="array" ref="S9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95">
        <v>84</v>
      </c>
      <c r="U95" t="str" cm="1">
        <f t="array" ref="U9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95">
        <v>67</v>
      </c>
      <c r="W95" t="str" cm="1">
        <f t="array" ref="W9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95">
        <v>86</v>
      </c>
      <c r="Y95" t="str" cm="1">
        <f t="array" ref="Y9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95">
        <f>SUM(Table1[[#This Row],[Math 
Score]],Table1[[#This Row],[History 
Score]],Table1[[#This Row],[Physics 
Score]],Table1[[#This Row],[Chemistry 
Score]],Table1[[#This Row],[Biology 
Score]],Table1[[#This Row],[English 
Score]],Table1[[#This Row],[Geography 
Score]])</f>
        <v>563</v>
      </c>
      <c r="AA95" s="3">
        <f>AVERAGE(Table1[[#This Row],[Math 
Score]],Table1[[#This Row],[History 
Score]],Table1[[#This Row],[Physics 
Score]],Table1[[#This Row],[Chemistry 
Score]],Table1[[#This Row],[Biology 
Score]],Table1[[#This Row],[English 
Score]],Table1[[#This Row],[Geography 
Score]])</f>
        <v>80.428571428571431</v>
      </c>
      <c r="AB9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95">
        <f t="shared" si="1"/>
        <v>1077</v>
      </c>
      <c r="AD95" t="str">
        <f>_xlfn.IFS(Table1[[#This Row],[Absence 
Days]]&lt;3,"Excellent",Table1[[#This Row],[Absence 
Days]]&lt;=6,"Good",Table1[[#This Row],[Absence 
Days]]&gt;6,"Poor")</f>
        <v>Good</v>
      </c>
    </row>
    <row r="96" spans="1:30" x14ac:dyDescent="0.35">
      <c r="A96">
        <v>95</v>
      </c>
      <c r="B96" s="2" t="s">
        <v>77</v>
      </c>
      <c r="C96" t="s">
        <v>531</v>
      </c>
      <c r="D96" t="str">
        <f>_xlfn.TEXTJOIN(" ",TRUE,Table1[[#This Row],[First 
Name]:[Last 
Name]])</f>
        <v>Natalie Robinson</v>
      </c>
      <c r="E96" t="s">
        <v>1206</v>
      </c>
      <c r="F96" t="s">
        <v>3245</v>
      </c>
      <c r="G96" t="str">
        <f ca="1">PROPER(Table1[[#This Row],[Part Time 
Job]])</f>
        <v>False</v>
      </c>
      <c r="H96" s="3">
        <v>5</v>
      </c>
      <c r="I96" t="str">
        <f ca="1">PROPER(Table1[[#This Row],[Extracurricular 
Activities]])</f>
        <v>False</v>
      </c>
      <c r="J96">
        <v>3</v>
      </c>
      <c r="K96" t="s">
        <v>3116</v>
      </c>
      <c r="L96">
        <v>78</v>
      </c>
      <c r="M96" s="12" t="str" cm="1">
        <f t="array" ref="M9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96">
        <v>79</v>
      </c>
      <c r="O96" s="13" t="str" cm="1">
        <f t="array" ref="O9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96">
        <v>73</v>
      </c>
      <c r="Q96" s="13" t="str" cm="1">
        <f t="array" ref="Q9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96">
        <v>96</v>
      </c>
      <c r="S96" t="str" cm="1">
        <f t="array" ref="S9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96">
        <v>64</v>
      </c>
      <c r="U96" t="str" cm="1">
        <f t="array" ref="U9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96">
        <v>93</v>
      </c>
      <c r="W96" t="str" cm="1">
        <f t="array" ref="W9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96">
        <v>85</v>
      </c>
      <c r="Y96" t="str" cm="1">
        <f t="array" ref="Y9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96">
        <f>SUM(Table1[[#This Row],[Math 
Score]],Table1[[#This Row],[History 
Score]],Table1[[#This Row],[Physics 
Score]],Table1[[#This Row],[Chemistry 
Score]],Table1[[#This Row],[Biology 
Score]],Table1[[#This Row],[English 
Score]],Table1[[#This Row],[Geography 
Score]])</f>
        <v>568</v>
      </c>
      <c r="AA96" s="3">
        <f>AVERAGE(Table1[[#This Row],[Math 
Score]],Table1[[#This Row],[History 
Score]],Table1[[#This Row],[Physics 
Score]],Table1[[#This Row],[Chemistry 
Score]],Table1[[#This Row],[Biology 
Score]],Table1[[#This Row],[English 
Score]],Table1[[#This Row],[Geography 
Score]])</f>
        <v>81.142857142857139</v>
      </c>
      <c r="AB9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96">
        <f t="shared" si="1"/>
        <v>975</v>
      </c>
      <c r="AD96" t="str">
        <f>_xlfn.IFS(Table1[[#This Row],[Absence 
Days]]&lt;3,"Excellent",Table1[[#This Row],[Absence 
Days]]&lt;=6,"Good",Table1[[#This Row],[Absence 
Days]]&gt;6,"Poor")</f>
        <v>Good</v>
      </c>
    </row>
    <row r="97" spans="1:30" x14ac:dyDescent="0.35">
      <c r="A97">
        <v>96</v>
      </c>
      <c r="B97" s="2" t="s">
        <v>78</v>
      </c>
      <c r="C97" t="s">
        <v>532</v>
      </c>
      <c r="D97" t="str">
        <f>_xlfn.TEXTJOIN(" ",TRUE,Table1[[#This Row],[First 
Name]:[Last 
Name]])</f>
        <v>Victoria Jones</v>
      </c>
      <c r="E97" t="s">
        <v>1207</v>
      </c>
      <c r="F97" t="s">
        <v>3245</v>
      </c>
      <c r="G97" t="str">
        <f ca="1">PROPER(Table1[[#This Row],[Part Time 
Job]])</f>
        <v>False</v>
      </c>
      <c r="H97" s="3">
        <v>2</v>
      </c>
      <c r="I97" t="str">
        <f ca="1">PROPER(Table1[[#This Row],[Extracurricular 
Activities]])</f>
        <v>True</v>
      </c>
      <c r="J97">
        <v>34</v>
      </c>
      <c r="K97" t="s">
        <v>3117</v>
      </c>
      <c r="L97">
        <v>100</v>
      </c>
      <c r="M97" s="12" t="str" cm="1">
        <f t="array" ref="M9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97">
        <v>98</v>
      </c>
      <c r="O97" s="13" t="str" cm="1">
        <f t="array" ref="O9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97">
        <v>89</v>
      </c>
      <c r="Q97" s="13" t="str" cm="1">
        <f t="array" ref="Q9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97">
        <v>85</v>
      </c>
      <c r="S97" t="str" cm="1">
        <f t="array" ref="S9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97">
        <v>81</v>
      </c>
      <c r="U97" t="str" cm="1">
        <f t="array" ref="U9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97">
        <v>64</v>
      </c>
      <c r="W97" t="str" cm="1">
        <f t="array" ref="W9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97">
        <v>94</v>
      </c>
      <c r="Y97" t="str" cm="1">
        <f t="array" ref="Y9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97">
        <f>SUM(Table1[[#This Row],[Math 
Score]],Table1[[#This Row],[History 
Score]],Table1[[#This Row],[Physics 
Score]],Table1[[#This Row],[Chemistry 
Score]],Table1[[#This Row],[Biology 
Score]],Table1[[#This Row],[English 
Score]],Table1[[#This Row],[Geography 
Score]])</f>
        <v>611</v>
      </c>
      <c r="AA97" s="3">
        <f>AVERAGE(Table1[[#This Row],[Math 
Score]],Table1[[#This Row],[History 
Score]],Table1[[#This Row],[Physics 
Score]],Table1[[#This Row],[Chemistry 
Score]],Table1[[#This Row],[Biology 
Score]],Table1[[#This Row],[English 
Score]],Table1[[#This Row],[Geography 
Score]])</f>
        <v>87.285714285714292</v>
      </c>
      <c r="AB9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97">
        <f t="shared" si="1"/>
        <v>291</v>
      </c>
      <c r="AD97" t="str">
        <f>_xlfn.IFS(Table1[[#This Row],[Absence 
Days]]&lt;3,"Excellent",Table1[[#This Row],[Absence 
Days]]&lt;=6,"Good",Table1[[#This Row],[Absence 
Days]]&gt;6,"Poor")</f>
        <v>Excellent</v>
      </c>
    </row>
    <row r="98" spans="1:30" x14ac:dyDescent="0.35">
      <c r="A98">
        <v>97</v>
      </c>
      <c r="B98" s="2" t="s">
        <v>79</v>
      </c>
      <c r="C98" t="s">
        <v>533</v>
      </c>
      <c r="D98" t="str">
        <f>_xlfn.TEXTJOIN(" ",TRUE,Table1[[#This Row],[First 
Name]:[Last 
Name]])</f>
        <v>Natasha Hansen</v>
      </c>
      <c r="E98" t="s">
        <v>1208</v>
      </c>
      <c r="F98" t="s">
        <v>3245</v>
      </c>
      <c r="G98" t="str">
        <f ca="1">PROPER(Table1[[#This Row],[Part Time 
Job]])</f>
        <v>False</v>
      </c>
      <c r="H98" s="3">
        <v>3</v>
      </c>
      <c r="I98" t="str">
        <f ca="1">PROPER(Table1[[#This Row],[Extracurricular 
Activities]])</f>
        <v>True</v>
      </c>
      <c r="J98">
        <v>2</v>
      </c>
      <c r="K98" t="s">
        <v>3115</v>
      </c>
      <c r="L98">
        <v>86</v>
      </c>
      <c r="M98" s="12" t="str" cm="1">
        <f t="array" ref="M9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98">
        <v>76</v>
      </c>
      <c r="O98" s="13" t="str" cm="1">
        <f t="array" ref="O9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98">
        <v>84</v>
      </c>
      <c r="Q98" s="13" t="str" cm="1">
        <f t="array" ref="Q9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98">
        <v>93</v>
      </c>
      <c r="S98" t="str" cm="1">
        <f t="array" ref="S9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98">
        <v>76</v>
      </c>
      <c r="U98" t="str" cm="1">
        <f t="array" ref="U9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98">
        <v>69</v>
      </c>
      <c r="W98" t="str" cm="1">
        <f t="array" ref="W9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98">
        <v>91</v>
      </c>
      <c r="Y98" t="str" cm="1">
        <f t="array" ref="Y9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98">
        <f>SUM(Table1[[#This Row],[Math 
Score]],Table1[[#This Row],[History 
Score]],Table1[[#This Row],[Physics 
Score]],Table1[[#This Row],[Chemistry 
Score]],Table1[[#This Row],[Biology 
Score]],Table1[[#This Row],[English 
Score]],Table1[[#This Row],[Geography 
Score]])</f>
        <v>575</v>
      </c>
      <c r="AA98" s="3">
        <f>AVERAGE(Table1[[#This Row],[Math 
Score]],Table1[[#This Row],[History 
Score]],Table1[[#This Row],[Physics 
Score]],Table1[[#This Row],[Chemistry 
Score]],Table1[[#This Row],[Biology 
Score]],Table1[[#This Row],[English 
Score]],Table1[[#This Row],[Geography 
Score]])</f>
        <v>82.142857142857139</v>
      </c>
      <c r="AB9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98">
        <f t="shared" si="1"/>
        <v>807</v>
      </c>
      <c r="AD98" t="str">
        <f>_xlfn.IFS(Table1[[#This Row],[Absence 
Days]]&lt;3,"Excellent",Table1[[#This Row],[Absence 
Days]]&lt;=6,"Good",Table1[[#This Row],[Absence 
Days]]&gt;6,"Poor")</f>
        <v>Good</v>
      </c>
    </row>
    <row r="99" spans="1:30" x14ac:dyDescent="0.35">
      <c r="A99">
        <v>98</v>
      </c>
      <c r="B99" s="2" t="s">
        <v>80</v>
      </c>
      <c r="C99" t="s">
        <v>462</v>
      </c>
      <c r="D99" t="str">
        <f>_xlfn.TEXTJOIN(" ",TRUE,Table1[[#This Row],[First 
Name]:[Last 
Name]])</f>
        <v>Thomas White</v>
      </c>
      <c r="E99" t="s">
        <v>1209</v>
      </c>
      <c r="F99" t="s">
        <v>3244</v>
      </c>
      <c r="G99" t="str">
        <f ca="1">PROPER(Table1[[#This Row],[Part Time 
Job]])</f>
        <v>False</v>
      </c>
      <c r="H99" s="3">
        <v>3</v>
      </c>
      <c r="I99" t="str">
        <f ca="1">PROPER(Table1[[#This Row],[Extracurricular 
Activities]])</f>
        <v>False</v>
      </c>
      <c r="J99">
        <v>4</v>
      </c>
      <c r="K99" t="s">
        <v>3128</v>
      </c>
      <c r="L99">
        <v>87</v>
      </c>
      <c r="M99" s="12" t="str" cm="1">
        <f t="array" ref="M9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99">
        <v>89</v>
      </c>
      <c r="O99" s="13" t="str" cm="1">
        <f t="array" ref="O9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99">
        <v>93</v>
      </c>
      <c r="Q99" s="13" t="str" cm="1">
        <f t="array" ref="Q9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99">
        <v>98</v>
      </c>
      <c r="S99" t="str" cm="1">
        <f t="array" ref="S9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99">
        <v>79</v>
      </c>
      <c r="U99" t="str" cm="1">
        <f t="array" ref="U9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99">
        <v>72</v>
      </c>
      <c r="W99" t="str" cm="1">
        <f t="array" ref="W9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99">
        <v>88</v>
      </c>
      <c r="Y99" t="str" cm="1">
        <f t="array" ref="Y9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99">
        <f>SUM(Table1[[#This Row],[Math 
Score]],Table1[[#This Row],[History 
Score]],Table1[[#This Row],[Physics 
Score]],Table1[[#This Row],[Chemistry 
Score]],Table1[[#This Row],[Biology 
Score]],Table1[[#This Row],[English 
Score]],Table1[[#This Row],[Geography 
Score]])</f>
        <v>606</v>
      </c>
      <c r="AA99" s="3">
        <f>AVERAGE(Table1[[#This Row],[Math 
Score]],Table1[[#This Row],[History 
Score]],Table1[[#This Row],[Physics 
Score]],Table1[[#This Row],[Chemistry 
Score]],Table1[[#This Row],[Biology 
Score]],Table1[[#This Row],[English 
Score]],Table1[[#This Row],[Geography 
Score]])</f>
        <v>86.571428571428569</v>
      </c>
      <c r="AB9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99">
        <f t="shared" si="1"/>
        <v>333</v>
      </c>
      <c r="AD99" t="str">
        <f>_xlfn.IFS(Table1[[#This Row],[Absence 
Days]]&lt;3,"Excellent",Table1[[#This Row],[Absence 
Days]]&lt;=6,"Good",Table1[[#This Row],[Absence 
Days]]&gt;6,"Poor")</f>
        <v>Good</v>
      </c>
    </row>
    <row r="100" spans="1:30" x14ac:dyDescent="0.35">
      <c r="A100">
        <v>99</v>
      </c>
      <c r="B100" s="2" t="s">
        <v>81</v>
      </c>
      <c r="C100" t="s">
        <v>534</v>
      </c>
      <c r="D100" t="str">
        <f>_xlfn.TEXTJOIN(" ",TRUE,Table1[[#This Row],[First 
Name]:[Last 
Name]])</f>
        <v>Derrick Figueroa</v>
      </c>
      <c r="E100" t="s">
        <v>1210</v>
      </c>
      <c r="F100" t="s">
        <v>3244</v>
      </c>
      <c r="G100" t="str">
        <f ca="1">PROPER(Table1[[#This Row],[Part Time 
Job]])</f>
        <v>True</v>
      </c>
      <c r="H100" s="3">
        <v>0</v>
      </c>
      <c r="I100" t="str">
        <f ca="1">PROPER(Table1[[#This Row],[Extracurricular 
Activities]])</f>
        <v>False</v>
      </c>
      <c r="J100">
        <v>28</v>
      </c>
      <c r="K100" t="s">
        <v>3112</v>
      </c>
      <c r="L100">
        <v>100</v>
      </c>
      <c r="M100" s="12" t="str" cm="1">
        <f t="array" ref="M10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00">
        <v>93</v>
      </c>
      <c r="O100" s="13" t="str" cm="1">
        <f t="array" ref="O10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00">
        <v>85</v>
      </c>
      <c r="Q100" s="13" t="str" cm="1">
        <f t="array" ref="Q10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00">
        <v>61</v>
      </c>
      <c r="S100" t="str" cm="1">
        <f t="array" ref="S10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00">
        <v>96</v>
      </c>
      <c r="U100" t="str" cm="1">
        <f t="array" ref="U10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00">
        <v>83</v>
      </c>
      <c r="W100" t="str" cm="1">
        <f t="array" ref="W10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00">
        <v>86</v>
      </c>
      <c r="Y100" t="str" cm="1">
        <f t="array" ref="Y10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00">
        <f>SUM(Table1[[#This Row],[Math 
Score]],Table1[[#This Row],[History 
Score]],Table1[[#This Row],[Physics 
Score]],Table1[[#This Row],[Chemistry 
Score]],Table1[[#This Row],[Biology 
Score]],Table1[[#This Row],[English 
Score]],Table1[[#This Row],[Geography 
Score]])</f>
        <v>604</v>
      </c>
      <c r="AA100" s="3">
        <f>AVERAGE(Table1[[#This Row],[Math 
Score]],Table1[[#This Row],[History 
Score]],Table1[[#This Row],[Physics 
Score]],Table1[[#This Row],[Chemistry 
Score]],Table1[[#This Row],[Biology 
Score]],Table1[[#This Row],[English 
Score]],Table1[[#This Row],[Geography 
Score]])</f>
        <v>86.285714285714292</v>
      </c>
      <c r="AB10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00">
        <f t="shared" si="1"/>
        <v>353</v>
      </c>
      <c r="AD100" t="str">
        <f>_xlfn.IFS(Table1[[#This Row],[Absence 
Days]]&lt;3,"Excellent",Table1[[#This Row],[Absence 
Days]]&lt;=6,"Good",Table1[[#This Row],[Absence 
Days]]&gt;6,"Poor")</f>
        <v>Excellent</v>
      </c>
    </row>
    <row r="101" spans="1:30" x14ac:dyDescent="0.35">
      <c r="A101">
        <v>100</v>
      </c>
      <c r="B101" s="2" t="s">
        <v>44</v>
      </c>
      <c r="C101" t="s">
        <v>535</v>
      </c>
      <c r="D101" t="str">
        <f>_xlfn.TEXTJOIN(" ",TRUE,Table1[[#This Row],[First 
Name]:[Last 
Name]])</f>
        <v>Kimberly Ward</v>
      </c>
      <c r="E101" t="s">
        <v>1211</v>
      </c>
      <c r="F101" t="s">
        <v>3245</v>
      </c>
      <c r="G101" t="str">
        <f ca="1">PROPER(Table1[[#This Row],[Part Time 
Job]])</f>
        <v>False</v>
      </c>
      <c r="H101" s="3">
        <v>0</v>
      </c>
      <c r="I101" t="str">
        <f ca="1">PROPER(Table1[[#This Row],[Extracurricular 
Activities]])</f>
        <v>False</v>
      </c>
      <c r="J101">
        <v>5</v>
      </c>
      <c r="K101" t="s">
        <v>3126</v>
      </c>
      <c r="L101">
        <v>85</v>
      </c>
      <c r="M101" s="12" t="str" cm="1">
        <f t="array" ref="M10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01">
        <v>89</v>
      </c>
      <c r="O101" s="13" t="str" cm="1">
        <f t="array" ref="O10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01">
        <v>94</v>
      </c>
      <c r="Q101" s="13" t="str" cm="1">
        <f t="array" ref="Q10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01">
        <v>69</v>
      </c>
      <c r="S101" t="str" cm="1">
        <f t="array" ref="S10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01">
        <v>99</v>
      </c>
      <c r="U101" t="str" cm="1">
        <f t="array" ref="U10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01">
        <v>93</v>
      </c>
      <c r="W101" t="str" cm="1">
        <f t="array" ref="W10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01">
        <v>98</v>
      </c>
      <c r="Y101" t="str" cm="1">
        <f t="array" ref="Y10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01">
        <f>SUM(Table1[[#This Row],[Math 
Score]],Table1[[#This Row],[History 
Score]],Table1[[#This Row],[Physics 
Score]],Table1[[#This Row],[Chemistry 
Score]],Table1[[#This Row],[Biology 
Score]],Table1[[#This Row],[English 
Score]],Table1[[#This Row],[Geography 
Score]])</f>
        <v>627</v>
      </c>
      <c r="AA101" s="3">
        <f>AVERAGE(Table1[[#This Row],[Math 
Score]],Table1[[#This Row],[History 
Score]],Table1[[#This Row],[Physics 
Score]],Table1[[#This Row],[Chemistry 
Score]],Table1[[#This Row],[Biology 
Score]],Table1[[#This Row],[English 
Score]],Table1[[#This Row],[Geography 
Score]])</f>
        <v>89.571428571428569</v>
      </c>
      <c r="AB10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01">
        <f t="shared" si="1"/>
        <v>168</v>
      </c>
      <c r="AD101" t="str">
        <f>_xlfn.IFS(Table1[[#This Row],[Absence 
Days]]&lt;3,"Excellent",Table1[[#This Row],[Absence 
Days]]&lt;=6,"Good",Table1[[#This Row],[Absence 
Days]]&gt;6,"Poor")</f>
        <v>Excellent</v>
      </c>
    </row>
    <row r="102" spans="1:30" x14ac:dyDescent="0.35">
      <c r="A102">
        <v>101</v>
      </c>
      <c r="B102" s="2" t="s">
        <v>67</v>
      </c>
      <c r="C102" t="s">
        <v>532</v>
      </c>
      <c r="D102" t="str">
        <f>_xlfn.TEXTJOIN(" ",TRUE,Table1[[#This Row],[First 
Name]:[Last 
Name]])</f>
        <v>Rhonda Jones</v>
      </c>
      <c r="E102" t="s">
        <v>1212</v>
      </c>
      <c r="F102" t="s">
        <v>3245</v>
      </c>
      <c r="G102" t="str">
        <f ca="1">PROPER(Table1[[#This Row],[Part Time 
Job]])</f>
        <v>False</v>
      </c>
      <c r="H102" s="3">
        <v>2</v>
      </c>
      <c r="I102" t="str">
        <f ca="1">PROPER(Table1[[#This Row],[Extracurricular 
Activities]])</f>
        <v>False</v>
      </c>
      <c r="J102">
        <v>4</v>
      </c>
      <c r="K102" t="s">
        <v>3115</v>
      </c>
      <c r="L102">
        <v>87</v>
      </c>
      <c r="M102" s="12" t="str" cm="1">
        <f t="array" ref="M10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02">
        <v>73</v>
      </c>
      <c r="O102" s="13" t="str" cm="1">
        <f t="array" ref="O10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02">
        <v>98</v>
      </c>
      <c r="Q102" s="13" t="str" cm="1">
        <f t="array" ref="Q10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02">
        <v>91</v>
      </c>
      <c r="S102" t="str" cm="1">
        <f t="array" ref="S10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02">
        <v>79</v>
      </c>
      <c r="U102" t="str" cm="1">
        <f t="array" ref="U10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02">
        <v>60</v>
      </c>
      <c r="W102" t="str" cm="1">
        <f t="array" ref="W10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02">
        <v>77</v>
      </c>
      <c r="Y102" t="str" cm="1">
        <f t="array" ref="Y10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02">
        <f>SUM(Table1[[#This Row],[Math 
Score]],Table1[[#This Row],[History 
Score]],Table1[[#This Row],[Physics 
Score]],Table1[[#This Row],[Chemistry 
Score]],Table1[[#This Row],[Biology 
Score]],Table1[[#This Row],[English 
Score]],Table1[[#This Row],[Geography 
Score]])</f>
        <v>565</v>
      </c>
      <c r="AA102" s="3">
        <f>AVERAGE(Table1[[#This Row],[Math 
Score]],Table1[[#This Row],[History 
Score]],Table1[[#This Row],[Physics 
Score]],Table1[[#This Row],[Chemistry 
Score]],Table1[[#This Row],[Biology 
Score]],Table1[[#This Row],[English 
Score]],Table1[[#This Row],[Geography 
Score]])</f>
        <v>80.714285714285708</v>
      </c>
      <c r="AB10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02">
        <f t="shared" si="1"/>
        <v>1035</v>
      </c>
      <c r="AD102" t="str">
        <f>_xlfn.IFS(Table1[[#This Row],[Absence 
Days]]&lt;3,"Excellent",Table1[[#This Row],[Absence 
Days]]&lt;=6,"Good",Table1[[#This Row],[Absence 
Days]]&gt;6,"Poor")</f>
        <v>Excellent</v>
      </c>
    </row>
    <row r="103" spans="1:30" x14ac:dyDescent="0.35">
      <c r="A103">
        <v>102</v>
      </c>
      <c r="B103" s="2" t="s">
        <v>82</v>
      </c>
      <c r="C103" t="s">
        <v>510</v>
      </c>
      <c r="D103" t="str">
        <f>_xlfn.TEXTJOIN(" ",TRUE,Table1[[#This Row],[First 
Name]:[Last 
Name]])</f>
        <v>Abigail Perez</v>
      </c>
      <c r="E103" t="s">
        <v>1213</v>
      </c>
      <c r="F103" t="s">
        <v>3245</v>
      </c>
      <c r="G103" t="str">
        <f ca="1">PROPER(Table1[[#This Row],[Part Time 
Job]])</f>
        <v>False</v>
      </c>
      <c r="H103" s="3">
        <v>2</v>
      </c>
      <c r="I103" t="str">
        <f ca="1">PROPER(Table1[[#This Row],[Extracurricular 
Activities]])</f>
        <v>False</v>
      </c>
      <c r="J103">
        <v>25</v>
      </c>
      <c r="K103" t="s">
        <v>3117</v>
      </c>
      <c r="L103">
        <v>96</v>
      </c>
      <c r="M103" s="12" t="str" cm="1">
        <f t="array" ref="M10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03">
        <v>80</v>
      </c>
      <c r="O103" s="13" t="str" cm="1">
        <f t="array" ref="O10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03">
        <v>100</v>
      </c>
      <c r="Q103" s="13" t="str" cm="1">
        <f t="array" ref="Q10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03">
        <v>61</v>
      </c>
      <c r="S103" t="str" cm="1">
        <f t="array" ref="S10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03">
        <v>81</v>
      </c>
      <c r="U103" t="str" cm="1">
        <f t="array" ref="U10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03">
        <v>98</v>
      </c>
      <c r="W103" t="str" cm="1">
        <f t="array" ref="W10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03">
        <v>65</v>
      </c>
      <c r="Y103" t="str" cm="1">
        <f t="array" ref="Y10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03">
        <f>SUM(Table1[[#This Row],[Math 
Score]],Table1[[#This Row],[History 
Score]],Table1[[#This Row],[Physics 
Score]],Table1[[#This Row],[Chemistry 
Score]],Table1[[#This Row],[Biology 
Score]],Table1[[#This Row],[English 
Score]],Table1[[#This Row],[Geography 
Score]])</f>
        <v>581</v>
      </c>
      <c r="AA103" s="3">
        <f>AVERAGE(Table1[[#This Row],[Math 
Score]],Table1[[#This Row],[History 
Score]],Table1[[#This Row],[Physics 
Score]],Table1[[#This Row],[Chemistry 
Score]],Table1[[#This Row],[Biology 
Score]],Table1[[#This Row],[English 
Score]],Table1[[#This Row],[Geography 
Score]])</f>
        <v>83</v>
      </c>
      <c r="AB10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03">
        <f t="shared" si="1"/>
        <v>688</v>
      </c>
      <c r="AD103" t="str">
        <f>_xlfn.IFS(Table1[[#This Row],[Absence 
Days]]&lt;3,"Excellent",Table1[[#This Row],[Absence 
Days]]&lt;=6,"Good",Table1[[#This Row],[Absence 
Days]]&gt;6,"Poor")</f>
        <v>Excellent</v>
      </c>
    </row>
    <row r="104" spans="1:30" x14ac:dyDescent="0.35">
      <c r="A104">
        <v>103</v>
      </c>
      <c r="B104" s="2" t="s">
        <v>71</v>
      </c>
      <c r="C104" t="s">
        <v>536</v>
      </c>
      <c r="D104" t="str">
        <f>_xlfn.TEXTJOIN(" ",TRUE,Table1[[#This Row],[First 
Name]:[Last 
Name]])</f>
        <v>James Yang</v>
      </c>
      <c r="E104" t="s">
        <v>1214</v>
      </c>
      <c r="F104" t="s">
        <v>3244</v>
      </c>
      <c r="G104" t="str">
        <f ca="1">PROPER(Table1[[#This Row],[Part Time 
Job]])</f>
        <v>False</v>
      </c>
      <c r="H104" s="3">
        <v>5</v>
      </c>
      <c r="I104" t="str">
        <f ca="1">PROPER(Table1[[#This Row],[Extracurricular 
Activities]])</f>
        <v>False</v>
      </c>
      <c r="J104">
        <v>29</v>
      </c>
      <c r="K104" t="s">
        <v>3122</v>
      </c>
      <c r="L104">
        <v>76</v>
      </c>
      <c r="M104" s="12" t="str" cm="1">
        <f t="array" ref="M10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04">
        <v>87</v>
      </c>
      <c r="O104" s="13" t="str" cm="1">
        <f t="array" ref="O10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04">
        <v>64</v>
      </c>
      <c r="Q104" s="13" t="str" cm="1">
        <f t="array" ref="Q10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04">
        <v>74</v>
      </c>
      <c r="S104" t="str" cm="1">
        <f t="array" ref="S10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04">
        <v>73</v>
      </c>
      <c r="U104" t="str" cm="1">
        <f t="array" ref="U10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04">
        <v>90</v>
      </c>
      <c r="W104" t="str" cm="1">
        <f t="array" ref="W10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04">
        <v>99</v>
      </c>
      <c r="Y104" t="str" cm="1">
        <f t="array" ref="Y10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04">
        <f>SUM(Table1[[#This Row],[Math 
Score]],Table1[[#This Row],[History 
Score]],Table1[[#This Row],[Physics 
Score]],Table1[[#This Row],[Chemistry 
Score]],Table1[[#This Row],[Biology 
Score]],Table1[[#This Row],[English 
Score]],Table1[[#This Row],[Geography 
Score]])</f>
        <v>563</v>
      </c>
      <c r="AA104" s="3">
        <f>AVERAGE(Table1[[#This Row],[Math 
Score]],Table1[[#This Row],[History 
Score]],Table1[[#This Row],[Physics 
Score]],Table1[[#This Row],[Chemistry 
Score]],Table1[[#This Row],[Biology 
Score]],Table1[[#This Row],[English 
Score]],Table1[[#This Row],[Geography 
Score]])</f>
        <v>80.428571428571431</v>
      </c>
      <c r="AB10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04">
        <f t="shared" si="1"/>
        <v>1077</v>
      </c>
      <c r="AD104" t="str">
        <f>_xlfn.IFS(Table1[[#This Row],[Absence 
Days]]&lt;3,"Excellent",Table1[[#This Row],[Absence 
Days]]&lt;=6,"Good",Table1[[#This Row],[Absence 
Days]]&gt;6,"Poor")</f>
        <v>Good</v>
      </c>
    </row>
    <row r="105" spans="1:30" x14ac:dyDescent="0.35">
      <c r="A105">
        <v>104</v>
      </c>
      <c r="B105" s="2" t="s">
        <v>83</v>
      </c>
      <c r="C105" t="s">
        <v>537</v>
      </c>
      <c r="D105" t="str">
        <f>_xlfn.TEXTJOIN(" ",TRUE,Table1[[#This Row],[First 
Name]:[Last 
Name]])</f>
        <v>Stephen Patton</v>
      </c>
      <c r="E105" t="s">
        <v>1215</v>
      </c>
      <c r="F105" t="s">
        <v>3244</v>
      </c>
      <c r="G105" t="str">
        <f ca="1">PROPER(Table1[[#This Row],[Part Time 
Job]])</f>
        <v>True</v>
      </c>
      <c r="H105" s="3">
        <v>6</v>
      </c>
      <c r="I105" t="str">
        <f ca="1">PROPER(Table1[[#This Row],[Extracurricular 
Activities]])</f>
        <v>False</v>
      </c>
      <c r="J105">
        <v>1</v>
      </c>
      <c r="K105" t="s">
        <v>3115</v>
      </c>
      <c r="L105">
        <v>90</v>
      </c>
      <c r="M105" s="12" t="str" cm="1">
        <f t="array" ref="M10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05">
        <v>80</v>
      </c>
      <c r="O105" s="13" t="str" cm="1">
        <f t="array" ref="O10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05">
        <v>63</v>
      </c>
      <c r="Q105" s="13" t="str" cm="1">
        <f t="array" ref="Q10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05">
        <v>94</v>
      </c>
      <c r="S105" t="str" cm="1">
        <f t="array" ref="S10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05">
        <v>64</v>
      </c>
      <c r="U105" t="str" cm="1">
        <f t="array" ref="U10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05">
        <v>70</v>
      </c>
      <c r="W105" t="str" cm="1">
        <f t="array" ref="W10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05">
        <v>79</v>
      </c>
      <c r="Y105" t="str" cm="1">
        <f t="array" ref="Y10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05">
        <f>SUM(Table1[[#This Row],[Math 
Score]],Table1[[#This Row],[History 
Score]],Table1[[#This Row],[Physics 
Score]],Table1[[#This Row],[Chemistry 
Score]],Table1[[#This Row],[Biology 
Score]],Table1[[#This Row],[English 
Score]],Table1[[#This Row],[Geography 
Score]])</f>
        <v>540</v>
      </c>
      <c r="AA105" s="3">
        <f>AVERAGE(Table1[[#This Row],[Math 
Score]],Table1[[#This Row],[History 
Score]],Table1[[#This Row],[Physics 
Score]],Table1[[#This Row],[Chemistry 
Score]],Table1[[#This Row],[Biology 
Score]],Table1[[#This Row],[English 
Score]],Table1[[#This Row],[Geography 
Score]])</f>
        <v>77.142857142857139</v>
      </c>
      <c r="AB10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05">
        <f t="shared" si="1"/>
        <v>1513</v>
      </c>
      <c r="AD105" t="str">
        <f>_xlfn.IFS(Table1[[#This Row],[Absence 
Days]]&lt;3,"Excellent",Table1[[#This Row],[Absence 
Days]]&lt;=6,"Good",Table1[[#This Row],[Absence 
Days]]&gt;6,"Poor")</f>
        <v>Good</v>
      </c>
    </row>
    <row r="106" spans="1:30" x14ac:dyDescent="0.35">
      <c r="A106">
        <v>105</v>
      </c>
      <c r="B106" s="2" t="s">
        <v>84</v>
      </c>
      <c r="C106" t="s">
        <v>538</v>
      </c>
      <c r="D106" t="str">
        <f>_xlfn.TEXTJOIN(" ",TRUE,Table1[[#This Row],[First 
Name]:[Last 
Name]])</f>
        <v>Emma Wright</v>
      </c>
      <c r="E106" t="s">
        <v>1216</v>
      </c>
      <c r="F106" t="s">
        <v>3245</v>
      </c>
      <c r="G106" t="str">
        <f ca="1">PROPER(Table1[[#This Row],[Part Time 
Job]])</f>
        <v>False</v>
      </c>
      <c r="H106" s="3">
        <v>7</v>
      </c>
      <c r="I106" t="str">
        <f ca="1">PROPER(Table1[[#This Row],[Extracurricular 
Activities]])</f>
        <v>False</v>
      </c>
      <c r="J106">
        <v>2</v>
      </c>
      <c r="K106" t="s">
        <v>3119</v>
      </c>
      <c r="L106">
        <v>65</v>
      </c>
      <c r="M106" s="12" t="str" cm="1">
        <f t="array" ref="M106">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06">
        <v>60</v>
      </c>
      <c r="O106" s="13" t="str" cm="1">
        <f t="array" ref="O10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06">
        <v>100</v>
      </c>
      <c r="Q106" s="13" t="str" cm="1">
        <f t="array" ref="Q10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06">
        <v>91</v>
      </c>
      <c r="S106" t="str" cm="1">
        <f t="array" ref="S10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06">
        <v>87</v>
      </c>
      <c r="U106" t="str" cm="1">
        <f t="array" ref="U10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06">
        <v>78</v>
      </c>
      <c r="W106" t="str" cm="1">
        <f t="array" ref="W10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06">
        <v>99</v>
      </c>
      <c r="Y106" t="str" cm="1">
        <f t="array" ref="Y10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06">
        <f>SUM(Table1[[#This Row],[Math 
Score]],Table1[[#This Row],[History 
Score]],Table1[[#This Row],[Physics 
Score]],Table1[[#This Row],[Chemistry 
Score]],Table1[[#This Row],[Biology 
Score]],Table1[[#This Row],[English 
Score]],Table1[[#This Row],[Geography 
Score]])</f>
        <v>580</v>
      </c>
      <c r="AA106" s="3">
        <f>AVERAGE(Table1[[#This Row],[Math 
Score]],Table1[[#This Row],[History 
Score]],Table1[[#This Row],[Physics 
Score]],Table1[[#This Row],[Chemistry 
Score]],Table1[[#This Row],[Biology 
Score]],Table1[[#This Row],[English 
Score]],Table1[[#This Row],[Geography 
Score]])</f>
        <v>82.857142857142861</v>
      </c>
      <c r="AB10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06">
        <f t="shared" si="1"/>
        <v>709</v>
      </c>
      <c r="AD106" t="str">
        <f>_xlfn.IFS(Table1[[#This Row],[Absence 
Days]]&lt;3,"Excellent",Table1[[#This Row],[Absence 
Days]]&lt;=6,"Good",Table1[[#This Row],[Absence 
Days]]&gt;6,"Poor")</f>
        <v>Poor</v>
      </c>
    </row>
    <row r="107" spans="1:30" x14ac:dyDescent="0.35">
      <c r="A107">
        <v>106</v>
      </c>
      <c r="B107" s="2" t="s">
        <v>29</v>
      </c>
      <c r="C107" t="s">
        <v>527</v>
      </c>
      <c r="D107" t="str">
        <f>_xlfn.TEXTJOIN(" ",TRUE,Table1[[#This Row],[First 
Name]:[Last 
Name]])</f>
        <v>Cynthia Brown</v>
      </c>
      <c r="E107" t="s">
        <v>1217</v>
      </c>
      <c r="F107" t="s">
        <v>3245</v>
      </c>
      <c r="G107" t="str">
        <f ca="1">PROPER(Table1[[#This Row],[Part Time 
Job]])</f>
        <v>False</v>
      </c>
      <c r="H107" s="3">
        <v>2</v>
      </c>
      <c r="I107" t="str">
        <f ca="1">PROPER(Table1[[#This Row],[Extracurricular 
Activities]])</f>
        <v>False</v>
      </c>
      <c r="J107">
        <v>0</v>
      </c>
      <c r="K107" t="s">
        <v>3128</v>
      </c>
      <c r="L107">
        <v>98</v>
      </c>
      <c r="M107" s="12" t="str" cm="1">
        <f t="array" ref="M10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07">
        <v>97</v>
      </c>
      <c r="O107" s="13" t="str" cm="1">
        <f t="array" ref="O10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07">
        <v>62</v>
      </c>
      <c r="Q107" s="13" t="str" cm="1">
        <f t="array" ref="Q10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07">
        <v>89</v>
      </c>
      <c r="S107" t="str" cm="1">
        <f t="array" ref="S10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07">
        <v>62</v>
      </c>
      <c r="U107" t="str" cm="1">
        <f t="array" ref="U10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07">
        <v>95</v>
      </c>
      <c r="W107" t="str" cm="1">
        <f t="array" ref="W10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07">
        <v>77</v>
      </c>
      <c r="Y107" t="str" cm="1">
        <f t="array" ref="Y10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07">
        <f>SUM(Table1[[#This Row],[Math 
Score]],Table1[[#This Row],[History 
Score]],Table1[[#This Row],[Physics 
Score]],Table1[[#This Row],[Chemistry 
Score]],Table1[[#This Row],[Biology 
Score]],Table1[[#This Row],[English 
Score]],Table1[[#This Row],[Geography 
Score]])</f>
        <v>580</v>
      </c>
      <c r="AA107" s="3">
        <f>AVERAGE(Table1[[#This Row],[Math 
Score]],Table1[[#This Row],[History 
Score]],Table1[[#This Row],[Physics 
Score]],Table1[[#This Row],[Chemistry 
Score]],Table1[[#This Row],[Biology 
Score]],Table1[[#This Row],[English 
Score]],Table1[[#This Row],[Geography 
Score]])</f>
        <v>82.857142857142861</v>
      </c>
      <c r="AB10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07">
        <f t="shared" si="1"/>
        <v>709</v>
      </c>
      <c r="AD107" t="str">
        <f>_xlfn.IFS(Table1[[#This Row],[Absence 
Days]]&lt;3,"Excellent",Table1[[#This Row],[Absence 
Days]]&lt;=6,"Good",Table1[[#This Row],[Absence 
Days]]&gt;6,"Poor")</f>
        <v>Excellent</v>
      </c>
    </row>
    <row r="108" spans="1:30" x14ac:dyDescent="0.35">
      <c r="A108">
        <v>107</v>
      </c>
      <c r="B108" s="2" t="s">
        <v>85</v>
      </c>
      <c r="C108" t="s">
        <v>539</v>
      </c>
      <c r="D108" t="str">
        <f>_xlfn.TEXTJOIN(" ",TRUE,Table1[[#This Row],[First 
Name]:[Last 
Name]])</f>
        <v>Erin Kelley</v>
      </c>
      <c r="E108" t="s">
        <v>1218</v>
      </c>
      <c r="F108" t="s">
        <v>3245</v>
      </c>
      <c r="G108" t="str">
        <f ca="1">PROPER(Table1[[#This Row],[Part Time 
Job]])</f>
        <v>False</v>
      </c>
      <c r="H108" s="3">
        <v>3</v>
      </c>
      <c r="I108" t="str">
        <f ca="1">PROPER(Table1[[#This Row],[Extracurricular 
Activities]])</f>
        <v>False</v>
      </c>
      <c r="J108">
        <v>16</v>
      </c>
      <c r="K108" t="s">
        <v>3123</v>
      </c>
      <c r="L108">
        <v>91</v>
      </c>
      <c r="M108" s="12" t="str" cm="1">
        <f t="array" ref="M10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08">
        <v>80</v>
      </c>
      <c r="O108" s="13" t="str" cm="1">
        <f t="array" ref="O10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08">
        <v>97</v>
      </c>
      <c r="Q108" s="13" t="str" cm="1">
        <f t="array" ref="Q10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08">
        <v>89</v>
      </c>
      <c r="S108" t="str" cm="1">
        <f t="array" ref="S10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08">
        <v>94</v>
      </c>
      <c r="U108" t="str" cm="1">
        <f t="array" ref="U10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08">
        <v>95</v>
      </c>
      <c r="W108" t="str" cm="1">
        <f t="array" ref="W10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08">
        <v>84</v>
      </c>
      <c r="Y108" t="str" cm="1">
        <f t="array" ref="Y10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08">
        <f>SUM(Table1[[#This Row],[Math 
Score]],Table1[[#This Row],[History 
Score]],Table1[[#This Row],[Physics 
Score]],Table1[[#This Row],[Chemistry 
Score]],Table1[[#This Row],[Biology 
Score]],Table1[[#This Row],[English 
Score]],Table1[[#This Row],[Geography 
Score]])</f>
        <v>630</v>
      </c>
      <c r="AA108" s="3">
        <f>AVERAGE(Table1[[#This Row],[Math 
Score]],Table1[[#This Row],[History 
Score]],Table1[[#This Row],[Physics 
Score]],Table1[[#This Row],[Chemistry 
Score]],Table1[[#This Row],[Biology 
Score]],Table1[[#This Row],[English 
Score]],Table1[[#This Row],[Geography 
Score]])</f>
        <v>90</v>
      </c>
      <c r="AB10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08">
        <f t="shared" si="1"/>
        <v>154</v>
      </c>
      <c r="AD108" t="str">
        <f>_xlfn.IFS(Table1[[#This Row],[Absence 
Days]]&lt;3,"Excellent",Table1[[#This Row],[Absence 
Days]]&lt;=6,"Good",Table1[[#This Row],[Absence 
Days]]&gt;6,"Poor")</f>
        <v>Good</v>
      </c>
    </row>
    <row r="109" spans="1:30" x14ac:dyDescent="0.35">
      <c r="A109">
        <v>108</v>
      </c>
      <c r="B109" s="2" t="s">
        <v>86</v>
      </c>
      <c r="C109" t="s">
        <v>540</v>
      </c>
      <c r="D109" t="str">
        <f>_xlfn.TEXTJOIN(" ",TRUE,Table1[[#This Row],[First 
Name]:[Last 
Name]])</f>
        <v>Benjamin Morse</v>
      </c>
      <c r="E109" t="s">
        <v>1219</v>
      </c>
      <c r="F109" t="s">
        <v>3244</v>
      </c>
      <c r="G109" t="str">
        <f ca="1">PROPER(Table1[[#This Row],[Part Time 
Job]])</f>
        <v>False</v>
      </c>
      <c r="H109" s="3">
        <v>3</v>
      </c>
      <c r="I109" t="str">
        <f ca="1">PROPER(Table1[[#This Row],[Extracurricular 
Activities]])</f>
        <v>True</v>
      </c>
      <c r="J109">
        <v>31</v>
      </c>
      <c r="K109" t="s">
        <v>3120</v>
      </c>
      <c r="L109">
        <v>86</v>
      </c>
      <c r="M109" s="12" t="str" cm="1">
        <f t="array" ref="M10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09">
        <v>81</v>
      </c>
      <c r="O109" s="13" t="str" cm="1">
        <f t="array" ref="O10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09">
        <v>83</v>
      </c>
      <c r="Q109" s="13" t="str" cm="1">
        <f t="array" ref="Q10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09">
        <v>81</v>
      </c>
      <c r="S109" t="str" cm="1">
        <f t="array" ref="S10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09">
        <v>81</v>
      </c>
      <c r="U109" t="str" cm="1">
        <f t="array" ref="U10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09">
        <v>77</v>
      </c>
      <c r="W109" t="str" cm="1">
        <f t="array" ref="W10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09">
        <v>86</v>
      </c>
      <c r="Y109" t="str" cm="1">
        <f t="array" ref="Y10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09">
        <f>SUM(Table1[[#This Row],[Math 
Score]],Table1[[#This Row],[History 
Score]],Table1[[#This Row],[Physics 
Score]],Table1[[#This Row],[Chemistry 
Score]],Table1[[#This Row],[Biology 
Score]],Table1[[#This Row],[English 
Score]],Table1[[#This Row],[Geography 
Score]])</f>
        <v>575</v>
      </c>
      <c r="AA109" s="3">
        <f>AVERAGE(Table1[[#This Row],[Math 
Score]],Table1[[#This Row],[History 
Score]],Table1[[#This Row],[Physics 
Score]],Table1[[#This Row],[Chemistry 
Score]],Table1[[#This Row],[Biology 
Score]],Table1[[#This Row],[English 
Score]],Table1[[#This Row],[Geography 
Score]])</f>
        <v>82.142857142857139</v>
      </c>
      <c r="AB10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09">
        <f t="shared" si="1"/>
        <v>807</v>
      </c>
      <c r="AD109" t="str">
        <f>_xlfn.IFS(Table1[[#This Row],[Absence 
Days]]&lt;3,"Excellent",Table1[[#This Row],[Absence 
Days]]&lt;=6,"Good",Table1[[#This Row],[Absence 
Days]]&gt;6,"Poor")</f>
        <v>Good</v>
      </c>
    </row>
    <row r="110" spans="1:30" x14ac:dyDescent="0.35">
      <c r="A110">
        <v>109</v>
      </c>
      <c r="B110" s="2" t="s">
        <v>87</v>
      </c>
      <c r="C110" t="s">
        <v>541</v>
      </c>
      <c r="D110" t="str">
        <f>_xlfn.TEXTJOIN(" ",TRUE,Table1[[#This Row],[First 
Name]:[Last 
Name]])</f>
        <v>Alexandra Gibson</v>
      </c>
      <c r="E110" t="s">
        <v>1220</v>
      </c>
      <c r="F110" t="s">
        <v>3245</v>
      </c>
      <c r="G110" t="str">
        <f ca="1">PROPER(Table1[[#This Row],[Part Time 
Job]])</f>
        <v>False</v>
      </c>
      <c r="H110" s="3">
        <v>1</v>
      </c>
      <c r="I110" t="str">
        <f ca="1">PROPER(Table1[[#This Row],[Extracurricular 
Activities]])</f>
        <v>False</v>
      </c>
      <c r="J110">
        <v>4</v>
      </c>
      <c r="K110" t="s">
        <v>3116</v>
      </c>
      <c r="L110">
        <v>91</v>
      </c>
      <c r="M110" s="12" t="str" cm="1">
        <f t="array" ref="M11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10">
        <v>93</v>
      </c>
      <c r="O110" s="13" t="str" cm="1">
        <f t="array" ref="O11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10">
        <v>72</v>
      </c>
      <c r="Q110" s="13" t="str" cm="1">
        <f t="array" ref="Q11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10">
        <v>61</v>
      </c>
      <c r="S110" t="str" cm="1">
        <f t="array" ref="S11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10">
        <v>61</v>
      </c>
      <c r="U110" t="str" cm="1">
        <f t="array" ref="U11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10">
        <v>87</v>
      </c>
      <c r="W110" t="str" cm="1">
        <f t="array" ref="W11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10">
        <v>95</v>
      </c>
      <c r="Y110" t="str" cm="1">
        <f t="array" ref="Y11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10">
        <f>SUM(Table1[[#This Row],[Math 
Score]],Table1[[#This Row],[History 
Score]],Table1[[#This Row],[Physics 
Score]],Table1[[#This Row],[Chemistry 
Score]],Table1[[#This Row],[Biology 
Score]],Table1[[#This Row],[English 
Score]],Table1[[#This Row],[Geography 
Score]])</f>
        <v>560</v>
      </c>
      <c r="AA110" s="3">
        <f>AVERAGE(Table1[[#This Row],[Math 
Score]],Table1[[#This Row],[History 
Score]],Table1[[#This Row],[Physics 
Score]],Table1[[#This Row],[Chemistry 
Score]],Table1[[#This Row],[Biology 
Score]],Table1[[#This Row],[English 
Score]],Table1[[#This Row],[Geography 
Score]])</f>
        <v>80</v>
      </c>
      <c r="AB11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10">
        <f t="shared" si="1"/>
        <v>1134</v>
      </c>
      <c r="AD110" t="str">
        <f>_xlfn.IFS(Table1[[#This Row],[Absence 
Days]]&lt;3,"Excellent",Table1[[#This Row],[Absence 
Days]]&lt;=6,"Good",Table1[[#This Row],[Absence 
Days]]&gt;6,"Poor")</f>
        <v>Excellent</v>
      </c>
    </row>
    <row r="111" spans="1:30" x14ac:dyDescent="0.35">
      <c r="A111">
        <v>110</v>
      </c>
      <c r="B111" s="2" t="s">
        <v>88</v>
      </c>
      <c r="C111" t="s">
        <v>194</v>
      </c>
      <c r="D111" t="str">
        <f>_xlfn.TEXTJOIN(" ",TRUE,Table1[[#This Row],[First 
Name]:[Last 
Name]])</f>
        <v>Phillip Allen</v>
      </c>
      <c r="E111" t="s">
        <v>1221</v>
      </c>
      <c r="F111" t="s">
        <v>3244</v>
      </c>
      <c r="G111" t="str">
        <f ca="1">PROPER(Table1[[#This Row],[Part Time 
Job]])</f>
        <v>False</v>
      </c>
      <c r="H111" s="3">
        <v>5</v>
      </c>
      <c r="I111" t="str">
        <f ca="1">PROPER(Table1[[#This Row],[Extracurricular 
Activities]])</f>
        <v>True</v>
      </c>
      <c r="J111">
        <v>13</v>
      </c>
      <c r="K111" t="s">
        <v>3123</v>
      </c>
      <c r="L111">
        <v>78</v>
      </c>
      <c r="M111" s="12" t="str" cm="1">
        <f t="array" ref="M11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11">
        <v>69</v>
      </c>
      <c r="O111" s="13" t="str" cm="1">
        <f t="array" ref="O11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11">
        <v>82</v>
      </c>
      <c r="Q111" s="13" t="str" cm="1">
        <f t="array" ref="Q11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11">
        <v>60</v>
      </c>
      <c r="S111" t="str" cm="1">
        <f t="array" ref="S11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11">
        <v>64</v>
      </c>
      <c r="U111" t="str" cm="1">
        <f t="array" ref="U11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11">
        <v>77</v>
      </c>
      <c r="W111" t="str" cm="1">
        <f t="array" ref="W11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11">
        <v>82</v>
      </c>
      <c r="Y111" t="str" cm="1">
        <f t="array" ref="Y11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11">
        <f>SUM(Table1[[#This Row],[Math 
Score]],Table1[[#This Row],[History 
Score]],Table1[[#This Row],[Physics 
Score]],Table1[[#This Row],[Chemistry 
Score]],Table1[[#This Row],[Biology 
Score]],Table1[[#This Row],[English 
Score]],Table1[[#This Row],[Geography 
Score]])</f>
        <v>512</v>
      </c>
      <c r="AA111" s="3">
        <f>AVERAGE(Table1[[#This Row],[Math 
Score]],Table1[[#This Row],[History 
Score]],Table1[[#This Row],[Physics 
Score]],Table1[[#This Row],[Chemistry 
Score]],Table1[[#This Row],[Biology 
Score]],Table1[[#This Row],[English 
Score]],Table1[[#This Row],[Geography 
Score]])</f>
        <v>73.142857142857139</v>
      </c>
      <c r="AB11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11">
        <f t="shared" si="1"/>
        <v>1815</v>
      </c>
      <c r="AD111" t="str">
        <f>_xlfn.IFS(Table1[[#This Row],[Absence 
Days]]&lt;3,"Excellent",Table1[[#This Row],[Absence 
Days]]&lt;=6,"Good",Table1[[#This Row],[Absence 
Days]]&gt;6,"Poor")</f>
        <v>Good</v>
      </c>
    </row>
    <row r="112" spans="1:30" x14ac:dyDescent="0.35">
      <c r="A112">
        <v>111</v>
      </c>
      <c r="B112" s="2" t="s">
        <v>89</v>
      </c>
      <c r="C112" t="s">
        <v>542</v>
      </c>
      <c r="D112" t="str">
        <f>_xlfn.TEXTJOIN(" ",TRUE,Table1[[#This Row],[First 
Name]:[Last 
Name]])</f>
        <v>Joshua Gonzalez</v>
      </c>
      <c r="E112" t="s">
        <v>1222</v>
      </c>
      <c r="F112" t="s">
        <v>3244</v>
      </c>
      <c r="G112" t="str">
        <f ca="1">PROPER(Table1[[#This Row],[Part Time 
Job]])</f>
        <v>False</v>
      </c>
      <c r="H112" s="3">
        <v>4</v>
      </c>
      <c r="I112" t="str">
        <f ca="1">PROPER(Table1[[#This Row],[Extracurricular 
Activities]])</f>
        <v>False</v>
      </c>
      <c r="J112">
        <v>24</v>
      </c>
      <c r="K112" t="s">
        <v>3127</v>
      </c>
      <c r="L112">
        <v>76</v>
      </c>
      <c r="M112" s="12" t="str" cm="1">
        <f t="array" ref="M11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12">
        <v>89</v>
      </c>
      <c r="O112" s="13" t="str" cm="1">
        <f t="array" ref="O11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12">
        <v>89</v>
      </c>
      <c r="Q112" s="13" t="str" cm="1">
        <f t="array" ref="Q11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12">
        <v>83</v>
      </c>
      <c r="S112" t="str" cm="1">
        <f t="array" ref="S11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12">
        <v>89</v>
      </c>
      <c r="U112" t="str" cm="1">
        <f t="array" ref="U11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12">
        <v>90</v>
      </c>
      <c r="W112" t="str" cm="1">
        <f t="array" ref="W11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12">
        <v>64</v>
      </c>
      <c r="Y112" t="str" cm="1">
        <f t="array" ref="Y11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12">
        <f>SUM(Table1[[#This Row],[Math 
Score]],Table1[[#This Row],[History 
Score]],Table1[[#This Row],[Physics 
Score]],Table1[[#This Row],[Chemistry 
Score]],Table1[[#This Row],[Biology 
Score]],Table1[[#This Row],[English 
Score]],Table1[[#This Row],[Geography 
Score]])</f>
        <v>580</v>
      </c>
      <c r="AA112" s="3">
        <f>AVERAGE(Table1[[#This Row],[Math 
Score]],Table1[[#This Row],[History 
Score]],Table1[[#This Row],[Physics 
Score]],Table1[[#This Row],[Chemistry 
Score]],Table1[[#This Row],[Biology 
Score]],Table1[[#This Row],[English 
Score]],Table1[[#This Row],[Geography 
Score]])</f>
        <v>82.857142857142861</v>
      </c>
      <c r="AB11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12">
        <f t="shared" si="1"/>
        <v>709</v>
      </c>
      <c r="AD112" t="str">
        <f>_xlfn.IFS(Table1[[#This Row],[Absence 
Days]]&lt;3,"Excellent",Table1[[#This Row],[Absence 
Days]]&lt;=6,"Good",Table1[[#This Row],[Absence 
Days]]&gt;6,"Poor")</f>
        <v>Good</v>
      </c>
    </row>
    <row r="113" spans="1:30" x14ac:dyDescent="0.35">
      <c r="A113">
        <v>112</v>
      </c>
      <c r="B113" s="2" t="s">
        <v>85</v>
      </c>
      <c r="C113" t="s">
        <v>532</v>
      </c>
      <c r="D113" t="str">
        <f>_xlfn.TEXTJOIN(" ",TRUE,Table1[[#This Row],[First 
Name]:[Last 
Name]])</f>
        <v>Erin Jones</v>
      </c>
      <c r="E113" t="s">
        <v>1223</v>
      </c>
      <c r="F113" t="s">
        <v>3245</v>
      </c>
      <c r="G113" t="str">
        <f ca="1">PROPER(Table1[[#This Row],[Part Time 
Job]])</f>
        <v>True</v>
      </c>
      <c r="H113" s="3">
        <v>9</v>
      </c>
      <c r="I113" t="str">
        <f ca="1">PROPER(Table1[[#This Row],[Extracurricular 
Activities]])</f>
        <v>False</v>
      </c>
      <c r="J113">
        <v>2</v>
      </c>
      <c r="K113" t="s">
        <v>3119</v>
      </c>
      <c r="L113">
        <v>82</v>
      </c>
      <c r="M113" s="12" t="str" cm="1">
        <f t="array" ref="M11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13">
        <v>54</v>
      </c>
      <c r="O113" s="13" t="str" cm="1">
        <f t="array" ref="O11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C</v>
      </c>
      <c r="P113">
        <v>85</v>
      </c>
      <c r="Q113" s="13" t="str" cm="1">
        <f t="array" ref="Q11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13">
        <v>57</v>
      </c>
      <c r="S113" t="str" cm="1">
        <f t="array" ref="S11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C</v>
      </c>
      <c r="T113">
        <v>50</v>
      </c>
      <c r="U113" t="str" cm="1">
        <f t="array" ref="U11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C</v>
      </c>
      <c r="V113">
        <v>54</v>
      </c>
      <c r="W113" t="str" cm="1">
        <f t="array" ref="W11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C</v>
      </c>
      <c r="X113">
        <v>76</v>
      </c>
      <c r="Y113" t="str" cm="1">
        <f t="array" ref="Y11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13">
        <f>SUM(Table1[[#This Row],[Math 
Score]],Table1[[#This Row],[History 
Score]],Table1[[#This Row],[Physics 
Score]],Table1[[#This Row],[Chemistry 
Score]],Table1[[#This Row],[Biology 
Score]],Table1[[#This Row],[English 
Score]],Table1[[#This Row],[Geography 
Score]])</f>
        <v>458</v>
      </c>
      <c r="AA113" s="3">
        <f>AVERAGE(Table1[[#This Row],[Math 
Score]],Table1[[#This Row],[History 
Score]],Table1[[#This Row],[Physics 
Score]],Table1[[#This Row],[Chemistry 
Score]],Table1[[#This Row],[Biology 
Score]],Table1[[#This Row],[English 
Score]],Table1[[#This Row],[Geography 
Score]])</f>
        <v>65.428571428571431</v>
      </c>
      <c r="AB11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13">
        <f t="shared" si="1"/>
        <v>1983</v>
      </c>
      <c r="AD113" t="str">
        <f>_xlfn.IFS(Table1[[#This Row],[Absence 
Days]]&lt;3,"Excellent",Table1[[#This Row],[Absence 
Days]]&lt;=6,"Good",Table1[[#This Row],[Absence 
Days]]&gt;6,"Poor")</f>
        <v>Poor</v>
      </c>
    </row>
    <row r="114" spans="1:30" x14ac:dyDescent="0.35">
      <c r="A114">
        <v>113</v>
      </c>
      <c r="B114" s="2" t="s">
        <v>70</v>
      </c>
      <c r="C114" t="s">
        <v>543</v>
      </c>
      <c r="D114" t="str">
        <f>_xlfn.TEXTJOIN(" ",TRUE,Table1[[#This Row],[First 
Name]:[Last 
Name]])</f>
        <v>Charles Hayes</v>
      </c>
      <c r="E114" t="s">
        <v>1224</v>
      </c>
      <c r="F114" t="s">
        <v>3244</v>
      </c>
      <c r="G114" t="str">
        <f ca="1">PROPER(Table1[[#This Row],[Part Time 
Job]])</f>
        <v>True</v>
      </c>
      <c r="H114" s="3">
        <v>2</v>
      </c>
      <c r="I114" t="str">
        <f ca="1">PROPER(Table1[[#This Row],[Extracurricular 
Activities]])</f>
        <v>True</v>
      </c>
      <c r="J114">
        <v>4</v>
      </c>
      <c r="K114" t="s">
        <v>3119</v>
      </c>
      <c r="L114">
        <v>45</v>
      </c>
      <c r="M114" s="12" t="str" cm="1">
        <f t="array" ref="M114">_xlfn.IFS(Table1[[#This Row],[Math 
Score]]&gt;=90,"A+",Table1[[#This Row],[Math 
Score]]&gt;=80,"A", Table1[[#This Row],[Math 
Score]]&gt;=75,"A-",Table1[[#This Row],[Math 
Score]]&gt;=70,"B+",Table1[[#This Row],[Math 
Score]]&gt;=65,"B",Table1[[#This Row],[Math 
Score]]&gt;=60,"B-",Table1[[#This Row],[Math 
Score]]&gt;=50,"C",Table1[[#This Row],[Math 
Score]]&gt;=40,"D",Table1[[#This Row],[Math 
Score]]&lt;40,"F")</f>
        <v>D</v>
      </c>
      <c r="N114">
        <v>85</v>
      </c>
      <c r="O114" s="13" t="str" cm="1">
        <f t="array" ref="O11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14">
        <v>94</v>
      </c>
      <c r="Q114" s="13" t="str" cm="1">
        <f t="array" ref="Q11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14">
        <v>76</v>
      </c>
      <c r="S114" t="str" cm="1">
        <f t="array" ref="S11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14">
        <v>57</v>
      </c>
      <c r="U114" t="str" cm="1">
        <f t="array" ref="U11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C</v>
      </c>
      <c r="V114">
        <v>93</v>
      </c>
      <c r="W114" t="str" cm="1">
        <f t="array" ref="W11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14">
        <v>86</v>
      </c>
      <c r="Y114" t="str" cm="1">
        <f t="array" ref="Y11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14">
        <f>SUM(Table1[[#This Row],[Math 
Score]],Table1[[#This Row],[History 
Score]],Table1[[#This Row],[Physics 
Score]],Table1[[#This Row],[Chemistry 
Score]],Table1[[#This Row],[Biology 
Score]],Table1[[#This Row],[English 
Score]],Table1[[#This Row],[Geography 
Score]])</f>
        <v>536</v>
      </c>
      <c r="AA114" s="3">
        <f>AVERAGE(Table1[[#This Row],[Math 
Score]],Table1[[#This Row],[History 
Score]],Table1[[#This Row],[Physics 
Score]],Table1[[#This Row],[Chemistry 
Score]],Table1[[#This Row],[Biology 
Score]],Table1[[#This Row],[English 
Score]],Table1[[#This Row],[Geography 
Score]])</f>
        <v>76.571428571428569</v>
      </c>
      <c r="AB11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14">
        <f t="shared" si="1"/>
        <v>1567</v>
      </c>
      <c r="AD114" t="str">
        <f>_xlfn.IFS(Table1[[#This Row],[Absence 
Days]]&lt;3,"Excellent",Table1[[#This Row],[Absence 
Days]]&lt;=6,"Good",Table1[[#This Row],[Absence 
Days]]&gt;6,"Poor")</f>
        <v>Excellent</v>
      </c>
    </row>
    <row r="115" spans="1:30" x14ac:dyDescent="0.35">
      <c r="A115">
        <v>114</v>
      </c>
      <c r="B115" s="2" t="s">
        <v>90</v>
      </c>
      <c r="C115" t="s">
        <v>527</v>
      </c>
      <c r="D115" t="str">
        <f>_xlfn.TEXTJOIN(" ",TRUE,Table1[[#This Row],[First 
Name]:[Last 
Name]])</f>
        <v>Kelsey Brown</v>
      </c>
      <c r="E115" t="s">
        <v>1225</v>
      </c>
      <c r="F115" t="s">
        <v>3245</v>
      </c>
      <c r="G115" t="str">
        <f ca="1">PROPER(Table1[[#This Row],[Part Time 
Job]])</f>
        <v>False</v>
      </c>
      <c r="H115" s="3">
        <v>1</v>
      </c>
      <c r="I115" t="str">
        <f ca="1">PROPER(Table1[[#This Row],[Extracurricular 
Activities]])</f>
        <v>False</v>
      </c>
      <c r="J115">
        <v>22</v>
      </c>
      <c r="K115" t="s">
        <v>3121</v>
      </c>
      <c r="L115">
        <v>92</v>
      </c>
      <c r="M115" s="12" t="str" cm="1">
        <f t="array" ref="M11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15">
        <v>75</v>
      </c>
      <c r="O115" s="13" t="str" cm="1">
        <f t="array" ref="O11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15">
        <v>65</v>
      </c>
      <c r="Q115" s="13" t="str" cm="1">
        <f t="array" ref="Q11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15">
        <v>97</v>
      </c>
      <c r="S115" t="str" cm="1">
        <f t="array" ref="S11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15">
        <v>61</v>
      </c>
      <c r="U115" t="str" cm="1">
        <f t="array" ref="U11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15">
        <v>76</v>
      </c>
      <c r="W115" t="str" cm="1">
        <f t="array" ref="W11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15">
        <v>81</v>
      </c>
      <c r="Y115" t="str" cm="1">
        <f t="array" ref="Y11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15">
        <f>SUM(Table1[[#This Row],[Math 
Score]],Table1[[#This Row],[History 
Score]],Table1[[#This Row],[Physics 
Score]],Table1[[#This Row],[Chemistry 
Score]],Table1[[#This Row],[Biology 
Score]],Table1[[#This Row],[English 
Score]],Table1[[#This Row],[Geography 
Score]])</f>
        <v>547</v>
      </c>
      <c r="AA115" s="3">
        <f>AVERAGE(Table1[[#This Row],[Math 
Score]],Table1[[#This Row],[History 
Score]],Table1[[#This Row],[Physics 
Score]],Table1[[#This Row],[Chemistry 
Score]],Table1[[#This Row],[Biology 
Score]],Table1[[#This Row],[English 
Score]],Table1[[#This Row],[Geography 
Score]])</f>
        <v>78.142857142857139</v>
      </c>
      <c r="AB11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15">
        <f t="shared" si="1"/>
        <v>1388</v>
      </c>
      <c r="AD115" t="str">
        <f>_xlfn.IFS(Table1[[#This Row],[Absence 
Days]]&lt;3,"Excellent",Table1[[#This Row],[Absence 
Days]]&lt;=6,"Good",Table1[[#This Row],[Absence 
Days]]&gt;6,"Poor")</f>
        <v>Excellent</v>
      </c>
    </row>
    <row r="116" spans="1:30" x14ac:dyDescent="0.35">
      <c r="A116">
        <v>115</v>
      </c>
      <c r="B116" s="2" t="s">
        <v>74</v>
      </c>
      <c r="C116" t="s">
        <v>544</v>
      </c>
      <c r="D116" t="str">
        <f>_xlfn.TEXTJOIN(" ",TRUE,Table1[[#This Row],[First 
Name]:[Last 
Name]])</f>
        <v>Robert Turner</v>
      </c>
      <c r="E116" t="s">
        <v>1226</v>
      </c>
      <c r="F116" t="s">
        <v>3244</v>
      </c>
      <c r="G116" t="str">
        <f ca="1">PROPER(Table1[[#This Row],[Part Time 
Job]])</f>
        <v>False</v>
      </c>
      <c r="H116" s="3">
        <v>6</v>
      </c>
      <c r="I116" t="str">
        <f ca="1">PROPER(Table1[[#This Row],[Extracurricular 
Activities]])</f>
        <v>True</v>
      </c>
      <c r="J116">
        <v>0</v>
      </c>
      <c r="K116" t="s">
        <v>3119</v>
      </c>
      <c r="L116">
        <v>43</v>
      </c>
      <c r="M116" s="12" t="str" cm="1">
        <f t="array" ref="M116">_xlfn.IFS(Table1[[#This Row],[Math 
Score]]&gt;=90,"A+",Table1[[#This Row],[Math 
Score]]&gt;=80,"A", Table1[[#This Row],[Math 
Score]]&gt;=75,"A-",Table1[[#This Row],[Math 
Score]]&gt;=70,"B+",Table1[[#This Row],[Math 
Score]]&gt;=65,"B",Table1[[#This Row],[Math 
Score]]&gt;=60,"B-",Table1[[#This Row],[Math 
Score]]&gt;=50,"C",Table1[[#This Row],[Math 
Score]]&gt;=40,"D",Table1[[#This Row],[Math 
Score]]&lt;40,"F")</f>
        <v>D</v>
      </c>
      <c r="N116">
        <v>65</v>
      </c>
      <c r="O116" s="13" t="str" cm="1">
        <f t="array" ref="O11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16">
        <v>91</v>
      </c>
      <c r="Q116" s="13" t="str" cm="1">
        <f t="array" ref="Q11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16">
        <v>75</v>
      </c>
      <c r="S116" t="str" cm="1">
        <f t="array" ref="S11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16">
        <v>64</v>
      </c>
      <c r="U116" t="str" cm="1">
        <f t="array" ref="U11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16">
        <v>94</v>
      </c>
      <c r="W116" t="str" cm="1">
        <f t="array" ref="W11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16">
        <v>100</v>
      </c>
      <c r="Y116" t="str" cm="1">
        <f t="array" ref="Y11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16">
        <f>SUM(Table1[[#This Row],[Math 
Score]],Table1[[#This Row],[History 
Score]],Table1[[#This Row],[Physics 
Score]],Table1[[#This Row],[Chemistry 
Score]],Table1[[#This Row],[Biology 
Score]],Table1[[#This Row],[English 
Score]],Table1[[#This Row],[Geography 
Score]])</f>
        <v>532</v>
      </c>
      <c r="AA116" s="3">
        <f>AVERAGE(Table1[[#This Row],[Math 
Score]],Table1[[#This Row],[History 
Score]],Table1[[#This Row],[Physics 
Score]],Table1[[#This Row],[Chemistry 
Score]],Table1[[#This Row],[Biology 
Score]],Table1[[#This Row],[English 
Score]],Table1[[#This Row],[Geography 
Score]])</f>
        <v>76</v>
      </c>
      <c r="AB11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16">
        <f t="shared" si="1"/>
        <v>1622</v>
      </c>
      <c r="AD116" t="str">
        <f>_xlfn.IFS(Table1[[#This Row],[Absence 
Days]]&lt;3,"Excellent",Table1[[#This Row],[Absence 
Days]]&lt;=6,"Good",Table1[[#This Row],[Absence 
Days]]&gt;6,"Poor")</f>
        <v>Good</v>
      </c>
    </row>
    <row r="117" spans="1:30" x14ac:dyDescent="0.35">
      <c r="A117">
        <v>116</v>
      </c>
      <c r="B117" s="2" t="s">
        <v>74</v>
      </c>
      <c r="C117" t="s">
        <v>478</v>
      </c>
      <c r="D117" t="str">
        <f>_xlfn.TEXTJOIN(" ",TRUE,Table1[[#This Row],[First 
Name]:[Last 
Name]])</f>
        <v>Robert Hill</v>
      </c>
      <c r="E117" t="s">
        <v>1227</v>
      </c>
      <c r="F117" t="s">
        <v>3244</v>
      </c>
      <c r="G117" t="str">
        <f ca="1">PROPER(Table1[[#This Row],[Part Time 
Job]])</f>
        <v>False</v>
      </c>
      <c r="H117" s="3">
        <v>2</v>
      </c>
      <c r="I117" t="str">
        <f ca="1">PROPER(Table1[[#This Row],[Extracurricular 
Activities]])</f>
        <v>False</v>
      </c>
      <c r="J117">
        <v>24</v>
      </c>
      <c r="K117" t="s">
        <v>3116</v>
      </c>
      <c r="L117">
        <v>96</v>
      </c>
      <c r="M117" s="12" t="str" cm="1">
        <f t="array" ref="M11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17">
        <v>66</v>
      </c>
      <c r="O117" s="13" t="str" cm="1">
        <f t="array" ref="O11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17">
        <v>69</v>
      </c>
      <c r="Q117" s="13" t="str" cm="1">
        <f t="array" ref="Q11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17">
        <v>65</v>
      </c>
      <c r="S117" t="str" cm="1">
        <f t="array" ref="S11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17">
        <v>72</v>
      </c>
      <c r="U117" t="str" cm="1">
        <f t="array" ref="U11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17">
        <v>84</v>
      </c>
      <c r="W117" t="str" cm="1">
        <f t="array" ref="W11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17">
        <v>77</v>
      </c>
      <c r="Y117" t="str" cm="1">
        <f t="array" ref="Y11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17">
        <f>SUM(Table1[[#This Row],[Math 
Score]],Table1[[#This Row],[History 
Score]],Table1[[#This Row],[Physics 
Score]],Table1[[#This Row],[Chemistry 
Score]],Table1[[#This Row],[Biology 
Score]],Table1[[#This Row],[English 
Score]],Table1[[#This Row],[Geography 
Score]])</f>
        <v>529</v>
      </c>
      <c r="AA117" s="3">
        <f>AVERAGE(Table1[[#This Row],[Math 
Score]],Table1[[#This Row],[History 
Score]],Table1[[#This Row],[Physics 
Score]],Table1[[#This Row],[Chemistry 
Score]],Table1[[#This Row],[Biology 
Score]],Table1[[#This Row],[English 
Score]],Table1[[#This Row],[Geography 
Score]])</f>
        <v>75.571428571428569</v>
      </c>
      <c r="AB11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17">
        <f t="shared" si="1"/>
        <v>1664</v>
      </c>
      <c r="AD117" t="str">
        <f>_xlfn.IFS(Table1[[#This Row],[Absence 
Days]]&lt;3,"Excellent",Table1[[#This Row],[Absence 
Days]]&lt;=6,"Good",Table1[[#This Row],[Absence 
Days]]&gt;6,"Poor")</f>
        <v>Excellent</v>
      </c>
    </row>
    <row r="118" spans="1:30" x14ac:dyDescent="0.35">
      <c r="A118">
        <v>117</v>
      </c>
      <c r="B118" s="2" t="s">
        <v>91</v>
      </c>
      <c r="C118" t="s">
        <v>545</v>
      </c>
      <c r="D118" t="str">
        <f>_xlfn.TEXTJOIN(" ",TRUE,Table1[[#This Row],[First 
Name]:[Last 
Name]])</f>
        <v>Alyssa Ritter</v>
      </c>
      <c r="E118" t="s">
        <v>1228</v>
      </c>
      <c r="F118" t="s">
        <v>3245</v>
      </c>
      <c r="G118" t="str">
        <f ca="1">PROPER(Table1[[#This Row],[Part Time 
Job]])</f>
        <v>False</v>
      </c>
      <c r="H118" s="3">
        <v>6</v>
      </c>
      <c r="I118" t="str">
        <f ca="1">PROPER(Table1[[#This Row],[Extracurricular 
Activities]])</f>
        <v>False</v>
      </c>
      <c r="J118">
        <v>1</v>
      </c>
      <c r="K118" t="s">
        <v>3119</v>
      </c>
      <c r="L118">
        <v>78</v>
      </c>
      <c r="M118" s="12" t="str" cm="1">
        <f t="array" ref="M11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18">
        <v>71</v>
      </c>
      <c r="O118" s="13" t="str" cm="1">
        <f t="array" ref="O11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18">
        <v>50</v>
      </c>
      <c r="Q118" s="13" t="str" cm="1">
        <f t="array" ref="Q11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C</v>
      </c>
      <c r="R118">
        <v>55</v>
      </c>
      <c r="S118" t="str" cm="1">
        <f t="array" ref="S11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C</v>
      </c>
      <c r="T118">
        <v>54</v>
      </c>
      <c r="U118" t="str" cm="1">
        <f t="array" ref="U11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C</v>
      </c>
      <c r="V118">
        <v>97</v>
      </c>
      <c r="W118" t="str" cm="1">
        <f t="array" ref="W11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18">
        <v>95</v>
      </c>
      <c r="Y118" t="str" cm="1">
        <f t="array" ref="Y11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18">
        <f>SUM(Table1[[#This Row],[Math 
Score]],Table1[[#This Row],[History 
Score]],Table1[[#This Row],[Physics 
Score]],Table1[[#This Row],[Chemistry 
Score]],Table1[[#This Row],[Biology 
Score]],Table1[[#This Row],[English 
Score]],Table1[[#This Row],[Geography 
Score]])</f>
        <v>500</v>
      </c>
      <c r="AA118" s="3">
        <f>AVERAGE(Table1[[#This Row],[Math 
Score]],Table1[[#This Row],[History 
Score]],Table1[[#This Row],[Physics 
Score]],Table1[[#This Row],[Chemistry 
Score]],Table1[[#This Row],[Biology 
Score]],Table1[[#This Row],[English 
Score]],Table1[[#This Row],[Geography 
Score]])</f>
        <v>71.428571428571431</v>
      </c>
      <c r="AB11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18">
        <f t="shared" si="1"/>
        <v>1875</v>
      </c>
      <c r="AD118" t="str">
        <f>_xlfn.IFS(Table1[[#This Row],[Absence 
Days]]&lt;3,"Excellent",Table1[[#This Row],[Absence 
Days]]&lt;=6,"Good",Table1[[#This Row],[Absence 
Days]]&gt;6,"Poor")</f>
        <v>Good</v>
      </c>
    </row>
    <row r="119" spans="1:30" x14ac:dyDescent="0.35">
      <c r="A119">
        <v>118</v>
      </c>
      <c r="B119" s="2" t="s">
        <v>92</v>
      </c>
      <c r="C119" t="s">
        <v>546</v>
      </c>
      <c r="D119" t="str">
        <f>_xlfn.TEXTJOIN(" ",TRUE,Table1[[#This Row],[First 
Name]:[Last 
Name]])</f>
        <v>Beth Bell</v>
      </c>
      <c r="E119" t="s">
        <v>1229</v>
      </c>
      <c r="F119" t="s">
        <v>3245</v>
      </c>
      <c r="G119" t="str">
        <f ca="1">PROPER(Table1[[#This Row],[Part Time 
Job]])</f>
        <v>False</v>
      </c>
      <c r="H119" s="3">
        <v>1</v>
      </c>
      <c r="I119" t="str">
        <f ca="1">PROPER(Table1[[#This Row],[Extracurricular 
Activities]])</f>
        <v>False</v>
      </c>
      <c r="J119">
        <v>19</v>
      </c>
      <c r="K119" t="s">
        <v>3116</v>
      </c>
      <c r="L119">
        <v>68</v>
      </c>
      <c r="M119" s="12" t="str" cm="1">
        <f t="array" ref="M119">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19">
        <v>96</v>
      </c>
      <c r="O119" s="13" t="str" cm="1">
        <f t="array" ref="O11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19">
        <v>64</v>
      </c>
      <c r="Q119" s="13" t="str" cm="1">
        <f t="array" ref="Q11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19">
        <v>70</v>
      </c>
      <c r="S119" t="str" cm="1">
        <f t="array" ref="S11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19">
        <v>74</v>
      </c>
      <c r="U119" t="str" cm="1">
        <f t="array" ref="U11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19">
        <v>63</v>
      </c>
      <c r="W119" t="str" cm="1">
        <f t="array" ref="W11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19">
        <v>75</v>
      </c>
      <c r="Y119" t="str" cm="1">
        <f t="array" ref="Y11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19">
        <f>SUM(Table1[[#This Row],[Math 
Score]],Table1[[#This Row],[History 
Score]],Table1[[#This Row],[Physics 
Score]],Table1[[#This Row],[Chemistry 
Score]],Table1[[#This Row],[Biology 
Score]],Table1[[#This Row],[English 
Score]],Table1[[#This Row],[Geography 
Score]])</f>
        <v>510</v>
      </c>
      <c r="AA119" s="3">
        <f>AVERAGE(Table1[[#This Row],[Math 
Score]],Table1[[#This Row],[History 
Score]],Table1[[#This Row],[Physics 
Score]],Table1[[#This Row],[Chemistry 
Score]],Table1[[#This Row],[Biology 
Score]],Table1[[#This Row],[English 
Score]],Table1[[#This Row],[Geography 
Score]])</f>
        <v>72.857142857142861</v>
      </c>
      <c r="AB11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19">
        <f t="shared" si="1"/>
        <v>1828</v>
      </c>
      <c r="AD119" t="str">
        <f>_xlfn.IFS(Table1[[#This Row],[Absence 
Days]]&lt;3,"Excellent",Table1[[#This Row],[Absence 
Days]]&lt;=6,"Good",Table1[[#This Row],[Absence 
Days]]&gt;6,"Poor")</f>
        <v>Excellent</v>
      </c>
    </row>
    <row r="120" spans="1:30" x14ac:dyDescent="0.35">
      <c r="A120">
        <v>119</v>
      </c>
      <c r="B120" s="2" t="s">
        <v>93</v>
      </c>
      <c r="C120" t="s">
        <v>547</v>
      </c>
      <c r="D120" t="str">
        <f>_xlfn.TEXTJOIN(" ",TRUE,Table1[[#This Row],[First 
Name]:[Last 
Name]])</f>
        <v>Andrew Dixon</v>
      </c>
      <c r="E120" t="s">
        <v>1230</v>
      </c>
      <c r="F120" t="s">
        <v>3244</v>
      </c>
      <c r="G120" t="str">
        <f ca="1">PROPER(Table1[[#This Row],[Part Time 
Job]])</f>
        <v>False</v>
      </c>
      <c r="H120" s="3">
        <v>1</v>
      </c>
      <c r="I120" t="str">
        <f ca="1">PROPER(Table1[[#This Row],[Extracurricular 
Activities]])</f>
        <v>True</v>
      </c>
      <c r="J120">
        <v>19</v>
      </c>
      <c r="K120" t="s">
        <v>3117</v>
      </c>
      <c r="L120">
        <v>93</v>
      </c>
      <c r="M120" s="12" t="str" cm="1">
        <f t="array" ref="M12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20">
        <v>73</v>
      </c>
      <c r="O120" s="13" t="str" cm="1">
        <f t="array" ref="O12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20">
        <v>94</v>
      </c>
      <c r="Q120" s="13" t="str" cm="1">
        <f t="array" ref="Q12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20">
        <v>65</v>
      </c>
      <c r="S120" t="str" cm="1">
        <f t="array" ref="S12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20">
        <v>60</v>
      </c>
      <c r="U120" t="str" cm="1">
        <f t="array" ref="U12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20">
        <v>63</v>
      </c>
      <c r="W120" t="str" cm="1">
        <f t="array" ref="W12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20">
        <v>93</v>
      </c>
      <c r="Y120" t="str" cm="1">
        <f t="array" ref="Y12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20">
        <f>SUM(Table1[[#This Row],[Math 
Score]],Table1[[#This Row],[History 
Score]],Table1[[#This Row],[Physics 
Score]],Table1[[#This Row],[Chemistry 
Score]],Table1[[#This Row],[Biology 
Score]],Table1[[#This Row],[English 
Score]],Table1[[#This Row],[Geography 
Score]])</f>
        <v>541</v>
      </c>
      <c r="AA120" s="3">
        <f>AVERAGE(Table1[[#This Row],[Math 
Score]],Table1[[#This Row],[History 
Score]],Table1[[#This Row],[Physics 
Score]],Table1[[#This Row],[Chemistry 
Score]],Table1[[#This Row],[Biology 
Score]],Table1[[#This Row],[English 
Score]],Table1[[#This Row],[Geography 
Score]])</f>
        <v>77.285714285714292</v>
      </c>
      <c r="AB12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20">
        <f t="shared" si="1"/>
        <v>1493</v>
      </c>
      <c r="AD120" t="str">
        <f>_xlfn.IFS(Table1[[#This Row],[Absence 
Days]]&lt;3,"Excellent",Table1[[#This Row],[Absence 
Days]]&lt;=6,"Good",Table1[[#This Row],[Absence 
Days]]&gt;6,"Poor")</f>
        <v>Excellent</v>
      </c>
    </row>
    <row r="121" spans="1:30" x14ac:dyDescent="0.35">
      <c r="A121">
        <v>120</v>
      </c>
      <c r="B121" s="2" t="s">
        <v>94</v>
      </c>
      <c r="C121" t="s">
        <v>548</v>
      </c>
      <c r="D121" t="str">
        <f>_xlfn.TEXTJOIN(" ",TRUE,Table1[[#This Row],[First 
Name]:[Last 
Name]])</f>
        <v>Crystal Walker</v>
      </c>
      <c r="E121" t="s">
        <v>1231</v>
      </c>
      <c r="F121" t="s">
        <v>3245</v>
      </c>
      <c r="G121" t="str">
        <f ca="1">PROPER(Table1[[#This Row],[Part Time 
Job]])</f>
        <v>False</v>
      </c>
      <c r="H121" s="3">
        <v>6</v>
      </c>
      <c r="I121" t="str">
        <f ca="1">PROPER(Table1[[#This Row],[Extracurricular 
Activities]])</f>
        <v>False</v>
      </c>
      <c r="J121">
        <v>5</v>
      </c>
      <c r="K121" t="s">
        <v>3119</v>
      </c>
      <c r="L121">
        <v>55</v>
      </c>
      <c r="M121" s="12" t="str" cm="1">
        <f t="array" ref="M121">_xlfn.IFS(Table1[[#This Row],[Math 
Score]]&gt;=90,"A+",Table1[[#This Row],[Math 
Score]]&gt;=80,"A", Table1[[#This Row],[Math 
Score]]&gt;=75,"A-",Table1[[#This Row],[Math 
Score]]&gt;=70,"B+",Table1[[#This Row],[Math 
Score]]&gt;=65,"B",Table1[[#This Row],[Math 
Score]]&gt;=60,"B-",Table1[[#This Row],[Math 
Score]]&gt;=50,"C",Table1[[#This Row],[Math 
Score]]&gt;=40,"D",Table1[[#This Row],[Math 
Score]]&lt;40,"F")</f>
        <v>C</v>
      </c>
      <c r="N121">
        <v>93</v>
      </c>
      <c r="O121" s="13" t="str" cm="1">
        <f t="array" ref="O12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21">
        <v>67</v>
      </c>
      <c r="Q121" s="13" t="str" cm="1">
        <f t="array" ref="Q12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21">
        <v>74</v>
      </c>
      <c r="S121" t="str" cm="1">
        <f t="array" ref="S12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21">
        <v>55</v>
      </c>
      <c r="U121" t="str" cm="1">
        <f t="array" ref="U12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C</v>
      </c>
      <c r="V121">
        <v>60</v>
      </c>
      <c r="W121" t="str" cm="1">
        <f t="array" ref="W12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21">
        <v>64</v>
      </c>
      <c r="Y121" t="str" cm="1">
        <f t="array" ref="Y12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21">
        <f>SUM(Table1[[#This Row],[Math 
Score]],Table1[[#This Row],[History 
Score]],Table1[[#This Row],[Physics 
Score]],Table1[[#This Row],[Chemistry 
Score]],Table1[[#This Row],[Biology 
Score]],Table1[[#This Row],[English 
Score]],Table1[[#This Row],[Geography 
Score]])</f>
        <v>468</v>
      </c>
      <c r="AA121" s="3">
        <f>AVERAGE(Table1[[#This Row],[Math 
Score]],Table1[[#This Row],[History 
Score]],Table1[[#This Row],[Physics 
Score]],Table1[[#This Row],[Chemistry 
Score]],Table1[[#This Row],[Biology 
Score]],Table1[[#This Row],[English 
Score]],Table1[[#This Row],[Geography 
Score]])</f>
        <v>66.857142857142861</v>
      </c>
      <c r="AB12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21">
        <f t="shared" si="1"/>
        <v>1965</v>
      </c>
      <c r="AD121" t="str">
        <f>_xlfn.IFS(Table1[[#This Row],[Absence 
Days]]&lt;3,"Excellent",Table1[[#This Row],[Absence 
Days]]&lt;=6,"Good",Table1[[#This Row],[Absence 
Days]]&gt;6,"Poor")</f>
        <v>Good</v>
      </c>
    </row>
    <row r="122" spans="1:30" x14ac:dyDescent="0.35">
      <c r="A122">
        <v>121</v>
      </c>
      <c r="B122" s="2" t="s">
        <v>95</v>
      </c>
      <c r="C122" t="s">
        <v>549</v>
      </c>
      <c r="D122" t="str">
        <f>_xlfn.TEXTJOIN(" ",TRUE,Table1[[#This Row],[First 
Name]:[Last 
Name]])</f>
        <v>Jordan Bennett</v>
      </c>
      <c r="E122" t="s">
        <v>1232</v>
      </c>
      <c r="F122" t="s">
        <v>3245</v>
      </c>
      <c r="G122" t="str">
        <f ca="1">PROPER(Table1[[#This Row],[Part Time 
Job]])</f>
        <v>True</v>
      </c>
      <c r="H122" s="3">
        <v>0</v>
      </c>
      <c r="I122" t="str">
        <f ca="1">PROPER(Table1[[#This Row],[Extracurricular 
Activities]])</f>
        <v>False</v>
      </c>
      <c r="J122">
        <v>13</v>
      </c>
      <c r="K122" t="s">
        <v>3118</v>
      </c>
      <c r="L122">
        <v>66</v>
      </c>
      <c r="M122" s="12" t="str" cm="1">
        <f t="array" ref="M122">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22">
        <v>90</v>
      </c>
      <c r="O122" s="13" t="str" cm="1">
        <f t="array" ref="O12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22">
        <v>83</v>
      </c>
      <c r="Q122" s="13" t="str" cm="1">
        <f t="array" ref="Q12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22">
        <v>80</v>
      </c>
      <c r="S122" t="str" cm="1">
        <f t="array" ref="S12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22">
        <v>76</v>
      </c>
      <c r="U122" t="str" cm="1">
        <f t="array" ref="U12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22">
        <v>90</v>
      </c>
      <c r="W122" t="str" cm="1">
        <f t="array" ref="W12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22">
        <v>91</v>
      </c>
      <c r="Y122" t="str" cm="1">
        <f t="array" ref="Y12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22">
        <f>SUM(Table1[[#This Row],[Math 
Score]],Table1[[#This Row],[History 
Score]],Table1[[#This Row],[Physics 
Score]],Table1[[#This Row],[Chemistry 
Score]],Table1[[#This Row],[Biology 
Score]],Table1[[#This Row],[English 
Score]],Table1[[#This Row],[Geography 
Score]])</f>
        <v>576</v>
      </c>
      <c r="AA122" s="3">
        <f>AVERAGE(Table1[[#This Row],[Math 
Score]],Table1[[#This Row],[History 
Score]],Table1[[#This Row],[Physics 
Score]],Table1[[#This Row],[Chemistry 
Score]],Table1[[#This Row],[Biology 
Score]],Table1[[#This Row],[English 
Score]],Table1[[#This Row],[Geography 
Score]])</f>
        <v>82.285714285714292</v>
      </c>
      <c r="AB12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22">
        <f t="shared" si="1"/>
        <v>789</v>
      </c>
      <c r="AD122" t="str">
        <f>_xlfn.IFS(Table1[[#This Row],[Absence 
Days]]&lt;3,"Excellent",Table1[[#This Row],[Absence 
Days]]&lt;=6,"Good",Table1[[#This Row],[Absence 
Days]]&gt;6,"Poor")</f>
        <v>Excellent</v>
      </c>
    </row>
    <row r="123" spans="1:30" x14ac:dyDescent="0.35">
      <c r="A123">
        <v>122</v>
      </c>
      <c r="B123" s="2" t="s">
        <v>96</v>
      </c>
      <c r="C123" t="s">
        <v>550</v>
      </c>
      <c r="D123" t="str">
        <f>_xlfn.TEXTJOIN(" ",TRUE,Table1[[#This Row],[First 
Name]:[Last 
Name]])</f>
        <v>Antonio Caldwell</v>
      </c>
      <c r="E123" t="s">
        <v>1233</v>
      </c>
      <c r="F123" t="s">
        <v>3244</v>
      </c>
      <c r="G123" t="str">
        <f ca="1">PROPER(Table1[[#This Row],[Part Time 
Job]])</f>
        <v>False</v>
      </c>
      <c r="H123" s="3">
        <v>4</v>
      </c>
      <c r="I123" t="str">
        <f ca="1">PROPER(Table1[[#This Row],[Extracurricular 
Activities]])</f>
        <v>False</v>
      </c>
      <c r="J123">
        <v>26</v>
      </c>
      <c r="K123" t="s">
        <v>3113</v>
      </c>
      <c r="L123">
        <v>98</v>
      </c>
      <c r="M123" s="12" t="str" cm="1">
        <f t="array" ref="M12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23">
        <v>92</v>
      </c>
      <c r="O123" s="13" t="str" cm="1">
        <f t="array" ref="O12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23">
        <v>91</v>
      </c>
      <c r="Q123" s="13" t="str" cm="1">
        <f t="array" ref="Q12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23">
        <v>99</v>
      </c>
      <c r="S123" t="str" cm="1">
        <f t="array" ref="S12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23">
        <v>97</v>
      </c>
      <c r="U123" t="str" cm="1">
        <f t="array" ref="U12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23">
        <v>88</v>
      </c>
      <c r="W123" t="str" cm="1">
        <f t="array" ref="W12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23">
        <v>75</v>
      </c>
      <c r="Y123" t="str" cm="1">
        <f t="array" ref="Y12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23">
        <f>SUM(Table1[[#This Row],[Math 
Score]],Table1[[#This Row],[History 
Score]],Table1[[#This Row],[Physics 
Score]],Table1[[#This Row],[Chemistry 
Score]],Table1[[#This Row],[Biology 
Score]],Table1[[#This Row],[English 
Score]],Table1[[#This Row],[Geography 
Score]])</f>
        <v>640</v>
      </c>
      <c r="AA123" s="3">
        <f>AVERAGE(Table1[[#This Row],[Math 
Score]],Table1[[#This Row],[History 
Score]],Table1[[#This Row],[Physics 
Score]],Table1[[#This Row],[Chemistry 
Score]],Table1[[#This Row],[Biology 
Score]],Table1[[#This Row],[English 
Score]],Table1[[#This Row],[Geography 
Score]])</f>
        <v>91.428571428571431</v>
      </c>
      <c r="AB12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23">
        <f t="shared" si="1"/>
        <v>98</v>
      </c>
      <c r="AD123" t="str">
        <f>_xlfn.IFS(Table1[[#This Row],[Absence 
Days]]&lt;3,"Excellent",Table1[[#This Row],[Absence 
Days]]&lt;=6,"Good",Table1[[#This Row],[Absence 
Days]]&gt;6,"Poor")</f>
        <v>Good</v>
      </c>
    </row>
    <row r="124" spans="1:30" x14ac:dyDescent="0.35">
      <c r="A124">
        <v>123</v>
      </c>
      <c r="B124" s="2" t="s">
        <v>52</v>
      </c>
      <c r="C124" t="s">
        <v>506</v>
      </c>
      <c r="D124" t="str">
        <f>_xlfn.TEXTJOIN(" ",TRUE,Table1[[#This Row],[First 
Name]:[Last 
Name]])</f>
        <v>Jacob Reyes</v>
      </c>
      <c r="E124" t="s">
        <v>1234</v>
      </c>
      <c r="F124" t="s">
        <v>3244</v>
      </c>
      <c r="G124" t="str">
        <f ca="1">PROPER(Table1[[#This Row],[Part Time 
Job]])</f>
        <v>False</v>
      </c>
      <c r="H124" s="3">
        <v>4</v>
      </c>
      <c r="I124" t="str">
        <f ca="1">PROPER(Table1[[#This Row],[Extracurricular 
Activities]])</f>
        <v>False</v>
      </c>
      <c r="J124">
        <v>41</v>
      </c>
      <c r="K124" t="s">
        <v>3113</v>
      </c>
      <c r="L124">
        <v>94</v>
      </c>
      <c r="M124" s="12" t="str" cm="1">
        <f t="array" ref="M12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24">
        <v>94</v>
      </c>
      <c r="O124" s="13" t="str" cm="1">
        <f t="array" ref="O12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24">
        <v>94</v>
      </c>
      <c r="Q124" s="13" t="str" cm="1">
        <f t="array" ref="Q12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24">
        <v>89</v>
      </c>
      <c r="S124" t="str" cm="1">
        <f t="array" ref="S12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24">
        <v>85</v>
      </c>
      <c r="U124" t="str" cm="1">
        <f t="array" ref="U12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24">
        <v>86</v>
      </c>
      <c r="W124" t="str" cm="1">
        <f t="array" ref="W12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24">
        <v>85</v>
      </c>
      <c r="Y124" t="str" cm="1">
        <f t="array" ref="Y12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24">
        <f>SUM(Table1[[#This Row],[Math 
Score]],Table1[[#This Row],[History 
Score]],Table1[[#This Row],[Physics 
Score]],Table1[[#This Row],[Chemistry 
Score]],Table1[[#This Row],[Biology 
Score]],Table1[[#This Row],[English 
Score]],Table1[[#This Row],[Geography 
Score]])</f>
        <v>627</v>
      </c>
      <c r="AA124" s="3">
        <f>AVERAGE(Table1[[#This Row],[Math 
Score]],Table1[[#This Row],[History 
Score]],Table1[[#This Row],[Physics 
Score]],Table1[[#This Row],[Chemistry 
Score]],Table1[[#This Row],[Biology 
Score]],Table1[[#This Row],[English 
Score]],Table1[[#This Row],[Geography 
Score]])</f>
        <v>89.571428571428569</v>
      </c>
      <c r="AB12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24">
        <f t="shared" si="1"/>
        <v>168</v>
      </c>
      <c r="AD124" t="str">
        <f>_xlfn.IFS(Table1[[#This Row],[Absence 
Days]]&lt;3,"Excellent",Table1[[#This Row],[Absence 
Days]]&lt;=6,"Good",Table1[[#This Row],[Absence 
Days]]&gt;6,"Poor")</f>
        <v>Good</v>
      </c>
    </row>
    <row r="125" spans="1:30" x14ac:dyDescent="0.35">
      <c r="A125">
        <v>124</v>
      </c>
      <c r="B125" s="2" t="s">
        <v>97</v>
      </c>
      <c r="C125" t="s">
        <v>504</v>
      </c>
      <c r="D125" t="str">
        <f>_xlfn.TEXTJOIN(" ",TRUE,Table1[[#This Row],[First 
Name]:[Last 
Name]])</f>
        <v>Wendy Lewis</v>
      </c>
      <c r="E125" t="s">
        <v>1235</v>
      </c>
      <c r="F125" t="s">
        <v>3245</v>
      </c>
      <c r="G125" t="str">
        <f ca="1">PROPER(Table1[[#This Row],[Part Time 
Job]])</f>
        <v>False</v>
      </c>
      <c r="H125" s="3">
        <v>3</v>
      </c>
      <c r="I125" t="str">
        <f ca="1">PROPER(Table1[[#This Row],[Extracurricular 
Activities]])</f>
        <v>False</v>
      </c>
      <c r="J125">
        <v>47</v>
      </c>
      <c r="K125" t="s">
        <v>3113</v>
      </c>
      <c r="L125">
        <v>96</v>
      </c>
      <c r="M125" s="12" t="str" cm="1">
        <f t="array" ref="M12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25">
        <v>100</v>
      </c>
      <c r="O125" s="13" t="str" cm="1">
        <f t="array" ref="O12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25">
        <v>96</v>
      </c>
      <c r="Q125" s="13" t="str" cm="1">
        <f t="array" ref="Q12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25">
        <v>91</v>
      </c>
      <c r="S125" t="str" cm="1">
        <f t="array" ref="S12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25">
        <v>91</v>
      </c>
      <c r="U125" t="str" cm="1">
        <f t="array" ref="U12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25">
        <v>96</v>
      </c>
      <c r="W125" t="str" cm="1">
        <f t="array" ref="W12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25">
        <v>89</v>
      </c>
      <c r="Y125" t="str" cm="1">
        <f t="array" ref="Y12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25">
        <f>SUM(Table1[[#This Row],[Math 
Score]],Table1[[#This Row],[History 
Score]],Table1[[#This Row],[Physics 
Score]],Table1[[#This Row],[Chemistry 
Score]],Table1[[#This Row],[Biology 
Score]],Table1[[#This Row],[English 
Score]],Table1[[#This Row],[Geography 
Score]])</f>
        <v>659</v>
      </c>
      <c r="AA125" s="3">
        <f>AVERAGE(Table1[[#This Row],[Math 
Score]],Table1[[#This Row],[History 
Score]],Table1[[#This Row],[Physics 
Score]],Table1[[#This Row],[Chemistry 
Score]],Table1[[#This Row],[Biology 
Score]],Table1[[#This Row],[English 
Score]],Table1[[#This Row],[Geography 
Score]])</f>
        <v>94.142857142857139</v>
      </c>
      <c r="AB12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25">
        <f t="shared" si="1"/>
        <v>21</v>
      </c>
      <c r="AD125" t="str">
        <f>_xlfn.IFS(Table1[[#This Row],[Absence 
Days]]&lt;3,"Excellent",Table1[[#This Row],[Absence 
Days]]&lt;=6,"Good",Table1[[#This Row],[Absence 
Days]]&gt;6,"Poor")</f>
        <v>Good</v>
      </c>
    </row>
    <row r="126" spans="1:30" x14ac:dyDescent="0.35">
      <c r="A126">
        <v>125</v>
      </c>
      <c r="B126" s="2" t="s">
        <v>50</v>
      </c>
      <c r="C126" t="s">
        <v>479</v>
      </c>
      <c r="D126" t="str">
        <f>_xlfn.TEXTJOIN(" ",TRUE,Table1[[#This Row],[First 
Name]:[Last 
Name]])</f>
        <v>Jennifer Miller</v>
      </c>
      <c r="E126" t="s">
        <v>1236</v>
      </c>
      <c r="F126" t="s">
        <v>3245</v>
      </c>
      <c r="G126" t="str">
        <f ca="1">PROPER(Table1[[#This Row],[Part Time 
Job]])</f>
        <v>False</v>
      </c>
      <c r="H126" s="3">
        <v>2</v>
      </c>
      <c r="I126" t="str">
        <f ca="1">PROPER(Table1[[#This Row],[Extracurricular 
Activities]])</f>
        <v>False</v>
      </c>
      <c r="J126">
        <v>9</v>
      </c>
      <c r="K126" t="s">
        <v>3116</v>
      </c>
      <c r="L126">
        <v>69</v>
      </c>
      <c r="M126" s="12" t="str" cm="1">
        <f t="array" ref="M126">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26">
        <v>62</v>
      </c>
      <c r="O126" s="13" t="str" cm="1">
        <f t="array" ref="O12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26">
        <v>82</v>
      </c>
      <c r="Q126" s="13" t="str" cm="1">
        <f t="array" ref="Q12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26">
        <v>89</v>
      </c>
      <c r="S126" t="str" cm="1">
        <f t="array" ref="S12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26">
        <v>81</v>
      </c>
      <c r="U126" t="str" cm="1">
        <f t="array" ref="U12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26">
        <v>72</v>
      </c>
      <c r="W126" t="str" cm="1">
        <f t="array" ref="W12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26">
        <v>71</v>
      </c>
      <c r="Y126" t="str" cm="1">
        <f t="array" ref="Y12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26">
        <f>SUM(Table1[[#This Row],[Math 
Score]],Table1[[#This Row],[History 
Score]],Table1[[#This Row],[Physics 
Score]],Table1[[#This Row],[Chemistry 
Score]],Table1[[#This Row],[Biology 
Score]],Table1[[#This Row],[English 
Score]],Table1[[#This Row],[Geography 
Score]])</f>
        <v>526</v>
      </c>
      <c r="AA126" s="3">
        <f>AVERAGE(Table1[[#This Row],[Math 
Score]],Table1[[#This Row],[History 
Score]],Table1[[#This Row],[Physics 
Score]],Table1[[#This Row],[Chemistry 
Score]],Table1[[#This Row],[Biology 
Score]],Table1[[#This Row],[English 
Score]],Table1[[#This Row],[Geography 
Score]])</f>
        <v>75.142857142857139</v>
      </c>
      <c r="AB12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26">
        <f t="shared" si="1"/>
        <v>1688</v>
      </c>
      <c r="AD126" t="str">
        <f>_xlfn.IFS(Table1[[#This Row],[Absence 
Days]]&lt;3,"Excellent",Table1[[#This Row],[Absence 
Days]]&lt;=6,"Good",Table1[[#This Row],[Absence 
Days]]&gt;6,"Poor")</f>
        <v>Excellent</v>
      </c>
    </row>
    <row r="127" spans="1:30" x14ac:dyDescent="0.35">
      <c r="A127">
        <v>126</v>
      </c>
      <c r="B127" s="2" t="s">
        <v>32</v>
      </c>
      <c r="C127" t="s">
        <v>551</v>
      </c>
      <c r="D127" t="str">
        <f>_xlfn.TEXTJOIN(" ",TRUE,Table1[[#This Row],[First 
Name]:[Last 
Name]])</f>
        <v>Lisa Ware</v>
      </c>
      <c r="E127" t="s">
        <v>1237</v>
      </c>
      <c r="F127" t="s">
        <v>3245</v>
      </c>
      <c r="G127" t="str">
        <f ca="1">PROPER(Table1[[#This Row],[Part Time 
Job]])</f>
        <v>False</v>
      </c>
      <c r="H127" s="3">
        <v>4</v>
      </c>
      <c r="I127" t="str">
        <f ca="1">PROPER(Table1[[#This Row],[Extracurricular 
Activities]])</f>
        <v>False</v>
      </c>
      <c r="J127">
        <v>7</v>
      </c>
      <c r="K127" t="s">
        <v>3116</v>
      </c>
      <c r="L127">
        <v>77</v>
      </c>
      <c r="M127" s="12" t="str" cm="1">
        <f t="array" ref="M12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27">
        <v>95</v>
      </c>
      <c r="O127" s="13" t="str" cm="1">
        <f t="array" ref="O12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27">
        <v>98</v>
      </c>
      <c r="Q127" s="13" t="str" cm="1">
        <f t="array" ref="Q12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27">
        <v>69</v>
      </c>
      <c r="S127" t="str" cm="1">
        <f t="array" ref="S12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27">
        <v>60</v>
      </c>
      <c r="U127" t="str" cm="1">
        <f t="array" ref="U12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27">
        <v>89</v>
      </c>
      <c r="W127" t="str" cm="1">
        <f t="array" ref="W12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27">
        <v>71</v>
      </c>
      <c r="Y127" t="str" cm="1">
        <f t="array" ref="Y12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27">
        <f>SUM(Table1[[#This Row],[Math 
Score]],Table1[[#This Row],[History 
Score]],Table1[[#This Row],[Physics 
Score]],Table1[[#This Row],[Chemistry 
Score]],Table1[[#This Row],[Biology 
Score]],Table1[[#This Row],[English 
Score]],Table1[[#This Row],[Geography 
Score]])</f>
        <v>559</v>
      </c>
      <c r="AA127" s="3">
        <f>AVERAGE(Table1[[#This Row],[Math 
Score]],Table1[[#This Row],[History 
Score]],Table1[[#This Row],[Physics 
Score]],Table1[[#This Row],[Chemistry 
Score]],Table1[[#This Row],[Biology 
Score]],Table1[[#This Row],[English 
Score]],Table1[[#This Row],[Geography 
Score]])</f>
        <v>79.857142857142861</v>
      </c>
      <c r="AB12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27">
        <f t="shared" si="1"/>
        <v>1155</v>
      </c>
      <c r="AD127" t="str">
        <f>_xlfn.IFS(Table1[[#This Row],[Absence 
Days]]&lt;3,"Excellent",Table1[[#This Row],[Absence 
Days]]&lt;=6,"Good",Table1[[#This Row],[Absence 
Days]]&gt;6,"Poor")</f>
        <v>Good</v>
      </c>
    </row>
    <row r="128" spans="1:30" x14ac:dyDescent="0.35">
      <c r="A128">
        <v>127</v>
      </c>
      <c r="B128" s="2" t="s">
        <v>56</v>
      </c>
      <c r="C128" t="s">
        <v>326</v>
      </c>
      <c r="D128" t="str">
        <f>_xlfn.TEXTJOIN(" ",TRUE,Table1[[#This Row],[First 
Name]:[Last 
Name]])</f>
        <v>Brian Lee</v>
      </c>
      <c r="E128" t="s">
        <v>1238</v>
      </c>
      <c r="F128" t="s">
        <v>3244</v>
      </c>
      <c r="G128" t="str">
        <f ca="1">PROPER(Table1[[#This Row],[Part Time 
Job]])</f>
        <v>False</v>
      </c>
      <c r="H128" s="3">
        <v>1</v>
      </c>
      <c r="I128" t="str">
        <f ca="1">PROPER(Table1[[#This Row],[Extracurricular 
Activities]])</f>
        <v>False</v>
      </c>
      <c r="J128">
        <v>3</v>
      </c>
      <c r="K128" t="s">
        <v>3126</v>
      </c>
      <c r="L128">
        <v>89</v>
      </c>
      <c r="M128" s="12" t="str" cm="1">
        <f t="array" ref="M12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28">
        <v>67</v>
      </c>
      <c r="O128" s="13" t="str" cm="1">
        <f t="array" ref="O12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28">
        <v>86</v>
      </c>
      <c r="Q128" s="13" t="str" cm="1">
        <f t="array" ref="Q12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28">
        <v>87</v>
      </c>
      <c r="S128" t="str" cm="1">
        <f t="array" ref="S12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28">
        <v>87</v>
      </c>
      <c r="U128" t="str" cm="1">
        <f t="array" ref="U12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28">
        <v>68</v>
      </c>
      <c r="W128" t="str" cm="1">
        <f t="array" ref="W12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28">
        <v>78</v>
      </c>
      <c r="Y128" t="str" cm="1">
        <f t="array" ref="Y12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28">
        <f>SUM(Table1[[#This Row],[Math 
Score]],Table1[[#This Row],[History 
Score]],Table1[[#This Row],[Physics 
Score]],Table1[[#This Row],[Chemistry 
Score]],Table1[[#This Row],[Biology 
Score]],Table1[[#This Row],[English 
Score]],Table1[[#This Row],[Geography 
Score]])</f>
        <v>562</v>
      </c>
      <c r="AA128" s="3">
        <f>AVERAGE(Table1[[#This Row],[Math 
Score]],Table1[[#This Row],[History 
Score]],Table1[[#This Row],[Physics 
Score]],Table1[[#This Row],[Chemistry 
Score]],Table1[[#This Row],[Biology 
Score]],Table1[[#This Row],[English 
Score]],Table1[[#This Row],[Geography 
Score]])</f>
        <v>80.285714285714292</v>
      </c>
      <c r="AB12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28">
        <f t="shared" si="1"/>
        <v>1099</v>
      </c>
      <c r="AD128" t="str">
        <f>_xlfn.IFS(Table1[[#This Row],[Absence 
Days]]&lt;3,"Excellent",Table1[[#This Row],[Absence 
Days]]&lt;=6,"Good",Table1[[#This Row],[Absence 
Days]]&gt;6,"Poor")</f>
        <v>Excellent</v>
      </c>
    </row>
    <row r="129" spans="1:30" x14ac:dyDescent="0.35">
      <c r="A129">
        <v>128</v>
      </c>
      <c r="B129" s="2" t="s">
        <v>98</v>
      </c>
      <c r="C129" t="s">
        <v>188</v>
      </c>
      <c r="D129" t="str">
        <f>_xlfn.TEXTJOIN(" ",TRUE,Table1[[#This Row],[First 
Name]:[Last 
Name]])</f>
        <v>Mario Taylor</v>
      </c>
      <c r="E129" t="s">
        <v>1239</v>
      </c>
      <c r="F129" t="s">
        <v>3244</v>
      </c>
      <c r="G129" t="str">
        <f ca="1">PROPER(Table1[[#This Row],[Part Time 
Job]])</f>
        <v>False</v>
      </c>
      <c r="H129" s="3">
        <v>4</v>
      </c>
      <c r="I129" t="str">
        <f ca="1">PROPER(Table1[[#This Row],[Extracurricular 
Activities]])</f>
        <v>True</v>
      </c>
      <c r="J129">
        <v>14</v>
      </c>
      <c r="K129" t="s">
        <v>3123</v>
      </c>
      <c r="L129">
        <v>96</v>
      </c>
      <c r="M129" s="12" t="str" cm="1">
        <f t="array" ref="M12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29">
        <v>67</v>
      </c>
      <c r="O129" s="13" t="str" cm="1">
        <f t="array" ref="O12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29">
        <v>80</v>
      </c>
      <c r="Q129" s="13" t="str" cm="1">
        <f t="array" ref="Q12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29">
        <v>83</v>
      </c>
      <c r="S129" t="str" cm="1">
        <f t="array" ref="S12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29">
        <v>86</v>
      </c>
      <c r="U129" t="str" cm="1">
        <f t="array" ref="U12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29">
        <v>77</v>
      </c>
      <c r="W129" t="str" cm="1">
        <f t="array" ref="W12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29">
        <v>75</v>
      </c>
      <c r="Y129" t="str" cm="1">
        <f t="array" ref="Y12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29">
        <f>SUM(Table1[[#This Row],[Math 
Score]],Table1[[#This Row],[History 
Score]],Table1[[#This Row],[Physics 
Score]],Table1[[#This Row],[Chemistry 
Score]],Table1[[#This Row],[Biology 
Score]],Table1[[#This Row],[English 
Score]],Table1[[#This Row],[Geography 
Score]])</f>
        <v>564</v>
      </c>
      <c r="AA129" s="3">
        <f>AVERAGE(Table1[[#This Row],[Math 
Score]],Table1[[#This Row],[History 
Score]],Table1[[#This Row],[Physics 
Score]],Table1[[#This Row],[Chemistry 
Score]],Table1[[#This Row],[Biology 
Score]],Table1[[#This Row],[English 
Score]],Table1[[#This Row],[Geography 
Score]])</f>
        <v>80.571428571428569</v>
      </c>
      <c r="AB12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29">
        <f t="shared" si="1"/>
        <v>1056</v>
      </c>
      <c r="AD129" t="str">
        <f>_xlfn.IFS(Table1[[#This Row],[Absence 
Days]]&lt;3,"Excellent",Table1[[#This Row],[Absence 
Days]]&lt;=6,"Good",Table1[[#This Row],[Absence 
Days]]&gt;6,"Poor")</f>
        <v>Good</v>
      </c>
    </row>
    <row r="130" spans="1:30" x14ac:dyDescent="0.35">
      <c r="A130">
        <v>129</v>
      </c>
      <c r="B130" s="2" t="s">
        <v>99</v>
      </c>
      <c r="C130" t="s">
        <v>552</v>
      </c>
      <c r="D130" t="str">
        <f>_xlfn.TEXTJOIN(" ",TRUE,Table1[[#This Row],[First 
Name]:[Last 
Name]])</f>
        <v>Amanda Williamson</v>
      </c>
      <c r="E130" t="s">
        <v>1240</v>
      </c>
      <c r="F130" t="s">
        <v>3245</v>
      </c>
      <c r="G130" t="str">
        <f ca="1">PROPER(Table1[[#This Row],[Part Time 
Job]])</f>
        <v>False</v>
      </c>
      <c r="H130" s="3">
        <v>4</v>
      </c>
      <c r="I130" t="str">
        <f ca="1">PROPER(Table1[[#This Row],[Extracurricular 
Activities]])</f>
        <v>False</v>
      </c>
      <c r="J130">
        <v>26</v>
      </c>
      <c r="K130" t="s">
        <v>3116</v>
      </c>
      <c r="L130">
        <v>82</v>
      </c>
      <c r="M130" s="12" t="str" cm="1">
        <f t="array" ref="M13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30">
        <v>70</v>
      </c>
      <c r="O130" s="13" t="str" cm="1">
        <f t="array" ref="O13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30">
        <v>80</v>
      </c>
      <c r="Q130" s="13" t="str" cm="1">
        <f t="array" ref="Q13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30">
        <v>70</v>
      </c>
      <c r="S130" t="str" cm="1">
        <f t="array" ref="S13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30">
        <v>96</v>
      </c>
      <c r="U130" t="str" cm="1">
        <f t="array" ref="U13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30">
        <v>69</v>
      </c>
      <c r="W130" t="str" cm="1">
        <f t="array" ref="W13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30">
        <v>86</v>
      </c>
      <c r="Y130" t="str" cm="1">
        <f t="array" ref="Y13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30">
        <f>SUM(Table1[[#This Row],[Math 
Score]],Table1[[#This Row],[History 
Score]],Table1[[#This Row],[Physics 
Score]],Table1[[#This Row],[Chemistry 
Score]],Table1[[#This Row],[Biology 
Score]],Table1[[#This Row],[English 
Score]],Table1[[#This Row],[Geography 
Score]])</f>
        <v>553</v>
      </c>
      <c r="AA130" s="3">
        <f>AVERAGE(Table1[[#This Row],[Math 
Score]],Table1[[#This Row],[History 
Score]],Table1[[#This Row],[Physics 
Score]],Table1[[#This Row],[Chemistry 
Score]],Table1[[#This Row],[Biology 
Score]],Table1[[#This Row],[English 
Score]],Table1[[#This Row],[Geography 
Score]])</f>
        <v>79</v>
      </c>
      <c r="AB13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30">
        <f t="shared" ref="AC130:AC193" si="2">RANK(AA130,$AA$2:$AA$2001,0)</f>
        <v>1284</v>
      </c>
      <c r="AD130" t="str">
        <f>_xlfn.IFS(Table1[[#This Row],[Absence 
Days]]&lt;3,"Excellent",Table1[[#This Row],[Absence 
Days]]&lt;=6,"Good",Table1[[#This Row],[Absence 
Days]]&gt;6,"Poor")</f>
        <v>Good</v>
      </c>
    </row>
    <row r="131" spans="1:30" x14ac:dyDescent="0.35">
      <c r="A131">
        <v>130</v>
      </c>
      <c r="B131" s="2" t="s">
        <v>34</v>
      </c>
      <c r="C131" t="s">
        <v>479</v>
      </c>
      <c r="D131" t="str">
        <f>_xlfn.TEXTJOIN(" ",TRUE,Table1[[#This Row],[First 
Name]:[Last 
Name]])</f>
        <v>Michael Miller</v>
      </c>
      <c r="E131" t="s">
        <v>1241</v>
      </c>
      <c r="F131" t="s">
        <v>3244</v>
      </c>
      <c r="G131" t="str">
        <f ca="1">PROPER(Table1[[#This Row],[Part Time 
Job]])</f>
        <v>False</v>
      </c>
      <c r="H131" s="3">
        <v>6</v>
      </c>
      <c r="I131" t="str">
        <f ca="1">PROPER(Table1[[#This Row],[Extracurricular 
Activities]])</f>
        <v>True</v>
      </c>
      <c r="J131">
        <v>27</v>
      </c>
      <c r="K131" t="s">
        <v>3116</v>
      </c>
      <c r="L131">
        <v>99</v>
      </c>
      <c r="M131" s="12" t="str" cm="1">
        <f t="array" ref="M13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31">
        <v>97</v>
      </c>
      <c r="O131" s="13" t="str" cm="1">
        <f t="array" ref="O13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31">
        <v>64</v>
      </c>
      <c r="Q131" s="13" t="str" cm="1">
        <f t="array" ref="Q13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31">
        <v>90</v>
      </c>
      <c r="S131" t="str" cm="1">
        <f t="array" ref="S13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31">
        <v>87</v>
      </c>
      <c r="U131" t="str" cm="1">
        <f t="array" ref="U13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31">
        <v>68</v>
      </c>
      <c r="W131" t="str" cm="1">
        <f t="array" ref="W13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31">
        <v>69</v>
      </c>
      <c r="Y131" t="str" cm="1">
        <f t="array" ref="Y13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31">
        <f>SUM(Table1[[#This Row],[Math 
Score]],Table1[[#This Row],[History 
Score]],Table1[[#This Row],[Physics 
Score]],Table1[[#This Row],[Chemistry 
Score]],Table1[[#This Row],[Biology 
Score]],Table1[[#This Row],[English 
Score]],Table1[[#This Row],[Geography 
Score]])</f>
        <v>574</v>
      </c>
      <c r="AA131" s="3">
        <f>AVERAGE(Table1[[#This Row],[Math 
Score]],Table1[[#This Row],[History 
Score]],Table1[[#This Row],[Physics 
Score]],Table1[[#This Row],[Chemistry 
Score]],Table1[[#This Row],[Biology 
Score]],Table1[[#This Row],[English 
Score]],Table1[[#This Row],[Geography 
Score]])</f>
        <v>82</v>
      </c>
      <c r="AB13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31">
        <f t="shared" si="2"/>
        <v>832</v>
      </c>
      <c r="AD131" t="str">
        <f>_xlfn.IFS(Table1[[#This Row],[Absence 
Days]]&lt;3,"Excellent",Table1[[#This Row],[Absence 
Days]]&lt;=6,"Good",Table1[[#This Row],[Absence 
Days]]&gt;6,"Poor")</f>
        <v>Good</v>
      </c>
    </row>
    <row r="132" spans="1:30" x14ac:dyDescent="0.35">
      <c r="A132">
        <v>131</v>
      </c>
      <c r="B132" s="2" t="s">
        <v>99</v>
      </c>
      <c r="C132" t="s">
        <v>553</v>
      </c>
      <c r="D132" t="str">
        <f>_xlfn.TEXTJOIN(" ",TRUE,Table1[[#This Row],[First 
Name]:[Last 
Name]])</f>
        <v>Amanda Vasquez</v>
      </c>
      <c r="E132" t="s">
        <v>1242</v>
      </c>
      <c r="F132" t="s">
        <v>3245</v>
      </c>
      <c r="G132" t="str">
        <f ca="1">PROPER(Table1[[#This Row],[Part Time 
Job]])</f>
        <v>True</v>
      </c>
      <c r="H132" s="3">
        <v>5</v>
      </c>
      <c r="I132" t="str">
        <f ca="1">PROPER(Table1[[#This Row],[Extracurricular 
Activities]])</f>
        <v>False</v>
      </c>
      <c r="J132">
        <v>25</v>
      </c>
      <c r="K132" t="s">
        <v>3127</v>
      </c>
      <c r="L132">
        <v>96</v>
      </c>
      <c r="M132" s="12" t="str" cm="1">
        <f t="array" ref="M13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32">
        <v>73</v>
      </c>
      <c r="O132" s="13" t="str" cm="1">
        <f t="array" ref="O13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32">
        <v>90</v>
      </c>
      <c r="Q132" s="13" t="str" cm="1">
        <f t="array" ref="Q13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32">
        <v>85</v>
      </c>
      <c r="S132" t="str" cm="1">
        <f t="array" ref="S13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32">
        <v>63</v>
      </c>
      <c r="U132" t="str" cm="1">
        <f t="array" ref="U13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32">
        <v>84</v>
      </c>
      <c r="W132" t="str" cm="1">
        <f t="array" ref="W13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32">
        <v>87</v>
      </c>
      <c r="Y132" t="str" cm="1">
        <f t="array" ref="Y13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32">
        <f>SUM(Table1[[#This Row],[Math 
Score]],Table1[[#This Row],[History 
Score]],Table1[[#This Row],[Physics 
Score]],Table1[[#This Row],[Chemistry 
Score]],Table1[[#This Row],[Biology 
Score]],Table1[[#This Row],[English 
Score]],Table1[[#This Row],[Geography 
Score]])</f>
        <v>578</v>
      </c>
      <c r="AA132" s="3">
        <f>AVERAGE(Table1[[#This Row],[Math 
Score]],Table1[[#This Row],[History 
Score]],Table1[[#This Row],[Physics 
Score]],Table1[[#This Row],[Chemistry 
Score]],Table1[[#This Row],[Biology 
Score]],Table1[[#This Row],[English 
Score]],Table1[[#This Row],[Geography 
Score]])</f>
        <v>82.571428571428569</v>
      </c>
      <c r="AB13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32">
        <f t="shared" si="2"/>
        <v>752</v>
      </c>
      <c r="AD132" t="str">
        <f>_xlfn.IFS(Table1[[#This Row],[Absence 
Days]]&lt;3,"Excellent",Table1[[#This Row],[Absence 
Days]]&lt;=6,"Good",Table1[[#This Row],[Absence 
Days]]&gt;6,"Poor")</f>
        <v>Good</v>
      </c>
    </row>
    <row r="133" spans="1:30" x14ac:dyDescent="0.35">
      <c r="A133">
        <v>132</v>
      </c>
      <c r="B133" s="2" t="s">
        <v>68</v>
      </c>
      <c r="C133" t="s">
        <v>554</v>
      </c>
      <c r="D133" t="str">
        <f>_xlfn.TEXTJOIN(" ",TRUE,Table1[[#This Row],[First 
Name]:[Last 
Name]])</f>
        <v>Chelsea Obrien</v>
      </c>
      <c r="E133" t="s">
        <v>1243</v>
      </c>
      <c r="F133" t="s">
        <v>3245</v>
      </c>
      <c r="G133" t="str">
        <f ca="1">PROPER(Table1[[#This Row],[Part Time 
Job]])</f>
        <v>True</v>
      </c>
      <c r="H133" s="3">
        <v>4</v>
      </c>
      <c r="I133" t="str">
        <f ca="1">PROPER(Table1[[#This Row],[Extracurricular 
Activities]])</f>
        <v>False</v>
      </c>
      <c r="J133">
        <v>16</v>
      </c>
      <c r="K133" t="s">
        <v>3121</v>
      </c>
      <c r="L133">
        <v>95</v>
      </c>
      <c r="M133" s="12" t="str" cm="1">
        <f t="array" ref="M13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33">
        <v>82</v>
      </c>
      <c r="O133" s="13" t="str" cm="1">
        <f t="array" ref="O13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33">
        <v>66</v>
      </c>
      <c r="Q133" s="13" t="str" cm="1">
        <f t="array" ref="Q13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33">
        <v>63</v>
      </c>
      <c r="S133" t="str" cm="1">
        <f t="array" ref="S13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33">
        <v>67</v>
      </c>
      <c r="U133" t="str" cm="1">
        <f t="array" ref="U13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33">
        <v>92</v>
      </c>
      <c r="W133" t="str" cm="1">
        <f t="array" ref="W13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33">
        <v>69</v>
      </c>
      <c r="Y133" t="str" cm="1">
        <f t="array" ref="Y13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33">
        <f>SUM(Table1[[#This Row],[Math 
Score]],Table1[[#This Row],[History 
Score]],Table1[[#This Row],[Physics 
Score]],Table1[[#This Row],[Chemistry 
Score]],Table1[[#This Row],[Biology 
Score]],Table1[[#This Row],[English 
Score]],Table1[[#This Row],[Geography 
Score]])</f>
        <v>534</v>
      </c>
      <c r="AA133" s="3">
        <f>AVERAGE(Table1[[#This Row],[Math 
Score]],Table1[[#This Row],[History 
Score]],Table1[[#This Row],[Physics 
Score]],Table1[[#This Row],[Chemistry 
Score]],Table1[[#This Row],[Biology 
Score]],Table1[[#This Row],[English 
Score]],Table1[[#This Row],[Geography 
Score]])</f>
        <v>76.285714285714292</v>
      </c>
      <c r="AB13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33">
        <f t="shared" si="2"/>
        <v>1595</v>
      </c>
      <c r="AD133" t="str">
        <f>_xlfn.IFS(Table1[[#This Row],[Absence 
Days]]&lt;3,"Excellent",Table1[[#This Row],[Absence 
Days]]&lt;=6,"Good",Table1[[#This Row],[Absence 
Days]]&gt;6,"Poor")</f>
        <v>Good</v>
      </c>
    </row>
    <row r="134" spans="1:30" x14ac:dyDescent="0.35">
      <c r="A134">
        <v>133</v>
      </c>
      <c r="B134" s="2" t="s">
        <v>2</v>
      </c>
      <c r="C134" t="s">
        <v>555</v>
      </c>
      <c r="D134" t="str">
        <f>_xlfn.TEXTJOIN(" ",TRUE,Table1[[#This Row],[First 
Name]:[Last 
Name]])</f>
        <v>Tina Perkins</v>
      </c>
      <c r="E134" t="s">
        <v>1244</v>
      </c>
      <c r="F134" t="s">
        <v>3245</v>
      </c>
      <c r="G134" t="str">
        <f ca="1">PROPER(Table1[[#This Row],[Part Time 
Job]])</f>
        <v>False</v>
      </c>
      <c r="H134" s="3">
        <v>4</v>
      </c>
      <c r="I134" t="str">
        <f ca="1">PROPER(Table1[[#This Row],[Extracurricular 
Activities]])</f>
        <v>False</v>
      </c>
      <c r="J134">
        <v>27</v>
      </c>
      <c r="K134" t="s">
        <v>3117</v>
      </c>
      <c r="L134">
        <v>90</v>
      </c>
      <c r="M134" s="12" t="str" cm="1">
        <f t="array" ref="M13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34">
        <v>63</v>
      </c>
      <c r="O134" s="13" t="str" cm="1">
        <f t="array" ref="O13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34">
        <v>69</v>
      </c>
      <c r="Q134" s="13" t="str" cm="1">
        <f t="array" ref="Q13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34">
        <v>80</v>
      </c>
      <c r="S134" t="str" cm="1">
        <f t="array" ref="S13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34">
        <v>99</v>
      </c>
      <c r="U134" t="str" cm="1">
        <f t="array" ref="U13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34">
        <v>69</v>
      </c>
      <c r="W134" t="str" cm="1">
        <f t="array" ref="W13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34">
        <v>79</v>
      </c>
      <c r="Y134" t="str" cm="1">
        <f t="array" ref="Y13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34">
        <f>SUM(Table1[[#This Row],[Math 
Score]],Table1[[#This Row],[History 
Score]],Table1[[#This Row],[Physics 
Score]],Table1[[#This Row],[Chemistry 
Score]],Table1[[#This Row],[Biology 
Score]],Table1[[#This Row],[English 
Score]],Table1[[#This Row],[Geography 
Score]])</f>
        <v>549</v>
      </c>
      <c r="AA134" s="3">
        <f>AVERAGE(Table1[[#This Row],[Math 
Score]],Table1[[#This Row],[History 
Score]],Table1[[#This Row],[Physics 
Score]],Table1[[#This Row],[Chemistry 
Score]],Table1[[#This Row],[Biology 
Score]],Table1[[#This Row],[English 
Score]],Table1[[#This Row],[Geography 
Score]])</f>
        <v>78.428571428571431</v>
      </c>
      <c r="AB13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34">
        <f t="shared" si="2"/>
        <v>1355</v>
      </c>
      <c r="AD134" t="str">
        <f>_xlfn.IFS(Table1[[#This Row],[Absence 
Days]]&lt;3,"Excellent",Table1[[#This Row],[Absence 
Days]]&lt;=6,"Good",Table1[[#This Row],[Absence 
Days]]&gt;6,"Poor")</f>
        <v>Good</v>
      </c>
    </row>
    <row r="135" spans="1:30" x14ac:dyDescent="0.35">
      <c r="A135">
        <v>134</v>
      </c>
      <c r="B135" s="2" t="s">
        <v>100</v>
      </c>
      <c r="C135" t="s">
        <v>510</v>
      </c>
      <c r="D135" t="str">
        <f>_xlfn.TEXTJOIN(" ",TRUE,Table1[[#This Row],[First 
Name]:[Last 
Name]])</f>
        <v>Cory Perez</v>
      </c>
      <c r="E135" t="s">
        <v>1245</v>
      </c>
      <c r="F135" t="s">
        <v>3244</v>
      </c>
      <c r="G135" t="str">
        <f ca="1">PROPER(Table1[[#This Row],[Part Time 
Job]])</f>
        <v>True</v>
      </c>
      <c r="H135" s="3">
        <v>6</v>
      </c>
      <c r="I135" t="str">
        <f ca="1">PROPER(Table1[[#This Row],[Extracurricular 
Activities]])</f>
        <v>False</v>
      </c>
      <c r="J135">
        <v>0</v>
      </c>
      <c r="K135" t="s">
        <v>3119</v>
      </c>
      <c r="L135">
        <v>88</v>
      </c>
      <c r="M135" s="12" t="str" cm="1">
        <f t="array" ref="M13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35">
        <v>52</v>
      </c>
      <c r="O135" s="13" t="str" cm="1">
        <f t="array" ref="O13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C</v>
      </c>
      <c r="P135">
        <v>53</v>
      </c>
      <c r="Q135" s="13" t="str" cm="1">
        <f t="array" ref="Q13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C</v>
      </c>
      <c r="R135">
        <v>56</v>
      </c>
      <c r="S135" t="str" cm="1">
        <f t="array" ref="S13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C</v>
      </c>
      <c r="T135">
        <v>85</v>
      </c>
      <c r="U135" t="str" cm="1">
        <f t="array" ref="U13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35">
        <v>93</v>
      </c>
      <c r="W135" t="str" cm="1">
        <f t="array" ref="W13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35">
        <v>78</v>
      </c>
      <c r="Y135" t="str" cm="1">
        <f t="array" ref="Y13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35">
        <f>SUM(Table1[[#This Row],[Math 
Score]],Table1[[#This Row],[History 
Score]],Table1[[#This Row],[Physics 
Score]],Table1[[#This Row],[Chemistry 
Score]],Table1[[#This Row],[Biology 
Score]],Table1[[#This Row],[English 
Score]],Table1[[#This Row],[Geography 
Score]])</f>
        <v>505</v>
      </c>
      <c r="AA135" s="3">
        <f>AVERAGE(Table1[[#This Row],[Math 
Score]],Table1[[#This Row],[History 
Score]],Table1[[#This Row],[Physics 
Score]],Table1[[#This Row],[Chemistry 
Score]],Table1[[#This Row],[Biology 
Score]],Table1[[#This Row],[English 
Score]],Table1[[#This Row],[Geography 
Score]])</f>
        <v>72.142857142857139</v>
      </c>
      <c r="AB13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35">
        <f t="shared" si="2"/>
        <v>1854</v>
      </c>
      <c r="AD135" t="str">
        <f>_xlfn.IFS(Table1[[#This Row],[Absence 
Days]]&lt;3,"Excellent",Table1[[#This Row],[Absence 
Days]]&lt;=6,"Good",Table1[[#This Row],[Absence 
Days]]&gt;6,"Poor")</f>
        <v>Good</v>
      </c>
    </row>
    <row r="136" spans="1:30" x14ac:dyDescent="0.35">
      <c r="A136">
        <v>135</v>
      </c>
      <c r="B136" s="2" t="s">
        <v>36</v>
      </c>
      <c r="C136" t="s">
        <v>556</v>
      </c>
      <c r="D136" t="str">
        <f>_xlfn.TEXTJOIN(" ",TRUE,Table1[[#This Row],[First 
Name]:[Last 
Name]])</f>
        <v>Christopher Jenkins</v>
      </c>
      <c r="E136" t="s">
        <v>1246</v>
      </c>
      <c r="F136" t="s">
        <v>3244</v>
      </c>
      <c r="G136" t="str">
        <f ca="1">PROPER(Table1[[#This Row],[Part Time 
Job]])</f>
        <v>False</v>
      </c>
      <c r="H136" s="3">
        <v>1</v>
      </c>
      <c r="I136" t="str">
        <f ca="1">PROPER(Table1[[#This Row],[Extracurricular 
Activities]])</f>
        <v>False</v>
      </c>
      <c r="J136">
        <v>3</v>
      </c>
      <c r="K136" t="s">
        <v>3124</v>
      </c>
      <c r="L136">
        <v>87</v>
      </c>
      <c r="M136" s="12" t="str" cm="1">
        <f t="array" ref="M13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36">
        <v>62</v>
      </c>
      <c r="O136" s="13" t="str" cm="1">
        <f t="array" ref="O13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36">
        <v>87</v>
      </c>
      <c r="Q136" s="13" t="str" cm="1">
        <f t="array" ref="Q13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36">
        <v>96</v>
      </c>
      <c r="S136" t="str" cm="1">
        <f t="array" ref="S13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36">
        <v>85</v>
      </c>
      <c r="U136" t="str" cm="1">
        <f t="array" ref="U13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36">
        <v>90</v>
      </c>
      <c r="W136" t="str" cm="1">
        <f t="array" ref="W13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36">
        <v>74</v>
      </c>
      <c r="Y136" t="str" cm="1">
        <f t="array" ref="Y13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36">
        <f>SUM(Table1[[#This Row],[Math 
Score]],Table1[[#This Row],[History 
Score]],Table1[[#This Row],[Physics 
Score]],Table1[[#This Row],[Chemistry 
Score]],Table1[[#This Row],[Biology 
Score]],Table1[[#This Row],[English 
Score]],Table1[[#This Row],[Geography 
Score]])</f>
        <v>581</v>
      </c>
      <c r="AA136" s="3">
        <f>AVERAGE(Table1[[#This Row],[Math 
Score]],Table1[[#This Row],[History 
Score]],Table1[[#This Row],[Physics 
Score]],Table1[[#This Row],[Chemistry 
Score]],Table1[[#This Row],[Biology 
Score]],Table1[[#This Row],[English 
Score]],Table1[[#This Row],[Geography 
Score]])</f>
        <v>83</v>
      </c>
      <c r="AB13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36">
        <f t="shared" si="2"/>
        <v>688</v>
      </c>
      <c r="AD136" t="str">
        <f>_xlfn.IFS(Table1[[#This Row],[Absence 
Days]]&lt;3,"Excellent",Table1[[#This Row],[Absence 
Days]]&lt;=6,"Good",Table1[[#This Row],[Absence 
Days]]&gt;6,"Poor")</f>
        <v>Excellent</v>
      </c>
    </row>
    <row r="137" spans="1:30" x14ac:dyDescent="0.35">
      <c r="A137">
        <v>136</v>
      </c>
      <c r="B137" s="2" t="s">
        <v>101</v>
      </c>
      <c r="C137" t="s">
        <v>456</v>
      </c>
      <c r="D137" t="str">
        <f>_xlfn.TEXTJOIN(" ",TRUE,Table1[[#This Row],[First 
Name]:[Last 
Name]])</f>
        <v>Joanne Campos</v>
      </c>
      <c r="E137" t="s">
        <v>1247</v>
      </c>
      <c r="F137" t="s">
        <v>3245</v>
      </c>
      <c r="G137" t="str">
        <f ca="1">PROPER(Table1[[#This Row],[Part Time 
Job]])</f>
        <v>False</v>
      </c>
      <c r="H137" s="3">
        <v>2</v>
      </c>
      <c r="I137" t="str">
        <f ca="1">PROPER(Table1[[#This Row],[Extracurricular 
Activities]])</f>
        <v>False</v>
      </c>
      <c r="J137">
        <v>6</v>
      </c>
      <c r="K137" t="s">
        <v>3124</v>
      </c>
      <c r="L137">
        <v>62</v>
      </c>
      <c r="M137" s="12" t="str" cm="1">
        <f t="array" ref="M137">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37">
        <v>83</v>
      </c>
      <c r="O137" s="13" t="str" cm="1">
        <f t="array" ref="O13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37">
        <v>84</v>
      </c>
      <c r="Q137" s="13" t="str" cm="1">
        <f t="array" ref="Q13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37">
        <v>75</v>
      </c>
      <c r="S137" t="str" cm="1">
        <f t="array" ref="S13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37">
        <v>83</v>
      </c>
      <c r="U137" t="str" cm="1">
        <f t="array" ref="U13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37">
        <v>85</v>
      </c>
      <c r="W137" t="str" cm="1">
        <f t="array" ref="W13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37">
        <v>86</v>
      </c>
      <c r="Y137" t="str" cm="1">
        <f t="array" ref="Y13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37">
        <f>SUM(Table1[[#This Row],[Math 
Score]],Table1[[#This Row],[History 
Score]],Table1[[#This Row],[Physics 
Score]],Table1[[#This Row],[Chemistry 
Score]],Table1[[#This Row],[Biology 
Score]],Table1[[#This Row],[English 
Score]],Table1[[#This Row],[Geography 
Score]])</f>
        <v>558</v>
      </c>
      <c r="AA137" s="3">
        <f>AVERAGE(Table1[[#This Row],[Math 
Score]],Table1[[#This Row],[History 
Score]],Table1[[#This Row],[Physics 
Score]],Table1[[#This Row],[Chemistry 
Score]],Table1[[#This Row],[Biology 
Score]],Table1[[#This Row],[English 
Score]],Table1[[#This Row],[Geography 
Score]])</f>
        <v>79.714285714285708</v>
      </c>
      <c r="AB13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37">
        <f t="shared" si="2"/>
        <v>1178</v>
      </c>
      <c r="AD137" t="str">
        <f>_xlfn.IFS(Table1[[#This Row],[Absence 
Days]]&lt;3,"Excellent",Table1[[#This Row],[Absence 
Days]]&lt;=6,"Good",Table1[[#This Row],[Absence 
Days]]&gt;6,"Poor")</f>
        <v>Excellent</v>
      </c>
    </row>
    <row r="138" spans="1:30" x14ac:dyDescent="0.35">
      <c r="A138">
        <v>137</v>
      </c>
      <c r="B138" s="2" t="s">
        <v>40</v>
      </c>
      <c r="C138" t="s">
        <v>557</v>
      </c>
      <c r="D138" t="str">
        <f>_xlfn.TEXTJOIN(" ",TRUE,Table1[[#This Row],[First 
Name]:[Last 
Name]])</f>
        <v>David Patel</v>
      </c>
      <c r="E138" t="s">
        <v>1248</v>
      </c>
      <c r="F138" t="s">
        <v>3244</v>
      </c>
      <c r="G138" t="str">
        <f ca="1">PROPER(Table1[[#This Row],[Part Time 
Job]])</f>
        <v>False</v>
      </c>
      <c r="H138" s="3">
        <v>2</v>
      </c>
      <c r="I138" t="str">
        <f ca="1">PROPER(Table1[[#This Row],[Extracurricular 
Activities]])</f>
        <v>False</v>
      </c>
      <c r="J138">
        <v>12</v>
      </c>
      <c r="K138" t="s">
        <v>3121</v>
      </c>
      <c r="L138">
        <v>85</v>
      </c>
      <c r="M138" s="12" t="str" cm="1">
        <f t="array" ref="M13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38">
        <v>65</v>
      </c>
      <c r="O138" s="13" t="str" cm="1">
        <f t="array" ref="O13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38">
        <v>60</v>
      </c>
      <c r="Q138" s="13" t="str" cm="1">
        <f t="array" ref="Q13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38">
        <v>78</v>
      </c>
      <c r="S138" t="str" cm="1">
        <f t="array" ref="S13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38">
        <v>81</v>
      </c>
      <c r="U138" t="str" cm="1">
        <f t="array" ref="U13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38">
        <v>96</v>
      </c>
      <c r="W138" t="str" cm="1">
        <f t="array" ref="W13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38">
        <v>76</v>
      </c>
      <c r="Y138" t="str" cm="1">
        <f t="array" ref="Y13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38">
        <f>SUM(Table1[[#This Row],[Math 
Score]],Table1[[#This Row],[History 
Score]],Table1[[#This Row],[Physics 
Score]],Table1[[#This Row],[Chemistry 
Score]],Table1[[#This Row],[Biology 
Score]],Table1[[#This Row],[English 
Score]],Table1[[#This Row],[Geography 
Score]])</f>
        <v>541</v>
      </c>
      <c r="AA138" s="3">
        <f>AVERAGE(Table1[[#This Row],[Math 
Score]],Table1[[#This Row],[History 
Score]],Table1[[#This Row],[Physics 
Score]],Table1[[#This Row],[Chemistry 
Score]],Table1[[#This Row],[Biology 
Score]],Table1[[#This Row],[English 
Score]],Table1[[#This Row],[Geography 
Score]])</f>
        <v>77.285714285714292</v>
      </c>
      <c r="AB13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38">
        <f t="shared" si="2"/>
        <v>1493</v>
      </c>
      <c r="AD138" t="str">
        <f>_xlfn.IFS(Table1[[#This Row],[Absence 
Days]]&lt;3,"Excellent",Table1[[#This Row],[Absence 
Days]]&lt;=6,"Good",Table1[[#This Row],[Absence 
Days]]&gt;6,"Poor")</f>
        <v>Excellent</v>
      </c>
    </row>
    <row r="139" spans="1:30" x14ac:dyDescent="0.35">
      <c r="A139">
        <v>138</v>
      </c>
      <c r="B139" s="2" t="s">
        <v>54</v>
      </c>
      <c r="C139" t="s">
        <v>478</v>
      </c>
      <c r="D139" t="str">
        <f>_xlfn.TEXTJOIN(" ",TRUE,Table1[[#This Row],[First 
Name]:[Last 
Name]])</f>
        <v>Michelle Hill</v>
      </c>
      <c r="E139" t="s">
        <v>1249</v>
      </c>
      <c r="F139" t="s">
        <v>3245</v>
      </c>
      <c r="G139" t="str">
        <f ca="1">PROPER(Table1[[#This Row],[Part Time 
Job]])</f>
        <v>False</v>
      </c>
      <c r="H139" s="3">
        <v>1</v>
      </c>
      <c r="I139" t="str">
        <f ca="1">PROPER(Table1[[#This Row],[Extracurricular 
Activities]])</f>
        <v>True</v>
      </c>
      <c r="J139">
        <v>11</v>
      </c>
      <c r="K139" t="s">
        <v>3121</v>
      </c>
      <c r="L139">
        <v>79</v>
      </c>
      <c r="M139" s="12" t="str" cm="1">
        <f t="array" ref="M13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39">
        <v>97</v>
      </c>
      <c r="O139" s="13" t="str" cm="1">
        <f t="array" ref="O13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39">
        <v>76</v>
      </c>
      <c r="Q139" s="13" t="str" cm="1">
        <f t="array" ref="Q13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39">
        <v>67</v>
      </c>
      <c r="S139" t="str" cm="1">
        <f t="array" ref="S13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39">
        <v>61</v>
      </c>
      <c r="U139" t="str" cm="1">
        <f t="array" ref="U13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39">
        <v>90</v>
      </c>
      <c r="W139" t="str" cm="1">
        <f t="array" ref="W13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39">
        <v>95</v>
      </c>
      <c r="Y139" t="str" cm="1">
        <f t="array" ref="Y13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39">
        <f>SUM(Table1[[#This Row],[Math 
Score]],Table1[[#This Row],[History 
Score]],Table1[[#This Row],[Physics 
Score]],Table1[[#This Row],[Chemistry 
Score]],Table1[[#This Row],[Biology 
Score]],Table1[[#This Row],[English 
Score]],Table1[[#This Row],[Geography 
Score]])</f>
        <v>565</v>
      </c>
      <c r="AA139" s="3">
        <f>AVERAGE(Table1[[#This Row],[Math 
Score]],Table1[[#This Row],[History 
Score]],Table1[[#This Row],[Physics 
Score]],Table1[[#This Row],[Chemistry 
Score]],Table1[[#This Row],[Biology 
Score]],Table1[[#This Row],[English 
Score]],Table1[[#This Row],[Geography 
Score]])</f>
        <v>80.714285714285708</v>
      </c>
      <c r="AB13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39">
        <f t="shared" si="2"/>
        <v>1035</v>
      </c>
      <c r="AD139" t="str">
        <f>_xlfn.IFS(Table1[[#This Row],[Absence 
Days]]&lt;3,"Excellent",Table1[[#This Row],[Absence 
Days]]&lt;=6,"Good",Table1[[#This Row],[Absence 
Days]]&gt;6,"Poor")</f>
        <v>Excellent</v>
      </c>
    </row>
    <row r="140" spans="1:30" x14ac:dyDescent="0.35">
      <c r="A140">
        <v>139</v>
      </c>
      <c r="B140" s="2" t="s">
        <v>102</v>
      </c>
      <c r="C140" t="s">
        <v>558</v>
      </c>
      <c r="D140" t="str">
        <f>_xlfn.TEXTJOIN(" ",TRUE,Table1[[#This Row],[First 
Name]:[Last 
Name]])</f>
        <v>Jessica Boyd</v>
      </c>
      <c r="E140" t="s">
        <v>1250</v>
      </c>
      <c r="F140" t="s">
        <v>3245</v>
      </c>
      <c r="G140" t="str">
        <f ca="1">PROPER(Table1[[#This Row],[Part Time 
Job]])</f>
        <v>False</v>
      </c>
      <c r="H140" s="3">
        <v>4</v>
      </c>
      <c r="I140" t="str">
        <f ca="1">PROPER(Table1[[#This Row],[Extracurricular 
Activities]])</f>
        <v>False</v>
      </c>
      <c r="J140">
        <v>23</v>
      </c>
      <c r="K140" t="s">
        <v>3117</v>
      </c>
      <c r="L140">
        <v>90</v>
      </c>
      <c r="M140" s="12" t="str" cm="1">
        <f t="array" ref="M14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40">
        <v>94</v>
      </c>
      <c r="O140" s="13" t="str" cm="1">
        <f t="array" ref="O14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40">
        <v>98</v>
      </c>
      <c r="Q140" s="13" t="str" cm="1">
        <f t="array" ref="Q14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40">
        <v>96</v>
      </c>
      <c r="S140" t="str" cm="1">
        <f t="array" ref="S14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40">
        <v>68</v>
      </c>
      <c r="U140" t="str" cm="1">
        <f t="array" ref="U14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40">
        <v>82</v>
      </c>
      <c r="W140" t="str" cm="1">
        <f t="array" ref="W14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40">
        <v>81</v>
      </c>
      <c r="Y140" t="str" cm="1">
        <f t="array" ref="Y14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40">
        <f>SUM(Table1[[#This Row],[Math 
Score]],Table1[[#This Row],[History 
Score]],Table1[[#This Row],[Physics 
Score]],Table1[[#This Row],[Chemistry 
Score]],Table1[[#This Row],[Biology 
Score]],Table1[[#This Row],[English 
Score]],Table1[[#This Row],[Geography 
Score]])</f>
        <v>609</v>
      </c>
      <c r="AA140" s="3">
        <f>AVERAGE(Table1[[#This Row],[Math 
Score]],Table1[[#This Row],[History 
Score]],Table1[[#This Row],[Physics 
Score]],Table1[[#This Row],[Chemistry 
Score]],Table1[[#This Row],[Biology 
Score]],Table1[[#This Row],[English 
Score]],Table1[[#This Row],[Geography 
Score]])</f>
        <v>87</v>
      </c>
      <c r="AB14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40">
        <f t="shared" si="2"/>
        <v>309</v>
      </c>
      <c r="AD140" t="str">
        <f>_xlfn.IFS(Table1[[#This Row],[Absence 
Days]]&lt;3,"Excellent",Table1[[#This Row],[Absence 
Days]]&lt;=6,"Good",Table1[[#This Row],[Absence 
Days]]&gt;6,"Poor")</f>
        <v>Good</v>
      </c>
    </row>
    <row r="141" spans="1:30" x14ac:dyDescent="0.35">
      <c r="A141">
        <v>140</v>
      </c>
      <c r="B141" s="2" t="s">
        <v>103</v>
      </c>
      <c r="C141" t="s">
        <v>559</v>
      </c>
      <c r="D141" t="str">
        <f>_xlfn.TEXTJOIN(" ",TRUE,Table1[[#This Row],[First 
Name]:[Last 
Name]])</f>
        <v>Lawrence Russell</v>
      </c>
      <c r="E141" t="s">
        <v>1251</v>
      </c>
      <c r="F141" t="s">
        <v>3244</v>
      </c>
      <c r="G141" t="str">
        <f ca="1">PROPER(Table1[[#This Row],[Part Time 
Job]])</f>
        <v>False</v>
      </c>
      <c r="H141" s="3">
        <v>2</v>
      </c>
      <c r="I141" t="str">
        <f ca="1">PROPER(Table1[[#This Row],[Extracurricular 
Activities]])</f>
        <v>False</v>
      </c>
      <c r="J141">
        <v>23</v>
      </c>
      <c r="K141" t="s">
        <v>3113</v>
      </c>
      <c r="L141">
        <v>97</v>
      </c>
      <c r="M141" s="12" t="str" cm="1">
        <f t="array" ref="M14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41">
        <v>71</v>
      </c>
      <c r="O141" s="13" t="str" cm="1">
        <f t="array" ref="O14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41">
        <v>82</v>
      </c>
      <c r="Q141" s="13" t="str" cm="1">
        <f t="array" ref="Q14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41">
        <v>80</v>
      </c>
      <c r="S141" t="str" cm="1">
        <f t="array" ref="S14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41">
        <v>97</v>
      </c>
      <c r="U141" t="str" cm="1">
        <f t="array" ref="U14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41">
        <v>93</v>
      </c>
      <c r="W141" t="str" cm="1">
        <f t="array" ref="W14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41">
        <v>78</v>
      </c>
      <c r="Y141" t="str" cm="1">
        <f t="array" ref="Y14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41">
        <f>SUM(Table1[[#This Row],[Math 
Score]],Table1[[#This Row],[History 
Score]],Table1[[#This Row],[Physics 
Score]],Table1[[#This Row],[Chemistry 
Score]],Table1[[#This Row],[Biology 
Score]],Table1[[#This Row],[English 
Score]],Table1[[#This Row],[Geography 
Score]])</f>
        <v>598</v>
      </c>
      <c r="AA141" s="3">
        <f>AVERAGE(Table1[[#This Row],[Math 
Score]],Table1[[#This Row],[History 
Score]],Table1[[#This Row],[Physics 
Score]],Table1[[#This Row],[Chemistry 
Score]],Table1[[#This Row],[Biology 
Score]],Table1[[#This Row],[English 
Score]],Table1[[#This Row],[Geography 
Score]])</f>
        <v>85.428571428571431</v>
      </c>
      <c r="AB14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41">
        <f t="shared" si="2"/>
        <v>436</v>
      </c>
      <c r="AD141" t="str">
        <f>_xlfn.IFS(Table1[[#This Row],[Absence 
Days]]&lt;3,"Excellent",Table1[[#This Row],[Absence 
Days]]&lt;=6,"Good",Table1[[#This Row],[Absence 
Days]]&gt;6,"Poor")</f>
        <v>Excellent</v>
      </c>
    </row>
    <row r="142" spans="1:30" x14ac:dyDescent="0.35">
      <c r="A142">
        <v>141</v>
      </c>
      <c r="B142" s="2" t="s">
        <v>71</v>
      </c>
      <c r="C142" t="s">
        <v>560</v>
      </c>
      <c r="D142" t="str">
        <f>_xlfn.TEXTJOIN(" ",TRUE,Table1[[#This Row],[First 
Name]:[Last 
Name]])</f>
        <v>James Singh</v>
      </c>
      <c r="E142" t="s">
        <v>1252</v>
      </c>
      <c r="F142" t="s">
        <v>3244</v>
      </c>
      <c r="G142" t="str">
        <f ca="1">PROPER(Table1[[#This Row],[Part Time 
Job]])</f>
        <v>False</v>
      </c>
      <c r="H142" s="3">
        <v>0</v>
      </c>
      <c r="I142" t="str">
        <f ca="1">PROPER(Table1[[#This Row],[Extracurricular 
Activities]])</f>
        <v>False</v>
      </c>
      <c r="J142">
        <v>16</v>
      </c>
      <c r="K142" t="s">
        <v>3117</v>
      </c>
      <c r="L142">
        <v>88</v>
      </c>
      <c r="M142" s="12" t="str" cm="1">
        <f t="array" ref="M14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42">
        <v>69</v>
      </c>
      <c r="O142" s="13" t="str" cm="1">
        <f t="array" ref="O14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42">
        <v>87</v>
      </c>
      <c r="Q142" s="13" t="str" cm="1">
        <f t="array" ref="Q14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42">
        <v>81</v>
      </c>
      <c r="S142" t="str" cm="1">
        <f t="array" ref="S14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42">
        <v>77</v>
      </c>
      <c r="U142" t="str" cm="1">
        <f t="array" ref="U14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42">
        <v>67</v>
      </c>
      <c r="W142" t="str" cm="1">
        <f t="array" ref="W14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42">
        <v>93</v>
      </c>
      <c r="Y142" t="str" cm="1">
        <f t="array" ref="Y14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42">
        <f>SUM(Table1[[#This Row],[Math 
Score]],Table1[[#This Row],[History 
Score]],Table1[[#This Row],[Physics 
Score]],Table1[[#This Row],[Chemistry 
Score]],Table1[[#This Row],[Biology 
Score]],Table1[[#This Row],[English 
Score]],Table1[[#This Row],[Geography 
Score]])</f>
        <v>562</v>
      </c>
      <c r="AA142" s="3">
        <f>AVERAGE(Table1[[#This Row],[Math 
Score]],Table1[[#This Row],[History 
Score]],Table1[[#This Row],[Physics 
Score]],Table1[[#This Row],[Chemistry 
Score]],Table1[[#This Row],[Biology 
Score]],Table1[[#This Row],[English 
Score]],Table1[[#This Row],[Geography 
Score]])</f>
        <v>80.285714285714292</v>
      </c>
      <c r="AB14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42">
        <f t="shared" si="2"/>
        <v>1099</v>
      </c>
      <c r="AD142" t="str">
        <f>_xlfn.IFS(Table1[[#This Row],[Absence 
Days]]&lt;3,"Excellent",Table1[[#This Row],[Absence 
Days]]&lt;=6,"Good",Table1[[#This Row],[Absence 
Days]]&gt;6,"Poor")</f>
        <v>Excellent</v>
      </c>
    </row>
    <row r="143" spans="1:30" x14ac:dyDescent="0.35">
      <c r="A143">
        <v>142</v>
      </c>
      <c r="B143" s="2" t="s">
        <v>104</v>
      </c>
      <c r="C143" t="s">
        <v>561</v>
      </c>
      <c r="D143" t="str">
        <f>_xlfn.TEXTJOIN(" ",TRUE,Table1[[#This Row],[First 
Name]:[Last 
Name]])</f>
        <v>Marc Villanueva</v>
      </c>
      <c r="E143" t="s">
        <v>1253</v>
      </c>
      <c r="F143" t="s">
        <v>3244</v>
      </c>
      <c r="G143" t="str">
        <f ca="1">PROPER(Table1[[#This Row],[Part Time 
Job]])</f>
        <v>True</v>
      </c>
      <c r="H143" s="3">
        <v>2</v>
      </c>
      <c r="I143" t="str">
        <f ca="1">PROPER(Table1[[#This Row],[Extracurricular 
Activities]])</f>
        <v>True</v>
      </c>
      <c r="J143">
        <v>3</v>
      </c>
      <c r="K143" t="s">
        <v>3115</v>
      </c>
      <c r="L143">
        <v>71</v>
      </c>
      <c r="M143" s="12" t="str" cm="1">
        <f t="array" ref="M143">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43">
        <v>85</v>
      </c>
      <c r="O143" s="13" t="str" cm="1">
        <f t="array" ref="O14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43">
        <v>77</v>
      </c>
      <c r="Q143" s="13" t="str" cm="1">
        <f t="array" ref="Q14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43">
        <v>89</v>
      </c>
      <c r="S143" t="str" cm="1">
        <f t="array" ref="S14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43">
        <v>98</v>
      </c>
      <c r="U143" t="str" cm="1">
        <f t="array" ref="U14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43">
        <v>63</v>
      </c>
      <c r="W143" t="str" cm="1">
        <f t="array" ref="W14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43">
        <v>100</v>
      </c>
      <c r="Y143" t="str" cm="1">
        <f t="array" ref="Y14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43">
        <f>SUM(Table1[[#This Row],[Math 
Score]],Table1[[#This Row],[History 
Score]],Table1[[#This Row],[Physics 
Score]],Table1[[#This Row],[Chemistry 
Score]],Table1[[#This Row],[Biology 
Score]],Table1[[#This Row],[English 
Score]],Table1[[#This Row],[Geography 
Score]])</f>
        <v>583</v>
      </c>
      <c r="AA143" s="3">
        <f>AVERAGE(Table1[[#This Row],[Math 
Score]],Table1[[#This Row],[History 
Score]],Table1[[#This Row],[Physics 
Score]],Table1[[#This Row],[Chemistry 
Score]],Table1[[#This Row],[Biology 
Score]],Table1[[#This Row],[English 
Score]],Table1[[#This Row],[Geography 
Score]])</f>
        <v>83.285714285714292</v>
      </c>
      <c r="AB14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43">
        <f t="shared" si="2"/>
        <v>655</v>
      </c>
      <c r="AD143" t="str">
        <f>_xlfn.IFS(Table1[[#This Row],[Absence 
Days]]&lt;3,"Excellent",Table1[[#This Row],[Absence 
Days]]&lt;=6,"Good",Table1[[#This Row],[Absence 
Days]]&gt;6,"Poor")</f>
        <v>Excellent</v>
      </c>
    </row>
    <row r="144" spans="1:30" x14ac:dyDescent="0.35">
      <c r="A144">
        <v>143</v>
      </c>
      <c r="B144" s="2" t="s">
        <v>105</v>
      </c>
      <c r="C144" t="s">
        <v>562</v>
      </c>
      <c r="D144" t="str">
        <f>_xlfn.TEXTJOIN(" ",TRUE,Table1[[#This Row],[First 
Name]:[Last 
Name]])</f>
        <v>Cathy Wilson</v>
      </c>
      <c r="E144" t="s">
        <v>1254</v>
      </c>
      <c r="F144" t="s">
        <v>3245</v>
      </c>
      <c r="G144" t="str">
        <f ca="1">PROPER(Table1[[#This Row],[Part Time 
Job]])</f>
        <v>False</v>
      </c>
      <c r="H144" s="3">
        <v>1</v>
      </c>
      <c r="I144" t="str">
        <f ca="1">PROPER(Table1[[#This Row],[Extracurricular 
Activities]])</f>
        <v>False</v>
      </c>
      <c r="J144">
        <v>29</v>
      </c>
      <c r="K144" t="s">
        <v>3112</v>
      </c>
      <c r="L144">
        <v>70</v>
      </c>
      <c r="M144" s="12" t="str" cm="1">
        <f t="array" ref="M144">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44">
        <v>99</v>
      </c>
      <c r="O144" s="13" t="str" cm="1">
        <f t="array" ref="O14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44">
        <v>79</v>
      </c>
      <c r="Q144" s="13" t="str" cm="1">
        <f t="array" ref="Q14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44">
        <v>96</v>
      </c>
      <c r="S144" t="str" cm="1">
        <f t="array" ref="S14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44">
        <v>60</v>
      </c>
      <c r="U144" t="str" cm="1">
        <f t="array" ref="U14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44">
        <v>97</v>
      </c>
      <c r="W144" t="str" cm="1">
        <f t="array" ref="W14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44">
        <v>100</v>
      </c>
      <c r="Y144" t="str" cm="1">
        <f t="array" ref="Y14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44">
        <f>SUM(Table1[[#This Row],[Math 
Score]],Table1[[#This Row],[History 
Score]],Table1[[#This Row],[Physics 
Score]],Table1[[#This Row],[Chemistry 
Score]],Table1[[#This Row],[Biology 
Score]],Table1[[#This Row],[English 
Score]],Table1[[#This Row],[Geography 
Score]])</f>
        <v>601</v>
      </c>
      <c r="AA144" s="3">
        <f>AVERAGE(Table1[[#This Row],[Math 
Score]],Table1[[#This Row],[History 
Score]],Table1[[#This Row],[Physics 
Score]],Table1[[#This Row],[Chemistry 
Score]],Table1[[#This Row],[Biology 
Score]],Table1[[#This Row],[English 
Score]],Table1[[#This Row],[Geography 
Score]])</f>
        <v>85.857142857142861</v>
      </c>
      <c r="AB14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44">
        <f t="shared" si="2"/>
        <v>394</v>
      </c>
      <c r="AD144" t="str">
        <f>_xlfn.IFS(Table1[[#This Row],[Absence 
Days]]&lt;3,"Excellent",Table1[[#This Row],[Absence 
Days]]&lt;=6,"Good",Table1[[#This Row],[Absence 
Days]]&gt;6,"Poor")</f>
        <v>Excellent</v>
      </c>
    </row>
    <row r="145" spans="1:30" x14ac:dyDescent="0.35">
      <c r="A145">
        <v>144</v>
      </c>
      <c r="B145" s="2" t="s">
        <v>106</v>
      </c>
      <c r="C145" t="s">
        <v>433</v>
      </c>
      <c r="D145" t="str">
        <f>_xlfn.TEXTJOIN(" ",TRUE,Table1[[#This Row],[First 
Name]:[Last 
Name]])</f>
        <v>Adam Mitchell</v>
      </c>
      <c r="E145" t="s">
        <v>1255</v>
      </c>
      <c r="F145" t="s">
        <v>3244</v>
      </c>
      <c r="G145" t="str">
        <f ca="1">PROPER(Table1[[#This Row],[Part Time 
Job]])</f>
        <v>False</v>
      </c>
      <c r="H145" s="3">
        <v>3</v>
      </c>
      <c r="I145" t="str">
        <f ca="1">PROPER(Table1[[#This Row],[Extracurricular 
Activities]])</f>
        <v>True</v>
      </c>
      <c r="J145">
        <v>18</v>
      </c>
      <c r="K145" t="s">
        <v>3117</v>
      </c>
      <c r="L145">
        <v>93</v>
      </c>
      <c r="M145" s="12" t="str" cm="1">
        <f t="array" ref="M14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45">
        <v>68</v>
      </c>
      <c r="O145" s="13" t="str" cm="1">
        <f t="array" ref="O14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45">
        <v>76</v>
      </c>
      <c r="Q145" s="13" t="str" cm="1">
        <f t="array" ref="Q14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45">
        <v>99</v>
      </c>
      <c r="S145" t="str" cm="1">
        <f t="array" ref="S14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45">
        <v>80</v>
      </c>
      <c r="U145" t="str" cm="1">
        <f t="array" ref="U14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45">
        <v>80</v>
      </c>
      <c r="W145" t="str" cm="1">
        <f t="array" ref="W14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45">
        <v>75</v>
      </c>
      <c r="Y145" t="str" cm="1">
        <f t="array" ref="Y14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45">
        <f>SUM(Table1[[#This Row],[Math 
Score]],Table1[[#This Row],[History 
Score]],Table1[[#This Row],[Physics 
Score]],Table1[[#This Row],[Chemistry 
Score]],Table1[[#This Row],[Biology 
Score]],Table1[[#This Row],[English 
Score]],Table1[[#This Row],[Geography 
Score]])</f>
        <v>571</v>
      </c>
      <c r="AA145" s="3">
        <f>AVERAGE(Table1[[#This Row],[Math 
Score]],Table1[[#This Row],[History 
Score]],Table1[[#This Row],[Physics 
Score]],Table1[[#This Row],[Chemistry 
Score]],Table1[[#This Row],[Biology 
Score]],Table1[[#This Row],[English 
Score]],Table1[[#This Row],[Geography 
Score]])</f>
        <v>81.571428571428569</v>
      </c>
      <c r="AB14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45">
        <f t="shared" si="2"/>
        <v>915</v>
      </c>
      <c r="AD145" t="str">
        <f>_xlfn.IFS(Table1[[#This Row],[Absence 
Days]]&lt;3,"Excellent",Table1[[#This Row],[Absence 
Days]]&lt;=6,"Good",Table1[[#This Row],[Absence 
Days]]&gt;6,"Poor")</f>
        <v>Good</v>
      </c>
    </row>
    <row r="146" spans="1:30" x14ac:dyDescent="0.35">
      <c r="A146">
        <v>145</v>
      </c>
      <c r="B146" s="2" t="s">
        <v>107</v>
      </c>
      <c r="C146" t="s">
        <v>563</v>
      </c>
      <c r="D146" t="str">
        <f>_xlfn.TEXTJOIN(" ",TRUE,Table1[[#This Row],[First 
Name]:[Last 
Name]])</f>
        <v>Sherry Phillips</v>
      </c>
      <c r="E146" t="s">
        <v>1256</v>
      </c>
      <c r="F146" t="s">
        <v>3245</v>
      </c>
      <c r="G146" t="str">
        <f ca="1">PROPER(Table1[[#This Row],[Part Time 
Job]])</f>
        <v>False</v>
      </c>
      <c r="H146" s="3">
        <v>0</v>
      </c>
      <c r="I146" t="str">
        <f ca="1">PROPER(Table1[[#This Row],[Extracurricular 
Activities]])</f>
        <v>False</v>
      </c>
      <c r="J146">
        <v>3</v>
      </c>
      <c r="K146" t="s">
        <v>3126</v>
      </c>
      <c r="L146">
        <v>92</v>
      </c>
      <c r="M146" s="12" t="str" cm="1">
        <f t="array" ref="M14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46">
        <v>79</v>
      </c>
      <c r="O146" s="13" t="str" cm="1">
        <f t="array" ref="O14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46">
        <v>81</v>
      </c>
      <c r="Q146" s="13" t="str" cm="1">
        <f t="array" ref="Q14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46">
        <v>61</v>
      </c>
      <c r="S146" t="str" cm="1">
        <f t="array" ref="S14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46">
        <v>86</v>
      </c>
      <c r="U146" t="str" cm="1">
        <f t="array" ref="U14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46">
        <v>72</v>
      </c>
      <c r="W146" t="str" cm="1">
        <f t="array" ref="W14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46">
        <v>88</v>
      </c>
      <c r="Y146" t="str" cm="1">
        <f t="array" ref="Y14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46">
        <f>SUM(Table1[[#This Row],[Math 
Score]],Table1[[#This Row],[History 
Score]],Table1[[#This Row],[Physics 
Score]],Table1[[#This Row],[Chemistry 
Score]],Table1[[#This Row],[Biology 
Score]],Table1[[#This Row],[English 
Score]],Table1[[#This Row],[Geography 
Score]])</f>
        <v>559</v>
      </c>
      <c r="AA146" s="3">
        <f>AVERAGE(Table1[[#This Row],[Math 
Score]],Table1[[#This Row],[History 
Score]],Table1[[#This Row],[Physics 
Score]],Table1[[#This Row],[Chemistry 
Score]],Table1[[#This Row],[Biology 
Score]],Table1[[#This Row],[English 
Score]],Table1[[#This Row],[Geography 
Score]])</f>
        <v>79.857142857142861</v>
      </c>
      <c r="AB14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46">
        <f t="shared" si="2"/>
        <v>1155</v>
      </c>
      <c r="AD146" t="str">
        <f>_xlfn.IFS(Table1[[#This Row],[Absence 
Days]]&lt;3,"Excellent",Table1[[#This Row],[Absence 
Days]]&lt;=6,"Good",Table1[[#This Row],[Absence 
Days]]&gt;6,"Poor")</f>
        <v>Excellent</v>
      </c>
    </row>
    <row r="147" spans="1:30" x14ac:dyDescent="0.35">
      <c r="A147">
        <v>146</v>
      </c>
      <c r="B147" s="2" t="s">
        <v>108</v>
      </c>
      <c r="C147" t="s">
        <v>532</v>
      </c>
      <c r="D147" t="str">
        <f>_xlfn.TEXTJOIN(" ",TRUE,Table1[[#This Row],[First 
Name]:[Last 
Name]])</f>
        <v>Victor Jones</v>
      </c>
      <c r="E147" t="s">
        <v>1257</v>
      </c>
      <c r="F147" t="s">
        <v>3244</v>
      </c>
      <c r="G147" t="str">
        <f ca="1">PROPER(Table1[[#This Row],[Part Time 
Job]])</f>
        <v>False</v>
      </c>
      <c r="H147" s="3">
        <v>3</v>
      </c>
      <c r="I147" t="str">
        <f ca="1">PROPER(Table1[[#This Row],[Extracurricular 
Activities]])</f>
        <v>False</v>
      </c>
      <c r="J147">
        <v>6</v>
      </c>
      <c r="K147" t="s">
        <v>3128</v>
      </c>
      <c r="L147">
        <v>83</v>
      </c>
      <c r="M147" s="12" t="str" cm="1">
        <f t="array" ref="M14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47">
        <v>72</v>
      </c>
      <c r="O147" s="13" t="str" cm="1">
        <f t="array" ref="O14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47">
        <v>68</v>
      </c>
      <c r="Q147" s="13" t="str" cm="1">
        <f t="array" ref="Q14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47">
        <v>94</v>
      </c>
      <c r="S147" t="str" cm="1">
        <f t="array" ref="S14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47">
        <v>100</v>
      </c>
      <c r="U147" t="str" cm="1">
        <f t="array" ref="U14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47">
        <v>98</v>
      </c>
      <c r="W147" t="str" cm="1">
        <f t="array" ref="W14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47">
        <v>92</v>
      </c>
      <c r="Y147" t="str" cm="1">
        <f t="array" ref="Y14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47">
        <f>SUM(Table1[[#This Row],[Math 
Score]],Table1[[#This Row],[History 
Score]],Table1[[#This Row],[Physics 
Score]],Table1[[#This Row],[Chemistry 
Score]],Table1[[#This Row],[Biology 
Score]],Table1[[#This Row],[English 
Score]],Table1[[#This Row],[Geography 
Score]])</f>
        <v>607</v>
      </c>
      <c r="AA147" s="3">
        <f>AVERAGE(Table1[[#This Row],[Math 
Score]],Table1[[#This Row],[History 
Score]],Table1[[#This Row],[Physics 
Score]],Table1[[#This Row],[Chemistry 
Score]],Table1[[#This Row],[Biology 
Score]],Table1[[#This Row],[English 
Score]],Table1[[#This Row],[Geography 
Score]])</f>
        <v>86.714285714285708</v>
      </c>
      <c r="AB14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47">
        <f t="shared" si="2"/>
        <v>325</v>
      </c>
      <c r="AD147" t="str">
        <f>_xlfn.IFS(Table1[[#This Row],[Absence 
Days]]&lt;3,"Excellent",Table1[[#This Row],[Absence 
Days]]&lt;=6,"Good",Table1[[#This Row],[Absence 
Days]]&gt;6,"Poor")</f>
        <v>Good</v>
      </c>
    </row>
    <row r="148" spans="1:30" x14ac:dyDescent="0.35">
      <c r="A148">
        <v>147</v>
      </c>
      <c r="B148" s="2" t="s">
        <v>109</v>
      </c>
      <c r="C148" t="s">
        <v>564</v>
      </c>
      <c r="D148" t="str">
        <f>_xlfn.TEXTJOIN(" ",TRUE,Table1[[#This Row],[First 
Name]:[Last 
Name]])</f>
        <v>Mark Young</v>
      </c>
      <c r="E148" t="s">
        <v>1258</v>
      </c>
      <c r="F148" t="s">
        <v>3244</v>
      </c>
      <c r="G148" t="str">
        <f ca="1">PROPER(Table1[[#This Row],[Part Time 
Job]])</f>
        <v>False</v>
      </c>
      <c r="H148" s="3">
        <v>8</v>
      </c>
      <c r="I148" t="str">
        <f ca="1">PROPER(Table1[[#This Row],[Extracurricular 
Activities]])</f>
        <v>False</v>
      </c>
      <c r="J148">
        <v>2</v>
      </c>
      <c r="K148" t="s">
        <v>3119</v>
      </c>
      <c r="L148">
        <v>68</v>
      </c>
      <c r="M148" s="12" t="str" cm="1">
        <f t="array" ref="M148">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48">
        <v>97</v>
      </c>
      <c r="O148" s="13" t="str" cm="1">
        <f t="array" ref="O14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48">
        <v>51</v>
      </c>
      <c r="Q148" s="13" t="str" cm="1">
        <f t="array" ref="Q14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C</v>
      </c>
      <c r="R148">
        <v>93</v>
      </c>
      <c r="S148" t="str" cm="1">
        <f t="array" ref="S14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48">
        <v>68</v>
      </c>
      <c r="U148" t="str" cm="1">
        <f t="array" ref="U14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48">
        <v>58</v>
      </c>
      <c r="W148" t="str" cm="1">
        <f t="array" ref="W14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C</v>
      </c>
      <c r="X148">
        <v>78</v>
      </c>
      <c r="Y148" t="str" cm="1">
        <f t="array" ref="Y14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48">
        <f>SUM(Table1[[#This Row],[Math 
Score]],Table1[[#This Row],[History 
Score]],Table1[[#This Row],[Physics 
Score]],Table1[[#This Row],[Chemistry 
Score]],Table1[[#This Row],[Biology 
Score]],Table1[[#This Row],[English 
Score]],Table1[[#This Row],[Geography 
Score]])</f>
        <v>513</v>
      </c>
      <c r="AA148" s="3">
        <f>AVERAGE(Table1[[#This Row],[Math 
Score]],Table1[[#This Row],[History 
Score]],Table1[[#This Row],[Physics 
Score]],Table1[[#This Row],[Chemistry 
Score]],Table1[[#This Row],[Biology 
Score]],Table1[[#This Row],[English 
Score]],Table1[[#This Row],[Geography 
Score]])</f>
        <v>73.285714285714292</v>
      </c>
      <c r="AB14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48">
        <f t="shared" si="2"/>
        <v>1810</v>
      </c>
      <c r="AD148" t="str">
        <f>_xlfn.IFS(Table1[[#This Row],[Absence 
Days]]&lt;3,"Excellent",Table1[[#This Row],[Absence 
Days]]&lt;=6,"Good",Table1[[#This Row],[Absence 
Days]]&gt;6,"Poor")</f>
        <v>Poor</v>
      </c>
    </row>
    <row r="149" spans="1:30" x14ac:dyDescent="0.35">
      <c r="A149">
        <v>148</v>
      </c>
      <c r="B149" s="2" t="s">
        <v>110</v>
      </c>
      <c r="C149" t="s">
        <v>294</v>
      </c>
      <c r="D149" t="str">
        <f>_xlfn.TEXTJOIN(" ",TRUE,Table1[[#This Row],[First 
Name]:[Last 
Name]])</f>
        <v>Matthew Jackson</v>
      </c>
      <c r="E149" t="s">
        <v>1259</v>
      </c>
      <c r="F149" t="s">
        <v>3244</v>
      </c>
      <c r="G149" t="str">
        <f ca="1">PROPER(Table1[[#This Row],[Part Time 
Job]])</f>
        <v>False</v>
      </c>
      <c r="H149" s="3">
        <v>0</v>
      </c>
      <c r="I149" t="str">
        <f ca="1">PROPER(Table1[[#This Row],[Extracurricular 
Activities]])</f>
        <v>False</v>
      </c>
      <c r="J149">
        <v>34</v>
      </c>
      <c r="K149" t="s">
        <v>3112</v>
      </c>
      <c r="L149">
        <v>92</v>
      </c>
      <c r="M149" s="12" t="str" cm="1">
        <f t="array" ref="M14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49">
        <v>90</v>
      </c>
      <c r="O149" s="13" t="str" cm="1">
        <f t="array" ref="O14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49">
        <v>65</v>
      </c>
      <c r="Q149" s="13" t="str" cm="1">
        <f t="array" ref="Q14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49">
        <v>79</v>
      </c>
      <c r="S149" t="str" cm="1">
        <f t="array" ref="S14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49">
        <v>96</v>
      </c>
      <c r="U149" t="str" cm="1">
        <f t="array" ref="U14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49">
        <v>87</v>
      </c>
      <c r="W149" t="str" cm="1">
        <f t="array" ref="W14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49">
        <v>74</v>
      </c>
      <c r="Y149" t="str" cm="1">
        <f t="array" ref="Y14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49">
        <f>SUM(Table1[[#This Row],[Math 
Score]],Table1[[#This Row],[History 
Score]],Table1[[#This Row],[Physics 
Score]],Table1[[#This Row],[Chemistry 
Score]],Table1[[#This Row],[Biology 
Score]],Table1[[#This Row],[English 
Score]],Table1[[#This Row],[Geography 
Score]])</f>
        <v>583</v>
      </c>
      <c r="AA149" s="3">
        <f>AVERAGE(Table1[[#This Row],[Math 
Score]],Table1[[#This Row],[History 
Score]],Table1[[#This Row],[Physics 
Score]],Table1[[#This Row],[Chemistry 
Score]],Table1[[#This Row],[Biology 
Score]],Table1[[#This Row],[English 
Score]],Table1[[#This Row],[Geography 
Score]])</f>
        <v>83.285714285714292</v>
      </c>
      <c r="AB14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49">
        <f t="shared" si="2"/>
        <v>655</v>
      </c>
      <c r="AD149" t="str">
        <f>_xlfn.IFS(Table1[[#This Row],[Absence 
Days]]&lt;3,"Excellent",Table1[[#This Row],[Absence 
Days]]&lt;=6,"Good",Table1[[#This Row],[Absence 
Days]]&gt;6,"Poor")</f>
        <v>Excellent</v>
      </c>
    </row>
    <row r="150" spans="1:30" x14ac:dyDescent="0.35">
      <c r="A150">
        <v>149</v>
      </c>
      <c r="B150" s="2" t="s">
        <v>111</v>
      </c>
      <c r="C150" t="s">
        <v>470</v>
      </c>
      <c r="D150" t="str">
        <f>_xlfn.TEXTJOIN(" ",TRUE,Table1[[#This Row],[First 
Name]:[Last 
Name]])</f>
        <v>Tanya Nichols</v>
      </c>
      <c r="E150" t="s">
        <v>1260</v>
      </c>
      <c r="F150" t="s">
        <v>3245</v>
      </c>
      <c r="G150" t="str">
        <f ca="1">PROPER(Table1[[#This Row],[Part Time 
Job]])</f>
        <v>False</v>
      </c>
      <c r="H150" s="3">
        <v>4</v>
      </c>
      <c r="I150" t="str">
        <f ca="1">PROPER(Table1[[#This Row],[Extracurricular 
Activities]])</f>
        <v>True</v>
      </c>
      <c r="J150">
        <v>22</v>
      </c>
      <c r="K150" t="s">
        <v>3116</v>
      </c>
      <c r="L150">
        <v>69</v>
      </c>
      <c r="M150" s="12" t="str" cm="1">
        <f t="array" ref="M150">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50">
        <v>91</v>
      </c>
      <c r="O150" s="13" t="str" cm="1">
        <f t="array" ref="O15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50">
        <v>82</v>
      </c>
      <c r="Q150" s="13" t="str" cm="1">
        <f t="array" ref="Q15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50">
        <v>99</v>
      </c>
      <c r="S150" t="str" cm="1">
        <f t="array" ref="S15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50">
        <v>94</v>
      </c>
      <c r="U150" t="str" cm="1">
        <f t="array" ref="U15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50">
        <v>75</v>
      </c>
      <c r="W150" t="str" cm="1">
        <f t="array" ref="W15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50">
        <v>74</v>
      </c>
      <c r="Y150" t="str" cm="1">
        <f t="array" ref="Y15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50">
        <f>SUM(Table1[[#This Row],[Math 
Score]],Table1[[#This Row],[History 
Score]],Table1[[#This Row],[Physics 
Score]],Table1[[#This Row],[Chemistry 
Score]],Table1[[#This Row],[Biology 
Score]],Table1[[#This Row],[English 
Score]],Table1[[#This Row],[Geography 
Score]])</f>
        <v>584</v>
      </c>
      <c r="AA150" s="3">
        <f>AVERAGE(Table1[[#This Row],[Math 
Score]],Table1[[#This Row],[History 
Score]],Table1[[#This Row],[Physics 
Score]],Table1[[#This Row],[Chemistry 
Score]],Table1[[#This Row],[Biology 
Score]],Table1[[#This Row],[English 
Score]],Table1[[#This Row],[Geography 
Score]])</f>
        <v>83.428571428571431</v>
      </c>
      <c r="AB15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50">
        <f t="shared" si="2"/>
        <v>635</v>
      </c>
      <c r="AD150" t="str">
        <f>_xlfn.IFS(Table1[[#This Row],[Absence 
Days]]&lt;3,"Excellent",Table1[[#This Row],[Absence 
Days]]&lt;=6,"Good",Table1[[#This Row],[Absence 
Days]]&gt;6,"Poor")</f>
        <v>Good</v>
      </c>
    </row>
    <row r="151" spans="1:30" x14ac:dyDescent="0.35">
      <c r="A151">
        <v>150</v>
      </c>
      <c r="B151" s="2" t="s">
        <v>112</v>
      </c>
      <c r="C151" t="s">
        <v>565</v>
      </c>
      <c r="D151" t="str">
        <f>_xlfn.TEXTJOIN(" ",TRUE,Table1[[#This Row],[First 
Name]:[Last 
Name]])</f>
        <v>Julie Gray</v>
      </c>
      <c r="E151" t="s">
        <v>1261</v>
      </c>
      <c r="F151" t="s">
        <v>3245</v>
      </c>
      <c r="G151" t="str">
        <f ca="1">PROPER(Table1[[#This Row],[Part Time 
Job]])</f>
        <v>True</v>
      </c>
      <c r="H151" s="3">
        <v>5</v>
      </c>
      <c r="I151" t="str">
        <f ca="1">PROPER(Table1[[#This Row],[Extracurricular 
Activities]])</f>
        <v>False</v>
      </c>
      <c r="J151">
        <v>4</v>
      </c>
      <c r="K151" t="s">
        <v>3119</v>
      </c>
      <c r="L151">
        <v>76</v>
      </c>
      <c r="M151" s="12" t="str" cm="1">
        <f t="array" ref="M15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51">
        <v>72</v>
      </c>
      <c r="O151" s="13" t="str" cm="1">
        <f t="array" ref="O15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51">
        <v>72</v>
      </c>
      <c r="Q151" s="13" t="str" cm="1">
        <f t="array" ref="Q15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51">
        <v>65</v>
      </c>
      <c r="S151" t="str" cm="1">
        <f t="array" ref="S15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51">
        <v>82</v>
      </c>
      <c r="U151" t="str" cm="1">
        <f t="array" ref="U15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51">
        <v>71</v>
      </c>
      <c r="W151" t="str" cm="1">
        <f t="array" ref="W15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51">
        <v>93</v>
      </c>
      <c r="Y151" t="str" cm="1">
        <f t="array" ref="Y15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51">
        <f>SUM(Table1[[#This Row],[Math 
Score]],Table1[[#This Row],[History 
Score]],Table1[[#This Row],[Physics 
Score]],Table1[[#This Row],[Chemistry 
Score]],Table1[[#This Row],[Biology 
Score]],Table1[[#This Row],[English 
Score]],Table1[[#This Row],[Geography 
Score]])</f>
        <v>531</v>
      </c>
      <c r="AA151" s="3">
        <f>AVERAGE(Table1[[#This Row],[Math 
Score]],Table1[[#This Row],[History 
Score]],Table1[[#This Row],[Physics 
Score]],Table1[[#This Row],[Chemistry 
Score]],Table1[[#This Row],[Biology 
Score]],Table1[[#This Row],[English 
Score]],Table1[[#This Row],[Geography 
Score]])</f>
        <v>75.857142857142861</v>
      </c>
      <c r="AB15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51">
        <f t="shared" si="2"/>
        <v>1637</v>
      </c>
      <c r="AD151" t="str">
        <f>_xlfn.IFS(Table1[[#This Row],[Absence 
Days]]&lt;3,"Excellent",Table1[[#This Row],[Absence 
Days]]&lt;=6,"Good",Table1[[#This Row],[Absence 
Days]]&gt;6,"Poor")</f>
        <v>Good</v>
      </c>
    </row>
    <row r="152" spans="1:30" x14ac:dyDescent="0.35">
      <c r="A152">
        <v>151</v>
      </c>
      <c r="B152" s="2" t="s">
        <v>113</v>
      </c>
      <c r="C152" t="s">
        <v>566</v>
      </c>
      <c r="D152" t="str">
        <f>_xlfn.TEXTJOIN(" ",TRUE,Table1[[#This Row],[First 
Name]:[Last 
Name]])</f>
        <v>Courtney Perry</v>
      </c>
      <c r="E152" t="s">
        <v>1262</v>
      </c>
      <c r="F152" t="s">
        <v>3245</v>
      </c>
      <c r="G152" t="str">
        <f ca="1">PROPER(Table1[[#This Row],[Part Time 
Job]])</f>
        <v>False</v>
      </c>
      <c r="H152" s="3">
        <v>3</v>
      </c>
      <c r="I152" t="str">
        <f ca="1">PROPER(Table1[[#This Row],[Extracurricular 
Activities]])</f>
        <v>False</v>
      </c>
      <c r="J152">
        <v>3</v>
      </c>
      <c r="K152" t="s">
        <v>3116</v>
      </c>
      <c r="L152">
        <v>86</v>
      </c>
      <c r="M152" s="12" t="str" cm="1">
        <f t="array" ref="M15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52">
        <v>92</v>
      </c>
      <c r="O152" s="13" t="str" cm="1">
        <f t="array" ref="O15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52">
        <v>79</v>
      </c>
      <c r="Q152" s="13" t="str" cm="1">
        <f t="array" ref="Q15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52">
        <v>73</v>
      </c>
      <c r="S152" t="str" cm="1">
        <f t="array" ref="S15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52">
        <v>73</v>
      </c>
      <c r="U152" t="str" cm="1">
        <f t="array" ref="U15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52">
        <v>61</v>
      </c>
      <c r="W152" t="str" cm="1">
        <f t="array" ref="W15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52">
        <v>60</v>
      </c>
      <c r="Y152" t="str" cm="1">
        <f t="array" ref="Y15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52">
        <f>SUM(Table1[[#This Row],[Math 
Score]],Table1[[#This Row],[History 
Score]],Table1[[#This Row],[Physics 
Score]],Table1[[#This Row],[Chemistry 
Score]],Table1[[#This Row],[Biology 
Score]],Table1[[#This Row],[English 
Score]],Table1[[#This Row],[Geography 
Score]])</f>
        <v>524</v>
      </c>
      <c r="AA152" s="3">
        <f>AVERAGE(Table1[[#This Row],[Math 
Score]],Table1[[#This Row],[History 
Score]],Table1[[#This Row],[Physics 
Score]],Table1[[#This Row],[Chemistry 
Score]],Table1[[#This Row],[Biology 
Score]],Table1[[#This Row],[English 
Score]],Table1[[#This Row],[Geography 
Score]])</f>
        <v>74.857142857142861</v>
      </c>
      <c r="AB15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52">
        <f t="shared" si="2"/>
        <v>1715</v>
      </c>
      <c r="AD152" t="str">
        <f>_xlfn.IFS(Table1[[#This Row],[Absence 
Days]]&lt;3,"Excellent",Table1[[#This Row],[Absence 
Days]]&lt;=6,"Good",Table1[[#This Row],[Absence 
Days]]&gt;6,"Poor")</f>
        <v>Good</v>
      </c>
    </row>
    <row r="153" spans="1:30" x14ac:dyDescent="0.35">
      <c r="A153">
        <v>152</v>
      </c>
      <c r="B153" s="2" t="s">
        <v>83</v>
      </c>
      <c r="C153" t="s">
        <v>567</v>
      </c>
      <c r="D153" t="str">
        <f>_xlfn.TEXTJOIN(" ",TRUE,Table1[[#This Row],[First 
Name]:[Last 
Name]])</f>
        <v>Stephen Rodriguez</v>
      </c>
      <c r="E153" t="s">
        <v>1263</v>
      </c>
      <c r="F153" t="s">
        <v>3244</v>
      </c>
      <c r="G153" t="str">
        <f ca="1">PROPER(Table1[[#This Row],[Part Time 
Job]])</f>
        <v>True</v>
      </c>
      <c r="H153" s="3">
        <v>10</v>
      </c>
      <c r="I153" t="str">
        <f ca="1">PROPER(Table1[[#This Row],[Extracurricular 
Activities]])</f>
        <v>False</v>
      </c>
      <c r="J153">
        <v>2</v>
      </c>
      <c r="K153" t="s">
        <v>3119</v>
      </c>
      <c r="L153">
        <v>41</v>
      </c>
      <c r="M153" s="12" t="str" cm="1">
        <f t="array" ref="M153">_xlfn.IFS(Table1[[#This Row],[Math 
Score]]&gt;=90,"A+",Table1[[#This Row],[Math 
Score]]&gt;=80,"A", Table1[[#This Row],[Math 
Score]]&gt;=75,"A-",Table1[[#This Row],[Math 
Score]]&gt;=70,"B+",Table1[[#This Row],[Math 
Score]]&gt;=65,"B",Table1[[#This Row],[Math 
Score]]&gt;=60,"B-",Table1[[#This Row],[Math 
Score]]&gt;=50,"C",Table1[[#This Row],[Math 
Score]]&gt;=40,"D",Table1[[#This Row],[Math 
Score]]&lt;40,"F")</f>
        <v>D</v>
      </c>
      <c r="N153">
        <v>57</v>
      </c>
      <c r="O153" s="13" t="str" cm="1">
        <f t="array" ref="O15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C</v>
      </c>
      <c r="P153">
        <v>97</v>
      </c>
      <c r="Q153" s="13" t="str" cm="1">
        <f t="array" ref="Q15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53">
        <v>56</v>
      </c>
      <c r="S153" t="str" cm="1">
        <f t="array" ref="S15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C</v>
      </c>
      <c r="T153">
        <v>50</v>
      </c>
      <c r="U153" t="str" cm="1">
        <f t="array" ref="U15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C</v>
      </c>
      <c r="V153">
        <v>98</v>
      </c>
      <c r="W153" t="str" cm="1">
        <f t="array" ref="W15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53">
        <v>83</v>
      </c>
      <c r="Y153" t="str" cm="1">
        <f t="array" ref="Y15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53">
        <f>SUM(Table1[[#This Row],[Math 
Score]],Table1[[#This Row],[History 
Score]],Table1[[#This Row],[Physics 
Score]],Table1[[#This Row],[Chemistry 
Score]],Table1[[#This Row],[Biology 
Score]],Table1[[#This Row],[English 
Score]],Table1[[#This Row],[Geography 
Score]])</f>
        <v>482</v>
      </c>
      <c r="AA153" s="3">
        <f>AVERAGE(Table1[[#This Row],[Math 
Score]],Table1[[#This Row],[History 
Score]],Table1[[#This Row],[Physics 
Score]],Table1[[#This Row],[Chemistry 
Score]],Table1[[#This Row],[Biology 
Score]],Table1[[#This Row],[English 
Score]],Table1[[#This Row],[Geography 
Score]])</f>
        <v>68.857142857142861</v>
      </c>
      <c r="AB15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53">
        <f t="shared" si="2"/>
        <v>1930</v>
      </c>
      <c r="AD153" t="str">
        <f>_xlfn.IFS(Table1[[#This Row],[Absence 
Days]]&lt;3,"Excellent",Table1[[#This Row],[Absence 
Days]]&lt;=6,"Good",Table1[[#This Row],[Absence 
Days]]&gt;6,"Poor")</f>
        <v>Poor</v>
      </c>
    </row>
    <row r="154" spans="1:30" x14ac:dyDescent="0.35">
      <c r="A154">
        <v>153</v>
      </c>
      <c r="B154" s="2" t="s">
        <v>42</v>
      </c>
      <c r="C154" t="s">
        <v>531</v>
      </c>
      <c r="D154" t="str">
        <f>_xlfn.TEXTJOIN(" ",TRUE,Table1[[#This Row],[First 
Name]:[Last 
Name]])</f>
        <v>Elizabeth Robinson</v>
      </c>
      <c r="E154" t="s">
        <v>1264</v>
      </c>
      <c r="F154" t="s">
        <v>3245</v>
      </c>
      <c r="G154" t="str">
        <f ca="1">PROPER(Table1[[#This Row],[Part Time 
Job]])</f>
        <v>False</v>
      </c>
      <c r="H154" s="3">
        <v>5</v>
      </c>
      <c r="I154" t="str">
        <f ca="1">PROPER(Table1[[#This Row],[Extracurricular 
Activities]])</f>
        <v>False</v>
      </c>
      <c r="J154">
        <v>18</v>
      </c>
      <c r="K154" t="s">
        <v>3116</v>
      </c>
      <c r="L154">
        <v>91</v>
      </c>
      <c r="M154" s="12" t="str" cm="1">
        <f t="array" ref="M15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54">
        <v>100</v>
      </c>
      <c r="O154" s="13" t="str" cm="1">
        <f t="array" ref="O15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54">
        <v>84</v>
      </c>
      <c r="Q154" s="13" t="str" cm="1">
        <f t="array" ref="Q15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54">
        <v>72</v>
      </c>
      <c r="S154" t="str" cm="1">
        <f t="array" ref="S15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54">
        <v>84</v>
      </c>
      <c r="U154" t="str" cm="1">
        <f t="array" ref="U15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54">
        <v>90</v>
      </c>
      <c r="W154" t="str" cm="1">
        <f t="array" ref="W15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54">
        <v>82</v>
      </c>
      <c r="Y154" t="str" cm="1">
        <f t="array" ref="Y15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54">
        <f>SUM(Table1[[#This Row],[Math 
Score]],Table1[[#This Row],[History 
Score]],Table1[[#This Row],[Physics 
Score]],Table1[[#This Row],[Chemistry 
Score]],Table1[[#This Row],[Biology 
Score]],Table1[[#This Row],[English 
Score]],Table1[[#This Row],[Geography 
Score]])</f>
        <v>603</v>
      </c>
      <c r="AA154" s="3">
        <f>AVERAGE(Table1[[#This Row],[Math 
Score]],Table1[[#This Row],[History 
Score]],Table1[[#This Row],[Physics 
Score]],Table1[[#This Row],[Chemistry 
Score]],Table1[[#This Row],[Biology 
Score]],Table1[[#This Row],[English 
Score]],Table1[[#This Row],[Geography 
Score]])</f>
        <v>86.142857142857139</v>
      </c>
      <c r="AB15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54">
        <f t="shared" si="2"/>
        <v>370</v>
      </c>
      <c r="AD154" t="str">
        <f>_xlfn.IFS(Table1[[#This Row],[Absence 
Days]]&lt;3,"Excellent",Table1[[#This Row],[Absence 
Days]]&lt;=6,"Good",Table1[[#This Row],[Absence 
Days]]&gt;6,"Poor")</f>
        <v>Good</v>
      </c>
    </row>
    <row r="155" spans="1:30" x14ac:dyDescent="0.35">
      <c r="A155">
        <v>154</v>
      </c>
      <c r="B155" s="2" t="s">
        <v>75</v>
      </c>
      <c r="C155" t="s">
        <v>568</v>
      </c>
      <c r="D155" t="str">
        <f>_xlfn.TEXTJOIN(" ",TRUE,Table1[[#This Row],[First 
Name]:[Last 
Name]])</f>
        <v>William Graves</v>
      </c>
      <c r="E155" t="s">
        <v>1265</v>
      </c>
      <c r="F155" t="s">
        <v>3244</v>
      </c>
      <c r="G155" t="str">
        <f ca="1">PROPER(Table1[[#This Row],[Part Time 
Job]])</f>
        <v>False</v>
      </c>
      <c r="H155" s="3">
        <v>0</v>
      </c>
      <c r="I155" t="str">
        <f ca="1">PROPER(Table1[[#This Row],[Extracurricular 
Activities]])</f>
        <v>False</v>
      </c>
      <c r="J155">
        <v>8</v>
      </c>
      <c r="K155" t="s">
        <v>3128</v>
      </c>
      <c r="L155">
        <v>78</v>
      </c>
      <c r="M155" s="12" t="str" cm="1">
        <f t="array" ref="M15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55">
        <v>67</v>
      </c>
      <c r="O155" s="13" t="str" cm="1">
        <f t="array" ref="O15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55">
        <v>82</v>
      </c>
      <c r="Q155" s="13" t="str" cm="1">
        <f t="array" ref="Q15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55">
        <v>70</v>
      </c>
      <c r="S155" t="str" cm="1">
        <f t="array" ref="S15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55">
        <v>65</v>
      </c>
      <c r="U155" t="str" cm="1">
        <f t="array" ref="U15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55">
        <v>68</v>
      </c>
      <c r="W155" t="str" cm="1">
        <f t="array" ref="W15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55">
        <v>81</v>
      </c>
      <c r="Y155" t="str" cm="1">
        <f t="array" ref="Y15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55">
        <f>SUM(Table1[[#This Row],[Math 
Score]],Table1[[#This Row],[History 
Score]],Table1[[#This Row],[Physics 
Score]],Table1[[#This Row],[Chemistry 
Score]],Table1[[#This Row],[Biology 
Score]],Table1[[#This Row],[English 
Score]],Table1[[#This Row],[Geography 
Score]])</f>
        <v>511</v>
      </c>
      <c r="AA155" s="3">
        <f>AVERAGE(Table1[[#This Row],[Math 
Score]],Table1[[#This Row],[History 
Score]],Table1[[#This Row],[Physics 
Score]],Table1[[#This Row],[Chemistry 
Score]],Table1[[#This Row],[Biology 
Score]],Table1[[#This Row],[English 
Score]],Table1[[#This Row],[Geography 
Score]])</f>
        <v>73</v>
      </c>
      <c r="AB15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55">
        <f t="shared" si="2"/>
        <v>1823</v>
      </c>
      <c r="AD155" t="str">
        <f>_xlfn.IFS(Table1[[#This Row],[Absence 
Days]]&lt;3,"Excellent",Table1[[#This Row],[Absence 
Days]]&lt;=6,"Good",Table1[[#This Row],[Absence 
Days]]&gt;6,"Poor")</f>
        <v>Excellent</v>
      </c>
    </row>
    <row r="156" spans="1:30" x14ac:dyDescent="0.35">
      <c r="A156">
        <v>155</v>
      </c>
      <c r="B156" s="2" t="s">
        <v>114</v>
      </c>
      <c r="C156" t="s">
        <v>569</v>
      </c>
      <c r="D156" t="str">
        <f>_xlfn.TEXTJOIN(" ",TRUE,Table1[[#This Row],[First 
Name]:[Last 
Name]])</f>
        <v>Nancy Moore</v>
      </c>
      <c r="E156" t="s">
        <v>1266</v>
      </c>
      <c r="F156" t="s">
        <v>3245</v>
      </c>
      <c r="G156" t="str">
        <f ca="1">PROPER(Table1[[#This Row],[Part Time 
Job]])</f>
        <v>False</v>
      </c>
      <c r="H156" s="3">
        <v>1</v>
      </c>
      <c r="I156" t="str">
        <f ca="1">PROPER(Table1[[#This Row],[Extracurricular 
Activities]])</f>
        <v>False</v>
      </c>
      <c r="J156">
        <v>33</v>
      </c>
      <c r="K156" t="s">
        <v>3117</v>
      </c>
      <c r="L156">
        <v>89</v>
      </c>
      <c r="M156" s="12" t="str" cm="1">
        <f t="array" ref="M15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56">
        <v>73</v>
      </c>
      <c r="O156" s="13" t="str" cm="1">
        <f t="array" ref="O15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56">
        <v>85</v>
      </c>
      <c r="Q156" s="13" t="str" cm="1">
        <f t="array" ref="Q15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56">
        <v>84</v>
      </c>
      <c r="S156" t="str" cm="1">
        <f t="array" ref="S15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56">
        <v>73</v>
      </c>
      <c r="U156" t="str" cm="1">
        <f t="array" ref="U15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56">
        <v>81</v>
      </c>
      <c r="W156" t="str" cm="1">
        <f t="array" ref="W15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56">
        <v>98</v>
      </c>
      <c r="Y156" t="str" cm="1">
        <f t="array" ref="Y15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56">
        <f>SUM(Table1[[#This Row],[Math 
Score]],Table1[[#This Row],[History 
Score]],Table1[[#This Row],[Physics 
Score]],Table1[[#This Row],[Chemistry 
Score]],Table1[[#This Row],[Biology 
Score]],Table1[[#This Row],[English 
Score]],Table1[[#This Row],[Geography 
Score]])</f>
        <v>583</v>
      </c>
      <c r="AA156" s="3">
        <f>AVERAGE(Table1[[#This Row],[Math 
Score]],Table1[[#This Row],[History 
Score]],Table1[[#This Row],[Physics 
Score]],Table1[[#This Row],[Chemistry 
Score]],Table1[[#This Row],[Biology 
Score]],Table1[[#This Row],[English 
Score]],Table1[[#This Row],[Geography 
Score]])</f>
        <v>83.285714285714292</v>
      </c>
      <c r="AB15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56">
        <f t="shared" si="2"/>
        <v>655</v>
      </c>
      <c r="AD156" t="str">
        <f>_xlfn.IFS(Table1[[#This Row],[Absence 
Days]]&lt;3,"Excellent",Table1[[#This Row],[Absence 
Days]]&lt;=6,"Good",Table1[[#This Row],[Absence 
Days]]&gt;6,"Poor")</f>
        <v>Excellent</v>
      </c>
    </row>
    <row r="157" spans="1:30" x14ac:dyDescent="0.35">
      <c r="A157">
        <v>156</v>
      </c>
      <c r="B157" s="2" t="s">
        <v>110</v>
      </c>
      <c r="C157" t="s">
        <v>570</v>
      </c>
      <c r="D157" t="str">
        <f>_xlfn.TEXTJOIN(" ",TRUE,Table1[[#This Row],[First 
Name]:[Last 
Name]])</f>
        <v>Matthew Newman</v>
      </c>
      <c r="E157" t="s">
        <v>1267</v>
      </c>
      <c r="F157" t="s">
        <v>3244</v>
      </c>
      <c r="G157" t="str">
        <f ca="1">PROPER(Table1[[#This Row],[Part Time 
Job]])</f>
        <v>False</v>
      </c>
      <c r="H157" s="3">
        <v>0</v>
      </c>
      <c r="I157" t="str">
        <f ca="1">PROPER(Table1[[#This Row],[Extracurricular 
Activities]])</f>
        <v>True</v>
      </c>
      <c r="J157">
        <v>13</v>
      </c>
      <c r="K157" t="s">
        <v>3116</v>
      </c>
      <c r="L157">
        <v>96</v>
      </c>
      <c r="M157" s="12" t="str" cm="1">
        <f t="array" ref="M15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57">
        <v>71</v>
      </c>
      <c r="O157" s="13" t="str" cm="1">
        <f t="array" ref="O15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57">
        <v>88</v>
      </c>
      <c r="Q157" s="13" t="str" cm="1">
        <f t="array" ref="Q15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57">
        <v>74</v>
      </c>
      <c r="S157" t="str" cm="1">
        <f t="array" ref="S15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57">
        <v>80</v>
      </c>
      <c r="U157" t="str" cm="1">
        <f t="array" ref="U15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57">
        <v>92</v>
      </c>
      <c r="W157" t="str" cm="1">
        <f t="array" ref="W15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57">
        <v>65</v>
      </c>
      <c r="Y157" t="str" cm="1">
        <f t="array" ref="Y15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57">
        <f>SUM(Table1[[#This Row],[Math 
Score]],Table1[[#This Row],[History 
Score]],Table1[[#This Row],[Physics 
Score]],Table1[[#This Row],[Chemistry 
Score]],Table1[[#This Row],[Biology 
Score]],Table1[[#This Row],[English 
Score]],Table1[[#This Row],[Geography 
Score]])</f>
        <v>566</v>
      </c>
      <c r="AA157" s="3">
        <f>AVERAGE(Table1[[#This Row],[Math 
Score]],Table1[[#This Row],[History 
Score]],Table1[[#This Row],[Physics 
Score]],Table1[[#This Row],[Chemistry 
Score]],Table1[[#This Row],[Biology 
Score]],Table1[[#This Row],[English 
Score]],Table1[[#This Row],[Geography 
Score]])</f>
        <v>80.857142857142861</v>
      </c>
      <c r="AB15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57">
        <f t="shared" si="2"/>
        <v>1019</v>
      </c>
      <c r="AD157" t="str">
        <f>_xlfn.IFS(Table1[[#This Row],[Absence 
Days]]&lt;3,"Excellent",Table1[[#This Row],[Absence 
Days]]&lt;=6,"Good",Table1[[#This Row],[Absence 
Days]]&gt;6,"Poor")</f>
        <v>Excellent</v>
      </c>
    </row>
    <row r="158" spans="1:30" x14ac:dyDescent="0.35">
      <c r="A158">
        <v>157</v>
      </c>
      <c r="B158" s="2" t="s">
        <v>115</v>
      </c>
      <c r="C158" t="s">
        <v>569</v>
      </c>
      <c r="D158" t="str">
        <f>_xlfn.TEXTJOIN(" ",TRUE,Table1[[#This Row],[First 
Name]:[Last 
Name]])</f>
        <v>Anita Moore</v>
      </c>
      <c r="E158" t="s">
        <v>1268</v>
      </c>
      <c r="F158" t="s">
        <v>3245</v>
      </c>
      <c r="G158" t="str">
        <f ca="1">PROPER(Table1[[#This Row],[Part Time 
Job]])</f>
        <v>False</v>
      </c>
      <c r="H158" s="3">
        <v>0</v>
      </c>
      <c r="I158" t="str">
        <f ca="1">PROPER(Table1[[#This Row],[Extracurricular 
Activities]])</f>
        <v>True</v>
      </c>
      <c r="J158">
        <v>17</v>
      </c>
      <c r="K158" t="s">
        <v>3116</v>
      </c>
      <c r="L158">
        <v>66</v>
      </c>
      <c r="M158" s="12" t="str" cm="1">
        <f t="array" ref="M158">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58">
        <v>99</v>
      </c>
      <c r="O158" s="13" t="str" cm="1">
        <f t="array" ref="O15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58">
        <v>85</v>
      </c>
      <c r="Q158" s="13" t="str" cm="1">
        <f t="array" ref="Q15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58">
        <v>90</v>
      </c>
      <c r="S158" t="str" cm="1">
        <f t="array" ref="S15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58">
        <v>76</v>
      </c>
      <c r="U158" t="str" cm="1">
        <f t="array" ref="U15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58">
        <v>64</v>
      </c>
      <c r="W158" t="str" cm="1">
        <f t="array" ref="W15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58">
        <v>95</v>
      </c>
      <c r="Y158" t="str" cm="1">
        <f t="array" ref="Y15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58">
        <f>SUM(Table1[[#This Row],[Math 
Score]],Table1[[#This Row],[History 
Score]],Table1[[#This Row],[Physics 
Score]],Table1[[#This Row],[Chemistry 
Score]],Table1[[#This Row],[Biology 
Score]],Table1[[#This Row],[English 
Score]],Table1[[#This Row],[Geography 
Score]])</f>
        <v>575</v>
      </c>
      <c r="AA158" s="3">
        <f>AVERAGE(Table1[[#This Row],[Math 
Score]],Table1[[#This Row],[History 
Score]],Table1[[#This Row],[Physics 
Score]],Table1[[#This Row],[Chemistry 
Score]],Table1[[#This Row],[Biology 
Score]],Table1[[#This Row],[English 
Score]],Table1[[#This Row],[Geography 
Score]])</f>
        <v>82.142857142857139</v>
      </c>
      <c r="AB15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58">
        <f t="shared" si="2"/>
        <v>807</v>
      </c>
      <c r="AD158" t="str">
        <f>_xlfn.IFS(Table1[[#This Row],[Absence 
Days]]&lt;3,"Excellent",Table1[[#This Row],[Absence 
Days]]&lt;=6,"Good",Table1[[#This Row],[Absence 
Days]]&gt;6,"Poor")</f>
        <v>Excellent</v>
      </c>
    </row>
    <row r="159" spans="1:30" x14ac:dyDescent="0.35">
      <c r="A159">
        <v>158</v>
      </c>
      <c r="B159" s="2" t="s">
        <v>56</v>
      </c>
      <c r="C159" t="s">
        <v>571</v>
      </c>
      <c r="D159" t="str">
        <f>_xlfn.TEXTJOIN(" ",TRUE,Table1[[#This Row],[First 
Name]:[Last 
Name]])</f>
        <v>Brian Sanchez</v>
      </c>
      <c r="E159" t="s">
        <v>1269</v>
      </c>
      <c r="F159" t="s">
        <v>3244</v>
      </c>
      <c r="G159" t="str">
        <f ca="1">PROPER(Table1[[#This Row],[Part Time 
Job]])</f>
        <v>True</v>
      </c>
      <c r="H159" s="3">
        <v>8</v>
      </c>
      <c r="I159" t="str">
        <f ca="1">PROPER(Table1[[#This Row],[Extracurricular 
Activities]])</f>
        <v>False</v>
      </c>
      <c r="J159">
        <v>1</v>
      </c>
      <c r="K159" t="s">
        <v>3119</v>
      </c>
      <c r="L159">
        <v>97</v>
      </c>
      <c r="M159" s="12" t="str" cm="1">
        <f t="array" ref="M15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59">
        <v>54</v>
      </c>
      <c r="O159" s="13" t="str" cm="1">
        <f t="array" ref="O15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C</v>
      </c>
      <c r="P159">
        <v>62</v>
      </c>
      <c r="Q159" s="13" t="str" cm="1">
        <f t="array" ref="Q15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59">
        <v>66</v>
      </c>
      <c r="S159" t="str" cm="1">
        <f t="array" ref="S15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59">
        <v>58</v>
      </c>
      <c r="U159" t="str" cm="1">
        <f t="array" ref="U15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C</v>
      </c>
      <c r="V159">
        <v>69</v>
      </c>
      <c r="W159" t="str" cm="1">
        <f t="array" ref="W15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59">
        <v>96</v>
      </c>
      <c r="Y159" t="str" cm="1">
        <f t="array" ref="Y15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59">
        <f>SUM(Table1[[#This Row],[Math 
Score]],Table1[[#This Row],[History 
Score]],Table1[[#This Row],[Physics 
Score]],Table1[[#This Row],[Chemistry 
Score]],Table1[[#This Row],[Biology 
Score]],Table1[[#This Row],[English 
Score]],Table1[[#This Row],[Geography 
Score]])</f>
        <v>502</v>
      </c>
      <c r="AA159" s="3">
        <f>AVERAGE(Table1[[#This Row],[Math 
Score]],Table1[[#This Row],[History 
Score]],Table1[[#This Row],[Physics 
Score]],Table1[[#This Row],[Chemistry 
Score]],Table1[[#This Row],[Biology 
Score]],Table1[[#This Row],[English 
Score]],Table1[[#This Row],[Geography 
Score]])</f>
        <v>71.714285714285708</v>
      </c>
      <c r="AB15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59">
        <f t="shared" si="2"/>
        <v>1866</v>
      </c>
      <c r="AD159" t="str">
        <f>_xlfn.IFS(Table1[[#This Row],[Absence 
Days]]&lt;3,"Excellent",Table1[[#This Row],[Absence 
Days]]&lt;=6,"Good",Table1[[#This Row],[Absence 
Days]]&gt;6,"Poor")</f>
        <v>Poor</v>
      </c>
    </row>
    <row r="160" spans="1:30" x14ac:dyDescent="0.35">
      <c r="A160">
        <v>159</v>
      </c>
      <c r="B160" s="2" t="s">
        <v>72</v>
      </c>
      <c r="C160" t="s">
        <v>563</v>
      </c>
      <c r="D160" t="str">
        <f>_xlfn.TEXTJOIN(" ",TRUE,Table1[[#This Row],[First 
Name]:[Last 
Name]])</f>
        <v>Dennis Phillips</v>
      </c>
      <c r="E160" t="s">
        <v>1270</v>
      </c>
      <c r="F160" t="s">
        <v>3244</v>
      </c>
      <c r="G160" t="str">
        <f ca="1">PROPER(Table1[[#This Row],[Part Time 
Job]])</f>
        <v>True</v>
      </c>
      <c r="H160" s="3">
        <v>7</v>
      </c>
      <c r="I160" t="str">
        <f ca="1">PROPER(Table1[[#This Row],[Extracurricular 
Activities]])</f>
        <v>True</v>
      </c>
      <c r="J160">
        <v>3</v>
      </c>
      <c r="K160" t="s">
        <v>3119</v>
      </c>
      <c r="L160">
        <v>49</v>
      </c>
      <c r="M160" s="12" t="str" cm="1">
        <f t="array" ref="M160">_xlfn.IFS(Table1[[#This Row],[Math 
Score]]&gt;=90,"A+",Table1[[#This Row],[Math 
Score]]&gt;=80,"A", Table1[[#This Row],[Math 
Score]]&gt;=75,"A-",Table1[[#This Row],[Math 
Score]]&gt;=70,"B+",Table1[[#This Row],[Math 
Score]]&gt;=65,"B",Table1[[#This Row],[Math 
Score]]&gt;=60,"B-",Table1[[#This Row],[Math 
Score]]&gt;=50,"C",Table1[[#This Row],[Math 
Score]]&gt;=40,"D",Table1[[#This Row],[Math 
Score]]&lt;40,"F")</f>
        <v>D</v>
      </c>
      <c r="N160">
        <v>64</v>
      </c>
      <c r="O160" s="13" t="str" cm="1">
        <f t="array" ref="O16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60">
        <v>97</v>
      </c>
      <c r="Q160" s="13" t="str" cm="1">
        <f t="array" ref="Q16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60">
        <v>61</v>
      </c>
      <c r="S160" t="str" cm="1">
        <f t="array" ref="S16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60">
        <v>62</v>
      </c>
      <c r="U160" t="str" cm="1">
        <f t="array" ref="U16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60">
        <v>72</v>
      </c>
      <c r="W160" t="str" cm="1">
        <f t="array" ref="W16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60">
        <v>65</v>
      </c>
      <c r="Y160" t="str" cm="1">
        <f t="array" ref="Y16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60">
        <f>SUM(Table1[[#This Row],[Math 
Score]],Table1[[#This Row],[History 
Score]],Table1[[#This Row],[Physics 
Score]],Table1[[#This Row],[Chemistry 
Score]],Table1[[#This Row],[Biology 
Score]],Table1[[#This Row],[English 
Score]],Table1[[#This Row],[Geography 
Score]])</f>
        <v>470</v>
      </c>
      <c r="AA160" s="3">
        <f>AVERAGE(Table1[[#This Row],[Math 
Score]],Table1[[#This Row],[History 
Score]],Table1[[#This Row],[Physics 
Score]],Table1[[#This Row],[Chemistry 
Score]],Table1[[#This Row],[Biology 
Score]],Table1[[#This Row],[English 
Score]],Table1[[#This Row],[Geography 
Score]])</f>
        <v>67.142857142857139</v>
      </c>
      <c r="AB16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60">
        <f t="shared" si="2"/>
        <v>1961</v>
      </c>
      <c r="AD160" t="str">
        <f>_xlfn.IFS(Table1[[#This Row],[Absence 
Days]]&lt;3,"Excellent",Table1[[#This Row],[Absence 
Days]]&lt;=6,"Good",Table1[[#This Row],[Absence 
Days]]&gt;6,"Poor")</f>
        <v>Poor</v>
      </c>
    </row>
    <row r="161" spans="1:30" x14ac:dyDescent="0.35">
      <c r="A161">
        <v>160</v>
      </c>
      <c r="B161" s="2" t="s">
        <v>34</v>
      </c>
      <c r="C161" t="s">
        <v>572</v>
      </c>
      <c r="D161" t="str">
        <f>_xlfn.TEXTJOIN(" ",TRUE,Table1[[#This Row],[First 
Name]:[Last 
Name]])</f>
        <v>Michael Rivas</v>
      </c>
      <c r="E161" t="s">
        <v>1271</v>
      </c>
      <c r="F161" t="s">
        <v>3244</v>
      </c>
      <c r="G161" t="str">
        <f ca="1">PROPER(Table1[[#This Row],[Part Time 
Job]])</f>
        <v>True</v>
      </c>
      <c r="H161" s="3">
        <v>4</v>
      </c>
      <c r="I161" t="str">
        <f ca="1">PROPER(Table1[[#This Row],[Extracurricular 
Activities]])</f>
        <v>True</v>
      </c>
      <c r="J161">
        <v>33</v>
      </c>
      <c r="K161" t="s">
        <v>3116</v>
      </c>
      <c r="L161">
        <v>88</v>
      </c>
      <c r="M161" s="12" t="str" cm="1">
        <f t="array" ref="M16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61">
        <v>66</v>
      </c>
      <c r="O161" s="13" t="str" cm="1">
        <f t="array" ref="O16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61">
        <v>96</v>
      </c>
      <c r="Q161" s="13" t="str" cm="1">
        <f t="array" ref="Q16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61">
        <v>82</v>
      </c>
      <c r="S161" t="str" cm="1">
        <f t="array" ref="S16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61">
        <v>65</v>
      </c>
      <c r="U161" t="str" cm="1">
        <f t="array" ref="U16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61">
        <v>76</v>
      </c>
      <c r="W161" t="str" cm="1">
        <f t="array" ref="W16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61">
        <v>79</v>
      </c>
      <c r="Y161" t="str" cm="1">
        <f t="array" ref="Y16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61">
        <f>SUM(Table1[[#This Row],[Math 
Score]],Table1[[#This Row],[History 
Score]],Table1[[#This Row],[Physics 
Score]],Table1[[#This Row],[Chemistry 
Score]],Table1[[#This Row],[Biology 
Score]],Table1[[#This Row],[English 
Score]],Table1[[#This Row],[Geography 
Score]])</f>
        <v>552</v>
      </c>
      <c r="AA161" s="3">
        <f>AVERAGE(Table1[[#This Row],[Math 
Score]],Table1[[#This Row],[History 
Score]],Table1[[#This Row],[Physics 
Score]],Table1[[#This Row],[Chemistry 
Score]],Table1[[#This Row],[Biology 
Score]],Table1[[#This Row],[English 
Score]],Table1[[#This Row],[Geography 
Score]])</f>
        <v>78.857142857142861</v>
      </c>
      <c r="AB16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61">
        <f t="shared" si="2"/>
        <v>1306</v>
      </c>
      <c r="AD161" t="str">
        <f>_xlfn.IFS(Table1[[#This Row],[Absence 
Days]]&lt;3,"Excellent",Table1[[#This Row],[Absence 
Days]]&lt;=6,"Good",Table1[[#This Row],[Absence 
Days]]&gt;6,"Poor")</f>
        <v>Good</v>
      </c>
    </row>
    <row r="162" spans="1:30" x14ac:dyDescent="0.35">
      <c r="A162">
        <v>161</v>
      </c>
      <c r="B162" s="2" t="s">
        <v>33</v>
      </c>
      <c r="C162" t="s">
        <v>458</v>
      </c>
      <c r="D162" t="str">
        <f>_xlfn.TEXTJOIN(" ",TRUE,Table1[[#This Row],[First 
Name]:[Last 
Name]])</f>
        <v>Ryan Smith</v>
      </c>
      <c r="E162" t="s">
        <v>1272</v>
      </c>
      <c r="F162" t="s">
        <v>3244</v>
      </c>
      <c r="G162" t="str">
        <f ca="1">PROPER(Table1[[#This Row],[Part Time 
Job]])</f>
        <v>False</v>
      </c>
      <c r="H162" s="3">
        <v>1</v>
      </c>
      <c r="I162" t="str">
        <f ca="1">PROPER(Table1[[#This Row],[Extracurricular 
Activities]])</f>
        <v>False</v>
      </c>
      <c r="J162">
        <v>12</v>
      </c>
      <c r="K162" t="s">
        <v>3116</v>
      </c>
      <c r="L162">
        <v>92</v>
      </c>
      <c r="M162" s="12" t="str" cm="1">
        <f t="array" ref="M16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62">
        <v>64</v>
      </c>
      <c r="O162" s="13" t="str" cm="1">
        <f t="array" ref="O16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62">
        <v>77</v>
      </c>
      <c r="Q162" s="13" t="str" cm="1">
        <f t="array" ref="Q16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62">
        <v>61</v>
      </c>
      <c r="S162" t="str" cm="1">
        <f t="array" ref="S16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62">
        <v>76</v>
      </c>
      <c r="U162" t="str" cm="1">
        <f t="array" ref="U16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62">
        <v>72</v>
      </c>
      <c r="W162" t="str" cm="1">
        <f t="array" ref="W16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62">
        <v>87</v>
      </c>
      <c r="Y162" t="str" cm="1">
        <f t="array" ref="Y16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62">
        <f>SUM(Table1[[#This Row],[Math 
Score]],Table1[[#This Row],[History 
Score]],Table1[[#This Row],[Physics 
Score]],Table1[[#This Row],[Chemistry 
Score]],Table1[[#This Row],[Biology 
Score]],Table1[[#This Row],[English 
Score]],Table1[[#This Row],[Geography 
Score]])</f>
        <v>529</v>
      </c>
      <c r="AA162" s="3">
        <f>AVERAGE(Table1[[#This Row],[Math 
Score]],Table1[[#This Row],[History 
Score]],Table1[[#This Row],[Physics 
Score]],Table1[[#This Row],[Chemistry 
Score]],Table1[[#This Row],[Biology 
Score]],Table1[[#This Row],[English 
Score]],Table1[[#This Row],[Geography 
Score]])</f>
        <v>75.571428571428569</v>
      </c>
      <c r="AB16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62">
        <f t="shared" si="2"/>
        <v>1664</v>
      </c>
      <c r="AD162" t="str">
        <f>_xlfn.IFS(Table1[[#This Row],[Absence 
Days]]&lt;3,"Excellent",Table1[[#This Row],[Absence 
Days]]&lt;=6,"Good",Table1[[#This Row],[Absence 
Days]]&gt;6,"Poor")</f>
        <v>Excellent</v>
      </c>
    </row>
    <row r="163" spans="1:30" x14ac:dyDescent="0.35">
      <c r="A163">
        <v>162</v>
      </c>
      <c r="B163" s="2" t="s">
        <v>4</v>
      </c>
      <c r="C163" t="s">
        <v>573</v>
      </c>
      <c r="D163" t="str">
        <f>_xlfn.TEXTJOIN(" ",TRUE,Table1[[#This Row],[First 
Name]:[Last 
Name]])</f>
        <v>Anthony Sullivan</v>
      </c>
      <c r="E163" t="s">
        <v>1273</v>
      </c>
      <c r="F163" t="s">
        <v>3244</v>
      </c>
      <c r="G163" t="str">
        <f ca="1">PROPER(Table1[[#This Row],[Part Time 
Job]])</f>
        <v>True</v>
      </c>
      <c r="H163" s="3">
        <v>3</v>
      </c>
      <c r="I163" t="str">
        <f ca="1">PROPER(Table1[[#This Row],[Extracurricular 
Activities]])</f>
        <v>False</v>
      </c>
      <c r="J163">
        <v>24</v>
      </c>
      <c r="K163" t="s">
        <v>3125</v>
      </c>
      <c r="L163">
        <v>96</v>
      </c>
      <c r="M163" s="12" t="str" cm="1">
        <f t="array" ref="M16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63">
        <v>66</v>
      </c>
      <c r="O163" s="13" t="str" cm="1">
        <f t="array" ref="O16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63">
        <v>92</v>
      </c>
      <c r="Q163" s="13" t="str" cm="1">
        <f t="array" ref="Q16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63">
        <v>88</v>
      </c>
      <c r="S163" t="str" cm="1">
        <f t="array" ref="S16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63">
        <v>65</v>
      </c>
      <c r="U163" t="str" cm="1">
        <f t="array" ref="U16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63">
        <v>76</v>
      </c>
      <c r="W163" t="str" cm="1">
        <f t="array" ref="W16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63">
        <v>72</v>
      </c>
      <c r="Y163" t="str" cm="1">
        <f t="array" ref="Y16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63">
        <f>SUM(Table1[[#This Row],[Math 
Score]],Table1[[#This Row],[History 
Score]],Table1[[#This Row],[Physics 
Score]],Table1[[#This Row],[Chemistry 
Score]],Table1[[#This Row],[Biology 
Score]],Table1[[#This Row],[English 
Score]],Table1[[#This Row],[Geography 
Score]])</f>
        <v>555</v>
      </c>
      <c r="AA163" s="3">
        <f>AVERAGE(Table1[[#This Row],[Math 
Score]],Table1[[#This Row],[History 
Score]],Table1[[#This Row],[Physics 
Score]],Table1[[#This Row],[Chemistry 
Score]],Table1[[#This Row],[Biology 
Score]],Table1[[#This Row],[English 
Score]],Table1[[#This Row],[Geography 
Score]])</f>
        <v>79.285714285714292</v>
      </c>
      <c r="AB16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63">
        <f t="shared" si="2"/>
        <v>1245</v>
      </c>
      <c r="AD163" t="str">
        <f>_xlfn.IFS(Table1[[#This Row],[Absence 
Days]]&lt;3,"Excellent",Table1[[#This Row],[Absence 
Days]]&lt;=6,"Good",Table1[[#This Row],[Absence 
Days]]&gt;6,"Poor")</f>
        <v>Good</v>
      </c>
    </row>
    <row r="164" spans="1:30" x14ac:dyDescent="0.35">
      <c r="A164">
        <v>163</v>
      </c>
      <c r="B164" s="2" t="s">
        <v>116</v>
      </c>
      <c r="C164" t="s">
        <v>574</v>
      </c>
      <c r="D164" t="str">
        <f>_xlfn.TEXTJOIN(" ",TRUE,Table1[[#This Row],[First 
Name]:[Last 
Name]])</f>
        <v>Troy Shepherd</v>
      </c>
      <c r="E164" t="s">
        <v>1274</v>
      </c>
      <c r="F164" t="s">
        <v>3244</v>
      </c>
      <c r="G164" t="str">
        <f ca="1">PROPER(Table1[[#This Row],[Part Time 
Job]])</f>
        <v>False</v>
      </c>
      <c r="H164" s="3">
        <v>4</v>
      </c>
      <c r="I164" t="str">
        <f ca="1">PROPER(Table1[[#This Row],[Extracurricular 
Activities]])</f>
        <v>False</v>
      </c>
      <c r="J164">
        <v>33</v>
      </c>
      <c r="K164" t="s">
        <v>3125</v>
      </c>
      <c r="L164">
        <v>86</v>
      </c>
      <c r="M164" s="12" t="str" cm="1">
        <f t="array" ref="M16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64">
        <v>88</v>
      </c>
      <c r="O164" s="13" t="str" cm="1">
        <f t="array" ref="O16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64">
        <v>99</v>
      </c>
      <c r="Q164" s="13" t="str" cm="1">
        <f t="array" ref="Q16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64">
        <v>79</v>
      </c>
      <c r="S164" t="str" cm="1">
        <f t="array" ref="S16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64">
        <v>93</v>
      </c>
      <c r="U164" t="str" cm="1">
        <f t="array" ref="U16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64">
        <v>97</v>
      </c>
      <c r="W164" t="str" cm="1">
        <f t="array" ref="W16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64">
        <v>91</v>
      </c>
      <c r="Y164" t="str" cm="1">
        <f t="array" ref="Y16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64">
        <f>SUM(Table1[[#This Row],[Math 
Score]],Table1[[#This Row],[History 
Score]],Table1[[#This Row],[Physics 
Score]],Table1[[#This Row],[Chemistry 
Score]],Table1[[#This Row],[Biology 
Score]],Table1[[#This Row],[English 
Score]],Table1[[#This Row],[Geography 
Score]])</f>
        <v>633</v>
      </c>
      <c r="AA164" s="3">
        <f>AVERAGE(Table1[[#This Row],[Math 
Score]],Table1[[#This Row],[History 
Score]],Table1[[#This Row],[Physics 
Score]],Table1[[#This Row],[Chemistry 
Score]],Table1[[#This Row],[Biology 
Score]],Table1[[#This Row],[English 
Score]],Table1[[#This Row],[Geography 
Score]])</f>
        <v>90.428571428571431</v>
      </c>
      <c r="AB16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64">
        <f t="shared" si="2"/>
        <v>137</v>
      </c>
      <c r="AD164" t="str">
        <f>_xlfn.IFS(Table1[[#This Row],[Absence 
Days]]&lt;3,"Excellent",Table1[[#This Row],[Absence 
Days]]&lt;=6,"Good",Table1[[#This Row],[Absence 
Days]]&gt;6,"Poor")</f>
        <v>Good</v>
      </c>
    </row>
    <row r="165" spans="1:30" x14ac:dyDescent="0.35">
      <c r="A165">
        <v>164</v>
      </c>
      <c r="B165" s="2" t="s">
        <v>117</v>
      </c>
      <c r="C165" t="s">
        <v>234</v>
      </c>
      <c r="D165" t="str">
        <f>_xlfn.TEXTJOIN(" ",TRUE,Table1[[#This Row],[First 
Name]:[Last 
Name]])</f>
        <v>Nicholas Clayton</v>
      </c>
      <c r="E165" t="s">
        <v>1275</v>
      </c>
      <c r="F165" t="s">
        <v>3244</v>
      </c>
      <c r="G165" t="str">
        <f ca="1">PROPER(Table1[[#This Row],[Part Time 
Job]])</f>
        <v>False</v>
      </c>
      <c r="H165" s="3">
        <v>1</v>
      </c>
      <c r="I165" t="str">
        <f ca="1">PROPER(Table1[[#This Row],[Extracurricular 
Activities]])</f>
        <v>True</v>
      </c>
      <c r="J165">
        <v>44</v>
      </c>
      <c r="K165" t="s">
        <v>3113</v>
      </c>
      <c r="L165">
        <v>86</v>
      </c>
      <c r="M165" s="12" t="str" cm="1">
        <f t="array" ref="M16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65">
        <v>100</v>
      </c>
      <c r="O165" s="13" t="str" cm="1">
        <f t="array" ref="O16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65">
        <v>100</v>
      </c>
      <c r="Q165" s="13" t="str" cm="1">
        <f t="array" ref="Q16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65">
        <v>96</v>
      </c>
      <c r="S165" t="str" cm="1">
        <f t="array" ref="S16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65">
        <v>95</v>
      </c>
      <c r="U165" t="str" cm="1">
        <f t="array" ref="U16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65">
        <v>97</v>
      </c>
      <c r="W165" t="str" cm="1">
        <f t="array" ref="W16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65">
        <v>93</v>
      </c>
      <c r="Y165" t="str" cm="1">
        <f t="array" ref="Y16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65">
        <f>SUM(Table1[[#This Row],[Math 
Score]],Table1[[#This Row],[History 
Score]],Table1[[#This Row],[Physics 
Score]],Table1[[#This Row],[Chemistry 
Score]],Table1[[#This Row],[Biology 
Score]],Table1[[#This Row],[English 
Score]],Table1[[#This Row],[Geography 
Score]])</f>
        <v>667</v>
      </c>
      <c r="AA165" s="3">
        <f>AVERAGE(Table1[[#This Row],[Math 
Score]],Table1[[#This Row],[History 
Score]],Table1[[#This Row],[Physics 
Score]],Table1[[#This Row],[Chemistry 
Score]],Table1[[#This Row],[Biology 
Score]],Table1[[#This Row],[English 
Score]],Table1[[#This Row],[Geography 
Score]])</f>
        <v>95.285714285714292</v>
      </c>
      <c r="AB16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65">
        <f t="shared" si="2"/>
        <v>6</v>
      </c>
      <c r="AD165" t="str">
        <f>_xlfn.IFS(Table1[[#This Row],[Absence 
Days]]&lt;3,"Excellent",Table1[[#This Row],[Absence 
Days]]&lt;=6,"Good",Table1[[#This Row],[Absence 
Days]]&gt;6,"Poor")</f>
        <v>Excellent</v>
      </c>
    </row>
    <row r="166" spans="1:30" x14ac:dyDescent="0.35">
      <c r="A166">
        <v>165</v>
      </c>
      <c r="B166" s="2" t="s">
        <v>118</v>
      </c>
      <c r="C166" t="s">
        <v>575</v>
      </c>
      <c r="D166" t="str">
        <f>_xlfn.TEXTJOIN(" ",TRUE,Table1[[#This Row],[First 
Name]:[Last 
Name]])</f>
        <v>Denise Schneider</v>
      </c>
      <c r="E166" t="s">
        <v>1276</v>
      </c>
      <c r="F166" t="s">
        <v>3245</v>
      </c>
      <c r="G166" t="str">
        <f ca="1">PROPER(Table1[[#This Row],[Part Time 
Job]])</f>
        <v>False</v>
      </c>
      <c r="H166" s="3">
        <v>1</v>
      </c>
      <c r="I166" t="str">
        <f ca="1">PROPER(Table1[[#This Row],[Extracurricular 
Activities]])</f>
        <v>False</v>
      </c>
      <c r="J166">
        <v>15</v>
      </c>
      <c r="K166" t="s">
        <v>3118</v>
      </c>
      <c r="L166">
        <v>88</v>
      </c>
      <c r="M166" s="12" t="str" cm="1">
        <f t="array" ref="M16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66">
        <v>72</v>
      </c>
      <c r="O166" s="13" t="str" cm="1">
        <f t="array" ref="O16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66">
        <v>96</v>
      </c>
      <c r="Q166" s="13" t="str" cm="1">
        <f t="array" ref="Q16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66">
        <v>60</v>
      </c>
      <c r="S166" t="str" cm="1">
        <f t="array" ref="S16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66">
        <v>90</v>
      </c>
      <c r="U166" t="str" cm="1">
        <f t="array" ref="U16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66">
        <v>80</v>
      </c>
      <c r="W166" t="str" cm="1">
        <f t="array" ref="W16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66">
        <v>88</v>
      </c>
      <c r="Y166" t="str" cm="1">
        <f t="array" ref="Y16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66">
        <f>SUM(Table1[[#This Row],[Math 
Score]],Table1[[#This Row],[History 
Score]],Table1[[#This Row],[Physics 
Score]],Table1[[#This Row],[Chemistry 
Score]],Table1[[#This Row],[Biology 
Score]],Table1[[#This Row],[English 
Score]],Table1[[#This Row],[Geography 
Score]])</f>
        <v>574</v>
      </c>
      <c r="AA166" s="3">
        <f>AVERAGE(Table1[[#This Row],[Math 
Score]],Table1[[#This Row],[History 
Score]],Table1[[#This Row],[Physics 
Score]],Table1[[#This Row],[Chemistry 
Score]],Table1[[#This Row],[Biology 
Score]],Table1[[#This Row],[English 
Score]],Table1[[#This Row],[Geography 
Score]])</f>
        <v>82</v>
      </c>
      <c r="AB16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66">
        <f t="shared" si="2"/>
        <v>832</v>
      </c>
      <c r="AD166" t="str">
        <f>_xlfn.IFS(Table1[[#This Row],[Absence 
Days]]&lt;3,"Excellent",Table1[[#This Row],[Absence 
Days]]&lt;=6,"Good",Table1[[#This Row],[Absence 
Days]]&gt;6,"Poor")</f>
        <v>Excellent</v>
      </c>
    </row>
    <row r="167" spans="1:30" x14ac:dyDescent="0.35">
      <c r="A167">
        <v>166</v>
      </c>
      <c r="B167" s="2" t="s">
        <v>32</v>
      </c>
      <c r="C167" t="s">
        <v>576</v>
      </c>
      <c r="D167" t="str">
        <f>_xlfn.TEXTJOIN(" ",TRUE,Table1[[#This Row],[First 
Name]:[Last 
Name]])</f>
        <v>Lisa Silva</v>
      </c>
      <c r="E167" t="s">
        <v>1277</v>
      </c>
      <c r="F167" t="s">
        <v>3245</v>
      </c>
      <c r="G167" t="str">
        <f ca="1">PROPER(Table1[[#This Row],[Part Time 
Job]])</f>
        <v>False</v>
      </c>
      <c r="H167" s="3">
        <v>2</v>
      </c>
      <c r="I167" t="str">
        <f ca="1">PROPER(Table1[[#This Row],[Extracurricular 
Activities]])</f>
        <v>False</v>
      </c>
      <c r="J167">
        <v>5</v>
      </c>
      <c r="K167" t="s">
        <v>3126</v>
      </c>
      <c r="L167">
        <v>92</v>
      </c>
      <c r="M167" s="12" t="str" cm="1">
        <f t="array" ref="M16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67">
        <v>81</v>
      </c>
      <c r="O167" s="13" t="str" cm="1">
        <f t="array" ref="O16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67">
        <v>99</v>
      </c>
      <c r="Q167" s="13" t="str" cm="1">
        <f t="array" ref="Q16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67">
        <v>98</v>
      </c>
      <c r="S167" t="str" cm="1">
        <f t="array" ref="S16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67">
        <v>77</v>
      </c>
      <c r="U167" t="str" cm="1">
        <f t="array" ref="U16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67">
        <v>80</v>
      </c>
      <c r="W167" t="str" cm="1">
        <f t="array" ref="W16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67">
        <v>73</v>
      </c>
      <c r="Y167" t="str" cm="1">
        <f t="array" ref="Y16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67">
        <f>SUM(Table1[[#This Row],[Math 
Score]],Table1[[#This Row],[History 
Score]],Table1[[#This Row],[Physics 
Score]],Table1[[#This Row],[Chemistry 
Score]],Table1[[#This Row],[Biology 
Score]],Table1[[#This Row],[English 
Score]],Table1[[#This Row],[Geography 
Score]])</f>
        <v>600</v>
      </c>
      <c r="AA167" s="3">
        <f>AVERAGE(Table1[[#This Row],[Math 
Score]],Table1[[#This Row],[History 
Score]],Table1[[#This Row],[Physics 
Score]],Table1[[#This Row],[Chemistry 
Score]],Table1[[#This Row],[Biology 
Score]],Table1[[#This Row],[English 
Score]],Table1[[#This Row],[Geography 
Score]])</f>
        <v>85.714285714285708</v>
      </c>
      <c r="AB16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67">
        <f t="shared" si="2"/>
        <v>406</v>
      </c>
      <c r="AD167" t="str">
        <f>_xlfn.IFS(Table1[[#This Row],[Absence 
Days]]&lt;3,"Excellent",Table1[[#This Row],[Absence 
Days]]&lt;=6,"Good",Table1[[#This Row],[Absence 
Days]]&gt;6,"Poor")</f>
        <v>Excellent</v>
      </c>
    </row>
    <row r="168" spans="1:30" x14ac:dyDescent="0.35">
      <c r="A168">
        <v>167</v>
      </c>
      <c r="B168" s="2" t="s">
        <v>13</v>
      </c>
      <c r="C168" t="s">
        <v>577</v>
      </c>
      <c r="D168" t="str">
        <f>_xlfn.TEXTJOIN(" ",TRUE,Table1[[#This Row],[First 
Name]:[Last 
Name]])</f>
        <v>Laura Reilly</v>
      </c>
      <c r="E168" t="s">
        <v>1278</v>
      </c>
      <c r="F168" t="s">
        <v>3245</v>
      </c>
      <c r="G168" t="str">
        <f ca="1">PROPER(Table1[[#This Row],[Part Time 
Job]])</f>
        <v>True</v>
      </c>
      <c r="H168" s="3">
        <v>7</v>
      </c>
      <c r="I168" t="str">
        <f ca="1">PROPER(Table1[[#This Row],[Extracurricular 
Activities]])</f>
        <v>False</v>
      </c>
      <c r="J168">
        <v>5</v>
      </c>
      <c r="K168" t="s">
        <v>3119</v>
      </c>
      <c r="L168">
        <v>87</v>
      </c>
      <c r="M168" s="12" t="str" cm="1">
        <f t="array" ref="M16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68">
        <v>76</v>
      </c>
      <c r="O168" s="13" t="str" cm="1">
        <f t="array" ref="O16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68">
        <v>71</v>
      </c>
      <c r="Q168" s="13" t="str" cm="1">
        <f t="array" ref="Q16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68">
        <v>65</v>
      </c>
      <c r="S168" t="str" cm="1">
        <f t="array" ref="S16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68">
        <v>64</v>
      </c>
      <c r="U168" t="str" cm="1">
        <f t="array" ref="U16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68">
        <v>81</v>
      </c>
      <c r="W168" t="str" cm="1">
        <f t="array" ref="W16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68">
        <v>61</v>
      </c>
      <c r="Y168" t="str" cm="1">
        <f t="array" ref="Y16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68">
        <f>SUM(Table1[[#This Row],[Math 
Score]],Table1[[#This Row],[History 
Score]],Table1[[#This Row],[Physics 
Score]],Table1[[#This Row],[Chemistry 
Score]],Table1[[#This Row],[Biology 
Score]],Table1[[#This Row],[English 
Score]],Table1[[#This Row],[Geography 
Score]])</f>
        <v>505</v>
      </c>
      <c r="AA168" s="3">
        <f>AVERAGE(Table1[[#This Row],[Math 
Score]],Table1[[#This Row],[History 
Score]],Table1[[#This Row],[Physics 
Score]],Table1[[#This Row],[Chemistry 
Score]],Table1[[#This Row],[Biology 
Score]],Table1[[#This Row],[English 
Score]],Table1[[#This Row],[Geography 
Score]])</f>
        <v>72.142857142857139</v>
      </c>
      <c r="AB16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68">
        <f t="shared" si="2"/>
        <v>1854</v>
      </c>
      <c r="AD168" t="str">
        <f>_xlfn.IFS(Table1[[#This Row],[Absence 
Days]]&lt;3,"Excellent",Table1[[#This Row],[Absence 
Days]]&lt;=6,"Good",Table1[[#This Row],[Absence 
Days]]&gt;6,"Poor")</f>
        <v>Poor</v>
      </c>
    </row>
    <row r="169" spans="1:30" x14ac:dyDescent="0.35">
      <c r="A169">
        <v>168</v>
      </c>
      <c r="B169" s="2" t="s">
        <v>119</v>
      </c>
      <c r="C169" t="s">
        <v>578</v>
      </c>
      <c r="D169" t="str">
        <f>_xlfn.TEXTJOIN(" ",TRUE,Table1[[#This Row],[First 
Name]:[Last 
Name]])</f>
        <v>Amy Peterson</v>
      </c>
      <c r="E169" t="s">
        <v>1279</v>
      </c>
      <c r="F169" t="s">
        <v>3245</v>
      </c>
      <c r="G169" t="str">
        <f ca="1">PROPER(Table1[[#This Row],[Part Time 
Job]])</f>
        <v>False</v>
      </c>
      <c r="H169" s="3">
        <v>5</v>
      </c>
      <c r="I169" t="str">
        <f ca="1">PROPER(Table1[[#This Row],[Extracurricular 
Activities]])</f>
        <v>False</v>
      </c>
      <c r="J169">
        <v>22</v>
      </c>
      <c r="K169" t="s">
        <v>3116</v>
      </c>
      <c r="L169">
        <v>89</v>
      </c>
      <c r="M169" s="12" t="str" cm="1">
        <f t="array" ref="M16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69">
        <v>94</v>
      </c>
      <c r="O169" s="13" t="str" cm="1">
        <f t="array" ref="O16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69">
        <v>67</v>
      </c>
      <c r="Q169" s="13" t="str" cm="1">
        <f t="array" ref="Q16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69">
        <v>68</v>
      </c>
      <c r="S169" t="str" cm="1">
        <f t="array" ref="S16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69">
        <v>69</v>
      </c>
      <c r="U169" t="str" cm="1">
        <f t="array" ref="U16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69">
        <v>92</v>
      </c>
      <c r="W169" t="str" cm="1">
        <f t="array" ref="W16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69">
        <v>76</v>
      </c>
      <c r="Y169" t="str" cm="1">
        <f t="array" ref="Y16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69">
        <f>SUM(Table1[[#This Row],[Math 
Score]],Table1[[#This Row],[History 
Score]],Table1[[#This Row],[Physics 
Score]],Table1[[#This Row],[Chemistry 
Score]],Table1[[#This Row],[Biology 
Score]],Table1[[#This Row],[English 
Score]],Table1[[#This Row],[Geography 
Score]])</f>
        <v>555</v>
      </c>
      <c r="AA169" s="3">
        <f>AVERAGE(Table1[[#This Row],[Math 
Score]],Table1[[#This Row],[History 
Score]],Table1[[#This Row],[Physics 
Score]],Table1[[#This Row],[Chemistry 
Score]],Table1[[#This Row],[Biology 
Score]],Table1[[#This Row],[English 
Score]],Table1[[#This Row],[Geography 
Score]])</f>
        <v>79.285714285714292</v>
      </c>
      <c r="AB16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69">
        <f t="shared" si="2"/>
        <v>1245</v>
      </c>
      <c r="AD169" t="str">
        <f>_xlfn.IFS(Table1[[#This Row],[Absence 
Days]]&lt;3,"Excellent",Table1[[#This Row],[Absence 
Days]]&lt;=6,"Good",Table1[[#This Row],[Absence 
Days]]&gt;6,"Poor")</f>
        <v>Good</v>
      </c>
    </row>
    <row r="170" spans="1:30" x14ac:dyDescent="0.35">
      <c r="A170">
        <v>169</v>
      </c>
      <c r="B170" s="2" t="s">
        <v>120</v>
      </c>
      <c r="C170" t="s">
        <v>579</v>
      </c>
      <c r="D170" t="str">
        <f>_xlfn.TEXTJOIN(" ",TRUE,Table1[[#This Row],[First 
Name]:[Last 
Name]])</f>
        <v>Fernando Sexton</v>
      </c>
      <c r="E170" t="s">
        <v>1280</v>
      </c>
      <c r="F170" t="s">
        <v>3244</v>
      </c>
      <c r="G170" t="str">
        <f ca="1">PROPER(Table1[[#This Row],[Part Time 
Job]])</f>
        <v>False</v>
      </c>
      <c r="H170" s="3">
        <v>1</v>
      </c>
      <c r="I170" t="str">
        <f ca="1">PROPER(Table1[[#This Row],[Extracurricular 
Activities]])</f>
        <v>False</v>
      </c>
      <c r="J170">
        <v>9</v>
      </c>
      <c r="K170" t="s">
        <v>3116</v>
      </c>
      <c r="L170">
        <v>97</v>
      </c>
      <c r="M170" s="12" t="str" cm="1">
        <f t="array" ref="M17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70">
        <v>96</v>
      </c>
      <c r="O170" s="13" t="str" cm="1">
        <f t="array" ref="O17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70">
        <v>66</v>
      </c>
      <c r="Q170" s="13" t="str" cm="1">
        <f t="array" ref="Q17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70">
        <v>96</v>
      </c>
      <c r="S170" t="str" cm="1">
        <f t="array" ref="S17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70">
        <v>71</v>
      </c>
      <c r="U170" t="str" cm="1">
        <f t="array" ref="U17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70">
        <v>97</v>
      </c>
      <c r="W170" t="str" cm="1">
        <f t="array" ref="W17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70">
        <v>66</v>
      </c>
      <c r="Y170" t="str" cm="1">
        <f t="array" ref="Y17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70">
        <f>SUM(Table1[[#This Row],[Math 
Score]],Table1[[#This Row],[History 
Score]],Table1[[#This Row],[Physics 
Score]],Table1[[#This Row],[Chemistry 
Score]],Table1[[#This Row],[Biology 
Score]],Table1[[#This Row],[English 
Score]],Table1[[#This Row],[Geography 
Score]])</f>
        <v>589</v>
      </c>
      <c r="AA170" s="3">
        <f>AVERAGE(Table1[[#This Row],[Math 
Score]],Table1[[#This Row],[History 
Score]],Table1[[#This Row],[Physics 
Score]],Table1[[#This Row],[Chemistry 
Score]],Table1[[#This Row],[Biology 
Score]],Table1[[#This Row],[English 
Score]],Table1[[#This Row],[Geography 
Score]])</f>
        <v>84.142857142857139</v>
      </c>
      <c r="AB17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70">
        <f t="shared" si="2"/>
        <v>548</v>
      </c>
      <c r="AD170" t="str">
        <f>_xlfn.IFS(Table1[[#This Row],[Absence 
Days]]&lt;3,"Excellent",Table1[[#This Row],[Absence 
Days]]&lt;=6,"Good",Table1[[#This Row],[Absence 
Days]]&gt;6,"Poor")</f>
        <v>Excellent</v>
      </c>
    </row>
    <row r="171" spans="1:30" x14ac:dyDescent="0.35">
      <c r="A171">
        <v>170</v>
      </c>
      <c r="B171" s="2" t="s">
        <v>121</v>
      </c>
      <c r="C171" t="s">
        <v>222</v>
      </c>
      <c r="D171" t="str">
        <f>_xlfn.TEXTJOIN(" ",TRUE,Table1[[#This Row],[First 
Name]:[Last 
Name]])</f>
        <v>Evan Christian</v>
      </c>
      <c r="E171" t="s">
        <v>1281</v>
      </c>
      <c r="F171" t="s">
        <v>3244</v>
      </c>
      <c r="G171" t="str">
        <f ca="1">PROPER(Table1[[#This Row],[Part Time 
Job]])</f>
        <v>False</v>
      </c>
      <c r="H171" s="3">
        <v>4</v>
      </c>
      <c r="I171" t="str">
        <f ca="1">PROPER(Table1[[#This Row],[Extracurricular 
Activities]])</f>
        <v>True</v>
      </c>
      <c r="J171">
        <v>34</v>
      </c>
      <c r="K171" t="s">
        <v>3117</v>
      </c>
      <c r="L171">
        <v>100</v>
      </c>
      <c r="M171" s="12" t="str" cm="1">
        <f t="array" ref="M17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71">
        <v>62</v>
      </c>
      <c r="O171" s="13" t="str" cm="1">
        <f t="array" ref="O17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71">
        <v>67</v>
      </c>
      <c r="Q171" s="13" t="str" cm="1">
        <f t="array" ref="Q17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71">
        <v>97</v>
      </c>
      <c r="S171" t="str" cm="1">
        <f t="array" ref="S17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71">
        <v>73</v>
      </c>
      <c r="U171" t="str" cm="1">
        <f t="array" ref="U17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71">
        <v>84</v>
      </c>
      <c r="W171" t="str" cm="1">
        <f t="array" ref="W17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71">
        <v>99</v>
      </c>
      <c r="Y171" t="str" cm="1">
        <f t="array" ref="Y17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71">
        <f>SUM(Table1[[#This Row],[Math 
Score]],Table1[[#This Row],[History 
Score]],Table1[[#This Row],[Physics 
Score]],Table1[[#This Row],[Chemistry 
Score]],Table1[[#This Row],[Biology 
Score]],Table1[[#This Row],[English 
Score]],Table1[[#This Row],[Geography 
Score]])</f>
        <v>582</v>
      </c>
      <c r="AA171" s="3">
        <f>AVERAGE(Table1[[#This Row],[Math 
Score]],Table1[[#This Row],[History 
Score]],Table1[[#This Row],[Physics 
Score]],Table1[[#This Row],[Chemistry 
Score]],Table1[[#This Row],[Biology 
Score]],Table1[[#This Row],[English 
Score]],Table1[[#This Row],[Geography 
Score]])</f>
        <v>83.142857142857139</v>
      </c>
      <c r="AB17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71">
        <f t="shared" si="2"/>
        <v>670</v>
      </c>
      <c r="AD171" t="str">
        <f>_xlfn.IFS(Table1[[#This Row],[Absence 
Days]]&lt;3,"Excellent",Table1[[#This Row],[Absence 
Days]]&lt;=6,"Good",Table1[[#This Row],[Absence 
Days]]&gt;6,"Poor")</f>
        <v>Good</v>
      </c>
    </row>
    <row r="172" spans="1:30" x14ac:dyDescent="0.35">
      <c r="A172">
        <v>171</v>
      </c>
      <c r="B172" s="2" t="s">
        <v>122</v>
      </c>
      <c r="C172" t="s">
        <v>580</v>
      </c>
      <c r="D172" t="str">
        <f>_xlfn.TEXTJOIN(" ",TRUE,Table1[[#This Row],[First 
Name]:[Last 
Name]])</f>
        <v>Rebecca Norris</v>
      </c>
      <c r="E172" t="s">
        <v>1282</v>
      </c>
      <c r="F172" t="s">
        <v>3245</v>
      </c>
      <c r="G172" t="str">
        <f ca="1">PROPER(Table1[[#This Row],[Part Time 
Job]])</f>
        <v>False</v>
      </c>
      <c r="H172" s="3">
        <v>1</v>
      </c>
      <c r="I172" t="str">
        <f ca="1">PROPER(Table1[[#This Row],[Extracurricular 
Activities]])</f>
        <v>False</v>
      </c>
      <c r="J172">
        <v>34</v>
      </c>
      <c r="K172" t="s">
        <v>3112</v>
      </c>
      <c r="L172">
        <v>91</v>
      </c>
      <c r="M172" s="12" t="str" cm="1">
        <f t="array" ref="M17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72">
        <v>98</v>
      </c>
      <c r="O172" s="13" t="str" cm="1">
        <f t="array" ref="O17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72">
        <v>76</v>
      </c>
      <c r="Q172" s="13" t="str" cm="1">
        <f t="array" ref="Q17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72">
        <v>99</v>
      </c>
      <c r="S172" t="str" cm="1">
        <f t="array" ref="S17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72">
        <v>65</v>
      </c>
      <c r="U172" t="str" cm="1">
        <f t="array" ref="U17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72">
        <v>98</v>
      </c>
      <c r="W172" t="str" cm="1">
        <f t="array" ref="W17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72">
        <v>71</v>
      </c>
      <c r="Y172" t="str" cm="1">
        <f t="array" ref="Y17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72">
        <f>SUM(Table1[[#This Row],[Math 
Score]],Table1[[#This Row],[History 
Score]],Table1[[#This Row],[Physics 
Score]],Table1[[#This Row],[Chemistry 
Score]],Table1[[#This Row],[Biology 
Score]],Table1[[#This Row],[English 
Score]],Table1[[#This Row],[Geography 
Score]])</f>
        <v>598</v>
      </c>
      <c r="AA172" s="3">
        <f>AVERAGE(Table1[[#This Row],[Math 
Score]],Table1[[#This Row],[History 
Score]],Table1[[#This Row],[Physics 
Score]],Table1[[#This Row],[Chemistry 
Score]],Table1[[#This Row],[Biology 
Score]],Table1[[#This Row],[English 
Score]],Table1[[#This Row],[Geography 
Score]])</f>
        <v>85.428571428571431</v>
      </c>
      <c r="AB17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72">
        <f t="shared" si="2"/>
        <v>436</v>
      </c>
      <c r="AD172" t="str">
        <f>_xlfn.IFS(Table1[[#This Row],[Absence 
Days]]&lt;3,"Excellent",Table1[[#This Row],[Absence 
Days]]&lt;=6,"Good",Table1[[#This Row],[Absence 
Days]]&gt;6,"Poor")</f>
        <v>Excellent</v>
      </c>
    </row>
    <row r="173" spans="1:30" x14ac:dyDescent="0.35">
      <c r="A173">
        <v>172</v>
      </c>
      <c r="B173" s="2" t="s">
        <v>123</v>
      </c>
      <c r="C173" t="s">
        <v>581</v>
      </c>
      <c r="D173" t="str">
        <f>_xlfn.TEXTJOIN(" ",TRUE,Table1[[#This Row],[First 
Name]:[Last 
Name]])</f>
        <v>Erica Marks</v>
      </c>
      <c r="E173" t="s">
        <v>1283</v>
      </c>
      <c r="F173" t="s">
        <v>3245</v>
      </c>
      <c r="G173" t="str">
        <f ca="1">PROPER(Table1[[#This Row],[Part Time 
Job]])</f>
        <v>False</v>
      </c>
      <c r="H173" s="3">
        <v>4</v>
      </c>
      <c r="I173" t="str">
        <f ca="1">PROPER(Table1[[#This Row],[Extracurricular 
Activities]])</f>
        <v>False</v>
      </c>
      <c r="J173">
        <v>25</v>
      </c>
      <c r="K173" t="s">
        <v>3127</v>
      </c>
      <c r="L173">
        <v>81</v>
      </c>
      <c r="M173" s="12" t="str" cm="1">
        <f t="array" ref="M17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73">
        <v>87</v>
      </c>
      <c r="O173" s="13" t="str" cm="1">
        <f t="array" ref="O17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73">
        <v>65</v>
      </c>
      <c r="Q173" s="13" t="str" cm="1">
        <f t="array" ref="Q17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73">
        <v>85</v>
      </c>
      <c r="S173" t="str" cm="1">
        <f t="array" ref="S17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73">
        <v>74</v>
      </c>
      <c r="U173" t="str" cm="1">
        <f t="array" ref="U17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73">
        <v>64</v>
      </c>
      <c r="W173" t="str" cm="1">
        <f t="array" ref="W17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73">
        <v>81</v>
      </c>
      <c r="Y173" t="str" cm="1">
        <f t="array" ref="Y17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73">
        <f>SUM(Table1[[#This Row],[Math 
Score]],Table1[[#This Row],[History 
Score]],Table1[[#This Row],[Physics 
Score]],Table1[[#This Row],[Chemistry 
Score]],Table1[[#This Row],[Biology 
Score]],Table1[[#This Row],[English 
Score]],Table1[[#This Row],[Geography 
Score]])</f>
        <v>537</v>
      </c>
      <c r="AA173" s="3">
        <f>AVERAGE(Table1[[#This Row],[Math 
Score]],Table1[[#This Row],[History 
Score]],Table1[[#This Row],[Physics 
Score]],Table1[[#This Row],[Chemistry 
Score]],Table1[[#This Row],[Biology 
Score]],Table1[[#This Row],[English 
Score]],Table1[[#This Row],[Geography 
Score]])</f>
        <v>76.714285714285708</v>
      </c>
      <c r="AB17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73">
        <f t="shared" si="2"/>
        <v>1553</v>
      </c>
      <c r="AD173" t="str">
        <f>_xlfn.IFS(Table1[[#This Row],[Absence 
Days]]&lt;3,"Excellent",Table1[[#This Row],[Absence 
Days]]&lt;=6,"Good",Table1[[#This Row],[Absence 
Days]]&gt;6,"Poor")</f>
        <v>Good</v>
      </c>
    </row>
    <row r="174" spans="1:30" x14ac:dyDescent="0.35">
      <c r="A174">
        <v>173</v>
      </c>
      <c r="B174" s="2" t="s">
        <v>67</v>
      </c>
      <c r="C174" t="s">
        <v>582</v>
      </c>
      <c r="D174" t="str">
        <f>_xlfn.TEXTJOIN(" ",TRUE,Table1[[#This Row],[First 
Name]:[Last 
Name]])</f>
        <v>Rhonda Webster</v>
      </c>
      <c r="E174" t="s">
        <v>1284</v>
      </c>
      <c r="F174" t="s">
        <v>3245</v>
      </c>
      <c r="G174" t="str">
        <f ca="1">PROPER(Table1[[#This Row],[Part Time 
Job]])</f>
        <v>False</v>
      </c>
      <c r="H174" s="3">
        <v>5</v>
      </c>
      <c r="I174" t="str">
        <f ca="1">PROPER(Table1[[#This Row],[Extracurricular 
Activities]])</f>
        <v>True</v>
      </c>
      <c r="J174">
        <v>31</v>
      </c>
      <c r="K174" t="s">
        <v>3123</v>
      </c>
      <c r="L174">
        <v>82</v>
      </c>
      <c r="M174" s="12" t="str" cm="1">
        <f t="array" ref="M17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74">
        <v>66</v>
      </c>
      <c r="O174" s="13" t="str" cm="1">
        <f t="array" ref="O17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74">
        <v>89</v>
      </c>
      <c r="Q174" s="13" t="str" cm="1">
        <f t="array" ref="Q17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74">
        <v>76</v>
      </c>
      <c r="S174" t="str" cm="1">
        <f t="array" ref="S17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74">
        <v>68</v>
      </c>
      <c r="U174" t="str" cm="1">
        <f t="array" ref="U17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74">
        <v>83</v>
      </c>
      <c r="W174" t="str" cm="1">
        <f t="array" ref="W17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74">
        <v>79</v>
      </c>
      <c r="Y174" t="str" cm="1">
        <f t="array" ref="Y17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74">
        <f>SUM(Table1[[#This Row],[Math 
Score]],Table1[[#This Row],[History 
Score]],Table1[[#This Row],[Physics 
Score]],Table1[[#This Row],[Chemistry 
Score]],Table1[[#This Row],[Biology 
Score]],Table1[[#This Row],[English 
Score]],Table1[[#This Row],[Geography 
Score]])</f>
        <v>543</v>
      </c>
      <c r="AA174" s="3">
        <f>AVERAGE(Table1[[#This Row],[Math 
Score]],Table1[[#This Row],[History 
Score]],Table1[[#This Row],[Physics 
Score]],Table1[[#This Row],[Chemistry 
Score]],Table1[[#This Row],[Biology 
Score]],Table1[[#This Row],[English 
Score]],Table1[[#This Row],[Geography 
Score]])</f>
        <v>77.571428571428569</v>
      </c>
      <c r="AB17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74">
        <f t="shared" si="2"/>
        <v>1464</v>
      </c>
      <c r="AD174" t="str">
        <f>_xlfn.IFS(Table1[[#This Row],[Absence 
Days]]&lt;3,"Excellent",Table1[[#This Row],[Absence 
Days]]&lt;=6,"Good",Table1[[#This Row],[Absence 
Days]]&gt;6,"Poor")</f>
        <v>Good</v>
      </c>
    </row>
    <row r="175" spans="1:30" x14ac:dyDescent="0.35">
      <c r="A175">
        <v>174</v>
      </c>
      <c r="B175" s="2" t="s">
        <v>124</v>
      </c>
      <c r="C175" t="s">
        <v>549</v>
      </c>
      <c r="D175" t="str">
        <f>_xlfn.TEXTJOIN(" ",TRUE,Table1[[#This Row],[First 
Name]:[Last 
Name]])</f>
        <v>John Bennett</v>
      </c>
      <c r="E175" t="s">
        <v>1285</v>
      </c>
      <c r="F175" t="s">
        <v>3244</v>
      </c>
      <c r="G175" t="str">
        <f ca="1">PROPER(Table1[[#This Row],[Part Time 
Job]])</f>
        <v>False</v>
      </c>
      <c r="H175" s="3">
        <v>1</v>
      </c>
      <c r="I175" t="str">
        <f ca="1">PROPER(Table1[[#This Row],[Extracurricular 
Activities]])</f>
        <v>False</v>
      </c>
      <c r="J175">
        <v>33</v>
      </c>
      <c r="K175" t="s">
        <v>3112</v>
      </c>
      <c r="L175">
        <v>100</v>
      </c>
      <c r="M175" s="12" t="str" cm="1">
        <f t="array" ref="M17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75">
        <v>96</v>
      </c>
      <c r="O175" s="13" t="str" cm="1">
        <f t="array" ref="O17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75">
        <v>75</v>
      </c>
      <c r="Q175" s="13" t="str" cm="1">
        <f t="array" ref="Q17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75">
        <v>68</v>
      </c>
      <c r="S175" t="str" cm="1">
        <f t="array" ref="S17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75">
        <v>77</v>
      </c>
      <c r="U175" t="str" cm="1">
        <f t="array" ref="U17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75">
        <v>97</v>
      </c>
      <c r="W175" t="str" cm="1">
        <f t="array" ref="W17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75">
        <v>81</v>
      </c>
      <c r="Y175" t="str" cm="1">
        <f t="array" ref="Y17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75">
        <f>SUM(Table1[[#This Row],[Math 
Score]],Table1[[#This Row],[History 
Score]],Table1[[#This Row],[Physics 
Score]],Table1[[#This Row],[Chemistry 
Score]],Table1[[#This Row],[Biology 
Score]],Table1[[#This Row],[English 
Score]],Table1[[#This Row],[Geography 
Score]])</f>
        <v>594</v>
      </c>
      <c r="AA175" s="3">
        <f>AVERAGE(Table1[[#This Row],[Math 
Score]],Table1[[#This Row],[History 
Score]],Table1[[#This Row],[Physics 
Score]],Table1[[#This Row],[Chemistry 
Score]],Table1[[#This Row],[Biology 
Score]],Table1[[#This Row],[English 
Score]],Table1[[#This Row],[Geography 
Score]])</f>
        <v>84.857142857142861</v>
      </c>
      <c r="AB17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75">
        <f t="shared" si="2"/>
        <v>479</v>
      </c>
      <c r="AD175" t="str">
        <f>_xlfn.IFS(Table1[[#This Row],[Absence 
Days]]&lt;3,"Excellent",Table1[[#This Row],[Absence 
Days]]&lt;=6,"Good",Table1[[#This Row],[Absence 
Days]]&gt;6,"Poor")</f>
        <v>Excellent</v>
      </c>
    </row>
    <row r="176" spans="1:30" x14ac:dyDescent="0.35">
      <c r="A176">
        <v>175</v>
      </c>
      <c r="B176" s="2" t="s">
        <v>99</v>
      </c>
      <c r="C176" t="s">
        <v>498</v>
      </c>
      <c r="D176" t="str">
        <f>_xlfn.TEXTJOIN(" ",TRUE,Table1[[#This Row],[First 
Name]:[Last 
Name]])</f>
        <v>Amanda Murphy</v>
      </c>
      <c r="E176" t="s">
        <v>1286</v>
      </c>
      <c r="F176" t="s">
        <v>3245</v>
      </c>
      <c r="G176" t="str">
        <f ca="1">PROPER(Table1[[#This Row],[Part Time 
Job]])</f>
        <v>False</v>
      </c>
      <c r="H176" s="3">
        <v>10</v>
      </c>
      <c r="I176" t="str">
        <f ca="1">PROPER(Table1[[#This Row],[Extracurricular 
Activities]])</f>
        <v>True</v>
      </c>
      <c r="J176">
        <v>3</v>
      </c>
      <c r="K176" t="s">
        <v>3119</v>
      </c>
      <c r="L176">
        <v>65</v>
      </c>
      <c r="M176" s="12" t="str" cm="1">
        <f t="array" ref="M176">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76">
        <v>100</v>
      </c>
      <c r="O176" s="13" t="str" cm="1">
        <f t="array" ref="O17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76">
        <v>80</v>
      </c>
      <c r="Q176" s="13" t="str" cm="1">
        <f t="array" ref="Q17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76">
        <v>83</v>
      </c>
      <c r="S176" t="str" cm="1">
        <f t="array" ref="S17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76">
        <v>57</v>
      </c>
      <c r="U176" t="str" cm="1">
        <f t="array" ref="U17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C</v>
      </c>
      <c r="V176">
        <v>81</v>
      </c>
      <c r="W176" t="str" cm="1">
        <f t="array" ref="W17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76">
        <v>81</v>
      </c>
      <c r="Y176" t="str" cm="1">
        <f t="array" ref="Y17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76">
        <f>SUM(Table1[[#This Row],[Math 
Score]],Table1[[#This Row],[History 
Score]],Table1[[#This Row],[Physics 
Score]],Table1[[#This Row],[Chemistry 
Score]],Table1[[#This Row],[Biology 
Score]],Table1[[#This Row],[English 
Score]],Table1[[#This Row],[Geography 
Score]])</f>
        <v>547</v>
      </c>
      <c r="AA176" s="3">
        <f>AVERAGE(Table1[[#This Row],[Math 
Score]],Table1[[#This Row],[History 
Score]],Table1[[#This Row],[Physics 
Score]],Table1[[#This Row],[Chemistry 
Score]],Table1[[#This Row],[Biology 
Score]],Table1[[#This Row],[English 
Score]],Table1[[#This Row],[Geography 
Score]])</f>
        <v>78.142857142857139</v>
      </c>
      <c r="AB17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76">
        <f t="shared" si="2"/>
        <v>1388</v>
      </c>
      <c r="AD176" t="str">
        <f>_xlfn.IFS(Table1[[#This Row],[Absence 
Days]]&lt;3,"Excellent",Table1[[#This Row],[Absence 
Days]]&lt;=6,"Good",Table1[[#This Row],[Absence 
Days]]&gt;6,"Poor")</f>
        <v>Poor</v>
      </c>
    </row>
    <row r="177" spans="1:30" x14ac:dyDescent="0.35">
      <c r="A177">
        <v>176</v>
      </c>
      <c r="B177" s="2" t="s">
        <v>125</v>
      </c>
      <c r="C177" t="s">
        <v>583</v>
      </c>
      <c r="D177" t="str">
        <f>_xlfn.TEXTJOIN(" ",TRUE,Table1[[#This Row],[First 
Name]:[Last 
Name]])</f>
        <v>Jeremy Barnes</v>
      </c>
      <c r="E177" t="s">
        <v>1287</v>
      </c>
      <c r="F177" t="s">
        <v>3244</v>
      </c>
      <c r="G177" t="str">
        <f ca="1">PROPER(Table1[[#This Row],[Part Time 
Job]])</f>
        <v>False</v>
      </c>
      <c r="H177" s="3">
        <v>2</v>
      </c>
      <c r="I177" t="str">
        <f ca="1">PROPER(Table1[[#This Row],[Extracurricular 
Activities]])</f>
        <v>False</v>
      </c>
      <c r="J177">
        <v>20</v>
      </c>
      <c r="K177" t="s">
        <v>3116</v>
      </c>
      <c r="L177">
        <v>68</v>
      </c>
      <c r="M177" s="12" t="str" cm="1">
        <f t="array" ref="M177">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77">
        <v>100</v>
      </c>
      <c r="O177" s="13" t="str" cm="1">
        <f t="array" ref="O17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77">
        <v>89</v>
      </c>
      <c r="Q177" s="13" t="str" cm="1">
        <f t="array" ref="Q17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77">
        <v>75</v>
      </c>
      <c r="S177" t="str" cm="1">
        <f t="array" ref="S17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77">
        <v>84</v>
      </c>
      <c r="U177" t="str" cm="1">
        <f t="array" ref="U17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77">
        <v>78</v>
      </c>
      <c r="W177" t="str" cm="1">
        <f t="array" ref="W17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77">
        <v>90</v>
      </c>
      <c r="Y177" t="str" cm="1">
        <f t="array" ref="Y17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77">
        <f>SUM(Table1[[#This Row],[Math 
Score]],Table1[[#This Row],[History 
Score]],Table1[[#This Row],[Physics 
Score]],Table1[[#This Row],[Chemistry 
Score]],Table1[[#This Row],[Biology 
Score]],Table1[[#This Row],[English 
Score]],Table1[[#This Row],[Geography 
Score]])</f>
        <v>584</v>
      </c>
      <c r="AA177" s="3">
        <f>AVERAGE(Table1[[#This Row],[Math 
Score]],Table1[[#This Row],[History 
Score]],Table1[[#This Row],[Physics 
Score]],Table1[[#This Row],[Chemistry 
Score]],Table1[[#This Row],[Biology 
Score]],Table1[[#This Row],[English 
Score]],Table1[[#This Row],[Geography 
Score]])</f>
        <v>83.428571428571431</v>
      </c>
      <c r="AB17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77">
        <f t="shared" si="2"/>
        <v>635</v>
      </c>
      <c r="AD177" t="str">
        <f>_xlfn.IFS(Table1[[#This Row],[Absence 
Days]]&lt;3,"Excellent",Table1[[#This Row],[Absence 
Days]]&lt;=6,"Good",Table1[[#This Row],[Absence 
Days]]&gt;6,"Poor")</f>
        <v>Excellent</v>
      </c>
    </row>
    <row r="178" spans="1:30" x14ac:dyDescent="0.35">
      <c r="A178">
        <v>177</v>
      </c>
      <c r="B178" s="2" t="s">
        <v>124</v>
      </c>
      <c r="C178" t="s">
        <v>527</v>
      </c>
      <c r="D178" t="str">
        <f>_xlfn.TEXTJOIN(" ",TRUE,Table1[[#This Row],[First 
Name]:[Last 
Name]])</f>
        <v>John Brown</v>
      </c>
      <c r="E178" t="s">
        <v>1288</v>
      </c>
      <c r="F178" t="s">
        <v>3244</v>
      </c>
      <c r="G178" t="str">
        <f ca="1">PROPER(Table1[[#This Row],[Part Time 
Job]])</f>
        <v>False</v>
      </c>
      <c r="H178" s="3">
        <v>3</v>
      </c>
      <c r="I178" t="str">
        <f ca="1">PROPER(Table1[[#This Row],[Extracurricular 
Activities]])</f>
        <v>False</v>
      </c>
      <c r="J178">
        <v>15</v>
      </c>
      <c r="K178" t="s">
        <v>3123</v>
      </c>
      <c r="L178">
        <v>97</v>
      </c>
      <c r="M178" s="12" t="str" cm="1">
        <f t="array" ref="M17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78">
        <v>92</v>
      </c>
      <c r="O178" s="13" t="str" cm="1">
        <f t="array" ref="O17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78">
        <v>95</v>
      </c>
      <c r="Q178" s="13" t="str" cm="1">
        <f t="array" ref="Q17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78">
        <v>75</v>
      </c>
      <c r="S178" t="str" cm="1">
        <f t="array" ref="S17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78">
        <v>95</v>
      </c>
      <c r="U178" t="str" cm="1">
        <f t="array" ref="U17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78">
        <v>90</v>
      </c>
      <c r="W178" t="str" cm="1">
        <f t="array" ref="W17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78">
        <v>83</v>
      </c>
      <c r="Y178" t="str" cm="1">
        <f t="array" ref="Y17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78">
        <f>SUM(Table1[[#This Row],[Math 
Score]],Table1[[#This Row],[History 
Score]],Table1[[#This Row],[Physics 
Score]],Table1[[#This Row],[Chemistry 
Score]],Table1[[#This Row],[Biology 
Score]],Table1[[#This Row],[English 
Score]],Table1[[#This Row],[Geography 
Score]])</f>
        <v>627</v>
      </c>
      <c r="AA178" s="3">
        <f>AVERAGE(Table1[[#This Row],[Math 
Score]],Table1[[#This Row],[History 
Score]],Table1[[#This Row],[Physics 
Score]],Table1[[#This Row],[Chemistry 
Score]],Table1[[#This Row],[Biology 
Score]],Table1[[#This Row],[English 
Score]],Table1[[#This Row],[Geography 
Score]])</f>
        <v>89.571428571428569</v>
      </c>
      <c r="AB17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78">
        <f t="shared" si="2"/>
        <v>168</v>
      </c>
      <c r="AD178" t="str">
        <f>_xlfn.IFS(Table1[[#This Row],[Absence 
Days]]&lt;3,"Excellent",Table1[[#This Row],[Absence 
Days]]&lt;=6,"Good",Table1[[#This Row],[Absence 
Days]]&gt;6,"Poor")</f>
        <v>Good</v>
      </c>
    </row>
    <row r="179" spans="1:30" x14ac:dyDescent="0.35">
      <c r="A179">
        <v>178</v>
      </c>
      <c r="B179" s="2" t="s">
        <v>126</v>
      </c>
      <c r="C179" t="s">
        <v>558</v>
      </c>
      <c r="D179" t="str">
        <f>_xlfn.TEXTJOIN(" ",TRUE,Table1[[#This Row],[First 
Name]:[Last 
Name]])</f>
        <v>Traci Boyd</v>
      </c>
      <c r="E179" t="s">
        <v>1289</v>
      </c>
      <c r="F179" t="s">
        <v>3245</v>
      </c>
      <c r="G179" t="str">
        <f ca="1">PROPER(Table1[[#This Row],[Part Time 
Job]])</f>
        <v>False</v>
      </c>
      <c r="H179" s="3">
        <v>3</v>
      </c>
      <c r="I179" t="str">
        <f ca="1">PROPER(Table1[[#This Row],[Extracurricular 
Activities]])</f>
        <v>False</v>
      </c>
      <c r="J179">
        <v>26</v>
      </c>
      <c r="K179" t="s">
        <v>3121</v>
      </c>
      <c r="L179">
        <v>76</v>
      </c>
      <c r="M179" s="12" t="str" cm="1">
        <f t="array" ref="M17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79">
        <v>94</v>
      </c>
      <c r="O179" s="13" t="str" cm="1">
        <f t="array" ref="O17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79">
        <v>77</v>
      </c>
      <c r="Q179" s="13" t="str" cm="1">
        <f t="array" ref="Q17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79">
        <v>88</v>
      </c>
      <c r="S179" t="str" cm="1">
        <f t="array" ref="S17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79">
        <v>85</v>
      </c>
      <c r="U179" t="str" cm="1">
        <f t="array" ref="U17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79">
        <v>91</v>
      </c>
      <c r="W179" t="str" cm="1">
        <f t="array" ref="W17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79">
        <v>61</v>
      </c>
      <c r="Y179" t="str" cm="1">
        <f t="array" ref="Y17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79">
        <f>SUM(Table1[[#This Row],[Math 
Score]],Table1[[#This Row],[History 
Score]],Table1[[#This Row],[Physics 
Score]],Table1[[#This Row],[Chemistry 
Score]],Table1[[#This Row],[Biology 
Score]],Table1[[#This Row],[English 
Score]],Table1[[#This Row],[Geography 
Score]])</f>
        <v>572</v>
      </c>
      <c r="AA179" s="3">
        <f>AVERAGE(Table1[[#This Row],[Math 
Score]],Table1[[#This Row],[History 
Score]],Table1[[#This Row],[Physics 
Score]],Table1[[#This Row],[Chemistry 
Score]],Table1[[#This Row],[Biology 
Score]],Table1[[#This Row],[English 
Score]],Table1[[#This Row],[Geography 
Score]])</f>
        <v>81.714285714285708</v>
      </c>
      <c r="AB17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79">
        <f t="shared" si="2"/>
        <v>890</v>
      </c>
      <c r="AD179" t="str">
        <f>_xlfn.IFS(Table1[[#This Row],[Absence 
Days]]&lt;3,"Excellent",Table1[[#This Row],[Absence 
Days]]&lt;=6,"Good",Table1[[#This Row],[Absence 
Days]]&gt;6,"Poor")</f>
        <v>Good</v>
      </c>
    </row>
    <row r="180" spans="1:30" x14ac:dyDescent="0.35">
      <c r="A180">
        <v>179</v>
      </c>
      <c r="B180" s="2" t="s">
        <v>42</v>
      </c>
      <c r="C180" t="s">
        <v>522</v>
      </c>
      <c r="D180" t="str">
        <f>_xlfn.TEXTJOIN(" ",TRUE,Table1[[#This Row],[First 
Name]:[Last 
Name]])</f>
        <v>Elizabeth Butler</v>
      </c>
      <c r="E180" t="s">
        <v>1290</v>
      </c>
      <c r="F180" t="s">
        <v>3245</v>
      </c>
      <c r="G180" t="str">
        <f ca="1">PROPER(Table1[[#This Row],[Part Time 
Job]])</f>
        <v>False</v>
      </c>
      <c r="H180" s="3">
        <v>5</v>
      </c>
      <c r="I180" t="str">
        <f ca="1">PROPER(Table1[[#This Row],[Extracurricular 
Activities]])</f>
        <v>False</v>
      </c>
      <c r="J180">
        <v>35</v>
      </c>
      <c r="K180" t="s">
        <v>3117</v>
      </c>
      <c r="L180">
        <v>91</v>
      </c>
      <c r="M180" s="12" t="str" cm="1">
        <f t="array" ref="M18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80">
        <v>99</v>
      </c>
      <c r="O180" s="13" t="str" cm="1">
        <f t="array" ref="O18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80">
        <v>94</v>
      </c>
      <c r="Q180" s="13" t="str" cm="1">
        <f t="array" ref="Q18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80">
        <v>94</v>
      </c>
      <c r="S180" t="str" cm="1">
        <f t="array" ref="S18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80">
        <v>95</v>
      </c>
      <c r="U180" t="str" cm="1">
        <f t="array" ref="U18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80">
        <v>98</v>
      </c>
      <c r="W180" t="str" cm="1">
        <f t="array" ref="W18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80">
        <v>89</v>
      </c>
      <c r="Y180" t="str" cm="1">
        <f t="array" ref="Y18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80">
        <f>SUM(Table1[[#This Row],[Math 
Score]],Table1[[#This Row],[History 
Score]],Table1[[#This Row],[Physics 
Score]],Table1[[#This Row],[Chemistry 
Score]],Table1[[#This Row],[Biology 
Score]],Table1[[#This Row],[English 
Score]],Table1[[#This Row],[Geography 
Score]])</f>
        <v>660</v>
      </c>
      <c r="AA180" s="3">
        <f>AVERAGE(Table1[[#This Row],[Math 
Score]],Table1[[#This Row],[History 
Score]],Table1[[#This Row],[Physics 
Score]],Table1[[#This Row],[Chemistry 
Score]],Table1[[#This Row],[Biology 
Score]],Table1[[#This Row],[English 
Score]],Table1[[#This Row],[Geography 
Score]])</f>
        <v>94.285714285714292</v>
      </c>
      <c r="AB18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80">
        <f t="shared" si="2"/>
        <v>17</v>
      </c>
      <c r="AD180" t="str">
        <f>_xlfn.IFS(Table1[[#This Row],[Absence 
Days]]&lt;3,"Excellent",Table1[[#This Row],[Absence 
Days]]&lt;=6,"Good",Table1[[#This Row],[Absence 
Days]]&gt;6,"Poor")</f>
        <v>Good</v>
      </c>
    </row>
    <row r="181" spans="1:30" x14ac:dyDescent="0.35">
      <c r="A181">
        <v>180</v>
      </c>
      <c r="B181" s="2" t="s">
        <v>127</v>
      </c>
      <c r="C181" t="s">
        <v>455</v>
      </c>
      <c r="D181" t="str">
        <f>_xlfn.TEXTJOIN(" ",TRUE,Table1[[#This Row],[First 
Name]:[Last 
Name]])</f>
        <v>Alex Clark</v>
      </c>
      <c r="E181" t="s">
        <v>1291</v>
      </c>
      <c r="F181" t="s">
        <v>3244</v>
      </c>
      <c r="G181" t="str">
        <f ca="1">PROPER(Table1[[#This Row],[Part Time 
Job]])</f>
        <v>False</v>
      </c>
      <c r="H181" s="3">
        <v>4</v>
      </c>
      <c r="I181" t="str">
        <f ca="1">PROPER(Table1[[#This Row],[Extracurricular 
Activities]])</f>
        <v>False</v>
      </c>
      <c r="J181">
        <v>12</v>
      </c>
      <c r="K181" t="s">
        <v>3125</v>
      </c>
      <c r="L181">
        <v>85</v>
      </c>
      <c r="M181" s="12" t="str" cm="1">
        <f t="array" ref="M18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81">
        <v>73</v>
      </c>
      <c r="O181" s="13" t="str" cm="1">
        <f t="array" ref="O18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81">
        <v>89</v>
      </c>
      <c r="Q181" s="13" t="str" cm="1">
        <f t="array" ref="Q18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81">
        <v>73</v>
      </c>
      <c r="S181" t="str" cm="1">
        <f t="array" ref="S18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81">
        <v>97</v>
      </c>
      <c r="U181" t="str" cm="1">
        <f t="array" ref="U18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81">
        <v>66</v>
      </c>
      <c r="W181" t="str" cm="1">
        <f t="array" ref="W18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81">
        <v>79</v>
      </c>
      <c r="Y181" t="str" cm="1">
        <f t="array" ref="Y18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81">
        <f>SUM(Table1[[#This Row],[Math 
Score]],Table1[[#This Row],[History 
Score]],Table1[[#This Row],[Physics 
Score]],Table1[[#This Row],[Chemistry 
Score]],Table1[[#This Row],[Biology 
Score]],Table1[[#This Row],[English 
Score]],Table1[[#This Row],[Geography 
Score]])</f>
        <v>562</v>
      </c>
      <c r="AA181" s="3">
        <f>AVERAGE(Table1[[#This Row],[Math 
Score]],Table1[[#This Row],[History 
Score]],Table1[[#This Row],[Physics 
Score]],Table1[[#This Row],[Chemistry 
Score]],Table1[[#This Row],[Biology 
Score]],Table1[[#This Row],[English 
Score]],Table1[[#This Row],[Geography 
Score]])</f>
        <v>80.285714285714292</v>
      </c>
      <c r="AB18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81">
        <f t="shared" si="2"/>
        <v>1099</v>
      </c>
      <c r="AD181" t="str">
        <f>_xlfn.IFS(Table1[[#This Row],[Absence 
Days]]&lt;3,"Excellent",Table1[[#This Row],[Absence 
Days]]&lt;=6,"Good",Table1[[#This Row],[Absence 
Days]]&gt;6,"Poor")</f>
        <v>Good</v>
      </c>
    </row>
    <row r="182" spans="1:30" x14ac:dyDescent="0.35">
      <c r="A182">
        <v>181</v>
      </c>
      <c r="B182" s="2" t="s">
        <v>36</v>
      </c>
      <c r="C182" t="s">
        <v>584</v>
      </c>
      <c r="D182" t="str">
        <f>_xlfn.TEXTJOIN(" ",TRUE,Table1[[#This Row],[First 
Name]:[Last 
Name]])</f>
        <v>Christopher Wolfe</v>
      </c>
      <c r="E182" t="s">
        <v>1292</v>
      </c>
      <c r="F182" t="s">
        <v>3244</v>
      </c>
      <c r="G182" t="str">
        <f ca="1">PROPER(Table1[[#This Row],[Part Time 
Job]])</f>
        <v>False</v>
      </c>
      <c r="H182" s="3">
        <v>2</v>
      </c>
      <c r="I182" t="str">
        <f ca="1">PROPER(Table1[[#This Row],[Extracurricular 
Activities]])</f>
        <v>True</v>
      </c>
      <c r="J182">
        <v>5</v>
      </c>
      <c r="K182" t="s">
        <v>3116</v>
      </c>
      <c r="L182">
        <v>68</v>
      </c>
      <c r="M182" s="12" t="str" cm="1">
        <f t="array" ref="M182">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82">
        <v>69</v>
      </c>
      <c r="O182" s="13" t="str" cm="1">
        <f t="array" ref="O18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82">
        <v>86</v>
      </c>
      <c r="Q182" s="13" t="str" cm="1">
        <f t="array" ref="Q18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82">
        <v>87</v>
      </c>
      <c r="S182" t="str" cm="1">
        <f t="array" ref="S18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82">
        <v>72</v>
      </c>
      <c r="U182" t="str" cm="1">
        <f t="array" ref="U18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82">
        <v>80</v>
      </c>
      <c r="W182" t="str" cm="1">
        <f t="array" ref="W18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82">
        <v>93</v>
      </c>
      <c r="Y182" t="str" cm="1">
        <f t="array" ref="Y18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82">
        <f>SUM(Table1[[#This Row],[Math 
Score]],Table1[[#This Row],[History 
Score]],Table1[[#This Row],[Physics 
Score]],Table1[[#This Row],[Chemistry 
Score]],Table1[[#This Row],[Biology 
Score]],Table1[[#This Row],[English 
Score]],Table1[[#This Row],[Geography 
Score]])</f>
        <v>555</v>
      </c>
      <c r="AA182" s="3">
        <f>AVERAGE(Table1[[#This Row],[Math 
Score]],Table1[[#This Row],[History 
Score]],Table1[[#This Row],[Physics 
Score]],Table1[[#This Row],[Chemistry 
Score]],Table1[[#This Row],[Biology 
Score]],Table1[[#This Row],[English 
Score]],Table1[[#This Row],[Geography 
Score]])</f>
        <v>79.285714285714292</v>
      </c>
      <c r="AB18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82">
        <f t="shared" si="2"/>
        <v>1245</v>
      </c>
      <c r="AD182" t="str">
        <f>_xlfn.IFS(Table1[[#This Row],[Absence 
Days]]&lt;3,"Excellent",Table1[[#This Row],[Absence 
Days]]&lt;=6,"Good",Table1[[#This Row],[Absence 
Days]]&gt;6,"Poor")</f>
        <v>Excellent</v>
      </c>
    </row>
    <row r="183" spans="1:30" x14ac:dyDescent="0.35">
      <c r="A183">
        <v>182</v>
      </c>
      <c r="B183" s="2" t="s">
        <v>24</v>
      </c>
      <c r="C183" t="s">
        <v>546</v>
      </c>
      <c r="D183" t="str">
        <f>_xlfn.TEXTJOIN(" ",TRUE,Table1[[#This Row],[First 
Name]:[Last 
Name]])</f>
        <v>Jason Bell</v>
      </c>
      <c r="E183" t="s">
        <v>1293</v>
      </c>
      <c r="F183" t="s">
        <v>3244</v>
      </c>
      <c r="G183" t="str">
        <f ca="1">PROPER(Table1[[#This Row],[Part Time 
Job]])</f>
        <v>False</v>
      </c>
      <c r="H183" s="3">
        <v>1</v>
      </c>
      <c r="I183" t="str">
        <f ca="1">PROPER(Table1[[#This Row],[Extracurricular 
Activities]])</f>
        <v>False</v>
      </c>
      <c r="J183">
        <v>31</v>
      </c>
      <c r="K183" t="s">
        <v>3112</v>
      </c>
      <c r="L183">
        <v>73</v>
      </c>
      <c r="M183" s="12" t="str" cm="1">
        <f t="array" ref="M183">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83">
        <v>99</v>
      </c>
      <c r="O183" s="13" t="str" cm="1">
        <f t="array" ref="O18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83">
        <v>75</v>
      </c>
      <c r="Q183" s="13" t="str" cm="1">
        <f t="array" ref="Q18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83">
        <v>70</v>
      </c>
      <c r="S183" t="str" cm="1">
        <f t="array" ref="S18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83">
        <v>100</v>
      </c>
      <c r="U183" t="str" cm="1">
        <f t="array" ref="U18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83">
        <v>86</v>
      </c>
      <c r="W183" t="str" cm="1">
        <f t="array" ref="W18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83">
        <v>62</v>
      </c>
      <c r="Y183" t="str" cm="1">
        <f t="array" ref="Y18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83">
        <f>SUM(Table1[[#This Row],[Math 
Score]],Table1[[#This Row],[History 
Score]],Table1[[#This Row],[Physics 
Score]],Table1[[#This Row],[Chemistry 
Score]],Table1[[#This Row],[Biology 
Score]],Table1[[#This Row],[English 
Score]],Table1[[#This Row],[Geography 
Score]])</f>
        <v>565</v>
      </c>
      <c r="AA183" s="3">
        <f>AVERAGE(Table1[[#This Row],[Math 
Score]],Table1[[#This Row],[History 
Score]],Table1[[#This Row],[Physics 
Score]],Table1[[#This Row],[Chemistry 
Score]],Table1[[#This Row],[Biology 
Score]],Table1[[#This Row],[English 
Score]],Table1[[#This Row],[Geography 
Score]])</f>
        <v>80.714285714285708</v>
      </c>
      <c r="AB18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83">
        <f t="shared" si="2"/>
        <v>1035</v>
      </c>
      <c r="AD183" t="str">
        <f>_xlfn.IFS(Table1[[#This Row],[Absence 
Days]]&lt;3,"Excellent",Table1[[#This Row],[Absence 
Days]]&lt;=6,"Good",Table1[[#This Row],[Absence 
Days]]&gt;6,"Poor")</f>
        <v>Excellent</v>
      </c>
    </row>
    <row r="184" spans="1:30" x14ac:dyDescent="0.35">
      <c r="A184">
        <v>183</v>
      </c>
      <c r="B184" s="2" t="s">
        <v>78</v>
      </c>
      <c r="C184" t="s">
        <v>585</v>
      </c>
      <c r="D184" t="str">
        <f>_xlfn.TEXTJOIN(" ",TRUE,Table1[[#This Row],[First 
Name]:[Last 
Name]])</f>
        <v>Victoria Donaldson</v>
      </c>
      <c r="E184" t="s">
        <v>1294</v>
      </c>
      <c r="F184" t="s">
        <v>3245</v>
      </c>
      <c r="G184" t="str">
        <f ca="1">PROPER(Table1[[#This Row],[Part Time 
Job]])</f>
        <v>False</v>
      </c>
      <c r="H184" s="3">
        <v>3</v>
      </c>
      <c r="I184" t="str">
        <f ca="1">PROPER(Table1[[#This Row],[Extracurricular 
Activities]])</f>
        <v>True</v>
      </c>
      <c r="J184">
        <v>28</v>
      </c>
      <c r="K184" t="s">
        <v>3116</v>
      </c>
      <c r="L184">
        <v>65</v>
      </c>
      <c r="M184" s="12" t="str" cm="1">
        <f t="array" ref="M184">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84">
        <v>90</v>
      </c>
      <c r="O184" s="13" t="str" cm="1">
        <f t="array" ref="O18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84">
        <v>75</v>
      </c>
      <c r="Q184" s="13" t="str" cm="1">
        <f t="array" ref="Q18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84">
        <v>96</v>
      </c>
      <c r="S184" t="str" cm="1">
        <f t="array" ref="S18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84">
        <v>91</v>
      </c>
      <c r="U184" t="str" cm="1">
        <f t="array" ref="U18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84">
        <v>93</v>
      </c>
      <c r="W184" t="str" cm="1">
        <f t="array" ref="W18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84">
        <v>85</v>
      </c>
      <c r="Y184" t="str" cm="1">
        <f t="array" ref="Y18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84">
        <f>SUM(Table1[[#This Row],[Math 
Score]],Table1[[#This Row],[History 
Score]],Table1[[#This Row],[Physics 
Score]],Table1[[#This Row],[Chemistry 
Score]],Table1[[#This Row],[Biology 
Score]],Table1[[#This Row],[English 
Score]],Table1[[#This Row],[Geography 
Score]])</f>
        <v>595</v>
      </c>
      <c r="AA184" s="3">
        <f>AVERAGE(Table1[[#This Row],[Math 
Score]],Table1[[#This Row],[History 
Score]],Table1[[#This Row],[Physics 
Score]],Table1[[#This Row],[Chemistry 
Score]],Table1[[#This Row],[Biology 
Score]],Table1[[#This Row],[English 
Score]],Table1[[#This Row],[Geography 
Score]])</f>
        <v>85</v>
      </c>
      <c r="AB18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84">
        <f t="shared" si="2"/>
        <v>465</v>
      </c>
      <c r="AD184" t="str">
        <f>_xlfn.IFS(Table1[[#This Row],[Absence 
Days]]&lt;3,"Excellent",Table1[[#This Row],[Absence 
Days]]&lt;=6,"Good",Table1[[#This Row],[Absence 
Days]]&gt;6,"Poor")</f>
        <v>Good</v>
      </c>
    </row>
    <row r="185" spans="1:30" x14ac:dyDescent="0.35">
      <c r="A185">
        <v>184</v>
      </c>
      <c r="B185" s="2" t="s">
        <v>128</v>
      </c>
      <c r="C185" t="s">
        <v>586</v>
      </c>
      <c r="D185" t="str">
        <f>_xlfn.TEXTJOIN(" ",TRUE,Table1[[#This Row],[First 
Name]:[Last 
Name]])</f>
        <v>Logan Cox</v>
      </c>
      <c r="E185" t="s">
        <v>1295</v>
      </c>
      <c r="F185" t="s">
        <v>3244</v>
      </c>
      <c r="G185" t="str">
        <f ca="1">PROPER(Table1[[#This Row],[Part Time 
Job]])</f>
        <v>False</v>
      </c>
      <c r="H185" s="3">
        <v>8</v>
      </c>
      <c r="I185" t="str">
        <f ca="1">PROPER(Table1[[#This Row],[Extracurricular 
Activities]])</f>
        <v>True</v>
      </c>
      <c r="J185">
        <v>5</v>
      </c>
      <c r="K185" t="s">
        <v>3119</v>
      </c>
      <c r="L185">
        <v>46</v>
      </c>
      <c r="M185" s="12" t="str" cm="1">
        <f t="array" ref="M185">_xlfn.IFS(Table1[[#This Row],[Math 
Score]]&gt;=90,"A+",Table1[[#This Row],[Math 
Score]]&gt;=80,"A", Table1[[#This Row],[Math 
Score]]&gt;=75,"A-",Table1[[#This Row],[Math 
Score]]&gt;=70,"B+",Table1[[#This Row],[Math 
Score]]&gt;=65,"B",Table1[[#This Row],[Math 
Score]]&gt;=60,"B-",Table1[[#This Row],[Math 
Score]]&gt;=50,"C",Table1[[#This Row],[Math 
Score]]&gt;=40,"D",Table1[[#This Row],[Math 
Score]]&lt;40,"F")</f>
        <v>D</v>
      </c>
      <c r="N185">
        <v>79</v>
      </c>
      <c r="O185" s="13" t="str" cm="1">
        <f t="array" ref="O18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85">
        <v>75</v>
      </c>
      <c r="Q185" s="13" t="str" cm="1">
        <f t="array" ref="Q18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85">
        <v>86</v>
      </c>
      <c r="S185" t="str" cm="1">
        <f t="array" ref="S18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85">
        <v>91</v>
      </c>
      <c r="U185" t="str" cm="1">
        <f t="array" ref="U18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85">
        <v>88</v>
      </c>
      <c r="W185" t="str" cm="1">
        <f t="array" ref="W18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85">
        <v>77</v>
      </c>
      <c r="Y185" t="str" cm="1">
        <f t="array" ref="Y18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85">
        <f>SUM(Table1[[#This Row],[Math 
Score]],Table1[[#This Row],[History 
Score]],Table1[[#This Row],[Physics 
Score]],Table1[[#This Row],[Chemistry 
Score]],Table1[[#This Row],[Biology 
Score]],Table1[[#This Row],[English 
Score]],Table1[[#This Row],[Geography 
Score]])</f>
        <v>542</v>
      </c>
      <c r="AA185" s="3">
        <f>AVERAGE(Table1[[#This Row],[Math 
Score]],Table1[[#This Row],[History 
Score]],Table1[[#This Row],[Physics 
Score]],Table1[[#This Row],[Chemistry 
Score]],Table1[[#This Row],[Biology 
Score]],Table1[[#This Row],[English 
Score]],Table1[[#This Row],[Geography 
Score]])</f>
        <v>77.428571428571431</v>
      </c>
      <c r="AB18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85">
        <f t="shared" si="2"/>
        <v>1478</v>
      </c>
      <c r="AD185" t="str">
        <f>_xlfn.IFS(Table1[[#This Row],[Absence 
Days]]&lt;3,"Excellent",Table1[[#This Row],[Absence 
Days]]&lt;=6,"Good",Table1[[#This Row],[Absence 
Days]]&gt;6,"Poor")</f>
        <v>Poor</v>
      </c>
    </row>
    <row r="186" spans="1:30" x14ac:dyDescent="0.35">
      <c r="A186">
        <v>185</v>
      </c>
      <c r="B186" s="2" t="s">
        <v>129</v>
      </c>
      <c r="C186" t="s">
        <v>478</v>
      </c>
      <c r="D186" t="str">
        <f>_xlfn.TEXTJOIN(" ",TRUE,Table1[[#This Row],[First 
Name]:[Last 
Name]])</f>
        <v>Rachel Hill</v>
      </c>
      <c r="E186" t="s">
        <v>1296</v>
      </c>
      <c r="F186" t="s">
        <v>3245</v>
      </c>
      <c r="G186" t="str">
        <f ca="1">PROPER(Table1[[#This Row],[Part Time 
Job]])</f>
        <v>False</v>
      </c>
      <c r="H186" s="3">
        <v>1</v>
      </c>
      <c r="I186" t="str">
        <f ca="1">PROPER(Table1[[#This Row],[Extracurricular 
Activities]])</f>
        <v>False</v>
      </c>
      <c r="J186">
        <v>33</v>
      </c>
      <c r="K186" t="s">
        <v>3117</v>
      </c>
      <c r="L186">
        <v>92</v>
      </c>
      <c r="M186" s="12" t="str" cm="1">
        <f t="array" ref="M18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86">
        <v>84</v>
      </c>
      <c r="O186" s="13" t="str" cm="1">
        <f t="array" ref="O18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86">
        <v>85</v>
      </c>
      <c r="Q186" s="13" t="str" cm="1">
        <f t="array" ref="Q18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86">
        <v>77</v>
      </c>
      <c r="S186" t="str" cm="1">
        <f t="array" ref="S18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86">
        <v>81</v>
      </c>
      <c r="U186" t="str" cm="1">
        <f t="array" ref="U18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86">
        <v>69</v>
      </c>
      <c r="W186" t="str" cm="1">
        <f t="array" ref="W18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86">
        <v>95</v>
      </c>
      <c r="Y186" t="str" cm="1">
        <f t="array" ref="Y18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86">
        <f>SUM(Table1[[#This Row],[Math 
Score]],Table1[[#This Row],[History 
Score]],Table1[[#This Row],[Physics 
Score]],Table1[[#This Row],[Chemistry 
Score]],Table1[[#This Row],[Biology 
Score]],Table1[[#This Row],[English 
Score]],Table1[[#This Row],[Geography 
Score]])</f>
        <v>583</v>
      </c>
      <c r="AA186" s="3">
        <f>AVERAGE(Table1[[#This Row],[Math 
Score]],Table1[[#This Row],[History 
Score]],Table1[[#This Row],[Physics 
Score]],Table1[[#This Row],[Chemistry 
Score]],Table1[[#This Row],[Biology 
Score]],Table1[[#This Row],[English 
Score]],Table1[[#This Row],[Geography 
Score]])</f>
        <v>83.285714285714292</v>
      </c>
      <c r="AB18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86">
        <f t="shared" si="2"/>
        <v>655</v>
      </c>
      <c r="AD186" t="str">
        <f>_xlfn.IFS(Table1[[#This Row],[Absence 
Days]]&lt;3,"Excellent",Table1[[#This Row],[Absence 
Days]]&lt;=6,"Good",Table1[[#This Row],[Absence 
Days]]&gt;6,"Poor")</f>
        <v>Excellent</v>
      </c>
    </row>
    <row r="187" spans="1:30" x14ac:dyDescent="0.35">
      <c r="A187">
        <v>186</v>
      </c>
      <c r="B187" s="2" t="s">
        <v>130</v>
      </c>
      <c r="C187" t="s">
        <v>587</v>
      </c>
      <c r="D187" t="str">
        <f>_xlfn.TEXTJOIN(" ",TRUE,Table1[[#This Row],[First 
Name]:[Last 
Name]])</f>
        <v>Jenny Lloyd</v>
      </c>
      <c r="E187" t="s">
        <v>1297</v>
      </c>
      <c r="F187" t="s">
        <v>3245</v>
      </c>
      <c r="G187" t="str">
        <f ca="1">PROPER(Table1[[#This Row],[Part Time 
Job]])</f>
        <v>False</v>
      </c>
      <c r="H187" s="3">
        <v>3</v>
      </c>
      <c r="I187" t="str">
        <f ca="1">PROPER(Table1[[#This Row],[Extracurricular 
Activities]])</f>
        <v>False</v>
      </c>
      <c r="J187">
        <v>2</v>
      </c>
      <c r="K187" t="s">
        <v>3115</v>
      </c>
      <c r="L187">
        <v>69</v>
      </c>
      <c r="M187" s="12" t="str" cm="1">
        <f t="array" ref="M187">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87">
        <v>78</v>
      </c>
      <c r="O187" s="13" t="str" cm="1">
        <f t="array" ref="O18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87">
        <v>69</v>
      </c>
      <c r="Q187" s="13" t="str" cm="1">
        <f t="array" ref="Q18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87">
        <v>70</v>
      </c>
      <c r="S187" t="str" cm="1">
        <f t="array" ref="S18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87">
        <v>100</v>
      </c>
      <c r="U187" t="str" cm="1">
        <f t="array" ref="U18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87">
        <v>88</v>
      </c>
      <c r="W187" t="str" cm="1">
        <f t="array" ref="W18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87">
        <v>85</v>
      </c>
      <c r="Y187" t="str" cm="1">
        <f t="array" ref="Y18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87">
        <f>SUM(Table1[[#This Row],[Math 
Score]],Table1[[#This Row],[History 
Score]],Table1[[#This Row],[Physics 
Score]],Table1[[#This Row],[Chemistry 
Score]],Table1[[#This Row],[Biology 
Score]],Table1[[#This Row],[English 
Score]],Table1[[#This Row],[Geography 
Score]])</f>
        <v>559</v>
      </c>
      <c r="AA187" s="3">
        <f>AVERAGE(Table1[[#This Row],[Math 
Score]],Table1[[#This Row],[History 
Score]],Table1[[#This Row],[Physics 
Score]],Table1[[#This Row],[Chemistry 
Score]],Table1[[#This Row],[Biology 
Score]],Table1[[#This Row],[English 
Score]],Table1[[#This Row],[Geography 
Score]])</f>
        <v>79.857142857142861</v>
      </c>
      <c r="AB18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87">
        <f t="shared" si="2"/>
        <v>1155</v>
      </c>
      <c r="AD187" t="str">
        <f>_xlfn.IFS(Table1[[#This Row],[Absence 
Days]]&lt;3,"Excellent",Table1[[#This Row],[Absence 
Days]]&lt;=6,"Good",Table1[[#This Row],[Absence 
Days]]&gt;6,"Poor")</f>
        <v>Good</v>
      </c>
    </row>
    <row r="188" spans="1:30" x14ac:dyDescent="0.35">
      <c r="A188">
        <v>187</v>
      </c>
      <c r="B188" s="2" t="s">
        <v>131</v>
      </c>
      <c r="C188" t="s">
        <v>588</v>
      </c>
      <c r="D188" t="str">
        <f>_xlfn.TEXTJOIN(" ",TRUE,Table1[[#This Row],[First 
Name]:[Last 
Name]])</f>
        <v>Joan Cohen</v>
      </c>
      <c r="E188" t="s">
        <v>1298</v>
      </c>
      <c r="F188" t="s">
        <v>3245</v>
      </c>
      <c r="G188" t="str">
        <f ca="1">PROPER(Table1[[#This Row],[Part Time 
Job]])</f>
        <v>False</v>
      </c>
      <c r="H188" s="3">
        <v>5</v>
      </c>
      <c r="I188" t="str">
        <f ca="1">PROPER(Table1[[#This Row],[Extracurricular 
Activities]])</f>
        <v>True</v>
      </c>
      <c r="J188">
        <v>9</v>
      </c>
      <c r="K188" t="s">
        <v>3128</v>
      </c>
      <c r="L188">
        <v>78</v>
      </c>
      <c r="M188" s="12" t="str" cm="1">
        <f t="array" ref="M18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88">
        <v>99</v>
      </c>
      <c r="O188" s="13" t="str" cm="1">
        <f t="array" ref="O18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88">
        <v>64</v>
      </c>
      <c r="Q188" s="13" t="str" cm="1">
        <f t="array" ref="Q18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88">
        <v>99</v>
      </c>
      <c r="S188" t="str" cm="1">
        <f t="array" ref="S18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88">
        <v>65</v>
      </c>
      <c r="U188" t="str" cm="1">
        <f t="array" ref="U18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88">
        <v>84</v>
      </c>
      <c r="W188" t="str" cm="1">
        <f t="array" ref="W18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88">
        <v>80</v>
      </c>
      <c r="Y188" t="str" cm="1">
        <f t="array" ref="Y18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88">
        <f>SUM(Table1[[#This Row],[Math 
Score]],Table1[[#This Row],[History 
Score]],Table1[[#This Row],[Physics 
Score]],Table1[[#This Row],[Chemistry 
Score]],Table1[[#This Row],[Biology 
Score]],Table1[[#This Row],[English 
Score]],Table1[[#This Row],[Geography 
Score]])</f>
        <v>569</v>
      </c>
      <c r="AA188" s="3">
        <f>AVERAGE(Table1[[#This Row],[Math 
Score]],Table1[[#This Row],[History 
Score]],Table1[[#This Row],[Physics 
Score]],Table1[[#This Row],[Chemistry 
Score]],Table1[[#This Row],[Biology 
Score]],Table1[[#This Row],[English 
Score]],Table1[[#This Row],[Geography 
Score]])</f>
        <v>81.285714285714292</v>
      </c>
      <c r="AB18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88">
        <f t="shared" si="2"/>
        <v>957</v>
      </c>
      <c r="AD188" t="str">
        <f>_xlfn.IFS(Table1[[#This Row],[Absence 
Days]]&lt;3,"Excellent",Table1[[#This Row],[Absence 
Days]]&lt;=6,"Good",Table1[[#This Row],[Absence 
Days]]&gt;6,"Poor")</f>
        <v>Good</v>
      </c>
    </row>
    <row r="189" spans="1:30" x14ac:dyDescent="0.35">
      <c r="A189">
        <v>188</v>
      </c>
      <c r="B189" s="2" t="s">
        <v>44</v>
      </c>
      <c r="C189" t="s">
        <v>589</v>
      </c>
      <c r="D189" t="str">
        <f>_xlfn.TEXTJOIN(" ",TRUE,Table1[[#This Row],[First 
Name]:[Last 
Name]])</f>
        <v>Kimberly Lopez</v>
      </c>
      <c r="E189" t="s">
        <v>1299</v>
      </c>
      <c r="F189" t="s">
        <v>3245</v>
      </c>
      <c r="G189" t="str">
        <f ca="1">PROPER(Table1[[#This Row],[Part Time 
Job]])</f>
        <v>True</v>
      </c>
      <c r="H189" s="3">
        <v>2</v>
      </c>
      <c r="I189" t="str">
        <f ca="1">PROPER(Table1[[#This Row],[Extracurricular 
Activities]])</f>
        <v>True</v>
      </c>
      <c r="J189">
        <v>0</v>
      </c>
      <c r="K189" t="s">
        <v>3119</v>
      </c>
      <c r="L189">
        <v>92</v>
      </c>
      <c r="M189" s="12" t="str" cm="1">
        <f t="array" ref="M18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89">
        <v>62</v>
      </c>
      <c r="O189" s="13" t="str" cm="1">
        <f t="array" ref="O18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89">
        <v>86</v>
      </c>
      <c r="Q189" s="13" t="str" cm="1">
        <f t="array" ref="Q18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89">
        <v>97</v>
      </c>
      <c r="S189" t="str" cm="1">
        <f t="array" ref="S18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89">
        <v>54</v>
      </c>
      <c r="U189" t="str" cm="1">
        <f t="array" ref="U18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C</v>
      </c>
      <c r="V189">
        <v>76</v>
      </c>
      <c r="W189" t="str" cm="1">
        <f t="array" ref="W18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89">
        <v>76</v>
      </c>
      <c r="Y189" t="str" cm="1">
        <f t="array" ref="Y18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89">
        <f>SUM(Table1[[#This Row],[Math 
Score]],Table1[[#This Row],[History 
Score]],Table1[[#This Row],[Physics 
Score]],Table1[[#This Row],[Chemistry 
Score]],Table1[[#This Row],[Biology 
Score]],Table1[[#This Row],[English 
Score]],Table1[[#This Row],[Geography 
Score]])</f>
        <v>543</v>
      </c>
      <c r="AA189" s="3">
        <f>AVERAGE(Table1[[#This Row],[Math 
Score]],Table1[[#This Row],[History 
Score]],Table1[[#This Row],[Physics 
Score]],Table1[[#This Row],[Chemistry 
Score]],Table1[[#This Row],[Biology 
Score]],Table1[[#This Row],[English 
Score]],Table1[[#This Row],[Geography 
Score]])</f>
        <v>77.571428571428569</v>
      </c>
      <c r="AB18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89">
        <f t="shared" si="2"/>
        <v>1464</v>
      </c>
      <c r="AD189" t="str">
        <f>_xlfn.IFS(Table1[[#This Row],[Absence 
Days]]&lt;3,"Excellent",Table1[[#This Row],[Absence 
Days]]&lt;=6,"Good",Table1[[#This Row],[Absence 
Days]]&gt;6,"Poor")</f>
        <v>Excellent</v>
      </c>
    </row>
    <row r="190" spans="1:30" x14ac:dyDescent="0.35">
      <c r="A190">
        <v>189</v>
      </c>
      <c r="B190" s="2" t="s">
        <v>60</v>
      </c>
      <c r="C190" t="s">
        <v>548</v>
      </c>
      <c r="D190" t="str">
        <f>_xlfn.TEXTJOIN(" ",TRUE,Table1[[#This Row],[First 
Name]:[Last 
Name]])</f>
        <v>Steven Walker</v>
      </c>
      <c r="E190" t="s">
        <v>1300</v>
      </c>
      <c r="F190" t="s">
        <v>3244</v>
      </c>
      <c r="G190" t="str">
        <f ca="1">PROPER(Table1[[#This Row],[Part Time 
Job]])</f>
        <v>False</v>
      </c>
      <c r="H190" s="3">
        <v>5</v>
      </c>
      <c r="I190" t="str">
        <f ca="1">PROPER(Table1[[#This Row],[Extracurricular 
Activities]])</f>
        <v>False</v>
      </c>
      <c r="J190">
        <v>26</v>
      </c>
      <c r="K190" t="s">
        <v>3116</v>
      </c>
      <c r="L190">
        <v>70</v>
      </c>
      <c r="M190" s="12" t="str" cm="1">
        <f t="array" ref="M190">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90">
        <v>77</v>
      </c>
      <c r="O190" s="13" t="str" cm="1">
        <f t="array" ref="O19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90">
        <v>91</v>
      </c>
      <c r="Q190" s="13" t="str" cm="1">
        <f t="array" ref="Q19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90">
        <v>96</v>
      </c>
      <c r="S190" t="str" cm="1">
        <f t="array" ref="S19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90">
        <v>100</v>
      </c>
      <c r="U190" t="str" cm="1">
        <f t="array" ref="U19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90">
        <v>89</v>
      </c>
      <c r="W190" t="str" cm="1">
        <f t="array" ref="W19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90">
        <v>67</v>
      </c>
      <c r="Y190" t="str" cm="1">
        <f t="array" ref="Y19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90">
        <f>SUM(Table1[[#This Row],[Math 
Score]],Table1[[#This Row],[History 
Score]],Table1[[#This Row],[Physics 
Score]],Table1[[#This Row],[Chemistry 
Score]],Table1[[#This Row],[Biology 
Score]],Table1[[#This Row],[English 
Score]],Table1[[#This Row],[Geography 
Score]])</f>
        <v>590</v>
      </c>
      <c r="AA190" s="3">
        <f>AVERAGE(Table1[[#This Row],[Math 
Score]],Table1[[#This Row],[History 
Score]],Table1[[#This Row],[Physics 
Score]],Table1[[#This Row],[Chemistry 
Score]],Table1[[#This Row],[Biology 
Score]],Table1[[#This Row],[English 
Score]],Table1[[#This Row],[Geography 
Score]])</f>
        <v>84.285714285714292</v>
      </c>
      <c r="AB19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90">
        <f t="shared" si="2"/>
        <v>531</v>
      </c>
      <c r="AD190" t="str">
        <f>_xlfn.IFS(Table1[[#This Row],[Absence 
Days]]&lt;3,"Excellent",Table1[[#This Row],[Absence 
Days]]&lt;=6,"Good",Table1[[#This Row],[Absence 
Days]]&gt;6,"Poor")</f>
        <v>Good</v>
      </c>
    </row>
    <row r="191" spans="1:30" x14ac:dyDescent="0.35">
      <c r="A191">
        <v>190</v>
      </c>
      <c r="B191" s="2" t="s">
        <v>45</v>
      </c>
      <c r="C191" t="s">
        <v>590</v>
      </c>
      <c r="D191" t="str">
        <f>_xlfn.TEXTJOIN(" ",TRUE,Table1[[#This Row],[First 
Name]:[Last 
Name]])</f>
        <v>Sonia Bowers</v>
      </c>
      <c r="E191" t="s">
        <v>1301</v>
      </c>
      <c r="F191" t="s">
        <v>3245</v>
      </c>
      <c r="G191" t="str">
        <f ca="1">PROPER(Table1[[#This Row],[Part Time 
Job]])</f>
        <v>False</v>
      </c>
      <c r="H191" s="3">
        <v>5</v>
      </c>
      <c r="I191" t="str">
        <f ca="1">PROPER(Table1[[#This Row],[Extracurricular 
Activities]])</f>
        <v>False</v>
      </c>
      <c r="J191">
        <v>30</v>
      </c>
      <c r="K191" t="s">
        <v>3120</v>
      </c>
      <c r="L191">
        <v>95</v>
      </c>
      <c r="M191" s="12" t="str" cm="1">
        <f t="array" ref="M19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91">
        <v>79</v>
      </c>
      <c r="O191" s="13" t="str" cm="1">
        <f t="array" ref="O19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91">
        <v>98</v>
      </c>
      <c r="Q191" s="13" t="str" cm="1">
        <f t="array" ref="Q19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91">
        <v>95</v>
      </c>
      <c r="S191" t="str" cm="1">
        <f t="array" ref="S19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91">
        <v>89</v>
      </c>
      <c r="U191" t="str" cm="1">
        <f t="array" ref="U19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91">
        <v>99</v>
      </c>
      <c r="W191" t="str" cm="1">
        <f t="array" ref="W19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91">
        <v>87</v>
      </c>
      <c r="Y191" t="str" cm="1">
        <f t="array" ref="Y19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91">
        <f>SUM(Table1[[#This Row],[Math 
Score]],Table1[[#This Row],[History 
Score]],Table1[[#This Row],[Physics 
Score]],Table1[[#This Row],[Chemistry 
Score]],Table1[[#This Row],[Biology 
Score]],Table1[[#This Row],[English 
Score]],Table1[[#This Row],[Geography 
Score]])</f>
        <v>642</v>
      </c>
      <c r="AA191" s="3">
        <f>AVERAGE(Table1[[#This Row],[Math 
Score]],Table1[[#This Row],[History 
Score]],Table1[[#This Row],[Physics 
Score]],Table1[[#This Row],[Chemistry 
Score]],Table1[[#This Row],[Biology 
Score]],Table1[[#This Row],[English 
Score]],Table1[[#This Row],[Geography 
Score]])</f>
        <v>91.714285714285708</v>
      </c>
      <c r="AB19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91">
        <f t="shared" si="2"/>
        <v>90</v>
      </c>
      <c r="AD191" t="str">
        <f>_xlfn.IFS(Table1[[#This Row],[Absence 
Days]]&lt;3,"Excellent",Table1[[#This Row],[Absence 
Days]]&lt;=6,"Good",Table1[[#This Row],[Absence 
Days]]&gt;6,"Poor")</f>
        <v>Good</v>
      </c>
    </row>
    <row r="192" spans="1:30" x14ac:dyDescent="0.35">
      <c r="A192">
        <v>191</v>
      </c>
      <c r="B192" s="2" t="s">
        <v>132</v>
      </c>
      <c r="C192" t="s">
        <v>510</v>
      </c>
      <c r="D192" t="str">
        <f>_xlfn.TEXTJOIN(" ",TRUE,Table1[[#This Row],[First 
Name]:[Last 
Name]])</f>
        <v>Penny Perez</v>
      </c>
      <c r="E192" t="s">
        <v>1302</v>
      </c>
      <c r="F192" t="s">
        <v>3245</v>
      </c>
      <c r="G192" t="str">
        <f ca="1">PROPER(Table1[[#This Row],[Part Time 
Job]])</f>
        <v>False</v>
      </c>
      <c r="H192" s="3">
        <v>7</v>
      </c>
      <c r="I192" t="str">
        <f ca="1">PROPER(Table1[[#This Row],[Extracurricular 
Activities]])</f>
        <v>False</v>
      </c>
      <c r="J192">
        <v>1</v>
      </c>
      <c r="K192" t="s">
        <v>3126</v>
      </c>
      <c r="L192">
        <v>99</v>
      </c>
      <c r="M192" s="12" t="str" cm="1">
        <f t="array" ref="M19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92">
        <v>82</v>
      </c>
      <c r="O192" s="13" t="str" cm="1">
        <f t="array" ref="O19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92">
        <v>93</v>
      </c>
      <c r="Q192" s="13" t="str" cm="1">
        <f t="array" ref="Q19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92">
        <v>83</v>
      </c>
      <c r="S192" t="str" cm="1">
        <f t="array" ref="S19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92">
        <v>92</v>
      </c>
      <c r="U192" t="str" cm="1">
        <f t="array" ref="U19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92">
        <v>90</v>
      </c>
      <c r="W192" t="str" cm="1">
        <f t="array" ref="W19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92">
        <v>60</v>
      </c>
      <c r="Y192" t="str" cm="1">
        <f t="array" ref="Y19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92">
        <f>SUM(Table1[[#This Row],[Math 
Score]],Table1[[#This Row],[History 
Score]],Table1[[#This Row],[Physics 
Score]],Table1[[#This Row],[Chemistry 
Score]],Table1[[#This Row],[Biology 
Score]],Table1[[#This Row],[English 
Score]],Table1[[#This Row],[Geography 
Score]])</f>
        <v>599</v>
      </c>
      <c r="AA192" s="3">
        <f>AVERAGE(Table1[[#This Row],[Math 
Score]],Table1[[#This Row],[History 
Score]],Table1[[#This Row],[Physics 
Score]],Table1[[#This Row],[Chemistry 
Score]],Table1[[#This Row],[Biology 
Score]],Table1[[#This Row],[English 
Score]],Table1[[#This Row],[Geography 
Score]])</f>
        <v>85.571428571428569</v>
      </c>
      <c r="AB19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92">
        <f t="shared" si="2"/>
        <v>426</v>
      </c>
      <c r="AD192" t="str">
        <f>_xlfn.IFS(Table1[[#This Row],[Absence 
Days]]&lt;3,"Excellent",Table1[[#This Row],[Absence 
Days]]&lt;=6,"Good",Table1[[#This Row],[Absence 
Days]]&gt;6,"Poor")</f>
        <v>Poor</v>
      </c>
    </row>
    <row r="193" spans="1:30" x14ac:dyDescent="0.35">
      <c r="A193">
        <v>192</v>
      </c>
      <c r="B193" s="2" t="s">
        <v>133</v>
      </c>
      <c r="C193" t="s">
        <v>520</v>
      </c>
      <c r="D193" t="str">
        <f>_xlfn.TEXTJOIN(" ",TRUE,Table1[[#This Row],[First 
Name]:[Last 
Name]])</f>
        <v>Mike Harris</v>
      </c>
      <c r="E193" t="s">
        <v>1303</v>
      </c>
      <c r="F193" t="s">
        <v>3244</v>
      </c>
      <c r="G193" t="str">
        <f ca="1">PROPER(Table1[[#This Row],[Part Time 
Job]])</f>
        <v>False</v>
      </c>
      <c r="H193" s="3">
        <v>1</v>
      </c>
      <c r="I193" t="str">
        <f ca="1">PROPER(Table1[[#This Row],[Extracurricular 
Activities]])</f>
        <v>True</v>
      </c>
      <c r="J193">
        <v>26</v>
      </c>
      <c r="K193" t="s">
        <v>3117</v>
      </c>
      <c r="L193">
        <v>96</v>
      </c>
      <c r="M193" s="12" t="str" cm="1">
        <f t="array" ref="M19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93">
        <v>66</v>
      </c>
      <c r="O193" s="13" t="str" cm="1">
        <f t="array" ref="O19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93">
        <v>79</v>
      </c>
      <c r="Q193" s="13" t="str" cm="1">
        <f t="array" ref="Q19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93">
        <v>80</v>
      </c>
      <c r="S193" t="str" cm="1">
        <f t="array" ref="S19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93">
        <v>88</v>
      </c>
      <c r="U193" t="str" cm="1">
        <f t="array" ref="U19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93">
        <v>61</v>
      </c>
      <c r="W193" t="str" cm="1">
        <f t="array" ref="W19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93">
        <v>85</v>
      </c>
      <c r="Y193" t="str" cm="1">
        <f t="array" ref="Y19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93">
        <f>SUM(Table1[[#This Row],[Math 
Score]],Table1[[#This Row],[History 
Score]],Table1[[#This Row],[Physics 
Score]],Table1[[#This Row],[Chemistry 
Score]],Table1[[#This Row],[Biology 
Score]],Table1[[#This Row],[English 
Score]],Table1[[#This Row],[Geography 
Score]])</f>
        <v>555</v>
      </c>
      <c r="AA193" s="3">
        <f>AVERAGE(Table1[[#This Row],[Math 
Score]],Table1[[#This Row],[History 
Score]],Table1[[#This Row],[Physics 
Score]],Table1[[#This Row],[Chemistry 
Score]],Table1[[#This Row],[Biology 
Score]],Table1[[#This Row],[English 
Score]],Table1[[#This Row],[Geography 
Score]])</f>
        <v>79.285714285714292</v>
      </c>
      <c r="AB19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93">
        <f t="shared" si="2"/>
        <v>1245</v>
      </c>
      <c r="AD193" t="str">
        <f>_xlfn.IFS(Table1[[#This Row],[Absence 
Days]]&lt;3,"Excellent",Table1[[#This Row],[Absence 
Days]]&lt;=6,"Good",Table1[[#This Row],[Absence 
Days]]&gt;6,"Poor")</f>
        <v>Excellent</v>
      </c>
    </row>
    <row r="194" spans="1:30" x14ac:dyDescent="0.35">
      <c r="A194">
        <v>193</v>
      </c>
      <c r="B194" s="2" t="s">
        <v>134</v>
      </c>
      <c r="C194" t="s">
        <v>591</v>
      </c>
      <c r="D194" t="str">
        <f>_xlfn.TEXTJOIN(" ",TRUE,Table1[[#This Row],[First 
Name]:[Last 
Name]])</f>
        <v>Vanessa Sweeney</v>
      </c>
      <c r="E194" t="s">
        <v>1304</v>
      </c>
      <c r="F194" t="s">
        <v>3245</v>
      </c>
      <c r="G194" t="str">
        <f ca="1">PROPER(Table1[[#This Row],[Part Time 
Job]])</f>
        <v>False</v>
      </c>
      <c r="H194" s="3">
        <v>2</v>
      </c>
      <c r="I194" t="str">
        <f ca="1">PROPER(Table1[[#This Row],[Extracurricular 
Activities]])</f>
        <v>False</v>
      </c>
      <c r="J194">
        <v>2</v>
      </c>
      <c r="K194" t="s">
        <v>3126</v>
      </c>
      <c r="L194">
        <v>85</v>
      </c>
      <c r="M194" s="12" t="str" cm="1">
        <f t="array" ref="M19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94">
        <v>90</v>
      </c>
      <c r="O194" s="13" t="str" cm="1">
        <f t="array" ref="O19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94">
        <v>85</v>
      </c>
      <c r="Q194" s="13" t="str" cm="1">
        <f t="array" ref="Q19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94">
        <v>74</v>
      </c>
      <c r="S194" t="str" cm="1">
        <f t="array" ref="S19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94">
        <v>96</v>
      </c>
      <c r="U194" t="str" cm="1">
        <f t="array" ref="U19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94">
        <v>71</v>
      </c>
      <c r="W194" t="str" cm="1">
        <f t="array" ref="W19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94">
        <v>80</v>
      </c>
      <c r="Y194" t="str" cm="1">
        <f t="array" ref="Y19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94">
        <f>SUM(Table1[[#This Row],[Math 
Score]],Table1[[#This Row],[History 
Score]],Table1[[#This Row],[Physics 
Score]],Table1[[#This Row],[Chemistry 
Score]],Table1[[#This Row],[Biology 
Score]],Table1[[#This Row],[English 
Score]],Table1[[#This Row],[Geography 
Score]])</f>
        <v>581</v>
      </c>
      <c r="AA194" s="3">
        <f>AVERAGE(Table1[[#This Row],[Math 
Score]],Table1[[#This Row],[History 
Score]],Table1[[#This Row],[Physics 
Score]],Table1[[#This Row],[Chemistry 
Score]],Table1[[#This Row],[Biology 
Score]],Table1[[#This Row],[English 
Score]],Table1[[#This Row],[Geography 
Score]])</f>
        <v>83</v>
      </c>
      <c r="AB19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94">
        <f t="shared" ref="AC194:AC257" si="3">RANK(AA194,$AA$2:$AA$2001,0)</f>
        <v>688</v>
      </c>
      <c r="AD194" t="str">
        <f>_xlfn.IFS(Table1[[#This Row],[Absence 
Days]]&lt;3,"Excellent",Table1[[#This Row],[Absence 
Days]]&lt;=6,"Good",Table1[[#This Row],[Absence 
Days]]&gt;6,"Poor")</f>
        <v>Excellent</v>
      </c>
    </row>
    <row r="195" spans="1:30" x14ac:dyDescent="0.35">
      <c r="A195">
        <v>194</v>
      </c>
      <c r="B195" s="2" t="s">
        <v>106</v>
      </c>
      <c r="C195" t="s">
        <v>512</v>
      </c>
      <c r="D195" t="str">
        <f>_xlfn.TEXTJOIN(" ",TRUE,Table1[[#This Row],[First 
Name]:[Last 
Name]])</f>
        <v>Adam Edwards</v>
      </c>
      <c r="E195" t="s">
        <v>1305</v>
      </c>
      <c r="F195" t="s">
        <v>3244</v>
      </c>
      <c r="G195" t="str">
        <f ca="1">PROPER(Table1[[#This Row],[Part Time 
Job]])</f>
        <v>False</v>
      </c>
      <c r="H195" s="3">
        <v>5</v>
      </c>
      <c r="I195" t="str">
        <f ca="1">PROPER(Table1[[#This Row],[Extracurricular 
Activities]])</f>
        <v>False</v>
      </c>
      <c r="J195">
        <v>9</v>
      </c>
      <c r="K195" t="s">
        <v>3127</v>
      </c>
      <c r="L195">
        <v>91</v>
      </c>
      <c r="M195" s="12" t="str" cm="1">
        <f t="array" ref="M19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95">
        <v>94</v>
      </c>
      <c r="O195" s="13" t="str" cm="1">
        <f t="array" ref="O19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95">
        <v>82</v>
      </c>
      <c r="Q195" s="13" t="str" cm="1">
        <f t="array" ref="Q19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95">
        <v>100</v>
      </c>
      <c r="S195" t="str" cm="1">
        <f t="array" ref="S19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95">
        <v>68</v>
      </c>
      <c r="U195" t="str" cm="1">
        <f t="array" ref="U19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95">
        <v>66</v>
      </c>
      <c r="W195" t="str" cm="1">
        <f t="array" ref="W19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95">
        <v>69</v>
      </c>
      <c r="Y195" t="str" cm="1">
        <f t="array" ref="Y19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95">
        <f>SUM(Table1[[#This Row],[Math 
Score]],Table1[[#This Row],[History 
Score]],Table1[[#This Row],[Physics 
Score]],Table1[[#This Row],[Chemistry 
Score]],Table1[[#This Row],[Biology 
Score]],Table1[[#This Row],[English 
Score]],Table1[[#This Row],[Geography 
Score]])</f>
        <v>570</v>
      </c>
      <c r="AA195" s="3">
        <f>AVERAGE(Table1[[#This Row],[Math 
Score]],Table1[[#This Row],[History 
Score]],Table1[[#This Row],[Physics 
Score]],Table1[[#This Row],[Chemistry 
Score]],Table1[[#This Row],[Biology 
Score]],Table1[[#This Row],[English 
Score]],Table1[[#This Row],[Geography 
Score]])</f>
        <v>81.428571428571431</v>
      </c>
      <c r="AB19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95">
        <f t="shared" si="3"/>
        <v>937</v>
      </c>
      <c r="AD195" t="str">
        <f>_xlfn.IFS(Table1[[#This Row],[Absence 
Days]]&lt;3,"Excellent",Table1[[#This Row],[Absence 
Days]]&lt;=6,"Good",Table1[[#This Row],[Absence 
Days]]&gt;6,"Poor")</f>
        <v>Good</v>
      </c>
    </row>
    <row r="196" spans="1:30" x14ac:dyDescent="0.35">
      <c r="A196">
        <v>195</v>
      </c>
      <c r="B196" s="2" t="s">
        <v>135</v>
      </c>
      <c r="C196" t="s">
        <v>592</v>
      </c>
      <c r="D196" t="str">
        <f>_xlfn.TEXTJOIN(" ",TRUE,Table1[[#This Row],[First 
Name]:[Last 
Name]])</f>
        <v>Angelica Johnson</v>
      </c>
      <c r="E196" t="s">
        <v>1306</v>
      </c>
      <c r="F196" t="s">
        <v>3245</v>
      </c>
      <c r="G196" t="str">
        <f ca="1">PROPER(Table1[[#This Row],[Part Time 
Job]])</f>
        <v>False</v>
      </c>
      <c r="H196" s="3">
        <v>2</v>
      </c>
      <c r="I196" t="str">
        <f ca="1">PROPER(Table1[[#This Row],[Extracurricular 
Activities]])</f>
        <v>False</v>
      </c>
      <c r="J196">
        <v>30</v>
      </c>
      <c r="K196" t="s">
        <v>3120</v>
      </c>
      <c r="L196">
        <v>85</v>
      </c>
      <c r="M196" s="12" t="str" cm="1">
        <f t="array" ref="M19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96">
        <v>64</v>
      </c>
      <c r="O196" s="13" t="str" cm="1">
        <f t="array" ref="O19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96">
        <v>93</v>
      </c>
      <c r="Q196" s="13" t="str" cm="1">
        <f t="array" ref="Q19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96">
        <v>80</v>
      </c>
      <c r="S196" t="str" cm="1">
        <f t="array" ref="S19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96">
        <v>82</v>
      </c>
      <c r="U196" t="str" cm="1">
        <f t="array" ref="U19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96">
        <v>70</v>
      </c>
      <c r="W196" t="str" cm="1">
        <f t="array" ref="W19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96">
        <v>94</v>
      </c>
      <c r="Y196" t="str" cm="1">
        <f t="array" ref="Y19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96">
        <f>SUM(Table1[[#This Row],[Math 
Score]],Table1[[#This Row],[History 
Score]],Table1[[#This Row],[Physics 
Score]],Table1[[#This Row],[Chemistry 
Score]],Table1[[#This Row],[Biology 
Score]],Table1[[#This Row],[English 
Score]],Table1[[#This Row],[Geography 
Score]])</f>
        <v>568</v>
      </c>
      <c r="AA196" s="3">
        <f>AVERAGE(Table1[[#This Row],[Math 
Score]],Table1[[#This Row],[History 
Score]],Table1[[#This Row],[Physics 
Score]],Table1[[#This Row],[Chemistry 
Score]],Table1[[#This Row],[Biology 
Score]],Table1[[#This Row],[English 
Score]],Table1[[#This Row],[Geography 
Score]])</f>
        <v>81.142857142857139</v>
      </c>
      <c r="AB19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96">
        <f t="shared" si="3"/>
        <v>975</v>
      </c>
      <c r="AD196" t="str">
        <f>_xlfn.IFS(Table1[[#This Row],[Absence 
Days]]&lt;3,"Excellent",Table1[[#This Row],[Absence 
Days]]&lt;=6,"Good",Table1[[#This Row],[Absence 
Days]]&gt;6,"Poor")</f>
        <v>Excellent</v>
      </c>
    </row>
    <row r="197" spans="1:30" x14ac:dyDescent="0.35">
      <c r="A197">
        <v>196</v>
      </c>
      <c r="B197" s="2" t="s">
        <v>136</v>
      </c>
      <c r="C197" t="s">
        <v>593</v>
      </c>
      <c r="D197" t="str">
        <f>_xlfn.TEXTJOIN(" ",TRUE,Table1[[#This Row],[First 
Name]:[Last 
Name]])</f>
        <v>Tiffany Hernandez</v>
      </c>
      <c r="E197" t="s">
        <v>1307</v>
      </c>
      <c r="F197" t="s">
        <v>3245</v>
      </c>
      <c r="G197" t="str">
        <f ca="1">PROPER(Table1[[#This Row],[Part Time 
Job]])</f>
        <v>False</v>
      </c>
      <c r="H197" s="3">
        <v>3</v>
      </c>
      <c r="I197" t="str">
        <f ca="1">PROPER(Table1[[#This Row],[Extracurricular 
Activities]])</f>
        <v>False</v>
      </c>
      <c r="J197">
        <v>24</v>
      </c>
      <c r="K197" t="s">
        <v>3127</v>
      </c>
      <c r="L197">
        <v>94</v>
      </c>
      <c r="M197" s="12" t="str" cm="1">
        <f t="array" ref="M19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97">
        <v>73</v>
      </c>
      <c r="O197" s="13" t="str" cm="1">
        <f t="array" ref="O19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97">
        <v>61</v>
      </c>
      <c r="Q197" s="13" t="str" cm="1">
        <f t="array" ref="Q19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97">
        <v>68</v>
      </c>
      <c r="S197" t="str" cm="1">
        <f t="array" ref="S19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97">
        <v>65</v>
      </c>
      <c r="U197" t="str" cm="1">
        <f t="array" ref="U19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97">
        <v>85</v>
      </c>
      <c r="W197" t="str" cm="1">
        <f t="array" ref="W19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97">
        <v>67</v>
      </c>
      <c r="Y197" t="str" cm="1">
        <f t="array" ref="Y19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97">
        <f>SUM(Table1[[#This Row],[Math 
Score]],Table1[[#This Row],[History 
Score]],Table1[[#This Row],[Physics 
Score]],Table1[[#This Row],[Chemistry 
Score]],Table1[[#This Row],[Biology 
Score]],Table1[[#This Row],[English 
Score]],Table1[[#This Row],[Geography 
Score]])</f>
        <v>513</v>
      </c>
      <c r="AA197" s="3">
        <f>AVERAGE(Table1[[#This Row],[Math 
Score]],Table1[[#This Row],[History 
Score]],Table1[[#This Row],[Physics 
Score]],Table1[[#This Row],[Chemistry 
Score]],Table1[[#This Row],[Biology 
Score]],Table1[[#This Row],[English 
Score]],Table1[[#This Row],[Geography 
Score]])</f>
        <v>73.285714285714292</v>
      </c>
      <c r="AB19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97">
        <f t="shared" si="3"/>
        <v>1810</v>
      </c>
      <c r="AD197" t="str">
        <f>_xlfn.IFS(Table1[[#This Row],[Absence 
Days]]&lt;3,"Excellent",Table1[[#This Row],[Absence 
Days]]&lt;=6,"Good",Table1[[#This Row],[Absence 
Days]]&gt;6,"Poor")</f>
        <v>Good</v>
      </c>
    </row>
    <row r="198" spans="1:30" x14ac:dyDescent="0.35">
      <c r="A198">
        <v>197</v>
      </c>
      <c r="B198" s="2" t="s">
        <v>109</v>
      </c>
      <c r="C198" t="s">
        <v>594</v>
      </c>
      <c r="D198" t="str">
        <f>_xlfn.TEXTJOIN(" ",TRUE,Table1[[#This Row],[First 
Name]:[Last 
Name]])</f>
        <v>Mark Myers</v>
      </c>
      <c r="E198" t="s">
        <v>1308</v>
      </c>
      <c r="F198" t="s">
        <v>3244</v>
      </c>
      <c r="G198" t="str">
        <f ca="1">PROPER(Table1[[#This Row],[Part Time 
Job]])</f>
        <v>False</v>
      </c>
      <c r="H198" s="3">
        <v>4</v>
      </c>
      <c r="I198" t="str">
        <f ca="1">PROPER(Table1[[#This Row],[Extracurricular 
Activities]])</f>
        <v>False</v>
      </c>
      <c r="J198">
        <v>21</v>
      </c>
      <c r="K198" t="s">
        <v>3117</v>
      </c>
      <c r="L198">
        <v>95</v>
      </c>
      <c r="M198" s="12" t="str" cm="1">
        <f t="array" ref="M19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98">
        <v>69</v>
      </c>
      <c r="O198" s="13" t="str" cm="1">
        <f t="array" ref="O19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98">
        <v>62</v>
      </c>
      <c r="Q198" s="13" t="str" cm="1">
        <f t="array" ref="Q19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98">
        <v>87</v>
      </c>
      <c r="S198" t="str" cm="1">
        <f t="array" ref="S19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98">
        <v>84</v>
      </c>
      <c r="U198" t="str" cm="1">
        <f t="array" ref="U19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98">
        <v>83</v>
      </c>
      <c r="W198" t="str" cm="1">
        <f t="array" ref="W19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98">
        <v>64</v>
      </c>
      <c r="Y198" t="str" cm="1">
        <f t="array" ref="Y19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98">
        <f>SUM(Table1[[#This Row],[Math 
Score]],Table1[[#This Row],[History 
Score]],Table1[[#This Row],[Physics 
Score]],Table1[[#This Row],[Chemistry 
Score]],Table1[[#This Row],[Biology 
Score]],Table1[[#This Row],[English 
Score]],Table1[[#This Row],[Geography 
Score]])</f>
        <v>544</v>
      </c>
      <c r="AA198" s="3">
        <f>AVERAGE(Table1[[#This Row],[Math 
Score]],Table1[[#This Row],[History 
Score]],Table1[[#This Row],[Physics 
Score]],Table1[[#This Row],[Chemistry 
Score]],Table1[[#This Row],[Biology 
Score]],Table1[[#This Row],[English 
Score]],Table1[[#This Row],[Geography 
Score]])</f>
        <v>77.714285714285708</v>
      </c>
      <c r="AB19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98">
        <f t="shared" si="3"/>
        <v>1446</v>
      </c>
      <c r="AD198" t="str">
        <f>_xlfn.IFS(Table1[[#This Row],[Absence 
Days]]&lt;3,"Excellent",Table1[[#This Row],[Absence 
Days]]&lt;=6,"Good",Table1[[#This Row],[Absence 
Days]]&gt;6,"Poor")</f>
        <v>Good</v>
      </c>
    </row>
    <row r="199" spans="1:30" x14ac:dyDescent="0.35">
      <c r="A199">
        <v>198</v>
      </c>
      <c r="B199" s="2" t="s">
        <v>123</v>
      </c>
      <c r="C199" t="s">
        <v>595</v>
      </c>
      <c r="D199" t="str">
        <f>_xlfn.TEXTJOIN(" ",TRUE,Table1[[#This Row],[First 
Name]:[Last 
Name]])</f>
        <v>Erica Cochran</v>
      </c>
      <c r="E199" t="s">
        <v>1309</v>
      </c>
      <c r="F199" t="s">
        <v>3245</v>
      </c>
      <c r="G199" t="str">
        <f ca="1">PROPER(Table1[[#This Row],[Part Time 
Job]])</f>
        <v>False</v>
      </c>
      <c r="H199" s="3">
        <v>2</v>
      </c>
      <c r="I199" t="str">
        <f ca="1">PROPER(Table1[[#This Row],[Extracurricular 
Activities]])</f>
        <v>False</v>
      </c>
      <c r="J199">
        <v>14</v>
      </c>
      <c r="K199" t="s">
        <v>3118</v>
      </c>
      <c r="L199">
        <v>69</v>
      </c>
      <c r="M199" s="12" t="str" cm="1">
        <f t="array" ref="M199">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99">
        <v>90</v>
      </c>
      <c r="O199" s="13" t="str" cm="1">
        <f t="array" ref="O19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99">
        <v>83</v>
      </c>
      <c r="Q199" s="13" t="str" cm="1">
        <f t="array" ref="Q19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99">
        <v>70</v>
      </c>
      <c r="S199" t="str" cm="1">
        <f t="array" ref="S19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99">
        <v>83</v>
      </c>
      <c r="U199" t="str" cm="1">
        <f t="array" ref="U19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99">
        <v>91</v>
      </c>
      <c r="W199" t="str" cm="1">
        <f t="array" ref="W19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99">
        <v>67</v>
      </c>
      <c r="Y199" t="str" cm="1">
        <f t="array" ref="Y19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99">
        <f>SUM(Table1[[#This Row],[Math 
Score]],Table1[[#This Row],[History 
Score]],Table1[[#This Row],[Physics 
Score]],Table1[[#This Row],[Chemistry 
Score]],Table1[[#This Row],[Biology 
Score]],Table1[[#This Row],[English 
Score]],Table1[[#This Row],[Geography 
Score]])</f>
        <v>553</v>
      </c>
      <c r="AA199" s="3">
        <f>AVERAGE(Table1[[#This Row],[Math 
Score]],Table1[[#This Row],[History 
Score]],Table1[[#This Row],[Physics 
Score]],Table1[[#This Row],[Chemistry 
Score]],Table1[[#This Row],[Biology 
Score]],Table1[[#This Row],[English 
Score]],Table1[[#This Row],[Geography 
Score]])</f>
        <v>79</v>
      </c>
      <c r="AB19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99">
        <f t="shared" si="3"/>
        <v>1284</v>
      </c>
      <c r="AD199" t="str">
        <f>_xlfn.IFS(Table1[[#This Row],[Absence 
Days]]&lt;3,"Excellent",Table1[[#This Row],[Absence 
Days]]&lt;=6,"Good",Table1[[#This Row],[Absence 
Days]]&gt;6,"Poor")</f>
        <v>Excellent</v>
      </c>
    </row>
    <row r="200" spans="1:30" x14ac:dyDescent="0.35">
      <c r="A200">
        <v>199</v>
      </c>
      <c r="B200" s="2" t="s">
        <v>137</v>
      </c>
      <c r="C200" t="s">
        <v>596</v>
      </c>
      <c r="D200" t="str">
        <f>_xlfn.TEXTJOIN(" ",TRUE,Table1[[#This Row],[First 
Name]:[Last 
Name]])</f>
        <v>Karen Watson</v>
      </c>
      <c r="E200" t="s">
        <v>1310</v>
      </c>
      <c r="F200" t="s">
        <v>3245</v>
      </c>
      <c r="G200" t="str">
        <f ca="1">PROPER(Table1[[#This Row],[Part Time 
Job]])</f>
        <v>False</v>
      </c>
      <c r="H200" s="3">
        <v>1</v>
      </c>
      <c r="I200" t="str">
        <f ca="1">PROPER(Table1[[#This Row],[Extracurricular 
Activities]])</f>
        <v>False</v>
      </c>
      <c r="J200">
        <v>24</v>
      </c>
      <c r="K200" t="s">
        <v>3117</v>
      </c>
      <c r="L200">
        <v>95</v>
      </c>
      <c r="M200" s="12" t="str" cm="1">
        <f t="array" ref="M20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200">
        <v>72</v>
      </c>
      <c r="O200" s="13" t="str" cm="1">
        <f t="array" ref="O20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200">
        <v>94</v>
      </c>
      <c r="Q200" s="13" t="str" cm="1">
        <f t="array" ref="Q20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200">
        <v>96</v>
      </c>
      <c r="S200" t="str" cm="1">
        <f t="array" ref="S20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200">
        <v>91</v>
      </c>
      <c r="U200" t="str" cm="1">
        <f t="array" ref="U20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200">
        <v>61</v>
      </c>
      <c r="W200" t="str" cm="1">
        <f t="array" ref="W20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200">
        <v>94</v>
      </c>
      <c r="Y200" t="str" cm="1">
        <f t="array" ref="Y20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200">
        <f>SUM(Table1[[#This Row],[Math 
Score]],Table1[[#This Row],[History 
Score]],Table1[[#This Row],[Physics 
Score]],Table1[[#This Row],[Chemistry 
Score]],Table1[[#This Row],[Biology 
Score]],Table1[[#This Row],[English 
Score]],Table1[[#This Row],[Geography 
Score]])</f>
        <v>603</v>
      </c>
      <c r="AA200" s="3">
        <f>AVERAGE(Table1[[#This Row],[Math 
Score]],Table1[[#This Row],[History 
Score]],Table1[[#This Row],[Physics 
Score]],Table1[[#This Row],[Chemistry 
Score]],Table1[[#This Row],[Biology 
Score]],Table1[[#This Row],[English 
Score]],Table1[[#This Row],[Geography 
Score]])</f>
        <v>86.142857142857139</v>
      </c>
      <c r="AB20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200">
        <f t="shared" si="3"/>
        <v>370</v>
      </c>
      <c r="AD200" t="str">
        <f>_xlfn.IFS(Table1[[#This Row],[Absence 
Days]]&lt;3,"Excellent",Table1[[#This Row],[Absence 
Days]]&lt;=6,"Good",Table1[[#This Row],[Absence 
Days]]&gt;6,"Poor")</f>
        <v>Excellent</v>
      </c>
    </row>
    <row r="201" spans="1:30" x14ac:dyDescent="0.35">
      <c r="A201">
        <v>200</v>
      </c>
      <c r="B201" s="2" t="s">
        <v>138</v>
      </c>
      <c r="C201" t="s">
        <v>597</v>
      </c>
      <c r="D201" t="str">
        <f>_xlfn.TEXTJOIN(" ",TRUE,Table1[[#This Row],[First 
Name]:[Last 
Name]])</f>
        <v>Kathryn Frazier</v>
      </c>
      <c r="E201" t="s">
        <v>1311</v>
      </c>
      <c r="F201" t="s">
        <v>3245</v>
      </c>
      <c r="G201" t="str">
        <f ca="1">PROPER(Table1[[#This Row],[Part Time 
Job]])</f>
        <v>False</v>
      </c>
      <c r="H201" s="3">
        <v>3</v>
      </c>
      <c r="I201" t="str">
        <f ca="1">PROPER(Table1[[#This Row],[Extracurricular 
Activities]])</f>
        <v>False</v>
      </c>
      <c r="J201">
        <v>34</v>
      </c>
      <c r="K201" t="s">
        <v>3112</v>
      </c>
      <c r="L201">
        <v>94</v>
      </c>
      <c r="M201" s="12" t="str" cm="1">
        <f t="array" ref="M20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201">
        <v>88</v>
      </c>
      <c r="O201" s="13" t="str" cm="1">
        <f t="array" ref="O20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201">
        <v>65</v>
      </c>
      <c r="Q201" s="13" t="str" cm="1">
        <f t="array" ref="Q20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201">
        <v>88</v>
      </c>
      <c r="S201" t="str" cm="1">
        <f t="array" ref="S20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201">
        <v>60</v>
      </c>
      <c r="U201" t="str" cm="1">
        <f t="array" ref="U20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201">
        <v>81</v>
      </c>
      <c r="W201" t="str" cm="1">
        <f t="array" ref="W20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201">
        <v>78</v>
      </c>
      <c r="Y201" t="str" cm="1">
        <f t="array" ref="Y20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201">
        <f>SUM(Table1[[#This Row],[Math 
Score]],Table1[[#This Row],[History 
Score]],Table1[[#This Row],[Physics 
Score]],Table1[[#This Row],[Chemistry 
Score]],Table1[[#This Row],[Biology 
Score]],Table1[[#This Row],[English 
Score]],Table1[[#This Row],[Geography 
Score]])</f>
        <v>554</v>
      </c>
      <c r="AA201" s="3">
        <f>AVERAGE(Table1[[#This Row],[Math 
Score]],Table1[[#This Row],[History 
Score]],Table1[[#This Row],[Physics 
Score]],Table1[[#This Row],[Chemistry 
Score]],Table1[[#This Row],[Biology 
Score]],Table1[[#This Row],[English 
Score]],Table1[[#This Row],[Geography 
Score]])</f>
        <v>79.142857142857139</v>
      </c>
      <c r="AB20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201">
        <f t="shared" si="3"/>
        <v>1264</v>
      </c>
      <c r="AD201" t="str">
        <f>_xlfn.IFS(Table1[[#This Row],[Absence 
Days]]&lt;3,"Excellent",Table1[[#This Row],[Absence 
Days]]&lt;=6,"Good",Table1[[#This Row],[Absence 
Days]]&gt;6,"Poor")</f>
        <v>Good</v>
      </c>
    </row>
    <row r="202" spans="1:30" x14ac:dyDescent="0.35">
      <c r="A202">
        <v>201</v>
      </c>
      <c r="B202" s="2" t="s">
        <v>4</v>
      </c>
      <c r="C202" t="s">
        <v>294</v>
      </c>
      <c r="D202" t="str">
        <f>_xlfn.TEXTJOIN(" ",TRUE,Table1[[#This Row],[First 
Name]:[Last 
Name]])</f>
        <v>Anthony Jackson</v>
      </c>
      <c r="E202" t="s">
        <v>1312</v>
      </c>
      <c r="F202" t="s">
        <v>3244</v>
      </c>
      <c r="G202" t="str">
        <f ca="1">PROPER(Table1[[#This Row],[Part Time 
Job]])</f>
        <v>False</v>
      </c>
      <c r="H202" s="3">
        <v>1</v>
      </c>
      <c r="I202" t="str">
        <f ca="1">PROPER(Table1[[#This Row],[Extracurricular 
Activities]])</f>
        <v>True</v>
      </c>
      <c r="J202">
        <v>34</v>
      </c>
      <c r="K202" t="s">
        <v>3123</v>
      </c>
      <c r="L202">
        <v>82</v>
      </c>
      <c r="M202" s="12" t="str" cm="1">
        <f t="array" ref="M20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202">
        <v>81</v>
      </c>
      <c r="O202" s="13" t="str" cm="1">
        <f t="array" ref="O20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202">
        <v>100</v>
      </c>
      <c r="Q202" s="13" t="str" cm="1">
        <f t="array" ref="Q20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202">
        <v>81</v>
      </c>
      <c r="S202" t="str" cm="1">
        <f t="array" ref="S20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202">
        <v>60</v>
      </c>
      <c r="U202" t="str" cm="1">
        <f t="array" ref="U20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202">
        <v>79</v>
      </c>
      <c r="W202" t="str" cm="1">
        <f t="array" ref="W20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202">
        <v>96</v>
      </c>
      <c r="Y202" t="str" cm="1">
        <f t="array" ref="Y20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202">
        <f>SUM(Table1[[#This Row],[Math 
Score]],Table1[[#This Row],[History 
Score]],Table1[[#This Row],[Physics 
Score]],Table1[[#This Row],[Chemistry 
Score]],Table1[[#This Row],[Biology 
Score]],Table1[[#This Row],[English 
Score]],Table1[[#This Row],[Geography 
Score]])</f>
        <v>579</v>
      </c>
      <c r="AA202" s="3">
        <f>AVERAGE(Table1[[#This Row],[Math 
Score]],Table1[[#This Row],[History 
Score]],Table1[[#This Row],[Physics 
Score]],Table1[[#This Row],[Chemistry 
Score]],Table1[[#This Row],[Biology 
Score]],Table1[[#This Row],[English 
Score]],Table1[[#This Row],[Geography 
Score]])</f>
        <v>82.714285714285708</v>
      </c>
      <c r="AB20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202">
        <f t="shared" si="3"/>
        <v>730</v>
      </c>
      <c r="AD202" t="str">
        <f>_xlfn.IFS(Table1[[#This Row],[Absence 
Days]]&lt;3,"Excellent",Table1[[#This Row],[Absence 
Days]]&lt;=6,"Good",Table1[[#This Row],[Absence 
Days]]&gt;6,"Poor")</f>
        <v>Excellent</v>
      </c>
    </row>
    <row r="203" spans="1:30" x14ac:dyDescent="0.35">
      <c r="A203">
        <v>202</v>
      </c>
      <c r="B203" s="2" t="s">
        <v>95</v>
      </c>
      <c r="C203" t="s">
        <v>510</v>
      </c>
      <c r="D203" t="str">
        <f>_xlfn.TEXTJOIN(" ",TRUE,Table1[[#This Row],[First 
Name]:[Last 
Name]])</f>
        <v>Jordan Perez</v>
      </c>
      <c r="E203" t="s">
        <v>1313</v>
      </c>
      <c r="F203" t="s">
        <v>3244</v>
      </c>
      <c r="G203" t="str">
        <f ca="1">PROPER(Table1[[#This Row],[Part Time 
Job]])</f>
        <v>False</v>
      </c>
      <c r="H203" s="3">
        <v>6</v>
      </c>
      <c r="I203" t="str">
        <f ca="1">PROPER(Table1[[#This Row],[Extracurricular 
Activities]])</f>
        <v>True</v>
      </c>
      <c r="J203">
        <v>27</v>
      </c>
      <c r="K203" t="s">
        <v>3117</v>
      </c>
      <c r="L203">
        <v>99</v>
      </c>
      <c r="M203" s="12" t="str" cm="1">
        <f t="array" ref="M20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203">
        <v>73</v>
      </c>
      <c r="O203" s="13" t="str" cm="1">
        <f t="array" ref="O20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203">
        <v>91</v>
      </c>
      <c r="Q203" s="13" t="str" cm="1">
        <f t="array" ref="Q20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203">
        <v>91</v>
      </c>
      <c r="S203" t="str" cm="1">
        <f t="array" ref="S20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203">
        <v>93</v>
      </c>
      <c r="U203" t="str" cm="1">
        <f t="array" ref="U20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203">
        <v>80</v>
      </c>
      <c r="W203" t="str" cm="1">
        <f t="array" ref="W20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203">
        <v>100</v>
      </c>
      <c r="Y203" t="str" cm="1">
        <f t="array" ref="Y20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203">
        <f>SUM(Table1[[#This Row],[Math 
Score]],Table1[[#This Row],[History 
Score]],Table1[[#This Row],[Physics 
Score]],Table1[[#This Row],[Chemistry 
Score]],Table1[[#This Row],[Biology 
Score]],Table1[[#This Row],[English 
Score]],Table1[[#This Row],[Geography 
Score]])</f>
        <v>627</v>
      </c>
      <c r="AA203" s="3">
        <f>AVERAGE(Table1[[#This Row],[Math 
Score]],Table1[[#This Row],[History 
Score]],Table1[[#This Row],[Physics 
Score]],Table1[[#This Row],[Chemistry 
Score]],Table1[[#This Row],[Biology 
Score]],Table1[[#This Row],[English 
Score]],Table1[[#This Row],[Geography 
Score]])</f>
        <v>89.571428571428569</v>
      </c>
      <c r="AB20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203">
        <f t="shared" si="3"/>
        <v>168</v>
      </c>
      <c r="AD203" t="str">
        <f>_xlfn.IFS(Table1[[#This Row],[Absence 
Days]]&lt;3,"Excellent",Table1[[#This Row],[Absence 
Days]]&lt;=6,"Good",Table1[[#This Row],[Absence 
Days]]&gt;6,"Poor")</f>
        <v>Good</v>
      </c>
    </row>
    <row r="204" spans="1:30" x14ac:dyDescent="0.35">
      <c r="A204">
        <v>203</v>
      </c>
      <c r="B204" s="2" t="s">
        <v>50</v>
      </c>
      <c r="C204" t="s">
        <v>598</v>
      </c>
      <c r="D204" t="str">
        <f>_xlfn.TEXTJOIN(" ",TRUE,Table1[[#This Row],[First 
Name]:[Last 
Name]])</f>
        <v>Jennifer Burgess</v>
      </c>
      <c r="E204" t="s">
        <v>1314</v>
      </c>
      <c r="F204" t="s">
        <v>3245</v>
      </c>
      <c r="G204" t="str">
        <f ca="1">PROPER(Table1[[#This Row],[Part Time 
Job]])</f>
        <v>False</v>
      </c>
      <c r="H204" s="3">
        <v>3</v>
      </c>
      <c r="I204" t="str">
        <f ca="1">PROPER(Table1[[#This Row],[Extracurricular 
Activities]])</f>
        <v>False</v>
      </c>
      <c r="J204">
        <v>16</v>
      </c>
      <c r="K204" t="s">
        <v>3123</v>
      </c>
      <c r="L204">
        <v>85</v>
      </c>
      <c r="M204" s="12" t="str" cm="1">
        <f t="array" ref="M20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204">
        <v>62</v>
      </c>
      <c r="O204" s="13" t="str" cm="1">
        <f t="array" ref="O20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204">
        <v>84</v>
      </c>
      <c r="Q204" s="13" t="str" cm="1">
        <f t="array" ref="Q20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204">
        <v>80</v>
      </c>
      <c r="S204" t="str" cm="1">
        <f t="array" ref="S20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204">
        <v>37</v>
      </c>
      <c r="U204" t="str" cm="1">
        <f t="array" ref="U20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F</v>
      </c>
      <c r="V204">
        <v>80</v>
      </c>
      <c r="W204" t="str" cm="1">
        <f t="array" ref="W20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204">
        <v>71</v>
      </c>
      <c r="Y204" t="str" cm="1">
        <f t="array" ref="Y20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204">
        <f>SUM(Table1[[#This Row],[Math 
Score]],Table1[[#This Row],[History 
Score]],Table1[[#This Row],[Physics 
Score]],Table1[[#This Row],[Chemistry 
Score]],Table1[[#This Row],[Biology 
Score]],Table1[[#This Row],[English 
Score]],Table1[[#This Row],[Geography 
Score]])</f>
        <v>499</v>
      </c>
      <c r="AA204" s="3">
        <f>AVERAGE(Table1[[#This Row],[Math 
Score]],Table1[[#This Row],[History 
Score]],Table1[[#This Row],[Physics 
Score]],Table1[[#This Row],[Chemistry 
Score]],Table1[[#This Row],[Biology 
Score]],Table1[[#This Row],[English 
Score]],Table1[[#This Row],[Geography 
Score]])</f>
        <v>71.285714285714292</v>
      </c>
      <c r="AB20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204">
        <f t="shared" si="3"/>
        <v>1882</v>
      </c>
      <c r="AD204" t="str">
        <f>_xlfn.IFS(Table1[[#This Row],[Absence 
Days]]&lt;3,"Excellent",Table1[[#This Row],[Absence 
Days]]&lt;=6,"Good",Table1[[#This Row],[Absence 
Days]]&gt;6,"Poor")</f>
        <v>Good</v>
      </c>
    </row>
    <row r="205" spans="1:30" x14ac:dyDescent="0.35">
      <c r="A205">
        <v>204</v>
      </c>
      <c r="B205" s="2" t="s">
        <v>139</v>
      </c>
      <c r="C205" t="s">
        <v>492</v>
      </c>
      <c r="D205" t="str">
        <f>_xlfn.TEXTJOIN(" ",TRUE,Table1[[#This Row],[First 
Name]:[Last 
Name]])</f>
        <v>Christina Davis</v>
      </c>
      <c r="E205" t="s">
        <v>1315</v>
      </c>
      <c r="F205" t="s">
        <v>3245</v>
      </c>
      <c r="G205" t="str">
        <f ca="1">PROPER(Table1[[#This Row],[Part Time 
Job]])</f>
        <v>False</v>
      </c>
      <c r="H205" s="3">
        <v>1</v>
      </c>
      <c r="I205" t="str">
        <f ca="1">PROPER(Table1[[#This Row],[Extracurricular 
Activities]])</f>
        <v>True</v>
      </c>
      <c r="J205">
        <v>21</v>
      </c>
      <c r="K205" t="s">
        <v>3123</v>
      </c>
      <c r="L205">
        <v>100</v>
      </c>
      <c r="M205" s="12" t="str" cm="1">
        <f t="array" ref="M20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205">
        <v>87</v>
      </c>
      <c r="O205" s="13" t="str" cm="1">
        <f t="array" ref="O20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205">
        <v>60</v>
      </c>
      <c r="Q205" s="13" t="str" cm="1">
        <f t="array" ref="Q20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205">
        <v>92</v>
      </c>
      <c r="S205" t="str" cm="1">
        <f t="array" ref="S20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205">
        <v>46</v>
      </c>
      <c r="U205" t="str" cm="1">
        <f t="array" ref="U20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D</v>
      </c>
      <c r="V205">
        <v>67</v>
      </c>
      <c r="W205" t="str" cm="1">
        <f t="array" ref="W20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205">
        <v>96</v>
      </c>
      <c r="Y205" t="str" cm="1">
        <f t="array" ref="Y20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205">
        <f>SUM(Table1[[#This Row],[Math 
Score]],Table1[[#This Row],[History 
Score]],Table1[[#This Row],[Physics 
Score]],Table1[[#This Row],[Chemistry 
Score]],Table1[[#This Row],[Biology 
Score]],Table1[[#This Row],[English 
Score]],Table1[[#This Row],[Geography 
Score]])</f>
        <v>548</v>
      </c>
      <c r="AA205" s="3">
        <f>AVERAGE(Table1[[#This Row],[Math 
Score]],Table1[[#This Row],[History 
Score]],Table1[[#This Row],[Physics 
Score]],Table1[[#This Row],[Chemistry 
Score]],Table1[[#This Row],[Biology 
Score]],Table1[[#This Row],[English 
Score]],Table1[[#This Row],[Geography 
Score]])</f>
        <v>78.285714285714292</v>
      </c>
      <c r="AB20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205">
        <f t="shared" si="3"/>
        <v>1374</v>
      </c>
      <c r="AD205" t="str">
        <f>_xlfn.IFS(Table1[[#This Row],[Absence 
Days]]&lt;3,"Excellent",Table1[[#This Row],[Absence 
Days]]&lt;=6,"Good",Table1[[#This Row],[Absence 
Days]]&gt;6,"Poor")</f>
        <v>Excellent</v>
      </c>
    </row>
    <row r="206" spans="1:30" x14ac:dyDescent="0.35">
      <c r="A206">
        <v>205</v>
      </c>
      <c r="B206" s="2" t="s">
        <v>140</v>
      </c>
      <c r="C206" t="s">
        <v>33</v>
      </c>
      <c r="D206" t="str">
        <f>_xlfn.TEXTJOIN(" ",TRUE,Table1[[#This Row],[First 
Name]:[Last 
Name]])</f>
        <v>April Ryan</v>
      </c>
      <c r="E206" t="s">
        <v>1316</v>
      </c>
      <c r="F206" t="s">
        <v>3245</v>
      </c>
      <c r="G206" t="str">
        <f ca="1">PROPER(Table1[[#This Row],[Part Time 
Job]])</f>
        <v>False</v>
      </c>
      <c r="H206" s="3">
        <v>1</v>
      </c>
      <c r="I206" t="str">
        <f ca="1">PROPER(Table1[[#This Row],[Extracurricular 
Activities]])</f>
        <v>False</v>
      </c>
      <c r="J206">
        <v>1</v>
      </c>
      <c r="K206" t="s">
        <v>3115</v>
      </c>
      <c r="L206">
        <v>98</v>
      </c>
      <c r="M206" s="12" t="str" cm="1">
        <f t="array" ref="M20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206">
        <v>95</v>
      </c>
      <c r="O206" s="13" t="str" cm="1">
        <f t="array" ref="O20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206">
        <v>90</v>
      </c>
      <c r="Q206" s="13" t="str" cm="1">
        <f t="array" ref="Q20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206">
        <v>81</v>
      </c>
      <c r="S206" t="str" cm="1">
        <f t="array" ref="S20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206">
        <v>82</v>
      </c>
      <c r="U206" t="str" cm="1">
        <f t="array" ref="U20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206">
        <v>86</v>
      </c>
      <c r="W206" t="str" cm="1">
        <f t="array" ref="W20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206">
        <v>98</v>
      </c>
      <c r="Y206" t="str" cm="1">
        <f t="array" ref="Y20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206">
        <f>SUM(Table1[[#This Row],[Math 
Score]],Table1[[#This Row],[History 
Score]],Table1[[#This Row],[Physics 
Score]],Table1[[#This Row],[Chemistry 
Score]],Table1[[#This Row],[Biology 
Score]],Table1[[#This Row],[English 
Score]],Table1[[#This Row],[Geography 
Score]])</f>
        <v>630</v>
      </c>
      <c r="AA206" s="3">
        <f>AVERAGE(Table1[[#This Row],[Math 
Score]],Table1[[#This Row],[History 
Score]],Table1[[#This Row],[Physics 
Score]],Table1[[#This Row],[Chemistry 
Score]],Table1[[#This Row],[Biology 
Score]],Table1[[#This Row],[English 
Score]],Table1[[#This Row],[Geography 
Score]])</f>
        <v>90</v>
      </c>
      <c r="AB20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206">
        <f t="shared" si="3"/>
        <v>154</v>
      </c>
      <c r="AD206" t="str">
        <f>_xlfn.IFS(Table1[[#This Row],[Absence 
Days]]&lt;3,"Excellent",Table1[[#This Row],[Absence 
Days]]&lt;=6,"Good",Table1[[#This Row],[Absence 
Days]]&gt;6,"Poor")</f>
        <v>Excellent</v>
      </c>
    </row>
    <row r="207" spans="1:30" x14ac:dyDescent="0.35">
      <c r="A207">
        <v>206</v>
      </c>
      <c r="B207" s="2" t="s">
        <v>16</v>
      </c>
      <c r="C207" t="s">
        <v>492</v>
      </c>
      <c r="D207" t="str">
        <f>_xlfn.TEXTJOIN(" ",TRUE,Table1[[#This Row],[First 
Name]:[Last 
Name]])</f>
        <v>Maxwell Davis</v>
      </c>
      <c r="E207" t="s">
        <v>1317</v>
      </c>
      <c r="F207" t="s">
        <v>3244</v>
      </c>
      <c r="G207" t="str">
        <f ca="1">PROPER(Table1[[#This Row],[Part Time 
Job]])</f>
        <v>False</v>
      </c>
      <c r="H207" s="3">
        <v>3</v>
      </c>
      <c r="I207" t="str">
        <f ca="1">PROPER(Table1[[#This Row],[Extracurricular 
Activities]])</f>
        <v>False</v>
      </c>
      <c r="J207">
        <v>17</v>
      </c>
      <c r="K207" t="s">
        <v>3117</v>
      </c>
      <c r="L207">
        <v>97</v>
      </c>
      <c r="M207" s="12" t="str" cm="1">
        <f t="array" ref="M20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207">
        <v>78</v>
      </c>
      <c r="O207" s="13" t="str" cm="1">
        <f t="array" ref="O20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207">
        <v>81</v>
      </c>
      <c r="Q207" s="13" t="str" cm="1">
        <f t="array" ref="Q20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207">
        <v>67</v>
      </c>
      <c r="S207" t="str" cm="1">
        <f t="array" ref="S20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207">
        <v>90</v>
      </c>
      <c r="U207" t="str" cm="1">
        <f t="array" ref="U20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207">
        <v>95</v>
      </c>
      <c r="W207" t="str" cm="1">
        <f t="array" ref="W20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207">
        <v>79</v>
      </c>
      <c r="Y207" t="str" cm="1">
        <f t="array" ref="Y20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207">
        <f>SUM(Table1[[#This Row],[Math 
Score]],Table1[[#This Row],[History 
Score]],Table1[[#This Row],[Physics 
Score]],Table1[[#This Row],[Chemistry 
Score]],Table1[[#This Row],[Biology 
Score]],Table1[[#This Row],[English 
Score]],Table1[[#This Row],[Geography 
Score]])</f>
        <v>587</v>
      </c>
      <c r="AA207" s="3">
        <f>AVERAGE(Table1[[#This Row],[Math 
Score]],Table1[[#This Row],[History 
Score]],Table1[[#This Row],[Physics 
Score]],Table1[[#This Row],[Chemistry 
Score]],Table1[[#This Row],[Biology 
Score]],Table1[[#This Row],[English 
Score]],Table1[[#This Row],[Geography 
Score]])</f>
        <v>83.857142857142861</v>
      </c>
      <c r="AB20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207">
        <f t="shared" si="3"/>
        <v>583</v>
      </c>
      <c r="AD207" t="str">
        <f>_xlfn.IFS(Table1[[#This Row],[Absence 
Days]]&lt;3,"Excellent",Table1[[#This Row],[Absence 
Days]]&lt;=6,"Good",Table1[[#This Row],[Absence 
Days]]&gt;6,"Poor")</f>
        <v>Good</v>
      </c>
    </row>
    <row r="208" spans="1:30" x14ac:dyDescent="0.35">
      <c r="A208">
        <v>207</v>
      </c>
      <c r="B208" s="2" t="s">
        <v>110</v>
      </c>
      <c r="C208" t="s">
        <v>599</v>
      </c>
      <c r="D208" t="str">
        <f>_xlfn.TEXTJOIN(" ",TRUE,Table1[[#This Row],[First 
Name]:[Last 
Name]])</f>
        <v>Matthew Guzman</v>
      </c>
      <c r="E208" t="s">
        <v>1318</v>
      </c>
      <c r="F208" t="s">
        <v>3244</v>
      </c>
      <c r="G208" t="str">
        <f ca="1">PROPER(Table1[[#This Row],[Part Time 
Job]])</f>
        <v>False</v>
      </c>
      <c r="H208" s="3">
        <v>5</v>
      </c>
      <c r="I208" t="str">
        <f ca="1">PROPER(Table1[[#This Row],[Extracurricular 
Activities]])</f>
        <v>False</v>
      </c>
      <c r="J208">
        <v>0</v>
      </c>
      <c r="K208" t="s">
        <v>3116</v>
      </c>
      <c r="L208">
        <v>99</v>
      </c>
      <c r="M208" s="12" t="str" cm="1">
        <f t="array" ref="M20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208">
        <v>86</v>
      </c>
      <c r="O208" s="13" t="str" cm="1">
        <f t="array" ref="O20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208">
        <v>68</v>
      </c>
      <c r="Q208" s="13" t="str" cm="1">
        <f t="array" ref="Q20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208">
        <v>94</v>
      </c>
      <c r="S208" t="str" cm="1">
        <f t="array" ref="S20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208">
        <v>97</v>
      </c>
      <c r="U208" t="str" cm="1">
        <f t="array" ref="U20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208">
        <v>77</v>
      </c>
      <c r="W208" t="str" cm="1">
        <f t="array" ref="W20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208">
        <v>92</v>
      </c>
      <c r="Y208" t="str" cm="1">
        <f t="array" ref="Y20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208">
        <f>SUM(Table1[[#This Row],[Math 
Score]],Table1[[#This Row],[History 
Score]],Table1[[#This Row],[Physics 
Score]],Table1[[#This Row],[Chemistry 
Score]],Table1[[#This Row],[Biology 
Score]],Table1[[#This Row],[English 
Score]],Table1[[#This Row],[Geography 
Score]])</f>
        <v>613</v>
      </c>
      <c r="AA208" s="3">
        <f>AVERAGE(Table1[[#This Row],[Math 
Score]],Table1[[#This Row],[History 
Score]],Table1[[#This Row],[Physics 
Score]],Table1[[#This Row],[Chemistry 
Score]],Table1[[#This Row],[Biology 
Score]],Table1[[#This Row],[English 
Score]],Table1[[#This Row],[Geography 
Score]])</f>
        <v>87.571428571428569</v>
      </c>
      <c r="AB20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208">
        <f t="shared" si="3"/>
        <v>271</v>
      </c>
      <c r="AD208" t="str">
        <f>_xlfn.IFS(Table1[[#This Row],[Absence 
Days]]&lt;3,"Excellent",Table1[[#This Row],[Absence 
Days]]&lt;=6,"Good",Table1[[#This Row],[Absence 
Days]]&gt;6,"Poor")</f>
        <v>Good</v>
      </c>
    </row>
    <row r="209" spans="1:30" x14ac:dyDescent="0.35">
      <c r="A209">
        <v>208</v>
      </c>
      <c r="B209" s="2" t="s">
        <v>74</v>
      </c>
      <c r="C209" t="s">
        <v>600</v>
      </c>
      <c r="D209" t="str">
        <f>_xlfn.TEXTJOIN(" ",TRUE,Table1[[#This Row],[First 
Name]:[Last 
Name]])</f>
        <v>Robert Mayer</v>
      </c>
      <c r="E209" t="s">
        <v>1319</v>
      </c>
      <c r="F209" t="s">
        <v>3244</v>
      </c>
      <c r="G209" t="str">
        <f ca="1">PROPER(Table1[[#This Row],[Part Time 
Job]])</f>
        <v>False</v>
      </c>
      <c r="H209" s="3">
        <v>3</v>
      </c>
      <c r="I209" t="str">
        <f ca="1">PROPER(Table1[[#This Row],[Extracurricular 
Activities]])</f>
        <v>True</v>
      </c>
      <c r="J209">
        <v>12</v>
      </c>
      <c r="K209" t="s">
        <v>3123</v>
      </c>
      <c r="L209">
        <v>99</v>
      </c>
      <c r="M209" s="12" t="str" cm="1">
        <f t="array" ref="M20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209">
        <v>73</v>
      </c>
      <c r="O209" s="13" t="str" cm="1">
        <f t="array" ref="O20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209">
        <v>77</v>
      </c>
      <c r="Q209" s="13" t="str" cm="1">
        <f t="array" ref="Q20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209">
        <v>74</v>
      </c>
      <c r="S209" t="str" cm="1">
        <f t="array" ref="S20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209">
        <v>62</v>
      </c>
      <c r="U209" t="str" cm="1">
        <f t="array" ref="U20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209">
        <v>68</v>
      </c>
      <c r="W209" t="str" cm="1">
        <f t="array" ref="W20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209">
        <v>99</v>
      </c>
      <c r="Y209" t="str" cm="1">
        <f t="array" ref="Y20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209">
        <f>SUM(Table1[[#This Row],[Math 
Score]],Table1[[#This Row],[History 
Score]],Table1[[#This Row],[Physics 
Score]],Table1[[#This Row],[Chemistry 
Score]],Table1[[#This Row],[Biology 
Score]],Table1[[#This Row],[English 
Score]],Table1[[#This Row],[Geography 
Score]])</f>
        <v>552</v>
      </c>
      <c r="AA209" s="3">
        <f>AVERAGE(Table1[[#This Row],[Math 
Score]],Table1[[#This Row],[History 
Score]],Table1[[#This Row],[Physics 
Score]],Table1[[#This Row],[Chemistry 
Score]],Table1[[#This Row],[Biology 
Score]],Table1[[#This Row],[English 
Score]],Table1[[#This Row],[Geography 
Score]])</f>
        <v>78.857142857142861</v>
      </c>
      <c r="AB20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209">
        <f t="shared" si="3"/>
        <v>1306</v>
      </c>
      <c r="AD209" t="str">
        <f>_xlfn.IFS(Table1[[#This Row],[Absence 
Days]]&lt;3,"Excellent",Table1[[#This Row],[Absence 
Days]]&lt;=6,"Good",Table1[[#This Row],[Absence 
Days]]&gt;6,"Poor")</f>
        <v>Good</v>
      </c>
    </row>
    <row r="210" spans="1:30" x14ac:dyDescent="0.35">
      <c r="A210">
        <v>209</v>
      </c>
      <c r="B210" s="2" t="s">
        <v>99</v>
      </c>
      <c r="C210" t="s">
        <v>471</v>
      </c>
      <c r="D210" t="str">
        <f>_xlfn.TEXTJOIN(" ",TRUE,Table1[[#This Row],[First 
Name]:[Last 
Name]])</f>
        <v>Amanda Willis</v>
      </c>
      <c r="E210" t="s">
        <v>1320</v>
      </c>
      <c r="F210" t="s">
        <v>3245</v>
      </c>
      <c r="G210" t="str">
        <f ca="1">PROPER(Table1[[#This Row],[Part Time 
Job]])</f>
        <v>False</v>
      </c>
      <c r="H210" s="3">
        <v>2</v>
      </c>
      <c r="I210" t="str">
        <f ca="1">PROPER(Table1[[#This Row],[Extracurricular 
Activities]])</f>
        <v>False</v>
      </c>
      <c r="J210">
        <v>22</v>
      </c>
      <c r="K210" t="s">
        <v>3121</v>
      </c>
      <c r="L210">
        <v>75</v>
      </c>
      <c r="M210" s="12" t="str" cm="1">
        <f t="array" ref="M21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210">
        <v>83</v>
      </c>
      <c r="O210" s="13" t="str" cm="1">
        <f t="array" ref="O21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210">
        <v>70</v>
      </c>
      <c r="Q210" s="13" t="str" cm="1">
        <f t="array" ref="Q21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210">
        <v>71</v>
      </c>
      <c r="S210" t="str" cm="1">
        <f t="array" ref="S21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210">
        <v>86</v>
      </c>
      <c r="U210" t="str" cm="1">
        <f t="array" ref="U21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210">
        <v>95</v>
      </c>
      <c r="W210" t="str" cm="1">
        <f t="array" ref="W21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210">
        <v>76</v>
      </c>
      <c r="Y210" t="str" cm="1">
        <f t="array" ref="Y21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210">
        <f>SUM(Table1[[#This Row],[Math 
Score]],Table1[[#This Row],[History 
Score]],Table1[[#This Row],[Physics 
Score]],Table1[[#This Row],[Chemistry 
Score]],Table1[[#This Row],[Biology 
Score]],Table1[[#This Row],[English 
Score]],Table1[[#This Row],[Geography 
Score]])</f>
        <v>556</v>
      </c>
      <c r="AA210" s="3">
        <f>AVERAGE(Table1[[#This Row],[Math 
Score]],Table1[[#This Row],[History 
Score]],Table1[[#This Row],[Physics 
Score]],Table1[[#This Row],[Chemistry 
Score]],Table1[[#This Row],[Biology 
Score]],Table1[[#This Row],[English 
Score]],Table1[[#This Row],[Geography 
Score]])</f>
        <v>79.428571428571431</v>
      </c>
      <c r="AB21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210">
        <f t="shared" si="3"/>
        <v>1224</v>
      </c>
      <c r="AD210" t="str">
        <f>_xlfn.IFS(Table1[[#This Row],[Absence 
Days]]&lt;3,"Excellent",Table1[[#This Row],[Absence 
Days]]&lt;=6,"Good",Table1[[#This Row],[Absence 
Days]]&gt;6,"Poor")</f>
        <v>Excellent</v>
      </c>
    </row>
    <row r="211" spans="1:30" x14ac:dyDescent="0.35">
      <c r="A211">
        <v>210</v>
      </c>
      <c r="B211" s="2" t="s">
        <v>141</v>
      </c>
      <c r="C211" t="s">
        <v>80</v>
      </c>
      <c r="D211" t="str">
        <f>_xlfn.TEXTJOIN(" ",TRUE,Table1[[#This Row],[First 
Name]:[Last 
Name]])</f>
        <v>Michele Thomas</v>
      </c>
      <c r="E211" t="s">
        <v>1321</v>
      </c>
      <c r="F211" t="s">
        <v>3245</v>
      </c>
      <c r="G211" t="str">
        <f ca="1">PROPER(Table1[[#This Row],[Part Time 
Job]])</f>
        <v>False</v>
      </c>
      <c r="H211" s="3">
        <v>1</v>
      </c>
      <c r="I211" t="str">
        <f ca="1">PROPER(Table1[[#This Row],[Extracurricular 
Activities]])</f>
        <v>True</v>
      </c>
      <c r="J211">
        <v>14</v>
      </c>
      <c r="K211" t="s">
        <v>3118</v>
      </c>
      <c r="L211">
        <v>63</v>
      </c>
      <c r="M211" s="12" t="str" cm="1">
        <f t="array" ref="M211">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211">
        <v>80</v>
      </c>
      <c r="O211" s="13" t="str" cm="1">
        <f t="array" ref="O21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211">
        <v>99</v>
      </c>
      <c r="Q211" s="13" t="str" cm="1">
        <f t="array" ref="Q21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211">
        <v>78</v>
      </c>
      <c r="S211" t="str" cm="1">
        <f t="array" ref="S21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211">
        <v>60</v>
      </c>
      <c r="U211" t="str" cm="1">
        <f t="array" ref="U21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211">
        <v>84</v>
      </c>
      <c r="W211" t="str" cm="1">
        <f t="array" ref="W21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211">
        <v>86</v>
      </c>
      <c r="Y211" t="str" cm="1">
        <f t="array" ref="Y21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211">
        <f>SUM(Table1[[#This Row],[Math 
Score]],Table1[[#This Row],[History 
Score]],Table1[[#This Row],[Physics 
Score]],Table1[[#This Row],[Chemistry 
Score]],Table1[[#This Row],[Biology 
Score]],Table1[[#This Row],[English 
Score]],Table1[[#This Row],[Geography 
Score]])</f>
        <v>550</v>
      </c>
      <c r="AA211" s="3">
        <f>AVERAGE(Table1[[#This Row],[Math 
Score]],Table1[[#This Row],[History 
Score]],Table1[[#This Row],[Physics 
Score]],Table1[[#This Row],[Chemistry 
Score]],Table1[[#This Row],[Biology 
Score]],Table1[[#This Row],[English 
Score]],Table1[[#This Row],[Geography 
Score]])</f>
        <v>78.571428571428569</v>
      </c>
      <c r="AB21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211">
        <f t="shared" si="3"/>
        <v>1338</v>
      </c>
      <c r="AD211" t="str">
        <f>_xlfn.IFS(Table1[[#This Row],[Absence 
Days]]&lt;3,"Excellent",Table1[[#This Row],[Absence 
Days]]&lt;=6,"Good",Table1[[#This Row],[Absence 
Days]]&gt;6,"Poor")</f>
        <v>Excellent</v>
      </c>
    </row>
    <row r="212" spans="1:30" x14ac:dyDescent="0.35">
      <c r="A212">
        <v>211</v>
      </c>
      <c r="B212" s="2" t="s">
        <v>19</v>
      </c>
      <c r="C212" t="s">
        <v>544</v>
      </c>
      <c r="D212" t="str">
        <f>_xlfn.TEXTJOIN(" ",TRUE,Table1[[#This Row],[First 
Name]:[Last 
Name]])</f>
        <v>Tim Turner</v>
      </c>
      <c r="E212" t="s">
        <v>1322</v>
      </c>
      <c r="F212" t="s">
        <v>3244</v>
      </c>
      <c r="G212" t="str">
        <f ca="1">PROPER(Table1[[#This Row],[Part Time 
Job]])</f>
        <v>False</v>
      </c>
      <c r="H212" s="3">
        <v>0</v>
      </c>
      <c r="I212" t="str">
        <f ca="1">PROPER(Table1[[#This Row],[Extracurricular 
Activities]])</f>
        <v>False</v>
      </c>
      <c r="J212">
        <v>41</v>
      </c>
      <c r="K212" t="s">
        <v>3113</v>
      </c>
      <c r="L212">
        <v>96</v>
      </c>
      <c r="M212" s="12" t="str" cm="1">
        <f t="array" ref="M21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212">
        <v>88</v>
      </c>
      <c r="O212" s="13" t="str" cm="1">
        <f t="array" ref="O21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212">
        <v>90</v>
      </c>
      <c r="Q212" s="13" t="str" cm="1">
        <f t="array" ref="Q21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212">
        <v>100</v>
      </c>
      <c r="S212" t="str" cm="1">
        <f t="array" ref="S21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212">
        <v>94</v>
      </c>
      <c r="U212" t="str" cm="1">
        <f t="array" ref="U21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212">
        <v>87</v>
      </c>
      <c r="W212" t="str" cm="1">
        <f t="array" ref="W21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212">
        <v>96</v>
      </c>
      <c r="Y212" t="str" cm="1">
        <f t="array" ref="Y21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212">
        <f>SUM(Table1[[#This Row],[Math 
Score]],Table1[[#This Row],[History 
Score]],Table1[[#This Row],[Physics 
Score]],Table1[[#This Row],[Chemistry 
Score]],Table1[[#This Row],[Biology 
Score]],Table1[[#This Row],[English 
Score]],Table1[[#This Row],[Geography 
Score]])</f>
        <v>651</v>
      </c>
      <c r="AA212" s="3">
        <f>AVERAGE(Table1[[#This Row],[Math 
Score]],Table1[[#This Row],[History 
Score]],Table1[[#This Row],[Physics 
Score]],Table1[[#This Row],[Chemistry 
Score]],Table1[[#This Row],[Biology 
Score]],Table1[[#This Row],[English 
Score]],Table1[[#This Row],[Geography 
Score]])</f>
        <v>93</v>
      </c>
      <c r="AB21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212">
        <f t="shared" si="3"/>
        <v>51</v>
      </c>
      <c r="AD212" t="str">
        <f>_xlfn.IFS(Table1[[#This Row],[Absence 
Days]]&lt;3,"Excellent",Table1[[#This Row],[Absence 
Days]]&lt;=6,"Good",Table1[[#This Row],[Absence 
Days]]&gt;6,"Poor")</f>
        <v>Excellent</v>
      </c>
    </row>
    <row r="213" spans="1:30" x14ac:dyDescent="0.35">
      <c r="A213">
        <v>212</v>
      </c>
      <c r="B213" s="2" t="s">
        <v>142</v>
      </c>
      <c r="C213" t="s">
        <v>601</v>
      </c>
      <c r="D213" t="str">
        <f>_xlfn.TEXTJOIN(" ",TRUE,Table1[[#This Row],[First 
Name]:[Last 
Name]])</f>
        <v>Joe Strickland</v>
      </c>
      <c r="E213" t="s">
        <v>1323</v>
      </c>
      <c r="F213" t="s">
        <v>3244</v>
      </c>
      <c r="G213" t="str">
        <f ca="1">PROPER(Table1[[#This Row],[Part Time 
Job]])</f>
        <v>False</v>
      </c>
      <c r="H213" s="3">
        <v>4</v>
      </c>
      <c r="I213" t="str">
        <f ca="1">PROPER(Table1[[#This Row],[Extracurricular 
Activities]])</f>
        <v>False</v>
      </c>
      <c r="J213">
        <v>32</v>
      </c>
      <c r="K213" t="s">
        <v>3125</v>
      </c>
      <c r="L213">
        <v>91</v>
      </c>
      <c r="M213" s="12" t="str" cm="1">
        <f t="array" ref="M21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213">
        <v>73</v>
      </c>
      <c r="O213" s="13" t="str" cm="1">
        <f t="array" ref="O21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213">
        <v>86</v>
      </c>
      <c r="Q213" s="13" t="str" cm="1">
        <f t="array" ref="Q21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213">
        <v>73</v>
      </c>
      <c r="S213" t="str" cm="1">
        <f t="array" ref="S21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213">
        <v>84</v>
      </c>
      <c r="U213" t="str" cm="1">
        <f t="array" ref="U21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213">
        <v>60</v>
      </c>
      <c r="W213" t="str" cm="1">
        <f t="array" ref="W21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213">
        <v>71</v>
      </c>
      <c r="Y213" t="str" cm="1">
        <f t="array" ref="Y21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213">
        <f>SUM(Table1[[#This Row],[Math 
Score]],Table1[[#This Row],[History 
Score]],Table1[[#This Row],[Physics 
Score]],Table1[[#This Row],[Chemistry 
Score]],Table1[[#This Row],[Biology 
Score]],Table1[[#This Row],[English 
Score]],Table1[[#This Row],[Geography 
Score]])</f>
        <v>538</v>
      </c>
      <c r="AA213" s="3">
        <f>AVERAGE(Table1[[#This Row],[Math 
Score]],Table1[[#This Row],[History 
Score]],Table1[[#This Row],[Physics 
Score]],Table1[[#This Row],[Chemistry 
Score]],Table1[[#This Row],[Biology 
Score]],Table1[[#This Row],[English 
Score]],Table1[[#This Row],[Geography 
Score]])</f>
        <v>76.857142857142861</v>
      </c>
      <c r="AB21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213">
        <f t="shared" si="3"/>
        <v>1537</v>
      </c>
      <c r="AD213" t="str">
        <f>_xlfn.IFS(Table1[[#This Row],[Absence 
Days]]&lt;3,"Excellent",Table1[[#This Row],[Absence 
Days]]&lt;=6,"Good",Table1[[#This Row],[Absence 
Days]]&gt;6,"Poor")</f>
        <v>Good</v>
      </c>
    </row>
    <row r="214" spans="1:30" x14ac:dyDescent="0.35">
      <c r="A214">
        <v>213</v>
      </c>
      <c r="B214" s="2" t="s">
        <v>143</v>
      </c>
      <c r="C214" t="s">
        <v>602</v>
      </c>
      <c r="D214" t="str">
        <f>_xlfn.TEXTJOIN(" ",TRUE,Table1[[#This Row],[First 
Name]:[Last 
Name]])</f>
        <v>Trevor Cruz</v>
      </c>
      <c r="E214" t="s">
        <v>1324</v>
      </c>
      <c r="F214" t="s">
        <v>3244</v>
      </c>
      <c r="G214" t="str">
        <f ca="1">PROPER(Table1[[#This Row],[Part Time 
Job]])</f>
        <v>True</v>
      </c>
      <c r="H214" s="3">
        <v>1</v>
      </c>
      <c r="I214" t="str">
        <f ca="1">PROPER(Table1[[#This Row],[Extracurricular 
Activities]])</f>
        <v>False</v>
      </c>
      <c r="J214">
        <v>4</v>
      </c>
      <c r="K214" t="s">
        <v>3119</v>
      </c>
      <c r="L214">
        <v>52</v>
      </c>
      <c r="M214" s="12" t="str" cm="1">
        <f t="array" ref="M214">_xlfn.IFS(Table1[[#This Row],[Math 
Score]]&gt;=90,"A+",Table1[[#This Row],[Math 
Score]]&gt;=80,"A", Table1[[#This Row],[Math 
Score]]&gt;=75,"A-",Table1[[#This Row],[Math 
Score]]&gt;=70,"B+",Table1[[#This Row],[Math 
Score]]&gt;=65,"B",Table1[[#This Row],[Math 
Score]]&gt;=60,"B-",Table1[[#This Row],[Math 
Score]]&gt;=50,"C",Table1[[#This Row],[Math 
Score]]&gt;=40,"D",Table1[[#This Row],[Math 
Score]]&lt;40,"F")</f>
        <v>C</v>
      </c>
      <c r="N214">
        <v>58</v>
      </c>
      <c r="O214" s="13" t="str" cm="1">
        <f t="array" ref="O21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C</v>
      </c>
      <c r="P214">
        <v>60</v>
      </c>
      <c r="Q214" s="13" t="str" cm="1">
        <f t="array" ref="Q21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214">
        <v>97</v>
      </c>
      <c r="S214" t="str" cm="1">
        <f t="array" ref="S21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214">
        <v>93</v>
      </c>
      <c r="U214" t="str" cm="1">
        <f t="array" ref="U21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214">
        <v>89</v>
      </c>
      <c r="W214" t="str" cm="1">
        <f t="array" ref="W21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214">
        <v>68</v>
      </c>
      <c r="Y214" t="str" cm="1">
        <f t="array" ref="Y21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214">
        <f>SUM(Table1[[#This Row],[Math 
Score]],Table1[[#This Row],[History 
Score]],Table1[[#This Row],[Physics 
Score]],Table1[[#This Row],[Chemistry 
Score]],Table1[[#This Row],[Biology 
Score]],Table1[[#This Row],[English 
Score]],Table1[[#This Row],[Geography 
Score]])</f>
        <v>517</v>
      </c>
      <c r="AA214" s="3">
        <f>AVERAGE(Table1[[#This Row],[Math 
Score]],Table1[[#This Row],[History 
Score]],Table1[[#This Row],[Physics 
Score]],Table1[[#This Row],[Chemistry 
Score]],Table1[[#This Row],[Biology 
Score]],Table1[[#This Row],[English 
Score]],Table1[[#This Row],[Geography 
Score]])</f>
        <v>73.857142857142861</v>
      </c>
      <c r="AB21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214">
        <f t="shared" si="3"/>
        <v>1781</v>
      </c>
      <c r="AD214" t="str">
        <f>_xlfn.IFS(Table1[[#This Row],[Absence 
Days]]&lt;3,"Excellent",Table1[[#This Row],[Absence 
Days]]&lt;=6,"Good",Table1[[#This Row],[Absence 
Days]]&gt;6,"Poor")</f>
        <v>Excellent</v>
      </c>
    </row>
    <row r="215" spans="1:30" x14ac:dyDescent="0.35">
      <c r="A215">
        <v>214</v>
      </c>
      <c r="B215" s="2" t="s">
        <v>51</v>
      </c>
      <c r="C215" t="s">
        <v>603</v>
      </c>
      <c r="D215" t="str">
        <f>_xlfn.TEXTJOIN(" ",TRUE,Table1[[#This Row],[First 
Name]:[Last 
Name]])</f>
        <v>Melissa Roberts</v>
      </c>
      <c r="E215" t="s">
        <v>1325</v>
      </c>
      <c r="F215" t="s">
        <v>3245</v>
      </c>
      <c r="G215" t="str">
        <f ca="1">PROPER(Table1[[#This Row],[Part Time 
Job]])</f>
        <v>False</v>
      </c>
      <c r="H215" s="3">
        <v>1</v>
      </c>
      <c r="I215" t="str">
        <f ca="1">PROPER(Table1[[#This Row],[Extracurricular 
Activities]])</f>
        <v>False</v>
      </c>
      <c r="J215">
        <v>22</v>
      </c>
      <c r="K215" t="s">
        <v>3113</v>
      </c>
      <c r="L215">
        <v>99</v>
      </c>
      <c r="M215" s="12" t="str" cm="1">
        <f t="array" ref="M21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215">
        <v>71</v>
      </c>
      <c r="O215" s="13" t="str" cm="1">
        <f t="array" ref="O21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215">
        <v>80</v>
      </c>
      <c r="Q215" s="13" t="str" cm="1">
        <f t="array" ref="Q21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215">
        <v>82</v>
      </c>
      <c r="S215" t="str" cm="1">
        <f t="array" ref="S21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215">
        <v>95</v>
      </c>
      <c r="U215" t="str" cm="1">
        <f t="array" ref="U21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215">
        <v>64</v>
      </c>
      <c r="W215" t="str" cm="1">
        <f t="array" ref="W21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215">
        <v>64</v>
      </c>
      <c r="Y215" t="str" cm="1">
        <f t="array" ref="Y21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215">
        <f>SUM(Table1[[#This Row],[Math 
Score]],Table1[[#This Row],[History 
Score]],Table1[[#This Row],[Physics 
Score]],Table1[[#This Row],[Chemistry 
Score]],Table1[[#This Row],[Biology 
Score]],Table1[[#This Row],[English 
Score]],Table1[[#This Row],[Geography 
Score]])</f>
        <v>555</v>
      </c>
      <c r="AA215" s="3">
        <f>AVERAGE(Table1[[#This Row],[Math 
Score]],Table1[[#This Row],[History 
Score]],Table1[[#This Row],[Physics 
Score]],Table1[[#This Row],[Chemistry 
Score]],Table1[[#This Row],[Biology 
Score]],Table1[[#This Row],[English 
Score]],Table1[[#This Row],[Geography 
Score]])</f>
        <v>79.285714285714292</v>
      </c>
      <c r="AB21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215">
        <f t="shared" si="3"/>
        <v>1245</v>
      </c>
      <c r="AD215" t="str">
        <f>_xlfn.IFS(Table1[[#This Row],[Absence 
Days]]&lt;3,"Excellent",Table1[[#This Row],[Absence 
Days]]&lt;=6,"Good",Table1[[#This Row],[Absence 
Days]]&gt;6,"Poor")</f>
        <v>Excellent</v>
      </c>
    </row>
    <row r="216" spans="1:30" x14ac:dyDescent="0.35">
      <c r="A216">
        <v>215</v>
      </c>
      <c r="B216" s="2" t="s">
        <v>144</v>
      </c>
      <c r="C216" t="s">
        <v>479</v>
      </c>
      <c r="D216" t="str">
        <f>_xlfn.TEXTJOIN(" ",TRUE,Table1[[#This Row],[First 
Name]:[Last 
Name]])</f>
        <v>Tammy Miller</v>
      </c>
      <c r="E216" t="s">
        <v>1326</v>
      </c>
      <c r="F216" t="s">
        <v>3245</v>
      </c>
      <c r="G216" t="str">
        <f ca="1">PROPER(Table1[[#This Row],[Part Time 
Job]])</f>
        <v>False</v>
      </c>
      <c r="H216" s="3">
        <v>3</v>
      </c>
      <c r="I216" t="str">
        <f ca="1">PROPER(Table1[[#This Row],[Extracurricular 
Activities]])</f>
        <v>False</v>
      </c>
      <c r="J216">
        <v>17</v>
      </c>
      <c r="K216" t="s">
        <v>3121</v>
      </c>
      <c r="L216">
        <v>84</v>
      </c>
      <c r="M216" s="12" t="str" cm="1">
        <f t="array" ref="M21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216">
        <v>62</v>
      </c>
      <c r="O216" s="13" t="str" cm="1">
        <f t="array" ref="O21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216">
        <v>92</v>
      </c>
      <c r="Q216" s="13" t="str" cm="1">
        <f t="array" ref="Q21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216">
        <v>74</v>
      </c>
      <c r="S216" t="str" cm="1">
        <f t="array" ref="S21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216">
        <v>73</v>
      </c>
      <c r="U216" t="str" cm="1">
        <f t="array" ref="U21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216">
        <v>98</v>
      </c>
      <c r="W216" t="str" cm="1">
        <f t="array" ref="W21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216">
        <v>91</v>
      </c>
      <c r="Y216" t="str" cm="1">
        <f t="array" ref="Y21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216">
        <f>SUM(Table1[[#This Row],[Math 
Score]],Table1[[#This Row],[History 
Score]],Table1[[#This Row],[Physics 
Score]],Table1[[#This Row],[Chemistry 
Score]],Table1[[#This Row],[Biology 
Score]],Table1[[#This Row],[English 
Score]],Table1[[#This Row],[Geography 
Score]])</f>
        <v>574</v>
      </c>
      <c r="AA216" s="3">
        <f>AVERAGE(Table1[[#This Row],[Math 
Score]],Table1[[#This Row],[History 
Score]],Table1[[#This Row],[Physics 
Score]],Table1[[#This Row],[Chemistry 
Score]],Table1[[#This Row],[Biology 
Score]],Table1[[#This Row],[English 
Score]],Table1[[#This Row],[Geography 
Score]])</f>
        <v>82</v>
      </c>
      <c r="AB21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216">
        <f t="shared" si="3"/>
        <v>832</v>
      </c>
      <c r="AD216" t="str">
        <f>_xlfn.IFS(Table1[[#This Row],[Absence 
Days]]&lt;3,"Excellent",Table1[[#This Row],[Absence 
Days]]&lt;=6,"Good",Table1[[#This Row],[Absence 
Days]]&gt;6,"Poor")</f>
        <v>Good</v>
      </c>
    </row>
    <row r="217" spans="1:30" x14ac:dyDescent="0.35">
      <c r="A217">
        <v>216</v>
      </c>
      <c r="B217" s="2" t="s">
        <v>145</v>
      </c>
      <c r="C217" t="s">
        <v>250</v>
      </c>
      <c r="D217" t="str">
        <f>_xlfn.TEXTJOIN(" ",TRUE,Table1[[#This Row],[First 
Name]:[Last 
Name]])</f>
        <v>Chad Morgan</v>
      </c>
      <c r="E217" t="s">
        <v>1327</v>
      </c>
      <c r="F217" t="s">
        <v>3244</v>
      </c>
      <c r="G217" t="str">
        <f ca="1">PROPER(Table1[[#This Row],[Part Time 
Job]])</f>
        <v>False</v>
      </c>
      <c r="H217" s="3">
        <v>2</v>
      </c>
      <c r="I217" t="str">
        <f ca="1">PROPER(Table1[[#This Row],[Extracurricular 
Activities]])</f>
        <v>False</v>
      </c>
      <c r="J217">
        <v>2</v>
      </c>
      <c r="K217" t="s">
        <v>3115</v>
      </c>
      <c r="L217">
        <v>100</v>
      </c>
      <c r="M217" s="12" t="str" cm="1">
        <f t="array" ref="M21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217">
        <v>90</v>
      </c>
      <c r="O217" s="13" t="str" cm="1">
        <f t="array" ref="O21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217">
        <v>82</v>
      </c>
      <c r="Q217" s="13" t="str" cm="1">
        <f t="array" ref="Q21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217">
        <v>79</v>
      </c>
      <c r="S217" t="str" cm="1">
        <f t="array" ref="S21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217">
        <v>94</v>
      </c>
      <c r="U217" t="str" cm="1">
        <f t="array" ref="U21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217">
        <v>83</v>
      </c>
      <c r="W217" t="str" cm="1">
        <f t="array" ref="W21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217">
        <v>78</v>
      </c>
      <c r="Y217" t="str" cm="1">
        <f t="array" ref="Y21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217">
        <f>SUM(Table1[[#This Row],[Math 
Score]],Table1[[#This Row],[History 
Score]],Table1[[#This Row],[Physics 
Score]],Table1[[#This Row],[Chemistry 
Score]],Table1[[#This Row],[Biology 
Score]],Table1[[#This Row],[English 
Score]],Table1[[#This Row],[Geography 
Score]])</f>
        <v>606</v>
      </c>
      <c r="AA217" s="3">
        <f>AVERAGE(Table1[[#This Row],[Math 
Score]],Table1[[#This Row],[History 
Score]],Table1[[#This Row],[Physics 
Score]],Table1[[#This Row],[Chemistry 
Score]],Table1[[#This Row],[Biology 
Score]],Table1[[#This Row],[English 
Score]],Table1[[#This Row],[Geography 
Score]])</f>
        <v>86.571428571428569</v>
      </c>
      <c r="AB21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217">
        <f t="shared" si="3"/>
        <v>333</v>
      </c>
      <c r="AD217" t="str">
        <f>_xlfn.IFS(Table1[[#This Row],[Absence 
Days]]&lt;3,"Excellent",Table1[[#This Row],[Absence 
Days]]&lt;=6,"Good",Table1[[#This Row],[Absence 
Days]]&gt;6,"Poor")</f>
        <v>Excellent</v>
      </c>
    </row>
    <row r="218" spans="1:30" x14ac:dyDescent="0.35">
      <c r="A218">
        <v>217</v>
      </c>
      <c r="B218" s="2" t="s">
        <v>146</v>
      </c>
      <c r="C218" t="s">
        <v>604</v>
      </c>
      <c r="D218" t="str">
        <f>_xlfn.TEXTJOIN(" ",TRUE,Table1[[#This Row],[First 
Name]:[Last 
Name]])</f>
        <v>Samantha Maldonado</v>
      </c>
      <c r="E218" t="s">
        <v>1328</v>
      </c>
      <c r="F218" t="s">
        <v>3245</v>
      </c>
      <c r="G218" t="str">
        <f ca="1">PROPER(Table1[[#This Row],[Part Time 
Job]])</f>
        <v>False</v>
      </c>
      <c r="H218" s="3">
        <v>4</v>
      </c>
      <c r="I218" t="str">
        <f ca="1">PROPER(Table1[[#This Row],[Extracurricular 
Activities]])</f>
        <v>False</v>
      </c>
      <c r="J218">
        <v>33</v>
      </c>
      <c r="K218" t="s">
        <v>3121</v>
      </c>
      <c r="L218">
        <v>82</v>
      </c>
      <c r="M218" s="12" t="str" cm="1">
        <f t="array" ref="M21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218">
        <v>71</v>
      </c>
      <c r="O218" s="13" t="str" cm="1">
        <f t="array" ref="O21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218">
        <v>93</v>
      </c>
      <c r="Q218" s="13" t="str" cm="1">
        <f t="array" ref="Q21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218">
        <v>90</v>
      </c>
      <c r="S218" t="str" cm="1">
        <f t="array" ref="S21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218">
        <v>90</v>
      </c>
      <c r="U218" t="str" cm="1">
        <f t="array" ref="U21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218">
        <v>76</v>
      </c>
      <c r="W218" t="str" cm="1">
        <f t="array" ref="W21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218">
        <v>97</v>
      </c>
      <c r="Y218" t="str" cm="1">
        <f t="array" ref="Y21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218">
        <f>SUM(Table1[[#This Row],[Math 
Score]],Table1[[#This Row],[History 
Score]],Table1[[#This Row],[Physics 
Score]],Table1[[#This Row],[Chemistry 
Score]],Table1[[#This Row],[Biology 
Score]],Table1[[#This Row],[English 
Score]],Table1[[#This Row],[Geography 
Score]])</f>
        <v>599</v>
      </c>
      <c r="AA218" s="3">
        <f>AVERAGE(Table1[[#This Row],[Math 
Score]],Table1[[#This Row],[History 
Score]],Table1[[#This Row],[Physics 
Score]],Table1[[#This Row],[Chemistry 
Score]],Table1[[#This Row],[Biology 
Score]],Table1[[#This Row],[English 
Score]],Table1[[#This Row],[Geography 
Score]])</f>
        <v>85.571428571428569</v>
      </c>
      <c r="AB21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218">
        <f t="shared" si="3"/>
        <v>426</v>
      </c>
      <c r="AD218" t="str">
        <f>_xlfn.IFS(Table1[[#This Row],[Absence 
Days]]&lt;3,"Excellent",Table1[[#This Row],[Absence 
Days]]&lt;=6,"Good",Table1[[#This Row],[Absence 
Days]]&gt;6,"Poor")</f>
        <v>Good</v>
      </c>
    </row>
    <row r="219" spans="1:30" x14ac:dyDescent="0.35">
      <c r="A219">
        <v>218</v>
      </c>
      <c r="B219" s="2" t="s">
        <v>147</v>
      </c>
      <c r="C219" t="s">
        <v>353</v>
      </c>
      <c r="D219" t="str">
        <f>_xlfn.TEXTJOIN(" ",TRUE,Table1[[#This Row],[First 
Name]:[Last 
Name]])</f>
        <v>Marie Martin</v>
      </c>
      <c r="E219" t="s">
        <v>1329</v>
      </c>
      <c r="F219" t="s">
        <v>3245</v>
      </c>
      <c r="G219" t="str">
        <f ca="1">PROPER(Table1[[#This Row],[Part Time 
Job]])</f>
        <v>False</v>
      </c>
      <c r="H219" s="3">
        <v>5</v>
      </c>
      <c r="I219" t="str">
        <f ca="1">PROPER(Table1[[#This Row],[Extracurricular 
Activities]])</f>
        <v>False</v>
      </c>
      <c r="J219">
        <v>29</v>
      </c>
      <c r="K219" t="s">
        <v>3121</v>
      </c>
      <c r="L219">
        <v>75</v>
      </c>
      <c r="M219" s="12" t="str" cm="1">
        <f t="array" ref="M21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219">
        <v>88</v>
      </c>
      <c r="O219" s="13" t="str" cm="1">
        <f t="array" ref="O21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219">
        <v>65</v>
      </c>
      <c r="Q219" s="13" t="str" cm="1">
        <f t="array" ref="Q21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219">
        <v>80</v>
      </c>
      <c r="S219" t="str" cm="1">
        <f t="array" ref="S21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219">
        <v>76</v>
      </c>
      <c r="U219" t="str" cm="1">
        <f t="array" ref="U21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219">
        <v>94</v>
      </c>
      <c r="W219" t="str" cm="1">
        <f t="array" ref="W21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219">
        <v>97</v>
      </c>
      <c r="Y219" t="str" cm="1">
        <f t="array" ref="Y21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219">
        <f>SUM(Table1[[#This Row],[Math 
Score]],Table1[[#This Row],[History 
Score]],Table1[[#This Row],[Physics 
Score]],Table1[[#This Row],[Chemistry 
Score]],Table1[[#This Row],[Biology 
Score]],Table1[[#This Row],[English 
Score]],Table1[[#This Row],[Geography 
Score]])</f>
        <v>575</v>
      </c>
      <c r="AA219" s="3">
        <f>AVERAGE(Table1[[#This Row],[Math 
Score]],Table1[[#This Row],[History 
Score]],Table1[[#This Row],[Physics 
Score]],Table1[[#This Row],[Chemistry 
Score]],Table1[[#This Row],[Biology 
Score]],Table1[[#This Row],[English 
Score]],Table1[[#This Row],[Geography 
Score]])</f>
        <v>82.142857142857139</v>
      </c>
      <c r="AB21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219">
        <f t="shared" si="3"/>
        <v>807</v>
      </c>
      <c r="AD219" t="str">
        <f>_xlfn.IFS(Table1[[#This Row],[Absence 
Days]]&lt;3,"Excellent",Table1[[#This Row],[Absence 
Days]]&lt;=6,"Good",Table1[[#This Row],[Absence 
Days]]&gt;6,"Poor")</f>
        <v>Good</v>
      </c>
    </row>
    <row r="220" spans="1:30" x14ac:dyDescent="0.35">
      <c r="A220">
        <v>219</v>
      </c>
      <c r="B220" s="2" t="s">
        <v>148</v>
      </c>
      <c r="C220" t="s">
        <v>605</v>
      </c>
      <c r="D220" t="str">
        <f>_xlfn.TEXTJOIN(" ",TRUE,Table1[[#This Row],[First 
Name]:[Last 
Name]])</f>
        <v>Theresa Tucker</v>
      </c>
      <c r="E220" t="s">
        <v>1330</v>
      </c>
      <c r="F220" t="s">
        <v>3245</v>
      </c>
      <c r="G220" t="str">
        <f ca="1">PROPER(Table1[[#This Row],[Part Time 
Job]])</f>
        <v>True</v>
      </c>
      <c r="H220" s="3">
        <v>1</v>
      </c>
      <c r="I220" t="str">
        <f ca="1">PROPER(Table1[[#This Row],[Extracurricular 
Activities]])</f>
        <v>False</v>
      </c>
      <c r="J220">
        <v>27</v>
      </c>
      <c r="K220" t="s">
        <v>3116</v>
      </c>
      <c r="L220">
        <v>66</v>
      </c>
      <c r="M220" s="12" t="str" cm="1">
        <f t="array" ref="M220">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220">
        <v>71</v>
      </c>
      <c r="O220" s="13" t="str" cm="1">
        <f t="array" ref="O22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220">
        <v>94</v>
      </c>
      <c r="Q220" s="13" t="str" cm="1">
        <f t="array" ref="Q22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220">
        <v>72</v>
      </c>
      <c r="S220" t="str" cm="1">
        <f t="array" ref="S22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220">
        <v>96</v>
      </c>
      <c r="U220" t="str" cm="1">
        <f t="array" ref="U22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220">
        <v>70</v>
      </c>
      <c r="W220" t="str" cm="1">
        <f t="array" ref="W22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220">
        <v>63</v>
      </c>
      <c r="Y220" t="str" cm="1">
        <f t="array" ref="Y22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220">
        <f>SUM(Table1[[#This Row],[Math 
Score]],Table1[[#This Row],[History 
Score]],Table1[[#This Row],[Physics 
Score]],Table1[[#This Row],[Chemistry 
Score]],Table1[[#This Row],[Biology 
Score]],Table1[[#This Row],[English 
Score]],Table1[[#This Row],[Geography 
Score]])</f>
        <v>532</v>
      </c>
      <c r="AA220" s="3">
        <f>AVERAGE(Table1[[#This Row],[Math 
Score]],Table1[[#This Row],[History 
Score]],Table1[[#This Row],[Physics 
Score]],Table1[[#This Row],[Chemistry 
Score]],Table1[[#This Row],[Biology 
Score]],Table1[[#This Row],[English 
Score]],Table1[[#This Row],[Geography 
Score]])</f>
        <v>76</v>
      </c>
      <c r="AB22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220">
        <f t="shared" si="3"/>
        <v>1622</v>
      </c>
      <c r="AD220" t="str">
        <f>_xlfn.IFS(Table1[[#This Row],[Absence 
Days]]&lt;3,"Excellent",Table1[[#This Row],[Absence 
Days]]&lt;=6,"Good",Table1[[#This Row],[Absence 
Days]]&gt;6,"Poor")</f>
        <v>Excellent</v>
      </c>
    </row>
    <row r="221" spans="1:30" x14ac:dyDescent="0.35">
      <c r="A221">
        <v>220</v>
      </c>
      <c r="B221" s="2" t="s">
        <v>149</v>
      </c>
      <c r="C221" t="s">
        <v>606</v>
      </c>
      <c r="D221" t="str">
        <f>_xlfn.TEXTJOIN(" ",TRUE,Table1[[#This Row],[First 
Name]:[Last 
Name]])</f>
        <v>Joseph Morris</v>
      </c>
      <c r="E221" t="s">
        <v>1331</v>
      </c>
      <c r="F221" t="s">
        <v>3244</v>
      </c>
      <c r="G221" t="str">
        <f ca="1">PROPER(Table1[[#This Row],[Part Time 
Job]])</f>
        <v>False</v>
      </c>
      <c r="H221" s="3">
        <v>6</v>
      </c>
      <c r="I221" t="str">
        <f ca="1">PROPER(Table1[[#This Row],[Extracurricular 
Activities]])</f>
        <v>True</v>
      </c>
      <c r="J221">
        <v>34</v>
      </c>
      <c r="K221" t="s">
        <v>3121</v>
      </c>
      <c r="L221">
        <v>99</v>
      </c>
      <c r="M221" s="12" t="str" cm="1">
        <f t="array" ref="M22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221">
        <v>88</v>
      </c>
      <c r="O221" s="13" t="str" cm="1">
        <f t="array" ref="O22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221">
        <v>72</v>
      </c>
      <c r="Q221" s="13" t="str" cm="1">
        <f t="array" ref="Q22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221">
        <v>76</v>
      </c>
      <c r="S221" t="str" cm="1">
        <f t="array" ref="S22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221">
        <v>68</v>
      </c>
      <c r="U221" t="str" cm="1">
        <f t="array" ref="U22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221">
        <v>92</v>
      </c>
      <c r="W221" t="str" cm="1">
        <f t="array" ref="W22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221">
        <v>72</v>
      </c>
      <c r="Y221" t="str" cm="1">
        <f t="array" ref="Y22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221">
        <f>SUM(Table1[[#This Row],[Math 
Score]],Table1[[#This Row],[History 
Score]],Table1[[#This Row],[Physics 
Score]],Table1[[#This Row],[Chemistry 
Score]],Table1[[#This Row],[Biology 
Score]],Table1[[#This Row],[English 
Score]],Table1[[#This Row],[Geography 
Score]])</f>
        <v>567</v>
      </c>
      <c r="AA221" s="3">
        <f>AVERAGE(Table1[[#This Row],[Math 
Score]],Table1[[#This Row],[History 
Score]],Table1[[#This Row],[Physics 
Score]],Table1[[#This Row],[Chemistry 
Score]],Table1[[#This Row],[Biology 
Score]],Table1[[#This Row],[English 
Score]],Table1[[#This Row],[Geography 
Score]])</f>
        <v>81</v>
      </c>
      <c r="AB22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221">
        <f t="shared" si="3"/>
        <v>994</v>
      </c>
      <c r="AD221" t="str">
        <f>_xlfn.IFS(Table1[[#This Row],[Absence 
Days]]&lt;3,"Excellent",Table1[[#This Row],[Absence 
Days]]&lt;=6,"Good",Table1[[#This Row],[Absence 
Days]]&gt;6,"Poor")</f>
        <v>Good</v>
      </c>
    </row>
    <row r="222" spans="1:30" x14ac:dyDescent="0.35">
      <c r="A222">
        <v>221</v>
      </c>
      <c r="B222" s="2" t="s">
        <v>70</v>
      </c>
      <c r="C222" t="s">
        <v>528</v>
      </c>
      <c r="D222" t="str">
        <f>_xlfn.TEXTJOIN(" ",TRUE,Table1[[#This Row],[First 
Name]:[Last 
Name]])</f>
        <v>Charles Parker</v>
      </c>
      <c r="E222" t="s">
        <v>1332</v>
      </c>
      <c r="F222" t="s">
        <v>3244</v>
      </c>
      <c r="G222" t="str">
        <f ca="1">PROPER(Table1[[#This Row],[Part Time 
Job]])</f>
        <v>False</v>
      </c>
      <c r="H222" s="3">
        <v>3</v>
      </c>
      <c r="I222" t="str">
        <f ca="1">PROPER(Table1[[#This Row],[Extracurricular 
Activities]])</f>
        <v>False</v>
      </c>
      <c r="J222">
        <v>2</v>
      </c>
      <c r="K222" t="s">
        <v>3128</v>
      </c>
      <c r="L222">
        <v>99</v>
      </c>
      <c r="M222" s="12" t="str" cm="1">
        <f t="array" ref="M22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222">
        <v>76</v>
      </c>
      <c r="O222" s="13" t="str" cm="1">
        <f t="array" ref="O22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222">
        <v>94</v>
      </c>
      <c r="Q222" s="13" t="str" cm="1">
        <f t="array" ref="Q22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222">
        <v>88</v>
      </c>
      <c r="S222" t="str" cm="1">
        <f t="array" ref="S22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222">
        <v>75</v>
      </c>
      <c r="U222" t="str" cm="1">
        <f t="array" ref="U22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222">
        <v>66</v>
      </c>
      <c r="W222" t="str" cm="1">
        <f t="array" ref="W22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222">
        <v>84</v>
      </c>
      <c r="Y222" t="str" cm="1">
        <f t="array" ref="Y22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222">
        <f>SUM(Table1[[#This Row],[Math 
Score]],Table1[[#This Row],[History 
Score]],Table1[[#This Row],[Physics 
Score]],Table1[[#This Row],[Chemistry 
Score]],Table1[[#This Row],[Biology 
Score]],Table1[[#This Row],[English 
Score]],Table1[[#This Row],[Geography 
Score]])</f>
        <v>582</v>
      </c>
      <c r="AA222" s="3">
        <f>AVERAGE(Table1[[#This Row],[Math 
Score]],Table1[[#This Row],[History 
Score]],Table1[[#This Row],[Physics 
Score]],Table1[[#This Row],[Chemistry 
Score]],Table1[[#This Row],[Biology 
Score]],Table1[[#This Row],[English 
Score]],Table1[[#This Row],[Geography 
Score]])</f>
        <v>83.142857142857139</v>
      </c>
      <c r="AB22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222">
        <f t="shared" si="3"/>
        <v>670</v>
      </c>
      <c r="AD222" t="str">
        <f>_xlfn.IFS(Table1[[#This Row],[Absence 
Days]]&lt;3,"Excellent",Table1[[#This Row],[Absence 
Days]]&lt;=6,"Good",Table1[[#This Row],[Absence 
Days]]&gt;6,"Poor")</f>
        <v>Good</v>
      </c>
    </row>
    <row r="223" spans="1:30" x14ac:dyDescent="0.35">
      <c r="A223">
        <v>222</v>
      </c>
      <c r="B223" s="2" t="s">
        <v>129</v>
      </c>
      <c r="C223" t="s">
        <v>607</v>
      </c>
      <c r="D223" t="str">
        <f>_xlfn.TEXTJOIN(" ",TRUE,Table1[[#This Row],[First 
Name]:[Last 
Name]])</f>
        <v>Rachel Alvarez</v>
      </c>
      <c r="E223" t="s">
        <v>1333</v>
      </c>
      <c r="F223" t="s">
        <v>3245</v>
      </c>
      <c r="G223" t="str">
        <f ca="1">PROPER(Table1[[#This Row],[Part Time 
Job]])</f>
        <v>False</v>
      </c>
      <c r="H223" s="3">
        <v>3</v>
      </c>
      <c r="I223" t="str">
        <f ca="1">PROPER(Table1[[#This Row],[Extracurricular 
Activities]])</f>
        <v>False</v>
      </c>
      <c r="J223">
        <v>22</v>
      </c>
      <c r="K223" t="s">
        <v>3117</v>
      </c>
      <c r="L223">
        <v>95</v>
      </c>
      <c r="M223" s="12" t="str" cm="1">
        <f t="array" ref="M22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223">
        <v>87</v>
      </c>
      <c r="O223" s="13" t="str" cm="1">
        <f t="array" ref="O22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223">
        <v>79</v>
      </c>
      <c r="Q223" s="13" t="str" cm="1">
        <f t="array" ref="Q22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223">
        <v>95</v>
      </c>
      <c r="S223" t="str" cm="1">
        <f t="array" ref="S22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223">
        <v>84</v>
      </c>
      <c r="U223" t="str" cm="1">
        <f t="array" ref="U22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223">
        <v>90</v>
      </c>
      <c r="W223" t="str" cm="1">
        <f t="array" ref="W22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223">
        <v>74</v>
      </c>
      <c r="Y223" t="str" cm="1">
        <f t="array" ref="Y22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223">
        <f>SUM(Table1[[#This Row],[Math 
Score]],Table1[[#This Row],[History 
Score]],Table1[[#This Row],[Physics 
Score]],Table1[[#This Row],[Chemistry 
Score]],Table1[[#This Row],[Biology 
Score]],Table1[[#This Row],[English 
Score]],Table1[[#This Row],[Geography 
Score]])</f>
        <v>604</v>
      </c>
      <c r="AA223" s="3">
        <f>AVERAGE(Table1[[#This Row],[Math 
Score]],Table1[[#This Row],[History 
Score]],Table1[[#This Row],[Physics 
Score]],Table1[[#This Row],[Chemistry 
Score]],Table1[[#This Row],[Biology 
Score]],Table1[[#This Row],[English 
Score]],Table1[[#This Row],[Geography 
Score]])</f>
        <v>86.285714285714292</v>
      </c>
      <c r="AB22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223">
        <f t="shared" si="3"/>
        <v>353</v>
      </c>
      <c r="AD223" t="str">
        <f>_xlfn.IFS(Table1[[#This Row],[Absence 
Days]]&lt;3,"Excellent",Table1[[#This Row],[Absence 
Days]]&lt;=6,"Good",Table1[[#This Row],[Absence 
Days]]&gt;6,"Poor")</f>
        <v>Good</v>
      </c>
    </row>
    <row r="224" spans="1:30" x14ac:dyDescent="0.35">
      <c r="A224">
        <v>223</v>
      </c>
      <c r="B224" s="2" t="s">
        <v>70</v>
      </c>
      <c r="C224" t="s">
        <v>608</v>
      </c>
      <c r="D224" t="str">
        <f>_xlfn.TEXTJOIN(" ",TRUE,Table1[[#This Row],[First 
Name]:[Last 
Name]])</f>
        <v>Charles Robertson</v>
      </c>
      <c r="E224" t="s">
        <v>1334</v>
      </c>
      <c r="F224" t="s">
        <v>3244</v>
      </c>
      <c r="G224" t="str">
        <f ca="1">PROPER(Table1[[#This Row],[Part Time 
Job]])</f>
        <v>False</v>
      </c>
      <c r="H224" s="3">
        <v>7</v>
      </c>
      <c r="I224" t="str">
        <f ca="1">PROPER(Table1[[#This Row],[Extracurricular 
Activities]])</f>
        <v>False</v>
      </c>
      <c r="J224">
        <v>33</v>
      </c>
      <c r="K224" t="s">
        <v>3117</v>
      </c>
      <c r="L224">
        <v>99</v>
      </c>
      <c r="M224" s="12" t="str" cm="1">
        <f t="array" ref="M22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224">
        <v>61</v>
      </c>
      <c r="O224" s="13" t="str" cm="1">
        <f t="array" ref="O22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224">
        <v>75</v>
      </c>
      <c r="Q224" s="13" t="str" cm="1">
        <f t="array" ref="Q22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224">
        <v>68</v>
      </c>
      <c r="S224" t="str" cm="1">
        <f t="array" ref="S22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224">
        <v>66</v>
      </c>
      <c r="U224" t="str" cm="1">
        <f t="array" ref="U22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224">
        <v>90</v>
      </c>
      <c r="W224" t="str" cm="1">
        <f t="array" ref="W22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224">
        <v>99</v>
      </c>
      <c r="Y224" t="str" cm="1">
        <f t="array" ref="Y22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224">
        <f>SUM(Table1[[#This Row],[Math 
Score]],Table1[[#This Row],[History 
Score]],Table1[[#This Row],[Physics 
Score]],Table1[[#This Row],[Chemistry 
Score]],Table1[[#This Row],[Biology 
Score]],Table1[[#This Row],[English 
Score]],Table1[[#This Row],[Geography 
Score]])</f>
        <v>558</v>
      </c>
      <c r="AA224" s="3">
        <f>AVERAGE(Table1[[#This Row],[Math 
Score]],Table1[[#This Row],[History 
Score]],Table1[[#This Row],[Physics 
Score]],Table1[[#This Row],[Chemistry 
Score]],Table1[[#This Row],[Biology 
Score]],Table1[[#This Row],[English 
Score]],Table1[[#This Row],[Geography 
Score]])</f>
        <v>79.714285714285708</v>
      </c>
      <c r="AB22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224">
        <f t="shared" si="3"/>
        <v>1178</v>
      </c>
      <c r="AD224" t="str">
        <f>_xlfn.IFS(Table1[[#This Row],[Absence 
Days]]&lt;3,"Excellent",Table1[[#This Row],[Absence 
Days]]&lt;=6,"Good",Table1[[#This Row],[Absence 
Days]]&gt;6,"Poor")</f>
        <v>Poor</v>
      </c>
    </row>
    <row r="225" spans="1:30" x14ac:dyDescent="0.35">
      <c r="A225">
        <v>224</v>
      </c>
      <c r="B225" s="2" t="s">
        <v>60</v>
      </c>
      <c r="C225" t="s">
        <v>609</v>
      </c>
      <c r="D225" t="str">
        <f>_xlfn.TEXTJOIN(" ",TRUE,Table1[[#This Row],[First 
Name]:[Last 
Name]])</f>
        <v>Steven York</v>
      </c>
      <c r="E225" t="s">
        <v>1335</v>
      </c>
      <c r="F225" t="s">
        <v>3244</v>
      </c>
      <c r="G225" t="str">
        <f ca="1">PROPER(Table1[[#This Row],[Part Time 
Job]])</f>
        <v>False</v>
      </c>
      <c r="H225" s="3">
        <v>5</v>
      </c>
      <c r="I225" t="str">
        <f ca="1">PROPER(Table1[[#This Row],[Extracurricular 
Activities]])</f>
        <v>False</v>
      </c>
      <c r="J225">
        <v>17</v>
      </c>
      <c r="K225" t="s">
        <v>3124</v>
      </c>
      <c r="L225">
        <v>65</v>
      </c>
      <c r="M225" s="12" t="str" cm="1">
        <f t="array" ref="M225">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225">
        <v>72</v>
      </c>
      <c r="O225" s="13" t="str" cm="1">
        <f t="array" ref="O22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225">
        <v>96</v>
      </c>
      <c r="Q225" s="13" t="str" cm="1">
        <f t="array" ref="Q22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225">
        <v>69</v>
      </c>
      <c r="S225" t="str" cm="1">
        <f t="array" ref="S22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225">
        <v>78</v>
      </c>
      <c r="U225" t="str" cm="1">
        <f t="array" ref="U22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225">
        <v>93</v>
      </c>
      <c r="W225" t="str" cm="1">
        <f t="array" ref="W22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225">
        <v>72</v>
      </c>
      <c r="Y225" t="str" cm="1">
        <f t="array" ref="Y22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225">
        <f>SUM(Table1[[#This Row],[Math 
Score]],Table1[[#This Row],[History 
Score]],Table1[[#This Row],[Physics 
Score]],Table1[[#This Row],[Chemistry 
Score]],Table1[[#This Row],[Biology 
Score]],Table1[[#This Row],[English 
Score]],Table1[[#This Row],[Geography 
Score]])</f>
        <v>545</v>
      </c>
      <c r="AA225" s="3">
        <f>AVERAGE(Table1[[#This Row],[Math 
Score]],Table1[[#This Row],[History 
Score]],Table1[[#This Row],[Physics 
Score]],Table1[[#This Row],[Chemistry 
Score]],Table1[[#This Row],[Biology 
Score]],Table1[[#This Row],[English 
Score]],Table1[[#This Row],[Geography 
Score]])</f>
        <v>77.857142857142861</v>
      </c>
      <c r="AB22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225">
        <f t="shared" si="3"/>
        <v>1432</v>
      </c>
      <c r="AD225" t="str">
        <f>_xlfn.IFS(Table1[[#This Row],[Absence 
Days]]&lt;3,"Excellent",Table1[[#This Row],[Absence 
Days]]&lt;=6,"Good",Table1[[#This Row],[Absence 
Days]]&gt;6,"Poor")</f>
        <v>Good</v>
      </c>
    </row>
    <row r="226" spans="1:30" x14ac:dyDescent="0.35">
      <c r="A226">
        <v>225</v>
      </c>
      <c r="B226" s="2" t="s">
        <v>74</v>
      </c>
      <c r="C226" t="s">
        <v>610</v>
      </c>
      <c r="D226" t="str">
        <f>_xlfn.TEXTJOIN(" ",TRUE,Table1[[#This Row],[First 
Name]:[Last 
Name]])</f>
        <v>Robert Dougherty</v>
      </c>
      <c r="E226" t="s">
        <v>1336</v>
      </c>
      <c r="F226" t="s">
        <v>3244</v>
      </c>
      <c r="G226" t="str">
        <f ca="1">PROPER(Table1[[#This Row],[Part Time 
Job]])</f>
        <v>False</v>
      </c>
      <c r="H226" s="3">
        <v>7</v>
      </c>
      <c r="I226" t="str">
        <f ca="1">PROPER(Table1[[#This Row],[Extracurricular 
Activities]])</f>
        <v>False</v>
      </c>
      <c r="J226">
        <v>4</v>
      </c>
      <c r="K226" t="s">
        <v>3119</v>
      </c>
      <c r="L226">
        <v>85</v>
      </c>
      <c r="M226" s="12" t="str" cm="1">
        <f t="array" ref="M22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226">
        <v>55</v>
      </c>
      <c r="O226" s="13" t="str" cm="1">
        <f t="array" ref="O22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C</v>
      </c>
      <c r="P226">
        <v>74</v>
      </c>
      <c r="Q226" s="13" t="str" cm="1">
        <f t="array" ref="Q22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226">
        <v>71</v>
      </c>
      <c r="S226" t="str" cm="1">
        <f t="array" ref="S22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226">
        <v>66</v>
      </c>
      <c r="U226" t="str" cm="1">
        <f t="array" ref="U22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226">
        <v>50</v>
      </c>
      <c r="W226" t="str" cm="1">
        <f t="array" ref="W22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C</v>
      </c>
      <c r="X226">
        <v>99</v>
      </c>
      <c r="Y226" t="str" cm="1">
        <f t="array" ref="Y22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226">
        <f>SUM(Table1[[#This Row],[Math 
Score]],Table1[[#This Row],[History 
Score]],Table1[[#This Row],[Physics 
Score]],Table1[[#This Row],[Chemistry 
Score]],Table1[[#This Row],[Biology 
Score]],Table1[[#This Row],[English 
Score]],Table1[[#This Row],[Geography 
Score]])</f>
        <v>500</v>
      </c>
      <c r="AA226" s="3">
        <f>AVERAGE(Table1[[#This Row],[Math 
Score]],Table1[[#This Row],[History 
Score]],Table1[[#This Row],[Physics 
Score]],Table1[[#This Row],[Chemistry 
Score]],Table1[[#This Row],[Biology 
Score]],Table1[[#This Row],[English 
Score]],Table1[[#This Row],[Geography 
Score]])</f>
        <v>71.428571428571431</v>
      </c>
      <c r="AB22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226">
        <f t="shared" si="3"/>
        <v>1875</v>
      </c>
      <c r="AD226" t="str">
        <f>_xlfn.IFS(Table1[[#This Row],[Absence 
Days]]&lt;3,"Excellent",Table1[[#This Row],[Absence 
Days]]&lt;=6,"Good",Table1[[#This Row],[Absence 
Days]]&gt;6,"Poor")</f>
        <v>Poor</v>
      </c>
    </row>
    <row r="227" spans="1:30" x14ac:dyDescent="0.35">
      <c r="A227">
        <v>226</v>
      </c>
      <c r="B227" s="2" t="s">
        <v>134</v>
      </c>
      <c r="C227" t="s">
        <v>611</v>
      </c>
      <c r="D227" t="str">
        <f>_xlfn.TEXTJOIN(" ",TRUE,Table1[[#This Row],[First 
Name]:[Last 
Name]])</f>
        <v>Vanessa Wheeler</v>
      </c>
      <c r="E227" t="s">
        <v>1337</v>
      </c>
      <c r="F227" t="s">
        <v>3245</v>
      </c>
      <c r="G227" t="str">
        <f ca="1">PROPER(Table1[[#This Row],[Part Time 
Job]])</f>
        <v>False</v>
      </c>
      <c r="H227" s="3">
        <v>7</v>
      </c>
      <c r="I227" t="str">
        <f ca="1">PROPER(Table1[[#This Row],[Extracurricular 
Activities]])</f>
        <v>True</v>
      </c>
      <c r="J227">
        <v>3</v>
      </c>
      <c r="K227" t="s">
        <v>3119</v>
      </c>
      <c r="L227">
        <v>69</v>
      </c>
      <c r="M227" s="12" t="str" cm="1">
        <f t="array" ref="M227">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227">
        <v>78</v>
      </c>
      <c r="O227" s="13" t="str" cm="1">
        <f t="array" ref="O22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227">
        <v>57</v>
      </c>
      <c r="Q227" s="13" t="str" cm="1">
        <f t="array" ref="Q22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C</v>
      </c>
      <c r="R227">
        <v>72</v>
      </c>
      <c r="S227" t="str" cm="1">
        <f t="array" ref="S22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227">
        <v>71</v>
      </c>
      <c r="U227" t="str" cm="1">
        <f t="array" ref="U22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227">
        <v>96</v>
      </c>
      <c r="W227" t="str" cm="1">
        <f t="array" ref="W22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227">
        <v>87</v>
      </c>
      <c r="Y227" t="str" cm="1">
        <f t="array" ref="Y22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227">
        <f>SUM(Table1[[#This Row],[Math 
Score]],Table1[[#This Row],[History 
Score]],Table1[[#This Row],[Physics 
Score]],Table1[[#This Row],[Chemistry 
Score]],Table1[[#This Row],[Biology 
Score]],Table1[[#This Row],[English 
Score]],Table1[[#This Row],[Geography 
Score]])</f>
        <v>530</v>
      </c>
      <c r="AA227" s="3">
        <f>AVERAGE(Table1[[#This Row],[Math 
Score]],Table1[[#This Row],[History 
Score]],Table1[[#This Row],[Physics 
Score]],Table1[[#This Row],[Chemistry 
Score]],Table1[[#This Row],[Biology 
Score]],Table1[[#This Row],[English 
Score]],Table1[[#This Row],[Geography 
Score]])</f>
        <v>75.714285714285708</v>
      </c>
      <c r="AB22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227">
        <f t="shared" si="3"/>
        <v>1646</v>
      </c>
      <c r="AD227" t="str">
        <f>_xlfn.IFS(Table1[[#This Row],[Absence 
Days]]&lt;3,"Excellent",Table1[[#This Row],[Absence 
Days]]&lt;=6,"Good",Table1[[#This Row],[Absence 
Days]]&gt;6,"Poor")</f>
        <v>Poor</v>
      </c>
    </row>
    <row r="228" spans="1:30" x14ac:dyDescent="0.35">
      <c r="A228">
        <v>227</v>
      </c>
      <c r="B228" s="2" t="s">
        <v>37</v>
      </c>
      <c r="C228" t="s">
        <v>612</v>
      </c>
      <c r="D228" t="str">
        <f>_xlfn.TEXTJOIN(" ",TRUE,Table1[[#This Row],[First 
Name]:[Last 
Name]])</f>
        <v>Emily Mcclure</v>
      </c>
      <c r="E228" t="s">
        <v>1338</v>
      </c>
      <c r="F228" t="s">
        <v>3245</v>
      </c>
      <c r="G228" t="str">
        <f ca="1">PROPER(Table1[[#This Row],[Part Time 
Job]])</f>
        <v>False</v>
      </c>
      <c r="H228" s="3">
        <v>7</v>
      </c>
      <c r="I228" t="str">
        <f ca="1">PROPER(Table1[[#This Row],[Extracurricular 
Activities]])</f>
        <v>False</v>
      </c>
      <c r="J228">
        <v>3</v>
      </c>
      <c r="K228" t="s">
        <v>3119</v>
      </c>
      <c r="L228">
        <v>75</v>
      </c>
      <c r="M228" s="12" t="str" cm="1">
        <f t="array" ref="M22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228">
        <v>76</v>
      </c>
      <c r="O228" s="13" t="str" cm="1">
        <f t="array" ref="O22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228">
        <v>88</v>
      </c>
      <c r="Q228" s="13" t="str" cm="1">
        <f t="array" ref="Q22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228">
        <v>65</v>
      </c>
      <c r="S228" t="str" cm="1">
        <f t="array" ref="S22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228">
        <v>97</v>
      </c>
      <c r="U228" t="str" cm="1">
        <f t="array" ref="U22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228">
        <v>83</v>
      </c>
      <c r="W228" t="str" cm="1">
        <f t="array" ref="W22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228">
        <v>85</v>
      </c>
      <c r="Y228" t="str" cm="1">
        <f t="array" ref="Y22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228">
        <f>SUM(Table1[[#This Row],[Math 
Score]],Table1[[#This Row],[History 
Score]],Table1[[#This Row],[Physics 
Score]],Table1[[#This Row],[Chemistry 
Score]],Table1[[#This Row],[Biology 
Score]],Table1[[#This Row],[English 
Score]],Table1[[#This Row],[Geography 
Score]])</f>
        <v>569</v>
      </c>
      <c r="AA228" s="3">
        <f>AVERAGE(Table1[[#This Row],[Math 
Score]],Table1[[#This Row],[History 
Score]],Table1[[#This Row],[Physics 
Score]],Table1[[#This Row],[Chemistry 
Score]],Table1[[#This Row],[Biology 
Score]],Table1[[#This Row],[English 
Score]],Table1[[#This Row],[Geography 
Score]])</f>
        <v>81.285714285714292</v>
      </c>
      <c r="AB22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228">
        <f t="shared" si="3"/>
        <v>957</v>
      </c>
      <c r="AD228" t="str">
        <f>_xlfn.IFS(Table1[[#This Row],[Absence 
Days]]&lt;3,"Excellent",Table1[[#This Row],[Absence 
Days]]&lt;=6,"Good",Table1[[#This Row],[Absence 
Days]]&gt;6,"Poor")</f>
        <v>Poor</v>
      </c>
    </row>
    <row r="229" spans="1:30" x14ac:dyDescent="0.35">
      <c r="A229">
        <v>228</v>
      </c>
      <c r="B229" s="2" t="s">
        <v>18</v>
      </c>
      <c r="C229" t="s">
        <v>80</v>
      </c>
      <c r="D229" t="str">
        <f>_xlfn.TEXTJOIN(" ",TRUE,Table1[[#This Row],[First 
Name]:[Last 
Name]])</f>
        <v>Angela Thomas</v>
      </c>
      <c r="E229" t="s">
        <v>1339</v>
      </c>
      <c r="F229" t="s">
        <v>3245</v>
      </c>
      <c r="G229" t="str">
        <f ca="1">PROPER(Table1[[#This Row],[Part Time 
Job]])</f>
        <v>False</v>
      </c>
      <c r="H229" s="3">
        <v>7</v>
      </c>
      <c r="I229" t="str">
        <f ca="1">PROPER(Table1[[#This Row],[Extracurricular 
Activities]])</f>
        <v>True</v>
      </c>
      <c r="J229">
        <v>17</v>
      </c>
      <c r="K229" t="s">
        <v>3117</v>
      </c>
      <c r="L229">
        <v>91</v>
      </c>
      <c r="M229" s="12" t="str" cm="1">
        <f t="array" ref="M22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229">
        <v>78</v>
      </c>
      <c r="O229" s="13" t="str" cm="1">
        <f t="array" ref="O22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229">
        <v>72</v>
      </c>
      <c r="Q229" s="13" t="str" cm="1">
        <f t="array" ref="Q22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229">
        <v>69</v>
      </c>
      <c r="S229" t="str" cm="1">
        <f t="array" ref="S22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229">
        <v>77</v>
      </c>
      <c r="U229" t="str" cm="1">
        <f t="array" ref="U22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229">
        <v>91</v>
      </c>
      <c r="W229" t="str" cm="1">
        <f t="array" ref="W22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229">
        <v>96</v>
      </c>
      <c r="Y229" t="str" cm="1">
        <f t="array" ref="Y22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229">
        <f>SUM(Table1[[#This Row],[Math 
Score]],Table1[[#This Row],[History 
Score]],Table1[[#This Row],[Physics 
Score]],Table1[[#This Row],[Chemistry 
Score]],Table1[[#This Row],[Biology 
Score]],Table1[[#This Row],[English 
Score]],Table1[[#This Row],[Geography 
Score]])</f>
        <v>574</v>
      </c>
      <c r="AA229" s="3">
        <f>AVERAGE(Table1[[#This Row],[Math 
Score]],Table1[[#This Row],[History 
Score]],Table1[[#This Row],[Physics 
Score]],Table1[[#This Row],[Chemistry 
Score]],Table1[[#This Row],[Biology 
Score]],Table1[[#This Row],[English 
Score]],Table1[[#This Row],[Geography 
Score]])</f>
        <v>82</v>
      </c>
      <c r="AB22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229">
        <f t="shared" si="3"/>
        <v>832</v>
      </c>
      <c r="AD229" t="str">
        <f>_xlfn.IFS(Table1[[#This Row],[Absence 
Days]]&lt;3,"Excellent",Table1[[#This Row],[Absence 
Days]]&lt;=6,"Good",Table1[[#This Row],[Absence 
Days]]&gt;6,"Poor")</f>
        <v>Poor</v>
      </c>
    </row>
    <row r="230" spans="1:30" x14ac:dyDescent="0.35">
      <c r="A230">
        <v>229</v>
      </c>
      <c r="B230" s="2" t="s">
        <v>150</v>
      </c>
      <c r="C230" t="s">
        <v>613</v>
      </c>
      <c r="D230" t="str">
        <f>_xlfn.TEXTJOIN(" ",TRUE,Table1[[#This Row],[First 
Name]:[Last 
Name]])</f>
        <v>Roberto Evans</v>
      </c>
      <c r="E230" t="s">
        <v>1340</v>
      </c>
      <c r="F230" t="s">
        <v>3244</v>
      </c>
      <c r="G230" t="str">
        <f ca="1">PROPER(Table1[[#This Row],[Part Time 
Job]])</f>
        <v>False</v>
      </c>
      <c r="H230" s="3">
        <v>3</v>
      </c>
      <c r="I230" t="str">
        <f ca="1">PROPER(Table1[[#This Row],[Extracurricular 
Activities]])</f>
        <v>False</v>
      </c>
      <c r="J230">
        <v>6</v>
      </c>
      <c r="K230" t="s">
        <v>3128</v>
      </c>
      <c r="L230">
        <v>92</v>
      </c>
      <c r="M230" s="12" t="str" cm="1">
        <f t="array" ref="M23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230">
        <v>95</v>
      </c>
      <c r="O230" s="13" t="str" cm="1">
        <f t="array" ref="O23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230">
        <v>61</v>
      </c>
      <c r="Q230" s="13" t="str" cm="1">
        <f t="array" ref="Q23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230">
        <v>98</v>
      </c>
      <c r="S230" t="str" cm="1">
        <f t="array" ref="S23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230">
        <v>89</v>
      </c>
      <c r="U230" t="str" cm="1">
        <f t="array" ref="U23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230">
        <v>85</v>
      </c>
      <c r="W230" t="str" cm="1">
        <f t="array" ref="W23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230">
        <v>80</v>
      </c>
      <c r="Y230" t="str" cm="1">
        <f t="array" ref="Y23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230">
        <f>SUM(Table1[[#This Row],[Math 
Score]],Table1[[#This Row],[History 
Score]],Table1[[#This Row],[Physics 
Score]],Table1[[#This Row],[Chemistry 
Score]],Table1[[#This Row],[Biology 
Score]],Table1[[#This Row],[English 
Score]],Table1[[#This Row],[Geography 
Score]])</f>
        <v>600</v>
      </c>
      <c r="AA230" s="3">
        <f>AVERAGE(Table1[[#This Row],[Math 
Score]],Table1[[#This Row],[History 
Score]],Table1[[#This Row],[Physics 
Score]],Table1[[#This Row],[Chemistry 
Score]],Table1[[#This Row],[Biology 
Score]],Table1[[#This Row],[English 
Score]],Table1[[#This Row],[Geography 
Score]])</f>
        <v>85.714285714285708</v>
      </c>
      <c r="AB23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230">
        <f t="shared" si="3"/>
        <v>406</v>
      </c>
      <c r="AD230" t="str">
        <f>_xlfn.IFS(Table1[[#This Row],[Absence 
Days]]&lt;3,"Excellent",Table1[[#This Row],[Absence 
Days]]&lt;=6,"Good",Table1[[#This Row],[Absence 
Days]]&gt;6,"Poor")</f>
        <v>Good</v>
      </c>
    </row>
    <row r="231" spans="1:30" x14ac:dyDescent="0.35">
      <c r="A231">
        <v>230</v>
      </c>
      <c r="B231" s="2" t="s">
        <v>36</v>
      </c>
      <c r="C231" t="s">
        <v>510</v>
      </c>
      <c r="D231" t="str">
        <f>_xlfn.TEXTJOIN(" ",TRUE,Table1[[#This Row],[First 
Name]:[Last 
Name]])</f>
        <v>Christopher Perez</v>
      </c>
      <c r="E231" t="s">
        <v>1341</v>
      </c>
      <c r="F231" t="s">
        <v>3244</v>
      </c>
      <c r="G231" t="str">
        <f ca="1">PROPER(Table1[[#This Row],[Part Time 
Job]])</f>
        <v>False</v>
      </c>
      <c r="H231" s="3">
        <v>7</v>
      </c>
      <c r="I231" t="str">
        <f ca="1">PROPER(Table1[[#This Row],[Extracurricular 
Activities]])</f>
        <v>False</v>
      </c>
      <c r="J231">
        <v>9</v>
      </c>
      <c r="K231" t="s">
        <v>3116</v>
      </c>
      <c r="L231">
        <v>62</v>
      </c>
      <c r="M231" s="12" t="str" cm="1">
        <f t="array" ref="M231">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231">
        <v>64</v>
      </c>
      <c r="O231" s="13" t="str" cm="1">
        <f t="array" ref="O23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231">
        <v>65</v>
      </c>
      <c r="Q231" s="13" t="str" cm="1">
        <f t="array" ref="Q23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231">
        <v>86</v>
      </c>
      <c r="S231" t="str" cm="1">
        <f t="array" ref="S23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231">
        <v>67</v>
      </c>
      <c r="U231" t="str" cm="1">
        <f t="array" ref="U23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231">
        <v>94</v>
      </c>
      <c r="W231" t="str" cm="1">
        <f t="array" ref="W23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231">
        <v>68</v>
      </c>
      <c r="Y231" t="str" cm="1">
        <f t="array" ref="Y23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231">
        <f>SUM(Table1[[#This Row],[Math 
Score]],Table1[[#This Row],[History 
Score]],Table1[[#This Row],[Physics 
Score]],Table1[[#This Row],[Chemistry 
Score]],Table1[[#This Row],[Biology 
Score]],Table1[[#This Row],[English 
Score]],Table1[[#This Row],[Geography 
Score]])</f>
        <v>506</v>
      </c>
      <c r="AA231" s="3">
        <f>AVERAGE(Table1[[#This Row],[Math 
Score]],Table1[[#This Row],[History 
Score]],Table1[[#This Row],[Physics 
Score]],Table1[[#This Row],[Chemistry 
Score]],Table1[[#This Row],[Biology 
Score]],Table1[[#This Row],[English 
Score]],Table1[[#This Row],[Geography 
Score]])</f>
        <v>72.285714285714292</v>
      </c>
      <c r="AB23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231">
        <f t="shared" si="3"/>
        <v>1848</v>
      </c>
      <c r="AD231" t="str">
        <f>_xlfn.IFS(Table1[[#This Row],[Absence 
Days]]&lt;3,"Excellent",Table1[[#This Row],[Absence 
Days]]&lt;=6,"Good",Table1[[#This Row],[Absence 
Days]]&gt;6,"Poor")</f>
        <v>Poor</v>
      </c>
    </row>
    <row r="232" spans="1:30" x14ac:dyDescent="0.35">
      <c r="A232">
        <v>231</v>
      </c>
      <c r="B232" s="2" t="s">
        <v>75</v>
      </c>
      <c r="C232" t="s">
        <v>614</v>
      </c>
      <c r="D232" t="str">
        <f>_xlfn.TEXTJOIN(" ",TRUE,Table1[[#This Row],[First 
Name]:[Last 
Name]])</f>
        <v>William Torres</v>
      </c>
      <c r="E232" t="s">
        <v>1342</v>
      </c>
      <c r="F232" t="s">
        <v>3244</v>
      </c>
      <c r="G232" t="str">
        <f ca="1">PROPER(Table1[[#This Row],[Part Time 
Job]])</f>
        <v>True</v>
      </c>
      <c r="H232" s="3">
        <v>2</v>
      </c>
      <c r="I232" t="str">
        <f ca="1">PROPER(Table1[[#This Row],[Extracurricular 
Activities]])</f>
        <v>False</v>
      </c>
      <c r="J232">
        <v>35</v>
      </c>
      <c r="K232" t="s">
        <v>3117</v>
      </c>
      <c r="L232">
        <v>87</v>
      </c>
      <c r="M232" s="12" t="str" cm="1">
        <f t="array" ref="M23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232">
        <v>91</v>
      </c>
      <c r="O232" s="13" t="str" cm="1">
        <f t="array" ref="O23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232">
        <v>98</v>
      </c>
      <c r="Q232" s="13" t="str" cm="1">
        <f t="array" ref="Q23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232">
        <v>94</v>
      </c>
      <c r="S232" t="str" cm="1">
        <f t="array" ref="S23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232">
        <v>100</v>
      </c>
      <c r="U232" t="str" cm="1">
        <f t="array" ref="U23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232">
        <v>87</v>
      </c>
      <c r="W232" t="str" cm="1">
        <f t="array" ref="W23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232">
        <v>89</v>
      </c>
      <c r="Y232" t="str" cm="1">
        <f t="array" ref="Y23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232">
        <f>SUM(Table1[[#This Row],[Math 
Score]],Table1[[#This Row],[History 
Score]],Table1[[#This Row],[Physics 
Score]],Table1[[#This Row],[Chemistry 
Score]],Table1[[#This Row],[Biology 
Score]],Table1[[#This Row],[English 
Score]],Table1[[#This Row],[Geography 
Score]])</f>
        <v>646</v>
      </c>
      <c r="AA232" s="3">
        <f>AVERAGE(Table1[[#This Row],[Math 
Score]],Table1[[#This Row],[History 
Score]],Table1[[#This Row],[Physics 
Score]],Table1[[#This Row],[Chemistry 
Score]],Table1[[#This Row],[Biology 
Score]],Table1[[#This Row],[English 
Score]],Table1[[#This Row],[Geography 
Score]])</f>
        <v>92.285714285714292</v>
      </c>
      <c r="AB23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232">
        <f t="shared" si="3"/>
        <v>73</v>
      </c>
      <c r="AD232" t="str">
        <f>_xlfn.IFS(Table1[[#This Row],[Absence 
Days]]&lt;3,"Excellent",Table1[[#This Row],[Absence 
Days]]&lt;=6,"Good",Table1[[#This Row],[Absence 
Days]]&gt;6,"Poor")</f>
        <v>Excellent</v>
      </c>
    </row>
    <row r="233" spans="1:30" x14ac:dyDescent="0.35">
      <c r="A233">
        <v>232</v>
      </c>
      <c r="B233" s="2" t="s">
        <v>32</v>
      </c>
      <c r="C233" t="s">
        <v>615</v>
      </c>
      <c r="D233" t="str">
        <f>_xlfn.TEXTJOIN(" ",TRUE,Table1[[#This Row],[First 
Name]:[Last 
Name]])</f>
        <v>Lisa Gardner</v>
      </c>
      <c r="E233" t="s">
        <v>1343</v>
      </c>
      <c r="F233" t="s">
        <v>3245</v>
      </c>
      <c r="G233" t="str">
        <f ca="1">PROPER(Table1[[#This Row],[Part Time 
Job]])</f>
        <v>False</v>
      </c>
      <c r="H233" s="3">
        <v>3</v>
      </c>
      <c r="I233" t="str">
        <f ca="1">PROPER(Table1[[#This Row],[Extracurricular 
Activities]])</f>
        <v>False</v>
      </c>
      <c r="J233">
        <v>17</v>
      </c>
      <c r="K233" t="s">
        <v>3117</v>
      </c>
      <c r="L233">
        <v>97</v>
      </c>
      <c r="M233" s="12" t="str" cm="1">
        <f t="array" ref="M23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233">
        <v>88</v>
      </c>
      <c r="O233" s="13" t="str" cm="1">
        <f t="array" ref="O23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233">
        <v>87</v>
      </c>
      <c r="Q233" s="13" t="str" cm="1">
        <f t="array" ref="Q23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233">
        <v>61</v>
      </c>
      <c r="S233" t="str" cm="1">
        <f t="array" ref="S23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233">
        <v>86</v>
      </c>
      <c r="U233" t="str" cm="1">
        <f t="array" ref="U23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233">
        <v>92</v>
      </c>
      <c r="W233" t="str" cm="1">
        <f t="array" ref="W23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233">
        <v>94</v>
      </c>
      <c r="Y233" t="str" cm="1">
        <f t="array" ref="Y23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233">
        <f>SUM(Table1[[#This Row],[Math 
Score]],Table1[[#This Row],[History 
Score]],Table1[[#This Row],[Physics 
Score]],Table1[[#This Row],[Chemistry 
Score]],Table1[[#This Row],[Biology 
Score]],Table1[[#This Row],[English 
Score]],Table1[[#This Row],[Geography 
Score]])</f>
        <v>605</v>
      </c>
      <c r="AA233" s="3">
        <f>AVERAGE(Table1[[#This Row],[Math 
Score]],Table1[[#This Row],[History 
Score]],Table1[[#This Row],[Physics 
Score]],Table1[[#This Row],[Chemistry 
Score]],Table1[[#This Row],[Biology 
Score]],Table1[[#This Row],[English 
Score]],Table1[[#This Row],[Geography 
Score]])</f>
        <v>86.428571428571431</v>
      </c>
      <c r="AB23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233">
        <f t="shared" si="3"/>
        <v>344</v>
      </c>
      <c r="AD233" t="str">
        <f>_xlfn.IFS(Table1[[#This Row],[Absence 
Days]]&lt;3,"Excellent",Table1[[#This Row],[Absence 
Days]]&lt;=6,"Good",Table1[[#This Row],[Absence 
Days]]&gt;6,"Poor")</f>
        <v>Good</v>
      </c>
    </row>
    <row r="234" spans="1:30" x14ac:dyDescent="0.35">
      <c r="A234">
        <v>233</v>
      </c>
      <c r="B234" s="2" t="s">
        <v>151</v>
      </c>
      <c r="C234" t="s">
        <v>616</v>
      </c>
      <c r="D234" t="str">
        <f>_xlfn.TEXTJOIN(" ",TRUE,Table1[[#This Row],[First 
Name]:[Last 
Name]])</f>
        <v>Catherine Owens</v>
      </c>
      <c r="E234" t="s">
        <v>1344</v>
      </c>
      <c r="F234" t="s">
        <v>3245</v>
      </c>
      <c r="G234" t="str">
        <f ca="1">PROPER(Table1[[#This Row],[Part Time 
Job]])</f>
        <v>False</v>
      </c>
      <c r="H234" s="3">
        <v>1</v>
      </c>
      <c r="I234" t="str">
        <f ca="1">PROPER(Table1[[#This Row],[Extracurricular 
Activities]])</f>
        <v>False</v>
      </c>
      <c r="J234">
        <v>7</v>
      </c>
      <c r="K234" t="s">
        <v>3114</v>
      </c>
      <c r="L234">
        <v>97</v>
      </c>
      <c r="M234" s="12" t="str" cm="1">
        <f t="array" ref="M23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234">
        <v>92</v>
      </c>
      <c r="O234" s="13" t="str" cm="1">
        <f t="array" ref="O23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234">
        <v>79</v>
      </c>
      <c r="Q234" s="13" t="str" cm="1">
        <f t="array" ref="Q23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234">
        <v>88</v>
      </c>
      <c r="S234" t="str" cm="1">
        <f t="array" ref="S23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234">
        <v>92</v>
      </c>
      <c r="U234" t="str" cm="1">
        <f t="array" ref="U23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234">
        <v>99</v>
      </c>
      <c r="W234" t="str" cm="1">
        <f t="array" ref="W23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234">
        <v>85</v>
      </c>
      <c r="Y234" t="str" cm="1">
        <f t="array" ref="Y23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234">
        <f>SUM(Table1[[#This Row],[Math 
Score]],Table1[[#This Row],[History 
Score]],Table1[[#This Row],[Physics 
Score]],Table1[[#This Row],[Chemistry 
Score]],Table1[[#This Row],[Biology 
Score]],Table1[[#This Row],[English 
Score]],Table1[[#This Row],[Geography 
Score]])</f>
        <v>632</v>
      </c>
      <c r="AA234" s="3">
        <f>AVERAGE(Table1[[#This Row],[Math 
Score]],Table1[[#This Row],[History 
Score]],Table1[[#This Row],[Physics 
Score]],Table1[[#This Row],[Chemistry 
Score]],Table1[[#This Row],[Biology 
Score]],Table1[[#This Row],[English 
Score]],Table1[[#This Row],[Geography 
Score]])</f>
        <v>90.285714285714292</v>
      </c>
      <c r="AB23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234">
        <f t="shared" si="3"/>
        <v>143</v>
      </c>
      <c r="AD234" t="str">
        <f>_xlfn.IFS(Table1[[#This Row],[Absence 
Days]]&lt;3,"Excellent",Table1[[#This Row],[Absence 
Days]]&lt;=6,"Good",Table1[[#This Row],[Absence 
Days]]&gt;6,"Poor")</f>
        <v>Excellent</v>
      </c>
    </row>
    <row r="235" spans="1:30" x14ac:dyDescent="0.35">
      <c r="A235">
        <v>234</v>
      </c>
      <c r="B235" s="2" t="s">
        <v>152</v>
      </c>
      <c r="C235" t="s">
        <v>617</v>
      </c>
      <c r="D235" t="str">
        <f>_xlfn.TEXTJOIN(" ",TRUE,Table1[[#This Row],[First 
Name]:[Last 
Name]])</f>
        <v>Keith Summers</v>
      </c>
      <c r="E235" t="s">
        <v>1345</v>
      </c>
      <c r="F235" t="s">
        <v>3244</v>
      </c>
      <c r="G235" t="str">
        <f ca="1">PROPER(Table1[[#This Row],[Part Time 
Job]])</f>
        <v>False</v>
      </c>
      <c r="H235" s="3">
        <v>5</v>
      </c>
      <c r="I235" t="str">
        <f ca="1">PROPER(Table1[[#This Row],[Extracurricular 
Activities]])</f>
        <v>False</v>
      </c>
      <c r="J235">
        <v>16</v>
      </c>
      <c r="K235" t="s">
        <v>3124</v>
      </c>
      <c r="L235">
        <v>98</v>
      </c>
      <c r="M235" s="12" t="str" cm="1">
        <f t="array" ref="M23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235">
        <v>88</v>
      </c>
      <c r="O235" s="13" t="str" cm="1">
        <f t="array" ref="O23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235">
        <v>92</v>
      </c>
      <c r="Q235" s="13" t="str" cm="1">
        <f t="array" ref="Q23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235">
        <v>84</v>
      </c>
      <c r="S235" t="str" cm="1">
        <f t="array" ref="S23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235">
        <v>90</v>
      </c>
      <c r="U235" t="str" cm="1">
        <f t="array" ref="U23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235">
        <v>90</v>
      </c>
      <c r="W235" t="str" cm="1">
        <f t="array" ref="W23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235">
        <v>71</v>
      </c>
      <c r="Y235" t="str" cm="1">
        <f t="array" ref="Y23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235">
        <f>SUM(Table1[[#This Row],[Math 
Score]],Table1[[#This Row],[History 
Score]],Table1[[#This Row],[Physics 
Score]],Table1[[#This Row],[Chemistry 
Score]],Table1[[#This Row],[Biology 
Score]],Table1[[#This Row],[English 
Score]],Table1[[#This Row],[Geography 
Score]])</f>
        <v>613</v>
      </c>
      <c r="AA235" s="3">
        <f>AVERAGE(Table1[[#This Row],[Math 
Score]],Table1[[#This Row],[History 
Score]],Table1[[#This Row],[Physics 
Score]],Table1[[#This Row],[Chemistry 
Score]],Table1[[#This Row],[Biology 
Score]],Table1[[#This Row],[English 
Score]],Table1[[#This Row],[Geography 
Score]])</f>
        <v>87.571428571428569</v>
      </c>
      <c r="AB23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235">
        <f t="shared" si="3"/>
        <v>271</v>
      </c>
      <c r="AD235" t="str">
        <f>_xlfn.IFS(Table1[[#This Row],[Absence 
Days]]&lt;3,"Excellent",Table1[[#This Row],[Absence 
Days]]&lt;=6,"Good",Table1[[#This Row],[Absence 
Days]]&gt;6,"Poor")</f>
        <v>Good</v>
      </c>
    </row>
    <row r="236" spans="1:30" x14ac:dyDescent="0.35">
      <c r="A236">
        <v>235</v>
      </c>
      <c r="B236" s="2" t="s">
        <v>153</v>
      </c>
      <c r="C236" t="s">
        <v>618</v>
      </c>
      <c r="D236" t="str">
        <f>_xlfn.TEXTJOIN(" ",TRUE,Table1[[#This Row],[First 
Name]:[Last 
Name]])</f>
        <v>Linda Adams</v>
      </c>
      <c r="E236" t="s">
        <v>1346</v>
      </c>
      <c r="F236" t="s">
        <v>3245</v>
      </c>
      <c r="G236" t="str">
        <f ca="1">PROPER(Table1[[#This Row],[Part Time 
Job]])</f>
        <v>False</v>
      </c>
      <c r="H236" s="3">
        <v>1</v>
      </c>
      <c r="I236" t="str">
        <f ca="1">PROPER(Table1[[#This Row],[Extracurricular 
Activities]])</f>
        <v>False</v>
      </c>
      <c r="J236">
        <v>20</v>
      </c>
      <c r="K236" t="s">
        <v>3117</v>
      </c>
      <c r="L236">
        <v>96</v>
      </c>
      <c r="M236" s="12" t="str" cm="1">
        <f t="array" ref="M23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236">
        <v>67</v>
      </c>
      <c r="O236" s="13" t="str" cm="1">
        <f t="array" ref="O23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236">
        <v>88</v>
      </c>
      <c r="Q236" s="13" t="str" cm="1">
        <f t="array" ref="Q23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236">
        <v>95</v>
      </c>
      <c r="S236" t="str" cm="1">
        <f t="array" ref="S23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236">
        <v>82</v>
      </c>
      <c r="U236" t="str" cm="1">
        <f t="array" ref="U23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236">
        <v>75</v>
      </c>
      <c r="W236" t="str" cm="1">
        <f t="array" ref="W23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236">
        <v>84</v>
      </c>
      <c r="Y236" t="str" cm="1">
        <f t="array" ref="Y23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236">
        <f>SUM(Table1[[#This Row],[Math 
Score]],Table1[[#This Row],[History 
Score]],Table1[[#This Row],[Physics 
Score]],Table1[[#This Row],[Chemistry 
Score]],Table1[[#This Row],[Biology 
Score]],Table1[[#This Row],[English 
Score]],Table1[[#This Row],[Geography 
Score]])</f>
        <v>587</v>
      </c>
      <c r="AA236" s="3">
        <f>AVERAGE(Table1[[#This Row],[Math 
Score]],Table1[[#This Row],[History 
Score]],Table1[[#This Row],[Physics 
Score]],Table1[[#This Row],[Chemistry 
Score]],Table1[[#This Row],[Biology 
Score]],Table1[[#This Row],[English 
Score]],Table1[[#This Row],[Geography 
Score]])</f>
        <v>83.857142857142861</v>
      </c>
      <c r="AB23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236">
        <f t="shared" si="3"/>
        <v>583</v>
      </c>
      <c r="AD236" t="str">
        <f>_xlfn.IFS(Table1[[#This Row],[Absence 
Days]]&lt;3,"Excellent",Table1[[#This Row],[Absence 
Days]]&lt;=6,"Good",Table1[[#This Row],[Absence 
Days]]&gt;6,"Poor")</f>
        <v>Excellent</v>
      </c>
    </row>
    <row r="237" spans="1:30" x14ac:dyDescent="0.35">
      <c r="A237">
        <v>236</v>
      </c>
      <c r="B237" s="2" t="s">
        <v>34</v>
      </c>
      <c r="C237" t="s">
        <v>538</v>
      </c>
      <c r="D237" t="str">
        <f>_xlfn.TEXTJOIN(" ",TRUE,Table1[[#This Row],[First 
Name]:[Last 
Name]])</f>
        <v>Michael Wright</v>
      </c>
      <c r="E237" t="s">
        <v>1347</v>
      </c>
      <c r="F237" t="s">
        <v>3244</v>
      </c>
      <c r="G237" t="str">
        <f ca="1">PROPER(Table1[[#This Row],[Part Time 
Job]])</f>
        <v>True</v>
      </c>
      <c r="H237" s="3">
        <v>7</v>
      </c>
      <c r="I237" t="str">
        <f ca="1">PROPER(Table1[[#This Row],[Extracurricular 
Activities]])</f>
        <v>False</v>
      </c>
      <c r="J237">
        <v>0</v>
      </c>
      <c r="K237" t="s">
        <v>3119</v>
      </c>
      <c r="L237">
        <v>98</v>
      </c>
      <c r="M237" s="12" t="str" cm="1">
        <f t="array" ref="M23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237">
        <v>89</v>
      </c>
      <c r="O237" s="13" t="str" cm="1">
        <f t="array" ref="O23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237">
        <v>81</v>
      </c>
      <c r="Q237" s="13" t="str" cm="1">
        <f t="array" ref="Q23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237">
        <v>56</v>
      </c>
      <c r="S237" t="str" cm="1">
        <f t="array" ref="S23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C</v>
      </c>
      <c r="T237">
        <v>72</v>
      </c>
      <c r="U237" t="str" cm="1">
        <f t="array" ref="U23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237">
        <v>74</v>
      </c>
      <c r="W237" t="str" cm="1">
        <f t="array" ref="W23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237">
        <v>94</v>
      </c>
      <c r="Y237" t="str" cm="1">
        <f t="array" ref="Y23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237">
        <f>SUM(Table1[[#This Row],[Math 
Score]],Table1[[#This Row],[History 
Score]],Table1[[#This Row],[Physics 
Score]],Table1[[#This Row],[Chemistry 
Score]],Table1[[#This Row],[Biology 
Score]],Table1[[#This Row],[English 
Score]],Table1[[#This Row],[Geography 
Score]])</f>
        <v>564</v>
      </c>
      <c r="AA237" s="3">
        <f>AVERAGE(Table1[[#This Row],[Math 
Score]],Table1[[#This Row],[History 
Score]],Table1[[#This Row],[Physics 
Score]],Table1[[#This Row],[Chemistry 
Score]],Table1[[#This Row],[Biology 
Score]],Table1[[#This Row],[English 
Score]],Table1[[#This Row],[Geography 
Score]])</f>
        <v>80.571428571428569</v>
      </c>
      <c r="AB23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237">
        <f t="shared" si="3"/>
        <v>1056</v>
      </c>
      <c r="AD237" t="str">
        <f>_xlfn.IFS(Table1[[#This Row],[Absence 
Days]]&lt;3,"Excellent",Table1[[#This Row],[Absence 
Days]]&lt;=6,"Good",Table1[[#This Row],[Absence 
Days]]&gt;6,"Poor")</f>
        <v>Poor</v>
      </c>
    </row>
    <row r="238" spans="1:30" x14ac:dyDescent="0.35">
      <c r="A238">
        <v>237</v>
      </c>
      <c r="B238" s="2" t="s">
        <v>20</v>
      </c>
      <c r="C238" t="s">
        <v>71</v>
      </c>
      <c r="D238" t="str">
        <f>_xlfn.TEXTJOIN(" ",TRUE,Table1[[#This Row],[First 
Name]:[Last 
Name]])</f>
        <v>Kyle James</v>
      </c>
      <c r="E238" t="s">
        <v>1348</v>
      </c>
      <c r="F238" t="s">
        <v>3244</v>
      </c>
      <c r="G238" t="str">
        <f ca="1">PROPER(Table1[[#This Row],[Part Time 
Job]])</f>
        <v>False</v>
      </c>
      <c r="H238" s="3">
        <v>2</v>
      </c>
      <c r="I238" t="str">
        <f ca="1">PROPER(Table1[[#This Row],[Extracurricular 
Activities]])</f>
        <v>False</v>
      </c>
      <c r="J238">
        <v>27</v>
      </c>
      <c r="K238" t="s">
        <v>3112</v>
      </c>
      <c r="L238">
        <v>87</v>
      </c>
      <c r="M238" s="12" t="str" cm="1">
        <f t="array" ref="M23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238">
        <v>82</v>
      </c>
      <c r="O238" s="13" t="str" cm="1">
        <f t="array" ref="O23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238">
        <v>95</v>
      </c>
      <c r="Q238" s="13" t="str" cm="1">
        <f t="array" ref="Q23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238">
        <v>81</v>
      </c>
      <c r="S238" t="str" cm="1">
        <f t="array" ref="S23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238">
        <v>85</v>
      </c>
      <c r="U238" t="str" cm="1">
        <f t="array" ref="U23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238">
        <v>84</v>
      </c>
      <c r="W238" t="str" cm="1">
        <f t="array" ref="W23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238">
        <v>73</v>
      </c>
      <c r="Y238" t="str" cm="1">
        <f t="array" ref="Y23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238">
        <f>SUM(Table1[[#This Row],[Math 
Score]],Table1[[#This Row],[History 
Score]],Table1[[#This Row],[Physics 
Score]],Table1[[#This Row],[Chemistry 
Score]],Table1[[#This Row],[Biology 
Score]],Table1[[#This Row],[English 
Score]],Table1[[#This Row],[Geography 
Score]])</f>
        <v>587</v>
      </c>
      <c r="AA238" s="3">
        <f>AVERAGE(Table1[[#This Row],[Math 
Score]],Table1[[#This Row],[History 
Score]],Table1[[#This Row],[Physics 
Score]],Table1[[#This Row],[Chemistry 
Score]],Table1[[#This Row],[Biology 
Score]],Table1[[#This Row],[English 
Score]],Table1[[#This Row],[Geography 
Score]])</f>
        <v>83.857142857142861</v>
      </c>
      <c r="AB23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238">
        <f t="shared" si="3"/>
        <v>583</v>
      </c>
      <c r="AD238" t="str">
        <f>_xlfn.IFS(Table1[[#This Row],[Absence 
Days]]&lt;3,"Excellent",Table1[[#This Row],[Absence 
Days]]&lt;=6,"Good",Table1[[#This Row],[Absence 
Days]]&gt;6,"Poor")</f>
        <v>Excellent</v>
      </c>
    </row>
    <row r="239" spans="1:30" x14ac:dyDescent="0.35">
      <c r="A239">
        <v>238</v>
      </c>
      <c r="B239" s="2" t="s">
        <v>36</v>
      </c>
      <c r="C239" t="s">
        <v>619</v>
      </c>
      <c r="D239" t="str">
        <f>_xlfn.TEXTJOIN(" ",TRUE,Table1[[#This Row],[First 
Name]:[Last 
Name]])</f>
        <v>Christopher Cook</v>
      </c>
      <c r="E239" t="s">
        <v>1349</v>
      </c>
      <c r="F239" t="s">
        <v>3244</v>
      </c>
      <c r="G239" t="str">
        <f ca="1">PROPER(Table1[[#This Row],[Part Time 
Job]])</f>
        <v>False</v>
      </c>
      <c r="H239" s="3">
        <v>0</v>
      </c>
      <c r="I239" t="str">
        <f ca="1">PROPER(Table1[[#This Row],[Extracurricular 
Activities]])</f>
        <v>False</v>
      </c>
      <c r="J239">
        <v>24</v>
      </c>
      <c r="K239" t="s">
        <v>3125</v>
      </c>
      <c r="L239">
        <v>96</v>
      </c>
      <c r="M239" s="12" t="str" cm="1">
        <f t="array" ref="M23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239">
        <v>80</v>
      </c>
      <c r="O239" s="13" t="str" cm="1">
        <f t="array" ref="O23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239">
        <v>86</v>
      </c>
      <c r="Q239" s="13" t="str" cm="1">
        <f t="array" ref="Q23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239">
        <v>94</v>
      </c>
      <c r="S239" t="str" cm="1">
        <f t="array" ref="S23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239">
        <v>63</v>
      </c>
      <c r="U239" t="str" cm="1">
        <f t="array" ref="U23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239">
        <v>72</v>
      </c>
      <c r="W239" t="str" cm="1">
        <f t="array" ref="W23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239">
        <v>75</v>
      </c>
      <c r="Y239" t="str" cm="1">
        <f t="array" ref="Y23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239">
        <f>SUM(Table1[[#This Row],[Math 
Score]],Table1[[#This Row],[History 
Score]],Table1[[#This Row],[Physics 
Score]],Table1[[#This Row],[Chemistry 
Score]],Table1[[#This Row],[Biology 
Score]],Table1[[#This Row],[English 
Score]],Table1[[#This Row],[Geography 
Score]])</f>
        <v>566</v>
      </c>
      <c r="AA239" s="3">
        <f>AVERAGE(Table1[[#This Row],[Math 
Score]],Table1[[#This Row],[History 
Score]],Table1[[#This Row],[Physics 
Score]],Table1[[#This Row],[Chemistry 
Score]],Table1[[#This Row],[Biology 
Score]],Table1[[#This Row],[English 
Score]],Table1[[#This Row],[Geography 
Score]])</f>
        <v>80.857142857142861</v>
      </c>
      <c r="AB23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239">
        <f t="shared" si="3"/>
        <v>1019</v>
      </c>
      <c r="AD239" t="str">
        <f>_xlfn.IFS(Table1[[#This Row],[Absence 
Days]]&lt;3,"Excellent",Table1[[#This Row],[Absence 
Days]]&lt;=6,"Good",Table1[[#This Row],[Absence 
Days]]&gt;6,"Poor")</f>
        <v>Excellent</v>
      </c>
    </row>
    <row r="240" spans="1:30" x14ac:dyDescent="0.35">
      <c r="A240">
        <v>239</v>
      </c>
      <c r="B240" s="2" t="s">
        <v>124</v>
      </c>
      <c r="C240" t="s">
        <v>620</v>
      </c>
      <c r="D240" t="str">
        <f>_xlfn.TEXTJOIN(" ",TRUE,Table1[[#This Row],[First 
Name]:[Last 
Name]])</f>
        <v>John Conley</v>
      </c>
      <c r="E240" t="s">
        <v>1350</v>
      </c>
      <c r="F240" t="s">
        <v>3244</v>
      </c>
      <c r="G240" t="str">
        <f ca="1">PROPER(Table1[[#This Row],[Part Time 
Job]])</f>
        <v>False</v>
      </c>
      <c r="H240" s="3">
        <v>2</v>
      </c>
      <c r="I240" t="str">
        <f ca="1">PROPER(Table1[[#This Row],[Extracurricular 
Activities]])</f>
        <v>False</v>
      </c>
      <c r="J240">
        <v>30</v>
      </c>
      <c r="K240" t="s">
        <v>3116</v>
      </c>
      <c r="L240">
        <v>82</v>
      </c>
      <c r="M240" s="12" t="str" cm="1">
        <f t="array" ref="M24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240">
        <v>74</v>
      </c>
      <c r="O240" s="13" t="str" cm="1">
        <f t="array" ref="O24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240">
        <v>77</v>
      </c>
      <c r="Q240" s="13" t="str" cm="1">
        <f t="array" ref="Q24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240">
        <v>95</v>
      </c>
      <c r="S240" t="str" cm="1">
        <f t="array" ref="S24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240">
        <v>81</v>
      </c>
      <c r="U240" t="str" cm="1">
        <f t="array" ref="U24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240">
        <v>76</v>
      </c>
      <c r="W240" t="str" cm="1">
        <f t="array" ref="W24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240">
        <v>91</v>
      </c>
      <c r="Y240" t="str" cm="1">
        <f t="array" ref="Y24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240">
        <f>SUM(Table1[[#This Row],[Math 
Score]],Table1[[#This Row],[History 
Score]],Table1[[#This Row],[Physics 
Score]],Table1[[#This Row],[Chemistry 
Score]],Table1[[#This Row],[Biology 
Score]],Table1[[#This Row],[English 
Score]],Table1[[#This Row],[Geography 
Score]])</f>
        <v>576</v>
      </c>
      <c r="AA240" s="3">
        <f>AVERAGE(Table1[[#This Row],[Math 
Score]],Table1[[#This Row],[History 
Score]],Table1[[#This Row],[Physics 
Score]],Table1[[#This Row],[Chemistry 
Score]],Table1[[#This Row],[Biology 
Score]],Table1[[#This Row],[English 
Score]],Table1[[#This Row],[Geography 
Score]])</f>
        <v>82.285714285714292</v>
      </c>
      <c r="AB24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240">
        <f t="shared" si="3"/>
        <v>789</v>
      </c>
      <c r="AD240" t="str">
        <f>_xlfn.IFS(Table1[[#This Row],[Absence 
Days]]&lt;3,"Excellent",Table1[[#This Row],[Absence 
Days]]&lt;=6,"Good",Table1[[#This Row],[Absence 
Days]]&gt;6,"Poor")</f>
        <v>Excellent</v>
      </c>
    </row>
    <row r="241" spans="1:30" x14ac:dyDescent="0.35">
      <c r="A241">
        <v>240</v>
      </c>
      <c r="B241" s="2" t="s">
        <v>40</v>
      </c>
      <c r="C241" t="s">
        <v>621</v>
      </c>
      <c r="D241" t="str">
        <f>_xlfn.TEXTJOIN(" ",TRUE,Table1[[#This Row],[First 
Name]:[Last 
Name]])</f>
        <v>David Barnett</v>
      </c>
      <c r="E241" t="s">
        <v>1351</v>
      </c>
      <c r="F241" t="s">
        <v>3244</v>
      </c>
      <c r="G241" t="str">
        <f ca="1">PROPER(Table1[[#This Row],[Part Time 
Job]])</f>
        <v>False</v>
      </c>
      <c r="H241" s="3">
        <v>6</v>
      </c>
      <c r="I241" t="str">
        <f ca="1">PROPER(Table1[[#This Row],[Extracurricular 
Activities]])</f>
        <v>False</v>
      </c>
      <c r="J241">
        <v>20</v>
      </c>
      <c r="K241" t="s">
        <v>3117</v>
      </c>
      <c r="L241">
        <v>100</v>
      </c>
      <c r="M241" s="12" t="str" cm="1">
        <f t="array" ref="M24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241">
        <v>72</v>
      </c>
      <c r="O241" s="13" t="str" cm="1">
        <f t="array" ref="O24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241">
        <v>99</v>
      </c>
      <c r="Q241" s="13" t="str" cm="1">
        <f t="array" ref="Q24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241">
        <v>64</v>
      </c>
      <c r="S241" t="str" cm="1">
        <f t="array" ref="S24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241">
        <v>70</v>
      </c>
      <c r="U241" t="str" cm="1">
        <f t="array" ref="U24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241">
        <v>93</v>
      </c>
      <c r="W241" t="str" cm="1">
        <f t="array" ref="W24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241">
        <v>67</v>
      </c>
      <c r="Y241" t="str" cm="1">
        <f t="array" ref="Y24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241">
        <f>SUM(Table1[[#This Row],[Math 
Score]],Table1[[#This Row],[History 
Score]],Table1[[#This Row],[Physics 
Score]],Table1[[#This Row],[Chemistry 
Score]],Table1[[#This Row],[Biology 
Score]],Table1[[#This Row],[English 
Score]],Table1[[#This Row],[Geography 
Score]])</f>
        <v>565</v>
      </c>
      <c r="AA241" s="3">
        <f>AVERAGE(Table1[[#This Row],[Math 
Score]],Table1[[#This Row],[History 
Score]],Table1[[#This Row],[Physics 
Score]],Table1[[#This Row],[Chemistry 
Score]],Table1[[#This Row],[Biology 
Score]],Table1[[#This Row],[English 
Score]],Table1[[#This Row],[Geography 
Score]])</f>
        <v>80.714285714285708</v>
      </c>
      <c r="AB24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241">
        <f t="shared" si="3"/>
        <v>1035</v>
      </c>
      <c r="AD241" t="str">
        <f>_xlfn.IFS(Table1[[#This Row],[Absence 
Days]]&lt;3,"Excellent",Table1[[#This Row],[Absence 
Days]]&lt;=6,"Good",Table1[[#This Row],[Absence 
Days]]&gt;6,"Poor")</f>
        <v>Good</v>
      </c>
    </row>
    <row r="242" spans="1:30" x14ac:dyDescent="0.35">
      <c r="A242">
        <v>241</v>
      </c>
      <c r="B242" s="2" t="s">
        <v>25</v>
      </c>
      <c r="C242" t="s">
        <v>622</v>
      </c>
      <c r="D242" t="str">
        <f>_xlfn.TEXTJOIN(" ",TRUE,Table1[[#This Row],[First 
Name]:[Last 
Name]])</f>
        <v>Peter Garner</v>
      </c>
      <c r="E242" t="s">
        <v>1352</v>
      </c>
      <c r="F242" t="s">
        <v>3244</v>
      </c>
      <c r="G242" t="str">
        <f ca="1">PROPER(Table1[[#This Row],[Part Time 
Job]])</f>
        <v>False</v>
      </c>
      <c r="H242" s="3">
        <v>0</v>
      </c>
      <c r="I242" t="str">
        <f ca="1">PROPER(Table1[[#This Row],[Extracurricular 
Activities]])</f>
        <v>False</v>
      </c>
      <c r="J242">
        <v>27</v>
      </c>
      <c r="K242" t="s">
        <v>3117</v>
      </c>
      <c r="L242">
        <v>91</v>
      </c>
      <c r="M242" s="12" t="str" cm="1">
        <f t="array" ref="M24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242">
        <v>81</v>
      </c>
      <c r="O242" s="13" t="str" cm="1">
        <f t="array" ref="O24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242">
        <v>91</v>
      </c>
      <c r="Q242" s="13" t="str" cm="1">
        <f t="array" ref="Q24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242">
        <v>76</v>
      </c>
      <c r="S242" t="str" cm="1">
        <f t="array" ref="S24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242">
        <v>100</v>
      </c>
      <c r="U242" t="str" cm="1">
        <f t="array" ref="U24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242">
        <v>92</v>
      </c>
      <c r="W242" t="str" cm="1">
        <f t="array" ref="W24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242">
        <v>87</v>
      </c>
      <c r="Y242" t="str" cm="1">
        <f t="array" ref="Y24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242">
        <f>SUM(Table1[[#This Row],[Math 
Score]],Table1[[#This Row],[History 
Score]],Table1[[#This Row],[Physics 
Score]],Table1[[#This Row],[Chemistry 
Score]],Table1[[#This Row],[Biology 
Score]],Table1[[#This Row],[English 
Score]],Table1[[#This Row],[Geography 
Score]])</f>
        <v>618</v>
      </c>
      <c r="AA242" s="3">
        <f>AVERAGE(Table1[[#This Row],[Math 
Score]],Table1[[#This Row],[History 
Score]],Table1[[#This Row],[Physics 
Score]],Table1[[#This Row],[Chemistry 
Score]],Table1[[#This Row],[Biology 
Score]],Table1[[#This Row],[English 
Score]],Table1[[#This Row],[Geography 
Score]])</f>
        <v>88.285714285714292</v>
      </c>
      <c r="AB24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242">
        <f t="shared" si="3"/>
        <v>229</v>
      </c>
      <c r="AD242" t="str">
        <f>_xlfn.IFS(Table1[[#This Row],[Absence 
Days]]&lt;3,"Excellent",Table1[[#This Row],[Absence 
Days]]&lt;=6,"Good",Table1[[#This Row],[Absence 
Days]]&gt;6,"Poor")</f>
        <v>Excellent</v>
      </c>
    </row>
    <row r="243" spans="1:30" x14ac:dyDescent="0.35">
      <c r="A243">
        <v>242</v>
      </c>
      <c r="B243" s="2" t="s">
        <v>154</v>
      </c>
      <c r="C243" t="s">
        <v>495</v>
      </c>
      <c r="D243" t="str">
        <f>_xlfn.TEXTJOIN(" ",TRUE,Table1[[#This Row],[First 
Name]:[Last 
Name]])</f>
        <v>Douglas Stewart</v>
      </c>
      <c r="E243" t="s">
        <v>1353</v>
      </c>
      <c r="F243" t="s">
        <v>3244</v>
      </c>
      <c r="G243" t="str">
        <f ca="1">PROPER(Table1[[#This Row],[Part Time 
Job]])</f>
        <v>False</v>
      </c>
      <c r="H243" s="3">
        <v>6</v>
      </c>
      <c r="I243" t="str">
        <f ca="1">PROPER(Table1[[#This Row],[Extracurricular 
Activities]])</f>
        <v>False</v>
      </c>
      <c r="J243">
        <v>2</v>
      </c>
      <c r="K243" t="s">
        <v>3119</v>
      </c>
      <c r="L243">
        <v>87</v>
      </c>
      <c r="M243" s="12" t="str" cm="1">
        <f t="array" ref="M24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243">
        <v>62</v>
      </c>
      <c r="O243" s="13" t="str" cm="1">
        <f t="array" ref="O24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243">
        <v>85</v>
      </c>
      <c r="Q243" s="13" t="str" cm="1">
        <f t="array" ref="Q24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243">
        <v>64</v>
      </c>
      <c r="S243" t="str" cm="1">
        <f t="array" ref="S24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243">
        <v>63</v>
      </c>
      <c r="U243" t="str" cm="1">
        <f t="array" ref="U24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243">
        <v>61</v>
      </c>
      <c r="W243" t="str" cm="1">
        <f t="array" ref="W24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243">
        <v>85</v>
      </c>
      <c r="Y243" t="str" cm="1">
        <f t="array" ref="Y24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243">
        <f>SUM(Table1[[#This Row],[Math 
Score]],Table1[[#This Row],[History 
Score]],Table1[[#This Row],[Physics 
Score]],Table1[[#This Row],[Chemistry 
Score]],Table1[[#This Row],[Biology 
Score]],Table1[[#This Row],[English 
Score]],Table1[[#This Row],[Geography 
Score]])</f>
        <v>507</v>
      </c>
      <c r="AA243" s="3">
        <f>AVERAGE(Table1[[#This Row],[Math 
Score]],Table1[[#This Row],[History 
Score]],Table1[[#This Row],[Physics 
Score]],Table1[[#This Row],[Chemistry 
Score]],Table1[[#This Row],[Biology 
Score]],Table1[[#This Row],[English 
Score]],Table1[[#This Row],[Geography 
Score]])</f>
        <v>72.428571428571431</v>
      </c>
      <c r="AB24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243">
        <f t="shared" si="3"/>
        <v>1844</v>
      </c>
      <c r="AD243" t="str">
        <f>_xlfn.IFS(Table1[[#This Row],[Absence 
Days]]&lt;3,"Excellent",Table1[[#This Row],[Absence 
Days]]&lt;=6,"Good",Table1[[#This Row],[Absence 
Days]]&gt;6,"Poor")</f>
        <v>Good</v>
      </c>
    </row>
    <row r="244" spans="1:30" x14ac:dyDescent="0.35">
      <c r="A244">
        <v>243</v>
      </c>
      <c r="B244" s="2" t="s">
        <v>155</v>
      </c>
      <c r="C244" t="s">
        <v>532</v>
      </c>
      <c r="D244" t="str">
        <f>_xlfn.TEXTJOIN(" ",TRUE,Table1[[#This Row],[First 
Name]:[Last 
Name]])</f>
        <v>Heidi Jones</v>
      </c>
      <c r="E244" t="s">
        <v>1354</v>
      </c>
      <c r="F244" t="s">
        <v>3245</v>
      </c>
      <c r="G244" t="str">
        <f ca="1">PROPER(Table1[[#This Row],[Part Time 
Job]])</f>
        <v>False</v>
      </c>
      <c r="H244" s="3">
        <v>6</v>
      </c>
      <c r="I244" t="str">
        <f ca="1">PROPER(Table1[[#This Row],[Extracurricular 
Activities]])</f>
        <v>False</v>
      </c>
      <c r="J244">
        <v>16</v>
      </c>
      <c r="K244" t="s">
        <v>3121</v>
      </c>
      <c r="L244">
        <v>75</v>
      </c>
      <c r="M244" s="12" t="str" cm="1">
        <f t="array" ref="M24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244">
        <v>95</v>
      </c>
      <c r="O244" s="13" t="str" cm="1">
        <f t="array" ref="O24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244">
        <v>84</v>
      </c>
      <c r="Q244" s="13" t="str" cm="1">
        <f t="array" ref="Q24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244">
        <v>87</v>
      </c>
      <c r="S244" t="str" cm="1">
        <f t="array" ref="S24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244">
        <v>78</v>
      </c>
      <c r="U244" t="str" cm="1">
        <f t="array" ref="U24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244">
        <v>82</v>
      </c>
      <c r="W244" t="str" cm="1">
        <f t="array" ref="W24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244">
        <v>86</v>
      </c>
      <c r="Y244" t="str" cm="1">
        <f t="array" ref="Y24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244">
        <f>SUM(Table1[[#This Row],[Math 
Score]],Table1[[#This Row],[History 
Score]],Table1[[#This Row],[Physics 
Score]],Table1[[#This Row],[Chemistry 
Score]],Table1[[#This Row],[Biology 
Score]],Table1[[#This Row],[English 
Score]],Table1[[#This Row],[Geography 
Score]])</f>
        <v>587</v>
      </c>
      <c r="AA244" s="3">
        <f>AVERAGE(Table1[[#This Row],[Math 
Score]],Table1[[#This Row],[History 
Score]],Table1[[#This Row],[Physics 
Score]],Table1[[#This Row],[Chemistry 
Score]],Table1[[#This Row],[Biology 
Score]],Table1[[#This Row],[English 
Score]],Table1[[#This Row],[Geography 
Score]])</f>
        <v>83.857142857142861</v>
      </c>
      <c r="AB24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244">
        <f t="shared" si="3"/>
        <v>583</v>
      </c>
      <c r="AD244" t="str">
        <f>_xlfn.IFS(Table1[[#This Row],[Absence 
Days]]&lt;3,"Excellent",Table1[[#This Row],[Absence 
Days]]&lt;=6,"Good",Table1[[#This Row],[Absence 
Days]]&gt;6,"Poor")</f>
        <v>Good</v>
      </c>
    </row>
    <row r="245" spans="1:30" x14ac:dyDescent="0.35">
      <c r="A245">
        <v>244</v>
      </c>
      <c r="B245" s="2" t="s">
        <v>125</v>
      </c>
      <c r="C245" t="s">
        <v>623</v>
      </c>
      <c r="D245" t="str">
        <f>_xlfn.TEXTJOIN(" ",TRUE,Table1[[#This Row],[First 
Name]:[Last 
Name]])</f>
        <v>Jeremy Daniels</v>
      </c>
      <c r="E245" t="s">
        <v>1355</v>
      </c>
      <c r="F245" t="s">
        <v>3244</v>
      </c>
      <c r="G245" t="str">
        <f ca="1">PROPER(Table1[[#This Row],[Part Time 
Job]])</f>
        <v>True</v>
      </c>
      <c r="H245" s="3">
        <v>1</v>
      </c>
      <c r="I245" t="str">
        <f ca="1">PROPER(Table1[[#This Row],[Extracurricular 
Activities]])</f>
        <v>False</v>
      </c>
      <c r="J245">
        <v>27</v>
      </c>
      <c r="K245" t="s">
        <v>3121</v>
      </c>
      <c r="L245">
        <v>86</v>
      </c>
      <c r="M245" s="12" t="str" cm="1">
        <f t="array" ref="M24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245">
        <v>78</v>
      </c>
      <c r="O245" s="13" t="str" cm="1">
        <f t="array" ref="O24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245">
        <v>61</v>
      </c>
      <c r="Q245" s="13" t="str" cm="1">
        <f t="array" ref="Q24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245">
        <v>71</v>
      </c>
      <c r="S245" t="str" cm="1">
        <f t="array" ref="S24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245">
        <v>94</v>
      </c>
      <c r="U245" t="str" cm="1">
        <f t="array" ref="U24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245">
        <v>92</v>
      </c>
      <c r="W245" t="str" cm="1">
        <f t="array" ref="W24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245">
        <v>65</v>
      </c>
      <c r="Y245" t="str" cm="1">
        <f t="array" ref="Y24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245">
        <f>SUM(Table1[[#This Row],[Math 
Score]],Table1[[#This Row],[History 
Score]],Table1[[#This Row],[Physics 
Score]],Table1[[#This Row],[Chemistry 
Score]],Table1[[#This Row],[Biology 
Score]],Table1[[#This Row],[English 
Score]],Table1[[#This Row],[Geography 
Score]])</f>
        <v>547</v>
      </c>
      <c r="AA245" s="3">
        <f>AVERAGE(Table1[[#This Row],[Math 
Score]],Table1[[#This Row],[History 
Score]],Table1[[#This Row],[Physics 
Score]],Table1[[#This Row],[Chemistry 
Score]],Table1[[#This Row],[Biology 
Score]],Table1[[#This Row],[English 
Score]],Table1[[#This Row],[Geography 
Score]])</f>
        <v>78.142857142857139</v>
      </c>
      <c r="AB24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245">
        <f t="shared" si="3"/>
        <v>1388</v>
      </c>
      <c r="AD245" t="str">
        <f>_xlfn.IFS(Table1[[#This Row],[Absence 
Days]]&lt;3,"Excellent",Table1[[#This Row],[Absence 
Days]]&lt;=6,"Good",Table1[[#This Row],[Absence 
Days]]&gt;6,"Poor")</f>
        <v>Excellent</v>
      </c>
    </row>
    <row r="246" spans="1:30" x14ac:dyDescent="0.35">
      <c r="A246">
        <v>245</v>
      </c>
      <c r="B246" s="2" t="s">
        <v>156</v>
      </c>
      <c r="C246" t="s">
        <v>624</v>
      </c>
      <c r="D246" t="str">
        <f>_xlfn.TEXTJOIN(" ",TRUE,Table1[[#This Row],[First 
Name]:[Last 
Name]])</f>
        <v>Dustin Dodson</v>
      </c>
      <c r="E246" t="s">
        <v>1356</v>
      </c>
      <c r="F246" t="s">
        <v>3244</v>
      </c>
      <c r="G246" t="str">
        <f ca="1">PROPER(Table1[[#This Row],[Part Time 
Job]])</f>
        <v>False</v>
      </c>
      <c r="H246" s="3">
        <v>4</v>
      </c>
      <c r="I246" t="str">
        <f ca="1">PROPER(Table1[[#This Row],[Extracurricular 
Activities]])</f>
        <v>True</v>
      </c>
      <c r="J246">
        <v>24</v>
      </c>
      <c r="K246" t="s">
        <v>3123</v>
      </c>
      <c r="L246">
        <v>94</v>
      </c>
      <c r="M246" s="12" t="str" cm="1">
        <f t="array" ref="M24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246">
        <v>62</v>
      </c>
      <c r="O246" s="13" t="str" cm="1">
        <f t="array" ref="O24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246">
        <v>97</v>
      </c>
      <c r="Q246" s="13" t="str" cm="1">
        <f t="array" ref="Q24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246">
        <v>96</v>
      </c>
      <c r="S246" t="str" cm="1">
        <f t="array" ref="S24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246">
        <v>74</v>
      </c>
      <c r="U246" t="str" cm="1">
        <f t="array" ref="U24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246">
        <v>68</v>
      </c>
      <c r="W246" t="str" cm="1">
        <f t="array" ref="W24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246">
        <v>69</v>
      </c>
      <c r="Y246" t="str" cm="1">
        <f t="array" ref="Y24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246">
        <f>SUM(Table1[[#This Row],[Math 
Score]],Table1[[#This Row],[History 
Score]],Table1[[#This Row],[Physics 
Score]],Table1[[#This Row],[Chemistry 
Score]],Table1[[#This Row],[Biology 
Score]],Table1[[#This Row],[English 
Score]],Table1[[#This Row],[Geography 
Score]])</f>
        <v>560</v>
      </c>
      <c r="AA246" s="3">
        <f>AVERAGE(Table1[[#This Row],[Math 
Score]],Table1[[#This Row],[History 
Score]],Table1[[#This Row],[Physics 
Score]],Table1[[#This Row],[Chemistry 
Score]],Table1[[#This Row],[Biology 
Score]],Table1[[#This Row],[English 
Score]],Table1[[#This Row],[Geography 
Score]])</f>
        <v>80</v>
      </c>
      <c r="AB24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246">
        <f t="shared" si="3"/>
        <v>1134</v>
      </c>
      <c r="AD246" t="str">
        <f>_xlfn.IFS(Table1[[#This Row],[Absence 
Days]]&lt;3,"Excellent",Table1[[#This Row],[Absence 
Days]]&lt;=6,"Good",Table1[[#This Row],[Absence 
Days]]&gt;6,"Poor")</f>
        <v>Good</v>
      </c>
    </row>
    <row r="247" spans="1:30" x14ac:dyDescent="0.35">
      <c r="A247">
        <v>246</v>
      </c>
      <c r="B247" s="2" t="s">
        <v>36</v>
      </c>
      <c r="C247" t="s">
        <v>588</v>
      </c>
      <c r="D247" t="str">
        <f>_xlfn.TEXTJOIN(" ",TRUE,Table1[[#This Row],[First 
Name]:[Last 
Name]])</f>
        <v>Christopher Cohen</v>
      </c>
      <c r="E247" t="s">
        <v>1357</v>
      </c>
      <c r="F247" t="s">
        <v>3244</v>
      </c>
      <c r="G247" t="str">
        <f ca="1">PROPER(Table1[[#This Row],[Part Time 
Job]])</f>
        <v>False</v>
      </c>
      <c r="H247" s="3">
        <v>4</v>
      </c>
      <c r="I247" t="str">
        <f ca="1">PROPER(Table1[[#This Row],[Extracurricular 
Activities]])</f>
        <v>False</v>
      </c>
      <c r="J247">
        <v>23</v>
      </c>
      <c r="K247" t="s">
        <v>3123</v>
      </c>
      <c r="L247">
        <v>99</v>
      </c>
      <c r="M247" s="12" t="str" cm="1">
        <f t="array" ref="M24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247">
        <v>64</v>
      </c>
      <c r="O247" s="13" t="str" cm="1">
        <f t="array" ref="O24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247">
        <v>92</v>
      </c>
      <c r="Q247" s="13" t="str" cm="1">
        <f t="array" ref="Q24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247">
        <v>78</v>
      </c>
      <c r="S247" t="str" cm="1">
        <f t="array" ref="S24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247">
        <v>30</v>
      </c>
      <c r="U247" t="str" cm="1">
        <f t="array" ref="U24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F</v>
      </c>
      <c r="V247">
        <v>78</v>
      </c>
      <c r="W247" t="str" cm="1">
        <f t="array" ref="W24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247">
        <v>88</v>
      </c>
      <c r="Y247" t="str" cm="1">
        <f t="array" ref="Y24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247">
        <f>SUM(Table1[[#This Row],[Math 
Score]],Table1[[#This Row],[History 
Score]],Table1[[#This Row],[Physics 
Score]],Table1[[#This Row],[Chemistry 
Score]],Table1[[#This Row],[Biology 
Score]],Table1[[#This Row],[English 
Score]],Table1[[#This Row],[Geography 
Score]])</f>
        <v>529</v>
      </c>
      <c r="AA247" s="3">
        <f>AVERAGE(Table1[[#This Row],[Math 
Score]],Table1[[#This Row],[History 
Score]],Table1[[#This Row],[Physics 
Score]],Table1[[#This Row],[Chemistry 
Score]],Table1[[#This Row],[Biology 
Score]],Table1[[#This Row],[English 
Score]],Table1[[#This Row],[Geography 
Score]])</f>
        <v>75.571428571428569</v>
      </c>
      <c r="AB24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247">
        <f t="shared" si="3"/>
        <v>1664</v>
      </c>
      <c r="AD247" t="str">
        <f>_xlfn.IFS(Table1[[#This Row],[Absence 
Days]]&lt;3,"Excellent",Table1[[#This Row],[Absence 
Days]]&lt;=6,"Good",Table1[[#This Row],[Absence 
Days]]&gt;6,"Poor")</f>
        <v>Good</v>
      </c>
    </row>
    <row r="248" spans="1:30" x14ac:dyDescent="0.35">
      <c r="A248">
        <v>247</v>
      </c>
      <c r="B248" s="2" t="s">
        <v>157</v>
      </c>
      <c r="C248" t="s">
        <v>625</v>
      </c>
      <c r="D248" t="str">
        <f>_xlfn.TEXTJOIN(" ",TRUE,Table1[[#This Row],[First 
Name]:[Last 
Name]])</f>
        <v>Willie Ellis</v>
      </c>
      <c r="E248" t="s">
        <v>1358</v>
      </c>
      <c r="F248" t="s">
        <v>3244</v>
      </c>
      <c r="G248" t="str">
        <f ca="1">PROPER(Table1[[#This Row],[Part Time 
Job]])</f>
        <v>False</v>
      </c>
      <c r="H248" s="3">
        <v>1</v>
      </c>
      <c r="I248" t="str">
        <f ca="1">PROPER(Table1[[#This Row],[Extracurricular 
Activities]])</f>
        <v>False</v>
      </c>
      <c r="J248">
        <v>15</v>
      </c>
      <c r="K248" t="s">
        <v>3114</v>
      </c>
      <c r="L248">
        <v>84</v>
      </c>
      <c r="M248" s="12" t="str" cm="1">
        <f t="array" ref="M24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248">
        <v>91</v>
      </c>
      <c r="O248" s="13" t="str" cm="1">
        <f t="array" ref="O24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248">
        <v>94</v>
      </c>
      <c r="Q248" s="13" t="str" cm="1">
        <f t="array" ref="Q24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248">
        <v>66</v>
      </c>
      <c r="S248" t="str" cm="1">
        <f t="array" ref="S24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248">
        <v>78</v>
      </c>
      <c r="U248" t="str" cm="1">
        <f t="array" ref="U24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248">
        <v>71</v>
      </c>
      <c r="W248" t="str" cm="1">
        <f t="array" ref="W24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248">
        <v>93</v>
      </c>
      <c r="Y248" t="str" cm="1">
        <f t="array" ref="Y24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248">
        <f>SUM(Table1[[#This Row],[Math 
Score]],Table1[[#This Row],[History 
Score]],Table1[[#This Row],[Physics 
Score]],Table1[[#This Row],[Chemistry 
Score]],Table1[[#This Row],[Biology 
Score]],Table1[[#This Row],[English 
Score]],Table1[[#This Row],[Geography 
Score]])</f>
        <v>577</v>
      </c>
      <c r="AA248" s="3">
        <f>AVERAGE(Table1[[#This Row],[Math 
Score]],Table1[[#This Row],[History 
Score]],Table1[[#This Row],[Physics 
Score]],Table1[[#This Row],[Chemistry 
Score]],Table1[[#This Row],[Biology 
Score]],Table1[[#This Row],[English 
Score]],Table1[[#This Row],[Geography 
Score]])</f>
        <v>82.428571428571431</v>
      </c>
      <c r="AB24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248">
        <f t="shared" si="3"/>
        <v>769</v>
      </c>
      <c r="AD248" t="str">
        <f>_xlfn.IFS(Table1[[#This Row],[Absence 
Days]]&lt;3,"Excellent",Table1[[#This Row],[Absence 
Days]]&lt;=6,"Good",Table1[[#This Row],[Absence 
Days]]&gt;6,"Poor")</f>
        <v>Excellent</v>
      </c>
    </row>
    <row r="249" spans="1:30" x14ac:dyDescent="0.35">
      <c r="A249">
        <v>248</v>
      </c>
      <c r="B249" s="2" t="s">
        <v>74</v>
      </c>
      <c r="C249" t="s">
        <v>626</v>
      </c>
      <c r="D249" t="str">
        <f>_xlfn.TEXTJOIN(" ",TRUE,Table1[[#This Row],[First 
Name]:[Last 
Name]])</f>
        <v>Robert Hawkins</v>
      </c>
      <c r="E249" t="s">
        <v>1359</v>
      </c>
      <c r="F249" t="s">
        <v>3244</v>
      </c>
      <c r="G249" t="str">
        <f ca="1">PROPER(Table1[[#This Row],[Part Time 
Job]])</f>
        <v>False</v>
      </c>
      <c r="H249" s="3">
        <v>3</v>
      </c>
      <c r="I249" t="str">
        <f ca="1">PROPER(Table1[[#This Row],[Extracurricular 
Activities]])</f>
        <v>False</v>
      </c>
      <c r="J249">
        <v>25</v>
      </c>
      <c r="K249" t="s">
        <v>3127</v>
      </c>
      <c r="L249">
        <v>92</v>
      </c>
      <c r="M249" s="12" t="str" cm="1">
        <f t="array" ref="M24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249">
        <v>81</v>
      </c>
      <c r="O249" s="13" t="str" cm="1">
        <f t="array" ref="O24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249">
        <v>68</v>
      </c>
      <c r="Q249" s="13" t="str" cm="1">
        <f t="array" ref="Q24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249">
        <v>96</v>
      </c>
      <c r="S249" t="str" cm="1">
        <f t="array" ref="S24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249">
        <v>99</v>
      </c>
      <c r="U249" t="str" cm="1">
        <f t="array" ref="U24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249">
        <v>92</v>
      </c>
      <c r="W249" t="str" cm="1">
        <f t="array" ref="W24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249">
        <v>79</v>
      </c>
      <c r="Y249" t="str" cm="1">
        <f t="array" ref="Y24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249">
        <f>SUM(Table1[[#This Row],[Math 
Score]],Table1[[#This Row],[History 
Score]],Table1[[#This Row],[Physics 
Score]],Table1[[#This Row],[Chemistry 
Score]],Table1[[#This Row],[Biology 
Score]],Table1[[#This Row],[English 
Score]],Table1[[#This Row],[Geography 
Score]])</f>
        <v>607</v>
      </c>
      <c r="AA249" s="3">
        <f>AVERAGE(Table1[[#This Row],[Math 
Score]],Table1[[#This Row],[History 
Score]],Table1[[#This Row],[Physics 
Score]],Table1[[#This Row],[Chemistry 
Score]],Table1[[#This Row],[Biology 
Score]],Table1[[#This Row],[English 
Score]],Table1[[#This Row],[Geography 
Score]])</f>
        <v>86.714285714285708</v>
      </c>
      <c r="AB24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249">
        <f t="shared" si="3"/>
        <v>325</v>
      </c>
      <c r="AD249" t="str">
        <f>_xlfn.IFS(Table1[[#This Row],[Absence 
Days]]&lt;3,"Excellent",Table1[[#This Row],[Absence 
Days]]&lt;=6,"Good",Table1[[#This Row],[Absence 
Days]]&gt;6,"Poor")</f>
        <v>Good</v>
      </c>
    </row>
    <row r="250" spans="1:30" x14ac:dyDescent="0.35">
      <c r="A250">
        <v>249</v>
      </c>
      <c r="B250" s="2" t="s">
        <v>158</v>
      </c>
      <c r="C250" t="s">
        <v>95</v>
      </c>
      <c r="D250" t="str">
        <f>_xlfn.TEXTJOIN(" ",TRUE,Table1[[#This Row],[First 
Name]:[Last 
Name]])</f>
        <v>Stacy Jordan</v>
      </c>
      <c r="E250" t="s">
        <v>1360</v>
      </c>
      <c r="F250" t="s">
        <v>3245</v>
      </c>
      <c r="G250" t="str">
        <f ca="1">PROPER(Table1[[#This Row],[Part Time 
Job]])</f>
        <v>False</v>
      </c>
      <c r="H250" s="3">
        <v>2</v>
      </c>
      <c r="I250" t="str">
        <f ca="1">PROPER(Table1[[#This Row],[Extracurricular 
Activities]])</f>
        <v>False</v>
      </c>
      <c r="J250">
        <v>32</v>
      </c>
      <c r="K250" t="s">
        <v>3117</v>
      </c>
      <c r="L250">
        <v>95</v>
      </c>
      <c r="M250" s="12" t="str" cm="1">
        <f t="array" ref="M25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250">
        <v>84</v>
      </c>
      <c r="O250" s="13" t="str" cm="1">
        <f t="array" ref="O25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250">
        <v>95</v>
      </c>
      <c r="Q250" s="13" t="str" cm="1">
        <f t="array" ref="Q25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250">
        <v>72</v>
      </c>
      <c r="S250" t="str" cm="1">
        <f t="array" ref="S25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250">
        <v>62</v>
      </c>
      <c r="U250" t="str" cm="1">
        <f t="array" ref="U25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250">
        <v>80</v>
      </c>
      <c r="W250" t="str" cm="1">
        <f t="array" ref="W25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250">
        <v>83</v>
      </c>
      <c r="Y250" t="str" cm="1">
        <f t="array" ref="Y25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250">
        <f>SUM(Table1[[#This Row],[Math 
Score]],Table1[[#This Row],[History 
Score]],Table1[[#This Row],[Physics 
Score]],Table1[[#This Row],[Chemistry 
Score]],Table1[[#This Row],[Biology 
Score]],Table1[[#This Row],[English 
Score]],Table1[[#This Row],[Geography 
Score]])</f>
        <v>571</v>
      </c>
      <c r="AA250" s="3">
        <f>AVERAGE(Table1[[#This Row],[Math 
Score]],Table1[[#This Row],[History 
Score]],Table1[[#This Row],[Physics 
Score]],Table1[[#This Row],[Chemistry 
Score]],Table1[[#This Row],[Biology 
Score]],Table1[[#This Row],[English 
Score]],Table1[[#This Row],[Geography 
Score]])</f>
        <v>81.571428571428569</v>
      </c>
      <c r="AB25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250">
        <f t="shared" si="3"/>
        <v>915</v>
      </c>
      <c r="AD250" t="str">
        <f>_xlfn.IFS(Table1[[#This Row],[Absence 
Days]]&lt;3,"Excellent",Table1[[#This Row],[Absence 
Days]]&lt;=6,"Good",Table1[[#This Row],[Absence 
Days]]&gt;6,"Poor")</f>
        <v>Excellent</v>
      </c>
    </row>
    <row r="251" spans="1:30" x14ac:dyDescent="0.35">
      <c r="A251">
        <v>250</v>
      </c>
      <c r="B251" s="2" t="s">
        <v>74</v>
      </c>
      <c r="C251" t="s">
        <v>627</v>
      </c>
      <c r="D251" t="str">
        <f>_xlfn.TEXTJOIN(" ",TRUE,Table1[[#This Row],[First 
Name]:[Last 
Name]])</f>
        <v>Robert Swanson</v>
      </c>
      <c r="E251" t="s">
        <v>1361</v>
      </c>
      <c r="F251" t="s">
        <v>3244</v>
      </c>
      <c r="G251" t="str">
        <f ca="1">PROPER(Table1[[#This Row],[Part Time 
Job]])</f>
        <v>False</v>
      </c>
      <c r="H251" s="3">
        <v>3</v>
      </c>
      <c r="I251" t="str">
        <f ca="1">PROPER(Table1[[#This Row],[Extracurricular 
Activities]])</f>
        <v>False</v>
      </c>
      <c r="J251">
        <v>35</v>
      </c>
      <c r="K251" t="s">
        <v>3112</v>
      </c>
      <c r="L251">
        <v>90</v>
      </c>
      <c r="M251" s="12" t="str" cm="1">
        <f t="array" ref="M25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251">
        <v>88</v>
      </c>
      <c r="O251" s="13" t="str" cm="1">
        <f t="array" ref="O25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251">
        <v>94</v>
      </c>
      <c r="Q251" s="13" t="str" cm="1">
        <f t="array" ref="Q25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251">
        <v>99</v>
      </c>
      <c r="S251" t="str" cm="1">
        <f t="array" ref="S25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251">
        <v>92</v>
      </c>
      <c r="U251" t="str" cm="1">
        <f t="array" ref="U25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251">
        <v>87</v>
      </c>
      <c r="W251" t="str" cm="1">
        <f t="array" ref="W25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251">
        <v>97</v>
      </c>
      <c r="Y251" t="str" cm="1">
        <f t="array" ref="Y25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251">
        <f>SUM(Table1[[#This Row],[Math 
Score]],Table1[[#This Row],[History 
Score]],Table1[[#This Row],[Physics 
Score]],Table1[[#This Row],[Chemistry 
Score]],Table1[[#This Row],[Biology 
Score]],Table1[[#This Row],[English 
Score]],Table1[[#This Row],[Geography 
Score]])</f>
        <v>647</v>
      </c>
      <c r="AA251" s="3">
        <f>AVERAGE(Table1[[#This Row],[Math 
Score]],Table1[[#This Row],[History 
Score]],Table1[[#This Row],[Physics 
Score]],Table1[[#This Row],[Chemistry 
Score]],Table1[[#This Row],[Biology 
Score]],Table1[[#This Row],[English 
Score]],Table1[[#This Row],[Geography 
Score]])</f>
        <v>92.428571428571431</v>
      </c>
      <c r="AB25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251">
        <f t="shared" si="3"/>
        <v>68</v>
      </c>
      <c r="AD251" t="str">
        <f>_xlfn.IFS(Table1[[#This Row],[Absence 
Days]]&lt;3,"Excellent",Table1[[#This Row],[Absence 
Days]]&lt;=6,"Good",Table1[[#This Row],[Absence 
Days]]&gt;6,"Poor")</f>
        <v>Good</v>
      </c>
    </row>
    <row r="252" spans="1:30" x14ac:dyDescent="0.35">
      <c r="A252">
        <v>251</v>
      </c>
      <c r="B252" s="2" t="s">
        <v>159</v>
      </c>
      <c r="C252" t="s">
        <v>628</v>
      </c>
      <c r="D252" t="str">
        <f>_xlfn.TEXTJOIN(" ",TRUE,Table1[[#This Row],[First 
Name]:[Last 
Name]])</f>
        <v>Holly Henderson</v>
      </c>
      <c r="E252" t="s">
        <v>1362</v>
      </c>
      <c r="F252" t="s">
        <v>3245</v>
      </c>
      <c r="G252" t="str">
        <f ca="1">PROPER(Table1[[#This Row],[Part Time 
Job]])</f>
        <v>False</v>
      </c>
      <c r="H252" s="3">
        <v>3</v>
      </c>
      <c r="I252" t="str">
        <f ca="1">PROPER(Table1[[#This Row],[Extracurricular 
Activities]])</f>
        <v>False</v>
      </c>
      <c r="J252">
        <v>3</v>
      </c>
      <c r="K252" t="s">
        <v>3115</v>
      </c>
      <c r="L252">
        <v>93</v>
      </c>
      <c r="M252" s="12" t="str" cm="1">
        <f t="array" ref="M25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252">
        <v>100</v>
      </c>
      <c r="O252" s="13" t="str" cm="1">
        <f t="array" ref="O25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252">
        <v>87</v>
      </c>
      <c r="Q252" s="13" t="str" cm="1">
        <f t="array" ref="Q25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252">
        <v>66</v>
      </c>
      <c r="S252" t="str" cm="1">
        <f t="array" ref="S25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252">
        <v>85</v>
      </c>
      <c r="U252" t="str" cm="1">
        <f t="array" ref="U25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252">
        <v>96</v>
      </c>
      <c r="W252" t="str" cm="1">
        <f t="array" ref="W25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252">
        <v>87</v>
      </c>
      <c r="Y252" t="str" cm="1">
        <f t="array" ref="Y25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252">
        <f>SUM(Table1[[#This Row],[Math 
Score]],Table1[[#This Row],[History 
Score]],Table1[[#This Row],[Physics 
Score]],Table1[[#This Row],[Chemistry 
Score]],Table1[[#This Row],[Biology 
Score]],Table1[[#This Row],[English 
Score]],Table1[[#This Row],[Geography 
Score]])</f>
        <v>614</v>
      </c>
      <c r="AA252" s="3">
        <f>AVERAGE(Table1[[#This Row],[Math 
Score]],Table1[[#This Row],[History 
Score]],Table1[[#This Row],[Physics 
Score]],Table1[[#This Row],[Chemistry 
Score]],Table1[[#This Row],[Biology 
Score]],Table1[[#This Row],[English 
Score]],Table1[[#This Row],[Geography 
Score]])</f>
        <v>87.714285714285708</v>
      </c>
      <c r="AB25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252">
        <f t="shared" si="3"/>
        <v>260</v>
      </c>
      <c r="AD252" t="str">
        <f>_xlfn.IFS(Table1[[#This Row],[Absence 
Days]]&lt;3,"Excellent",Table1[[#This Row],[Absence 
Days]]&lt;=6,"Good",Table1[[#This Row],[Absence 
Days]]&gt;6,"Poor")</f>
        <v>Good</v>
      </c>
    </row>
    <row r="253" spans="1:30" x14ac:dyDescent="0.35">
      <c r="A253">
        <v>252</v>
      </c>
      <c r="B253" s="2" t="s">
        <v>160</v>
      </c>
      <c r="C253" t="s">
        <v>629</v>
      </c>
      <c r="D253" t="str">
        <f>_xlfn.TEXTJOIN(" ",TRUE,Table1[[#This Row],[First 
Name]:[Last 
Name]])</f>
        <v>Debra Valdez</v>
      </c>
      <c r="E253" t="s">
        <v>1363</v>
      </c>
      <c r="F253" t="s">
        <v>3245</v>
      </c>
      <c r="G253" t="str">
        <f ca="1">PROPER(Table1[[#This Row],[Part Time 
Job]])</f>
        <v>False</v>
      </c>
      <c r="H253" s="3">
        <v>1</v>
      </c>
      <c r="I253" t="str">
        <f ca="1">PROPER(Table1[[#This Row],[Extracurricular 
Activities]])</f>
        <v>False</v>
      </c>
      <c r="J253">
        <v>28</v>
      </c>
      <c r="K253" t="s">
        <v>3124</v>
      </c>
      <c r="L253">
        <v>69</v>
      </c>
      <c r="M253" s="12" t="str" cm="1">
        <f t="array" ref="M253">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253">
        <v>63</v>
      </c>
      <c r="O253" s="13" t="str" cm="1">
        <f t="array" ref="O25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253">
        <v>88</v>
      </c>
      <c r="Q253" s="13" t="str" cm="1">
        <f t="array" ref="Q25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253">
        <v>73</v>
      </c>
      <c r="S253" t="str" cm="1">
        <f t="array" ref="S25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253">
        <v>83</v>
      </c>
      <c r="U253" t="str" cm="1">
        <f t="array" ref="U25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253">
        <v>74</v>
      </c>
      <c r="W253" t="str" cm="1">
        <f t="array" ref="W25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253">
        <v>94</v>
      </c>
      <c r="Y253" t="str" cm="1">
        <f t="array" ref="Y25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253">
        <f>SUM(Table1[[#This Row],[Math 
Score]],Table1[[#This Row],[History 
Score]],Table1[[#This Row],[Physics 
Score]],Table1[[#This Row],[Chemistry 
Score]],Table1[[#This Row],[Biology 
Score]],Table1[[#This Row],[English 
Score]],Table1[[#This Row],[Geography 
Score]])</f>
        <v>544</v>
      </c>
      <c r="AA253" s="3">
        <f>AVERAGE(Table1[[#This Row],[Math 
Score]],Table1[[#This Row],[History 
Score]],Table1[[#This Row],[Physics 
Score]],Table1[[#This Row],[Chemistry 
Score]],Table1[[#This Row],[Biology 
Score]],Table1[[#This Row],[English 
Score]],Table1[[#This Row],[Geography 
Score]])</f>
        <v>77.714285714285708</v>
      </c>
      <c r="AB25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253">
        <f t="shared" si="3"/>
        <v>1446</v>
      </c>
      <c r="AD253" t="str">
        <f>_xlfn.IFS(Table1[[#This Row],[Absence 
Days]]&lt;3,"Excellent",Table1[[#This Row],[Absence 
Days]]&lt;=6,"Good",Table1[[#This Row],[Absence 
Days]]&gt;6,"Poor")</f>
        <v>Excellent</v>
      </c>
    </row>
    <row r="254" spans="1:30" x14ac:dyDescent="0.35">
      <c r="A254">
        <v>253</v>
      </c>
      <c r="B254" s="2" t="s">
        <v>161</v>
      </c>
      <c r="C254" t="s">
        <v>608</v>
      </c>
      <c r="D254" t="str">
        <f>_xlfn.TEXTJOIN(" ",TRUE,Table1[[#This Row],[First 
Name]:[Last 
Name]])</f>
        <v>Vincent Robertson</v>
      </c>
      <c r="E254" t="s">
        <v>1364</v>
      </c>
      <c r="F254" t="s">
        <v>3244</v>
      </c>
      <c r="G254" t="str">
        <f ca="1">PROPER(Table1[[#This Row],[Part Time 
Job]])</f>
        <v>False</v>
      </c>
      <c r="H254" s="3">
        <v>1</v>
      </c>
      <c r="I254" t="str">
        <f ca="1">PROPER(Table1[[#This Row],[Extracurricular 
Activities]])</f>
        <v>False</v>
      </c>
      <c r="J254">
        <v>3</v>
      </c>
      <c r="K254" t="s">
        <v>3126</v>
      </c>
      <c r="L254">
        <v>97</v>
      </c>
      <c r="M254" s="12" t="str" cm="1">
        <f t="array" ref="M25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254">
        <v>80</v>
      </c>
      <c r="O254" s="13" t="str" cm="1">
        <f t="array" ref="O25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254">
        <v>80</v>
      </c>
      <c r="Q254" s="13" t="str" cm="1">
        <f t="array" ref="Q25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254">
        <v>65</v>
      </c>
      <c r="S254" t="str" cm="1">
        <f t="array" ref="S25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254">
        <v>91</v>
      </c>
      <c r="U254" t="str" cm="1">
        <f t="array" ref="U25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254">
        <v>67</v>
      </c>
      <c r="W254" t="str" cm="1">
        <f t="array" ref="W25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254">
        <v>84</v>
      </c>
      <c r="Y254" t="str" cm="1">
        <f t="array" ref="Y25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254">
        <f>SUM(Table1[[#This Row],[Math 
Score]],Table1[[#This Row],[History 
Score]],Table1[[#This Row],[Physics 
Score]],Table1[[#This Row],[Chemistry 
Score]],Table1[[#This Row],[Biology 
Score]],Table1[[#This Row],[English 
Score]],Table1[[#This Row],[Geography 
Score]])</f>
        <v>564</v>
      </c>
      <c r="AA254" s="3">
        <f>AVERAGE(Table1[[#This Row],[Math 
Score]],Table1[[#This Row],[History 
Score]],Table1[[#This Row],[Physics 
Score]],Table1[[#This Row],[Chemistry 
Score]],Table1[[#This Row],[Biology 
Score]],Table1[[#This Row],[English 
Score]],Table1[[#This Row],[Geography 
Score]])</f>
        <v>80.571428571428569</v>
      </c>
      <c r="AB25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254">
        <f t="shared" si="3"/>
        <v>1056</v>
      </c>
      <c r="AD254" t="str">
        <f>_xlfn.IFS(Table1[[#This Row],[Absence 
Days]]&lt;3,"Excellent",Table1[[#This Row],[Absence 
Days]]&lt;=6,"Good",Table1[[#This Row],[Absence 
Days]]&gt;6,"Poor")</f>
        <v>Excellent</v>
      </c>
    </row>
    <row r="255" spans="1:30" x14ac:dyDescent="0.35">
      <c r="A255">
        <v>254</v>
      </c>
      <c r="B255" s="2" t="s">
        <v>137</v>
      </c>
      <c r="C255" t="s">
        <v>630</v>
      </c>
      <c r="D255" t="str">
        <f>_xlfn.TEXTJOIN(" ",TRUE,Table1[[#This Row],[First 
Name]:[Last 
Name]])</f>
        <v>Karen Spencer</v>
      </c>
      <c r="E255" t="s">
        <v>1365</v>
      </c>
      <c r="F255" t="s">
        <v>3245</v>
      </c>
      <c r="G255" t="str">
        <f ca="1">PROPER(Table1[[#This Row],[Part Time 
Job]])</f>
        <v>False</v>
      </c>
      <c r="H255" s="3">
        <v>0</v>
      </c>
      <c r="I255" t="str">
        <f ca="1">PROPER(Table1[[#This Row],[Extracurricular 
Activities]])</f>
        <v>False</v>
      </c>
      <c r="J255">
        <v>21</v>
      </c>
      <c r="K255" t="s">
        <v>3123</v>
      </c>
      <c r="L255">
        <v>76</v>
      </c>
      <c r="M255" s="12" t="str" cm="1">
        <f t="array" ref="M25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255">
        <v>72</v>
      </c>
      <c r="O255" s="13" t="str" cm="1">
        <f t="array" ref="O25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255">
        <v>80</v>
      </c>
      <c r="Q255" s="13" t="str" cm="1">
        <f t="array" ref="Q25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255">
        <v>92</v>
      </c>
      <c r="S255" t="str" cm="1">
        <f t="array" ref="S25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255">
        <v>41</v>
      </c>
      <c r="U255" t="str" cm="1">
        <f t="array" ref="U25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D</v>
      </c>
      <c r="V255">
        <v>90</v>
      </c>
      <c r="W255" t="str" cm="1">
        <f t="array" ref="W25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255">
        <v>78</v>
      </c>
      <c r="Y255" t="str" cm="1">
        <f t="array" ref="Y25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255">
        <f>SUM(Table1[[#This Row],[Math 
Score]],Table1[[#This Row],[History 
Score]],Table1[[#This Row],[Physics 
Score]],Table1[[#This Row],[Chemistry 
Score]],Table1[[#This Row],[Biology 
Score]],Table1[[#This Row],[English 
Score]],Table1[[#This Row],[Geography 
Score]])</f>
        <v>529</v>
      </c>
      <c r="AA255" s="3">
        <f>AVERAGE(Table1[[#This Row],[Math 
Score]],Table1[[#This Row],[History 
Score]],Table1[[#This Row],[Physics 
Score]],Table1[[#This Row],[Chemistry 
Score]],Table1[[#This Row],[Biology 
Score]],Table1[[#This Row],[English 
Score]],Table1[[#This Row],[Geography 
Score]])</f>
        <v>75.571428571428569</v>
      </c>
      <c r="AB25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255">
        <f t="shared" si="3"/>
        <v>1664</v>
      </c>
      <c r="AD255" t="str">
        <f>_xlfn.IFS(Table1[[#This Row],[Absence 
Days]]&lt;3,"Excellent",Table1[[#This Row],[Absence 
Days]]&lt;=6,"Good",Table1[[#This Row],[Absence 
Days]]&gt;6,"Poor")</f>
        <v>Excellent</v>
      </c>
    </row>
    <row r="256" spans="1:30" x14ac:dyDescent="0.35">
      <c r="A256">
        <v>255</v>
      </c>
      <c r="B256" s="2" t="s">
        <v>162</v>
      </c>
      <c r="C256" t="s">
        <v>631</v>
      </c>
      <c r="D256" t="str">
        <f>_xlfn.TEXTJOIN(" ",TRUE,Table1[[#This Row],[First 
Name]:[Last 
Name]])</f>
        <v>Nathan Riley</v>
      </c>
      <c r="E256" t="s">
        <v>1366</v>
      </c>
      <c r="F256" t="s">
        <v>3244</v>
      </c>
      <c r="G256" t="str">
        <f ca="1">PROPER(Table1[[#This Row],[Part Time 
Job]])</f>
        <v>False</v>
      </c>
      <c r="H256" s="3">
        <v>3</v>
      </c>
      <c r="I256" t="str">
        <f ca="1">PROPER(Table1[[#This Row],[Extracurricular 
Activities]])</f>
        <v>False</v>
      </c>
      <c r="J256">
        <v>35</v>
      </c>
      <c r="K256" t="s">
        <v>3116</v>
      </c>
      <c r="L256">
        <v>85</v>
      </c>
      <c r="M256" s="12" t="str" cm="1">
        <f t="array" ref="M25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256">
        <v>85</v>
      </c>
      <c r="O256" s="13" t="str" cm="1">
        <f t="array" ref="O25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256">
        <v>92</v>
      </c>
      <c r="Q256" s="13" t="str" cm="1">
        <f t="array" ref="Q25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256">
        <v>86</v>
      </c>
      <c r="S256" t="str" cm="1">
        <f t="array" ref="S25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256">
        <v>99</v>
      </c>
      <c r="U256" t="str" cm="1">
        <f t="array" ref="U25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256">
        <v>86</v>
      </c>
      <c r="W256" t="str" cm="1">
        <f t="array" ref="W25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256">
        <v>93</v>
      </c>
      <c r="Y256" t="str" cm="1">
        <f t="array" ref="Y25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256">
        <f>SUM(Table1[[#This Row],[Math 
Score]],Table1[[#This Row],[History 
Score]],Table1[[#This Row],[Physics 
Score]],Table1[[#This Row],[Chemistry 
Score]],Table1[[#This Row],[Biology 
Score]],Table1[[#This Row],[English 
Score]],Table1[[#This Row],[Geography 
Score]])</f>
        <v>626</v>
      </c>
      <c r="AA256" s="3">
        <f>AVERAGE(Table1[[#This Row],[Math 
Score]],Table1[[#This Row],[History 
Score]],Table1[[#This Row],[Physics 
Score]],Table1[[#This Row],[Chemistry 
Score]],Table1[[#This Row],[Biology 
Score]],Table1[[#This Row],[English 
Score]],Table1[[#This Row],[Geography 
Score]])</f>
        <v>89.428571428571431</v>
      </c>
      <c r="AB25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256">
        <f t="shared" si="3"/>
        <v>179</v>
      </c>
      <c r="AD256" t="str">
        <f>_xlfn.IFS(Table1[[#This Row],[Absence 
Days]]&lt;3,"Excellent",Table1[[#This Row],[Absence 
Days]]&lt;=6,"Good",Table1[[#This Row],[Absence 
Days]]&gt;6,"Poor")</f>
        <v>Good</v>
      </c>
    </row>
    <row r="257" spans="1:30" x14ac:dyDescent="0.35">
      <c r="A257">
        <v>256</v>
      </c>
      <c r="B257" s="2" t="s">
        <v>66</v>
      </c>
      <c r="C257" t="s">
        <v>632</v>
      </c>
      <c r="D257" t="str">
        <f>_xlfn.TEXTJOIN(" ",TRUE,Table1[[#This Row],[First 
Name]:[Last 
Name]])</f>
        <v>Andrea Sutton</v>
      </c>
      <c r="E257" t="s">
        <v>1367</v>
      </c>
      <c r="F257" t="s">
        <v>3245</v>
      </c>
      <c r="G257" t="str">
        <f ca="1">PROPER(Table1[[#This Row],[Part Time 
Job]])</f>
        <v>False</v>
      </c>
      <c r="H257" s="3">
        <v>7</v>
      </c>
      <c r="I257" t="str">
        <f ca="1">PROPER(Table1[[#This Row],[Extracurricular 
Activities]])</f>
        <v>True</v>
      </c>
      <c r="J257">
        <v>35</v>
      </c>
      <c r="K257" t="s">
        <v>3117</v>
      </c>
      <c r="L257">
        <v>91</v>
      </c>
      <c r="M257" s="12" t="str" cm="1">
        <f t="array" ref="M25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257">
        <v>87</v>
      </c>
      <c r="O257" s="13" t="str" cm="1">
        <f t="array" ref="O25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257">
        <v>89</v>
      </c>
      <c r="Q257" s="13" t="str" cm="1">
        <f t="array" ref="Q25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257">
        <v>97</v>
      </c>
      <c r="S257" t="str" cm="1">
        <f t="array" ref="S25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257">
        <v>93</v>
      </c>
      <c r="U257" t="str" cm="1">
        <f t="array" ref="U25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257">
        <v>87</v>
      </c>
      <c r="W257" t="str" cm="1">
        <f t="array" ref="W25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257">
        <v>100</v>
      </c>
      <c r="Y257" t="str" cm="1">
        <f t="array" ref="Y25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257">
        <f>SUM(Table1[[#This Row],[Math 
Score]],Table1[[#This Row],[History 
Score]],Table1[[#This Row],[Physics 
Score]],Table1[[#This Row],[Chemistry 
Score]],Table1[[#This Row],[Biology 
Score]],Table1[[#This Row],[English 
Score]],Table1[[#This Row],[Geography 
Score]])</f>
        <v>644</v>
      </c>
      <c r="AA257" s="3">
        <f>AVERAGE(Table1[[#This Row],[Math 
Score]],Table1[[#This Row],[History 
Score]],Table1[[#This Row],[Physics 
Score]],Table1[[#This Row],[Chemistry 
Score]],Table1[[#This Row],[Biology 
Score]],Table1[[#This Row],[English 
Score]],Table1[[#This Row],[Geography 
Score]])</f>
        <v>92</v>
      </c>
      <c r="AB25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257">
        <f t="shared" si="3"/>
        <v>83</v>
      </c>
      <c r="AD257" t="str">
        <f>_xlfn.IFS(Table1[[#This Row],[Absence 
Days]]&lt;3,"Excellent",Table1[[#This Row],[Absence 
Days]]&lt;=6,"Good",Table1[[#This Row],[Absence 
Days]]&gt;6,"Poor")</f>
        <v>Poor</v>
      </c>
    </row>
    <row r="258" spans="1:30" x14ac:dyDescent="0.35">
      <c r="A258">
        <v>257</v>
      </c>
      <c r="B258" s="2" t="s">
        <v>163</v>
      </c>
      <c r="C258" t="s">
        <v>544</v>
      </c>
      <c r="D258" t="str">
        <f>_xlfn.TEXTJOIN(" ",TRUE,Table1[[#This Row],[First 
Name]:[Last 
Name]])</f>
        <v>Tracey Turner</v>
      </c>
      <c r="E258" t="s">
        <v>1368</v>
      </c>
      <c r="F258" t="s">
        <v>3245</v>
      </c>
      <c r="G258" t="str">
        <f ca="1">PROPER(Table1[[#This Row],[Part Time 
Job]])</f>
        <v>False</v>
      </c>
      <c r="H258" s="3">
        <v>7</v>
      </c>
      <c r="I258" t="str">
        <f ca="1">PROPER(Table1[[#This Row],[Extracurricular 
Activities]])</f>
        <v>True</v>
      </c>
      <c r="J258">
        <v>14</v>
      </c>
      <c r="K258" t="s">
        <v>3123</v>
      </c>
      <c r="L258">
        <v>82</v>
      </c>
      <c r="M258" s="12" t="str" cm="1">
        <f t="array" ref="M25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258">
        <v>95</v>
      </c>
      <c r="O258" s="13" t="str" cm="1">
        <f t="array" ref="O25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258">
        <v>92</v>
      </c>
      <c r="Q258" s="13" t="str" cm="1">
        <f t="array" ref="Q25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258">
        <v>62</v>
      </c>
      <c r="S258" t="str" cm="1">
        <f t="array" ref="S25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258">
        <v>73</v>
      </c>
      <c r="U258" t="str" cm="1">
        <f t="array" ref="U25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258">
        <v>75</v>
      </c>
      <c r="W258" t="str" cm="1">
        <f t="array" ref="W25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258">
        <v>93</v>
      </c>
      <c r="Y258" t="str" cm="1">
        <f t="array" ref="Y25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258">
        <f>SUM(Table1[[#This Row],[Math 
Score]],Table1[[#This Row],[History 
Score]],Table1[[#This Row],[Physics 
Score]],Table1[[#This Row],[Chemistry 
Score]],Table1[[#This Row],[Biology 
Score]],Table1[[#This Row],[English 
Score]],Table1[[#This Row],[Geography 
Score]])</f>
        <v>572</v>
      </c>
      <c r="AA258" s="3">
        <f>AVERAGE(Table1[[#This Row],[Math 
Score]],Table1[[#This Row],[History 
Score]],Table1[[#This Row],[Physics 
Score]],Table1[[#This Row],[Chemistry 
Score]],Table1[[#This Row],[Biology 
Score]],Table1[[#This Row],[English 
Score]],Table1[[#This Row],[Geography 
Score]])</f>
        <v>81.714285714285708</v>
      </c>
      <c r="AB25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258">
        <f t="shared" ref="AC258:AC321" si="4">RANK(AA258,$AA$2:$AA$2001,0)</f>
        <v>890</v>
      </c>
      <c r="AD258" t="str">
        <f>_xlfn.IFS(Table1[[#This Row],[Absence 
Days]]&lt;3,"Excellent",Table1[[#This Row],[Absence 
Days]]&lt;=6,"Good",Table1[[#This Row],[Absence 
Days]]&gt;6,"Poor")</f>
        <v>Poor</v>
      </c>
    </row>
    <row r="259" spans="1:30" x14ac:dyDescent="0.35">
      <c r="A259">
        <v>258</v>
      </c>
      <c r="B259" s="2" t="s">
        <v>144</v>
      </c>
      <c r="C259" t="s">
        <v>633</v>
      </c>
      <c r="D259" t="str">
        <f>_xlfn.TEXTJOIN(" ",TRUE,Table1[[#This Row],[First 
Name]:[Last 
Name]])</f>
        <v>Tammy Olsen</v>
      </c>
      <c r="E259" t="s">
        <v>1369</v>
      </c>
      <c r="F259" t="s">
        <v>3245</v>
      </c>
      <c r="G259" t="str">
        <f ca="1">PROPER(Table1[[#This Row],[Part Time 
Job]])</f>
        <v>True</v>
      </c>
      <c r="H259" s="3">
        <v>7</v>
      </c>
      <c r="I259" t="str">
        <f ca="1">PROPER(Table1[[#This Row],[Extracurricular 
Activities]])</f>
        <v>False</v>
      </c>
      <c r="J259">
        <v>1</v>
      </c>
      <c r="K259" t="s">
        <v>3119</v>
      </c>
      <c r="L259">
        <v>59</v>
      </c>
      <c r="M259" s="12" t="str" cm="1">
        <f t="array" ref="M259">_xlfn.IFS(Table1[[#This Row],[Math 
Score]]&gt;=90,"A+",Table1[[#This Row],[Math 
Score]]&gt;=80,"A", Table1[[#This Row],[Math 
Score]]&gt;=75,"A-",Table1[[#This Row],[Math 
Score]]&gt;=70,"B+",Table1[[#This Row],[Math 
Score]]&gt;=65,"B",Table1[[#This Row],[Math 
Score]]&gt;=60,"B-",Table1[[#This Row],[Math 
Score]]&gt;=50,"C",Table1[[#This Row],[Math 
Score]]&gt;=40,"D",Table1[[#This Row],[Math 
Score]]&lt;40,"F")</f>
        <v>C</v>
      </c>
      <c r="N259">
        <v>56</v>
      </c>
      <c r="O259" s="13" t="str" cm="1">
        <f t="array" ref="O25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C</v>
      </c>
      <c r="P259">
        <v>87</v>
      </c>
      <c r="Q259" s="13" t="str" cm="1">
        <f t="array" ref="Q25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259">
        <v>97</v>
      </c>
      <c r="S259" t="str" cm="1">
        <f t="array" ref="S25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259">
        <v>62</v>
      </c>
      <c r="U259" t="str" cm="1">
        <f t="array" ref="U25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259">
        <v>74</v>
      </c>
      <c r="W259" t="str" cm="1">
        <f t="array" ref="W25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259">
        <v>61</v>
      </c>
      <c r="Y259" t="str" cm="1">
        <f t="array" ref="Y25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259">
        <f>SUM(Table1[[#This Row],[Math 
Score]],Table1[[#This Row],[History 
Score]],Table1[[#This Row],[Physics 
Score]],Table1[[#This Row],[Chemistry 
Score]],Table1[[#This Row],[Biology 
Score]],Table1[[#This Row],[English 
Score]],Table1[[#This Row],[Geography 
Score]])</f>
        <v>496</v>
      </c>
      <c r="AA259" s="3">
        <f>AVERAGE(Table1[[#This Row],[Math 
Score]],Table1[[#This Row],[History 
Score]],Table1[[#This Row],[Physics 
Score]],Table1[[#This Row],[Chemistry 
Score]],Table1[[#This Row],[Biology 
Score]],Table1[[#This Row],[English 
Score]],Table1[[#This Row],[Geography 
Score]])</f>
        <v>70.857142857142861</v>
      </c>
      <c r="AB25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259">
        <f t="shared" si="4"/>
        <v>1892</v>
      </c>
      <c r="AD259" t="str">
        <f>_xlfn.IFS(Table1[[#This Row],[Absence 
Days]]&lt;3,"Excellent",Table1[[#This Row],[Absence 
Days]]&lt;=6,"Good",Table1[[#This Row],[Absence 
Days]]&gt;6,"Poor")</f>
        <v>Poor</v>
      </c>
    </row>
    <row r="260" spans="1:30" x14ac:dyDescent="0.35">
      <c r="A260">
        <v>259</v>
      </c>
      <c r="B260" s="2" t="s">
        <v>164</v>
      </c>
      <c r="C260" t="s">
        <v>634</v>
      </c>
      <c r="D260" t="str">
        <f>_xlfn.TEXTJOIN(" ",TRUE,Table1[[#This Row],[First 
Name]:[Last 
Name]])</f>
        <v>Sheila Wilkinson</v>
      </c>
      <c r="E260" t="s">
        <v>1370</v>
      </c>
      <c r="F260" t="s">
        <v>3245</v>
      </c>
      <c r="G260" t="str">
        <f ca="1">PROPER(Table1[[#This Row],[Part Time 
Job]])</f>
        <v>False</v>
      </c>
      <c r="H260" s="3">
        <v>9</v>
      </c>
      <c r="I260" t="str">
        <f ca="1">PROPER(Table1[[#This Row],[Extracurricular 
Activities]])</f>
        <v>True</v>
      </c>
      <c r="J260">
        <v>0</v>
      </c>
      <c r="K260" t="s">
        <v>3119</v>
      </c>
      <c r="L260">
        <v>78</v>
      </c>
      <c r="M260" s="12" t="str" cm="1">
        <f t="array" ref="M26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260">
        <v>71</v>
      </c>
      <c r="O260" s="13" t="str" cm="1">
        <f t="array" ref="O26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260">
        <v>73</v>
      </c>
      <c r="Q260" s="13" t="str" cm="1">
        <f t="array" ref="Q26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260">
        <v>51</v>
      </c>
      <c r="S260" t="str" cm="1">
        <f t="array" ref="S26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C</v>
      </c>
      <c r="T260">
        <v>80</v>
      </c>
      <c r="U260" t="str" cm="1">
        <f t="array" ref="U26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260">
        <v>84</v>
      </c>
      <c r="W260" t="str" cm="1">
        <f t="array" ref="W26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260">
        <v>65</v>
      </c>
      <c r="Y260" t="str" cm="1">
        <f t="array" ref="Y26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260">
        <f>SUM(Table1[[#This Row],[Math 
Score]],Table1[[#This Row],[History 
Score]],Table1[[#This Row],[Physics 
Score]],Table1[[#This Row],[Chemistry 
Score]],Table1[[#This Row],[Biology 
Score]],Table1[[#This Row],[English 
Score]],Table1[[#This Row],[Geography 
Score]])</f>
        <v>502</v>
      </c>
      <c r="AA260" s="3">
        <f>AVERAGE(Table1[[#This Row],[Math 
Score]],Table1[[#This Row],[History 
Score]],Table1[[#This Row],[Physics 
Score]],Table1[[#This Row],[Chemistry 
Score]],Table1[[#This Row],[Biology 
Score]],Table1[[#This Row],[English 
Score]],Table1[[#This Row],[Geography 
Score]])</f>
        <v>71.714285714285708</v>
      </c>
      <c r="AB26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260">
        <f t="shared" si="4"/>
        <v>1866</v>
      </c>
      <c r="AD260" t="str">
        <f>_xlfn.IFS(Table1[[#This Row],[Absence 
Days]]&lt;3,"Excellent",Table1[[#This Row],[Absence 
Days]]&lt;=6,"Good",Table1[[#This Row],[Absence 
Days]]&gt;6,"Poor")</f>
        <v>Poor</v>
      </c>
    </row>
    <row r="261" spans="1:30" x14ac:dyDescent="0.35">
      <c r="A261">
        <v>260</v>
      </c>
      <c r="B261" s="2" t="s">
        <v>162</v>
      </c>
      <c r="C261" t="s">
        <v>635</v>
      </c>
      <c r="D261" t="str">
        <f>_xlfn.TEXTJOIN(" ",TRUE,Table1[[#This Row],[First 
Name]:[Last 
Name]])</f>
        <v>Nathan Padilla</v>
      </c>
      <c r="E261" t="s">
        <v>1371</v>
      </c>
      <c r="F261" t="s">
        <v>3244</v>
      </c>
      <c r="G261" t="str">
        <f ca="1">PROPER(Table1[[#This Row],[Part Time 
Job]])</f>
        <v>False</v>
      </c>
      <c r="H261" s="3">
        <v>2</v>
      </c>
      <c r="I261" t="str">
        <f ca="1">PROPER(Table1[[#This Row],[Extracurricular 
Activities]])</f>
        <v>False</v>
      </c>
      <c r="J261">
        <v>12</v>
      </c>
      <c r="K261" t="s">
        <v>3125</v>
      </c>
      <c r="L261">
        <v>89</v>
      </c>
      <c r="M261" s="12" t="str" cm="1">
        <f t="array" ref="M26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261">
        <v>65</v>
      </c>
      <c r="O261" s="13" t="str" cm="1">
        <f t="array" ref="O26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261">
        <v>82</v>
      </c>
      <c r="Q261" s="13" t="str" cm="1">
        <f t="array" ref="Q26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261">
        <v>65</v>
      </c>
      <c r="S261" t="str" cm="1">
        <f t="array" ref="S26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261">
        <v>76</v>
      </c>
      <c r="U261" t="str" cm="1">
        <f t="array" ref="U26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261">
        <v>95</v>
      </c>
      <c r="W261" t="str" cm="1">
        <f t="array" ref="W26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261">
        <v>62</v>
      </c>
      <c r="Y261" t="str" cm="1">
        <f t="array" ref="Y26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261">
        <f>SUM(Table1[[#This Row],[Math 
Score]],Table1[[#This Row],[History 
Score]],Table1[[#This Row],[Physics 
Score]],Table1[[#This Row],[Chemistry 
Score]],Table1[[#This Row],[Biology 
Score]],Table1[[#This Row],[English 
Score]],Table1[[#This Row],[Geography 
Score]])</f>
        <v>534</v>
      </c>
      <c r="AA261" s="3">
        <f>AVERAGE(Table1[[#This Row],[Math 
Score]],Table1[[#This Row],[History 
Score]],Table1[[#This Row],[Physics 
Score]],Table1[[#This Row],[Chemistry 
Score]],Table1[[#This Row],[Biology 
Score]],Table1[[#This Row],[English 
Score]],Table1[[#This Row],[Geography 
Score]])</f>
        <v>76.285714285714292</v>
      </c>
      <c r="AB26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261">
        <f t="shared" si="4"/>
        <v>1595</v>
      </c>
      <c r="AD261" t="str">
        <f>_xlfn.IFS(Table1[[#This Row],[Absence 
Days]]&lt;3,"Excellent",Table1[[#This Row],[Absence 
Days]]&lt;=6,"Good",Table1[[#This Row],[Absence 
Days]]&gt;6,"Poor")</f>
        <v>Excellent</v>
      </c>
    </row>
    <row r="262" spans="1:30" x14ac:dyDescent="0.35">
      <c r="A262">
        <v>261</v>
      </c>
      <c r="B262" s="2" t="s">
        <v>165</v>
      </c>
      <c r="C262" t="s">
        <v>529</v>
      </c>
      <c r="D262" t="str">
        <f>_xlfn.TEXTJOIN(" ",TRUE,Table1[[#This Row],[First 
Name]:[Last 
Name]])</f>
        <v>Sarah Santiago</v>
      </c>
      <c r="E262" t="s">
        <v>1372</v>
      </c>
      <c r="F262" t="s">
        <v>3245</v>
      </c>
      <c r="G262" t="str">
        <f ca="1">PROPER(Table1[[#This Row],[Part Time 
Job]])</f>
        <v>False</v>
      </c>
      <c r="H262" s="3">
        <v>3</v>
      </c>
      <c r="I262" t="str">
        <f ca="1">PROPER(Table1[[#This Row],[Extracurricular 
Activities]])</f>
        <v>False</v>
      </c>
      <c r="J262">
        <v>35</v>
      </c>
      <c r="K262" t="s">
        <v>3117</v>
      </c>
      <c r="L262">
        <v>86</v>
      </c>
      <c r="M262" s="12" t="str" cm="1">
        <f t="array" ref="M26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262">
        <v>91</v>
      </c>
      <c r="O262" s="13" t="str" cm="1">
        <f t="array" ref="O26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262">
        <v>92</v>
      </c>
      <c r="Q262" s="13" t="str" cm="1">
        <f t="array" ref="Q26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262">
        <v>96</v>
      </c>
      <c r="S262" t="str" cm="1">
        <f t="array" ref="S26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262">
        <v>90</v>
      </c>
      <c r="U262" t="str" cm="1">
        <f t="array" ref="U26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262">
        <v>96</v>
      </c>
      <c r="W262" t="str" cm="1">
        <f t="array" ref="W26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262">
        <v>90</v>
      </c>
      <c r="Y262" t="str" cm="1">
        <f t="array" ref="Y26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262">
        <f>SUM(Table1[[#This Row],[Math 
Score]],Table1[[#This Row],[History 
Score]],Table1[[#This Row],[Physics 
Score]],Table1[[#This Row],[Chemistry 
Score]],Table1[[#This Row],[Biology 
Score]],Table1[[#This Row],[English 
Score]],Table1[[#This Row],[Geography 
Score]])</f>
        <v>641</v>
      </c>
      <c r="AA262" s="3">
        <f>AVERAGE(Table1[[#This Row],[Math 
Score]],Table1[[#This Row],[History 
Score]],Table1[[#This Row],[Physics 
Score]],Table1[[#This Row],[Chemistry 
Score]],Table1[[#This Row],[Biology 
Score]],Table1[[#This Row],[English 
Score]],Table1[[#This Row],[Geography 
Score]])</f>
        <v>91.571428571428569</v>
      </c>
      <c r="AB26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262">
        <f t="shared" si="4"/>
        <v>94</v>
      </c>
      <c r="AD262" t="str">
        <f>_xlfn.IFS(Table1[[#This Row],[Absence 
Days]]&lt;3,"Excellent",Table1[[#This Row],[Absence 
Days]]&lt;=6,"Good",Table1[[#This Row],[Absence 
Days]]&gt;6,"Poor")</f>
        <v>Good</v>
      </c>
    </row>
    <row r="263" spans="1:30" x14ac:dyDescent="0.35">
      <c r="A263">
        <v>262</v>
      </c>
      <c r="B263" s="2" t="s">
        <v>36</v>
      </c>
      <c r="C263" t="s">
        <v>602</v>
      </c>
      <c r="D263" t="str">
        <f>_xlfn.TEXTJOIN(" ",TRUE,Table1[[#This Row],[First 
Name]:[Last 
Name]])</f>
        <v>Christopher Cruz</v>
      </c>
      <c r="E263" t="s">
        <v>1373</v>
      </c>
      <c r="F263" t="s">
        <v>3244</v>
      </c>
      <c r="G263" t="str">
        <f ca="1">PROPER(Table1[[#This Row],[Part Time 
Job]])</f>
        <v>False</v>
      </c>
      <c r="H263" s="3">
        <v>4</v>
      </c>
      <c r="I263" t="str">
        <f ca="1">PROPER(Table1[[#This Row],[Extracurricular 
Activities]])</f>
        <v>False</v>
      </c>
      <c r="J263">
        <v>2</v>
      </c>
      <c r="K263" t="s">
        <v>3115</v>
      </c>
      <c r="L263">
        <v>76</v>
      </c>
      <c r="M263" s="12" t="str" cm="1">
        <f t="array" ref="M26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263">
        <v>93</v>
      </c>
      <c r="O263" s="13" t="str" cm="1">
        <f t="array" ref="O26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263">
        <v>65</v>
      </c>
      <c r="Q263" s="13" t="str" cm="1">
        <f t="array" ref="Q26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263">
        <v>95</v>
      </c>
      <c r="S263" t="str" cm="1">
        <f t="array" ref="S26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263">
        <v>76</v>
      </c>
      <c r="U263" t="str" cm="1">
        <f t="array" ref="U26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263">
        <v>88</v>
      </c>
      <c r="W263" t="str" cm="1">
        <f t="array" ref="W26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263">
        <v>88</v>
      </c>
      <c r="Y263" t="str" cm="1">
        <f t="array" ref="Y26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263">
        <f>SUM(Table1[[#This Row],[Math 
Score]],Table1[[#This Row],[History 
Score]],Table1[[#This Row],[Physics 
Score]],Table1[[#This Row],[Chemistry 
Score]],Table1[[#This Row],[Biology 
Score]],Table1[[#This Row],[English 
Score]],Table1[[#This Row],[Geography 
Score]])</f>
        <v>581</v>
      </c>
      <c r="AA263" s="3">
        <f>AVERAGE(Table1[[#This Row],[Math 
Score]],Table1[[#This Row],[History 
Score]],Table1[[#This Row],[Physics 
Score]],Table1[[#This Row],[Chemistry 
Score]],Table1[[#This Row],[Biology 
Score]],Table1[[#This Row],[English 
Score]],Table1[[#This Row],[Geography 
Score]])</f>
        <v>83</v>
      </c>
      <c r="AB26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263">
        <f t="shared" si="4"/>
        <v>688</v>
      </c>
      <c r="AD263" t="str">
        <f>_xlfn.IFS(Table1[[#This Row],[Absence 
Days]]&lt;3,"Excellent",Table1[[#This Row],[Absence 
Days]]&lt;=6,"Good",Table1[[#This Row],[Absence 
Days]]&gt;6,"Poor")</f>
        <v>Good</v>
      </c>
    </row>
    <row r="264" spans="1:30" x14ac:dyDescent="0.35">
      <c r="A264">
        <v>263</v>
      </c>
      <c r="B264" s="2" t="s">
        <v>117</v>
      </c>
      <c r="C264" t="s">
        <v>636</v>
      </c>
      <c r="D264" t="str">
        <f>_xlfn.TEXTJOIN(" ",TRUE,Table1[[#This Row],[First 
Name]:[Last 
Name]])</f>
        <v>Nicholas Sanders</v>
      </c>
      <c r="E264" t="s">
        <v>1374</v>
      </c>
      <c r="F264" t="s">
        <v>3244</v>
      </c>
      <c r="G264" t="str">
        <f ca="1">PROPER(Table1[[#This Row],[Part Time 
Job]])</f>
        <v>True</v>
      </c>
      <c r="H264" s="3">
        <v>2</v>
      </c>
      <c r="I264" t="str">
        <f ca="1">PROPER(Table1[[#This Row],[Extracurricular 
Activities]])</f>
        <v>False</v>
      </c>
      <c r="J264">
        <v>16</v>
      </c>
      <c r="K264" t="s">
        <v>3116</v>
      </c>
      <c r="L264">
        <v>79</v>
      </c>
      <c r="M264" s="12" t="str" cm="1">
        <f t="array" ref="M26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264">
        <v>68</v>
      </c>
      <c r="O264" s="13" t="str" cm="1">
        <f t="array" ref="O26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264">
        <v>63</v>
      </c>
      <c r="Q264" s="13" t="str" cm="1">
        <f t="array" ref="Q26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264">
        <v>72</v>
      </c>
      <c r="S264" t="str" cm="1">
        <f t="array" ref="S26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264">
        <v>81</v>
      </c>
      <c r="U264" t="str" cm="1">
        <f t="array" ref="U26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264">
        <v>67</v>
      </c>
      <c r="W264" t="str" cm="1">
        <f t="array" ref="W26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264">
        <v>67</v>
      </c>
      <c r="Y264" t="str" cm="1">
        <f t="array" ref="Y26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264">
        <f>SUM(Table1[[#This Row],[Math 
Score]],Table1[[#This Row],[History 
Score]],Table1[[#This Row],[Physics 
Score]],Table1[[#This Row],[Chemistry 
Score]],Table1[[#This Row],[Biology 
Score]],Table1[[#This Row],[English 
Score]],Table1[[#This Row],[Geography 
Score]])</f>
        <v>497</v>
      </c>
      <c r="AA264" s="3">
        <f>AVERAGE(Table1[[#This Row],[Math 
Score]],Table1[[#This Row],[History 
Score]],Table1[[#This Row],[Physics 
Score]],Table1[[#This Row],[Chemistry 
Score]],Table1[[#This Row],[Biology 
Score]],Table1[[#This Row],[English 
Score]],Table1[[#This Row],[Geography 
Score]])</f>
        <v>71</v>
      </c>
      <c r="AB26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264">
        <f t="shared" si="4"/>
        <v>1888</v>
      </c>
      <c r="AD264" t="str">
        <f>_xlfn.IFS(Table1[[#This Row],[Absence 
Days]]&lt;3,"Excellent",Table1[[#This Row],[Absence 
Days]]&lt;=6,"Good",Table1[[#This Row],[Absence 
Days]]&gt;6,"Poor")</f>
        <v>Excellent</v>
      </c>
    </row>
    <row r="265" spans="1:30" x14ac:dyDescent="0.35">
      <c r="A265">
        <v>264</v>
      </c>
      <c r="B265" s="2" t="s">
        <v>102</v>
      </c>
      <c r="C265" t="s">
        <v>637</v>
      </c>
      <c r="D265" t="str">
        <f>_xlfn.TEXTJOIN(" ",TRUE,Table1[[#This Row],[First 
Name]:[Last 
Name]])</f>
        <v>Jessica Waters</v>
      </c>
      <c r="E265" t="s">
        <v>1375</v>
      </c>
      <c r="F265" t="s">
        <v>3245</v>
      </c>
      <c r="G265" t="str">
        <f ca="1">PROPER(Table1[[#This Row],[Part Time 
Job]])</f>
        <v>False</v>
      </c>
      <c r="H265" s="3">
        <v>3</v>
      </c>
      <c r="I265" t="str">
        <f ca="1">PROPER(Table1[[#This Row],[Extracurricular 
Activities]])</f>
        <v>False</v>
      </c>
      <c r="J265">
        <v>31</v>
      </c>
      <c r="K265" t="s">
        <v>3112</v>
      </c>
      <c r="L265">
        <v>91</v>
      </c>
      <c r="M265" s="12" t="str" cm="1">
        <f t="array" ref="M26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265">
        <v>96</v>
      </c>
      <c r="O265" s="13" t="str" cm="1">
        <f t="array" ref="O26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265">
        <v>77</v>
      </c>
      <c r="Q265" s="13" t="str" cm="1">
        <f t="array" ref="Q26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265">
        <v>76</v>
      </c>
      <c r="S265" t="str" cm="1">
        <f t="array" ref="S26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265">
        <v>80</v>
      </c>
      <c r="U265" t="str" cm="1">
        <f t="array" ref="U26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265">
        <v>97</v>
      </c>
      <c r="W265" t="str" cm="1">
        <f t="array" ref="W26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265">
        <v>80</v>
      </c>
      <c r="Y265" t="str" cm="1">
        <f t="array" ref="Y26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265">
        <f>SUM(Table1[[#This Row],[Math 
Score]],Table1[[#This Row],[History 
Score]],Table1[[#This Row],[Physics 
Score]],Table1[[#This Row],[Chemistry 
Score]],Table1[[#This Row],[Biology 
Score]],Table1[[#This Row],[English 
Score]],Table1[[#This Row],[Geography 
Score]])</f>
        <v>597</v>
      </c>
      <c r="AA265" s="3">
        <f>AVERAGE(Table1[[#This Row],[Math 
Score]],Table1[[#This Row],[History 
Score]],Table1[[#This Row],[Physics 
Score]],Table1[[#This Row],[Chemistry 
Score]],Table1[[#This Row],[Biology 
Score]],Table1[[#This Row],[English 
Score]],Table1[[#This Row],[Geography 
Score]])</f>
        <v>85.285714285714292</v>
      </c>
      <c r="AB26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265">
        <f t="shared" si="4"/>
        <v>446</v>
      </c>
      <c r="AD265" t="str">
        <f>_xlfn.IFS(Table1[[#This Row],[Absence 
Days]]&lt;3,"Excellent",Table1[[#This Row],[Absence 
Days]]&lt;=6,"Good",Table1[[#This Row],[Absence 
Days]]&gt;6,"Poor")</f>
        <v>Good</v>
      </c>
    </row>
    <row r="266" spans="1:30" x14ac:dyDescent="0.35">
      <c r="A266">
        <v>265</v>
      </c>
      <c r="B266" s="2" t="s">
        <v>71</v>
      </c>
      <c r="C266" t="s">
        <v>479</v>
      </c>
      <c r="D266" t="str">
        <f>_xlfn.TEXTJOIN(" ",TRUE,Table1[[#This Row],[First 
Name]:[Last 
Name]])</f>
        <v>James Miller</v>
      </c>
      <c r="E266" t="s">
        <v>1376</v>
      </c>
      <c r="F266" t="s">
        <v>3244</v>
      </c>
      <c r="G266" t="str">
        <f ca="1">PROPER(Table1[[#This Row],[Part Time 
Job]])</f>
        <v>False</v>
      </c>
      <c r="H266" s="3">
        <v>5</v>
      </c>
      <c r="I266" t="str">
        <f ca="1">PROPER(Table1[[#This Row],[Extracurricular 
Activities]])</f>
        <v>False</v>
      </c>
      <c r="J266">
        <v>4</v>
      </c>
      <c r="K266" t="s">
        <v>3119</v>
      </c>
      <c r="L266">
        <v>89</v>
      </c>
      <c r="M266" s="12" t="str" cm="1">
        <f t="array" ref="M26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266">
        <v>66</v>
      </c>
      <c r="O266" s="13" t="str" cm="1">
        <f t="array" ref="O26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266">
        <v>80</v>
      </c>
      <c r="Q266" s="13" t="str" cm="1">
        <f t="array" ref="Q26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266">
        <v>77</v>
      </c>
      <c r="S266" t="str" cm="1">
        <f t="array" ref="S26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266">
        <v>60</v>
      </c>
      <c r="U266" t="str" cm="1">
        <f t="array" ref="U26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266">
        <v>88</v>
      </c>
      <c r="W266" t="str" cm="1">
        <f t="array" ref="W26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266">
        <v>74</v>
      </c>
      <c r="Y266" t="str" cm="1">
        <f t="array" ref="Y26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266">
        <f>SUM(Table1[[#This Row],[Math 
Score]],Table1[[#This Row],[History 
Score]],Table1[[#This Row],[Physics 
Score]],Table1[[#This Row],[Chemistry 
Score]],Table1[[#This Row],[Biology 
Score]],Table1[[#This Row],[English 
Score]],Table1[[#This Row],[Geography 
Score]])</f>
        <v>534</v>
      </c>
      <c r="AA266" s="3">
        <f>AVERAGE(Table1[[#This Row],[Math 
Score]],Table1[[#This Row],[History 
Score]],Table1[[#This Row],[Physics 
Score]],Table1[[#This Row],[Chemistry 
Score]],Table1[[#This Row],[Biology 
Score]],Table1[[#This Row],[English 
Score]],Table1[[#This Row],[Geography 
Score]])</f>
        <v>76.285714285714292</v>
      </c>
      <c r="AB26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266">
        <f t="shared" si="4"/>
        <v>1595</v>
      </c>
      <c r="AD266" t="str">
        <f>_xlfn.IFS(Table1[[#This Row],[Absence 
Days]]&lt;3,"Excellent",Table1[[#This Row],[Absence 
Days]]&lt;=6,"Good",Table1[[#This Row],[Absence 
Days]]&gt;6,"Poor")</f>
        <v>Good</v>
      </c>
    </row>
    <row r="267" spans="1:30" x14ac:dyDescent="0.35">
      <c r="A267">
        <v>266</v>
      </c>
      <c r="B267" s="2" t="s">
        <v>106</v>
      </c>
      <c r="C267" t="s">
        <v>638</v>
      </c>
      <c r="D267" t="str">
        <f>_xlfn.TEXTJOIN(" ",TRUE,Table1[[#This Row],[First 
Name]:[Last 
Name]])</f>
        <v>Adam Kane</v>
      </c>
      <c r="E267" t="s">
        <v>1377</v>
      </c>
      <c r="F267" t="s">
        <v>3244</v>
      </c>
      <c r="G267" t="str">
        <f ca="1">PROPER(Table1[[#This Row],[Part Time 
Job]])</f>
        <v>False</v>
      </c>
      <c r="H267" s="3">
        <v>3</v>
      </c>
      <c r="I267" t="str">
        <f ca="1">PROPER(Table1[[#This Row],[Extracurricular 
Activities]])</f>
        <v>False</v>
      </c>
      <c r="J267">
        <v>19</v>
      </c>
      <c r="K267" t="s">
        <v>3116</v>
      </c>
      <c r="L267">
        <v>97</v>
      </c>
      <c r="M267" s="12" t="str" cm="1">
        <f t="array" ref="M26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267">
        <v>94</v>
      </c>
      <c r="O267" s="13" t="str" cm="1">
        <f t="array" ref="O26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267">
        <v>81</v>
      </c>
      <c r="Q267" s="13" t="str" cm="1">
        <f t="array" ref="Q26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267">
        <v>97</v>
      </c>
      <c r="S267" t="str" cm="1">
        <f t="array" ref="S26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267">
        <v>79</v>
      </c>
      <c r="U267" t="str" cm="1">
        <f t="array" ref="U26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267">
        <v>86</v>
      </c>
      <c r="W267" t="str" cm="1">
        <f t="array" ref="W26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267">
        <v>63</v>
      </c>
      <c r="Y267" t="str" cm="1">
        <f t="array" ref="Y26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267">
        <f>SUM(Table1[[#This Row],[Math 
Score]],Table1[[#This Row],[History 
Score]],Table1[[#This Row],[Physics 
Score]],Table1[[#This Row],[Chemistry 
Score]],Table1[[#This Row],[Biology 
Score]],Table1[[#This Row],[English 
Score]],Table1[[#This Row],[Geography 
Score]])</f>
        <v>597</v>
      </c>
      <c r="AA267" s="3">
        <f>AVERAGE(Table1[[#This Row],[Math 
Score]],Table1[[#This Row],[History 
Score]],Table1[[#This Row],[Physics 
Score]],Table1[[#This Row],[Chemistry 
Score]],Table1[[#This Row],[Biology 
Score]],Table1[[#This Row],[English 
Score]],Table1[[#This Row],[Geography 
Score]])</f>
        <v>85.285714285714292</v>
      </c>
      <c r="AB26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267">
        <f t="shared" si="4"/>
        <v>446</v>
      </c>
      <c r="AD267" t="str">
        <f>_xlfn.IFS(Table1[[#This Row],[Absence 
Days]]&lt;3,"Excellent",Table1[[#This Row],[Absence 
Days]]&lt;=6,"Good",Table1[[#This Row],[Absence 
Days]]&gt;6,"Poor")</f>
        <v>Good</v>
      </c>
    </row>
    <row r="268" spans="1:30" x14ac:dyDescent="0.35">
      <c r="A268">
        <v>267</v>
      </c>
      <c r="B268" s="2" t="s">
        <v>11</v>
      </c>
      <c r="C268" t="s">
        <v>542</v>
      </c>
      <c r="D268" t="str">
        <f>_xlfn.TEXTJOIN(" ",TRUE,Table1[[#This Row],[First 
Name]:[Last 
Name]])</f>
        <v>Patricia Gonzalez</v>
      </c>
      <c r="E268" t="s">
        <v>1378</v>
      </c>
      <c r="F268" t="s">
        <v>3245</v>
      </c>
      <c r="G268" t="str">
        <f ca="1">PROPER(Table1[[#This Row],[Part Time 
Job]])</f>
        <v>False</v>
      </c>
      <c r="H268" s="3">
        <v>3</v>
      </c>
      <c r="I268" t="str">
        <f ca="1">PROPER(Table1[[#This Row],[Extracurricular 
Activities]])</f>
        <v>True</v>
      </c>
      <c r="J268">
        <v>15</v>
      </c>
      <c r="K268" t="s">
        <v>3121</v>
      </c>
      <c r="L268">
        <v>100</v>
      </c>
      <c r="M268" s="12" t="str" cm="1">
        <f t="array" ref="M26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268">
        <v>86</v>
      </c>
      <c r="O268" s="13" t="str" cm="1">
        <f t="array" ref="O26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268">
        <v>74</v>
      </c>
      <c r="Q268" s="13" t="str" cm="1">
        <f t="array" ref="Q26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268">
        <v>96</v>
      </c>
      <c r="S268" t="str" cm="1">
        <f t="array" ref="S26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268">
        <v>80</v>
      </c>
      <c r="U268" t="str" cm="1">
        <f t="array" ref="U26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268">
        <v>99</v>
      </c>
      <c r="W268" t="str" cm="1">
        <f t="array" ref="W26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268">
        <v>76</v>
      </c>
      <c r="Y268" t="str" cm="1">
        <f t="array" ref="Y26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268">
        <f>SUM(Table1[[#This Row],[Math 
Score]],Table1[[#This Row],[History 
Score]],Table1[[#This Row],[Physics 
Score]],Table1[[#This Row],[Chemistry 
Score]],Table1[[#This Row],[Biology 
Score]],Table1[[#This Row],[English 
Score]],Table1[[#This Row],[Geography 
Score]])</f>
        <v>611</v>
      </c>
      <c r="AA268" s="3">
        <f>AVERAGE(Table1[[#This Row],[Math 
Score]],Table1[[#This Row],[History 
Score]],Table1[[#This Row],[Physics 
Score]],Table1[[#This Row],[Chemistry 
Score]],Table1[[#This Row],[Biology 
Score]],Table1[[#This Row],[English 
Score]],Table1[[#This Row],[Geography 
Score]])</f>
        <v>87.285714285714292</v>
      </c>
      <c r="AB26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268">
        <f t="shared" si="4"/>
        <v>291</v>
      </c>
      <c r="AD268" t="str">
        <f>_xlfn.IFS(Table1[[#This Row],[Absence 
Days]]&lt;3,"Excellent",Table1[[#This Row],[Absence 
Days]]&lt;=6,"Good",Table1[[#This Row],[Absence 
Days]]&gt;6,"Poor")</f>
        <v>Good</v>
      </c>
    </row>
    <row r="269" spans="1:30" x14ac:dyDescent="0.35">
      <c r="A269">
        <v>268</v>
      </c>
      <c r="B269" s="2" t="s">
        <v>166</v>
      </c>
      <c r="C269" t="s">
        <v>639</v>
      </c>
      <c r="D269" t="str">
        <f>_xlfn.TEXTJOIN(" ",TRUE,Table1[[#This Row],[First 
Name]:[Last 
Name]])</f>
        <v>Whitney Holmes</v>
      </c>
      <c r="E269" t="s">
        <v>1379</v>
      </c>
      <c r="F269" t="s">
        <v>3245</v>
      </c>
      <c r="G269" t="str">
        <f ca="1">PROPER(Table1[[#This Row],[Part Time 
Job]])</f>
        <v>False</v>
      </c>
      <c r="H269" s="3">
        <v>1</v>
      </c>
      <c r="I269" t="str">
        <f ca="1">PROPER(Table1[[#This Row],[Extracurricular 
Activities]])</f>
        <v>False</v>
      </c>
      <c r="J269">
        <v>30</v>
      </c>
      <c r="K269" t="s">
        <v>3113</v>
      </c>
      <c r="L269">
        <v>96</v>
      </c>
      <c r="M269" s="12" t="str" cm="1">
        <f t="array" ref="M26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269">
        <v>68</v>
      </c>
      <c r="O269" s="13" t="str" cm="1">
        <f t="array" ref="O26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269">
        <v>87</v>
      </c>
      <c r="Q269" s="13" t="str" cm="1">
        <f t="array" ref="Q26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269">
        <v>96</v>
      </c>
      <c r="S269" t="str" cm="1">
        <f t="array" ref="S26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269">
        <v>91</v>
      </c>
      <c r="U269" t="str" cm="1">
        <f t="array" ref="U26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269">
        <v>68</v>
      </c>
      <c r="W269" t="str" cm="1">
        <f t="array" ref="W26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269">
        <v>65</v>
      </c>
      <c r="Y269" t="str" cm="1">
        <f t="array" ref="Y26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269">
        <f>SUM(Table1[[#This Row],[Math 
Score]],Table1[[#This Row],[History 
Score]],Table1[[#This Row],[Physics 
Score]],Table1[[#This Row],[Chemistry 
Score]],Table1[[#This Row],[Biology 
Score]],Table1[[#This Row],[English 
Score]],Table1[[#This Row],[Geography 
Score]])</f>
        <v>571</v>
      </c>
      <c r="AA269" s="3">
        <f>AVERAGE(Table1[[#This Row],[Math 
Score]],Table1[[#This Row],[History 
Score]],Table1[[#This Row],[Physics 
Score]],Table1[[#This Row],[Chemistry 
Score]],Table1[[#This Row],[Biology 
Score]],Table1[[#This Row],[English 
Score]],Table1[[#This Row],[Geography 
Score]])</f>
        <v>81.571428571428569</v>
      </c>
      <c r="AB26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269">
        <f t="shared" si="4"/>
        <v>915</v>
      </c>
      <c r="AD269" t="str">
        <f>_xlfn.IFS(Table1[[#This Row],[Absence 
Days]]&lt;3,"Excellent",Table1[[#This Row],[Absence 
Days]]&lt;=6,"Good",Table1[[#This Row],[Absence 
Days]]&gt;6,"Poor")</f>
        <v>Excellent</v>
      </c>
    </row>
    <row r="270" spans="1:30" x14ac:dyDescent="0.35">
      <c r="A270">
        <v>269</v>
      </c>
      <c r="B270" s="2" t="s">
        <v>129</v>
      </c>
      <c r="C270" t="s">
        <v>640</v>
      </c>
      <c r="D270" t="str">
        <f>_xlfn.TEXTJOIN(" ",TRUE,Table1[[#This Row],[First 
Name]:[Last 
Name]])</f>
        <v>Rachel Hamilton</v>
      </c>
      <c r="E270" t="s">
        <v>1380</v>
      </c>
      <c r="F270" t="s">
        <v>3245</v>
      </c>
      <c r="G270" t="str">
        <f ca="1">PROPER(Table1[[#This Row],[Part Time 
Job]])</f>
        <v>False</v>
      </c>
      <c r="H270" s="3">
        <v>7</v>
      </c>
      <c r="I270" t="str">
        <f ca="1">PROPER(Table1[[#This Row],[Extracurricular 
Activities]])</f>
        <v>False</v>
      </c>
      <c r="J270">
        <v>17</v>
      </c>
      <c r="K270" t="s">
        <v>3121</v>
      </c>
      <c r="L270">
        <v>94</v>
      </c>
      <c r="M270" s="12" t="str" cm="1">
        <f t="array" ref="M27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270">
        <v>64</v>
      </c>
      <c r="O270" s="13" t="str" cm="1">
        <f t="array" ref="O27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270">
        <v>100</v>
      </c>
      <c r="Q270" s="13" t="str" cm="1">
        <f t="array" ref="Q27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270">
        <v>71</v>
      </c>
      <c r="S270" t="str" cm="1">
        <f t="array" ref="S27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270">
        <v>84</v>
      </c>
      <c r="U270" t="str" cm="1">
        <f t="array" ref="U27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270">
        <v>92</v>
      </c>
      <c r="W270" t="str" cm="1">
        <f t="array" ref="W27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270">
        <v>99</v>
      </c>
      <c r="Y270" t="str" cm="1">
        <f t="array" ref="Y27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270">
        <f>SUM(Table1[[#This Row],[Math 
Score]],Table1[[#This Row],[History 
Score]],Table1[[#This Row],[Physics 
Score]],Table1[[#This Row],[Chemistry 
Score]],Table1[[#This Row],[Biology 
Score]],Table1[[#This Row],[English 
Score]],Table1[[#This Row],[Geography 
Score]])</f>
        <v>604</v>
      </c>
      <c r="AA270" s="3">
        <f>AVERAGE(Table1[[#This Row],[Math 
Score]],Table1[[#This Row],[History 
Score]],Table1[[#This Row],[Physics 
Score]],Table1[[#This Row],[Chemistry 
Score]],Table1[[#This Row],[Biology 
Score]],Table1[[#This Row],[English 
Score]],Table1[[#This Row],[Geography 
Score]])</f>
        <v>86.285714285714292</v>
      </c>
      <c r="AB27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270">
        <f t="shared" si="4"/>
        <v>353</v>
      </c>
      <c r="AD270" t="str">
        <f>_xlfn.IFS(Table1[[#This Row],[Absence 
Days]]&lt;3,"Excellent",Table1[[#This Row],[Absence 
Days]]&lt;=6,"Good",Table1[[#This Row],[Absence 
Days]]&gt;6,"Poor")</f>
        <v>Poor</v>
      </c>
    </row>
    <row r="271" spans="1:30" x14ac:dyDescent="0.35">
      <c r="A271">
        <v>270</v>
      </c>
      <c r="B271" s="2" t="s">
        <v>51</v>
      </c>
      <c r="C271" t="s">
        <v>641</v>
      </c>
      <c r="D271" t="str">
        <f>_xlfn.TEXTJOIN(" ",TRUE,Table1[[#This Row],[First 
Name]:[Last 
Name]])</f>
        <v>Melissa Marshall</v>
      </c>
      <c r="E271" t="s">
        <v>1381</v>
      </c>
      <c r="F271" t="s">
        <v>3245</v>
      </c>
      <c r="G271" t="str">
        <f ca="1">PROPER(Table1[[#This Row],[Part Time 
Job]])</f>
        <v>False</v>
      </c>
      <c r="H271" s="3">
        <v>2</v>
      </c>
      <c r="I271" t="str">
        <f ca="1">PROPER(Table1[[#This Row],[Extracurricular 
Activities]])</f>
        <v>False</v>
      </c>
      <c r="J271">
        <v>23</v>
      </c>
      <c r="K271" t="s">
        <v>3117</v>
      </c>
      <c r="L271">
        <v>98</v>
      </c>
      <c r="M271" s="12" t="str" cm="1">
        <f t="array" ref="M27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271">
        <v>68</v>
      </c>
      <c r="O271" s="13" t="str" cm="1">
        <f t="array" ref="O27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271">
        <v>80</v>
      </c>
      <c r="Q271" s="13" t="str" cm="1">
        <f t="array" ref="Q27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271">
        <v>75</v>
      </c>
      <c r="S271" t="str" cm="1">
        <f t="array" ref="S27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271">
        <v>80</v>
      </c>
      <c r="U271" t="str" cm="1">
        <f t="array" ref="U27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271">
        <v>81</v>
      </c>
      <c r="W271" t="str" cm="1">
        <f t="array" ref="W27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271">
        <v>60</v>
      </c>
      <c r="Y271" t="str" cm="1">
        <f t="array" ref="Y27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271">
        <f>SUM(Table1[[#This Row],[Math 
Score]],Table1[[#This Row],[History 
Score]],Table1[[#This Row],[Physics 
Score]],Table1[[#This Row],[Chemistry 
Score]],Table1[[#This Row],[Biology 
Score]],Table1[[#This Row],[English 
Score]],Table1[[#This Row],[Geography 
Score]])</f>
        <v>542</v>
      </c>
      <c r="AA271" s="3">
        <f>AVERAGE(Table1[[#This Row],[Math 
Score]],Table1[[#This Row],[History 
Score]],Table1[[#This Row],[Physics 
Score]],Table1[[#This Row],[Chemistry 
Score]],Table1[[#This Row],[Biology 
Score]],Table1[[#This Row],[English 
Score]],Table1[[#This Row],[Geography 
Score]])</f>
        <v>77.428571428571431</v>
      </c>
      <c r="AB27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271">
        <f t="shared" si="4"/>
        <v>1478</v>
      </c>
      <c r="AD271" t="str">
        <f>_xlfn.IFS(Table1[[#This Row],[Absence 
Days]]&lt;3,"Excellent",Table1[[#This Row],[Absence 
Days]]&lt;=6,"Good",Table1[[#This Row],[Absence 
Days]]&gt;6,"Poor")</f>
        <v>Excellent</v>
      </c>
    </row>
    <row r="272" spans="1:30" x14ac:dyDescent="0.35">
      <c r="A272">
        <v>271</v>
      </c>
      <c r="B272" s="2" t="s">
        <v>52</v>
      </c>
      <c r="C272" t="s">
        <v>628</v>
      </c>
      <c r="D272" t="str">
        <f>_xlfn.TEXTJOIN(" ",TRUE,Table1[[#This Row],[First 
Name]:[Last 
Name]])</f>
        <v>Jacob Henderson</v>
      </c>
      <c r="E272" t="s">
        <v>1382</v>
      </c>
      <c r="F272" t="s">
        <v>3244</v>
      </c>
      <c r="G272" t="str">
        <f ca="1">PROPER(Table1[[#This Row],[Part Time 
Job]])</f>
        <v>False</v>
      </c>
      <c r="H272" s="3">
        <v>1</v>
      </c>
      <c r="I272" t="str">
        <f ca="1">PROPER(Table1[[#This Row],[Extracurricular 
Activities]])</f>
        <v>False</v>
      </c>
      <c r="J272">
        <v>3</v>
      </c>
      <c r="K272" t="s">
        <v>3119</v>
      </c>
      <c r="L272">
        <v>53</v>
      </c>
      <c r="M272" s="12" t="str" cm="1">
        <f t="array" ref="M272">_xlfn.IFS(Table1[[#This Row],[Math 
Score]]&gt;=90,"A+",Table1[[#This Row],[Math 
Score]]&gt;=80,"A", Table1[[#This Row],[Math 
Score]]&gt;=75,"A-",Table1[[#This Row],[Math 
Score]]&gt;=70,"B+",Table1[[#This Row],[Math 
Score]]&gt;=65,"B",Table1[[#This Row],[Math 
Score]]&gt;=60,"B-",Table1[[#This Row],[Math 
Score]]&gt;=50,"C",Table1[[#This Row],[Math 
Score]]&gt;=40,"D",Table1[[#This Row],[Math 
Score]]&lt;40,"F")</f>
        <v>C</v>
      </c>
      <c r="N272">
        <v>71</v>
      </c>
      <c r="O272" s="13" t="str" cm="1">
        <f t="array" ref="O27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272">
        <v>98</v>
      </c>
      <c r="Q272" s="13" t="str" cm="1">
        <f t="array" ref="Q27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272">
        <v>95</v>
      </c>
      <c r="S272" t="str" cm="1">
        <f t="array" ref="S27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272">
        <v>94</v>
      </c>
      <c r="U272" t="str" cm="1">
        <f t="array" ref="U27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272">
        <v>71</v>
      </c>
      <c r="W272" t="str" cm="1">
        <f t="array" ref="W27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272">
        <v>77</v>
      </c>
      <c r="Y272" t="str" cm="1">
        <f t="array" ref="Y27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272">
        <f>SUM(Table1[[#This Row],[Math 
Score]],Table1[[#This Row],[History 
Score]],Table1[[#This Row],[Physics 
Score]],Table1[[#This Row],[Chemistry 
Score]],Table1[[#This Row],[Biology 
Score]],Table1[[#This Row],[English 
Score]],Table1[[#This Row],[Geography 
Score]])</f>
        <v>559</v>
      </c>
      <c r="AA272" s="3">
        <f>AVERAGE(Table1[[#This Row],[Math 
Score]],Table1[[#This Row],[History 
Score]],Table1[[#This Row],[Physics 
Score]],Table1[[#This Row],[Chemistry 
Score]],Table1[[#This Row],[Biology 
Score]],Table1[[#This Row],[English 
Score]],Table1[[#This Row],[Geography 
Score]])</f>
        <v>79.857142857142861</v>
      </c>
      <c r="AB27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272">
        <f t="shared" si="4"/>
        <v>1155</v>
      </c>
      <c r="AD272" t="str">
        <f>_xlfn.IFS(Table1[[#This Row],[Absence 
Days]]&lt;3,"Excellent",Table1[[#This Row],[Absence 
Days]]&lt;=6,"Good",Table1[[#This Row],[Absence 
Days]]&gt;6,"Poor")</f>
        <v>Excellent</v>
      </c>
    </row>
    <row r="273" spans="1:30" x14ac:dyDescent="0.35">
      <c r="A273">
        <v>272</v>
      </c>
      <c r="B273" s="2" t="s">
        <v>51</v>
      </c>
      <c r="C273" t="s">
        <v>642</v>
      </c>
      <c r="D273" t="str">
        <f>_xlfn.TEXTJOIN(" ",TRUE,Table1[[#This Row],[First 
Name]:[Last 
Name]])</f>
        <v>Melissa Huerta</v>
      </c>
      <c r="E273" t="s">
        <v>1383</v>
      </c>
      <c r="F273" t="s">
        <v>3245</v>
      </c>
      <c r="G273" t="str">
        <f ca="1">PROPER(Table1[[#This Row],[Part Time 
Job]])</f>
        <v>False</v>
      </c>
      <c r="H273" s="3">
        <v>7</v>
      </c>
      <c r="I273" t="str">
        <f ca="1">PROPER(Table1[[#This Row],[Extracurricular 
Activities]])</f>
        <v>False</v>
      </c>
      <c r="J273">
        <v>4</v>
      </c>
      <c r="K273" t="s">
        <v>3119</v>
      </c>
      <c r="L273">
        <v>44</v>
      </c>
      <c r="M273" s="12" t="str" cm="1">
        <f t="array" ref="M273">_xlfn.IFS(Table1[[#This Row],[Math 
Score]]&gt;=90,"A+",Table1[[#This Row],[Math 
Score]]&gt;=80,"A", Table1[[#This Row],[Math 
Score]]&gt;=75,"A-",Table1[[#This Row],[Math 
Score]]&gt;=70,"B+",Table1[[#This Row],[Math 
Score]]&gt;=65,"B",Table1[[#This Row],[Math 
Score]]&gt;=60,"B-",Table1[[#This Row],[Math 
Score]]&gt;=50,"C",Table1[[#This Row],[Math 
Score]]&gt;=40,"D",Table1[[#This Row],[Math 
Score]]&lt;40,"F")</f>
        <v>D</v>
      </c>
      <c r="N273">
        <v>64</v>
      </c>
      <c r="O273" s="13" t="str" cm="1">
        <f t="array" ref="O27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273">
        <v>58</v>
      </c>
      <c r="Q273" s="13" t="str" cm="1">
        <f t="array" ref="Q27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C</v>
      </c>
      <c r="R273">
        <v>66</v>
      </c>
      <c r="S273" t="str" cm="1">
        <f t="array" ref="S27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273">
        <v>87</v>
      </c>
      <c r="U273" t="str" cm="1">
        <f t="array" ref="U27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273">
        <v>62</v>
      </c>
      <c r="W273" t="str" cm="1">
        <f t="array" ref="W27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273">
        <v>68</v>
      </c>
      <c r="Y273" t="str" cm="1">
        <f t="array" ref="Y27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273">
        <f>SUM(Table1[[#This Row],[Math 
Score]],Table1[[#This Row],[History 
Score]],Table1[[#This Row],[Physics 
Score]],Table1[[#This Row],[Chemistry 
Score]],Table1[[#This Row],[Biology 
Score]],Table1[[#This Row],[English 
Score]],Table1[[#This Row],[Geography 
Score]])</f>
        <v>449</v>
      </c>
      <c r="AA273" s="3">
        <f>AVERAGE(Table1[[#This Row],[Math 
Score]],Table1[[#This Row],[History 
Score]],Table1[[#This Row],[Physics 
Score]],Table1[[#This Row],[Chemistry 
Score]],Table1[[#This Row],[Biology 
Score]],Table1[[#This Row],[English 
Score]],Table1[[#This Row],[Geography 
Score]])</f>
        <v>64.142857142857139</v>
      </c>
      <c r="AB27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273">
        <f t="shared" si="4"/>
        <v>1993</v>
      </c>
      <c r="AD273" t="str">
        <f>_xlfn.IFS(Table1[[#This Row],[Absence 
Days]]&lt;3,"Excellent",Table1[[#This Row],[Absence 
Days]]&lt;=6,"Good",Table1[[#This Row],[Absence 
Days]]&gt;6,"Poor")</f>
        <v>Poor</v>
      </c>
    </row>
    <row r="274" spans="1:30" x14ac:dyDescent="0.35">
      <c r="A274">
        <v>273</v>
      </c>
      <c r="B274" s="2" t="s">
        <v>167</v>
      </c>
      <c r="C274" t="s">
        <v>643</v>
      </c>
      <c r="D274" t="str">
        <f>_xlfn.TEXTJOIN(" ",TRUE,Table1[[#This Row],[First 
Name]:[Last 
Name]])</f>
        <v>Kevin Camacho</v>
      </c>
      <c r="E274" t="s">
        <v>1384</v>
      </c>
      <c r="F274" t="s">
        <v>3244</v>
      </c>
      <c r="G274" t="str">
        <f ca="1">PROPER(Table1[[#This Row],[Part Time 
Job]])</f>
        <v>False</v>
      </c>
      <c r="H274" s="3">
        <v>0</v>
      </c>
      <c r="I274" t="str">
        <f ca="1">PROPER(Table1[[#This Row],[Extracurricular 
Activities]])</f>
        <v>False</v>
      </c>
      <c r="J274">
        <v>25</v>
      </c>
      <c r="K274" t="s">
        <v>3116</v>
      </c>
      <c r="L274">
        <v>85</v>
      </c>
      <c r="M274" s="12" t="str" cm="1">
        <f t="array" ref="M27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274">
        <v>70</v>
      </c>
      <c r="O274" s="13" t="str" cm="1">
        <f t="array" ref="O27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274">
        <v>73</v>
      </c>
      <c r="Q274" s="13" t="str" cm="1">
        <f t="array" ref="Q27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274">
        <v>95</v>
      </c>
      <c r="S274" t="str" cm="1">
        <f t="array" ref="S27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274">
        <v>100</v>
      </c>
      <c r="U274" t="str" cm="1">
        <f t="array" ref="U27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274">
        <v>70</v>
      </c>
      <c r="W274" t="str" cm="1">
        <f t="array" ref="W27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274">
        <v>94</v>
      </c>
      <c r="Y274" t="str" cm="1">
        <f t="array" ref="Y27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274">
        <f>SUM(Table1[[#This Row],[Math 
Score]],Table1[[#This Row],[History 
Score]],Table1[[#This Row],[Physics 
Score]],Table1[[#This Row],[Chemistry 
Score]],Table1[[#This Row],[Biology 
Score]],Table1[[#This Row],[English 
Score]],Table1[[#This Row],[Geography 
Score]])</f>
        <v>587</v>
      </c>
      <c r="AA274" s="3">
        <f>AVERAGE(Table1[[#This Row],[Math 
Score]],Table1[[#This Row],[History 
Score]],Table1[[#This Row],[Physics 
Score]],Table1[[#This Row],[Chemistry 
Score]],Table1[[#This Row],[Biology 
Score]],Table1[[#This Row],[English 
Score]],Table1[[#This Row],[Geography 
Score]])</f>
        <v>83.857142857142861</v>
      </c>
      <c r="AB27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274">
        <f t="shared" si="4"/>
        <v>583</v>
      </c>
      <c r="AD274" t="str">
        <f>_xlfn.IFS(Table1[[#This Row],[Absence 
Days]]&lt;3,"Excellent",Table1[[#This Row],[Absence 
Days]]&lt;=6,"Good",Table1[[#This Row],[Absence 
Days]]&gt;6,"Poor")</f>
        <v>Excellent</v>
      </c>
    </row>
    <row r="275" spans="1:30" x14ac:dyDescent="0.35">
      <c r="A275">
        <v>274</v>
      </c>
      <c r="B275" s="2" t="s">
        <v>4</v>
      </c>
      <c r="C275" t="s">
        <v>486</v>
      </c>
      <c r="D275" t="str">
        <f>_xlfn.TEXTJOIN(" ",TRUE,Table1[[#This Row],[First 
Name]:[Last 
Name]])</f>
        <v>Anthony Martinez</v>
      </c>
      <c r="E275" t="s">
        <v>1385</v>
      </c>
      <c r="F275" t="s">
        <v>3244</v>
      </c>
      <c r="G275" t="str">
        <f ca="1">PROPER(Table1[[#This Row],[Part Time 
Job]])</f>
        <v>True</v>
      </c>
      <c r="H275" s="3">
        <v>10</v>
      </c>
      <c r="I275" t="str">
        <f ca="1">PROPER(Table1[[#This Row],[Extracurricular 
Activities]])</f>
        <v>False</v>
      </c>
      <c r="J275">
        <v>1</v>
      </c>
      <c r="K275" t="s">
        <v>3119</v>
      </c>
      <c r="L275">
        <v>51</v>
      </c>
      <c r="M275" s="12" t="str" cm="1">
        <f t="array" ref="M275">_xlfn.IFS(Table1[[#This Row],[Math 
Score]]&gt;=90,"A+",Table1[[#This Row],[Math 
Score]]&gt;=80,"A", Table1[[#This Row],[Math 
Score]]&gt;=75,"A-",Table1[[#This Row],[Math 
Score]]&gt;=70,"B+",Table1[[#This Row],[Math 
Score]]&gt;=65,"B",Table1[[#This Row],[Math 
Score]]&gt;=60,"B-",Table1[[#This Row],[Math 
Score]]&gt;=50,"C",Table1[[#This Row],[Math 
Score]]&gt;=40,"D",Table1[[#This Row],[Math 
Score]]&lt;40,"F")</f>
        <v>C</v>
      </c>
      <c r="N275">
        <v>91</v>
      </c>
      <c r="O275" s="13" t="str" cm="1">
        <f t="array" ref="O27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275">
        <v>67</v>
      </c>
      <c r="Q275" s="13" t="str" cm="1">
        <f t="array" ref="Q27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275">
        <v>79</v>
      </c>
      <c r="S275" t="str" cm="1">
        <f t="array" ref="S27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275">
        <v>58</v>
      </c>
      <c r="U275" t="str" cm="1">
        <f t="array" ref="U27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C</v>
      </c>
      <c r="V275">
        <v>52</v>
      </c>
      <c r="W275" t="str" cm="1">
        <f t="array" ref="W27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C</v>
      </c>
      <c r="X275">
        <v>75</v>
      </c>
      <c r="Y275" t="str" cm="1">
        <f t="array" ref="Y27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275">
        <f>SUM(Table1[[#This Row],[Math 
Score]],Table1[[#This Row],[History 
Score]],Table1[[#This Row],[Physics 
Score]],Table1[[#This Row],[Chemistry 
Score]],Table1[[#This Row],[Biology 
Score]],Table1[[#This Row],[English 
Score]],Table1[[#This Row],[Geography 
Score]])</f>
        <v>473</v>
      </c>
      <c r="AA275" s="3">
        <f>AVERAGE(Table1[[#This Row],[Math 
Score]],Table1[[#This Row],[History 
Score]],Table1[[#This Row],[Physics 
Score]],Table1[[#This Row],[Chemistry 
Score]],Table1[[#This Row],[Biology 
Score]],Table1[[#This Row],[English 
Score]],Table1[[#This Row],[Geography 
Score]])</f>
        <v>67.571428571428569</v>
      </c>
      <c r="AB27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275">
        <f t="shared" si="4"/>
        <v>1952</v>
      </c>
      <c r="AD275" t="str">
        <f>_xlfn.IFS(Table1[[#This Row],[Absence 
Days]]&lt;3,"Excellent",Table1[[#This Row],[Absence 
Days]]&lt;=6,"Good",Table1[[#This Row],[Absence 
Days]]&gt;6,"Poor")</f>
        <v>Poor</v>
      </c>
    </row>
    <row r="276" spans="1:30" x14ac:dyDescent="0.35">
      <c r="A276">
        <v>275</v>
      </c>
      <c r="B276" s="2" t="s">
        <v>168</v>
      </c>
      <c r="C276" t="s">
        <v>567</v>
      </c>
      <c r="D276" t="str">
        <f>_xlfn.TEXTJOIN(" ",TRUE,Table1[[#This Row],[First 
Name]:[Last 
Name]])</f>
        <v>Randy Rodriguez</v>
      </c>
      <c r="E276" t="s">
        <v>1386</v>
      </c>
      <c r="F276" t="s">
        <v>3244</v>
      </c>
      <c r="G276" t="str">
        <f ca="1">PROPER(Table1[[#This Row],[Part Time 
Job]])</f>
        <v>False</v>
      </c>
      <c r="H276" s="3">
        <v>1</v>
      </c>
      <c r="I276" t="str">
        <f ca="1">PROPER(Table1[[#This Row],[Extracurricular 
Activities]])</f>
        <v>False</v>
      </c>
      <c r="J276">
        <v>24</v>
      </c>
      <c r="K276" t="s">
        <v>3112</v>
      </c>
      <c r="L276">
        <v>90</v>
      </c>
      <c r="M276" s="12" t="str" cm="1">
        <f t="array" ref="M27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276">
        <v>89</v>
      </c>
      <c r="O276" s="13" t="str" cm="1">
        <f t="array" ref="O27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276">
        <v>82</v>
      </c>
      <c r="Q276" s="13" t="str" cm="1">
        <f t="array" ref="Q27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276">
        <v>74</v>
      </c>
      <c r="S276" t="str" cm="1">
        <f t="array" ref="S27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276">
        <v>67</v>
      </c>
      <c r="U276" t="str" cm="1">
        <f t="array" ref="U27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276">
        <v>92</v>
      </c>
      <c r="W276" t="str" cm="1">
        <f t="array" ref="W27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276">
        <v>82</v>
      </c>
      <c r="Y276" t="str" cm="1">
        <f t="array" ref="Y27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276">
        <f>SUM(Table1[[#This Row],[Math 
Score]],Table1[[#This Row],[History 
Score]],Table1[[#This Row],[Physics 
Score]],Table1[[#This Row],[Chemistry 
Score]],Table1[[#This Row],[Biology 
Score]],Table1[[#This Row],[English 
Score]],Table1[[#This Row],[Geography 
Score]])</f>
        <v>576</v>
      </c>
      <c r="AA276" s="3">
        <f>AVERAGE(Table1[[#This Row],[Math 
Score]],Table1[[#This Row],[History 
Score]],Table1[[#This Row],[Physics 
Score]],Table1[[#This Row],[Chemistry 
Score]],Table1[[#This Row],[Biology 
Score]],Table1[[#This Row],[English 
Score]],Table1[[#This Row],[Geography 
Score]])</f>
        <v>82.285714285714292</v>
      </c>
      <c r="AB27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276">
        <f t="shared" si="4"/>
        <v>789</v>
      </c>
      <c r="AD276" t="str">
        <f>_xlfn.IFS(Table1[[#This Row],[Absence 
Days]]&lt;3,"Excellent",Table1[[#This Row],[Absence 
Days]]&lt;=6,"Good",Table1[[#This Row],[Absence 
Days]]&gt;6,"Poor")</f>
        <v>Excellent</v>
      </c>
    </row>
    <row r="277" spans="1:30" x14ac:dyDescent="0.35">
      <c r="A277">
        <v>276</v>
      </c>
      <c r="B277" s="2" t="s">
        <v>76</v>
      </c>
      <c r="C277" t="s">
        <v>644</v>
      </c>
      <c r="D277" t="str">
        <f>_xlfn.TEXTJOIN(" ",TRUE,Table1[[#This Row],[First 
Name]:[Last 
Name]])</f>
        <v>Patrick Vazquez</v>
      </c>
      <c r="E277" t="s">
        <v>1387</v>
      </c>
      <c r="F277" t="s">
        <v>3244</v>
      </c>
      <c r="G277" t="str">
        <f ca="1">PROPER(Table1[[#This Row],[Part Time 
Job]])</f>
        <v>False</v>
      </c>
      <c r="H277" s="3">
        <v>1</v>
      </c>
      <c r="I277" t="str">
        <f ca="1">PROPER(Table1[[#This Row],[Extracurricular 
Activities]])</f>
        <v>False</v>
      </c>
      <c r="J277">
        <v>15</v>
      </c>
      <c r="K277" t="s">
        <v>3117</v>
      </c>
      <c r="L277">
        <v>100</v>
      </c>
      <c r="M277" s="12" t="str" cm="1">
        <f t="array" ref="M27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277">
        <v>92</v>
      </c>
      <c r="O277" s="13" t="str" cm="1">
        <f t="array" ref="O27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277">
        <v>90</v>
      </c>
      <c r="Q277" s="13" t="str" cm="1">
        <f t="array" ref="Q27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277">
        <v>66</v>
      </c>
      <c r="S277" t="str" cm="1">
        <f t="array" ref="S27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277">
        <v>73</v>
      </c>
      <c r="U277" t="str" cm="1">
        <f t="array" ref="U27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277">
        <v>68</v>
      </c>
      <c r="W277" t="str" cm="1">
        <f t="array" ref="W27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277">
        <v>70</v>
      </c>
      <c r="Y277" t="str" cm="1">
        <f t="array" ref="Y27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277">
        <f>SUM(Table1[[#This Row],[Math 
Score]],Table1[[#This Row],[History 
Score]],Table1[[#This Row],[Physics 
Score]],Table1[[#This Row],[Chemistry 
Score]],Table1[[#This Row],[Biology 
Score]],Table1[[#This Row],[English 
Score]],Table1[[#This Row],[Geography 
Score]])</f>
        <v>559</v>
      </c>
      <c r="AA277" s="3">
        <f>AVERAGE(Table1[[#This Row],[Math 
Score]],Table1[[#This Row],[History 
Score]],Table1[[#This Row],[Physics 
Score]],Table1[[#This Row],[Chemistry 
Score]],Table1[[#This Row],[Biology 
Score]],Table1[[#This Row],[English 
Score]],Table1[[#This Row],[Geography 
Score]])</f>
        <v>79.857142857142861</v>
      </c>
      <c r="AB27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277">
        <f t="shared" si="4"/>
        <v>1155</v>
      </c>
      <c r="AD277" t="str">
        <f>_xlfn.IFS(Table1[[#This Row],[Absence 
Days]]&lt;3,"Excellent",Table1[[#This Row],[Absence 
Days]]&lt;=6,"Good",Table1[[#This Row],[Absence 
Days]]&gt;6,"Poor")</f>
        <v>Excellent</v>
      </c>
    </row>
    <row r="278" spans="1:30" x14ac:dyDescent="0.35">
      <c r="A278">
        <v>277</v>
      </c>
      <c r="B278" s="2" t="s">
        <v>169</v>
      </c>
      <c r="C278" t="s">
        <v>645</v>
      </c>
      <c r="D278" t="str">
        <f>_xlfn.TEXTJOIN(" ",TRUE,Table1[[#This Row],[First 
Name]:[Last 
Name]])</f>
        <v>Kim Flores</v>
      </c>
      <c r="E278" t="s">
        <v>1388</v>
      </c>
      <c r="F278" t="s">
        <v>3245</v>
      </c>
      <c r="G278" t="str">
        <f ca="1">PROPER(Table1[[#This Row],[Part Time 
Job]])</f>
        <v>True</v>
      </c>
      <c r="H278" s="3">
        <v>7</v>
      </c>
      <c r="I278" t="str">
        <f ca="1">PROPER(Table1[[#This Row],[Extracurricular 
Activities]])</f>
        <v>False</v>
      </c>
      <c r="J278">
        <v>1</v>
      </c>
      <c r="K278" t="s">
        <v>3119</v>
      </c>
      <c r="L278">
        <v>95</v>
      </c>
      <c r="M278" s="12" t="str" cm="1">
        <f t="array" ref="M27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278">
        <v>73</v>
      </c>
      <c r="O278" s="13" t="str" cm="1">
        <f t="array" ref="O27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278">
        <v>61</v>
      </c>
      <c r="Q278" s="13" t="str" cm="1">
        <f t="array" ref="Q27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278">
        <v>91</v>
      </c>
      <c r="S278" t="str" cm="1">
        <f t="array" ref="S27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278">
        <v>84</v>
      </c>
      <c r="U278" t="str" cm="1">
        <f t="array" ref="U27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278">
        <v>92</v>
      </c>
      <c r="W278" t="str" cm="1">
        <f t="array" ref="W27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278">
        <v>94</v>
      </c>
      <c r="Y278" t="str" cm="1">
        <f t="array" ref="Y27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278">
        <f>SUM(Table1[[#This Row],[Math 
Score]],Table1[[#This Row],[History 
Score]],Table1[[#This Row],[Physics 
Score]],Table1[[#This Row],[Chemistry 
Score]],Table1[[#This Row],[Biology 
Score]],Table1[[#This Row],[English 
Score]],Table1[[#This Row],[Geography 
Score]])</f>
        <v>590</v>
      </c>
      <c r="AA278" s="3">
        <f>AVERAGE(Table1[[#This Row],[Math 
Score]],Table1[[#This Row],[History 
Score]],Table1[[#This Row],[Physics 
Score]],Table1[[#This Row],[Chemistry 
Score]],Table1[[#This Row],[Biology 
Score]],Table1[[#This Row],[English 
Score]],Table1[[#This Row],[Geography 
Score]])</f>
        <v>84.285714285714292</v>
      </c>
      <c r="AB27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278">
        <f t="shared" si="4"/>
        <v>531</v>
      </c>
      <c r="AD278" t="str">
        <f>_xlfn.IFS(Table1[[#This Row],[Absence 
Days]]&lt;3,"Excellent",Table1[[#This Row],[Absence 
Days]]&lt;=6,"Good",Table1[[#This Row],[Absence 
Days]]&gt;6,"Poor")</f>
        <v>Poor</v>
      </c>
    </row>
    <row r="279" spans="1:30" x14ac:dyDescent="0.35">
      <c r="A279">
        <v>278</v>
      </c>
      <c r="B279" s="2" t="s">
        <v>74</v>
      </c>
      <c r="C279" t="s">
        <v>646</v>
      </c>
      <c r="D279" t="str">
        <f>_xlfn.TEXTJOIN(" ",TRUE,Table1[[#This Row],[First 
Name]:[Last 
Name]])</f>
        <v>Robert Salazar</v>
      </c>
      <c r="E279" t="s">
        <v>1389</v>
      </c>
      <c r="F279" t="s">
        <v>3244</v>
      </c>
      <c r="G279" t="str">
        <f ca="1">PROPER(Table1[[#This Row],[Part Time 
Job]])</f>
        <v>False</v>
      </c>
      <c r="H279" s="3">
        <v>1</v>
      </c>
      <c r="I279" t="str">
        <f ca="1">PROPER(Table1[[#This Row],[Extracurricular 
Activities]])</f>
        <v>True</v>
      </c>
      <c r="J279">
        <v>33</v>
      </c>
      <c r="K279" t="s">
        <v>3112</v>
      </c>
      <c r="L279">
        <v>76</v>
      </c>
      <c r="M279" s="12" t="str" cm="1">
        <f t="array" ref="M27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279">
        <v>81</v>
      </c>
      <c r="O279" s="13" t="str" cm="1">
        <f t="array" ref="O27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279">
        <v>96</v>
      </c>
      <c r="Q279" s="13" t="str" cm="1">
        <f t="array" ref="Q27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279">
        <v>74</v>
      </c>
      <c r="S279" t="str" cm="1">
        <f t="array" ref="S27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279">
        <v>75</v>
      </c>
      <c r="U279" t="str" cm="1">
        <f t="array" ref="U27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279">
        <v>80</v>
      </c>
      <c r="W279" t="str" cm="1">
        <f t="array" ref="W27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279">
        <v>98</v>
      </c>
      <c r="Y279" t="str" cm="1">
        <f t="array" ref="Y27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279">
        <f>SUM(Table1[[#This Row],[Math 
Score]],Table1[[#This Row],[History 
Score]],Table1[[#This Row],[Physics 
Score]],Table1[[#This Row],[Chemistry 
Score]],Table1[[#This Row],[Biology 
Score]],Table1[[#This Row],[English 
Score]],Table1[[#This Row],[Geography 
Score]])</f>
        <v>580</v>
      </c>
      <c r="AA279" s="3">
        <f>AVERAGE(Table1[[#This Row],[Math 
Score]],Table1[[#This Row],[History 
Score]],Table1[[#This Row],[Physics 
Score]],Table1[[#This Row],[Chemistry 
Score]],Table1[[#This Row],[Biology 
Score]],Table1[[#This Row],[English 
Score]],Table1[[#This Row],[Geography 
Score]])</f>
        <v>82.857142857142861</v>
      </c>
      <c r="AB27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279">
        <f t="shared" si="4"/>
        <v>709</v>
      </c>
      <c r="AD279" t="str">
        <f>_xlfn.IFS(Table1[[#This Row],[Absence 
Days]]&lt;3,"Excellent",Table1[[#This Row],[Absence 
Days]]&lt;=6,"Good",Table1[[#This Row],[Absence 
Days]]&gt;6,"Poor")</f>
        <v>Excellent</v>
      </c>
    </row>
    <row r="280" spans="1:30" x14ac:dyDescent="0.35">
      <c r="A280">
        <v>279</v>
      </c>
      <c r="B280" s="2" t="s">
        <v>78</v>
      </c>
      <c r="C280" t="s">
        <v>553</v>
      </c>
      <c r="D280" t="str">
        <f>_xlfn.TEXTJOIN(" ",TRUE,Table1[[#This Row],[First 
Name]:[Last 
Name]])</f>
        <v>Victoria Vasquez</v>
      </c>
      <c r="E280" t="s">
        <v>1390</v>
      </c>
      <c r="F280" t="s">
        <v>3245</v>
      </c>
      <c r="G280" t="str">
        <f ca="1">PROPER(Table1[[#This Row],[Part Time 
Job]])</f>
        <v>False</v>
      </c>
      <c r="H280" s="3">
        <v>1</v>
      </c>
      <c r="I280" t="str">
        <f ca="1">PROPER(Table1[[#This Row],[Extracurricular 
Activities]])</f>
        <v>False</v>
      </c>
      <c r="J280">
        <v>11</v>
      </c>
      <c r="K280" t="s">
        <v>3124</v>
      </c>
      <c r="L280">
        <v>71</v>
      </c>
      <c r="M280" s="12" t="str" cm="1">
        <f t="array" ref="M280">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280">
        <v>98</v>
      </c>
      <c r="O280" s="13" t="str" cm="1">
        <f t="array" ref="O28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280">
        <v>96</v>
      </c>
      <c r="Q280" s="13" t="str" cm="1">
        <f t="array" ref="Q28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280">
        <v>60</v>
      </c>
      <c r="S280" t="str" cm="1">
        <f t="array" ref="S28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280">
        <v>90</v>
      </c>
      <c r="U280" t="str" cm="1">
        <f t="array" ref="U28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280">
        <v>79</v>
      </c>
      <c r="W280" t="str" cm="1">
        <f t="array" ref="W28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280">
        <v>72</v>
      </c>
      <c r="Y280" t="str" cm="1">
        <f t="array" ref="Y28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280">
        <f>SUM(Table1[[#This Row],[Math 
Score]],Table1[[#This Row],[History 
Score]],Table1[[#This Row],[Physics 
Score]],Table1[[#This Row],[Chemistry 
Score]],Table1[[#This Row],[Biology 
Score]],Table1[[#This Row],[English 
Score]],Table1[[#This Row],[Geography 
Score]])</f>
        <v>566</v>
      </c>
      <c r="AA280" s="3">
        <f>AVERAGE(Table1[[#This Row],[Math 
Score]],Table1[[#This Row],[History 
Score]],Table1[[#This Row],[Physics 
Score]],Table1[[#This Row],[Chemistry 
Score]],Table1[[#This Row],[Biology 
Score]],Table1[[#This Row],[English 
Score]],Table1[[#This Row],[Geography 
Score]])</f>
        <v>80.857142857142861</v>
      </c>
      <c r="AB28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280">
        <f t="shared" si="4"/>
        <v>1019</v>
      </c>
      <c r="AD280" t="str">
        <f>_xlfn.IFS(Table1[[#This Row],[Absence 
Days]]&lt;3,"Excellent",Table1[[#This Row],[Absence 
Days]]&lt;=6,"Good",Table1[[#This Row],[Absence 
Days]]&gt;6,"Poor")</f>
        <v>Excellent</v>
      </c>
    </row>
    <row r="281" spans="1:30" x14ac:dyDescent="0.35">
      <c r="A281">
        <v>280</v>
      </c>
      <c r="B281" s="2" t="s">
        <v>170</v>
      </c>
      <c r="C281" t="s">
        <v>647</v>
      </c>
      <c r="D281" t="str">
        <f>_xlfn.TEXTJOIN(" ",TRUE,Table1[[#This Row],[First 
Name]:[Last 
Name]])</f>
        <v>Ricardo Macias</v>
      </c>
      <c r="E281" t="s">
        <v>1391</v>
      </c>
      <c r="F281" t="s">
        <v>3244</v>
      </c>
      <c r="G281" t="str">
        <f ca="1">PROPER(Table1[[#This Row],[Part Time 
Job]])</f>
        <v>False</v>
      </c>
      <c r="H281" s="3">
        <v>3</v>
      </c>
      <c r="I281" t="str">
        <f ca="1">PROPER(Table1[[#This Row],[Extracurricular 
Activities]])</f>
        <v>False</v>
      </c>
      <c r="J281">
        <v>10</v>
      </c>
      <c r="K281" t="s">
        <v>3121</v>
      </c>
      <c r="L281">
        <v>95</v>
      </c>
      <c r="M281" s="12" t="str" cm="1">
        <f t="array" ref="M28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281">
        <v>60</v>
      </c>
      <c r="O281" s="13" t="str" cm="1">
        <f t="array" ref="O28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281">
        <v>87</v>
      </c>
      <c r="Q281" s="13" t="str" cm="1">
        <f t="array" ref="Q28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281">
        <v>71</v>
      </c>
      <c r="S281" t="str" cm="1">
        <f t="array" ref="S28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281">
        <v>91</v>
      </c>
      <c r="U281" t="str" cm="1">
        <f t="array" ref="U28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281">
        <v>84</v>
      </c>
      <c r="W281" t="str" cm="1">
        <f t="array" ref="W28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281">
        <v>98</v>
      </c>
      <c r="Y281" t="str" cm="1">
        <f t="array" ref="Y28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281">
        <f>SUM(Table1[[#This Row],[Math 
Score]],Table1[[#This Row],[History 
Score]],Table1[[#This Row],[Physics 
Score]],Table1[[#This Row],[Chemistry 
Score]],Table1[[#This Row],[Biology 
Score]],Table1[[#This Row],[English 
Score]],Table1[[#This Row],[Geography 
Score]])</f>
        <v>586</v>
      </c>
      <c r="AA281" s="3">
        <f>AVERAGE(Table1[[#This Row],[Math 
Score]],Table1[[#This Row],[History 
Score]],Table1[[#This Row],[Physics 
Score]],Table1[[#This Row],[Chemistry 
Score]],Table1[[#This Row],[Biology 
Score]],Table1[[#This Row],[English 
Score]],Table1[[#This Row],[Geography 
Score]])</f>
        <v>83.714285714285708</v>
      </c>
      <c r="AB28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281">
        <f t="shared" si="4"/>
        <v>601</v>
      </c>
      <c r="AD281" t="str">
        <f>_xlfn.IFS(Table1[[#This Row],[Absence 
Days]]&lt;3,"Excellent",Table1[[#This Row],[Absence 
Days]]&lt;=6,"Good",Table1[[#This Row],[Absence 
Days]]&gt;6,"Poor")</f>
        <v>Good</v>
      </c>
    </row>
    <row r="282" spans="1:30" x14ac:dyDescent="0.35">
      <c r="A282">
        <v>281</v>
      </c>
      <c r="B282" s="2" t="s">
        <v>171</v>
      </c>
      <c r="C282" t="s">
        <v>648</v>
      </c>
      <c r="D282" t="str">
        <f>_xlfn.TEXTJOIN(" ",TRUE,Table1[[#This Row],[First 
Name]:[Last 
Name]])</f>
        <v>Brandi Bauer</v>
      </c>
      <c r="E282" t="s">
        <v>1392</v>
      </c>
      <c r="F282" t="s">
        <v>3245</v>
      </c>
      <c r="G282" t="str">
        <f ca="1">PROPER(Table1[[#This Row],[Part Time 
Job]])</f>
        <v>False</v>
      </c>
      <c r="H282" s="3">
        <v>7</v>
      </c>
      <c r="I282" t="str">
        <f ca="1">PROPER(Table1[[#This Row],[Extracurricular 
Activities]])</f>
        <v>True</v>
      </c>
      <c r="J282">
        <v>15</v>
      </c>
      <c r="K282" t="s">
        <v>3117</v>
      </c>
      <c r="L282">
        <v>92</v>
      </c>
      <c r="M282" s="12" t="str" cm="1">
        <f t="array" ref="M28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282">
        <v>88</v>
      </c>
      <c r="O282" s="13" t="str" cm="1">
        <f t="array" ref="O28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282">
        <v>76</v>
      </c>
      <c r="Q282" s="13" t="str" cm="1">
        <f t="array" ref="Q28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282">
        <v>93</v>
      </c>
      <c r="S282" t="str" cm="1">
        <f t="array" ref="S28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282">
        <v>69</v>
      </c>
      <c r="U282" t="str" cm="1">
        <f t="array" ref="U28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282">
        <v>75</v>
      </c>
      <c r="W282" t="str" cm="1">
        <f t="array" ref="W28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282">
        <v>97</v>
      </c>
      <c r="Y282" t="str" cm="1">
        <f t="array" ref="Y28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282">
        <f>SUM(Table1[[#This Row],[Math 
Score]],Table1[[#This Row],[History 
Score]],Table1[[#This Row],[Physics 
Score]],Table1[[#This Row],[Chemistry 
Score]],Table1[[#This Row],[Biology 
Score]],Table1[[#This Row],[English 
Score]],Table1[[#This Row],[Geography 
Score]])</f>
        <v>590</v>
      </c>
      <c r="AA282" s="3">
        <f>AVERAGE(Table1[[#This Row],[Math 
Score]],Table1[[#This Row],[History 
Score]],Table1[[#This Row],[Physics 
Score]],Table1[[#This Row],[Chemistry 
Score]],Table1[[#This Row],[Biology 
Score]],Table1[[#This Row],[English 
Score]],Table1[[#This Row],[Geography 
Score]])</f>
        <v>84.285714285714292</v>
      </c>
      <c r="AB28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282">
        <f t="shared" si="4"/>
        <v>531</v>
      </c>
      <c r="AD282" t="str">
        <f>_xlfn.IFS(Table1[[#This Row],[Absence 
Days]]&lt;3,"Excellent",Table1[[#This Row],[Absence 
Days]]&lt;=6,"Good",Table1[[#This Row],[Absence 
Days]]&gt;6,"Poor")</f>
        <v>Poor</v>
      </c>
    </row>
    <row r="283" spans="1:30" x14ac:dyDescent="0.35">
      <c r="A283">
        <v>282</v>
      </c>
      <c r="B283" s="2" t="s">
        <v>172</v>
      </c>
      <c r="C283" t="s">
        <v>649</v>
      </c>
      <c r="D283" t="str">
        <f>_xlfn.TEXTJOIN(" ",TRUE,Table1[[#This Row],[First 
Name]:[Last 
Name]])</f>
        <v>Jorge Roth</v>
      </c>
      <c r="E283" t="s">
        <v>1393</v>
      </c>
      <c r="F283" t="s">
        <v>3244</v>
      </c>
      <c r="G283" t="str">
        <f ca="1">PROPER(Table1[[#This Row],[Part Time 
Job]])</f>
        <v>False</v>
      </c>
      <c r="H283" s="3">
        <v>5</v>
      </c>
      <c r="I283" t="str">
        <f ca="1">PROPER(Table1[[#This Row],[Extracurricular 
Activities]])</f>
        <v>False</v>
      </c>
      <c r="J283">
        <v>34</v>
      </c>
      <c r="K283" t="s">
        <v>3120</v>
      </c>
      <c r="L283">
        <v>82</v>
      </c>
      <c r="M283" s="12" t="str" cm="1">
        <f t="array" ref="M28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283">
        <v>95</v>
      </c>
      <c r="O283" s="13" t="str" cm="1">
        <f t="array" ref="O28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283">
        <v>96</v>
      </c>
      <c r="Q283" s="13" t="str" cm="1">
        <f t="array" ref="Q28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283">
        <v>100</v>
      </c>
      <c r="S283" t="str" cm="1">
        <f t="array" ref="S28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283">
        <v>89</v>
      </c>
      <c r="U283" t="str" cm="1">
        <f t="array" ref="U28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283">
        <v>64</v>
      </c>
      <c r="W283" t="str" cm="1">
        <f t="array" ref="W28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283">
        <v>91</v>
      </c>
      <c r="Y283" t="str" cm="1">
        <f t="array" ref="Y28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283">
        <f>SUM(Table1[[#This Row],[Math 
Score]],Table1[[#This Row],[History 
Score]],Table1[[#This Row],[Physics 
Score]],Table1[[#This Row],[Chemistry 
Score]],Table1[[#This Row],[Biology 
Score]],Table1[[#This Row],[English 
Score]],Table1[[#This Row],[Geography 
Score]])</f>
        <v>617</v>
      </c>
      <c r="AA283" s="3">
        <f>AVERAGE(Table1[[#This Row],[Math 
Score]],Table1[[#This Row],[History 
Score]],Table1[[#This Row],[Physics 
Score]],Table1[[#This Row],[Chemistry 
Score]],Table1[[#This Row],[Biology 
Score]],Table1[[#This Row],[English 
Score]],Table1[[#This Row],[Geography 
Score]])</f>
        <v>88.142857142857139</v>
      </c>
      <c r="AB28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283">
        <f t="shared" si="4"/>
        <v>235</v>
      </c>
      <c r="AD283" t="str">
        <f>_xlfn.IFS(Table1[[#This Row],[Absence 
Days]]&lt;3,"Excellent",Table1[[#This Row],[Absence 
Days]]&lt;=6,"Good",Table1[[#This Row],[Absence 
Days]]&gt;6,"Poor")</f>
        <v>Good</v>
      </c>
    </row>
    <row r="284" spans="1:30" x14ac:dyDescent="0.35">
      <c r="A284">
        <v>283</v>
      </c>
      <c r="B284" s="2" t="s">
        <v>86</v>
      </c>
      <c r="C284" t="s">
        <v>492</v>
      </c>
      <c r="D284" t="str">
        <f>_xlfn.TEXTJOIN(" ",TRUE,Table1[[#This Row],[First 
Name]:[Last 
Name]])</f>
        <v>Benjamin Davis</v>
      </c>
      <c r="E284" t="s">
        <v>1394</v>
      </c>
      <c r="F284" t="s">
        <v>3244</v>
      </c>
      <c r="G284" t="str">
        <f ca="1">PROPER(Table1[[#This Row],[Part Time 
Job]])</f>
        <v>False</v>
      </c>
      <c r="H284" s="3">
        <v>3</v>
      </c>
      <c r="I284" t="str">
        <f ca="1">PROPER(Table1[[#This Row],[Extracurricular 
Activities]])</f>
        <v>False</v>
      </c>
      <c r="J284">
        <v>30</v>
      </c>
      <c r="K284" t="s">
        <v>3112</v>
      </c>
      <c r="L284">
        <v>85</v>
      </c>
      <c r="M284" s="12" t="str" cm="1">
        <f t="array" ref="M28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284">
        <v>94</v>
      </c>
      <c r="O284" s="13" t="str" cm="1">
        <f t="array" ref="O28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284">
        <v>83</v>
      </c>
      <c r="Q284" s="13" t="str" cm="1">
        <f t="array" ref="Q28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284">
        <v>76</v>
      </c>
      <c r="S284" t="str" cm="1">
        <f t="array" ref="S28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284">
        <v>77</v>
      </c>
      <c r="U284" t="str" cm="1">
        <f t="array" ref="U28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284">
        <v>81</v>
      </c>
      <c r="W284" t="str" cm="1">
        <f t="array" ref="W28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284">
        <v>92</v>
      </c>
      <c r="Y284" t="str" cm="1">
        <f t="array" ref="Y28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284">
        <f>SUM(Table1[[#This Row],[Math 
Score]],Table1[[#This Row],[History 
Score]],Table1[[#This Row],[Physics 
Score]],Table1[[#This Row],[Chemistry 
Score]],Table1[[#This Row],[Biology 
Score]],Table1[[#This Row],[English 
Score]],Table1[[#This Row],[Geography 
Score]])</f>
        <v>588</v>
      </c>
      <c r="AA284" s="3">
        <f>AVERAGE(Table1[[#This Row],[Math 
Score]],Table1[[#This Row],[History 
Score]],Table1[[#This Row],[Physics 
Score]],Table1[[#This Row],[Chemistry 
Score]],Table1[[#This Row],[Biology 
Score]],Table1[[#This Row],[English 
Score]],Table1[[#This Row],[Geography 
Score]])</f>
        <v>84</v>
      </c>
      <c r="AB28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284">
        <f t="shared" si="4"/>
        <v>565</v>
      </c>
      <c r="AD284" t="str">
        <f>_xlfn.IFS(Table1[[#This Row],[Absence 
Days]]&lt;3,"Excellent",Table1[[#This Row],[Absence 
Days]]&lt;=6,"Good",Table1[[#This Row],[Absence 
Days]]&gt;6,"Poor")</f>
        <v>Good</v>
      </c>
    </row>
    <row r="285" spans="1:30" x14ac:dyDescent="0.35">
      <c r="A285">
        <v>284</v>
      </c>
      <c r="B285" s="2" t="s">
        <v>114</v>
      </c>
      <c r="C285" t="s">
        <v>650</v>
      </c>
      <c r="D285" t="str">
        <f>_xlfn.TEXTJOIN(" ",TRUE,Table1[[#This Row],[First 
Name]:[Last 
Name]])</f>
        <v>Nancy Pierce</v>
      </c>
      <c r="E285" t="s">
        <v>1395</v>
      </c>
      <c r="F285" t="s">
        <v>3245</v>
      </c>
      <c r="G285" t="str">
        <f ca="1">PROPER(Table1[[#This Row],[Part Time 
Job]])</f>
        <v>True</v>
      </c>
      <c r="H285" s="3">
        <v>4</v>
      </c>
      <c r="I285" t="str">
        <f ca="1">PROPER(Table1[[#This Row],[Extracurricular 
Activities]])</f>
        <v>True</v>
      </c>
      <c r="J285">
        <v>4</v>
      </c>
      <c r="K285" t="s">
        <v>3115</v>
      </c>
      <c r="L285">
        <v>82</v>
      </c>
      <c r="M285" s="12" t="str" cm="1">
        <f t="array" ref="M28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285">
        <v>85</v>
      </c>
      <c r="O285" s="13" t="str" cm="1">
        <f t="array" ref="O28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285">
        <v>75</v>
      </c>
      <c r="Q285" s="13" t="str" cm="1">
        <f t="array" ref="Q28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285">
        <v>92</v>
      </c>
      <c r="S285" t="str" cm="1">
        <f t="array" ref="S28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285">
        <v>76</v>
      </c>
      <c r="U285" t="str" cm="1">
        <f t="array" ref="U28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285">
        <v>95</v>
      </c>
      <c r="W285" t="str" cm="1">
        <f t="array" ref="W28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285">
        <v>85</v>
      </c>
      <c r="Y285" t="str" cm="1">
        <f t="array" ref="Y28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285">
        <f>SUM(Table1[[#This Row],[Math 
Score]],Table1[[#This Row],[History 
Score]],Table1[[#This Row],[Physics 
Score]],Table1[[#This Row],[Chemistry 
Score]],Table1[[#This Row],[Biology 
Score]],Table1[[#This Row],[English 
Score]],Table1[[#This Row],[Geography 
Score]])</f>
        <v>590</v>
      </c>
      <c r="AA285" s="3">
        <f>AVERAGE(Table1[[#This Row],[Math 
Score]],Table1[[#This Row],[History 
Score]],Table1[[#This Row],[Physics 
Score]],Table1[[#This Row],[Chemistry 
Score]],Table1[[#This Row],[Biology 
Score]],Table1[[#This Row],[English 
Score]],Table1[[#This Row],[Geography 
Score]])</f>
        <v>84.285714285714292</v>
      </c>
      <c r="AB28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285">
        <f t="shared" si="4"/>
        <v>531</v>
      </c>
      <c r="AD285" t="str">
        <f>_xlfn.IFS(Table1[[#This Row],[Absence 
Days]]&lt;3,"Excellent",Table1[[#This Row],[Absence 
Days]]&lt;=6,"Good",Table1[[#This Row],[Absence 
Days]]&gt;6,"Poor")</f>
        <v>Good</v>
      </c>
    </row>
    <row r="286" spans="1:30" x14ac:dyDescent="0.35">
      <c r="A286">
        <v>285</v>
      </c>
      <c r="B286" s="2" t="s">
        <v>151</v>
      </c>
      <c r="C286" t="s">
        <v>651</v>
      </c>
      <c r="D286" t="str">
        <f>_xlfn.TEXTJOIN(" ",TRUE,Table1[[#This Row],[First 
Name]:[Last 
Name]])</f>
        <v>Catherine Weiss</v>
      </c>
      <c r="E286" t="s">
        <v>1396</v>
      </c>
      <c r="F286" t="s">
        <v>3245</v>
      </c>
      <c r="G286" t="str">
        <f ca="1">PROPER(Table1[[#This Row],[Part Time 
Job]])</f>
        <v>False</v>
      </c>
      <c r="H286" s="3">
        <v>2</v>
      </c>
      <c r="I286" t="str">
        <f ca="1">PROPER(Table1[[#This Row],[Extracurricular 
Activities]])</f>
        <v>False</v>
      </c>
      <c r="J286">
        <v>28</v>
      </c>
      <c r="K286" t="s">
        <v>3127</v>
      </c>
      <c r="L286">
        <v>98</v>
      </c>
      <c r="M286" s="12" t="str" cm="1">
        <f t="array" ref="M28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286">
        <v>77</v>
      </c>
      <c r="O286" s="13" t="str" cm="1">
        <f t="array" ref="O28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286">
        <v>94</v>
      </c>
      <c r="Q286" s="13" t="str" cm="1">
        <f t="array" ref="Q28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286">
        <v>63</v>
      </c>
      <c r="S286" t="str" cm="1">
        <f t="array" ref="S28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286">
        <v>69</v>
      </c>
      <c r="U286" t="str" cm="1">
        <f t="array" ref="U28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286">
        <v>88</v>
      </c>
      <c r="W286" t="str" cm="1">
        <f t="array" ref="W28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286">
        <v>100</v>
      </c>
      <c r="Y286" t="str" cm="1">
        <f t="array" ref="Y28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286">
        <f>SUM(Table1[[#This Row],[Math 
Score]],Table1[[#This Row],[History 
Score]],Table1[[#This Row],[Physics 
Score]],Table1[[#This Row],[Chemistry 
Score]],Table1[[#This Row],[Biology 
Score]],Table1[[#This Row],[English 
Score]],Table1[[#This Row],[Geography 
Score]])</f>
        <v>589</v>
      </c>
      <c r="AA286" s="3">
        <f>AVERAGE(Table1[[#This Row],[Math 
Score]],Table1[[#This Row],[History 
Score]],Table1[[#This Row],[Physics 
Score]],Table1[[#This Row],[Chemistry 
Score]],Table1[[#This Row],[Biology 
Score]],Table1[[#This Row],[English 
Score]],Table1[[#This Row],[Geography 
Score]])</f>
        <v>84.142857142857139</v>
      </c>
      <c r="AB28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286">
        <f t="shared" si="4"/>
        <v>548</v>
      </c>
      <c r="AD286" t="str">
        <f>_xlfn.IFS(Table1[[#This Row],[Absence 
Days]]&lt;3,"Excellent",Table1[[#This Row],[Absence 
Days]]&lt;=6,"Good",Table1[[#This Row],[Absence 
Days]]&gt;6,"Poor")</f>
        <v>Excellent</v>
      </c>
    </row>
    <row r="287" spans="1:30" x14ac:dyDescent="0.35">
      <c r="A287">
        <v>286</v>
      </c>
      <c r="B287" s="2" t="s">
        <v>52</v>
      </c>
      <c r="C287" t="s">
        <v>510</v>
      </c>
      <c r="D287" t="str">
        <f>_xlfn.TEXTJOIN(" ",TRUE,Table1[[#This Row],[First 
Name]:[Last 
Name]])</f>
        <v>Jacob Perez</v>
      </c>
      <c r="E287" t="s">
        <v>1397</v>
      </c>
      <c r="F287" t="s">
        <v>3244</v>
      </c>
      <c r="G287" t="str">
        <f ca="1">PROPER(Table1[[#This Row],[Part Time 
Job]])</f>
        <v>False</v>
      </c>
      <c r="H287" s="3">
        <v>5</v>
      </c>
      <c r="I287" t="str">
        <f ca="1">PROPER(Table1[[#This Row],[Extracurricular 
Activities]])</f>
        <v>True</v>
      </c>
      <c r="J287">
        <v>29</v>
      </c>
      <c r="K287" t="s">
        <v>3113</v>
      </c>
      <c r="L287">
        <v>93</v>
      </c>
      <c r="M287" s="12" t="str" cm="1">
        <f t="array" ref="M28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287">
        <v>96</v>
      </c>
      <c r="O287" s="13" t="str" cm="1">
        <f t="array" ref="O28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287">
        <v>94</v>
      </c>
      <c r="Q287" s="13" t="str" cm="1">
        <f t="array" ref="Q28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287">
        <v>84</v>
      </c>
      <c r="S287" t="str" cm="1">
        <f t="array" ref="S28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287">
        <v>91</v>
      </c>
      <c r="U287" t="str" cm="1">
        <f t="array" ref="U28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287">
        <v>67</v>
      </c>
      <c r="W287" t="str" cm="1">
        <f t="array" ref="W28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287">
        <v>68</v>
      </c>
      <c r="Y287" t="str" cm="1">
        <f t="array" ref="Y28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287">
        <f>SUM(Table1[[#This Row],[Math 
Score]],Table1[[#This Row],[History 
Score]],Table1[[#This Row],[Physics 
Score]],Table1[[#This Row],[Chemistry 
Score]],Table1[[#This Row],[Biology 
Score]],Table1[[#This Row],[English 
Score]],Table1[[#This Row],[Geography 
Score]])</f>
        <v>593</v>
      </c>
      <c r="AA287" s="3">
        <f>AVERAGE(Table1[[#This Row],[Math 
Score]],Table1[[#This Row],[History 
Score]],Table1[[#This Row],[Physics 
Score]],Table1[[#This Row],[Chemistry 
Score]],Table1[[#This Row],[Biology 
Score]],Table1[[#This Row],[English 
Score]],Table1[[#This Row],[Geography 
Score]])</f>
        <v>84.714285714285708</v>
      </c>
      <c r="AB28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287">
        <f t="shared" si="4"/>
        <v>494</v>
      </c>
      <c r="AD287" t="str">
        <f>_xlfn.IFS(Table1[[#This Row],[Absence 
Days]]&lt;3,"Excellent",Table1[[#This Row],[Absence 
Days]]&lt;=6,"Good",Table1[[#This Row],[Absence 
Days]]&gt;6,"Poor")</f>
        <v>Good</v>
      </c>
    </row>
    <row r="288" spans="1:30" x14ac:dyDescent="0.35">
      <c r="A288">
        <v>287</v>
      </c>
      <c r="B288" s="2" t="s">
        <v>132</v>
      </c>
      <c r="C288" t="s">
        <v>652</v>
      </c>
      <c r="D288" t="str">
        <f>_xlfn.TEXTJOIN(" ",TRUE,Table1[[#This Row],[First 
Name]:[Last 
Name]])</f>
        <v>Penny Zuniga</v>
      </c>
      <c r="E288" t="s">
        <v>1398</v>
      </c>
      <c r="F288" t="s">
        <v>3245</v>
      </c>
      <c r="G288" t="str">
        <f ca="1">PROPER(Table1[[#This Row],[Part Time 
Job]])</f>
        <v>False</v>
      </c>
      <c r="H288" s="3">
        <v>7</v>
      </c>
      <c r="I288" t="str">
        <f ca="1">PROPER(Table1[[#This Row],[Extracurricular 
Activities]])</f>
        <v>True</v>
      </c>
      <c r="J288">
        <v>30</v>
      </c>
      <c r="K288" t="s">
        <v>3112</v>
      </c>
      <c r="L288">
        <v>84</v>
      </c>
      <c r="M288" s="12" t="str" cm="1">
        <f t="array" ref="M28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288">
        <v>97</v>
      </c>
      <c r="O288" s="13" t="str" cm="1">
        <f t="array" ref="O28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288">
        <v>60</v>
      </c>
      <c r="Q288" s="13" t="str" cm="1">
        <f t="array" ref="Q28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288">
        <v>100</v>
      </c>
      <c r="S288" t="str" cm="1">
        <f t="array" ref="S28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288">
        <v>83</v>
      </c>
      <c r="U288" t="str" cm="1">
        <f t="array" ref="U28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288">
        <v>88</v>
      </c>
      <c r="W288" t="str" cm="1">
        <f t="array" ref="W28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288">
        <v>94</v>
      </c>
      <c r="Y288" t="str" cm="1">
        <f t="array" ref="Y28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288">
        <f>SUM(Table1[[#This Row],[Math 
Score]],Table1[[#This Row],[History 
Score]],Table1[[#This Row],[Physics 
Score]],Table1[[#This Row],[Chemistry 
Score]],Table1[[#This Row],[Biology 
Score]],Table1[[#This Row],[English 
Score]],Table1[[#This Row],[Geography 
Score]])</f>
        <v>606</v>
      </c>
      <c r="AA288" s="3">
        <f>AVERAGE(Table1[[#This Row],[Math 
Score]],Table1[[#This Row],[History 
Score]],Table1[[#This Row],[Physics 
Score]],Table1[[#This Row],[Chemistry 
Score]],Table1[[#This Row],[Biology 
Score]],Table1[[#This Row],[English 
Score]],Table1[[#This Row],[Geography 
Score]])</f>
        <v>86.571428571428569</v>
      </c>
      <c r="AB28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288">
        <f t="shared" si="4"/>
        <v>333</v>
      </c>
      <c r="AD288" t="str">
        <f>_xlfn.IFS(Table1[[#This Row],[Absence 
Days]]&lt;3,"Excellent",Table1[[#This Row],[Absence 
Days]]&lt;=6,"Good",Table1[[#This Row],[Absence 
Days]]&gt;6,"Poor")</f>
        <v>Poor</v>
      </c>
    </row>
    <row r="289" spans="1:30" x14ac:dyDescent="0.35">
      <c r="A289">
        <v>288</v>
      </c>
      <c r="B289" s="2" t="s">
        <v>4</v>
      </c>
      <c r="C289" t="s">
        <v>586</v>
      </c>
      <c r="D289" t="str">
        <f>_xlfn.TEXTJOIN(" ",TRUE,Table1[[#This Row],[First 
Name]:[Last 
Name]])</f>
        <v>Anthony Cox</v>
      </c>
      <c r="E289" t="s">
        <v>1399</v>
      </c>
      <c r="F289" t="s">
        <v>3244</v>
      </c>
      <c r="G289" t="str">
        <f ca="1">PROPER(Table1[[#This Row],[Part Time 
Job]])</f>
        <v>False</v>
      </c>
      <c r="H289" s="3">
        <v>4</v>
      </c>
      <c r="I289" t="str">
        <f ca="1">PROPER(Table1[[#This Row],[Extracurricular 
Activities]])</f>
        <v>False</v>
      </c>
      <c r="J289">
        <v>31</v>
      </c>
      <c r="K289" t="s">
        <v>3116</v>
      </c>
      <c r="L289">
        <v>81</v>
      </c>
      <c r="M289" s="12" t="str" cm="1">
        <f t="array" ref="M28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289">
        <v>95</v>
      </c>
      <c r="O289" s="13" t="str" cm="1">
        <f t="array" ref="O28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289">
        <v>76</v>
      </c>
      <c r="Q289" s="13" t="str" cm="1">
        <f t="array" ref="Q28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289">
        <v>60</v>
      </c>
      <c r="S289" t="str" cm="1">
        <f t="array" ref="S28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289">
        <v>61</v>
      </c>
      <c r="U289" t="str" cm="1">
        <f t="array" ref="U28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289">
        <v>98</v>
      </c>
      <c r="W289" t="str" cm="1">
        <f t="array" ref="W28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289">
        <v>77</v>
      </c>
      <c r="Y289" t="str" cm="1">
        <f t="array" ref="Y28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289">
        <f>SUM(Table1[[#This Row],[Math 
Score]],Table1[[#This Row],[History 
Score]],Table1[[#This Row],[Physics 
Score]],Table1[[#This Row],[Chemistry 
Score]],Table1[[#This Row],[Biology 
Score]],Table1[[#This Row],[English 
Score]],Table1[[#This Row],[Geography 
Score]])</f>
        <v>548</v>
      </c>
      <c r="AA289" s="3">
        <f>AVERAGE(Table1[[#This Row],[Math 
Score]],Table1[[#This Row],[History 
Score]],Table1[[#This Row],[Physics 
Score]],Table1[[#This Row],[Chemistry 
Score]],Table1[[#This Row],[Biology 
Score]],Table1[[#This Row],[English 
Score]],Table1[[#This Row],[Geography 
Score]])</f>
        <v>78.285714285714292</v>
      </c>
      <c r="AB28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289">
        <f t="shared" si="4"/>
        <v>1374</v>
      </c>
      <c r="AD289" t="str">
        <f>_xlfn.IFS(Table1[[#This Row],[Absence 
Days]]&lt;3,"Excellent",Table1[[#This Row],[Absence 
Days]]&lt;=6,"Good",Table1[[#This Row],[Absence 
Days]]&gt;6,"Poor")</f>
        <v>Good</v>
      </c>
    </row>
    <row r="290" spans="1:30" x14ac:dyDescent="0.35">
      <c r="A290">
        <v>289</v>
      </c>
      <c r="B290" s="2" t="s">
        <v>18</v>
      </c>
      <c r="C290" t="s">
        <v>653</v>
      </c>
      <c r="D290" t="str">
        <f>_xlfn.TEXTJOIN(" ",TRUE,Table1[[#This Row],[First 
Name]:[Last 
Name]])</f>
        <v>Angela Nelson</v>
      </c>
      <c r="E290" t="s">
        <v>1400</v>
      </c>
      <c r="F290" t="s">
        <v>3245</v>
      </c>
      <c r="G290" t="str">
        <f ca="1">PROPER(Table1[[#This Row],[Part Time 
Job]])</f>
        <v>False</v>
      </c>
      <c r="H290" s="3">
        <v>8</v>
      </c>
      <c r="I290" t="str">
        <f ca="1">PROPER(Table1[[#This Row],[Extracurricular 
Activities]])</f>
        <v>False</v>
      </c>
      <c r="J290">
        <v>1</v>
      </c>
      <c r="K290" t="s">
        <v>3119</v>
      </c>
      <c r="L290">
        <v>62</v>
      </c>
      <c r="M290" s="12" t="str" cm="1">
        <f t="array" ref="M290">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290">
        <v>64</v>
      </c>
      <c r="O290" s="13" t="str" cm="1">
        <f t="array" ref="O29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290">
        <v>84</v>
      </c>
      <c r="Q290" s="13" t="str" cm="1">
        <f t="array" ref="Q29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290">
        <v>67</v>
      </c>
      <c r="S290" t="str" cm="1">
        <f t="array" ref="S29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290">
        <v>78</v>
      </c>
      <c r="U290" t="str" cm="1">
        <f t="array" ref="U29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290">
        <v>51</v>
      </c>
      <c r="W290" t="str" cm="1">
        <f t="array" ref="W29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C</v>
      </c>
      <c r="X290">
        <v>62</v>
      </c>
      <c r="Y290" t="str" cm="1">
        <f t="array" ref="Y29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290">
        <f>SUM(Table1[[#This Row],[Math 
Score]],Table1[[#This Row],[History 
Score]],Table1[[#This Row],[Physics 
Score]],Table1[[#This Row],[Chemistry 
Score]],Table1[[#This Row],[Biology 
Score]],Table1[[#This Row],[English 
Score]],Table1[[#This Row],[Geography 
Score]])</f>
        <v>468</v>
      </c>
      <c r="AA290" s="3">
        <f>AVERAGE(Table1[[#This Row],[Math 
Score]],Table1[[#This Row],[History 
Score]],Table1[[#This Row],[Physics 
Score]],Table1[[#This Row],[Chemistry 
Score]],Table1[[#This Row],[Biology 
Score]],Table1[[#This Row],[English 
Score]],Table1[[#This Row],[Geography 
Score]])</f>
        <v>66.857142857142861</v>
      </c>
      <c r="AB29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290">
        <f t="shared" si="4"/>
        <v>1965</v>
      </c>
      <c r="AD290" t="str">
        <f>_xlfn.IFS(Table1[[#This Row],[Absence 
Days]]&lt;3,"Excellent",Table1[[#This Row],[Absence 
Days]]&lt;=6,"Good",Table1[[#This Row],[Absence 
Days]]&gt;6,"Poor")</f>
        <v>Poor</v>
      </c>
    </row>
    <row r="291" spans="1:30" x14ac:dyDescent="0.35">
      <c r="A291">
        <v>290</v>
      </c>
      <c r="B291" s="2" t="s">
        <v>32</v>
      </c>
      <c r="C291" t="s">
        <v>462</v>
      </c>
      <c r="D291" t="str">
        <f>_xlfn.TEXTJOIN(" ",TRUE,Table1[[#This Row],[First 
Name]:[Last 
Name]])</f>
        <v>Lisa White</v>
      </c>
      <c r="E291" t="s">
        <v>1401</v>
      </c>
      <c r="F291" t="s">
        <v>3245</v>
      </c>
      <c r="G291" t="str">
        <f ca="1">PROPER(Table1[[#This Row],[Part Time 
Job]])</f>
        <v>False</v>
      </c>
      <c r="H291" s="3">
        <v>6</v>
      </c>
      <c r="I291" t="str">
        <f ca="1">PROPER(Table1[[#This Row],[Extracurricular 
Activities]])</f>
        <v>False</v>
      </c>
      <c r="J291">
        <v>16</v>
      </c>
      <c r="K291" t="s">
        <v>3117</v>
      </c>
      <c r="L291">
        <v>92</v>
      </c>
      <c r="M291" s="12" t="str" cm="1">
        <f t="array" ref="M29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291">
        <v>70</v>
      </c>
      <c r="O291" s="13" t="str" cm="1">
        <f t="array" ref="O29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291">
        <v>60</v>
      </c>
      <c r="Q291" s="13" t="str" cm="1">
        <f t="array" ref="Q29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291">
        <v>94</v>
      </c>
      <c r="S291" t="str" cm="1">
        <f t="array" ref="S29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291">
        <v>87</v>
      </c>
      <c r="U291" t="str" cm="1">
        <f t="array" ref="U29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291">
        <v>90</v>
      </c>
      <c r="W291" t="str" cm="1">
        <f t="array" ref="W29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291">
        <v>86</v>
      </c>
      <c r="Y291" t="str" cm="1">
        <f t="array" ref="Y29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291">
        <f>SUM(Table1[[#This Row],[Math 
Score]],Table1[[#This Row],[History 
Score]],Table1[[#This Row],[Physics 
Score]],Table1[[#This Row],[Chemistry 
Score]],Table1[[#This Row],[Biology 
Score]],Table1[[#This Row],[English 
Score]],Table1[[#This Row],[Geography 
Score]])</f>
        <v>579</v>
      </c>
      <c r="AA291" s="3">
        <f>AVERAGE(Table1[[#This Row],[Math 
Score]],Table1[[#This Row],[History 
Score]],Table1[[#This Row],[Physics 
Score]],Table1[[#This Row],[Chemistry 
Score]],Table1[[#This Row],[Biology 
Score]],Table1[[#This Row],[English 
Score]],Table1[[#This Row],[Geography 
Score]])</f>
        <v>82.714285714285708</v>
      </c>
      <c r="AB29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291">
        <f t="shared" si="4"/>
        <v>730</v>
      </c>
      <c r="AD291" t="str">
        <f>_xlfn.IFS(Table1[[#This Row],[Absence 
Days]]&lt;3,"Excellent",Table1[[#This Row],[Absence 
Days]]&lt;=6,"Good",Table1[[#This Row],[Absence 
Days]]&gt;6,"Poor")</f>
        <v>Good</v>
      </c>
    </row>
    <row r="292" spans="1:30" x14ac:dyDescent="0.35">
      <c r="A292">
        <v>291</v>
      </c>
      <c r="B292" s="2" t="s">
        <v>173</v>
      </c>
      <c r="C292" t="s">
        <v>528</v>
      </c>
      <c r="D292" t="str">
        <f>_xlfn.TEXTJOIN(" ",TRUE,Table1[[#This Row],[First 
Name]:[Last 
Name]])</f>
        <v>Robin Parker</v>
      </c>
      <c r="E292" t="s">
        <v>1402</v>
      </c>
      <c r="F292" t="s">
        <v>3245</v>
      </c>
      <c r="G292" t="str">
        <f ca="1">PROPER(Table1[[#This Row],[Part Time 
Job]])</f>
        <v>False</v>
      </c>
      <c r="H292" s="3">
        <v>2</v>
      </c>
      <c r="I292" t="str">
        <f ca="1">PROPER(Table1[[#This Row],[Extracurricular 
Activities]])</f>
        <v>True</v>
      </c>
      <c r="J292">
        <v>18</v>
      </c>
      <c r="K292" t="s">
        <v>3118</v>
      </c>
      <c r="L292">
        <v>64</v>
      </c>
      <c r="M292" s="12" t="str" cm="1">
        <f t="array" ref="M292">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292">
        <v>93</v>
      </c>
      <c r="O292" s="13" t="str" cm="1">
        <f t="array" ref="O29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292">
        <v>61</v>
      </c>
      <c r="Q292" s="13" t="str" cm="1">
        <f t="array" ref="Q29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292">
        <v>61</v>
      </c>
      <c r="S292" t="str" cm="1">
        <f t="array" ref="S29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292">
        <v>74</v>
      </c>
      <c r="U292" t="str" cm="1">
        <f t="array" ref="U29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292">
        <v>94</v>
      </c>
      <c r="W292" t="str" cm="1">
        <f t="array" ref="W29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292">
        <v>64</v>
      </c>
      <c r="Y292" t="str" cm="1">
        <f t="array" ref="Y29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292">
        <f>SUM(Table1[[#This Row],[Math 
Score]],Table1[[#This Row],[History 
Score]],Table1[[#This Row],[Physics 
Score]],Table1[[#This Row],[Chemistry 
Score]],Table1[[#This Row],[Biology 
Score]],Table1[[#This Row],[English 
Score]],Table1[[#This Row],[Geography 
Score]])</f>
        <v>511</v>
      </c>
      <c r="AA292" s="3">
        <f>AVERAGE(Table1[[#This Row],[Math 
Score]],Table1[[#This Row],[History 
Score]],Table1[[#This Row],[Physics 
Score]],Table1[[#This Row],[Chemistry 
Score]],Table1[[#This Row],[Biology 
Score]],Table1[[#This Row],[English 
Score]],Table1[[#This Row],[Geography 
Score]])</f>
        <v>73</v>
      </c>
      <c r="AB29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292">
        <f t="shared" si="4"/>
        <v>1823</v>
      </c>
      <c r="AD292" t="str">
        <f>_xlfn.IFS(Table1[[#This Row],[Absence 
Days]]&lt;3,"Excellent",Table1[[#This Row],[Absence 
Days]]&lt;=6,"Good",Table1[[#This Row],[Absence 
Days]]&gt;6,"Poor")</f>
        <v>Excellent</v>
      </c>
    </row>
    <row r="293" spans="1:30" x14ac:dyDescent="0.35">
      <c r="A293">
        <v>292</v>
      </c>
      <c r="B293" s="2" t="s">
        <v>29</v>
      </c>
      <c r="C293" t="s">
        <v>654</v>
      </c>
      <c r="D293" t="str">
        <f>_xlfn.TEXTJOIN(" ",TRUE,Table1[[#This Row],[First 
Name]:[Last 
Name]])</f>
        <v>Cynthia Shields</v>
      </c>
      <c r="E293" t="s">
        <v>1403</v>
      </c>
      <c r="F293" t="s">
        <v>3245</v>
      </c>
      <c r="G293" t="str">
        <f ca="1">PROPER(Table1[[#This Row],[Part Time 
Job]])</f>
        <v>True</v>
      </c>
      <c r="H293" s="3">
        <v>1</v>
      </c>
      <c r="I293" t="str">
        <f ca="1">PROPER(Table1[[#This Row],[Extracurricular 
Activities]])</f>
        <v>False</v>
      </c>
      <c r="J293">
        <v>4</v>
      </c>
      <c r="K293" t="s">
        <v>3126</v>
      </c>
      <c r="L293">
        <v>89</v>
      </c>
      <c r="M293" s="12" t="str" cm="1">
        <f t="array" ref="M29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293">
        <v>67</v>
      </c>
      <c r="O293" s="13" t="str" cm="1">
        <f t="array" ref="O29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293">
        <v>97</v>
      </c>
      <c r="Q293" s="13" t="str" cm="1">
        <f t="array" ref="Q29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293">
        <v>67</v>
      </c>
      <c r="S293" t="str" cm="1">
        <f t="array" ref="S29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293">
        <v>75</v>
      </c>
      <c r="U293" t="str" cm="1">
        <f t="array" ref="U29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293">
        <v>94</v>
      </c>
      <c r="W293" t="str" cm="1">
        <f t="array" ref="W29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293">
        <v>93</v>
      </c>
      <c r="Y293" t="str" cm="1">
        <f t="array" ref="Y29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293">
        <f>SUM(Table1[[#This Row],[Math 
Score]],Table1[[#This Row],[History 
Score]],Table1[[#This Row],[Physics 
Score]],Table1[[#This Row],[Chemistry 
Score]],Table1[[#This Row],[Biology 
Score]],Table1[[#This Row],[English 
Score]],Table1[[#This Row],[Geography 
Score]])</f>
        <v>582</v>
      </c>
      <c r="AA293" s="3">
        <f>AVERAGE(Table1[[#This Row],[Math 
Score]],Table1[[#This Row],[History 
Score]],Table1[[#This Row],[Physics 
Score]],Table1[[#This Row],[Chemistry 
Score]],Table1[[#This Row],[Biology 
Score]],Table1[[#This Row],[English 
Score]],Table1[[#This Row],[Geography 
Score]])</f>
        <v>83.142857142857139</v>
      </c>
      <c r="AB29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293">
        <f t="shared" si="4"/>
        <v>670</v>
      </c>
      <c r="AD293" t="str">
        <f>_xlfn.IFS(Table1[[#This Row],[Absence 
Days]]&lt;3,"Excellent",Table1[[#This Row],[Absence 
Days]]&lt;=6,"Good",Table1[[#This Row],[Absence 
Days]]&gt;6,"Poor")</f>
        <v>Excellent</v>
      </c>
    </row>
    <row r="294" spans="1:30" x14ac:dyDescent="0.35">
      <c r="A294">
        <v>293</v>
      </c>
      <c r="B294" s="2" t="s">
        <v>12</v>
      </c>
      <c r="C294" t="s">
        <v>634</v>
      </c>
      <c r="D294" t="str">
        <f>_xlfn.TEXTJOIN(" ",TRUE,Table1[[#This Row],[First 
Name]:[Last 
Name]])</f>
        <v>Pamela Wilkinson</v>
      </c>
      <c r="E294" t="s">
        <v>1404</v>
      </c>
      <c r="F294" t="s">
        <v>3245</v>
      </c>
      <c r="G294" t="str">
        <f ca="1">PROPER(Table1[[#This Row],[Part Time 
Job]])</f>
        <v>False</v>
      </c>
      <c r="H294" s="3">
        <v>8</v>
      </c>
      <c r="I294" t="str">
        <f ca="1">PROPER(Table1[[#This Row],[Extracurricular 
Activities]])</f>
        <v>False</v>
      </c>
      <c r="J294">
        <v>32</v>
      </c>
      <c r="K294" t="s">
        <v>3123</v>
      </c>
      <c r="L294">
        <v>99</v>
      </c>
      <c r="M294" s="12" t="str" cm="1">
        <f t="array" ref="M29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294">
        <v>88</v>
      </c>
      <c r="O294" s="13" t="str" cm="1">
        <f t="array" ref="O29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294">
        <v>84</v>
      </c>
      <c r="Q294" s="13" t="str" cm="1">
        <f t="array" ref="Q29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294">
        <v>87</v>
      </c>
      <c r="S294" t="str" cm="1">
        <f t="array" ref="S29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294">
        <v>36</v>
      </c>
      <c r="U294" t="str" cm="1">
        <f t="array" ref="U29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F</v>
      </c>
      <c r="V294">
        <v>96</v>
      </c>
      <c r="W294" t="str" cm="1">
        <f t="array" ref="W29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294">
        <v>86</v>
      </c>
      <c r="Y294" t="str" cm="1">
        <f t="array" ref="Y29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294">
        <f>SUM(Table1[[#This Row],[Math 
Score]],Table1[[#This Row],[History 
Score]],Table1[[#This Row],[Physics 
Score]],Table1[[#This Row],[Chemistry 
Score]],Table1[[#This Row],[Biology 
Score]],Table1[[#This Row],[English 
Score]],Table1[[#This Row],[Geography 
Score]])</f>
        <v>576</v>
      </c>
      <c r="AA294" s="3">
        <f>AVERAGE(Table1[[#This Row],[Math 
Score]],Table1[[#This Row],[History 
Score]],Table1[[#This Row],[Physics 
Score]],Table1[[#This Row],[Chemistry 
Score]],Table1[[#This Row],[Biology 
Score]],Table1[[#This Row],[English 
Score]],Table1[[#This Row],[Geography 
Score]])</f>
        <v>82.285714285714292</v>
      </c>
      <c r="AB29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294">
        <f t="shared" si="4"/>
        <v>789</v>
      </c>
      <c r="AD294" t="str">
        <f>_xlfn.IFS(Table1[[#This Row],[Absence 
Days]]&lt;3,"Excellent",Table1[[#This Row],[Absence 
Days]]&lt;=6,"Good",Table1[[#This Row],[Absence 
Days]]&gt;6,"Poor")</f>
        <v>Poor</v>
      </c>
    </row>
    <row r="295" spans="1:30" x14ac:dyDescent="0.35">
      <c r="A295">
        <v>294</v>
      </c>
      <c r="B295" s="2" t="s">
        <v>174</v>
      </c>
      <c r="C295" t="s">
        <v>470</v>
      </c>
      <c r="D295" t="str">
        <f>_xlfn.TEXTJOIN(" ",TRUE,Table1[[#This Row],[First 
Name]:[Last 
Name]])</f>
        <v>Brenda Nichols</v>
      </c>
      <c r="E295" t="s">
        <v>1405</v>
      </c>
      <c r="F295" t="s">
        <v>3245</v>
      </c>
      <c r="G295" t="str">
        <f ca="1">PROPER(Table1[[#This Row],[Part Time 
Job]])</f>
        <v>False</v>
      </c>
      <c r="H295" s="3">
        <v>2</v>
      </c>
      <c r="I295" t="str">
        <f ca="1">PROPER(Table1[[#This Row],[Extracurricular 
Activities]])</f>
        <v>False</v>
      </c>
      <c r="J295">
        <v>12</v>
      </c>
      <c r="K295" t="s">
        <v>3121</v>
      </c>
      <c r="L295">
        <v>95</v>
      </c>
      <c r="M295" s="12" t="str" cm="1">
        <f t="array" ref="M29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295">
        <v>82</v>
      </c>
      <c r="O295" s="13" t="str" cm="1">
        <f t="array" ref="O29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295">
        <v>93</v>
      </c>
      <c r="Q295" s="13" t="str" cm="1">
        <f t="array" ref="Q29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295">
        <v>99</v>
      </c>
      <c r="S295" t="str" cm="1">
        <f t="array" ref="S29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295">
        <v>66</v>
      </c>
      <c r="U295" t="str" cm="1">
        <f t="array" ref="U29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295">
        <v>93</v>
      </c>
      <c r="W295" t="str" cm="1">
        <f t="array" ref="W29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295">
        <v>86</v>
      </c>
      <c r="Y295" t="str" cm="1">
        <f t="array" ref="Y29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295">
        <f>SUM(Table1[[#This Row],[Math 
Score]],Table1[[#This Row],[History 
Score]],Table1[[#This Row],[Physics 
Score]],Table1[[#This Row],[Chemistry 
Score]],Table1[[#This Row],[Biology 
Score]],Table1[[#This Row],[English 
Score]],Table1[[#This Row],[Geography 
Score]])</f>
        <v>614</v>
      </c>
      <c r="AA295" s="3">
        <f>AVERAGE(Table1[[#This Row],[Math 
Score]],Table1[[#This Row],[History 
Score]],Table1[[#This Row],[Physics 
Score]],Table1[[#This Row],[Chemistry 
Score]],Table1[[#This Row],[Biology 
Score]],Table1[[#This Row],[English 
Score]],Table1[[#This Row],[Geography 
Score]])</f>
        <v>87.714285714285708</v>
      </c>
      <c r="AB29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295">
        <f t="shared" si="4"/>
        <v>260</v>
      </c>
      <c r="AD295" t="str">
        <f>_xlfn.IFS(Table1[[#This Row],[Absence 
Days]]&lt;3,"Excellent",Table1[[#This Row],[Absence 
Days]]&lt;=6,"Good",Table1[[#This Row],[Absence 
Days]]&gt;6,"Poor")</f>
        <v>Excellent</v>
      </c>
    </row>
    <row r="296" spans="1:30" x14ac:dyDescent="0.35">
      <c r="A296">
        <v>295</v>
      </c>
      <c r="B296" s="2" t="s">
        <v>13</v>
      </c>
      <c r="C296" t="s">
        <v>567</v>
      </c>
      <c r="D296" t="str">
        <f>_xlfn.TEXTJOIN(" ",TRUE,Table1[[#This Row],[First 
Name]:[Last 
Name]])</f>
        <v>Laura Rodriguez</v>
      </c>
      <c r="E296" t="s">
        <v>1406</v>
      </c>
      <c r="F296" t="s">
        <v>3245</v>
      </c>
      <c r="G296" t="str">
        <f ca="1">PROPER(Table1[[#This Row],[Part Time 
Job]])</f>
        <v>True</v>
      </c>
      <c r="H296" s="3">
        <v>6</v>
      </c>
      <c r="I296" t="str">
        <f ca="1">PROPER(Table1[[#This Row],[Extracurricular 
Activities]])</f>
        <v>False</v>
      </c>
      <c r="J296">
        <v>5</v>
      </c>
      <c r="K296" t="s">
        <v>3124</v>
      </c>
      <c r="L296">
        <v>72</v>
      </c>
      <c r="M296" s="12" t="str" cm="1">
        <f t="array" ref="M296">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296">
        <v>92</v>
      </c>
      <c r="O296" s="13" t="str" cm="1">
        <f t="array" ref="O29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296">
        <v>67</v>
      </c>
      <c r="Q296" s="13" t="str" cm="1">
        <f t="array" ref="Q29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296">
        <v>100</v>
      </c>
      <c r="S296" t="str" cm="1">
        <f t="array" ref="S29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296">
        <v>70</v>
      </c>
      <c r="U296" t="str" cm="1">
        <f t="array" ref="U29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296">
        <v>94</v>
      </c>
      <c r="W296" t="str" cm="1">
        <f t="array" ref="W29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296">
        <v>81</v>
      </c>
      <c r="Y296" t="str" cm="1">
        <f t="array" ref="Y29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296">
        <f>SUM(Table1[[#This Row],[Math 
Score]],Table1[[#This Row],[History 
Score]],Table1[[#This Row],[Physics 
Score]],Table1[[#This Row],[Chemistry 
Score]],Table1[[#This Row],[Biology 
Score]],Table1[[#This Row],[English 
Score]],Table1[[#This Row],[Geography 
Score]])</f>
        <v>576</v>
      </c>
      <c r="AA296" s="3">
        <f>AVERAGE(Table1[[#This Row],[Math 
Score]],Table1[[#This Row],[History 
Score]],Table1[[#This Row],[Physics 
Score]],Table1[[#This Row],[Chemistry 
Score]],Table1[[#This Row],[Biology 
Score]],Table1[[#This Row],[English 
Score]],Table1[[#This Row],[Geography 
Score]])</f>
        <v>82.285714285714292</v>
      </c>
      <c r="AB29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296">
        <f t="shared" si="4"/>
        <v>789</v>
      </c>
      <c r="AD296" t="str">
        <f>_xlfn.IFS(Table1[[#This Row],[Absence 
Days]]&lt;3,"Excellent",Table1[[#This Row],[Absence 
Days]]&lt;=6,"Good",Table1[[#This Row],[Absence 
Days]]&gt;6,"Poor")</f>
        <v>Good</v>
      </c>
    </row>
    <row r="297" spans="1:30" x14ac:dyDescent="0.35">
      <c r="A297">
        <v>296</v>
      </c>
      <c r="B297" s="2" t="s">
        <v>112</v>
      </c>
      <c r="C297" t="s">
        <v>655</v>
      </c>
      <c r="D297" t="str">
        <f>_xlfn.TEXTJOIN(" ",TRUE,Table1[[#This Row],[First 
Name]:[Last 
Name]])</f>
        <v>Julie Carey</v>
      </c>
      <c r="E297" t="s">
        <v>1407</v>
      </c>
      <c r="F297" t="s">
        <v>3245</v>
      </c>
      <c r="G297" t="str">
        <f ca="1">PROPER(Table1[[#This Row],[Part Time 
Job]])</f>
        <v>False</v>
      </c>
      <c r="H297" s="3">
        <v>2</v>
      </c>
      <c r="I297" t="str">
        <f ca="1">PROPER(Table1[[#This Row],[Extracurricular 
Activities]])</f>
        <v>True</v>
      </c>
      <c r="J297">
        <v>15</v>
      </c>
      <c r="K297" t="s">
        <v>3114</v>
      </c>
      <c r="L297">
        <v>68</v>
      </c>
      <c r="M297" s="12" t="str" cm="1">
        <f t="array" ref="M297">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297">
        <v>89</v>
      </c>
      <c r="O297" s="13" t="str" cm="1">
        <f t="array" ref="O29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297">
        <v>68</v>
      </c>
      <c r="Q297" s="13" t="str" cm="1">
        <f t="array" ref="Q29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297">
        <v>90</v>
      </c>
      <c r="S297" t="str" cm="1">
        <f t="array" ref="S29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297">
        <v>68</v>
      </c>
      <c r="U297" t="str" cm="1">
        <f t="array" ref="U29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297">
        <v>99</v>
      </c>
      <c r="W297" t="str" cm="1">
        <f t="array" ref="W29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297">
        <v>74</v>
      </c>
      <c r="Y297" t="str" cm="1">
        <f t="array" ref="Y29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297">
        <f>SUM(Table1[[#This Row],[Math 
Score]],Table1[[#This Row],[History 
Score]],Table1[[#This Row],[Physics 
Score]],Table1[[#This Row],[Chemistry 
Score]],Table1[[#This Row],[Biology 
Score]],Table1[[#This Row],[English 
Score]],Table1[[#This Row],[Geography 
Score]])</f>
        <v>556</v>
      </c>
      <c r="AA297" s="3">
        <f>AVERAGE(Table1[[#This Row],[Math 
Score]],Table1[[#This Row],[History 
Score]],Table1[[#This Row],[Physics 
Score]],Table1[[#This Row],[Chemistry 
Score]],Table1[[#This Row],[Biology 
Score]],Table1[[#This Row],[English 
Score]],Table1[[#This Row],[Geography 
Score]])</f>
        <v>79.428571428571431</v>
      </c>
      <c r="AB29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297">
        <f t="shared" si="4"/>
        <v>1224</v>
      </c>
      <c r="AD297" t="str">
        <f>_xlfn.IFS(Table1[[#This Row],[Absence 
Days]]&lt;3,"Excellent",Table1[[#This Row],[Absence 
Days]]&lt;=6,"Good",Table1[[#This Row],[Absence 
Days]]&gt;6,"Poor")</f>
        <v>Excellent</v>
      </c>
    </row>
    <row r="298" spans="1:30" x14ac:dyDescent="0.35">
      <c r="A298">
        <v>297</v>
      </c>
      <c r="B298" s="2" t="s">
        <v>175</v>
      </c>
      <c r="C298" t="s">
        <v>454</v>
      </c>
      <c r="D298" t="str">
        <f>_xlfn.TEXTJOIN(" ",TRUE,Table1[[#This Row],[First 
Name]:[Last 
Name]])</f>
        <v>Barbara Andrews</v>
      </c>
      <c r="E298" t="s">
        <v>1408</v>
      </c>
      <c r="F298" t="s">
        <v>3245</v>
      </c>
      <c r="G298" t="str">
        <f ca="1">PROPER(Table1[[#This Row],[Part Time 
Job]])</f>
        <v>False</v>
      </c>
      <c r="H298" s="3">
        <v>3</v>
      </c>
      <c r="I298" t="str">
        <f ca="1">PROPER(Table1[[#This Row],[Extracurricular 
Activities]])</f>
        <v>False</v>
      </c>
      <c r="J298">
        <v>31</v>
      </c>
      <c r="K298" t="s">
        <v>3123</v>
      </c>
      <c r="L298">
        <v>92</v>
      </c>
      <c r="M298" s="12" t="str" cm="1">
        <f t="array" ref="M29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298">
        <v>69</v>
      </c>
      <c r="O298" s="13" t="str" cm="1">
        <f t="array" ref="O29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298">
        <v>78</v>
      </c>
      <c r="Q298" s="13" t="str" cm="1">
        <f t="array" ref="Q29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298">
        <v>68</v>
      </c>
      <c r="S298" t="str" cm="1">
        <f t="array" ref="S29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298">
        <v>70</v>
      </c>
      <c r="U298" t="str" cm="1">
        <f t="array" ref="U29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298">
        <v>80</v>
      </c>
      <c r="W298" t="str" cm="1">
        <f t="array" ref="W29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298">
        <v>73</v>
      </c>
      <c r="Y298" t="str" cm="1">
        <f t="array" ref="Y29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298">
        <f>SUM(Table1[[#This Row],[Math 
Score]],Table1[[#This Row],[History 
Score]],Table1[[#This Row],[Physics 
Score]],Table1[[#This Row],[Chemistry 
Score]],Table1[[#This Row],[Biology 
Score]],Table1[[#This Row],[English 
Score]],Table1[[#This Row],[Geography 
Score]])</f>
        <v>530</v>
      </c>
      <c r="AA298" s="3">
        <f>AVERAGE(Table1[[#This Row],[Math 
Score]],Table1[[#This Row],[History 
Score]],Table1[[#This Row],[Physics 
Score]],Table1[[#This Row],[Chemistry 
Score]],Table1[[#This Row],[Biology 
Score]],Table1[[#This Row],[English 
Score]],Table1[[#This Row],[Geography 
Score]])</f>
        <v>75.714285714285708</v>
      </c>
      <c r="AB29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298">
        <f t="shared" si="4"/>
        <v>1646</v>
      </c>
      <c r="AD298" t="str">
        <f>_xlfn.IFS(Table1[[#This Row],[Absence 
Days]]&lt;3,"Excellent",Table1[[#This Row],[Absence 
Days]]&lt;=6,"Good",Table1[[#This Row],[Absence 
Days]]&gt;6,"Poor")</f>
        <v>Good</v>
      </c>
    </row>
    <row r="299" spans="1:30" x14ac:dyDescent="0.35">
      <c r="A299">
        <v>298</v>
      </c>
      <c r="B299" s="2" t="s">
        <v>176</v>
      </c>
      <c r="C299" t="s">
        <v>592</v>
      </c>
      <c r="D299" t="str">
        <f>_xlfn.TEXTJOIN(" ",TRUE,Table1[[#This Row],[First 
Name]:[Last 
Name]])</f>
        <v>Tracy Johnson</v>
      </c>
      <c r="E299" t="s">
        <v>1409</v>
      </c>
      <c r="F299" t="s">
        <v>3244</v>
      </c>
      <c r="G299" t="str">
        <f ca="1">PROPER(Table1[[#This Row],[Part Time 
Job]])</f>
        <v>False</v>
      </c>
      <c r="H299" s="3">
        <v>2</v>
      </c>
      <c r="I299" t="str">
        <f ca="1">PROPER(Table1[[#This Row],[Extracurricular 
Activities]])</f>
        <v>False</v>
      </c>
      <c r="J299">
        <v>2</v>
      </c>
      <c r="K299" t="s">
        <v>3126</v>
      </c>
      <c r="L299">
        <v>97</v>
      </c>
      <c r="M299" s="12" t="str" cm="1">
        <f t="array" ref="M29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299">
        <v>74</v>
      </c>
      <c r="O299" s="13" t="str" cm="1">
        <f t="array" ref="O29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299">
        <v>97</v>
      </c>
      <c r="Q299" s="13" t="str" cm="1">
        <f t="array" ref="Q29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299">
        <v>60</v>
      </c>
      <c r="S299" t="str" cm="1">
        <f t="array" ref="S29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299">
        <v>65</v>
      </c>
      <c r="U299" t="str" cm="1">
        <f t="array" ref="U29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299">
        <v>90</v>
      </c>
      <c r="W299" t="str" cm="1">
        <f t="array" ref="W29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299">
        <v>97</v>
      </c>
      <c r="Y299" t="str" cm="1">
        <f t="array" ref="Y29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299">
        <f>SUM(Table1[[#This Row],[Math 
Score]],Table1[[#This Row],[History 
Score]],Table1[[#This Row],[Physics 
Score]],Table1[[#This Row],[Chemistry 
Score]],Table1[[#This Row],[Biology 
Score]],Table1[[#This Row],[English 
Score]],Table1[[#This Row],[Geography 
Score]])</f>
        <v>580</v>
      </c>
      <c r="AA299" s="3">
        <f>AVERAGE(Table1[[#This Row],[Math 
Score]],Table1[[#This Row],[History 
Score]],Table1[[#This Row],[Physics 
Score]],Table1[[#This Row],[Chemistry 
Score]],Table1[[#This Row],[Biology 
Score]],Table1[[#This Row],[English 
Score]],Table1[[#This Row],[Geography 
Score]])</f>
        <v>82.857142857142861</v>
      </c>
      <c r="AB29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299">
        <f t="shared" si="4"/>
        <v>709</v>
      </c>
      <c r="AD299" t="str">
        <f>_xlfn.IFS(Table1[[#This Row],[Absence 
Days]]&lt;3,"Excellent",Table1[[#This Row],[Absence 
Days]]&lt;=6,"Good",Table1[[#This Row],[Absence 
Days]]&gt;6,"Poor")</f>
        <v>Excellent</v>
      </c>
    </row>
    <row r="300" spans="1:30" x14ac:dyDescent="0.35">
      <c r="A300">
        <v>299</v>
      </c>
      <c r="B300" s="2" t="s">
        <v>165</v>
      </c>
      <c r="C300" t="s">
        <v>656</v>
      </c>
      <c r="D300" t="str">
        <f>_xlfn.TEXTJOIN(" ",TRUE,Table1[[#This Row],[First 
Name]:[Last 
Name]])</f>
        <v>Sarah Oconnor</v>
      </c>
      <c r="E300" t="s">
        <v>1410</v>
      </c>
      <c r="F300" t="s">
        <v>3245</v>
      </c>
      <c r="G300" t="str">
        <f ca="1">PROPER(Table1[[#This Row],[Part Time 
Job]])</f>
        <v>False</v>
      </c>
      <c r="H300" s="3">
        <v>1</v>
      </c>
      <c r="I300" t="str">
        <f ca="1">PROPER(Table1[[#This Row],[Extracurricular 
Activities]])</f>
        <v>False</v>
      </c>
      <c r="J300">
        <v>2</v>
      </c>
      <c r="K300" t="s">
        <v>3116</v>
      </c>
      <c r="L300">
        <v>81</v>
      </c>
      <c r="M300" s="12" t="str" cm="1">
        <f t="array" ref="M30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300">
        <v>92</v>
      </c>
      <c r="O300" s="13" t="str" cm="1">
        <f t="array" ref="O30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300">
        <v>94</v>
      </c>
      <c r="Q300" s="13" t="str" cm="1">
        <f t="array" ref="Q30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300">
        <v>77</v>
      </c>
      <c r="S300" t="str" cm="1">
        <f t="array" ref="S30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300">
        <v>84</v>
      </c>
      <c r="U300" t="str" cm="1">
        <f t="array" ref="U30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300">
        <v>63</v>
      </c>
      <c r="W300" t="str" cm="1">
        <f t="array" ref="W30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300">
        <v>64</v>
      </c>
      <c r="Y300" t="str" cm="1">
        <f t="array" ref="Y30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300">
        <f>SUM(Table1[[#This Row],[Math 
Score]],Table1[[#This Row],[History 
Score]],Table1[[#This Row],[Physics 
Score]],Table1[[#This Row],[Chemistry 
Score]],Table1[[#This Row],[Biology 
Score]],Table1[[#This Row],[English 
Score]],Table1[[#This Row],[Geography 
Score]])</f>
        <v>555</v>
      </c>
      <c r="AA300" s="3">
        <f>AVERAGE(Table1[[#This Row],[Math 
Score]],Table1[[#This Row],[History 
Score]],Table1[[#This Row],[Physics 
Score]],Table1[[#This Row],[Chemistry 
Score]],Table1[[#This Row],[Biology 
Score]],Table1[[#This Row],[English 
Score]],Table1[[#This Row],[Geography 
Score]])</f>
        <v>79.285714285714292</v>
      </c>
      <c r="AB30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300">
        <f t="shared" si="4"/>
        <v>1245</v>
      </c>
      <c r="AD300" t="str">
        <f>_xlfn.IFS(Table1[[#This Row],[Absence 
Days]]&lt;3,"Excellent",Table1[[#This Row],[Absence 
Days]]&lt;=6,"Good",Table1[[#This Row],[Absence 
Days]]&gt;6,"Poor")</f>
        <v>Excellent</v>
      </c>
    </row>
    <row r="301" spans="1:30" x14ac:dyDescent="0.35">
      <c r="A301">
        <v>300</v>
      </c>
      <c r="B301" s="2" t="s">
        <v>149</v>
      </c>
      <c r="C301" t="s">
        <v>657</v>
      </c>
      <c r="D301" t="str">
        <f>_xlfn.TEXTJOIN(" ",TRUE,Table1[[#This Row],[First 
Name]:[Last 
Name]])</f>
        <v>Joseph Landry</v>
      </c>
      <c r="E301" t="s">
        <v>1411</v>
      </c>
      <c r="F301" t="s">
        <v>3244</v>
      </c>
      <c r="G301" t="str">
        <f ca="1">PROPER(Table1[[#This Row],[Part Time 
Job]])</f>
        <v>False</v>
      </c>
      <c r="H301" s="3">
        <v>3</v>
      </c>
      <c r="I301" t="str">
        <f ca="1">PROPER(Table1[[#This Row],[Extracurricular 
Activities]])</f>
        <v>False</v>
      </c>
      <c r="J301">
        <v>20</v>
      </c>
      <c r="K301" t="s">
        <v>3117</v>
      </c>
      <c r="L301">
        <v>88</v>
      </c>
      <c r="M301" s="12" t="str" cm="1">
        <f t="array" ref="M30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301">
        <v>60</v>
      </c>
      <c r="O301" s="13" t="str" cm="1">
        <f t="array" ref="O30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301">
        <v>81</v>
      </c>
      <c r="Q301" s="13" t="str" cm="1">
        <f t="array" ref="Q30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301">
        <v>85</v>
      </c>
      <c r="S301" t="str" cm="1">
        <f t="array" ref="S30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301">
        <v>87</v>
      </c>
      <c r="U301" t="str" cm="1">
        <f t="array" ref="U30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301">
        <v>90</v>
      </c>
      <c r="W301" t="str" cm="1">
        <f t="array" ref="W30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301">
        <v>76</v>
      </c>
      <c r="Y301" t="str" cm="1">
        <f t="array" ref="Y30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301">
        <f>SUM(Table1[[#This Row],[Math 
Score]],Table1[[#This Row],[History 
Score]],Table1[[#This Row],[Physics 
Score]],Table1[[#This Row],[Chemistry 
Score]],Table1[[#This Row],[Biology 
Score]],Table1[[#This Row],[English 
Score]],Table1[[#This Row],[Geography 
Score]])</f>
        <v>567</v>
      </c>
      <c r="AA301" s="3">
        <f>AVERAGE(Table1[[#This Row],[Math 
Score]],Table1[[#This Row],[History 
Score]],Table1[[#This Row],[Physics 
Score]],Table1[[#This Row],[Chemistry 
Score]],Table1[[#This Row],[Biology 
Score]],Table1[[#This Row],[English 
Score]],Table1[[#This Row],[Geography 
Score]])</f>
        <v>81</v>
      </c>
      <c r="AB30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301">
        <f t="shared" si="4"/>
        <v>994</v>
      </c>
      <c r="AD301" t="str">
        <f>_xlfn.IFS(Table1[[#This Row],[Absence 
Days]]&lt;3,"Excellent",Table1[[#This Row],[Absence 
Days]]&lt;=6,"Good",Table1[[#This Row],[Absence 
Days]]&gt;6,"Poor")</f>
        <v>Good</v>
      </c>
    </row>
    <row r="302" spans="1:30" x14ac:dyDescent="0.35">
      <c r="A302">
        <v>301</v>
      </c>
      <c r="B302" s="2" t="s">
        <v>177</v>
      </c>
      <c r="C302" t="s">
        <v>658</v>
      </c>
      <c r="D302" t="str">
        <f>_xlfn.TEXTJOIN(" ",TRUE,Table1[[#This Row],[First 
Name]:[Last 
Name]])</f>
        <v>Terry Chen</v>
      </c>
      <c r="E302" t="s">
        <v>1412</v>
      </c>
      <c r="F302" t="s">
        <v>3244</v>
      </c>
      <c r="G302" t="str">
        <f ca="1">PROPER(Table1[[#This Row],[Part Time 
Job]])</f>
        <v>False</v>
      </c>
      <c r="H302" s="3">
        <v>1</v>
      </c>
      <c r="I302" t="str">
        <f ca="1">PROPER(Table1[[#This Row],[Extracurricular 
Activities]])</f>
        <v>True</v>
      </c>
      <c r="J302">
        <v>11</v>
      </c>
      <c r="K302" t="s">
        <v>3127</v>
      </c>
      <c r="L302">
        <v>76</v>
      </c>
      <c r="M302" s="12" t="str" cm="1">
        <f t="array" ref="M30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302">
        <v>82</v>
      </c>
      <c r="O302" s="13" t="str" cm="1">
        <f t="array" ref="O30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302">
        <v>70</v>
      </c>
      <c r="Q302" s="13" t="str" cm="1">
        <f t="array" ref="Q30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302">
        <v>72</v>
      </c>
      <c r="S302" t="str" cm="1">
        <f t="array" ref="S30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302">
        <v>78</v>
      </c>
      <c r="U302" t="str" cm="1">
        <f t="array" ref="U30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302">
        <v>60</v>
      </c>
      <c r="W302" t="str" cm="1">
        <f t="array" ref="W30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302">
        <v>81</v>
      </c>
      <c r="Y302" t="str" cm="1">
        <f t="array" ref="Y30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302">
        <f>SUM(Table1[[#This Row],[Math 
Score]],Table1[[#This Row],[History 
Score]],Table1[[#This Row],[Physics 
Score]],Table1[[#This Row],[Chemistry 
Score]],Table1[[#This Row],[Biology 
Score]],Table1[[#This Row],[English 
Score]],Table1[[#This Row],[Geography 
Score]])</f>
        <v>519</v>
      </c>
      <c r="AA302" s="3">
        <f>AVERAGE(Table1[[#This Row],[Math 
Score]],Table1[[#This Row],[History 
Score]],Table1[[#This Row],[Physics 
Score]],Table1[[#This Row],[Chemistry 
Score]],Table1[[#This Row],[Biology 
Score]],Table1[[#This Row],[English 
Score]],Table1[[#This Row],[Geography 
Score]])</f>
        <v>74.142857142857139</v>
      </c>
      <c r="AB30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302">
        <f t="shared" si="4"/>
        <v>1766</v>
      </c>
      <c r="AD302" t="str">
        <f>_xlfn.IFS(Table1[[#This Row],[Absence 
Days]]&lt;3,"Excellent",Table1[[#This Row],[Absence 
Days]]&lt;=6,"Good",Table1[[#This Row],[Absence 
Days]]&gt;6,"Poor")</f>
        <v>Excellent</v>
      </c>
    </row>
    <row r="303" spans="1:30" x14ac:dyDescent="0.35">
      <c r="A303">
        <v>302</v>
      </c>
      <c r="B303" s="2" t="s">
        <v>178</v>
      </c>
      <c r="C303" t="s">
        <v>659</v>
      </c>
      <c r="D303" t="str">
        <f>_xlfn.TEXTJOIN(" ",TRUE,Table1[[#This Row],[First 
Name]:[Last 
Name]])</f>
        <v>Heather Faulkner</v>
      </c>
      <c r="E303" t="s">
        <v>1413</v>
      </c>
      <c r="F303" t="s">
        <v>3245</v>
      </c>
      <c r="G303" t="str">
        <f ca="1">PROPER(Table1[[#This Row],[Part Time 
Job]])</f>
        <v>False</v>
      </c>
      <c r="H303" s="3">
        <v>10</v>
      </c>
      <c r="I303" t="str">
        <f ca="1">PROPER(Table1[[#This Row],[Extracurricular 
Activities]])</f>
        <v>False</v>
      </c>
      <c r="J303">
        <v>26</v>
      </c>
      <c r="K303" t="s">
        <v>3121</v>
      </c>
      <c r="L303">
        <v>77</v>
      </c>
      <c r="M303" s="12" t="str" cm="1">
        <f t="array" ref="M30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303">
        <v>62</v>
      </c>
      <c r="O303" s="13" t="str" cm="1">
        <f t="array" ref="O30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303">
        <v>97</v>
      </c>
      <c r="Q303" s="13" t="str" cm="1">
        <f t="array" ref="Q30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303">
        <v>82</v>
      </c>
      <c r="S303" t="str" cm="1">
        <f t="array" ref="S30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303">
        <v>74</v>
      </c>
      <c r="U303" t="str" cm="1">
        <f t="array" ref="U30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303">
        <v>98</v>
      </c>
      <c r="W303" t="str" cm="1">
        <f t="array" ref="W30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303">
        <v>95</v>
      </c>
      <c r="Y303" t="str" cm="1">
        <f t="array" ref="Y30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303">
        <f>SUM(Table1[[#This Row],[Math 
Score]],Table1[[#This Row],[History 
Score]],Table1[[#This Row],[Physics 
Score]],Table1[[#This Row],[Chemistry 
Score]],Table1[[#This Row],[Biology 
Score]],Table1[[#This Row],[English 
Score]],Table1[[#This Row],[Geography 
Score]])</f>
        <v>585</v>
      </c>
      <c r="AA303" s="3">
        <f>AVERAGE(Table1[[#This Row],[Math 
Score]],Table1[[#This Row],[History 
Score]],Table1[[#This Row],[Physics 
Score]],Table1[[#This Row],[Chemistry 
Score]],Table1[[#This Row],[Biology 
Score]],Table1[[#This Row],[English 
Score]],Table1[[#This Row],[Geography 
Score]])</f>
        <v>83.571428571428569</v>
      </c>
      <c r="AB30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303">
        <f t="shared" si="4"/>
        <v>615</v>
      </c>
      <c r="AD303" t="str">
        <f>_xlfn.IFS(Table1[[#This Row],[Absence 
Days]]&lt;3,"Excellent",Table1[[#This Row],[Absence 
Days]]&lt;=6,"Good",Table1[[#This Row],[Absence 
Days]]&gt;6,"Poor")</f>
        <v>Poor</v>
      </c>
    </row>
    <row r="304" spans="1:30" x14ac:dyDescent="0.35">
      <c r="A304">
        <v>303</v>
      </c>
      <c r="B304" s="2" t="s">
        <v>179</v>
      </c>
      <c r="C304" t="s">
        <v>660</v>
      </c>
      <c r="D304" t="str">
        <f>_xlfn.TEXTJOIN(" ",TRUE,Table1[[#This Row],[First 
Name]:[Last 
Name]])</f>
        <v>Wanda Baxter</v>
      </c>
      <c r="E304" t="s">
        <v>1414</v>
      </c>
      <c r="F304" t="s">
        <v>3245</v>
      </c>
      <c r="G304" t="str">
        <f ca="1">PROPER(Table1[[#This Row],[Part Time 
Job]])</f>
        <v>False</v>
      </c>
      <c r="H304" s="3">
        <v>3</v>
      </c>
      <c r="I304" t="str">
        <f ca="1">PROPER(Table1[[#This Row],[Extracurricular 
Activities]])</f>
        <v>False</v>
      </c>
      <c r="J304">
        <v>22</v>
      </c>
      <c r="K304" t="s">
        <v>3123</v>
      </c>
      <c r="L304">
        <v>89</v>
      </c>
      <c r="M304" s="12" t="str" cm="1">
        <f t="array" ref="M30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304">
        <v>81</v>
      </c>
      <c r="O304" s="13" t="str" cm="1">
        <f t="array" ref="O30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304">
        <v>99</v>
      </c>
      <c r="Q304" s="13" t="str" cm="1">
        <f t="array" ref="Q30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304">
        <v>71</v>
      </c>
      <c r="S304" t="str" cm="1">
        <f t="array" ref="S30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304">
        <v>67</v>
      </c>
      <c r="U304" t="str" cm="1">
        <f t="array" ref="U30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304">
        <v>74</v>
      </c>
      <c r="W304" t="str" cm="1">
        <f t="array" ref="W30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304">
        <v>89</v>
      </c>
      <c r="Y304" t="str" cm="1">
        <f t="array" ref="Y30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304">
        <f>SUM(Table1[[#This Row],[Math 
Score]],Table1[[#This Row],[History 
Score]],Table1[[#This Row],[Physics 
Score]],Table1[[#This Row],[Chemistry 
Score]],Table1[[#This Row],[Biology 
Score]],Table1[[#This Row],[English 
Score]],Table1[[#This Row],[Geography 
Score]])</f>
        <v>570</v>
      </c>
      <c r="AA304" s="3">
        <f>AVERAGE(Table1[[#This Row],[Math 
Score]],Table1[[#This Row],[History 
Score]],Table1[[#This Row],[Physics 
Score]],Table1[[#This Row],[Chemistry 
Score]],Table1[[#This Row],[Biology 
Score]],Table1[[#This Row],[English 
Score]],Table1[[#This Row],[Geography 
Score]])</f>
        <v>81.428571428571431</v>
      </c>
      <c r="AB30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304">
        <f t="shared" si="4"/>
        <v>937</v>
      </c>
      <c r="AD304" t="str">
        <f>_xlfn.IFS(Table1[[#This Row],[Absence 
Days]]&lt;3,"Excellent",Table1[[#This Row],[Absence 
Days]]&lt;=6,"Good",Table1[[#This Row],[Absence 
Days]]&gt;6,"Poor")</f>
        <v>Good</v>
      </c>
    </row>
    <row r="305" spans="1:30" x14ac:dyDescent="0.35">
      <c r="A305">
        <v>304</v>
      </c>
      <c r="B305" s="2" t="s">
        <v>99</v>
      </c>
      <c r="C305" t="s">
        <v>492</v>
      </c>
      <c r="D305" t="str">
        <f>_xlfn.TEXTJOIN(" ",TRUE,Table1[[#This Row],[First 
Name]:[Last 
Name]])</f>
        <v>Amanda Davis</v>
      </c>
      <c r="E305" t="s">
        <v>1415</v>
      </c>
      <c r="F305" t="s">
        <v>3245</v>
      </c>
      <c r="G305" t="str">
        <f ca="1">PROPER(Table1[[#This Row],[Part Time 
Job]])</f>
        <v>False</v>
      </c>
      <c r="H305" s="3">
        <v>1</v>
      </c>
      <c r="I305" t="str">
        <f ca="1">PROPER(Table1[[#This Row],[Extracurricular 
Activities]])</f>
        <v>True</v>
      </c>
      <c r="J305">
        <v>12</v>
      </c>
      <c r="K305" t="s">
        <v>3114</v>
      </c>
      <c r="L305">
        <v>65</v>
      </c>
      <c r="M305" s="12" t="str" cm="1">
        <f t="array" ref="M305">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305">
        <v>69</v>
      </c>
      <c r="O305" s="13" t="str" cm="1">
        <f t="array" ref="O30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305">
        <v>66</v>
      </c>
      <c r="Q305" s="13" t="str" cm="1">
        <f t="array" ref="Q30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305">
        <v>65</v>
      </c>
      <c r="S305" t="str" cm="1">
        <f t="array" ref="S30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305">
        <v>90</v>
      </c>
      <c r="U305" t="str" cm="1">
        <f t="array" ref="U30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305">
        <v>76</v>
      </c>
      <c r="W305" t="str" cm="1">
        <f t="array" ref="W30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305">
        <v>60</v>
      </c>
      <c r="Y305" t="str" cm="1">
        <f t="array" ref="Y30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305">
        <f>SUM(Table1[[#This Row],[Math 
Score]],Table1[[#This Row],[History 
Score]],Table1[[#This Row],[Physics 
Score]],Table1[[#This Row],[Chemistry 
Score]],Table1[[#This Row],[Biology 
Score]],Table1[[#This Row],[English 
Score]],Table1[[#This Row],[Geography 
Score]])</f>
        <v>491</v>
      </c>
      <c r="AA305" s="3">
        <f>AVERAGE(Table1[[#This Row],[Math 
Score]],Table1[[#This Row],[History 
Score]],Table1[[#This Row],[Physics 
Score]],Table1[[#This Row],[Chemistry 
Score]],Table1[[#This Row],[Biology 
Score]],Table1[[#This Row],[English 
Score]],Table1[[#This Row],[Geography 
Score]])</f>
        <v>70.142857142857139</v>
      </c>
      <c r="AB30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305">
        <f t="shared" si="4"/>
        <v>1907</v>
      </c>
      <c r="AD305" t="str">
        <f>_xlfn.IFS(Table1[[#This Row],[Absence 
Days]]&lt;3,"Excellent",Table1[[#This Row],[Absence 
Days]]&lt;=6,"Good",Table1[[#This Row],[Absence 
Days]]&gt;6,"Poor")</f>
        <v>Excellent</v>
      </c>
    </row>
    <row r="306" spans="1:30" x14ac:dyDescent="0.35">
      <c r="A306">
        <v>305</v>
      </c>
      <c r="B306" s="2" t="s">
        <v>180</v>
      </c>
      <c r="C306" t="s">
        <v>661</v>
      </c>
      <c r="D306" t="str">
        <f>_xlfn.TEXTJOIN(" ",TRUE,Table1[[#This Row],[First 
Name]:[Last 
Name]])</f>
        <v>Gina Powell</v>
      </c>
      <c r="E306" t="s">
        <v>1416</v>
      </c>
      <c r="F306" t="s">
        <v>3245</v>
      </c>
      <c r="G306" t="str">
        <f ca="1">PROPER(Table1[[#This Row],[Part Time 
Job]])</f>
        <v>True</v>
      </c>
      <c r="H306" s="3">
        <v>10</v>
      </c>
      <c r="I306" t="str">
        <f ca="1">PROPER(Table1[[#This Row],[Extracurricular 
Activities]])</f>
        <v>False</v>
      </c>
      <c r="J306">
        <v>4</v>
      </c>
      <c r="K306" t="s">
        <v>3119</v>
      </c>
      <c r="L306">
        <v>82</v>
      </c>
      <c r="M306" s="12" t="str" cm="1">
        <f t="array" ref="M30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306">
        <v>55</v>
      </c>
      <c r="O306" s="13" t="str" cm="1">
        <f t="array" ref="O30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C</v>
      </c>
      <c r="P306">
        <v>76</v>
      </c>
      <c r="Q306" s="13" t="str" cm="1">
        <f t="array" ref="Q30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306">
        <v>63</v>
      </c>
      <c r="S306" t="str" cm="1">
        <f t="array" ref="S30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306">
        <v>70</v>
      </c>
      <c r="U306" t="str" cm="1">
        <f t="array" ref="U30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306">
        <v>61</v>
      </c>
      <c r="W306" t="str" cm="1">
        <f t="array" ref="W30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306">
        <v>60</v>
      </c>
      <c r="Y306" t="str" cm="1">
        <f t="array" ref="Y30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306">
        <f>SUM(Table1[[#This Row],[Math 
Score]],Table1[[#This Row],[History 
Score]],Table1[[#This Row],[Physics 
Score]],Table1[[#This Row],[Chemistry 
Score]],Table1[[#This Row],[Biology 
Score]],Table1[[#This Row],[English 
Score]],Table1[[#This Row],[Geography 
Score]])</f>
        <v>467</v>
      </c>
      <c r="AA306" s="3">
        <f>AVERAGE(Table1[[#This Row],[Math 
Score]],Table1[[#This Row],[History 
Score]],Table1[[#This Row],[Physics 
Score]],Table1[[#This Row],[Chemistry 
Score]],Table1[[#This Row],[Biology 
Score]],Table1[[#This Row],[English 
Score]],Table1[[#This Row],[Geography 
Score]])</f>
        <v>66.714285714285708</v>
      </c>
      <c r="AB30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306">
        <f t="shared" si="4"/>
        <v>1967</v>
      </c>
      <c r="AD306" t="str">
        <f>_xlfn.IFS(Table1[[#This Row],[Absence 
Days]]&lt;3,"Excellent",Table1[[#This Row],[Absence 
Days]]&lt;=6,"Good",Table1[[#This Row],[Absence 
Days]]&gt;6,"Poor")</f>
        <v>Poor</v>
      </c>
    </row>
    <row r="307" spans="1:30" x14ac:dyDescent="0.35">
      <c r="A307">
        <v>306</v>
      </c>
      <c r="B307" s="2" t="s">
        <v>181</v>
      </c>
      <c r="C307" t="s">
        <v>662</v>
      </c>
      <c r="D307" t="str">
        <f>_xlfn.TEXTJOIN(" ",TRUE,Table1[[#This Row],[First 
Name]:[Last 
Name]])</f>
        <v>Sabrina Hall</v>
      </c>
      <c r="E307" t="s">
        <v>1417</v>
      </c>
      <c r="F307" t="s">
        <v>3245</v>
      </c>
      <c r="G307" t="str">
        <f ca="1">PROPER(Table1[[#This Row],[Part Time 
Job]])</f>
        <v>False</v>
      </c>
      <c r="H307" s="3">
        <v>3</v>
      </c>
      <c r="I307" t="str">
        <f ca="1">PROPER(Table1[[#This Row],[Extracurricular 
Activities]])</f>
        <v>False</v>
      </c>
      <c r="J307">
        <v>34</v>
      </c>
      <c r="K307" t="s">
        <v>3121</v>
      </c>
      <c r="L307">
        <v>77</v>
      </c>
      <c r="M307" s="12" t="str" cm="1">
        <f t="array" ref="M30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307">
        <v>60</v>
      </c>
      <c r="O307" s="13" t="str" cm="1">
        <f t="array" ref="O30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307">
        <v>61</v>
      </c>
      <c r="Q307" s="13" t="str" cm="1">
        <f t="array" ref="Q30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307">
        <v>91</v>
      </c>
      <c r="S307" t="str" cm="1">
        <f t="array" ref="S30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307">
        <v>62</v>
      </c>
      <c r="U307" t="str" cm="1">
        <f t="array" ref="U30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307">
        <v>78</v>
      </c>
      <c r="W307" t="str" cm="1">
        <f t="array" ref="W30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307">
        <v>91</v>
      </c>
      <c r="Y307" t="str" cm="1">
        <f t="array" ref="Y30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307">
        <f>SUM(Table1[[#This Row],[Math 
Score]],Table1[[#This Row],[History 
Score]],Table1[[#This Row],[Physics 
Score]],Table1[[#This Row],[Chemistry 
Score]],Table1[[#This Row],[Biology 
Score]],Table1[[#This Row],[English 
Score]],Table1[[#This Row],[Geography 
Score]])</f>
        <v>520</v>
      </c>
      <c r="AA307" s="3">
        <f>AVERAGE(Table1[[#This Row],[Math 
Score]],Table1[[#This Row],[History 
Score]],Table1[[#This Row],[Physics 
Score]],Table1[[#This Row],[Chemistry 
Score]],Table1[[#This Row],[Biology 
Score]],Table1[[#This Row],[English 
Score]],Table1[[#This Row],[Geography 
Score]])</f>
        <v>74.285714285714292</v>
      </c>
      <c r="AB30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307">
        <f t="shared" si="4"/>
        <v>1753</v>
      </c>
      <c r="AD307" t="str">
        <f>_xlfn.IFS(Table1[[#This Row],[Absence 
Days]]&lt;3,"Excellent",Table1[[#This Row],[Absence 
Days]]&lt;=6,"Good",Table1[[#This Row],[Absence 
Days]]&gt;6,"Poor")</f>
        <v>Good</v>
      </c>
    </row>
    <row r="308" spans="1:30" x14ac:dyDescent="0.35">
      <c r="A308">
        <v>307</v>
      </c>
      <c r="B308" s="2" t="s">
        <v>39</v>
      </c>
      <c r="C308" t="s">
        <v>479</v>
      </c>
      <c r="D308" t="str">
        <f>_xlfn.TEXTJOIN(" ",TRUE,Table1[[#This Row],[First 
Name]:[Last 
Name]])</f>
        <v>Lauren Miller</v>
      </c>
      <c r="E308" t="s">
        <v>1418</v>
      </c>
      <c r="F308" t="s">
        <v>3245</v>
      </c>
      <c r="G308" t="str">
        <f ca="1">PROPER(Table1[[#This Row],[Part Time 
Job]])</f>
        <v>False</v>
      </c>
      <c r="H308" s="3">
        <v>0</v>
      </c>
      <c r="I308" t="str">
        <f ca="1">PROPER(Table1[[#This Row],[Extracurricular 
Activities]])</f>
        <v>False</v>
      </c>
      <c r="J308">
        <v>9</v>
      </c>
      <c r="K308" t="s">
        <v>3118</v>
      </c>
      <c r="L308">
        <v>66</v>
      </c>
      <c r="M308" s="12" t="str" cm="1">
        <f t="array" ref="M308">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308">
        <v>70</v>
      </c>
      <c r="O308" s="13" t="str" cm="1">
        <f t="array" ref="O30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308">
        <v>88</v>
      </c>
      <c r="Q308" s="13" t="str" cm="1">
        <f t="array" ref="Q30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308">
        <v>70</v>
      </c>
      <c r="S308" t="str" cm="1">
        <f t="array" ref="S30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308">
        <v>62</v>
      </c>
      <c r="U308" t="str" cm="1">
        <f t="array" ref="U30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308">
        <v>70</v>
      </c>
      <c r="W308" t="str" cm="1">
        <f t="array" ref="W30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308">
        <v>75</v>
      </c>
      <c r="Y308" t="str" cm="1">
        <f t="array" ref="Y30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308">
        <f>SUM(Table1[[#This Row],[Math 
Score]],Table1[[#This Row],[History 
Score]],Table1[[#This Row],[Physics 
Score]],Table1[[#This Row],[Chemistry 
Score]],Table1[[#This Row],[Biology 
Score]],Table1[[#This Row],[English 
Score]],Table1[[#This Row],[Geography 
Score]])</f>
        <v>501</v>
      </c>
      <c r="AA308" s="3">
        <f>AVERAGE(Table1[[#This Row],[Math 
Score]],Table1[[#This Row],[History 
Score]],Table1[[#This Row],[Physics 
Score]],Table1[[#This Row],[Chemistry 
Score]],Table1[[#This Row],[Biology 
Score]],Table1[[#This Row],[English 
Score]],Table1[[#This Row],[Geography 
Score]])</f>
        <v>71.571428571428569</v>
      </c>
      <c r="AB30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308">
        <f t="shared" si="4"/>
        <v>1872</v>
      </c>
      <c r="AD308" t="str">
        <f>_xlfn.IFS(Table1[[#This Row],[Absence 
Days]]&lt;3,"Excellent",Table1[[#This Row],[Absence 
Days]]&lt;=6,"Good",Table1[[#This Row],[Absence 
Days]]&gt;6,"Poor")</f>
        <v>Excellent</v>
      </c>
    </row>
    <row r="309" spans="1:30" x14ac:dyDescent="0.35">
      <c r="A309">
        <v>308</v>
      </c>
      <c r="B309" s="2" t="s">
        <v>102</v>
      </c>
      <c r="C309" t="s">
        <v>482</v>
      </c>
      <c r="D309" t="str">
        <f>_xlfn.TEXTJOIN(" ",TRUE,Table1[[#This Row],[First 
Name]:[Last 
Name]])</f>
        <v>Jessica Diaz</v>
      </c>
      <c r="E309" t="s">
        <v>1419</v>
      </c>
      <c r="F309" t="s">
        <v>3245</v>
      </c>
      <c r="G309" t="str">
        <f ca="1">PROPER(Table1[[#This Row],[Part Time 
Job]])</f>
        <v>False</v>
      </c>
      <c r="H309" s="3">
        <v>5</v>
      </c>
      <c r="I309" t="str">
        <f ca="1">PROPER(Table1[[#This Row],[Extracurricular 
Activities]])</f>
        <v>False</v>
      </c>
      <c r="J309">
        <v>43</v>
      </c>
      <c r="K309" t="s">
        <v>3113</v>
      </c>
      <c r="L309">
        <v>90</v>
      </c>
      <c r="M309" s="12" t="str" cm="1">
        <f t="array" ref="M30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309">
        <v>96</v>
      </c>
      <c r="O309" s="13" t="str" cm="1">
        <f t="array" ref="O30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309">
        <v>100</v>
      </c>
      <c r="Q309" s="13" t="str" cm="1">
        <f t="array" ref="Q30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309">
        <v>87</v>
      </c>
      <c r="S309" t="str" cm="1">
        <f t="array" ref="S30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309">
        <v>100</v>
      </c>
      <c r="U309" t="str" cm="1">
        <f t="array" ref="U30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309">
        <v>90</v>
      </c>
      <c r="W309" t="str" cm="1">
        <f t="array" ref="W30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309">
        <v>89</v>
      </c>
      <c r="Y309" t="str" cm="1">
        <f t="array" ref="Y30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309">
        <f>SUM(Table1[[#This Row],[Math 
Score]],Table1[[#This Row],[History 
Score]],Table1[[#This Row],[Physics 
Score]],Table1[[#This Row],[Chemistry 
Score]],Table1[[#This Row],[Biology 
Score]],Table1[[#This Row],[English 
Score]],Table1[[#This Row],[Geography 
Score]])</f>
        <v>652</v>
      </c>
      <c r="AA309" s="3">
        <f>AVERAGE(Table1[[#This Row],[Math 
Score]],Table1[[#This Row],[History 
Score]],Table1[[#This Row],[Physics 
Score]],Table1[[#This Row],[Chemistry 
Score]],Table1[[#This Row],[Biology 
Score]],Table1[[#This Row],[English 
Score]],Table1[[#This Row],[Geography 
Score]])</f>
        <v>93.142857142857139</v>
      </c>
      <c r="AB30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309">
        <f t="shared" si="4"/>
        <v>46</v>
      </c>
      <c r="AD309" t="str">
        <f>_xlfn.IFS(Table1[[#This Row],[Absence 
Days]]&lt;3,"Excellent",Table1[[#This Row],[Absence 
Days]]&lt;=6,"Good",Table1[[#This Row],[Absence 
Days]]&gt;6,"Poor")</f>
        <v>Good</v>
      </c>
    </row>
    <row r="310" spans="1:30" x14ac:dyDescent="0.35">
      <c r="A310">
        <v>309</v>
      </c>
      <c r="B310" s="2" t="s">
        <v>182</v>
      </c>
      <c r="C310" t="s">
        <v>516</v>
      </c>
      <c r="D310" t="str">
        <f>_xlfn.TEXTJOIN(" ",TRUE,Table1[[#This Row],[First 
Name]:[Last 
Name]])</f>
        <v>Ashley Garcia</v>
      </c>
      <c r="E310" t="s">
        <v>1420</v>
      </c>
      <c r="F310" t="s">
        <v>3245</v>
      </c>
      <c r="G310" t="str">
        <f ca="1">PROPER(Table1[[#This Row],[Part Time 
Job]])</f>
        <v>False</v>
      </c>
      <c r="H310" s="3">
        <v>2</v>
      </c>
      <c r="I310" t="str">
        <f ca="1">PROPER(Table1[[#This Row],[Extracurricular 
Activities]])</f>
        <v>False</v>
      </c>
      <c r="J310">
        <v>1</v>
      </c>
      <c r="K310" t="s">
        <v>3128</v>
      </c>
      <c r="L310">
        <v>73</v>
      </c>
      <c r="M310" s="12" t="str" cm="1">
        <f t="array" ref="M310">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310">
        <v>87</v>
      </c>
      <c r="O310" s="13" t="str" cm="1">
        <f t="array" ref="O31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310">
        <v>90</v>
      </c>
      <c r="Q310" s="13" t="str" cm="1">
        <f t="array" ref="Q31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310">
        <v>96</v>
      </c>
      <c r="S310" t="str" cm="1">
        <f t="array" ref="S31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310">
        <v>61</v>
      </c>
      <c r="U310" t="str" cm="1">
        <f t="array" ref="U31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310">
        <v>61</v>
      </c>
      <c r="W310" t="str" cm="1">
        <f t="array" ref="W31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310">
        <v>76</v>
      </c>
      <c r="Y310" t="str" cm="1">
        <f t="array" ref="Y31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310">
        <f>SUM(Table1[[#This Row],[Math 
Score]],Table1[[#This Row],[History 
Score]],Table1[[#This Row],[Physics 
Score]],Table1[[#This Row],[Chemistry 
Score]],Table1[[#This Row],[Biology 
Score]],Table1[[#This Row],[English 
Score]],Table1[[#This Row],[Geography 
Score]])</f>
        <v>544</v>
      </c>
      <c r="AA310" s="3">
        <f>AVERAGE(Table1[[#This Row],[Math 
Score]],Table1[[#This Row],[History 
Score]],Table1[[#This Row],[Physics 
Score]],Table1[[#This Row],[Chemistry 
Score]],Table1[[#This Row],[Biology 
Score]],Table1[[#This Row],[English 
Score]],Table1[[#This Row],[Geography 
Score]])</f>
        <v>77.714285714285708</v>
      </c>
      <c r="AB31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310">
        <f t="shared" si="4"/>
        <v>1446</v>
      </c>
      <c r="AD310" t="str">
        <f>_xlfn.IFS(Table1[[#This Row],[Absence 
Days]]&lt;3,"Excellent",Table1[[#This Row],[Absence 
Days]]&lt;=6,"Good",Table1[[#This Row],[Absence 
Days]]&gt;6,"Poor")</f>
        <v>Excellent</v>
      </c>
    </row>
    <row r="311" spans="1:30" x14ac:dyDescent="0.35">
      <c r="A311">
        <v>310</v>
      </c>
      <c r="B311" s="2" t="s">
        <v>183</v>
      </c>
      <c r="C311" t="s">
        <v>592</v>
      </c>
      <c r="D311" t="str">
        <f>_xlfn.TEXTJOIN(" ",TRUE,Table1[[#This Row],[First 
Name]:[Last 
Name]])</f>
        <v>Miranda Johnson</v>
      </c>
      <c r="E311" t="s">
        <v>1421</v>
      </c>
      <c r="F311" t="s">
        <v>3245</v>
      </c>
      <c r="G311" t="str">
        <f ca="1">PROPER(Table1[[#This Row],[Part Time 
Job]])</f>
        <v>False</v>
      </c>
      <c r="H311" s="3">
        <v>2</v>
      </c>
      <c r="I311" t="str">
        <f ca="1">PROPER(Table1[[#This Row],[Extracurricular 
Activities]])</f>
        <v>False</v>
      </c>
      <c r="J311">
        <v>19</v>
      </c>
      <c r="K311" t="s">
        <v>3117</v>
      </c>
      <c r="L311">
        <v>89</v>
      </c>
      <c r="M311" s="12" t="str" cm="1">
        <f t="array" ref="M31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311">
        <v>64</v>
      </c>
      <c r="O311" s="13" t="str" cm="1">
        <f t="array" ref="O31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311">
        <v>74</v>
      </c>
      <c r="Q311" s="13" t="str" cm="1">
        <f t="array" ref="Q31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311">
        <v>97</v>
      </c>
      <c r="S311" t="str" cm="1">
        <f t="array" ref="S31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311">
        <v>95</v>
      </c>
      <c r="U311" t="str" cm="1">
        <f t="array" ref="U31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311">
        <v>77</v>
      </c>
      <c r="W311" t="str" cm="1">
        <f t="array" ref="W31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311">
        <v>88</v>
      </c>
      <c r="Y311" t="str" cm="1">
        <f t="array" ref="Y31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311">
        <f>SUM(Table1[[#This Row],[Math 
Score]],Table1[[#This Row],[History 
Score]],Table1[[#This Row],[Physics 
Score]],Table1[[#This Row],[Chemistry 
Score]],Table1[[#This Row],[Biology 
Score]],Table1[[#This Row],[English 
Score]],Table1[[#This Row],[Geography 
Score]])</f>
        <v>584</v>
      </c>
      <c r="AA311" s="3">
        <f>AVERAGE(Table1[[#This Row],[Math 
Score]],Table1[[#This Row],[History 
Score]],Table1[[#This Row],[Physics 
Score]],Table1[[#This Row],[Chemistry 
Score]],Table1[[#This Row],[Biology 
Score]],Table1[[#This Row],[English 
Score]],Table1[[#This Row],[Geography 
Score]])</f>
        <v>83.428571428571431</v>
      </c>
      <c r="AB31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311">
        <f t="shared" si="4"/>
        <v>635</v>
      </c>
      <c r="AD311" t="str">
        <f>_xlfn.IFS(Table1[[#This Row],[Absence 
Days]]&lt;3,"Excellent",Table1[[#This Row],[Absence 
Days]]&lt;=6,"Good",Table1[[#This Row],[Absence 
Days]]&gt;6,"Poor")</f>
        <v>Excellent</v>
      </c>
    </row>
    <row r="312" spans="1:30" x14ac:dyDescent="0.35">
      <c r="A312">
        <v>311</v>
      </c>
      <c r="B312" s="2" t="s">
        <v>176</v>
      </c>
      <c r="C312" t="s">
        <v>663</v>
      </c>
      <c r="D312" t="str">
        <f>_xlfn.TEXTJOIN(" ",TRUE,Table1[[#This Row],[First 
Name]:[Last 
Name]])</f>
        <v>Tracy Johnston</v>
      </c>
      <c r="E312" t="s">
        <v>1422</v>
      </c>
      <c r="F312" t="s">
        <v>3245</v>
      </c>
      <c r="G312" t="str">
        <f ca="1">PROPER(Table1[[#This Row],[Part Time 
Job]])</f>
        <v>True</v>
      </c>
      <c r="H312" s="3">
        <v>4</v>
      </c>
      <c r="I312" t="str">
        <f ca="1">PROPER(Table1[[#This Row],[Extracurricular 
Activities]])</f>
        <v>False</v>
      </c>
      <c r="J312">
        <v>2</v>
      </c>
      <c r="K312" t="s">
        <v>3119</v>
      </c>
      <c r="L312">
        <v>72</v>
      </c>
      <c r="M312" s="12" t="str" cm="1">
        <f t="array" ref="M312">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312">
        <v>55</v>
      </c>
      <c r="O312" s="13" t="str" cm="1">
        <f t="array" ref="O31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C</v>
      </c>
      <c r="P312">
        <v>54</v>
      </c>
      <c r="Q312" s="13" t="str" cm="1">
        <f t="array" ref="Q31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C</v>
      </c>
      <c r="R312">
        <v>62</v>
      </c>
      <c r="S312" t="str" cm="1">
        <f t="array" ref="S31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312">
        <v>75</v>
      </c>
      <c r="U312" t="str" cm="1">
        <f t="array" ref="U31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312">
        <v>79</v>
      </c>
      <c r="W312" t="str" cm="1">
        <f t="array" ref="W31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312">
        <v>96</v>
      </c>
      <c r="Y312" t="str" cm="1">
        <f t="array" ref="Y31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312">
        <f>SUM(Table1[[#This Row],[Math 
Score]],Table1[[#This Row],[History 
Score]],Table1[[#This Row],[Physics 
Score]],Table1[[#This Row],[Chemistry 
Score]],Table1[[#This Row],[Biology 
Score]],Table1[[#This Row],[English 
Score]],Table1[[#This Row],[Geography 
Score]])</f>
        <v>493</v>
      </c>
      <c r="AA312" s="3">
        <f>AVERAGE(Table1[[#This Row],[Math 
Score]],Table1[[#This Row],[History 
Score]],Table1[[#This Row],[Physics 
Score]],Table1[[#This Row],[Chemistry 
Score]],Table1[[#This Row],[Biology 
Score]],Table1[[#This Row],[English 
Score]],Table1[[#This Row],[Geography 
Score]])</f>
        <v>70.428571428571431</v>
      </c>
      <c r="AB31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312">
        <f t="shared" si="4"/>
        <v>1903</v>
      </c>
      <c r="AD312" t="str">
        <f>_xlfn.IFS(Table1[[#This Row],[Absence 
Days]]&lt;3,"Excellent",Table1[[#This Row],[Absence 
Days]]&lt;=6,"Good",Table1[[#This Row],[Absence 
Days]]&gt;6,"Poor")</f>
        <v>Good</v>
      </c>
    </row>
    <row r="313" spans="1:30" x14ac:dyDescent="0.35">
      <c r="A313">
        <v>312</v>
      </c>
      <c r="B313" s="2" t="s">
        <v>184</v>
      </c>
      <c r="C313" t="s">
        <v>522</v>
      </c>
      <c r="D313" t="str">
        <f>_xlfn.TEXTJOIN(" ",TRUE,Table1[[#This Row],[First 
Name]:[Last 
Name]])</f>
        <v>Erik Butler</v>
      </c>
      <c r="E313" t="s">
        <v>1423</v>
      </c>
      <c r="F313" t="s">
        <v>3244</v>
      </c>
      <c r="G313" t="str">
        <f ca="1">PROPER(Table1[[#This Row],[Part Time 
Job]])</f>
        <v>False</v>
      </c>
      <c r="H313" s="3">
        <v>1</v>
      </c>
      <c r="I313" t="str">
        <f ca="1">PROPER(Table1[[#This Row],[Extracurricular 
Activities]])</f>
        <v>False</v>
      </c>
      <c r="J313">
        <v>34</v>
      </c>
      <c r="K313" t="s">
        <v>3120</v>
      </c>
      <c r="L313">
        <v>87</v>
      </c>
      <c r="M313" s="12" t="str" cm="1">
        <f t="array" ref="M31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313">
        <v>90</v>
      </c>
      <c r="O313" s="13" t="str" cm="1">
        <f t="array" ref="O31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313">
        <v>89</v>
      </c>
      <c r="Q313" s="13" t="str" cm="1">
        <f t="array" ref="Q31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313">
        <v>88</v>
      </c>
      <c r="S313" t="str" cm="1">
        <f t="array" ref="S31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313">
        <v>93</v>
      </c>
      <c r="U313" t="str" cm="1">
        <f t="array" ref="U31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313">
        <v>87</v>
      </c>
      <c r="W313" t="str" cm="1">
        <f t="array" ref="W31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313">
        <v>70</v>
      </c>
      <c r="Y313" t="str" cm="1">
        <f t="array" ref="Y31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313">
        <f>SUM(Table1[[#This Row],[Math 
Score]],Table1[[#This Row],[History 
Score]],Table1[[#This Row],[Physics 
Score]],Table1[[#This Row],[Chemistry 
Score]],Table1[[#This Row],[Biology 
Score]],Table1[[#This Row],[English 
Score]],Table1[[#This Row],[Geography 
Score]])</f>
        <v>604</v>
      </c>
      <c r="AA313" s="3">
        <f>AVERAGE(Table1[[#This Row],[Math 
Score]],Table1[[#This Row],[History 
Score]],Table1[[#This Row],[Physics 
Score]],Table1[[#This Row],[Chemistry 
Score]],Table1[[#This Row],[Biology 
Score]],Table1[[#This Row],[English 
Score]],Table1[[#This Row],[Geography 
Score]])</f>
        <v>86.285714285714292</v>
      </c>
      <c r="AB31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313">
        <f t="shared" si="4"/>
        <v>353</v>
      </c>
      <c r="AD313" t="str">
        <f>_xlfn.IFS(Table1[[#This Row],[Absence 
Days]]&lt;3,"Excellent",Table1[[#This Row],[Absence 
Days]]&lt;=6,"Good",Table1[[#This Row],[Absence 
Days]]&gt;6,"Poor")</f>
        <v>Excellent</v>
      </c>
    </row>
    <row r="314" spans="1:30" x14ac:dyDescent="0.35">
      <c r="A314">
        <v>313</v>
      </c>
      <c r="B314" s="2" t="s">
        <v>136</v>
      </c>
      <c r="C314" t="s">
        <v>532</v>
      </c>
      <c r="D314" t="str">
        <f>_xlfn.TEXTJOIN(" ",TRUE,Table1[[#This Row],[First 
Name]:[Last 
Name]])</f>
        <v>Tiffany Jones</v>
      </c>
      <c r="E314" t="s">
        <v>1424</v>
      </c>
      <c r="F314" t="s">
        <v>3245</v>
      </c>
      <c r="G314" t="str">
        <f ca="1">PROPER(Table1[[#This Row],[Part Time 
Job]])</f>
        <v>False</v>
      </c>
      <c r="H314" s="3">
        <v>4</v>
      </c>
      <c r="I314" t="str">
        <f ca="1">PROPER(Table1[[#This Row],[Extracurricular 
Activities]])</f>
        <v>True</v>
      </c>
      <c r="J314">
        <v>31</v>
      </c>
      <c r="K314" t="s">
        <v>3120</v>
      </c>
      <c r="L314">
        <v>75</v>
      </c>
      <c r="M314" s="12" t="str" cm="1">
        <f t="array" ref="M31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314">
        <v>98</v>
      </c>
      <c r="O314" s="13" t="str" cm="1">
        <f t="array" ref="O31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314">
        <v>96</v>
      </c>
      <c r="Q314" s="13" t="str" cm="1">
        <f t="array" ref="Q31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314">
        <v>85</v>
      </c>
      <c r="S314" t="str" cm="1">
        <f t="array" ref="S31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314">
        <v>81</v>
      </c>
      <c r="U314" t="str" cm="1">
        <f t="array" ref="U31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314">
        <v>69</v>
      </c>
      <c r="W314" t="str" cm="1">
        <f t="array" ref="W31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314">
        <v>90</v>
      </c>
      <c r="Y314" t="str" cm="1">
        <f t="array" ref="Y31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314">
        <f>SUM(Table1[[#This Row],[Math 
Score]],Table1[[#This Row],[History 
Score]],Table1[[#This Row],[Physics 
Score]],Table1[[#This Row],[Chemistry 
Score]],Table1[[#This Row],[Biology 
Score]],Table1[[#This Row],[English 
Score]],Table1[[#This Row],[Geography 
Score]])</f>
        <v>594</v>
      </c>
      <c r="AA314" s="3">
        <f>AVERAGE(Table1[[#This Row],[Math 
Score]],Table1[[#This Row],[History 
Score]],Table1[[#This Row],[Physics 
Score]],Table1[[#This Row],[Chemistry 
Score]],Table1[[#This Row],[Biology 
Score]],Table1[[#This Row],[English 
Score]],Table1[[#This Row],[Geography 
Score]])</f>
        <v>84.857142857142861</v>
      </c>
      <c r="AB31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314">
        <f t="shared" si="4"/>
        <v>479</v>
      </c>
      <c r="AD314" t="str">
        <f>_xlfn.IFS(Table1[[#This Row],[Absence 
Days]]&lt;3,"Excellent",Table1[[#This Row],[Absence 
Days]]&lt;=6,"Good",Table1[[#This Row],[Absence 
Days]]&gt;6,"Poor")</f>
        <v>Good</v>
      </c>
    </row>
    <row r="315" spans="1:30" x14ac:dyDescent="0.35">
      <c r="A315">
        <v>314</v>
      </c>
      <c r="B315" s="2" t="s">
        <v>185</v>
      </c>
      <c r="C315" t="s">
        <v>664</v>
      </c>
      <c r="D315" t="str">
        <f>_xlfn.TEXTJOIN(" ",TRUE,Table1[[#This Row],[First 
Name]:[Last 
Name]])</f>
        <v>Brandy Campbell</v>
      </c>
      <c r="E315" t="s">
        <v>1425</v>
      </c>
      <c r="F315" t="s">
        <v>3245</v>
      </c>
      <c r="G315" t="str">
        <f ca="1">PROPER(Table1[[#This Row],[Part Time 
Job]])</f>
        <v>False</v>
      </c>
      <c r="H315" s="3">
        <v>4</v>
      </c>
      <c r="I315" t="str">
        <f ca="1">PROPER(Table1[[#This Row],[Extracurricular 
Activities]])</f>
        <v>False</v>
      </c>
      <c r="J315">
        <v>11</v>
      </c>
      <c r="K315" t="s">
        <v>3118</v>
      </c>
      <c r="L315">
        <v>80</v>
      </c>
      <c r="M315" s="12" t="str" cm="1">
        <f t="array" ref="M31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315">
        <v>85</v>
      </c>
      <c r="O315" s="13" t="str" cm="1">
        <f t="array" ref="O31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315">
        <v>98</v>
      </c>
      <c r="Q315" s="13" t="str" cm="1">
        <f t="array" ref="Q31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315">
        <v>99</v>
      </c>
      <c r="S315" t="str" cm="1">
        <f t="array" ref="S31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315">
        <v>92</v>
      </c>
      <c r="U315" t="str" cm="1">
        <f t="array" ref="U31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315">
        <v>70</v>
      </c>
      <c r="W315" t="str" cm="1">
        <f t="array" ref="W31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315">
        <v>96</v>
      </c>
      <c r="Y315" t="str" cm="1">
        <f t="array" ref="Y31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315">
        <f>SUM(Table1[[#This Row],[Math 
Score]],Table1[[#This Row],[History 
Score]],Table1[[#This Row],[Physics 
Score]],Table1[[#This Row],[Chemistry 
Score]],Table1[[#This Row],[Biology 
Score]],Table1[[#This Row],[English 
Score]],Table1[[#This Row],[Geography 
Score]])</f>
        <v>620</v>
      </c>
      <c r="AA315" s="3">
        <f>AVERAGE(Table1[[#This Row],[Math 
Score]],Table1[[#This Row],[History 
Score]],Table1[[#This Row],[Physics 
Score]],Table1[[#This Row],[Chemistry 
Score]],Table1[[#This Row],[Biology 
Score]],Table1[[#This Row],[English 
Score]],Table1[[#This Row],[Geography 
Score]])</f>
        <v>88.571428571428569</v>
      </c>
      <c r="AB31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315">
        <f t="shared" si="4"/>
        <v>215</v>
      </c>
      <c r="AD315" t="str">
        <f>_xlfn.IFS(Table1[[#This Row],[Absence 
Days]]&lt;3,"Excellent",Table1[[#This Row],[Absence 
Days]]&lt;=6,"Good",Table1[[#This Row],[Absence 
Days]]&gt;6,"Poor")</f>
        <v>Good</v>
      </c>
    </row>
    <row r="316" spans="1:30" x14ac:dyDescent="0.35">
      <c r="A316">
        <v>315</v>
      </c>
      <c r="B316" s="2" t="s">
        <v>186</v>
      </c>
      <c r="C316" t="s">
        <v>665</v>
      </c>
      <c r="D316" t="str">
        <f>_xlfn.TEXTJOIN(" ",TRUE,Table1[[#This Row],[First 
Name]:[Last 
Name]])</f>
        <v>Joel Hicks</v>
      </c>
      <c r="E316" t="s">
        <v>1426</v>
      </c>
      <c r="F316" t="s">
        <v>3244</v>
      </c>
      <c r="G316" t="str">
        <f ca="1">PROPER(Table1[[#This Row],[Part Time 
Job]])</f>
        <v>False</v>
      </c>
      <c r="H316" s="3">
        <v>2</v>
      </c>
      <c r="I316" t="str">
        <f ca="1">PROPER(Table1[[#This Row],[Extracurricular 
Activities]])</f>
        <v>False</v>
      </c>
      <c r="J316">
        <v>35</v>
      </c>
      <c r="K316" t="s">
        <v>3116</v>
      </c>
      <c r="L316">
        <v>85</v>
      </c>
      <c r="M316" s="12" t="str" cm="1">
        <f t="array" ref="M31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316">
        <v>87</v>
      </c>
      <c r="O316" s="13" t="str" cm="1">
        <f t="array" ref="O31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316">
        <v>87</v>
      </c>
      <c r="Q316" s="13" t="str" cm="1">
        <f t="array" ref="Q31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316">
        <v>90</v>
      </c>
      <c r="S316" t="str" cm="1">
        <f t="array" ref="S31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316">
        <v>91</v>
      </c>
      <c r="U316" t="str" cm="1">
        <f t="array" ref="U31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316">
        <v>91</v>
      </c>
      <c r="W316" t="str" cm="1">
        <f t="array" ref="W31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316">
        <v>99</v>
      </c>
      <c r="Y316" t="str" cm="1">
        <f t="array" ref="Y31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316">
        <f>SUM(Table1[[#This Row],[Math 
Score]],Table1[[#This Row],[History 
Score]],Table1[[#This Row],[Physics 
Score]],Table1[[#This Row],[Chemistry 
Score]],Table1[[#This Row],[Biology 
Score]],Table1[[#This Row],[English 
Score]],Table1[[#This Row],[Geography 
Score]])</f>
        <v>630</v>
      </c>
      <c r="AA316" s="3">
        <f>AVERAGE(Table1[[#This Row],[Math 
Score]],Table1[[#This Row],[History 
Score]],Table1[[#This Row],[Physics 
Score]],Table1[[#This Row],[Chemistry 
Score]],Table1[[#This Row],[Biology 
Score]],Table1[[#This Row],[English 
Score]],Table1[[#This Row],[Geography 
Score]])</f>
        <v>90</v>
      </c>
      <c r="AB31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316">
        <f t="shared" si="4"/>
        <v>154</v>
      </c>
      <c r="AD316" t="str">
        <f>_xlfn.IFS(Table1[[#This Row],[Absence 
Days]]&lt;3,"Excellent",Table1[[#This Row],[Absence 
Days]]&lt;=6,"Good",Table1[[#This Row],[Absence 
Days]]&gt;6,"Poor")</f>
        <v>Excellent</v>
      </c>
    </row>
    <row r="317" spans="1:30" x14ac:dyDescent="0.35">
      <c r="A317">
        <v>316</v>
      </c>
      <c r="B317" s="2" t="s">
        <v>124</v>
      </c>
      <c r="C317" t="s">
        <v>479</v>
      </c>
      <c r="D317" t="str">
        <f>_xlfn.TEXTJOIN(" ",TRUE,Table1[[#This Row],[First 
Name]:[Last 
Name]])</f>
        <v>John Miller</v>
      </c>
      <c r="E317" t="s">
        <v>1427</v>
      </c>
      <c r="F317" t="s">
        <v>3244</v>
      </c>
      <c r="G317" t="str">
        <f ca="1">PROPER(Table1[[#This Row],[Part Time 
Job]])</f>
        <v>False</v>
      </c>
      <c r="H317" s="3">
        <v>4</v>
      </c>
      <c r="I317" t="str">
        <f ca="1">PROPER(Table1[[#This Row],[Extracurricular 
Activities]])</f>
        <v>False</v>
      </c>
      <c r="J317">
        <v>20</v>
      </c>
      <c r="K317" t="s">
        <v>3117</v>
      </c>
      <c r="L317">
        <v>92</v>
      </c>
      <c r="M317" s="12" t="str" cm="1">
        <f t="array" ref="M31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317">
        <v>93</v>
      </c>
      <c r="O317" s="13" t="str" cm="1">
        <f t="array" ref="O31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317">
        <v>74</v>
      </c>
      <c r="Q317" s="13" t="str" cm="1">
        <f t="array" ref="Q31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317">
        <v>76</v>
      </c>
      <c r="S317" t="str" cm="1">
        <f t="array" ref="S31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317">
        <v>79</v>
      </c>
      <c r="U317" t="str" cm="1">
        <f t="array" ref="U31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317">
        <v>65</v>
      </c>
      <c r="W317" t="str" cm="1">
        <f t="array" ref="W31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317">
        <v>74</v>
      </c>
      <c r="Y317" t="str" cm="1">
        <f t="array" ref="Y31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317">
        <f>SUM(Table1[[#This Row],[Math 
Score]],Table1[[#This Row],[History 
Score]],Table1[[#This Row],[Physics 
Score]],Table1[[#This Row],[Chemistry 
Score]],Table1[[#This Row],[Biology 
Score]],Table1[[#This Row],[English 
Score]],Table1[[#This Row],[Geography 
Score]])</f>
        <v>553</v>
      </c>
      <c r="AA317" s="3">
        <f>AVERAGE(Table1[[#This Row],[Math 
Score]],Table1[[#This Row],[History 
Score]],Table1[[#This Row],[Physics 
Score]],Table1[[#This Row],[Chemistry 
Score]],Table1[[#This Row],[Biology 
Score]],Table1[[#This Row],[English 
Score]],Table1[[#This Row],[Geography 
Score]])</f>
        <v>79</v>
      </c>
      <c r="AB31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317">
        <f t="shared" si="4"/>
        <v>1284</v>
      </c>
      <c r="AD317" t="str">
        <f>_xlfn.IFS(Table1[[#This Row],[Absence 
Days]]&lt;3,"Excellent",Table1[[#This Row],[Absence 
Days]]&lt;=6,"Good",Table1[[#This Row],[Absence 
Days]]&gt;6,"Poor")</f>
        <v>Good</v>
      </c>
    </row>
    <row r="318" spans="1:30" x14ac:dyDescent="0.35">
      <c r="A318">
        <v>317</v>
      </c>
      <c r="B318" s="2" t="s">
        <v>114</v>
      </c>
      <c r="C318" t="s">
        <v>532</v>
      </c>
      <c r="D318" t="str">
        <f>_xlfn.TEXTJOIN(" ",TRUE,Table1[[#This Row],[First 
Name]:[Last 
Name]])</f>
        <v>Nancy Jones</v>
      </c>
      <c r="E318" t="s">
        <v>1428</v>
      </c>
      <c r="F318" t="s">
        <v>3245</v>
      </c>
      <c r="G318" t="str">
        <f ca="1">PROPER(Table1[[#This Row],[Part Time 
Job]])</f>
        <v>True</v>
      </c>
      <c r="H318" s="3">
        <v>0</v>
      </c>
      <c r="I318" t="str">
        <f ca="1">PROPER(Table1[[#This Row],[Extracurricular 
Activities]])</f>
        <v>False</v>
      </c>
      <c r="J318">
        <v>22</v>
      </c>
      <c r="K318" t="s">
        <v>3116</v>
      </c>
      <c r="L318">
        <v>63</v>
      </c>
      <c r="M318" s="12" t="str" cm="1">
        <f t="array" ref="M318">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318">
        <v>60</v>
      </c>
      <c r="O318" s="13" t="str" cm="1">
        <f t="array" ref="O31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318">
        <v>92</v>
      </c>
      <c r="Q318" s="13" t="str" cm="1">
        <f t="array" ref="Q31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318">
        <v>88</v>
      </c>
      <c r="S318" t="str" cm="1">
        <f t="array" ref="S31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318">
        <v>90</v>
      </c>
      <c r="U318" t="str" cm="1">
        <f t="array" ref="U31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318">
        <v>68</v>
      </c>
      <c r="W318" t="str" cm="1">
        <f t="array" ref="W31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318">
        <v>100</v>
      </c>
      <c r="Y318" t="str" cm="1">
        <f t="array" ref="Y31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318">
        <f>SUM(Table1[[#This Row],[Math 
Score]],Table1[[#This Row],[History 
Score]],Table1[[#This Row],[Physics 
Score]],Table1[[#This Row],[Chemistry 
Score]],Table1[[#This Row],[Biology 
Score]],Table1[[#This Row],[English 
Score]],Table1[[#This Row],[Geography 
Score]])</f>
        <v>561</v>
      </c>
      <c r="AA318" s="3">
        <f>AVERAGE(Table1[[#This Row],[Math 
Score]],Table1[[#This Row],[History 
Score]],Table1[[#This Row],[Physics 
Score]],Table1[[#This Row],[Chemistry 
Score]],Table1[[#This Row],[Biology 
Score]],Table1[[#This Row],[English 
Score]],Table1[[#This Row],[Geography 
Score]])</f>
        <v>80.142857142857139</v>
      </c>
      <c r="AB31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318">
        <f t="shared" si="4"/>
        <v>1120</v>
      </c>
      <c r="AD318" t="str">
        <f>_xlfn.IFS(Table1[[#This Row],[Absence 
Days]]&lt;3,"Excellent",Table1[[#This Row],[Absence 
Days]]&lt;=6,"Good",Table1[[#This Row],[Absence 
Days]]&gt;6,"Poor")</f>
        <v>Excellent</v>
      </c>
    </row>
    <row r="319" spans="1:30" x14ac:dyDescent="0.35">
      <c r="A319">
        <v>318</v>
      </c>
      <c r="B319" s="2" t="s">
        <v>187</v>
      </c>
      <c r="C319" t="s">
        <v>666</v>
      </c>
      <c r="D319" t="str">
        <f>_xlfn.TEXTJOIN(" ",TRUE,Table1[[#This Row],[First 
Name]:[Last 
Name]])</f>
        <v>Jody Mueller</v>
      </c>
      <c r="E319" t="s">
        <v>1429</v>
      </c>
      <c r="F319" t="s">
        <v>3245</v>
      </c>
      <c r="G319" t="str">
        <f ca="1">PROPER(Table1[[#This Row],[Part Time 
Job]])</f>
        <v>False</v>
      </c>
      <c r="H319" s="3">
        <v>3</v>
      </c>
      <c r="I319" t="str">
        <f ca="1">PROPER(Table1[[#This Row],[Extracurricular 
Activities]])</f>
        <v>False</v>
      </c>
      <c r="J319">
        <v>2</v>
      </c>
      <c r="K319" t="s">
        <v>3126</v>
      </c>
      <c r="L319">
        <v>99</v>
      </c>
      <c r="M319" s="12" t="str" cm="1">
        <f t="array" ref="M31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319">
        <v>99</v>
      </c>
      <c r="O319" s="13" t="str" cm="1">
        <f t="array" ref="O31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319">
        <v>87</v>
      </c>
      <c r="Q319" s="13" t="str" cm="1">
        <f t="array" ref="Q31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319">
        <v>80</v>
      </c>
      <c r="S319" t="str" cm="1">
        <f t="array" ref="S31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319">
        <v>89</v>
      </c>
      <c r="U319" t="str" cm="1">
        <f t="array" ref="U31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319">
        <v>78</v>
      </c>
      <c r="W319" t="str" cm="1">
        <f t="array" ref="W31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319">
        <v>87</v>
      </c>
      <c r="Y319" t="str" cm="1">
        <f t="array" ref="Y31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319">
        <f>SUM(Table1[[#This Row],[Math 
Score]],Table1[[#This Row],[History 
Score]],Table1[[#This Row],[Physics 
Score]],Table1[[#This Row],[Chemistry 
Score]],Table1[[#This Row],[Biology 
Score]],Table1[[#This Row],[English 
Score]],Table1[[#This Row],[Geography 
Score]])</f>
        <v>619</v>
      </c>
      <c r="AA319" s="3">
        <f>AVERAGE(Table1[[#This Row],[Math 
Score]],Table1[[#This Row],[History 
Score]],Table1[[#This Row],[Physics 
Score]],Table1[[#This Row],[Chemistry 
Score]],Table1[[#This Row],[Biology 
Score]],Table1[[#This Row],[English 
Score]],Table1[[#This Row],[Geography 
Score]])</f>
        <v>88.428571428571431</v>
      </c>
      <c r="AB31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319">
        <f t="shared" si="4"/>
        <v>221</v>
      </c>
      <c r="AD319" t="str">
        <f>_xlfn.IFS(Table1[[#This Row],[Absence 
Days]]&lt;3,"Excellent",Table1[[#This Row],[Absence 
Days]]&lt;=6,"Good",Table1[[#This Row],[Absence 
Days]]&gt;6,"Poor")</f>
        <v>Good</v>
      </c>
    </row>
    <row r="320" spans="1:30" x14ac:dyDescent="0.35">
      <c r="A320">
        <v>319</v>
      </c>
      <c r="B320" s="2" t="s">
        <v>60</v>
      </c>
      <c r="C320" t="s">
        <v>667</v>
      </c>
      <c r="D320" t="str">
        <f>_xlfn.TEXTJOIN(" ",TRUE,Table1[[#This Row],[First 
Name]:[Last 
Name]])</f>
        <v>Steven Fox</v>
      </c>
      <c r="E320" t="s">
        <v>1430</v>
      </c>
      <c r="F320" t="s">
        <v>3244</v>
      </c>
      <c r="G320" t="str">
        <f ca="1">PROPER(Table1[[#This Row],[Part Time 
Job]])</f>
        <v>False</v>
      </c>
      <c r="H320" s="3">
        <v>7</v>
      </c>
      <c r="I320" t="str">
        <f ca="1">PROPER(Table1[[#This Row],[Extracurricular 
Activities]])</f>
        <v>False</v>
      </c>
      <c r="J320">
        <v>1</v>
      </c>
      <c r="K320" t="s">
        <v>3119</v>
      </c>
      <c r="L320">
        <v>87</v>
      </c>
      <c r="M320" s="12" t="str" cm="1">
        <f t="array" ref="M32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320">
        <v>88</v>
      </c>
      <c r="O320" s="13" t="str" cm="1">
        <f t="array" ref="O32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320">
        <v>51</v>
      </c>
      <c r="Q320" s="13" t="str" cm="1">
        <f t="array" ref="Q32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C</v>
      </c>
      <c r="R320">
        <v>96</v>
      </c>
      <c r="S320" t="str" cm="1">
        <f t="array" ref="S32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320">
        <v>77</v>
      </c>
      <c r="U320" t="str" cm="1">
        <f t="array" ref="U32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320">
        <v>71</v>
      </c>
      <c r="W320" t="str" cm="1">
        <f t="array" ref="W32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320">
        <v>61</v>
      </c>
      <c r="Y320" t="str" cm="1">
        <f t="array" ref="Y32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320">
        <f>SUM(Table1[[#This Row],[Math 
Score]],Table1[[#This Row],[History 
Score]],Table1[[#This Row],[Physics 
Score]],Table1[[#This Row],[Chemistry 
Score]],Table1[[#This Row],[Biology 
Score]],Table1[[#This Row],[English 
Score]],Table1[[#This Row],[Geography 
Score]])</f>
        <v>531</v>
      </c>
      <c r="AA320" s="3">
        <f>AVERAGE(Table1[[#This Row],[Math 
Score]],Table1[[#This Row],[History 
Score]],Table1[[#This Row],[Physics 
Score]],Table1[[#This Row],[Chemistry 
Score]],Table1[[#This Row],[Biology 
Score]],Table1[[#This Row],[English 
Score]],Table1[[#This Row],[Geography 
Score]])</f>
        <v>75.857142857142861</v>
      </c>
      <c r="AB32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320">
        <f t="shared" si="4"/>
        <v>1637</v>
      </c>
      <c r="AD320" t="str">
        <f>_xlfn.IFS(Table1[[#This Row],[Absence 
Days]]&lt;3,"Excellent",Table1[[#This Row],[Absence 
Days]]&lt;=6,"Good",Table1[[#This Row],[Absence 
Days]]&gt;6,"Poor")</f>
        <v>Poor</v>
      </c>
    </row>
    <row r="321" spans="1:30" x14ac:dyDescent="0.35">
      <c r="A321">
        <v>320</v>
      </c>
      <c r="B321" s="2" t="s">
        <v>188</v>
      </c>
      <c r="C321" t="s">
        <v>668</v>
      </c>
      <c r="D321" t="str">
        <f>_xlfn.TEXTJOIN(" ",TRUE,Table1[[#This Row],[First 
Name]:[Last 
Name]])</f>
        <v>Taylor Klein</v>
      </c>
      <c r="E321" t="s">
        <v>1431</v>
      </c>
      <c r="F321" t="s">
        <v>3245</v>
      </c>
      <c r="G321" t="str">
        <f ca="1">PROPER(Table1[[#This Row],[Part Time 
Job]])</f>
        <v>False</v>
      </c>
      <c r="H321" s="3">
        <v>4</v>
      </c>
      <c r="I321" t="str">
        <f ca="1">PROPER(Table1[[#This Row],[Extracurricular 
Activities]])</f>
        <v>False</v>
      </c>
      <c r="J321">
        <v>34</v>
      </c>
      <c r="K321" t="s">
        <v>3117</v>
      </c>
      <c r="L321">
        <v>87</v>
      </c>
      <c r="M321" s="12" t="str" cm="1">
        <f t="array" ref="M32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321">
        <v>84</v>
      </c>
      <c r="O321" s="13" t="str" cm="1">
        <f t="array" ref="O32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321">
        <v>62</v>
      </c>
      <c r="Q321" s="13" t="str" cm="1">
        <f t="array" ref="Q32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321">
        <v>76</v>
      </c>
      <c r="S321" t="str" cm="1">
        <f t="array" ref="S32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321">
        <v>89</v>
      </c>
      <c r="U321" t="str" cm="1">
        <f t="array" ref="U32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321">
        <v>83</v>
      </c>
      <c r="W321" t="str" cm="1">
        <f t="array" ref="W32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321">
        <v>93</v>
      </c>
      <c r="Y321" t="str" cm="1">
        <f t="array" ref="Y32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321">
        <f>SUM(Table1[[#This Row],[Math 
Score]],Table1[[#This Row],[History 
Score]],Table1[[#This Row],[Physics 
Score]],Table1[[#This Row],[Chemistry 
Score]],Table1[[#This Row],[Biology 
Score]],Table1[[#This Row],[English 
Score]],Table1[[#This Row],[Geography 
Score]])</f>
        <v>574</v>
      </c>
      <c r="AA321" s="3">
        <f>AVERAGE(Table1[[#This Row],[Math 
Score]],Table1[[#This Row],[History 
Score]],Table1[[#This Row],[Physics 
Score]],Table1[[#This Row],[Chemistry 
Score]],Table1[[#This Row],[Biology 
Score]],Table1[[#This Row],[English 
Score]],Table1[[#This Row],[Geography 
Score]])</f>
        <v>82</v>
      </c>
      <c r="AB32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321">
        <f t="shared" si="4"/>
        <v>832</v>
      </c>
      <c r="AD321" t="str">
        <f>_xlfn.IFS(Table1[[#This Row],[Absence 
Days]]&lt;3,"Excellent",Table1[[#This Row],[Absence 
Days]]&lt;=6,"Good",Table1[[#This Row],[Absence 
Days]]&gt;6,"Poor")</f>
        <v>Good</v>
      </c>
    </row>
    <row r="322" spans="1:30" x14ac:dyDescent="0.35">
      <c r="A322">
        <v>321</v>
      </c>
      <c r="B322" s="2" t="s">
        <v>40</v>
      </c>
      <c r="C322" t="s">
        <v>669</v>
      </c>
      <c r="D322" t="str">
        <f>_xlfn.TEXTJOIN(" ",TRUE,Table1[[#This Row],[First 
Name]:[Last 
Name]])</f>
        <v>David Barron</v>
      </c>
      <c r="E322" t="s">
        <v>1432</v>
      </c>
      <c r="F322" t="s">
        <v>3244</v>
      </c>
      <c r="G322" t="str">
        <f ca="1">PROPER(Table1[[#This Row],[Part Time 
Job]])</f>
        <v>True</v>
      </c>
      <c r="H322" s="3">
        <v>6</v>
      </c>
      <c r="I322" t="str">
        <f ca="1">PROPER(Table1[[#This Row],[Extracurricular 
Activities]])</f>
        <v>False</v>
      </c>
      <c r="J322">
        <v>17</v>
      </c>
      <c r="K322" t="s">
        <v>3117</v>
      </c>
      <c r="L322">
        <v>90</v>
      </c>
      <c r="M322" s="12" t="str" cm="1">
        <f t="array" ref="M32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322">
        <v>75</v>
      </c>
      <c r="O322" s="13" t="str" cm="1">
        <f t="array" ref="O32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322">
        <v>71</v>
      </c>
      <c r="Q322" s="13" t="str" cm="1">
        <f t="array" ref="Q32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322">
        <v>64</v>
      </c>
      <c r="S322" t="str" cm="1">
        <f t="array" ref="S32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322">
        <v>97</v>
      </c>
      <c r="U322" t="str" cm="1">
        <f t="array" ref="U32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322">
        <v>89</v>
      </c>
      <c r="W322" t="str" cm="1">
        <f t="array" ref="W32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322">
        <v>88</v>
      </c>
      <c r="Y322" t="str" cm="1">
        <f t="array" ref="Y32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322">
        <f>SUM(Table1[[#This Row],[Math 
Score]],Table1[[#This Row],[History 
Score]],Table1[[#This Row],[Physics 
Score]],Table1[[#This Row],[Chemistry 
Score]],Table1[[#This Row],[Biology 
Score]],Table1[[#This Row],[English 
Score]],Table1[[#This Row],[Geography 
Score]])</f>
        <v>574</v>
      </c>
      <c r="AA322" s="3">
        <f>AVERAGE(Table1[[#This Row],[Math 
Score]],Table1[[#This Row],[History 
Score]],Table1[[#This Row],[Physics 
Score]],Table1[[#This Row],[Chemistry 
Score]],Table1[[#This Row],[Biology 
Score]],Table1[[#This Row],[English 
Score]],Table1[[#This Row],[Geography 
Score]])</f>
        <v>82</v>
      </c>
      <c r="AB32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322">
        <f t="shared" ref="AC322:AC385" si="5">RANK(AA322,$AA$2:$AA$2001,0)</f>
        <v>832</v>
      </c>
      <c r="AD322" t="str">
        <f>_xlfn.IFS(Table1[[#This Row],[Absence 
Days]]&lt;3,"Excellent",Table1[[#This Row],[Absence 
Days]]&lt;=6,"Good",Table1[[#This Row],[Absence 
Days]]&gt;6,"Poor")</f>
        <v>Good</v>
      </c>
    </row>
    <row r="323" spans="1:30" x14ac:dyDescent="0.35">
      <c r="A323">
        <v>322</v>
      </c>
      <c r="B323" s="2" t="s">
        <v>167</v>
      </c>
      <c r="C323" t="s">
        <v>466</v>
      </c>
      <c r="D323" t="str">
        <f>_xlfn.TEXTJOIN(" ",TRUE,Table1[[#This Row],[First 
Name]:[Last 
Name]])</f>
        <v>Kevin Thompson</v>
      </c>
      <c r="E323" t="s">
        <v>1433</v>
      </c>
      <c r="F323" t="s">
        <v>3244</v>
      </c>
      <c r="G323" t="str">
        <f ca="1">PROPER(Table1[[#This Row],[Part Time 
Job]])</f>
        <v>False</v>
      </c>
      <c r="H323" s="3">
        <v>6</v>
      </c>
      <c r="I323" t="str">
        <f ca="1">PROPER(Table1[[#This Row],[Extracurricular 
Activities]])</f>
        <v>False</v>
      </c>
      <c r="J323">
        <v>34</v>
      </c>
      <c r="K323" t="s">
        <v>3113</v>
      </c>
      <c r="L323">
        <v>94</v>
      </c>
      <c r="M323" s="12" t="str" cm="1">
        <f t="array" ref="M32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323">
        <v>83</v>
      </c>
      <c r="O323" s="13" t="str" cm="1">
        <f t="array" ref="O32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323">
        <v>99</v>
      </c>
      <c r="Q323" s="13" t="str" cm="1">
        <f t="array" ref="Q32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323">
        <v>100</v>
      </c>
      <c r="S323" t="str" cm="1">
        <f t="array" ref="S32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323">
        <v>94</v>
      </c>
      <c r="U323" t="str" cm="1">
        <f t="array" ref="U32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323">
        <v>91</v>
      </c>
      <c r="W323" t="str" cm="1">
        <f t="array" ref="W32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323">
        <v>69</v>
      </c>
      <c r="Y323" t="str" cm="1">
        <f t="array" ref="Y32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323">
        <f>SUM(Table1[[#This Row],[Math 
Score]],Table1[[#This Row],[History 
Score]],Table1[[#This Row],[Physics 
Score]],Table1[[#This Row],[Chemistry 
Score]],Table1[[#This Row],[Biology 
Score]],Table1[[#This Row],[English 
Score]],Table1[[#This Row],[Geography 
Score]])</f>
        <v>630</v>
      </c>
      <c r="AA323" s="3">
        <f>AVERAGE(Table1[[#This Row],[Math 
Score]],Table1[[#This Row],[History 
Score]],Table1[[#This Row],[Physics 
Score]],Table1[[#This Row],[Chemistry 
Score]],Table1[[#This Row],[Biology 
Score]],Table1[[#This Row],[English 
Score]],Table1[[#This Row],[Geography 
Score]])</f>
        <v>90</v>
      </c>
      <c r="AB32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323">
        <f t="shared" si="5"/>
        <v>154</v>
      </c>
      <c r="AD323" t="str">
        <f>_xlfn.IFS(Table1[[#This Row],[Absence 
Days]]&lt;3,"Excellent",Table1[[#This Row],[Absence 
Days]]&lt;=6,"Good",Table1[[#This Row],[Absence 
Days]]&gt;6,"Poor")</f>
        <v>Good</v>
      </c>
    </row>
    <row r="324" spans="1:30" x14ac:dyDescent="0.35">
      <c r="A324">
        <v>323</v>
      </c>
      <c r="B324" s="2" t="s">
        <v>66</v>
      </c>
      <c r="C324" t="s">
        <v>670</v>
      </c>
      <c r="D324" t="str">
        <f>_xlfn.TEXTJOIN(" ",TRUE,Table1[[#This Row],[First 
Name]:[Last 
Name]])</f>
        <v>Andrea Walters</v>
      </c>
      <c r="E324" t="s">
        <v>1434</v>
      </c>
      <c r="F324" t="s">
        <v>3245</v>
      </c>
      <c r="G324" t="str">
        <f ca="1">PROPER(Table1[[#This Row],[Part Time 
Job]])</f>
        <v>True</v>
      </c>
      <c r="H324" s="3">
        <v>5</v>
      </c>
      <c r="I324" t="str">
        <f ca="1">PROPER(Table1[[#This Row],[Extracurricular 
Activities]])</f>
        <v>False</v>
      </c>
      <c r="J324">
        <v>25</v>
      </c>
      <c r="K324" t="s">
        <v>3116</v>
      </c>
      <c r="L324">
        <v>86</v>
      </c>
      <c r="M324" s="12" t="str" cm="1">
        <f t="array" ref="M32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324">
        <v>76</v>
      </c>
      <c r="O324" s="13" t="str" cm="1">
        <f t="array" ref="O32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324">
        <v>81</v>
      </c>
      <c r="Q324" s="13" t="str" cm="1">
        <f t="array" ref="Q32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324">
        <v>83</v>
      </c>
      <c r="S324" t="str" cm="1">
        <f t="array" ref="S32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324">
        <v>81</v>
      </c>
      <c r="U324" t="str" cm="1">
        <f t="array" ref="U32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324">
        <v>70</v>
      </c>
      <c r="W324" t="str" cm="1">
        <f t="array" ref="W32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324">
        <v>65</v>
      </c>
      <c r="Y324" t="str" cm="1">
        <f t="array" ref="Y32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324">
        <f>SUM(Table1[[#This Row],[Math 
Score]],Table1[[#This Row],[History 
Score]],Table1[[#This Row],[Physics 
Score]],Table1[[#This Row],[Chemistry 
Score]],Table1[[#This Row],[Biology 
Score]],Table1[[#This Row],[English 
Score]],Table1[[#This Row],[Geography 
Score]])</f>
        <v>542</v>
      </c>
      <c r="AA324" s="3">
        <f>AVERAGE(Table1[[#This Row],[Math 
Score]],Table1[[#This Row],[History 
Score]],Table1[[#This Row],[Physics 
Score]],Table1[[#This Row],[Chemistry 
Score]],Table1[[#This Row],[Biology 
Score]],Table1[[#This Row],[English 
Score]],Table1[[#This Row],[Geography 
Score]])</f>
        <v>77.428571428571431</v>
      </c>
      <c r="AB32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324">
        <f t="shared" si="5"/>
        <v>1478</v>
      </c>
      <c r="AD324" t="str">
        <f>_xlfn.IFS(Table1[[#This Row],[Absence 
Days]]&lt;3,"Excellent",Table1[[#This Row],[Absence 
Days]]&lt;=6,"Good",Table1[[#This Row],[Absence 
Days]]&gt;6,"Poor")</f>
        <v>Good</v>
      </c>
    </row>
    <row r="325" spans="1:30" x14ac:dyDescent="0.35">
      <c r="A325">
        <v>324</v>
      </c>
      <c r="B325" s="2" t="s">
        <v>40</v>
      </c>
      <c r="C325" t="s">
        <v>538</v>
      </c>
      <c r="D325" t="str">
        <f>_xlfn.TEXTJOIN(" ",TRUE,Table1[[#This Row],[First 
Name]:[Last 
Name]])</f>
        <v>David Wright</v>
      </c>
      <c r="E325" t="s">
        <v>1435</v>
      </c>
      <c r="F325" t="s">
        <v>3244</v>
      </c>
      <c r="G325" t="str">
        <f ca="1">PROPER(Table1[[#This Row],[Part Time 
Job]])</f>
        <v>False</v>
      </c>
      <c r="H325" s="3">
        <v>3</v>
      </c>
      <c r="I325" t="str">
        <f ca="1">PROPER(Table1[[#This Row],[Extracurricular 
Activities]])</f>
        <v>False</v>
      </c>
      <c r="J325">
        <v>8</v>
      </c>
      <c r="K325" t="s">
        <v>3116</v>
      </c>
      <c r="L325">
        <v>96</v>
      </c>
      <c r="M325" s="12" t="str" cm="1">
        <f t="array" ref="M32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325">
        <v>81</v>
      </c>
      <c r="O325" s="13" t="str" cm="1">
        <f t="array" ref="O32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325">
        <v>95</v>
      </c>
      <c r="Q325" s="13" t="str" cm="1">
        <f t="array" ref="Q32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325">
        <v>78</v>
      </c>
      <c r="S325" t="str" cm="1">
        <f t="array" ref="S32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325">
        <v>79</v>
      </c>
      <c r="U325" t="str" cm="1">
        <f t="array" ref="U32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325">
        <v>65</v>
      </c>
      <c r="W325" t="str" cm="1">
        <f t="array" ref="W32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325">
        <v>86</v>
      </c>
      <c r="Y325" t="str" cm="1">
        <f t="array" ref="Y32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325">
        <f>SUM(Table1[[#This Row],[Math 
Score]],Table1[[#This Row],[History 
Score]],Table1[[#This Row],[Physics 
Score]],Table1[[#This Row],[Chemistry 
Score]],Table1[[#This Row],[Biology 
Score]],Table1[[#This Row],[English 
Score]],Table1[[#This Row],[Geography 
Score]])</f>
        <v>580</v>
      </c>
      <c r="AA325" s="3">
        <f>AVERAGE(Table1[[#This Row],[Math 
Score]],Table1[[#This Row],[History 
Score]],Table1[[#This Row],[Physics 
Score]],Table1[[#This Row],[Chemistry 
Score]],Table1[[#This Row],[Biology 
Score]],Table1[[#This Row],[English 
Score]],Table1[[#This Row],[Geography 
Score]])</f>
        <v>82.857142857142861</v>
      </c>
      <c r="AB32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325">
        <f t="shared" si="5"/>
        <v>709</v>
      </c>
      <c r="AD325" t="str">
        <f>_xlfn.IFS(Table1[[#This Row],[Absence 
Days]]&lt;3,"Excellent",Table1[[#This Row],[Absence 
Days]]&lt;=6,"Good",Table1[[#This Row],[Absence 
Days]]&gt;6,"Poor")</f>
        <v>Good</v>
      </c>
    </row>
    <row r="326" spans="1:30" x14ac:dyDescent="0.35">
      <c r="A326">
        <v>325</v>
      </c>
      <c r="B326" s="2" t="s">
        <v>4</v>
      </c>
      <c r="C326" t="s">
        <v>656</v>
      </c>
      <c r="D326" t="str">
        <f>_xlfn.TEXTJOIN(" ",TRUE,Table1[[#This Row],[First 
Name]:[Last 
Name]])</f>
        <v>Anthony Oconnor</v>
      </c>
      <c r="E326" t="s">
        <v>1436</v>
      </c>
      <c r="F326" t="s">
        <v>3244</v>
      </c>
      <c r="G326" t="str">
        <f ca="1">PROPER(Table1[[#This Row],[Part Time 
Job]])</f>
        <v>False</v>
      </c>
      <c r="H326" s="3">
        <v>3</v>
      </c>
      <c r="I326" t="str">
        <f ca="1">PROPER(Table1[[#This Row],[Extracurricular 
Activities]])</f>
        <v>False</v>
      </c>
      <c r="J326">
        <v>4</v>
      </c>
      <c r="K326" t="s">
        <v>3116</v>
      </c>
      <c r="L326">
        <v>75</v>
      </c>
      <c r="M326" s="12" t="str" cm="1">
        <f t="array" ref="M32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326">
        <v>69</v>
      </c>
      <c r="O326" s="13" t="str" cm="1">
        <f t="array" ref="O32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326">
        <v>85</v>
      </c>
      <c r="Q326" s="13" t="str" cm="1">
        <f t="array" ref="Q32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326">
        <v>73</v>
      </c>
      <c r="S326" t="str" cm="1">
        <f t="array" ref="S32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326">
        <v>79</v>
      </c>
      <c r="U326" t="str" cm="1">
        <f t="array" ref="U32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326">
        <v>93</v>
      </c>
      <c r="W326" t="str" cm="1">
        <f t="array" ref="W32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326">
        <v>74</v>
      </c>
      <c r="Y326" t="str" cm="1">
        <f t="array" ref="Y32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326">
        <f>SUM(Table1[[#This Row],[Math 
Score]],Table1[[#This Row],[History 
Score]],Table1[[#This Row],[Physics 
Score]],Table1[[#This Row],[Chemistry 
Score]],Table1[[#This Row],[Biology 
Score]],Table1[[#This Row],[English 
Score]],Table1[[#This Row],[Geography 
Score]])</f>
        <v>548</v>
      </c>
      <c r="AA326" s="3">
        <f>AVERAGE(Table1[[#This Row],[Math 
Score]],Table1[[#This Row],[History 
Score]],Table1[[#This Row],[Physics 
Score]],Table1[[#This Row],[Chemistry 
Score]],Table1[[#This Row],[Biology 
Score]],Table1[[#This Row],[English 
Score]],Table1[[#This Row],[Geography 
Score]])</f>
        <v>78.285714285714292</v>
      </c>
      <c r="AB32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326">
        <f t="shared" si="5"/>
        <v>1374</v>
      </c>
      <c r="AD326" t="str">
        <f>_xlfn.IFS(Table1[[#This Row],[Absence 
Days]]&lt;3,"Excellent",Table1[[#This Row],[Absence 
Days]]&lt;=6,"Good",Table1[[#This Row],[Absence 
Days]]&gt;6,"Poor")</f>
        <v>Good</v>
      </c>
    </row>
    <row r="327" spans="1:30" x14ac:dyDescent="0.35">
      <c r="A327">
        <v>326</v>
      </c>
      <c r="B327" s="2" t="s">
        <v>13</v>
      </c>
      <c r="C327" t="s">
        <v>479</v>
      </c>
      <c r="D327" t="str">
        <f>_xlfn.TEXTJOIN(" ",TRUE,Table1[[#This Row],[First 
Name]:[Last 
Name]])</f>
        <v>Laura Miller</v>
      </c>
      <c r="E327" t="s">
        <v>1437</v>
      </c>
      <c r="F327" t="s">
        <v>3245</v>
      </c>
      <c r="G327" t="str">
        <f ca="1">PROPER(Table1[[#This Row],[Part Time 
Job]])</f>
        <v>False</v>
      </c>
      <c r="H327" s="3">
        <v>1</v>
      </c>
      <c r="I327" t="str">
        <f ca="1">PROPER(Table1[[#This Row],[Extracurricular 
Activities]])</f>
        <v>True</v>
      </c>
      <c r="J327">
        <v>26</v>
      </c>
      <c r="K327" t="s">
        <v>3112</v>
      </c>
      <c r="L327">
        <v>74</v>
      </c>
      <c r="M327" s="12" t="str" cm="1">
        <f t="array" ref="M327">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327">
        <v>92</v>
      </c>
      <c r="O327" s="13" t="str" cm="1">
        <f t="array" ref="O32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327">
        <v>81</v>
      </c>
      <c r="Q327" s="13" t="str" cm="1">
        <f t="array" ref="Q32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327">
        <v>79</v>
      </c>
      <c r="S327" t="str" cm="1">
        <f t="array" ref="S32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327">
        <v>74</v>
      </c>
      <c r="U327" t="str" cm="1">
        <f t="array" ref="U32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327">
        <v>85</v>
      </c>
      <c r="W327" t="str" cm="1">
        <f t="array" ref="W32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327">
        <v>86</v>
      </c>
      <c r="Y327" t="str" cm="1">
        <f t="array" ref="Y32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327">
        <f>SUM(Table1[[#This Row],[Math 
Score]],Table1[[#This Row],[History 
Score]],Table1[[#This Row],[Physics 
Score]],Table1[[#This Row],[Chemistry 
Score]],Table1[[#This Row],[Biology 
Score]],Table1[[#This Row],[English 
Score]],Table1[[#This Row],[Geography 
Score]])</f>
        <v>571</v>
      </c>
      <c r="AA327" s="3">
        <f>AVERAGE(Table1[[#This Row],[Math 
Score]],Table1[[#This Row],[History 
Score]],Table1[[#This Row],[Physics 
Score]],Table1[[#This Row],[Chemistry 
Score]],Table1[[#This Row],[Biology 
Score]],Table1[[#This Row],[English 
Score]],Table1[[#This Row],[Geography 
Score]])</f>
        <v>81.571428571428569</v>
      </c>
      <c r="AB32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327">
        <f t="shared" si="5"/>
        <v>915</v>
      </c>
      <c r="AD327" t="str">
        <f>_xlfn.IFS(Table1[[#This Row],[Absence 
Days]]&lt;3,"Excellent",Table1[[#This Row],[Absence 
Days]]&lt;=6,"Good",Table1[[#This Row],[Absence 
Days]]&gt;6,"Poor")</f>
        <v>Excellent</v>
      </c>
    </row>
    <row r="328" spans="1:30" x14ac:dyDescent="0.35">
      <c r="A328">
        <v>327</v>
      </c>
      <c r="B328" s="2" t="s">
        <v>60</v>
      </c>
      <c r="C328" t="s">
        <v>671</v>
      </c>
      <c r="D328" t="str">
        <f>_xlfn.TEXTJOIN(" ",TRUE,Table1[[#This Row],[First 
Name]:[Last 
Name]])</f>
        <v>Steven Barrett</v>
      </c>
      <c r="E328" t="s">
        <v>1438</v>
      </c>
      <c r="F328" t="s">
        <v>3244</v>
      </c>
      <c r="G328" t="str">
        <f ca="1">PROPER(Table1[[#This Row],[Part Time 
Job]])</f>
        <v>False</v>
      </c>
      <c r="H328" s="3">
        <v>1</v>
      </c>
      <c r="I328" t="str">
        <f ca="1">PROPER(Table1[[#This Row],[Extracurricular 
Activities]])</f>
        <v>False</v>
      </c>
      <c r="J328">
        <v>13</v>
      </c>
      <c r="K328" t="s">
        <v>3122</v>
      </c>
      <c r="L328">
        <v>96</v>
      </c>
      <c r="M328" s="12" t="str" cm="1">
        <f t="array" ref="M32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328">
        <v>91</v>
      </c>
      <c r="O328" s="13" t="str" cm="1">
        <f t="array" ref="O32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328">
        <v>96</v>
      </c>
      <c r="Q328" s="13" t="str" cm="1">
        <f t="array" ref="Q32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328">
        <v>69</v>
      </c>
      <c r="S328" t="str" cm="1">
        <f t="array" ref="S32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328">
        <v>70</v>
      </c>
      <c r="U328" t="str" cm="1">
        <f t="array" ref="U32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328">
        <v>99</v>
      </c>
      <c r="W328" t="str" cm="1">
        <f t="array" ref="W32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328">
        <v>70</v>
      </c>
      <c r="Y328" t="str" cm="1">
        <f t="array" ref="Y32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328">
        <f>SUM(Table1[[#This Row],[Math 
Score]],Table1[[#This Row],[History 
Score]],Table1[[#This Row],[Physics 
Score]],Table1[[#This Row],[Chemistry 
Score]],Table1[[#This Row],[Biology 
Score]],Table1[[#This Row],[English 
Score]],Table1[[#This Row],[Geography 
Score]])</f>
        <v>591</v>
      </c>
      <c r="AA328" s="3">
        <f>AVERAGE(Table1[[#This Row],[Math 
Score]],Table1[[#This Row],[History 
Score]],Table1[[#This Row],[Physics 
Score]],Table1[[#This Row],[Chemistry 
Score]],Table1[[#This Row],[Biology 
Score]],Table1[[#This Row],[English 
Score]],Table1[[#This Row],[Geography 
Score]])</f>
        <v>84.428571428571431</v>
      </c>
      <c r="AB32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328">
        <f t="shared" si="5"/>
        <v>515</v>
      </c>
      <c r="AD328" t="str">
        <f>_xlfn.IFS(Table1[[#This Row],[Absence 
Days]]&lt;3,"Excellent",Table1[[#This Row],[Absence 
Days]]&lt;=6,"Good",Table1[[#This Row],[Absence 
Days]]&gt;6,"Poor")</f>
        <v>Excellent</v>
      </c>
    </row>
    <row r="329" spans="1:30" x14ac:dyDescent="0.35">
      <c r="A329">
        <v>328</v>
      </c>
      <c r="B329" s="2" t="s">
        <v>183</v>
      </c>
      <c r="C329" t="s">
        <v>672</v>
      </c>
      <c r="D329" t="str">
        <f>_xlfn.TEXTJOIN(" ",TRUE,Table1[[#This Row],[First 
Name]:[Last 
Name]])</f>
        <v>Miranda Ruiz</v>
      </c>
      <c r="E329" t="s">
        <v>1439</v>
      </c>
      <c r="F329" t="s">
        <v>3245</v>
      </c>
      <c r="G329" t="str">
        <f ca="1">PROPER(Table1[[#This Row],[Part Time 
Job]])</f>
        <v>False</v>
      </c>
      <c r="H329" s="3">
        <v>1</v>
      </c>
      <c r="I329" t="str">
        <f ca="1">PROPER(Table1[[#This Row],[Extracurricular 
Activities]])</f>
        <v>True</v>
      </c>
      <c r="J329">
        <v>4</v>
      </c>
      <c r="K329" t="s">
        <v>3114</v>
      </c>
      <c r="L329">
        <v>79</v>
      </c>
      <c r="M329" s="12" t="str" cm="1">
        <f t="array" ref="M32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329">
        <v>77</v>
      </c>
      <c r="O329" s="13" t="str" cm="1">
        <f t="array" ref="O32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329">
        <v>62</v>
      </c>
      <c r="Q329" s="13" t="str" cm="1">
        <f t="array" ref="Q32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329">
        <v>98</v>
      </c>
      <c r="S329" t="str" cm="1">
        <f t="array" ref="S32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329">
        <v>76</v>
      </c>
      <c r="U329" t="str" cm="1">
        <f t="array" ref="U32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329">
        <v>99</v>
      </c>
      <c r="W329" t="str" cm="1">
        <f t="array" ref="W32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329">
        <v>82</v>
      </c>
      <c r="Y329" t="str" cm="1">
        <f t="array" ref="Y32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329">
        <f>SUM(Table1[[#This Row],[Math 
Score]],Table1[[#This Row],[History 
Score]],Table1[[#This Row],[Physics 
Score]],Table1[[#This Row],[Chemistry 
Score]],Table1[[#This Row],[Biology 
Score]],Table1[[#This Row],[English 
Score]],Table1[[#This Row],[Geography 
Score]])</f>
        <v>573</v>
      </c>
      <c r="AA329" s="3">
        <f>AVERAGE(Table1[[#This Row],[Math 
Score]],Table1[[#This Row],[History 
Score]],Table1[[#This Row],[Physics 
Score]],Table1[[#This Row],[Chemistry 
Score]],Table1[[#This Row],[Biology 
Score]],Table1[[#This Row],[English 
Score]],Table1[[#This Row],[Geography 
Score]])</f>
        <v>81.857142857142861</v>
      </c>
      <c r="AB32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329">
        <f t="shared" si="5"/>
        <v>864</v>
      </c>
      <c r="AD329" t="str">
        <f>_xlfn.IFS(Table1[[#This Row],[Absence 
Days]]&lt;3,"Excellent",Table1[[#This Row],[Absence 
Days]]&lt;=6,"Good",Table1[[#This Row],[Absence 
Days]]&gt;6,"Poor")</f>
        <v>Excellent</v>
      </c>
    </row>
    <row r="330" spans="1:30" x14ac:dyDescent="0.35">
      <c r="A330">
        <v>329</v>
      </c>
      <c r="B330" s="2" t="s">
        <v>110</v>
      </c>
      <c r="C330" t="s">
        <v>673</v>
      </c>
      <c r="D330" t="str">
        <f>_xlfn.TEXTJOIN(" ",TRUE,Table1[[#This Row],[First 
Name]:[Last 
Name]])</f>
        <v>Matthew Anderson</v>
      </c>
      <c r="E330" t="s">
        <v>1440</v>
      </c>
      <c r="F330" t="s">
        <v>3244</v>
      </c>
      <c r="G330" t="str">
        <f ca="1">PROPER(Table1[[#This Row],[Part Time 
Job]])</f>
        <v>False</v>
      </c>
      <c r="H330" s="3">
        <v>2</v>
      </c>
      <c r="I330" t="str">
        <f ca="1">PROPER(Table1[[#This Row],[Extracurricular 
Activities]])</f>
        <v>False</v>
      </c>
      <c r="J330">
        <v>27</v>
      </c>
      <c r="K330" t="s">
        <v>3112</v>
      </c>
      <c r="L330">
        <v>70</v>
      </c>
      <c r="M330" s="12" t="str" cm="1">
        <f t="array" ref="M330">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330">
        <v>88</v>
      </c>
      <c r="O330" s="13" t="str" cm="1">
        <f t="array" ref="O33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330">
        <v>60</v>
      </c>
      <c r="Q330" s="13" t="str" cm="1">
        <f t="array" ref="Q33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330">
        <v>68</v>
      </c>
      <c r="S330" t="str" cm="1">
        <f t="array" ref="S33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330">
        <v>66</v>
      </c>
      <c r="U330" t="str" cm="1">
        <f t="array" ref="U33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330">
        <v>82</v>
      </c>
      <c r="W330" t="str" cm="1">
        <f t="array" ref="W33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330">
        <v>60</v>
      </c>
      <c r="Y330" t="str" cm="1">
        <f t="array" ref="Y33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330">
        <f>SUM(Table1[[#This Row],[Math 
Score]],Table1[[#This Row],[History 
Score]],Table1[[#This Row],[Physics 
Score]],Table1[[#This Row],[Chemistry 
Score]],Table1[[#This Row],[Biology 
Score]],Table1[[#This Row],[English 
Score]],Table1[[#This Row],[Geography 
Score]])</f>
        <v>494</v>
      </c>
      <c r="AA330" s="3">
        <f>AVERAGE(Table1[[#This Row],[Math 
Score]],Table1[[#This Row],[History 
Score]],Table1[[#This Row],[Physics 
Score]],Table1[[#This Row],[Chemistry 
Score]],Table1[[#This Row],[Biology 
Score]],Table1[[#This Row],[English 
Score]],Table1[[#This Row],[Geography 
Score]])</f>
        <v>70.571428571428569</v>
      </c>
      <c r="AB33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330">
        <f t="shared" si="5"/>
        <v>1897</v>
      </c>
      <c r="AD330" t="str">
        <f>_xlfn.IFS(Table1[[#This Row],[Absence 
Days]]&lt;3,"Excellent",Table1[[#This Row],[Absence 
Days]]&lt;=6,"Good",Table1[[#This Row],[Absence 
Days]]&gt;6,"Poor")</f>
        <v>Excellent</v>
      </c>
    </row>
    <row r="331" spans="1:30" x14ac:dyDescent="0.35">
      <c r="A331">
        <v>330</v>
      </c>
      <c r="B331" s="2" t="s">
        <v>41</v>
      </c>
      <c r="C331" t="s">
        <v>645</v>
      </c>
      <c r="D331" t="str">
        <f>_xlfn.TEXTJOIN(" ",TRUE,Table1[[#This Row],[First 
Name]:[Last 
Name]])</f>
        <v>Kenneth Flores</v>
      </c>
      <c r="E331" t="s">
        <v>1441</v>
      </c>
      <c r="F331" t="s">
        <v>3244</v>
      </c>
      <c r="G331" t="str">
        <f ca="1">PROPER(Table1[[#This Row],[Part Time 
Job]])</f>
        <v>False</v>
      </c>
      <c r="H331" s="3">
        <v>5</v>
      </c>
      <c r="I331" t="str">
        <f ca="1">PROPER(Table1[[#This Row],[Extracurricular 
Activities]])</f>
        <v>False</v>
      </c>
      <c r="J331">
        <v>32</v>
      </c>
      <c r="K331" t="s">
        <v>3116</v>
      </c>
      <c r="L331">
        <v>79</v>
      </c>
      <c r="M331" s="12" t="str" cm="1">
        <f t="array" ref="M33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331">
        <v>91</v>
      </c>
      <c r="O331" s="13" t="str" cm="1">
        <f t="array" ref="O33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331">
        <v>62</v>
      </c>
      <c r="Q331" s="13" t="str" cm="1">
        <f t="array" ref="Q33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331">
        <v>87</v>
      </c>
      <c r="S331" t="str" cm="1">
        <f t="array" ref="S33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331">
        <v>80</v>
      </c>
      <c r="U331" t="str" cm="1">
        <f t="array" ref="U33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331">
        <v>65</v>
      </c>
      <c r="W331" t="str" cm="1">
        <f t="array" ref="W33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331">
        <v>94</v>
      </c>
      <c r="Y331" t="str" cm="1">
        <f t="array" ref="Y33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331">
        <f>SUM(Table1[[#This Row],[Math 
Score]],Table1[[#This Row],[History 
Score]],Table1[[#This Row],[Physics 
Score]],Table1[[#This Row],[Chemistry 
Score]],Table1[[#This Row],[Biology 
Score]],Table1[[#This Row],[English 
Score]],Table1[[#This Row],[Geography 
Score]])</f>
        <v>558</v>
      </c>
      <c r="AA331" s="3">
        <f>AVERAGE(Table1[[#This Row],[Math 
Score]],Table1[[#This Row],[History 
Score]],Table1[[#This Row],[Physics 
Score]],Table1[[#This Row],[Chemistry 
Score]],Table1[[#This Row],[Biology 
Score]],Table1[[#This Row],[English 
Score]],Table1[[#This Row],[Geography 
Score]])</f>
        <v>79.714285714285708</v>
      </c>
      <c r="AB33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331">
        <f t="shared" si="5"/>
        <v>1178</v>
      </c>
      <c r="AD331" t="str">
        <f>_xlfn.IFS(Table1[[#This Row],[Absence 
Days]]&lt;3,"Excellent",Table1[[#This Row],[Absence 
Days]]&lt;=6,"Good",Table1[[#This Row],[Absence 
Days]]&gt;6,"Poor")</f>
        <v>Good</v>
      </c>
    </row>
    <row r="332" spans="1:30" x14ac:dyDescent="0.35">
      <c r="A332">
        <v>331</v>
      </c>
      <c r="B332" s="2" t="s">
        <v>189</v>
      </c>
      <c r="C332" t="s">
        <v>592</v>
      </c>
      <c r="D332" t="str">
        <f>_xlfn.TEXTJOIN(" ",TRUE,Table1[[#This Row],[First 
Name]:[Last 
Name]])</f>
        <v>Sydney Johnson</v>
      </c>
      <c r="E332" t="s">
        <v>1442</v>
      </c>
      <c r="F332" t="s">
        <v>3245</v>
      </c>
      <c r="G332" t="str">
        <f ca="1">PROPER(Table1[[#This Row],[Part Time 
Job]])</f>
        <v>False</v>
      </c>
      <c r="H332" s="3">
        <v>1</v>
      </c>
      <c r="I332" t="str">
        <f ca="1">PROPER(Table1[[#This Row],[Extracurricular 
Activities]])</f>
        <v>False</v>
      </c>
      <c r="J332">
        <v>25</v>
      </c>
      <c r="K332" t="s">
        <v>3117</v>
      </c>
      <c r="L332">
        <v>91</v>
      </c>
      <c r="M332" s="12" t="str" cm="1">
        <f t="array" ref="M33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332">
        <v>65</v>
      </c>
      <c r="O332" s="13" t="str" cm="1">
        <f t="array" ref="O33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332">
        <v>86</v>
      </c>
      <c r="Q332" s="13" t="str" cm="1">
        <f t="array" ref="Q33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332">
        <v>66</v>
      </c>
      <c r="S332" t="str" cm="1">
        <f t="array" ref="S33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332">
        <v>88</v>
      </c>
      <c r="U332" t="str" cm="1">
        <f t="array" ref="U33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332">
        <v>85</v>
      </c>
      <c r="W332" t="str" cm="1">
        <f t="array" ref="W33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332">
        <v>60</v>
      </c>
      <c r="Y332" t="str" cm="1">
        <f t="array" ref="Y33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332">
        <f>SUM(Table1[[#This Row],[Math 
Score]],Table1[[#This Row],[History 
Score]],Table1[[#This Row],[Physics 
Score]],Table1[[#This Row],[Chemistry 
Score]],Table1[[#This Row],[Biology 
Score]],Table1[[#This Row],[English 
Score]],Table1[[#This Row],[Geography 
Score]])</f>
        <v>541</v>
      </c>
      <c r="AA332" s="3">
        <f>AVERAGE(Table1[[#This Row],[Math 
Score]],Table1[[#This Row],[History 
Score]],Table1[[#This Row],[Physics 
Score]],Table1[[#This Row],[Chemistry 
Score]],Table1[[#This Row],[Biology 
Score]],Table1[[#This Row],[English 
Score]],Table1[[#This Row],[Geography 
Score]])</f>
        <v>77.285714285714292</v>
      </c>
      <c r="AB33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332">
        <f t="shared" si="5"/>
        <v>1493</v>
      </c>
      <c r="AD332" t="str">
        <f>_xlfn.IFS(Table1[[#This Row],[Absence 
Days]]&lt;3,"Excellent",Table1[[#This Row],[Absence 
Days]]&lt;=6,"Good",Table1[[#This Row],[Absence 
Days]]&gt;6,"Poor")</f>
        <v>Excellent</v>
      </c>
    </row>
    <row r="333" spans="1:30" x14ac:dyDescent="0.35">
      <c r="A333">
        <v>332</v>
      </c>
      <c r="B333" s="2" t="s">
        <v>190</v>
      </c>
      <c r="C333" t="s">
        <v>504</v>
      </c>
      <c r="D333" t="str">
        <f>_xlfn.TEXTJOIN(" ",TRUE,Table1[[#This Row],[First 
Name]:[Last 
Name]])</f>
        <v>Carla Lewis</v>
      </c>
      <c r="E333" t="s">
        <v>1443</v>
      </c>
      <c r="F333" t="s">
        <v>3245</v>
      </c>
      <c r="G333" t="str">
        <f ca="1">PROPER(Table1[[#This Row],[Part Time 
Job]])</f>
        <v>False</v>
      </c>
      <c r="H333" s="3">
        <v>1</v>
      </c>
      <c r="I333" t="str">
        <f ca="1">PROPER(Table1[[#This Row],[Extracurricular 
Activities]])</f>
        <v>False</v>
      </c>
      <c r="J333">
        <v>13</v>
      </c>
      <c r="K333" t="s">
        <v>3124</v>
      </c>
      <c r="L333">
        <v>90</v>
      </c>
      <c r="M333" s="12" t="str" cm="1">
        <f t="array" ref="M33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333">
        <v>72</v>
      </c>
      <c r="O333" s="13" t="str" cm="1">
        <f t="array" ref="O33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333">
        <v>78</v>
      </c>
      <c r="Q333" s="13" t="str" cm="1">
        <f t="array" ref="Q33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333">
        <v>61</v>
      </c>
      <c r="S333" t="str" cm="1">
        <f t="array" ref="S33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333">
        <v>78</v>
      </c>
      <c r="U333" t="str" cm="1">
        <f t="array" ref="U33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333">
        <v>88</v>
      </c>
      <c r="W333" t="str" cm="1">
        <f t="array" ref="W33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333">
        <v>74</v>
      </c>
      <c r="Y333" t="str" cm="1">
        <f t="array" ref="Y33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333">
        <f>SUM(Table1[[#This Row],[Math 
Score]],Table1[[#This Row],[History 
Score]],Table1[[#This Row],[Physics 
Score]],Table1[[#This Row],[Chemistry 
Score]],Table1[[#This Row],[Biology 
Score]],Table1[[#This Row],[English 
Score]],Table1[[#This Row],[Geography 
Score]])</f>
        <v>541</v>
      </c>
      <c r="AA333" s="3">
        <f>AVERAGE(Table1[[#This Row],[Math 
Score]],Table1[[#This Row],[History 
Score]],Table1[[#This Row],[Physics 
Score]],Table1[[#This Row],[Chemistry 
Score]],Table1[[#This Row],[Biology 
Score]],Table1[[#This Row],[English 
Score]],Table1[[#This Row],[Geography 
Score]])</f>
        <v>77.285714285714292</v>
      </c>
      <c r="AB33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333">
        <f t="shared" si="5"/>
        <v>1493</v>
      </c>
      <c r="AD333" t="str">
        <f>_xlfn.IFS(Table1[[#This Row],[Absence 
Days]]&lt;3,"Excellent",Table1[[#This Row],[Absence 
Days]]&lt;=6,"Good",Table1[[#This Row],[Absence 
Days]]&gt;6,"Poor")</f>
        <v>Excellent</v>
      </c>
    </row>
    <row r="334" spans="1:30" x14ac:dyDescent="0.35">
      <c r="A334">
        <v>333</v>
      </c>
      <c r="B334" s="2" t="s">
        <v>26</v>
      </c>
      <c r="C334" t="s">
        <v>21</v>
      </c>
      <c r="D334" t="str">
        <f>_xlfn.TEXTJOIN(" ",TRUE,Table1[[#This Row],[First 
Name]:[Last 
Name]])</f>
        <v>Jeffrey Shannon</v>
      </c>
      <c r="E334" t="s">
        <v>1444</v>
      </c>
      <c r="F334" t="s">
        <v>3244</v>
      </c>
      <c r="G334" t="str">
        <f ca="1">PROPER(Table1[[#This Row],[Part Time 
Job]])</f>
        <v>False</v>
      </c>
      <c r="H334" s="3">
        <v>1</v>
      </c>
      <c r="I334" t="str">
        <f ca="1">PROPER(Table1[[#This Row],[Extracurricular 
Activities]])</f>
        <v>False</v>
      </c>
      <c r="J334">
        <v>31</v>
      </c>
      <c r="K334" t="s">
        <v>3125</v>
      </c>
      <c r="L334">
        <v>87</v>
      </c>
      <c r="M334" s="12" t="str" cm="1">
        <f t="array" ref="M33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334">
        <v>100</v>
      </c>
      <c r="O334" s="13" t="str" cm="1">
        <f t="array" ref="O33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334">
        <v>86</v>
      </c>
      <c r="Q334" s="13" t="str" cm="1">
        <f t="array" ref="Q33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334">
        <v>60</v>
      </c>
      <c r="S334" t="str" cm="1">
        <f t="array" ref="S33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334">
        <v>80</v>
      </c>
      <c r="U334" t="str" cm="1">
        <f t="array" ref="U33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334">
        <v>78</v>
      </c>
      <c r="W334" t="str" cm="1">
        <f t="array" ref="W33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334">
        <v>96</v>
      </c>
      <c r="Y334" t="str" cm="1">
        <f t="array" ref="Y33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334">
        <f>SUM(Table1[[#This Row],[Math 
Score]],Table1[[#This Row],[History 
Score]],Table1[[#This Row],[Physics 
Score]],Table1[[#This Row],[Chemistry 
Score]],Table1[[#This Row],[Biology 
Score]],Table1[[#This Row],[English 
Score]],Table1[[#This Row],[Geography 
Score]])</f>
        <v>587</v>
      </c>
      <c r="AA334" s="3">
        <f>AVERAGE(Table1[[#This Row],[Math 
Score]],Table1[[#This Row],[History 
Score]],Table1[[#This Row],[Physics 
Score]],Table1[[#This Row],[Chemistry 
Score]],Table1[[#This Row],[Biology 
Score]],Table1[[#This Row],[English 
Score]],Table1[[#This Row],[Geography 
Score]])</f>
        <v>83.857142857142861</v>
      </c>
      <c r="AB33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334">
        <f t="shared" si="5"/>
        <v>583</v>
      </c>
      <c r="AD334" t="str">
        <f>_xlfn.IFS(Table1[[#This Row],[Absence 
Days]]&lt;3,"Excellent",Table1[[#This Row],[Absence 
Days]]&lt;=6,"Good",Table1[[#This Row],[Absence 
Days]]&gt;6,"Poor")</f>
        <v>Excellent</v>
      </c>
    </row>
    <row r="335" spans="1:30" x14ac:dyDescent="0.35">
      <c r="A335">
        <v>334</v>
      </c>
      <c r="B335" s="2" t="s">
        <v>18</v>
      </c>
      <c r="C335" t="s">
        <v>674</v>
      </c>
      <c r="D335" t="str">
        <f>_xlfn.TEXTJOIN(" ",TRUE,Table1[[#This Row],[First 
Name]:[Last 
Name]])</f>
        <v>Angela Park</v>
      </c>
      <c r="E335" t="s">
        <v>1445</v>
      </c>
      <c r="F335" t="s">
        <v>3245</v>
      </c>
      <c r="G335" t="str">
        <f ca="1">PROPER(Table1[[#This Row],[Part Time 
Job]])</f>
        <v>False</v>
      </c>
      <c r="H335" s="3">
        <v>3</v>
      </c>
      <c r="I335" t="str">
        <f ca="1">PROPER(Table1[[#This Row],[Extracurricular 
Activities]])</f>
        <v>False</v>
      </c>
      <c r="J335">
        <v>8</v>
      </c>
      <c r="K335" t="s">
        <v>3118</v>
      </c>
      <c r="L335">
        <v>69</v>
      </c>
      <c r="M335" s="12" t="str" cm="1">
        <f t="array" ref="M335">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335">
        <v>99</v>
      </c>
      <c r="O335" s="13" t="str" cm="1">
        <f t="array" ref="O33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335">
        <v>78</v>
      </c>
      <c r="Q335" s="13" t="str" cm="1">
        <f t="array" ref="Q33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335">
        <v>85</v>
      </c>
      <c r="S335" t="str" cm="1">
        <f t="array" ref="S33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335">
        <v>98</v>
      </c>
      <c r="U335" t="str" cm="1">
        <f t="array" ref="U33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335">
        <v>86</v>
      </c>
      <c r="W335" t="str" cm="1">
        <f t="array" ref="W33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335">
        <v>73</v>
      </c>
      <c r="Y335" t="str" cm="1">
        <f t="array" ref="Y33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335">
        <f>SUM(Table1[[#This Row],[Math 
Score]],Table1[[#This Row],[History 
Score]],Table1[[#This Row],[Physics 
Score]],Table1[[#This Row],[Chemistry 
Score]],Table1[[#This Row],[Biology 
Score]],Table1[[#This Row],[English 
Score]],Table1[[#This Row],[Geography 
Score]])</f>
        <v>588</v>
      </c>
      <c r="AA335" s="3">
        <f>AVERAGE(Table1[[#This Row],[Math 
Score]],Table1[[#This Row],[History 
Score]],Table1[[#This Row],[Physics 
Score]],Table1[[#This Row],[Chemistry 
Score]],Table1[[#This Row],[Biology 
Score]],Table1[[#This Row],[English 
Score]],Table1[[#This Row],[Geography 
Score]])</f>
        <v>84</v>
      </c>
      <c r="AB33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335">
        <f t="shared" si="5"/>
        <v>565</v>
      </c>
      <c r="AD335" t="str">
        <f>_xlfn.IFS(Table1[[#This Row],[Absence 
Days]]&lt;3,"Excellent",Table1[[#This Row],[Absence 
Days]]&lt;=6,"Good",Table1[[#This Row],[Absence 
Days]]&gt;6,"Poor")</f>
        <v>Good</v>
      </c>
    </row>
    <row r="336" spans="1:30" x14ac:dyDescent="0.35">
      <c r="A336">
        <v>335</v>
      </c>
      <c r="B336" s="2" t="s">
        <v>191</v>
      </c>
      <c r="C336" t="s">
        <v>458</v>
      </c>
      <c r="D336" t="str">
        <f>_xlfn.TEXTJOIN(" ",TRUE,Table1[[#This Row],[First 
Name]:[Last 
Name]])</f>
        <v>Brandon Smith</v>
      </c>
      <c r="E336" t="s">
        <v>1446</v>
      </c>
      <c r="F336" t="s">
        <v>3244</v>
      </c>
      <c r="G336" t="str">
        <f ca="1">PROPER(Table1[[#This Row],[Part Time 
Job]])</f>
        <v>True</v>
      </c>
      <c r="H336" s="3">
        <v>9</v>
      </c>
      <c r="I336" t="str">
        <f ca="1">PROPER(Table1[[#This Row],[Extracurricular 
Activities]])</f>
        <v>False</v>
      </c>
      <c r="J336">
        <v>0</v>
      </c>
      <c r="K336" t="s">
        <v>3119</v>
      </c>
      <c r="L336">
        <v>66</v>
      </c>
      <c r="M336" s="12" t="str" cm="1">
        <f t="array" ref="M336">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336">
        <v>99</v>
      </c>
      <c r="O336" s="13" t="str" cm="1">
        <f t="array" ref="O33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336">
        <v>50</v>
      </c>
      <c r="Q336" s="13" t="str" cm="1">
        <f t="array" ref="Q33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C</v>
      </c>
      <c r="R336">
        <v>62</v>
      </c>
      <c r="S336" t="str" cm="1">
        <f t="array" ref="S33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336">
        <v>97</v>
      </c>
      <c r="U336" t="str" cm="1">
        <f t="array" ref="U33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336">
        <v>60</v>
      </c>
      <c r="W336" t="str" cm="1">
        <f t="array" ref="W33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336">
        <v>84</v>
      </c>
      <c r="Y336" t="str" cm="1">
        <f t="array" ref="Y33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336">
        <f>SUM(Table1[[#This Row],[Math 
Score]],Table1[[#This Row],[History 
Score]],Table1[[#This Row],[Physics 
Score]],Table1[[#This Row],[Chemistry 
Score]],Table1[[#This Row],[Biology 
Score]],Table1[[#This Row],[English 
Score]],Table1[[#This Row],[Geography 
Score]])</f>
        <v>518</v>
      </c>
      <c r="AA336" s="3">
        <f>AVERAGE(Table1[[#This Row],[Math 
Score]],Table1[[#This Row],[History 
Score]],Table1[[#This Row],[Physics 
Score]],Table1[[#This Row],[Chemistry 
Score]],Table1[[#This Row],[Biology 
Score]],Table1[[#This Row],[English 
Score]],Table1[[#This Row],[Geography 
Score]])</f>
        <v>74</v>
      </c>
      <c r="AB33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336">
        <f t="shared" si="5"/>
        <v>1775</v>
      </c>
      <c r="AD336" t="str">
        <f>_xlfn.IFS(Table1[[#This Row],[Absence 
Days]]&lt;3,"Excellent",Table1[[#This Row],[Absence 
Days]]&lt;=6,"Good",Table1[[#This Row],[Absence 
Days]]&gt;6,"Poor")</f>
        <v>Poor</v>
      </c>
    </row>
    <row r="337" spans="1:30" x14ac:dyDescent="0.35">
      <c r="A337">
        <v>336</v>
      </c>
      <c r="B337" s="2" t="s">
        <v>41</v>
      </c>
      <c r="C337" t="s">
        <v>675</v>
      </c>
      <c r="D337" t="str">
        <f>_xlfn.TEXTJOIN(" ",TRUE,Table1[[#This Row],[First 
Name]:[Last 
Name]])</f>
        <v>Kenneth Moody</v>
      </c>
      <c r="E337" t="s">
        <v>1447</v>
      </c>
      <c r="F337" t="s">
        <v>3244</v>
      </c>
      <c r="G337" t="str">
        <f ca="1">PROPER(Table1[[#This Row],[Part Time 
Job]])</f>
        <v>False</v>
      </c>
      <c r="H337" s="3">
        <v>7</v>
      </c>
      <c r="I337" t="str">
        <f ca="1">PROPER(Table1[[#This Row],[Extracurricular 
Activities]])</f>
        <v>False</v>
      </c>
      <c r="J337">
        <v>6</v>
      </c>
      <c r="K337" t="s">
        <v>3114</v>
      </c>
      <c r="L337">
        <v>65</v>
      </c>
      <c r="M337" s="12" t="str" cm="1">
        <f t="array" ref="M337">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337">
        <v>95</v>
      </c>
      <c r="O337" s="13" t="str" cm="1">
        <f t="array" ref="O33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337">
        <v>78</v>
      </c>
      <c r="Q337" s="13" t="str" cm="1">
        <f t="array" ref="Q33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337">
        <v>65</v>
      </c>
      <c r="S337" t="str" cm="1">
        <f t="array" ref="S33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337">
        <v>74</v>
      </c>
      <c r="U337" t="str" cm="1">
        <f t="array" ref="U33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337">
        <v>69</v>
      </c>
      <c r="W337" t="str" cm="1">
        <f t="array" ref="W33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337">
        <v>63</v>
      </c>
      <c r="Y337" t="str" cm="1">
        <f t="array" ref="Y33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337">
        <f>SUM(Table1[[#This Row],[Math 
Score]],Table1[[#This Row],[History 
Score]],Table1[[#This Row],[Physics 
Score]],Table1[[#This Row],[Chemistry 
Score]],Table1[[#This Row],[Biology 
Score]],Table1[[#This Row],[English 
Score]],Table1[[#This Row],[Geography 
Score]])</f>
        <v>509</v>
      </c>
      <c r="AA337" s="3">
        <f>AVERAGE(Table1[[#This Row],[Math 
Score]],Table1[[#This Row],[History 
Score]],Table1[[#This Row],[Physics 
Score]],Table1[[#This Row],[Chemistry 
Score]],Table1[[#This Row],[Biology 
Score]],Table1[[#This Row],[English 
Score]],Table1[[#This Row],[Geography 
Score]])</f>
        <v>72.714285714285708</v>
      </c>
      <c r="AB33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337">
        <f t="shared" si="5"/>
        <v>1835</v>
      </c>
      <c r="AD337" t="str">
        <f>_xlfn.IFS(Table1[[#This Row],[Absence 
Days]]&lt;3,"Excellent",Table1[[#This Row],[Absence 
Days]]&lt;=6,"Good",Table1[[#This Row],[Absence 
Days]]&gt;6,"Poor")</f>
        <v>Poor</v>
      </c>
    </row>
    <row r="338" spans="1:30" x14ac:dyDescent="0.35">
      <c r="A338">
        <v>337</v>
      </c>
      <c r="B338" s="2" t="s">
        <v>192</v>
      </c>
      <c r="C338" t="s">
        <v>676</v>
      </c>
      <c r="D338" t="str">
        <f>_xlfn.TEXTJOIN(" ",TRUE,Table1[[#This Row],[First 
Name]:[Last 
Name]])</f>
        <v>Scott Hughes</v>
      </c>
      <c r="E338" t="s">
        <v>1448</v>
      </c>
      <c r="F338" t="s">
        <v>3244</v>
      </c>
      <c r="G338" t="str">
        <f ca="1">PROPER(Table1[[#This Row],[Part Time 
Job]])</f>
        <v>False</v>
      </c>
      <c r="H338" s="3">
        <v>2</v>
      </c>
      <c r="I338" t="str">
        <f ca="1">PROPER(Table1[[#This Row],[Extracurricular 
Activities]])</f>
        <v>False</v>
      </c>
      <c r="J338">
        <v>7</v>
      </c>
      <c r="K338" t="s">
        <v>3114</v>
      </c>
      <c r="L338">
        <v>83</v>
      </c>
      <c r="M338" s="12" t="str" cm="1">
        <f t="array" ref="M33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338">
        <v>81</v>
      </c>
      <c r="O338" s="13" t="str" cm="1">
        <f t="array" ref="O33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338">
        <v>88</v>
      </c>
      <c r="Q338" s="13" t="str" cm="1">
        <f t="array" ref="Q33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338">
        <v>82</v>
      </c>
      <c r="S338" t="str" cm="1">
        <f t="array" ref="S33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338">
        <v>97</v>
      </c>
      <c r="U338" t="str" cm="1">
        <f t="array" ref="U33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338">
        <v>83</v>
      </c>
      <c r="W338" t="str" cm="1">
        <f t="array" ref="W33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338">
        <v>74</v>
      </c>
      <c r="Y338" t="str" cm="1">
        <f t="array" ref="Y33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338">
        <f>SUM(Table1[[#This Row],[Math 
Score]],Table1[[#This Row],[History 
Score]],Table1[[#This Row],[Physics 
Score]],Table1[[#This Row],[Chemistry 
Score]],Table1[[#This Row],[Biology 
Score]],Table1[[#This Row],[English 
Score]],Table1[[#This Row],[Geography 
Score]])</f>
        <v>588</v>
      </c>
      <c r="AA338" s="3">
        <f>AVERAGE(Table1[[#This Row],[Math 
Score]],Table1[[#This Row],[History 
Score]],Table1[[#This Row],[Physics 
Score]],Table1[[#This Row],[Chemistry 
Score]],Table1[[#This Row],[Biology 
Score]],Table1[[#This Row],[English 
Score]],Table1[[#This Row],[Geography 
Score]])</f>
        <v>84</v>
      </c>
      <c r="AB33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338">
        <f t="shared" si="5"/>
        <v>565</v>
      </c>
      <c r="AD338" t="str">
        <f>_xlfn.IFS(Table1[[#This Row],[Absence 
Days]]&lt;3,"Excellent",Table1[[#This Row],[Absence 
Days]]&lt;=6,"Good",Table1[[#This Row],[Absence 
Days]]&gt;6,"Poor")</f>
        <v>Excellent</v>
      </c>
    </row>
    <row r="339" spans="1:30" x14ac:dyDescent="0.35">
      <c r="A339">
        <v>338</v>
      </c>
      <c r="B339" s="2" t="s">
        <v>193</v>
      </c>
      <c r="C339" t="s">
        <v>677</v>
      </c>
      <c r="D339" t="str">
        <f>_xlfn.TEXTJOIN(" ",TRUE,Table1[[#This Row],[First 
Name]:[Last 
Name]])</f>
        <v>Cody Jimenez</v>
      </c>
      <c r="E339" t="s">
        <v>1449</v>
      </c>
      <c r="F339" t="s">
        <v>3244</v>
      </c>
      <c r="G339" t="str">
        <f ca="1">PROPER(Table1[[#This Row],[Part Time 
Job]])</f>
        <v>False</v>
      </c>
      <c r="H339" s="3">
        <v>1</v>
      </c>
      <c r="I339" t="str">
        <f ca="1">PROPER(Table1[[#This Row],[Extracurricular 
Activities]])</f>
        <v>False</v>
      </c>
      <c r="J339">
        <v>32</v>
      </c>
      <c r="K339" t="s">
        <v>3112</v>
      </c>
      <c r="L339">
        <v>100</v>
      </c>
      <c r="M339" s="12" t="str" cm="1">
        <f t="array" ref="M33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339">
        <v>89</v>
      </c>
      <c r="O339" s="13" t="str" cm="1">
        <f t="array" ref="O33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339">
        <v>95</v>
      </c>
      <c r="Q339" s="13" t="str" cm="1">
        <f t="array" ref="Q33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339">
        <v>63</v>
      </c>
      <c r="S339" t="str" cm="1">
        <f t="array" ref="S33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339">
        <v>67</v>
      </c>
      <c r="U339" t="str" cm="1">
        <f t="array" ref="U33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339">
        <v>92</v>
      </c>
      <c r="W339" t="str" cm="1">
        <f t="array" ref="W33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339">
        <v>75</v>
      </c>
      <c r="Y339" t="str" cm="1">
        <f t="array" ref="Y33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339">
        <f>SUM(Table1[[#This Row],[Math 
Score]],Table1[[#This Row],[History 
Score]],Table1[[#This Row],[Physics 
Score]],Table1[[#This Row],[Chemistry 
Score]],Table1[[#This Row],[Biology 
Score]],Table1[[#This Row],[English 
Score]],Table1[[#This Row],[Geography 
Score]])</f>
        <v>581</v>
      </c>
      <c r="AA339" s="3">
        <f>AVERAGE(Table1[[#This Row],[Math 
Score]],Table1[[#This Row],[History 
Score]],Table1[[#This Row],[Physics 
Score]],Table1[[#This Row],[Chemistry 
Score]],Table1[[#This Row],[Biology 
Score]],Table1[[#This Row],[English 
Score]],Table1[[#This Row],[Geography 
Score]])</f>
        <v>83</v>
      </c>
      <c r="AB33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339">
        <f t="shared" si="5"/>
        <v>688</v>
      </c>
      <c r="AD339" t="str">
        <f>_xlfn.IFS(Table1[[#This Row],[Absence 
Days]]&lt;3,"Excellent",Table1[[#This Row],[Absence 
Days]]&lt;=6,"Good",Table1[[#This Row],[Absence 
Days]]&gt;6,"Poor")</f>
        <v>Excellent</v>
      </c>
    </row>
    <row r="340" spans="1:30" x14ac:dyDescent="0.35">
      <c r="A340">
        <v>339</v>
      </c>
      <c r="B340" s="2" t="s">
        <v>194</v>
      </c>
      <c r="C340" t="s">
        <v>489</v>
      </c>
      <c r="D340" t="str">
        <f>_xlfn.TEXTJOIN(" ",TRUE,Table1[[#This Row],[First 
Name]:[Last 
Name]])</f>
        <v>Allen Farmer</v>
      </c>
      <c r="E340" t="s">
        <v>1450</v>
      </c>
      <c r="F340" t="s">
        <v>3244</v>
      </c>
      <c r="G340" t="str">
        <f ca="1">PROPER(Table1[[#This Row],[Part Time 
Job]])</f>
        <v>False</v>
      </c>
      <c r="H340" s="3">
        <v>5</v>
      </c>
      <c r="I340" t="str">
        <f ca="1">PROPER(Table1[[#This Row],[Extracurricular 
Activities]])</f>
        <v>True</v>
      </c>
      <c r="J340">
        <v>30</v>
      </c>
      <c r="K340" t="s">
        <v>3117</v>
      </c>
      <c r="L340">
        <v>85</v>
      </c>
      <c r="M340" s="12" t="str" cm="1">
        <f t="array" ref="M34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340">
        <v>70</v>
      </c>
      <c r="O340" s="13" t="str" cm="1">
        <f t="array" ref="O34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340">
        <v>78</v>
      </c>
      <c r="Q340" s="13" t="str" cm="1">
        <f t="array" ref="Q34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340">
        <v>66</v>
      </c>
      <c r="S340" t="str" cm="1">
        <f t="array" ref="S34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340">
        <v>69</v>
      </c>
      <c r="U340" t="str" cm="1">
        <f t="array" ref="U34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340">
        <v>62</v>
      </c>
      <c r="W340" t="str" cm="1">
        <f t="array" ref="W34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340">
        <v>100</v>
      </c>
      <c r="Y340" t="str" cm="1">
        <f t="array" ref="Y34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340">
        <f>SUM(Table1[[#This Row],[Math 
Score]],Table1[[#This Row],[History 
Score]],Table1[[#This Row],[Physics 
Score]],Table1[[#This Row],[Chemistry 
Score]],Table1[[#This Row],[Biology 
Score]],Table1[[#This Row],[English 
Score]],Table1[[#This Row],[Geography 
Score]])</f>
        <v>530</v>
      </c>
      <c r="AA340" s="3">
        <f>AVERAGE(Table1[[#This Row],[Math 
Score]],Table1[[#This Row],[History 
Score]],Table1[[#This Row],[Physics 
Score]],Table1[[#This Row],[Chemistry 
Score]],Table1[[#This Row],[Biology 
Score]],Table1[[#This Row],[English 
Score]],Table1[[#This Row],[Geography 
Score]])</f>
        <v>75.714285714285708</v>
      </c>
      <c r="AB34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340">
        <f t="shared" si="5"/>
        <v>1646</v>
      </c>
      <c r="AD340" t="str">
        <f>_xlfn.IFS(Table1[[#This Row],[Absence 
Days]]&lt;3,"Excellent",Table1[[#This Row],[Absence 
Days]]&lt;=6,"Good",Table1[[#This Row],[Absence 
Days]]&gt;6,"Poor")</f>
        <v>Good</v>
      </c>
    </row>
    <row r="341" spans="1:30" x14ac:dyDescent="0.35">
      <c r="A341">
        <v>340</v>
      </c>
      <c r="B341" s="2" t="s">
        <v>71</v>
      </c>
      <c r="C341" t="s">
        <v>564</v>
      </c>
      <c r="D341" t="str">
        <f>_xlfn.TEXTJOIN(" ",TRUE,Table1[[#This Row],[First 
Name]:[Last 
Name]])</f>
        <v>James Young</v>
      </c>
      <c r="E341" t="s">
        <v>1451</v>
      </c>
      <c r="F341" t="s">
        <v>3244</v>
      </c>
      <c r="G341" t="str">
        <f ca="1">PROPER(Table1[[#This Row],[Part Time 
Job]])</f>
        <v>False</v>
      </c>
      <c r="H341" s="3">
        <v>9</v>
      </c>
      <c r="I341" t="str">
        <f ca="1">PROPER(Table1[[#This Row],[Extracurricular 
Activities]])</f>
        <v>False</v>
      </c>
      <c r="J341">
        <v>4</v>
      </c>
      <c r="K341" t="s">
        <v>3119</v>
      </c>
      <c r="L341">
        <v>45</v>
      </c>
      <c r="M341" s="12" t="str" cm="1">
        <f t="array" ref="M341">_xlfn.IFS(Table1[[#This Row],[Math 
Score]]&gt;=90,"A+",Table1[[#This Row],[Math 
Score]]&gt;=80,"A", Table1[[#This Row],[Math 
Score]]&gt;=75,"A-",Table1[[#This Row],[Math 
Score]]&gt;=70,"B+",Table1[[#This Row],[Math 
Score]]&gt;=65,"B",Table1[[#This Row],[Math 
Score]]&gt;=60,"B-",Table1[[#This Row],[Math 
Score]]&gt;=50,"C",Table1[[#This Row],[Math 
Score]]&gt;=40,"D",Table1[[#This Row],[Math 
Score]]&lt;40,"F")</f>
        <v>D</v>
      </c>
      <c r="N341">
        <v>98</v>
      </c>
      <c r="O341" s="13" t="str" cm="1">
        <f t="array" ref="O34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341">
        <v>95</v>
      </c>
      <c r="Q341" s="13" t="str" cm="1">
        <f t="array" ref="Q34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341">
        <v>66</v>
      </c>
      <c r="S341" t="str" cm="1">
        <f t="array" ref="S34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341">
        <v>84</v>
      </c>
      <c r="U341" t="str" cm="1">
        <f t="array" ref="U34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341">
        <v>83</v>
      </c>
      <c r="W341" t="str" cm="1">
        <f t="array" ref="W34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341">
        <v>100</v>
      </c>
      <c r="Y341" t="str" cm="1">
        <f t="array" ref="Y34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341">
        <f>SUM(Table1[[#This Row],[Math 
Score]],Table1[[#This Row],[History 
Score]],Table1[[#This Row],[Physics 
Score]],Table1[[#This Row],[Chemistry 
Score]],Table1[[#This Row],[Biology 
Score]],Table1[[#This Row],[English 
Score]],Table1[[#This Row],[Geography 
Score]])</f>
        <v>571</v>
      </c>
      <c r="AA341" s="3">
        <f>AVERAGE(Table1[[#This Row],[Math 
Score]],Table1[[#This Row],[History 
Score]],Table1[[#This Row],[Physics 
Score]],Table1[[#This Row],[Chemistry 
Score]],Table1[[#This Row],[Biology 
Score]],Table1[[#This Row],[English 
Score]],Table1[[#This Row],[Geography 
Score]])</f>
        <v>81.571428571428569</v>
      </c>
      <c r="AB34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341">
        <f t="shared" si="5"/>
        <v>915</v>
      </c>
      <c r="AD341" t="str">
        <f>_xlfn.IFS(Table1[[#This Row],[Absence 
Days]]&lt;3,"Excellent",Table1[[#This Row],[Absence 
Days]]&lt;=6,"Good",Table1[[#This Row],[Absence 
Days]]&gt;6,"Poor")</f>
        <v>Poor</v>
      </c>
    </row>
    <row r="342" spans="1:30" x14ac:dyDescent="0.35">
      <c r="A342">
        <v>341</v>
      </c>
      <c r="B342" s="2" t="s">
        <v>13</v>
      </c>
      <c r="C342" t="s">
        <v>523</v>
      </c>
      <c r="D342" t="str">
        <f>_xlfn.TEXTJOIN(" ",TRUE,Table1[[#This Row],[First 
Name]:[Last 
Name]])</f>
        <v>Laura Dawson</v>
      </c>
      <c r="E342" t="s">
        <v>1452</v>
      </c>
      <c r="F342" t="s">
        <v>3245</v>
      </c>
      <c r="G342" t="str">
        <f ca="1">PROPER(Table1[[#This Row],[Part Time 
Job]])</f>
        <v>False</v>
      </c>
      <c r="H342" s="3">
        <v>5</v>
      </c>
      <c r="I342" t="str">
        <f ca="1">PROPER(Table1[[#This Row],[Extracurricular 
Activities]])</f>
        <v>False</v>
      </c>
      <c r="J342">
        <v>15</v>
      </c>
      <c r="K342" t="s">
        <v>3114</v>
      </c>
      <c r="L342">
        <v>73</v>
      </c>
      <c r="M342" s="12" t="str" cm="1">
        <f t="array" ref="M342">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342">
        <v>75</v>
      </c>
      <c r="O342" s="13" t="str" cm="1">
        <f t="array" ref="O34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342">
        <v>94</v>
      </c>
      <c r="Q342" s="13" t="str" cm="1">
        <f t="array" ref="Q34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342">
        <v>82</v>
      </c>
      <c r="S342" t="str" cm="1">
        <f t="array" ref="S34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342">
        <v>71</v>
      </c>
      <c r="U342" t="str" cm="1">
        <f t="array" ref="U34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342">
        <v>90</v>
      </c>
      <c r="W342" t="str" cm="1">
        <f t="array" ref="W34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342">
        <v>75</v>
      </c>
      <c r="Y342" t="str" cm="1">
        <f t="array" ref="Y34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342">
        <f>SUM(Table1[[#This Row],[Math 
Score]],Table1[[#This Row],[History 
Score]],Table1[[#This Row],[Physics 
Score]],Table1[[#This Row],[Chemistry 
Score]],Table1[[#This Row],[Biology 
Score]],Table1[[#This Row],[English 
Score]],Table1[[#This Row],[Geography 
Score]])</f>
        <v>560</v>
      </c>
      <c r="AA342" s="3">
        <f>AVERAGE(Table1[[#This Row],[Math 
Score]],Table1[[#This Row],[History 
Score]],Table1[[#This Row],[Physics 
Score]],Table1[[#This Row],[Chemistry 
Score]],Table1[[#This Row],[Biology 
Score]],Table1[[#This Row],[English 
Score]],Table1[[#This Row],[Geography 
Score]])</f>
        <v>80</v>
      </c>
      <c r="AB34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342">
        <f t="shared" si="5"/>
        <v>1134</v>
      </c>
      <c r="AD342" t="str">
        <f>_xlfn.IFS(Table1[[#This Row],[Absence 
Days]]&lt;3,"Excellent",Table1[[#This Row],[Absence 
Days]]&lt;=6,"Good",Table1[[#This Row],[Absence 
Days]]&gt;6,"Poor")</f>
        <v>Good</v>
      </c>
    </row>
    <row r="343" spans="1:30" x14ac:dyDescent="0.35">
      <c r="A343">
        <v>342</v>
      </c>
      <c r="B343" s="2" t="s">
        <v>195</v>
      </c>
      <c r="C343" t="s">
        <v>678</v>
      </c>
      <c r="D343" t="str">
        <f>_xlfn.TEXTJOIN(" ",TRUE,Table1[[#This Row],[First 
Name]:[Last 
Name]])</f>
        <v>Donald Carson</v>
      </c>
      <c r="E343" t="s">
        <v>1453</v>
      </c>
      <c r="F343" t="s">
        <v>3244</v>
      </c>
      <c r="G343" t="str">
        <f ca="1">PROPER(Table1[[#This Row],[Part Time 
Job]])</f>
        <v>False</v>
      </c>
      <c r="H343" s="3">
        <v>2</v>
      </c>
      <c r="I343" t="str">
        <f ca="1">PROPER(Table1[[#This Row],[Extracurricular 
Activities]])</f>
        <v>False</v>
      </c>
      <c r="J343">
        <v>2</v>
      </c>
      <c r="K343" t="s">
        <v>3126</v>
      </c>
      <c r="L343">
        <v>95</v>
      </c>
      <c r="M343" s="12" t="str" cm="1">
        <f t="array" ref="M34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343">
        <v>83</v>
      </c>
      <c r="O343" s="13" t="str" cm="1">
        <f t="array" ref="O34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343">
        <v>96</v>
      </c>
      <c r="Q343" s="13" t="str" cm="1">
        <f t="array" ref="Q34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343">
        <v>97</v>
      </c>
      <c r="S343" t="str" cm="1">
        <f t="array" ref="S34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343">
        <v>72</v>
      </c>
      <c r="U343" t="str" cm="1">
        <f t="array" ref="U34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343">
        <v>77</v>
      </c>
      <c r="W343" t="str" cm="1">
        <f t="array" ref="W34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343">
        <v>61</v>
      </c>
      <c r="Y343" t="str" cm="1">
        <f t="array" ref="Y34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343">
        <f>SUM(Table1[[#This Row],[Math 
Score]],Table1[[#This Row],[History 
Score]],Table1[[#This Row],[Physics 
Score]],Table1[[#This Row],[Chemistry 
Score]],Table1[[#This Row],[Biology 
Score]],Table1[[#This Row],[English 
Score]],Table1[[#This Row],[Geography 
Score]])</f>
        <v>581</v>
      </c>
      <c r="AA343" s="3">
        <f>AVERAGE(Table1[[#This Row],[Math 
Score]],Table1[[#This Row],[History 
Score]],Table1[[#This Row],[Physics 
Score]],Table1[[#This Row],[Chemistry 
Score]],Table1[[#This Row],[Biology 
Score]],Table1[[#This Row],[English 
Score]],Table1[[#This Row],[Geography 
Score]])</f>
        <v>83</v>
      </c>
      <c r="AB34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343">
        <f t="shared" si="5"/>
        <v>688</v>
      </c>
      <c r="AD343" t="str">
        <f>_xlfn.IFS(Table1[[#This Row],[Absence 
Days]]&lt;3,"Excellent",Table1[[#This Row],[Absence 
Days]]&lt;=6,"Good",Table1[[#This Row],[Absence 
Days]]&gt;6,"Poor")</f>
        <v>Excellent</v>
      </c>
    </row>
    <row r="344" spans="1:30" x14ac:dyDescent="0.35">
      <c r="A344">
        <v>343</v>
      </c>
      <c r="B344" s="2" t="s">
        <v>196</v>
      </c>
      <c r="C344" t="s">
        <v>679</v>
      </c>
      <c r="D344" t="str">
        <f>_xlfn.TEXTJOIN(" ",TRUE,Table1[[#This Row],[First 
Name]:[Last 
Name]])</f>
        <v>Wayne Lane</v>
      </c>
      <c r="E344" t="s">
        <v>1454</v>
      </c>
      <c r="F344" t="s">
        <v>3244</v>
      </c>
      <c r="G344" t="str">
        <f ca="1">PROPER(Table1[[#This Row],[Part Time 
Job]])</f>
        <v>False</v>
      </c>
      <c r="H344" s="3">
        <v>8</v>
      </c>
      <c r="I344" t="str">
        <f ca="1">PROPER(Table1[[#This Row],[Extracurricular 
Activities]])</f>
        <v>True</v>
      </c>
      <c r="J344">
        <v>32</v>
      </c>
      <c r="K344" t="s">
        <v>3112</v>
      </c>
      <c r="L344">
        <v>96</v>
      </c>
      <c r="M344" s="12" t="str" cm="1">
        <f t="array" ref="M34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344">
        <v>95</v>
      </c>
      <c r="O344" s="13" t="str" cm="1">
        <f t="array" ref="O34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344">
        <v>61</v>
      </c>
      <c r="Q344" s="13" t="str" cm="1">
        <f t="array" ref="Q34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344">
        <v>72</v>
      </c>
      <c r="S344" t="str" cm="1">
        <f t="array" ref="S34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344">
        <v>71</v>
      </c>
      <c r="U344" t="str" cm="1">
        <f t="array" ref="U34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344">
        <v>83</v>
      </c>
      <c r="W344" t="str" cm="1">
        <f t="array" ref="W34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344">
        <v>96</v>
      </c>
      <c r="Y344" t="str" cm="1">
        <f t="array" ref="Y34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344">
        <f>SUM(Table1[[#This Row],[Math 
Score]],Table1[[#This Row],[History 
Score]],Table1[[#This Row],[Physics 
Score]],Table1[[#This Row],[Chemistry 
Score]],Table1[[#This Row],[Biology 
Score]],Table1[[#This Row],[English 
Score]],Table1[[#This Row],[Geography 
Score]])</f>
        <v>574</v>
      </c>
      <c r="AA344" s="3">
        <f>AVERAGE(Table1[[#This Row],[Math 
Score]],Table1[[#This Row],[History 
Score]],Table1[[#This Row],[Physics 
Score]],Table1[[#This Row],[Chemistry 
Score]],Table1[[#This Row],[Biology 
Score]],Table1[[#This Row],[English 
Score]],Table1[[#This Row],[Geography 
Score]])</f>
        <v>82</v>
      </c>
      <c r="AB34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344">
        <f t="shared" si="5"/>
        <v>832</v>
      </c>
      <c r="AD344" t="str">
        <f>_xlfn.IFS(Table1[[#This Row],[Absence 
Days]]&lt;3,"Excellent",Table1[[#This Row],[Absence 
Days]]&lt;=6,"Good",Table1[[#This Row],[Absence 
Days]]&gt;6,"Poor")</f>
        <v>Poor</v>
      </c>
    </row>
    <row r="345" spans="1:30" x14ac:dyDescent="0.35">
      <c r="A345">
        <v>344</v>
      </c>
      <c r="B345" s="2" t="s">
        <v>74</v>
      </c>
      <c r="C345" t="s">
        <v>592</v>
      </c>
      <c r="D345" t="str">
        <f>_xlfn.TEXTJOIN(" ",TRUE,Table1[[#This Row],[First 
Name]:[Last 
Name]])</f>
        <v>Robert Johnson</v>
      </c>
      <c r="E345" t="s">
        <v>1455</v>
      </c>
      <c r="F345" t="s">
        <v>3244</v>
      </c>
      <c r="G345" t="str">
        <f ca="1">PROPER(Table1[[#This Row],[Part Time 
Job]])</f>
        <v>False</v>
      </c>
      <c r="H345" s="3">
        <v>2</v>
      </c>
      <c r="I345" t="str">
        <f ca="1">PROPER(Table1[[#This Row],[Extracurricular 
Activities]])</f>
        <v>False</v>
      </c>
      <c r="J345">
        <v>24</v>
      </c>
      <c r="K345" t="s">
        <v>3125</v>
      </c>
      <c r="L345">
        <v>94</v>
      </c>
      <c r="M345" s="12" t="str" cm="1">
        <f t="array" ref="M34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345">
        <v>72</v>
      </c>
      <c r="O345" s="13" t="str" cm="1">
        <f t="array" ref="O34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345">
        <v>96</v>
      </c>
      <c r="Q345" s="13" t="str" cm="1">
        <f t="array" ref="Q34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345">
        <v>93</v>
      </c>
      <c r="S345" t="str" cm="1">
        <f t="array" ref="S34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345">
        <v>93</v>
      </c>
      <c r="U345" t="str" cm="1">
        <f t="array" ref="U34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345">
        <v>79</v>
      </c>
      <c r="W345" t="str" cm="1">
        <f t="array" ref="W34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345">
        <v>64</v>
      </c>
      <c r="Y345" t="str" cm="1">
        <f t="array" ref="Y34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345">
        <f>SUM(Table1[[#This Row],[Math 
Score]],Table1[[#This Row],[History 
Score]],Table1[[#This Row],[Physics 
Score]],Table1[[#This Row],[Chemistry 
Score]],Table1[[#This Row],[Biology 
Score]],Table1[[#This Row],[English 
Score]],Table1[[#This Row],[Geography 
Score]])</f>
        <v>591</v>
      </c>
      <c r="AA345" s="3">
        <f>AVERAGE(Table1[[#This Row],[Math 
Score]],Table1[[#This Row],[History 
Score]],Table1[[#This Row],[Physics 
Score]],Table1[[#This Row],[Chemistry 
Score]],Table1[[#This Row],[Biology 
Score]],Table1[[#This Row],[English 
Score]],Table1[[#This Row],[Geography 
Score]])</f>
        <v>84.428571428571431</v>
      </c>
      <c r="AB34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345">
        <f t="shared" si="5"/>
        <v>515</v>
      </c>
      <c r="AD345" t="str">
        <f>_xlfn.IFS(Table1[[#This Row],[Absence 
Days]]&lt;3,"Excellent",Table1[[#This Row],[Absence 
Days]]&lt;=6,"Good",Table1[[#This Row],[Absence 
Days]]&gt;6,"Poor")</f>
        <v>Excellent</v>
      </c>
    </row>
    <row r="346" spans="1:30" x14ac:dyDescent="0.35">
      <c r="A346">
        <v>345</v>
      </c>
      <c r="B346" s="2" t="s">
        <v>51</v>
      </c>
      <c r="C346" t="s">
        <v>680</v>
      </c>
      <c r="D346" t="str">
        <f>_xlfn.TEXTJOIN(" ",TRUE,Table1[[#This Row],[First 
Name]:[Last 
Name]])</f>
        <v>Melissa Le</v>
      </c>
      <c r="E346" t="s">
        <v>1456</v>
      </c>
      <c r="F346" t="s">
        <v>3245</v>
      </c>
      <c r="G346" t="str">
        <f ca="1">PROPER(Table1[[#This Row],[Part Time 
Job]])</f>
        <v>False</v>
      </c>
      <c r="H346" s="3">
        <v>1</v>
      </c>
      <c r="I346" t="str">
        <f ca="1">PROPER(Table1[[#This Row],[Extracurricular 
Activities]])</f>
        <v>False</v>
      </c>
      <c r="J346">
        <v>18</v>
      </c>
      <c r="K346" t="s">
        <v>3118</v>
      </c>
      <c r="L346">
        <v>92</v>
      </c>
      <c r="M346" s="12" t="str" cm="1">
        <f t="array" ref="M34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346">
        <v>69</v>
      </c>
      <c r="O346" s="13" t="str" cm="1">
        <f t="array" ref="O34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346">
        <v>69</v>
      </c>
      <c r="Q346" s="13" t="str" cm="1">
        <f t="array" ref="Q34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346">
        <v>60</v>
      </c>
      <c r="S346" t="str" cm="1">
        <f t="array" ref="S34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346">
        <v>90</v>
      </c>
      <c r="U346" t="str" cm="1">
        <f t="array" ref="U34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346">
        <v>88</v>
      </c>
      <c r="W346" t="str" cm="1">
        <f t="array" ref="W34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346">
        <v>95</v>
      </c>
      <c r="Y346" t="str" cm="1">
        <f t="array" ref="Y34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346">
        <f>SUM(Table1[[#This Row],[Math 
Score]],Table1[[#This Row],[History 
Score]],Table1[[#This Row],[Physics 
Score]],Table1[[#This Row],[Chemistry 
Score]],Table1[[#This Row],[Biology 
Score]],Table1[[#This Row],[English 
Score]],Table1[[#This Row],[Geography 
Score]])</f>
        <v>563</v>
      </c>
      <c r="AA346" s="3">
        <f>AVERAGE(Table1[[#This Row],[Math 
Score]],Table1[[#This Row],[History 
Score]],Table1[[#This Row],[Physics 
Score]],Table1[[#This Row],[Chemistry 
Score]],Table1[[#This Row],[Biology 
Score]],Table1[[#This Row],[English 
Score]],Table1[[#This Row],[Geography 
Score]])</f>
        <v>80.428571428571431</v>
      </c>
      <c r="AB34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346">
        <f t="shared" si="5"/>
        <v>1077</v>
      </c>
      <c r="AD346" t="str">
        <f>_xlfn.IFS(Table1[[#This Row],[Absence 
Days]]&lt;3,"Excellent",Table1[[#This Row],[Absence 
Days]]&lt;=6,"Good",Table1[[#This Row],[Absence 
Days]]&gt;6,"Poor")</f>
        <v>Excellent</v>
      </c>
    </row>
    <row r="347" spans="1:30" x14ac:dyDescent="0.35">
      <c r="A347">
        <v>346</v>
      </c>
      <c r="B347" s="2" t="s">
        <v>40</v>
      </c>
      <c r="C347" t="s">
        <v>681</v>
      </c>
      <c r="D347" t="str">
        <f>_xlfn.TEXTJOIN(" ",TRUE,Table1[[#This Row],[First 
Name]:[Last 
Name]])</f>
        <v>David Rice</v>
      </c>
      <c r="E347" t="s">
        <v>1457</v>
      </c>
      <c r="F347" t="s">
        <v>3244</v>
      </c>
      <c r="G347" t="str">
        <f ca="1">PROPER(Table1[[#This Row],[Part Time 
Job]])</f>
        <v>True</v>
      </c>
      <c r="H347" s="3">
        <v>10</v>
      </c>
      <c r="I347" t="str">
        <f ca="1">PROPER(Table1[[#This Row],[Extracurricular 
Activities]])</f>
        <v>False</v>
      </c>
      <c r="J347">
        <v>5</v>
      </c>
      <c r="K347" t="s">
        <v>3119</v>
      </c>
      <c r="L347">
        <v>56</v>
      </c>
      <c r="M347" s="12" t="str" cm="1">
        <f t="array" ref="M347">_xlfn.IFS(Table1[[#This Row],[Math 
Score]]&gt;=90,"A+",Table1[[#This Row],[Math 
Score]]&gt;=80,"A", Table1[[#This Row],[Math 
Score]]&gt;=75,"A-",Table1[[#This Row],[Math 
Score]]&gt;=70,"B+",Table1[[#This Row],[Math 
Score]]&gt;=65,"B",Table1[[#This Row],[Math 
Score]]&gt;=60,"B-",Table1[[#This Row],[Math 
Score]]&gt;=50,"C",Table1[[#This Row],[Math 
Score]]&gt;=40,"D",Table1[[#This Row],[Math 
Score]]&lt;40,"F")</f>
        <v>C</v>
      </c>
      <c r="N347">
        <v>52</v>
      </c>
      <c r="O347" s="13" t="str" cm="1">
        <f t="array" ref="O34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C</v>
      </c>
      <c r="P347">
        <v>76</v>
      </c>
      <c r="Q347" s="13" t="str" cm="1">
        <f t="array" ref="Q34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347">
        <v>95</v>
      </c>
      <c r="S347" t="str" cm="1">
        <f t="array" ref="S34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347">
        <v>54</v>
      </c>
      <c r="U347" t="str" cm="1">
        <f t="array" ref="U34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C</v>
      </c>
      <c r="V347">
        <v>59</v>
      </c>
      <c r="W347" t="str" cm="1">
        <f t="array" ref="W34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C</v>
      </c>
      <c r="X347">
        <v>85</v>
      </c>
      <c r="Y347" t="str" cm="1">
        <f t="array" ref="Y34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347">
        <f>SUM(Table1[[#This Row],[Math 
Score]],Table1[[#This Row],[History 
Score]],Table1[[#This Row],[Physics 
Score]],Table1[[#This Row],[Chemistry 
Score]],Table1[[#This Row],[Biology 
Score]],Table1[[#This Row],[English 
Score]],Table1[[#This Row],[Geography 
Score]])</f>
        <v>477</v>
      </c>
      <c r="AA347" s="3">
        <f>AVERAGE(Table1[[#This Row],[Math 
Score]],Table1[[#This Row],[History 
Score]],Table1[[#This Row],[Physics 
Score]],Table1[[#This Row],[Chemistry 
Score]],Table1[[#This Row],[Biology 
Score]],Table1[[#This Row],[English 
Score]],Table1[[#This Row],[Geography 
Score]])</f>
        <v>68.142857142857139</v>
      </c>
      <c r="AB34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347">
        <f t="shared" si="5"/>
        <v>1941</v>
      </c>
      <c r="AD347" t="str">
        <f>_xlfn.IFS(Table1[[#This Row],[Absence 
Days]]&lt;3,"Excellent",Table1[[#This Row],[Absence 
Days]]&lt;=6,"Good",Table1[[#This Row],[Absence 
Days]]&gt;6,"Poor")</f>
        <v>Poor</v>
      </c>
    </row>
    <row r="348" spans="1:30" x14ac:dyDescent="0.35">
      <c r="A348">
        <v>347</v>
      </c>
      <c r="B348" s="2" t="s">
        <v>197</v>
      </c>
      <c r="C348" t="s">
        <v>464</v>
      </c>
      <c r="D348" t="str">
        <f>_xlfn.TEXTJOIN(" ",TRUE,Table1[[#This Row],[First 
Name]:[Last 
Name]])</f>
        <v>Dawn Gomez</v>
      </c>
      <c r="E348" t="s">
        <v>1458</v>
      </c>
      <c r="F348" t="s">
        <v>3245</v>
      </c>
      <c r="G348" t="str">
        <f ca="1">PROPER(Table1[[#This Row],[Part Time 
Job]])</f>
        <v>True</v>
      </c>
      <c r="H348" s="3">
        <v>3</v>
      </c>
      <c r="I348" t="str">
        <f ca="1">PROPER(Table1[[#This Row],[Extracurricular 
Activities]])</f>
        <v>False</v>
      </c>
      <c r="J348">
        <v>24</v>
      </c>
      <c r="K348" t="s">
        <v>3121</v>
      </c>
      <c r="L348">
        <v>85</v>
      </c>
      <c r="M348" s="12" t="str" cm="1">
        <f t="array" ref="M34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348">
        <v>74</v>
      </c>
      <c r="O348" s="13" t="str" cm="1">
        <f t="array" ref="O34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348">
        <v>65</v>
      </c>
      <c r="Q348" s="13" t="str" cm="1">
        <f t="array" ref="Q34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348">
        <v>76</v>
      </c>
      <c r="S348" t="str" cm="1">
        <f t="array" ref="S34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348">
        <v>100</v>
      </c>
      <c r="U348" t="str" cm="1">
        <f t="array" ref="U34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348">
        <v>95</v>
      </c>
      <c r="W348" t="str" cm="1">
        <f t="array" ref="W34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348">
        <v>68</v>
      </c>
      <c r="Y348" t="str" cm="1">
        <f t="array" ref="Y34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348">
        <f>SUM(Table1[[#This Row],[Math 
Score]],Table1[[#This Row],[History 
Score]],Table1[[#This Row],[Physics 
Score]],Table1[[#This Row],[Chemistry 
Score]],Table1[[#This Row],[Biology 
Score]],Table1[[#This Row],[English 
Score]],Table1[[#This Row],[Geography 
Score]])</f>
        <v>563</v>
      </c>
      <c r="AA348" s="3">
        <f>AVERAGE(Table1[[#This Row],[Math 
Score]],Table1[[#This Row],[History 
Score]],Table1[[#This Row],[Physics 
Score]],Table1[[#This Row],[Chemistry 
Score]],Table1[[#This Row],[Biology 
Score]],Table1[[#This Row],[English 
Score]],Table1[[#This Row],[Geography 
Score]])</f>
        <v>80.428571428571431</v>
      </c>
      <c r="AB34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348">
        <f t="shared" si="5"/>
        <v>1077</v>
      </c>
      <c r="AD348" t="str">
        <f>_xlfn.IFS(Table1[[#This Row],[Absence 
Days]]&lt;3,"Excellent",Table1[[#This Row],[Absence 
Days]]&lt;=6,"Good",Table1[[#This Row],[Absence 
Days]]&gt;6,"Poor")</f>
        <v>Good</v>
      </c>
    </row>
    <row r="349" spans="1:30" x14ac:dyDescent="0.35">
      <c r="A349">
        <v>348</v>
      </c>
      <c r="B349" s="2" t="s">
        <v>198</v>
      </c>
      <c r="C349" t="s">
        <v>470</v>
      </c>
      <c r="D349" t="str">
        <f>_xlfn.TEXTJOIN(" ",TRUE,Table1[[#This Row],[First 
Name]:[Last 
Name]])</f>
        <v>Ricky Nichols</v>
      </c>
      <c r="E349" t="s">
        <v>1459</v>
      </c>
      <c r="F349" t="s">
        <v>3244</v>
      </c>
      <c r="G349" t="str">
        <f ca="1">PROPER(Table1[[#This Row],[Part Time 
Job]])</f>
        <v>False</v>
      </c>
      <c r="H349" s="3">
        <v>1</v>
      </c>
      <c r="I349" t="str">
        <f ca="1">PROPER(Table1[[#This Row],[Extracurricular 
Activities]])</f>
        <v>False</v>
      </c>
      <c r="J349">
        <v>16</v>
      </c>
      <c r="K349" t="s">
        <v>3124</v>
      </c>
      <c r="L349">
        <v>65</v>
      </c>
      <c r="M349" s="12" t="str" cm="1">
        <f t="array" ref="M349">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349">
        <v>90</v>
      </c>
      <c r="O349" s="13" t="str" cm="1">
        <f t="array" ref="O34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349">
        <v>68</v>
      </c>
      <c r="Q349" s="13" t="str" cm="1">
        <f t="array" ref="Q34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349">
        <v>99</v>
      </c>
      <c r="S349" t="str" cm="1">
        <f t="array" ref="S34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349">
        <v>74</v>
      </c>
      <c r="U349" t="str" cm="1">
        <f t="array" ref="U34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349">
        <v>82</v>
      </c>
      <c r="W349" t="str" cm="1">
        <f t="array" ref="W34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349">
        <v>86</v>
      </c>
      <c r="Y349" t="str" cm="1">
        <f t="array" ref="Y34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349">
        <f>SUM(Table1[[#This Row],[Math 
Score]],Table1[[#This Row],[History 
Score]],Table1[[#This Row],[Physics 
Score]],Table1[[#This Row],[Chemistry 
Score]],Table1[[#This Row],[Biology 
Score]],Table1[[#This Row],[English 
Score]],Table1[[#This Row],[Geography 
Score]])</f>
        <v>564</v>
      </c>
      <c r="AA349" s="3">
        <f>AVERAGE(Table1[[#This Row],[Math 
Score]],Table1[[#This Row],[History 
Score]],Table1[[#This Row],[Physics 
Score]],Table1[[#This Row],[Chemistry 
Score]],Table1[[#This Row],[Biology 
Score]],Table1[[#This Row],[English 
Score]],Table1[[#This Row],[Geography 
Score]])</f>
        <v>80.571428571428569</v>
      </c>
      <c r="AB34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349">
        <f t="shared" si="5"/>
        <v>1056</v>
      </c>
      <c r="AD349" t="str">
        <f>_xlfn.IFS(Table1[[#This Row],[Absence 
Days]]&lt;3,"Excellent",Table1[[#This Row],[Absence 
Days]]&lt;=6,"Good",Table1[[#This Row],[Absence 
Days]]&gt;6,"Poor")</f>
        <v>Excellent</v>
      </c>
    </row>
    <row r="350" spans="1:30" x14ac:dyDescent="0.35">
      <c r="A350">
        <v>349</v>
      </c>
      <c r="B350" s="2" t="s">
        <v>61</v>
      </c>
      <c r="C350" t="s">
        <v>682</v>
      </c>
      <c r="D350" t="str">
        <f>_xlfn.TEXTJOIN(" ",TRUE,Table1[[#This Row],[First 
Name]:[Last 
Name]])</f>
        <v>Henry Pitts</v>
      </c>
      <c r="E350" t="s">
        <v>1460</v>
      </c>
      <c r="F350" t="s">
        <v>3244</v>
      </c>
      <c r="G350" t="str">
        <f ca="1">PROPER(Table1[[#This Row],[Part Time 
Job]])</f>
        <v>False</v>
      </c>
      <c r="H350" s="3">
        <v>1</v>
      </c>
      <c r="I350" t="str">
        <f ca="1">PROPER(Table1[[#This Row],[Extracurricular 
Activities]])</f>
        <v>False</v>
      </c>
      <c r="J350">
        <v>15</v>
      </c>
      <c r="K350" t="s">
        <v>3122</v>
      </c>
      <c r="L350">
        <v>64</v>
      </c>
      <c r="M350" s="12" t="str" cm="1">
        <f t="array" ref="M350">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350">
        <v>81</v>
      </c>
      <c r="O350" s="13" t="str" cm="1">
        <f t="array" ref="O35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350">
        <v>95</v>
      </c>
      <c r="Q350" s="13" t="str" cm="1">
        <f t="array" ref="Q35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350">
        <v>87</v>
      </c>
      <c r="S350" t="str" cm="1">
        <f t="array" ref="S35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350">
        <v>86</v>
      </c>
      <c r="U350" t="str" cm="1">
        <f t="array" ref="U35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350">
        <v>91</v>
      </c>
      <c r="W350" t="str" cm="1">
        <f t="array" ref="W35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350">
        <v>80</v>
      </c>
      <c r="Y350" t="str" cm="1">
        <f t="array" ref="Y35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350">
        <f>SUM(Table1[[#This Row],[Math 
Score]],Table1[[#This Row],[History 
Score]],Table1[[#This Row],[Physics 
Score]],Table1[[#This Row],[Chemistry 
Score]],Table1[[#This Row],[Biology 
Score]],Table1[[#This Row],[English 
Score]],Table1[[#This Row],[Geography 
Score]])</f>
        <v>584</v>
      </c>
      <c r="AA350" s="3">
        <f>AVERAGE(Table1[[#This Row],[Math 
Score]],Table1[[#This Row],[History 
Score]],Table1[[#This Row],[Physics 
Score]],Table1[[#This Row],[Chemistry 
Score]],Table1[[#This Row],[Biology 
Score]],Table1[[#This Row],[English 
Score]],Table1[[#This Row],[Geography 
Score]])</f>
        <v>83.428571428571431</v>
      </c>
      <c r="AB35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350">
        <f t="shared" si="5"/>
        <v>635</v>
      </c>
      <c r="AD350" t="str">
        <f>_xlfn.IFS(Table1[[#This Row],[Absence 
Days]]&lt;3,"Excellent",Table1[[#This Row],[Absence 
Days]]&lt;=6,"Good",Table1[[#This Row],[Absence 
Days]]&gt;6,"Poor")</f>
        <v>Excellent</v>
      </c>
    </row>
    <row r="351" spans="1:30" x14ac:dyDescent="0.35">
      <c r="A351">
        <v>350</v>
      </c>
      <c r="B351" s="2" t="s">
        <v>36</v>
      </c>
      <c r="C351" t="s">
        <v>683</v>
      </c>
      <c r="D351" t="str">
        <f>_xlfn.TEXTJOIN(" ",TRUE,Table1[[#This Row],[First 
Name]:[Last 
Name]])</f>
        <v>Christopher Price</v>
      </c>
      <c r="E351" t="s">
        <v>1461</v>
      </c>
      <c r="F351" t="s">
        <v>3244</v>
      </c>
      <c r="G351" t="str">
        <f ca="1">PROPER(Table1[[#This Row],[Part Time 
Job]])</f>
        <v>False</v>
      </c>
      <c r="H351" s="3">
        <v>3</v>
      </c>
      <c r="I351" t="str">
        <f ca="1">PROPER(Table1[[#This Row],[Extracurricular 
Activities]])</f>
        <v>False</v>
      </c>
      <c r="J351">
        <v>26</v>
      </c>
      <c r="K351" t="s">
        <v>3117</v>
      </c>
      <c r="L351">
        <v>100</v>
      </c>
      <c r="M351" s="12" t="str" cm="1">
        <f t="array" ref="M35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351">
        <v>88</v>
      </c>
      <c r="O351" s="13" t="str" cm="1">
        <f t="array" ref="O35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351">
        <v>94</v>
      </c>
      <c r="Q351" s="13" t="str" cm="1">
        <f t="array" ref="Q35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351">
        <v>67</v>
      </c>
      <c r="S351" t="str" cm="1">
        <f t="array" ref="S35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351">
        <v>62</v>
      </c>
      <c r="U351" t="str" cm="1">
        <f t="array" ref="U35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351">
        <v>66</v>
      </c>
      <c r="W351" t="str" cm="1">
        <f t="array" ref="W35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351">
        <v>96</v>
      </c>
      <c r="Y351" t="str" cm="1">
        <f t="array" ref="Y35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351">
        <f>SUM(Table1[[#This Row],[Math 
Score]],Table1[[#This Row],[History 
Score]],Table1[[#This Row],[Physics 
Score]],Table1[[#This Row],[Chemistry 
Score]],Table1[[#This Row],[Biology 
Score]],Table1[[#This Row],[English 
Score]],Table1[[#This Row],[Geography 
Score]])</f>
        <v>573</v>
      </c>
      <c r="AA351" s="3">
        <f>AVERAGE(Table1[[#This Row],[Math 
Score]],Table1[[#This Row],[History 
Score]],Table1[[#This Row],[Physics 
Score]],Table1[[#This Row],[Chemistry 
Score]],Table1[[#This Row],[Biology 
Score]],Table1[[#This Row],[English 
Score]],Table1[[#This Row],[Geography 
Score]])</f>
        <v>81.857142857142861</v>
      </c>
      <c r="AB35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351">
        <f t="shared" si="5"/>
        <v>864</v>
      </c>
      <c r="AD351" t="str">
        <f>_xlfn.IFS(Table1[[#This Row],[Absence 
Days]]&lt;3,"Excellent",Table1[[#This Row],[Absence 
Days]]&lt;=6,"Good",Table1[[#This Row],[Absence 
Days]]&gt;6,"Poor")</f>
        <v>Good</v>
      </c>
    </row>
    <row r="352" spans="1:30" x14ac:dyDescent="0.35">
      <c r="A352">
        <v>351</v>
      </c>
      <c r="B352" s="2" t="s">
        <v>199</v>
      </c>
      <c r="C352" t="s">
        <v>618</v>
      </c>
      <c r="D352" t="str">
        <f>_xlfn.TEXTJOIN(" ",TRUE,Table1[[#This Row],[First 
Name]:[Last 
Name]])</f>
        <v>Aimee Adams</v>
      </c>
      <c r="E352" t="s">
        <v>1462</v>
      </c>
      <c r="F352" t="s">
        <v>3245</v>
      </c>
      <c r="G352" t="str">
        <f ca="1">PROPER(Table1[[#This Row],[Part Time 
Job]])</f>
        <v>False</v>
      </c>
      <c r="H352" s="3">
        <v>3</v>
      </c>
      <c r="I352" t="str">
        <f ca="1">PROPER(Table1[[#This Row],[Extracurricular 
Activities]])</f>
        <v>False</v>
      </c>
      <c r="J352">
        <v>15</v>
      </c>
      <c r="K352" t="s">
        <v>3118</v>
      </c>
      <c r="L352">
        <v>76</v>
      </c>
      <c r="M352" s="12" t="str" cm="1">
        <f t="array" ref="M35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352">
        <v>64</v>
      </c>
      <c r="O352" s="13" t="str" cm="1">
        <f t="array" ref="O35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352">
        <v>64</v>
      </c>
      <c r="Q352" s="13" t="str" cm="1">
        <f t="array" ref="Q35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352">
        <v>60</v>
      </c>
      <c r="S352" t="str" cm="1">
        <f t="array" ref="S35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352">
        <v>75</v>
      </c>
      <c r="U352" t="str" cm="1">
        <f t="array" ref="U35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352">
        <v>92</v>
      </c>
      <c r="W352" t="str" cm="1">
        <f t="array" ref="W35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352">
        <v>61</v>
      </c>
      <c r="Y352" t="str" cm="1">
        <f t="array" ref="Y35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352">
        <f>SUM(Table1[[#This Row],[Math 
Score]],Table1[[#This Row],[History 
Score]],Table1[[#This Row],[Physics 
Score]],Table1[[#This Row],[Chemistry 
Score]],Table1[[#This Row],[Biology 
Score]],Table1[[#This Row],[English 
Score]],Table1[[#This Row],[Geography 
Score]])</f>
        <v>492</v>
      </c>
      <c r="AA352" s="3">
        <f>AVERAGE(Table1[[#This Row],[Math 
Score]],Table1[[#This Row],[History 
Score]],Table1[[#This Row],[Physics 
Score]],Table1[[#This Row],[Chemistry 
Score]],Table1[[#This Row],[Biology 
Score]],Table1[[#This Row],[English 
Score]],Table1[[#This Row],[Geography 
Score]])</f>
        <v>70.285714285714292</v>
      </c>
      <c r="AB35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352">
        <f t="shared" si="5"/>
        <v>1905</v>
      </c>
      <c r="AD352" t="str">
        <f>_xlfn.IFS(Table1[[#This Row],[Absence 
Days]]&lt;3,"Excellent",Table1[[#This Row],[Absence 
Days]]&lt;=6,"Good",Table1[[#This Row],[Absence 
Days]]&gt;6,"Poor")</f>
        <v>Good</v>
      </c>
    </row>
    <row r="353" spans="1:30" x14ac:dyDescent="0.35">
      <c r="A353">
        <v>352</v>
      </c>
      <c r="B353" s="2" t="s">
        <v>144</v>
      </c>
      <c r="C353" t="s">
        <v>431</v>
      </c>
      <c r="D353" t="str">
        <f>_xlfn.TEXTJOIN(" ",TRUE,Table1[[#This Row],[First 
Name]:[Last 
Name]])</f>
        <v>Tammy Barry</v>
      </c>
      <c r="E353" t="s">
        <v>1463</v>
      </c>
      <c r="F353" t="s">
        <v>3245</v>
      </c>
      <c r="G353" t="str">
        <f ca="1">PROPER(Table1[[#This Row],[Part Time 
Job]])</f>
        <v>False</v>
      </c>
      <c r="H353" s="3">
        <v>1</v>
      </c>
      <c r="I353" t="str">
        <f ca="1">PROPER(Table1[[#This Row],[Extracurricular 
Activities]])</f>
        <v>False</v>
      </c>
      <c r="J353">
        <v>5</v>
      </c>
      <c r="K353" t="s">
        <v>3126</v>
      </c>
      <c r="L353">
        <v>97</v>
      </c>
      <c r="M353" s="12" t="str" cm="1">
        <f t="array" ref="M35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353">
        <v>76</v>
      </c>
      <c r="O353" s="13" t="str" cm="1">
        <f t="array" ref="O35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353">
        <v>91</v>
      </c>
      <c r="Q353" s="13" t="str" cm="1">
        <f t="array" ref="Q35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353">
        <v>76</v>
      </c>
      <c r="S353" t="str" cm="1">
        <f t="array" ref="S35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353">
        <v>89</v>
      </c>
      <c r="U353" t="str" cm="1">
        <f t="array" ref="U35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353">
        <v>60</v>
      </c>
      <c r="W353" t="str" cm="1">
        <f t="array" ref="W35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353">
        <v>85</v>
      </c>
      <c r="Y353" t="str" cm="1">
        <f t="array" ref="Y35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353">
        <f>SUM(Table1[[#This Row],[Math 
Score]],Table1[[#This Row],[History 
Score]],Table1[[#This Row],[Physics 
Score]],Table1[[#This Row],[Chemistry 
Score]],Table1[[#This Row],[Biology 
Score]],Table1[[#This Row],[English 
Score]],Table1[[#This Row],[Geography 
Score]])</f>
        <v>574</v>
      </c>
      <c r="AA353" s="3">
        <f>AVERAGE(Table1[[#This Row],[Math 
Score]],Table1[[#This Row],[History 
Score]],Table1[[#This Row],[Physics 
Score]],Table1[[#This Row],[Chemistry 
Score]],Table1[[#This Row],[Biology 
Score]],Table1[[#This Row],[English 
Score]],Table1[[#This Row],[Geography 
Score]])</f>
        <v>82</v>
      </c>
      <c r="AB35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353">
        <f t="shared" si="5"/>
        <v>832</v>
      </c>
      <c r="AD353" t="str">
        <f>_xlfn.IFS(Table1[[#This Row],[Absence 
Days]]&lt;3,"Excellent",Table1[[#This Row],[Absence 
Days]]&lt;=6,"Good",Table1[[#This Row],[Absence 
Days]]&gt;6,"Poor")</f>
        <v>Excellent</v>
      </c>
    </row>
    <row r="354" spans="1:30" x14ac:dyDescent="0.35">
      <c r="A354">
        <v>353</v>
      </c>
      <c r="B354" s="2" t="s">
        <v>33</v>
      </c>
      <c r="C354" t="s">
        <v>684</v>
      </c>
      <c r="D354" t="str">
        <f>_xlfn.TEXTJOIN(" ",TRUE,Table1[[#This Row],[First 
Name]:[Last 
Name]])</f>
        <v>Ryan Hull</v>
      </c>
      <c r="E354" t="s">
        <v>1464</v>
      </c>
      <c r="F354" t="s">
        <v>3244</v>
      </c>
      <c r="G354" t="str">
        <f ca="1">PROPER(Table1[[#This Row],[Part Time 
Job]])</f>
        <v>False</v>
      </c>
      <c r="H354" s="3">
        <v>1</v>
      </c>
      <c r="I354" t="str">
        <f ca="1">PROPER(Table1[[#This Row],[Extracurricular 
Activities]])</f>
        <v>True</v>
      </c>
      <c r="J354">
        <v>14</v>
      </c>
      <c r="K354" t="s">
        <v>3116</v>
      </c>
      <c r="L354">
        <v>95</v>
      </c>
      <c r="M354" s="12" t="str" cm="1">
        <f t="array" ref="M35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354">
        <v>98</v>
      </c>
      <c r="O354" s="13" t="str" cm="1">
        <f t="array" ref="O35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354">
        <v>98</v>
      </c>
      <c r="Q354" s="13" t="str" cm="1">
        <f t="array" ref="Q35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354">
        <v>83</v>
      </c>
      <c r="S354" t="str" cm="1">
        <f t="array" ref="S35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354">
        <v>77</v>
      </c>
      <c r="U354" t="str" cm="1">
        <f t="array" ref="U35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354">
        <v>93</v>
      </c>
      <c r="W354" t="str" cm="1">
        <f t="array" ref="W35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354">
        <v>83</v>
      </c>
      <c r="Y354" t="str" cm="1">
        <f t="array" ref="Y35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354">
        <f>SUM(Table1[[#This Row],[Math 
Score]],Table1[[#This Row],[History 
Score]],Table1[[#This Row],[Physics 
Score]],Table1[[#This Row],[Chemistry 
Score]],Table1[[#This Row],[Biology 
Score]],Table1[[#This Row],[English 
Score]],Table1[[#This Row],[Geography 
Score]])</f>
        <v>627</v>
      </c>
      <c r="AA354" s="3">
        <f>AVERAGE(Table1[[#This Row],[Math 
Score]],Table1[[#This Row],[History 
Score]],Table1[[#This Row],[Physics 
Score]],Table1[[#This Row],[Chemistry 
Score]],Table1[[#This Row],[Biology 
Score]],Table1[[#This Row],[English 
Score]],Table1[[#This Row],[Geography 
Score]])</f>
        <v>89.571428571428569</v>
      </c>
      <c r="AB35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354">
        <f t="shared" si="5"/>
        <v>168</v>
      </c>
      <c r="AD354" t="str">
        <f>_xlfn.IFS(Table1[[#This Row],[Absence 
Days]]&lt;3,"Excellent",Table1[[#This Row],[Absence 
Days]]&lt;=6,"Good",Table1[[#This Row],[Absence 
Days]]&gt;6,"Poor")</f>
        <v>Excellent</v>
      </c>
    </row>
    <row r="355" spans="1:30" x14ac:dyDescent="0.35">
      <c r="A355">
        <v>354</v>
      </c>
      <c r="B355" s="2" t="s">
        <v>200</v>
      </c>
      <c r="C355" t="s">
        <v>294</v>
      </c>
      <c r="D355" t="str">
        <f>_xlfn.TEXTJOIN(" ",TRUE,Table1[[#This Row],[First 
Name]:[Last 
Name]])</f>
        <v>Samuel Jackson</v>
      </c>
      <c r="E355" t="s">
        <v>1465</v>
      </c>
      <c r="F355" t="s">
        <v>3244</v>
      </c>
      <c r="G355" t="str">
        <f ca="1">PROPER(Table1[[#This Row],[Part Time 
Job]])</f>
        <v>False</v>
      </c>
      <c r="H355" s="3">
        <v>4</v>
      </c>
      <c r="I355" t="str">
        <f ca="1">PROPER(Table1[[#This Row],[Extracurricular 
Activities]])</f>
        <v>False</v>
      </c>
      <c r="J355">
        <v>1</v>
      </c>
      <c r="K355" t="s">
        <v>3126</v>
      </c>
      <c r="L355">
        <v>85</v>
      </c>
      <c r="M355" s="12" t="str" cm="1">
        <f t="array" ref="M35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355">
        <v>64</v>
      </c>
      <c r="O355" s="13" t="str" cm="1">
        <f t="array" ref="O35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355">
        <v>90</v>
      </c>
      <c r="Q355" s="13" t="str" cm="1">
        <f t="array" ref="Q35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355">
        <v>94</v>
      </c>
      <c r="S355" t="str" cm="1">
        <f t="array" ref="S35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355">
        <v>68</v>
      </c>
      <c r="U355" t="str" cm="1">
        <f t="array" ref="U35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355">
        <v>97</v>
      </c>
      <c r="W355" t="str" cm="1">
        <f t="array" ref="W35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355">
        <v>61</v>
      </c>
      <c r="Y355" t="str" cm="1">
        <f t="array" ref="Y35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355">
        <f>SUM(Table1[[#This Row],[Math 
Score]],Table1[[#This Row],[History 
Score]],Table1[[#This Row],[Physics 
Score]],Table1[[#This Row],[Chemistry 
Score]],Table1[[#This Row],[Biology 
Score]],Table1[[#This Row],[English 
Score]],Table1[[#This Row],[Geography 
Score]])</f>
        <v>559</v>
      </c>
      <c r="AA355" s="3">
        <f>AVERAGE(Table1[[#This Row],[Math 
Score]],Table1[[#This Row],[History 
Score]],Table1[[#This Row],[Physics 
Score]],Table1[[#This Row],[Chemistry 
Score]],Table1[[#This Row],[Biology 
Score]],Table1[[#This Row],[English 
Score]],Table1[[#This Row],[Geography 
Score]])</f>
        <v>79.857142857142861</v>
      </c>
      <c r="AB35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355">
        <f t="shared" si="5"/>
        <v>1155</v>
      </c>
      <c r="AD355" t="str">
        <f>_xlfn.IFS(Table1[[#This Row],[Absence 
Days]]&lt;3,"Excellent",Table1[[#This Row],[Absence 
Days]]&lt;=6,"Good",Table1[[#This Row],[Absence 
Days]]&gt;6,"Poor")</f>
        <v>Good</v>
      </c>
    </row>
    <row r="356" spans="1:30" x14ac:dyDescent="0.35">
      <c r="A356">
        <v>355</v>
      </c>
      <c r="B356" s="2" t="s">
        <v>89</v>
      </c>
      <c r="C356" t="s">
        <v>458</v>
      </c>
      <c r="D356" t="str">
        <f>_xlfn.TEXTJOIN(" ",TRUE,Table1[[#This Row],[First 
Name]:[Last 
Name]])</f>
        <v>Joshua Smith</v>
      </c>
      <c r="E356" t="s">
        <v>1466</v>
      </c>
      <c r="F356" t="s">
        <v>3244</v>
      </c>
      <c r="G356" t="str">
        <f ca="1">PROPER(Table1[[#This Row],[Part Time 
Job]])</f>
        <v>False</v>
      </c>
      <c r="H356" s="3">
        <v>5</v>
      </c>
      <c r="I356" t="str">
        <f ca="1">PROPER(Table1[[#This Row],[Extracurricular 
Activities]])</f>
        <v>False</v>
      </c>
      <c r="J356">
        <v>10</v>
      </c>
      <c r="K356" t="s">
        <v>3125</v>
      </c>
      <c r="L356">
        <v>86</v>
      </c>
      <c r="M356" s="12" t="str" cm="1">
        <f t="array" ref="M35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356">
        <v>91</v>
      </c>
      <c r="O356" s="13" t="str" cm="1">
        <f t="array" ref="O35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356">
        <v>96</v>
      </c>
      <c r="Q356" s="13" t="str" cm="1">
        <f t="array" ref="Q35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356">
        <v>60</v>
      </c>
      <c r="S356" t="str" cm="1">
        <f t="array" ref="S35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356">
        <v>91</v>
      </c>
      <c r="U356" t="str" cm="1">
        <f t="array" ref="U35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356">
        <v>73</v>
      </c>
      <c r="W356" t="str" cm="1">
        <f t="array" ref="W35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356">
        <v>88</v>
      </c>
      <c r="Y356" t="str" cm="1">
        <f t="array" ref="Y35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356">
        <f>SUM(Table1[[#This Row],[Math 
Score]],Table1[[#This Row],[History 
Score]],Table1[[#This Row],[Physics 
Score]],Table1[[#This Row],[Chemistry 
Score]],Table1[[#This Row],[Biology 
Score]],Table1[[#This Row],[English 
Score]],Table1[[#This Row],[Geography 
Score]])</f>
        <v>585</v>
      </c>
      <c r="AA356" s="3">
        <f>AVERAGE(Table1[[#This Row],[Math 
Score]],Table1[[#This Row],[History 
Score]],Table1[[#This Row],[Physics 
Score]],Table1[[#This Row],[Chemistry 
Score]],Table1[[#This Row],[Biology 
Score]],Table1[[#This Row],[English 
Score]],Table1[[#This Row],[Geography 
Score]])</f>
        <v>83.571428571428569</v>
      </c>
      <c r="AB35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356">
        <f t="shared" si="5"/>
        <v>615</v>
      </c>
      <c r="AD356" t="str">
        <f>_xlfn.IFS(Table1[[#This Row],[Absence 
Days]]&lt;3,"Excellent",Table1[[#This Row],[Absence 
Days]]&lt;=6,"Good",Table1[[#This Row],[Absence 
Days]]&gt;6,"Poor")</f>
        <v>Good</v>
      </c>
    </row>
    <row r="357" spans="1:30" x14ac:dyDescent="0.35">
      <c r="A357">
        <v>356</v>
      </c>
      <c r="B357" s="2" t="s">
        <v>189</v>
      </c>
      <c r="C357" t="s">
        <v>685</v>
      </c>
      <c r="D357" t="str">
        <f>_xlfn.TEXTJOIN(" ",TRUE,Table1[[#This Row],[First 
Name]:[Last 
Name]])</f>
        <v>Sydney Stevenson</v>
      </c>
      <c r="E357" t="s">
        <v>1467</v>
      </c>
      <c r="F357" t="s">
        <v>3245</v>
      </c>
      <c r="G357" t="str">
        <f ca="1">PROPER(Table1[[#This Row],[Part Time 
Job]])</f>
        <v>False</v>
      </c>
      <c r="H357" s="3">
        <v>6</v>
      </c>
      <c r="I357" t="str">
        <f ca="1">PROPER(Table1[[#This Row],[Extracurricular 
Activities]])</f>
        <v>False</v>
      </c>
      <c r="J357">
        <v>5</v>
      </c>
      <c r="K357" t="s">
        <v>3119</v>
      </c>
      <c r="L357">
        <v>100</v>
      </c>
      <c r="M357" s="12" t="str" cm="1">
        <f t="array" ref="M35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357">
        <v>58</v>
      </c>
      <c r="O357" s="13" t="str" cm="1">
        <f t="array" ref="O35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C</v>
      </c>
      <c r="P357">
        <v>58</v>
      </c>
      <c r="Q357" s="13" t="str" cm="1">
        <f t="array" ref="Q35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C</v>
      </c>
      <c r="R357">
        <v>100</v>
      </c>
      <c r="S357" t="str" cm="1">
        <f t="array" ref="S35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357">
        <v>60</v>
      </c>
      <c r="U357" t="str" cm="1">
        <f t="array" ref="U35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357">
        <v>52</v>
      </c>
      <c r="W357" t="str" cm="1">
        <f t="array" ref="W35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C</v>
      </c>
      <c r="X357">
        <v>82</v>
      </c>
      <c r="Y357" t="str" cm="1">
        <f t="array" ref="Y35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357">
        <f>SUM(Table1[[#This Row],[Math 
Score]],Table1[[#This Row],[History 
Score]],Table1[[#This Row],[Physics 
Score]],Table1[[#This Row],[Chemistry 
Score]],Table1[[#This Row],[Biology 
Score]],Table1[[#This Row],[English 
Score]],Table1[[#This Row],[Geography 
Score]])</f>
        <v>510</v>
      </c>
      <c r="AA357" s="3">
        <f>AVERAGE(Table1[[#This Row],[Math 
Score]],Table1[[#This Row],[History 
Score]],Table1[[#This Row],[Physics 
Score]],Table1[[#This Row],[Chemistry 
Score]],Table1[[#This Row],[Biology 
Score]],Table1[[#This Row],[English 
Score]],Table1[[#This Row],[Geography 
Score]])</f>
        <v>72.857142857142861</v>
      </c>
      <c r="AB35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357">
        <f t="shared" si="5"/>
        <v>1828</v>
      </c>
      <c r="AD357" t="str">
        <f>_xlfn.IFS(Table1[[#This Row],[Absence 
Days]]&lt;3,"Excellent",Table1[[#This Row],[Absence 
Days]]&lt;=6,"Good",Table1[[#This Row],[Absence 
Days]]&gt;6,"Poor")</f>
        <v>Good</v>
      </c>
    </row>
    <row r="358" spans="1:30" x14ac:dyDescent="0.35">
      <c r="A358">
        <v>357</v>
      </c>
      <c r="B358" s="2" t="s">
        <v>36</v>
      </c>
      <c r="C358" t="s">
        <v>469</v>
      </c>
      <c r="D358" t="str">
        <f>_xlfn.TEXTJOIN(" ",TRUE,Table1[[#This Row],[First 
Name]:[Last 
Name]])</f>
        <v>Christopher Rios</v>
      </c>
      <c r="E358" t="s">
        <v>1468</v>
      </c>
      <c r="F358" t="s">
        <v>3244</v>
      </c>
      <c r="G358" t="str">
        <f ca="1">PROPER(Table1[[#This Row],[Part Time 
Job]])</f>
        <v>False</v>
      </c>
      <c r="H358" s="3">
        <v>2</v>
      </c>
      <c r="I358" t="str">
        <f ca="1">PROPER(Table1[[#This Row],[Extracurricular 
Activities]])</f>
        <v>False</v>
      </c>
      <c r="J358">
        <v>26</v>
      </c>
      <c r="K358" t="s">
        <v>3116</v>
      </c>
      <c r="L358">
        <v>65</v>
      </c>
      <c r="M358" s="12" t="str" cm="1">
        <f t="array" ref="M358">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358">
        <v>77</v>
      </c>
      <c r="O358" s="13" t="str" cm="1">
        <f t="array" ref="O35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358">
        <v>66</v>
      </c>
      <c r="Q358" s="13" t="str" cm="1">
        <f t="array" ref="Q35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358">
        <v>100</v>
      </c>
      <c r="S358" t="str" cm="1">
        <f t="array" ref="S35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358">
        <v>88</v>
      </c>
      <c r="U358" t="str" cm="1">
        <f t="array" ref="U35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358">
        <v>77</v>
      </c>
      <c r="W358" t="str" cm="1">
        <f t="array" ref="W35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358">
        <v>62</v>
      </c>
      <c r="Y358" t="str" cm="1">
        <f t="array" ref="Y35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358">
        <f>SUM(Table1[[#This Row],[Math 
Score]],Table1[[#This Row],[History 
Score]],Table1[[#This Row],[Physics 
Score]],Table1[[#This Row],[Chemistry 
Score]],Table1[[#This Row],[Biology 
Score]],Table1[[#This Row],[English 
Score]],Table1[[#This Row],[Geography 
Score]])</f>
        <v>535</v>
      </c>
      <c r="AA358" s="3">
        <f>AVERAGE(Table1[[#This Row],[Math 
Score]],Table1[[#This Row],[History 
Score]],Table1[[#This Row],[Physics 
Score]],Table1[[#This Row],[Chemistry 
Score]],Table1[[#This Row],[Biology 
Score]],Table1[[#This Row],[English 
Score]],Table1[[#This Row],[Geography 
Score]])</f>
        <v>76.428571428571431</v>
      </c>
      <c r="AB35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358">
        <f t="shared" si="5"/>
        <v>1578</v>
      </c>
      <c r="AD358" t="str">
        <f>_xlfn.IFS(Table1[[#This Row],[Absence 
Days]]&lt;3,"Excellent",Table1[[#This Row],[Absence 
Days]]&lt;=6,"Good",Table1[[#This Row],[Absence 
Days]]&gt;6,"Poor")</f>
        <v>Excellent</v>
      </c>
    </row>
    <row r="359" spans="1:30" x14ac:dyDescent="0.35">
      <c r="A359">
        <v>358</v>
      </c>
      <c r="B359" s="2" t="s">
        <v>174</v>
      </c>
      <c r="C359" t="s">
        <v>686</v>
      </c>
      <c r="D359" t="str">
        <f>_xlfn.TEXTJOIN(" ",TRUE,Table1[[#This Row],[First 
Name]:[Last 
Name]])</f>
        <v>Brenda Collins</v>
      </c>
      <c r="E359" t="s">
        <v>1469</v>
      </c>
      <c r="F359" t="s">
        <v>3245</v>
      </c>
      <c r="G359" t="str">
        <f ca="1">PROPER(Table1[[#This Row],[Part Time 
Job]])</f>
        <v>False</v>
      </c>
      <c r="H359" s="3">
        <v>2</v>
      </c>
      <c r="I359" t="str">
        <f ca="1">PROPER(Table1[[#This Row],[Extracurricular 
Activities]])</f>
        <v>True</v>
      </c>
      <c r="J359">
        <v>26</v>
      </c>
      <c r="K359" t="s">
        <v>3112</v>
      </c>
      <c r="L359">
        <v>71</v>
      </c>
      <c r="M359" s="12" t="str" cm="1">
        <f t="array" ref="M359">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359">
        <v>81</v>
      </c>
      <c r="O359" s="13" t="str" cm="1">
        <f t="array" ref="O35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359">
        <v>99</v>
      </c>
      <c r="Q359" s="13" t="str" cm="1">
        <f t="array" ref="Q35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359">
        <v>74</v>
      </c>
      <c r="S359" t="str" cm="1">
        <f t="array" ref="S35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359">
        <v>74</v>
      </c>
      <c r="U359" t="str" cm="1">
        <f t="array" ref="U35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359">
        <v>82</v>
      </c>
      <c r="W359" t="str" cm="1">
        <f t="array" ref="W35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359">
        <v>67</v>
      </c>
      <c r="Y359" t="str" cm="1">
        <f t="array" ref="Y35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359">
        <f>SUM(Table1[[#This Row],[Math 
Score]],Table1[[#This Row],[History 
Score]],Table1[[#This Row],[Physics 
Score]],Table1[[#This Row],[Chemistry 
Score]],Table1[[#This Row],[Biology 
Score]],Table1[[#This Row],[English 
Score]],Table1[[#This Row],[Geography 
Score]])</f>
        <v>548</v>
      </c>
      <c r="AA359" s="3">
        <f>AVERAGE(Table1[[#This Row],[Math 
Score]],Table1[[#This Row],[History 
Score]],Table1[[#This Row],[Physics 
Score]],Table1[[#This Row],[Chemistry 
Score]],Table1[[#This Row],[Biology 
Score]],Table1[[#This Row],[English 
Score]],Table1[[#This Row],[Geography 
Score]])</f>
        <v>78.285714285714292</v>
      </c>
      <c r="AB35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359">
        <f t="shared" si="5"/>
        <v>1374</v>
      </c>
      <c r="AD359" t="str">
        <f>_xlfn.IFS(Table1[[#This Row],[Absence 
Days]]&lt;3,"Excellent",Table1[[#This Row],[Absence 
Days]]&lt;=6,"Good",Table1[[#This Row],[Absence 
Days]]&gt;6,"Poor")</f>
        <v>Excellent</v>
      </c>
    </row>
    <row r="360" spans="1:30" x14ac:dyDescent="0.35">
      <c r="A360">
        <v>359</v>
      </c>
      <c r="B360" s="2" t="s">
        <v>201</v>
      </c>
      <c r="C360" t="s">
        <v>472</v>
      </c>
      <c r="D360" t="str">
        <f>_xlfn.TEXTJOIN(" ",TRUE,Table1[[#This Row],[First 
Name]:[Last 
Name]])</f>
        <v>Diana Griffin</v>
      </c>
      <c r="E360" t="s">
        <v>1470</v>
      </c>
      <c r="F360" t="s">
        <v>3245</v>
      </c>
      <c r="G360" t="str">
        <f ca="1">PROPER(Table1[[#This Row],[Part Time 
Job]])</f>
        <v>False</v>
      </c>
      <c r="H360" s="3">
        <v>2</v>
      </c>
      <c r="I360" t="str">
        <f ca="1">PROPER(Table1[[#This Row],[Extracurricular 
Activities]])</f>
        <v>False</v>
      </c>
      <c r="J360">
        <v>14</v>
      </c>
      <c r="K360" t="s">
        <v>3114</v>
      </c>
      <c r="L360">
        <v>80</v>
      </c>
      <c r="M360" s="12" t="str" cm="1">
        <f t="array" ref="M36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360">
        <v>94</v>
      </c>
      <c r="O360" s="13" t="str" cm="1">
        <f t="array" ref="O36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360">
        <v>97</v>
      </c>
      <c r="Q360" s="13" t="str" cm="1">
        <f t="array" ref="Q36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360">
        <v>83</v>
      </c>
      <c r="S360" t="str" cm="1">
        <f t="array" ref="S36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360">
        <v>84</v>
      </c>
      <c r="U360" t="str" cm="1">
        <f t="array" ref="U36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360">
        <v>77</v>
      </c>
      <c r="W360" t="str" cm="1">
        <f t="array" ref="W36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360">
        <v>79</v>
      </c>
      <c r="Y360" t="str" cm="1">
        <f t="array" ref="Y36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360">
        <f>SUM(Table1[[#This Row],[Math 
Score]],Table1[[#This Row],[History 
Score]],Table1[[#This Row],[Physics 
Score]],Table1[[#This Row],[Chemistry 
Score]],Table1[[#This Row],[Biology 
Score]],Table1[[#This Row],[English 
Score]],Table1[[#This Row],[Geography 
Score]])</f>
        <v>594</v>
      </c>
      <c r="AA360" s="3">
        <f>AVERAGE(Table1[[#This Row],[Math 
Score]],Table1[[#This Row],[History 
Score]],Table1[[#This Row],[Physics 
Score]],Table1[[#This Row],[Chemistry 
Score]],Table1[[#This Row],[Biology 
Score]],Table1[[#This Row],[English 
Score]],Table1[[#This Row],[Geography 
Score]])</f>
        <v>84.857142857142861</v>
      </c>
      <c r="AB36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360">
        <f t="shared" si="5"/>
        <v>479</v>
      </c>
      <c r="AD360" t="str">
        <f>_xlfn.IFS(Table1[[#This Row],[Absence 
Days]]&lt;3,"Excellent",Table1[[#This Row],[Absence 
Days]]&lt;=6,"Good",Table1[[#This Row],[Absence 
Days]]&gt;6,"Poor")</f>
        <v>Excellent</v>
      </c>
    </row>
    <row r="361" spans="1:30" x14ac:dyDescent="0.35">
      <c r="A361">
        <v>360</v>
      </c>
      <c r="B361" s="2" t="s">
        <v>202</v>
      </c>
      <c r="C361" t="s">
        <v>565</v>
      </c>
      <c r="D361" t="str">
        <f>_xlfn.TEXTJOIN(" ",TRUE,Table1[[#This Row],[First 
Name]:[Last 
Name]])</f>
        <v>Gary Gray</v>
      </c>
      <c r="E361" t="s">
        <v>1471</v>
      </c>
      <c r="F361" t="s">
        <v>3244</v>
      </c>
      <c r="G361" t="str">
        <f ca="1">PROPER(Table1[[#This Row],[Part Time 
Job]])</f>
        <v>False</v>
      </c>
      <c r="H361" s="3">
        <v>7</v>
      </c>
      <c r="I361" t="str">
        <f ca="1">PROPER(Table1[[#This Row],[Extracurricular 
Activities]])</f>
        <v>True</v>
      </c>
      <c r="J361">
        <v>21</v>
      </c>
      <c r="K361" t="s">
        <v>3125</v>
      </c>
      <c r="L361">
        <v>91</v>
      </c>
      <c r="M361" s="12" t="str" cm="1">
        <f t="array" ref="M36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361">
        <v>76</v>
      </c>
      <c r="O361" s="13" t="str" cm="1">
        <f t="array" ref="O36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361">
        <v>96</v>
      </c>
      <c r="Q361" s="13" t="str" cm="1">
        <f t="array" ref="Q36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361">
        <v>77</v>
      </c>
      <c r="S361" t="str" cm="1">
        <f t="array" ref="S36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361">
        <v>99</v>
      </c>
      <c r="U361" t="str" cm="1">
        <f t="array" ref="U36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361">
        <v>64</v>
      </c>
      <c r="W361" t="str" cm="1">
        <f t="array" ref="W36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361">
        <v>83</v>
      </c>
      <c r="Y361" t="str" cm="1">
        <f t="array" ref="Y36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361">
        <f>SUM(Table1[[#This Row],[Math 
Score]],Table1[[#This Row],[History 
Score]],Table1[[#This Row],[Physics 
Score]],Table1[[#This Row],[Chemistry 
Score]],Table1[[#This Row],[Biology 
Score]],Table1[[#This Row],[English 
Score]],Table1[[#This Row],[Geography 
Score]])</f>
        <v>586</v>
      </c>
      <c r="AA361" s="3">
        <f>AVERAGE(Table1[[#This Row],[Math 
Score]],Table1[[#This Row],[History 
Score]],Table1[[#This Row],[Physics 
Score]],Table1[[#This Row],[Chemistry 
Score]],Table1[[#This Row],[Biology 
Score]],Table1[[#This Row],[English 
Score]],Table1[[#This Row],[Geography 
Score]])</f>
        <v>83.714285714285708</v>
      </c>
      <c r="AB36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361">
        <f t="shared" si="5"/>
        <v>601</v>
      </c>
      <c r="AD361" t="str">
        <f>_xlfn.IFS(Table1[[#This Row],[Absence 
Days]]&lt;3,"Excellent",Table1[[#This Row],[Absence 
Days]]&lt;=6,"Good",Table1[[#This Row],[Absence 
Days]]&gt;6,"Poor")</f>
        <v>Poor</v>
      </c>
    </row>
    <row r="362" spans="1:30" x14ac:dyDescent="0.35">
      <c r="A362">
        <v>361</v>
      </c>
      <c r="B362" s="2" t="s">
        <v>44</v>
      </c>
      <c r="C362" t="s">
        <v>614</v>
      </c>
      <c r="D362" t="str">
        <f>_xlfn.TEXTJOIN(" ",TRUE,Table1[[#This Row],[First 
Name]:[Last 
Name]])</f>
        <v>Kimberly Torres</v>
      </c>
      <c r="E362" t="s">
        <v>1472</v>
      </c>
      <c r="F362" t="s">
        <v>3245</v>
      </c>
      <c r="G362" t="str">
        <f ca="1">PROPER(Table1[[#This Row],[Part Time 
Job]])</f>
        <v>False</v>
      </c>
      <c r="H362" s="3">
        <v>2</v>
      </c>
      <c r="I362" t="str">
        <f ca="1">PROPER(Table1[[#This Row],[Extracurricular 
Activities]])</f>
        <v>False</v>
      </c>
      <c r="J362">
        <v>32</v>
      </c>
      <c r="K362" t="s">
        <v>3117</v>
      </c>
      <c r="L362">
        <v>91</v>
      </c>
      <c r="M362" s="12" t="str" cm="1">
        <f t="array" ref="M36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362">
        <v>87</v>
      </c>
      <c r="O362" s="13" t="str" cm="1">
        <f t="array" ref="O36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362">
        <v>88</v>
      </c>
      <c r="Q362" s="13" t="str" cm="1">
        <f t="array" ref="Q36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362">
        <v>82</v>
      </c>
      <c r="S362" t="str" cm="1">
        <f t="array" ref="S36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362">
        <v>95</v>
      </c>
      <c r="U362" t="str" cm="1">
        <f t="array" ref="U36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362">
        <v>70</v>
      </c>
      <c r="W362" t="str" cm="1">
        <f t="array" ref="W36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362">
        <v>87</v>
      </c>
      <c r="Y362" t="str" cm="1">
        <f t="array" ref="Y36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362">
        <f>SUM(Table1[[#This Row],[Math 
Score]],Table1[[#This Row],[History 
Score]],Table1[[#This Row],[Physics 
Score]],Table1[[#This Row],[Chemistry 
Score]],Table1[[#This Row],[Biology 
Score]],Table1[[#This Row],[English 
Score]],Table1[[#This Row],[Geography 
Score]])</f>
        <v>600</v>
      </c>
      <c r="AA362" s="3">
        <f>AVERAGE(Table1[[#This Row],[Math 
Score]],Table1[[#This Row],[History 
Score]],Table1[[#This Row],[Physics 
Score]],Table1[[#This Row],[Chemistry 
Score]],Table1[[#This Row],[Biology 
Score]],Table1[[#This Row],[English 
Score]],Table1[[#This Row],[Geography 
Score]])</f>
        <v>85.714285714285708</v>
      </c>
      <c r="AB36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362">
        <f t="shared" si="5"/>
        <v>406</v>
      </c>
      <c r="AD362" t="str">
        <f>_xlfn.IFS(Table1[[#This Row],[Absence 
Days]]&lt;3,"Excellent",Table1[[#This Row],[Absence 
Days]]&lt;=6,"Good",Table1[[#This Row],[Absence 
Days]]&gt;6,"Poor")</f>
        <v>Excellent</v>
      </c>
    </row>
    <row r="363" spans="1:30" x14ac:dyDescent="0.35">
      <c r="A363">
        <v>362</v>
      </c>
      <c r="B363" s="2" t="s">
        <v>26</v>
      </c>
      <c r="C363" t="s">
        <v>687</v>
      </c>
      <c r="D363" t="str">
        <f>_xlfn.TEXTJOIN(" ",TRUE,Table1[[#This Row],[First 
Name]:[Last 
Name]])</f>
        <v>Jeffrey Booker</v>
      </c>
      <c r="E363" t="s">
        <v>1473</v>
      </c>
      <c r="F363" t="s">
        <v>3244</v>
      </c>
      <c r="G363" t="str">
        <f ca="1">PROPER(Table1[[#This Row],[Part Time 
Job]])</f>
        <v>False</v>
      </c>
      <c r="H363" s="3">
        <v>0</v>
      </c>
      <c r="I363" t="str">
        <f ca="1">PROPER(Table1[[#This Row],[Extracurricular 
Activities]])</f>
        <v>False</v>
      </c>
      <c r="J363">
        <v>30</v>
      </c>
      <c r="K363" t="s">
        <v>3117</v>
      </c>
      <c r="L363">
        <v>100</v>
      </c>
      <c r="M363" s="12" t="str" cm="1">
        <f t="array" ref="M36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363">
        <v>86</v>
      </c>
      <c r="O363" s="13" t="str" cm="1">
        <f t="array" ref="O36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363">
        <v>81</v>
      </c>
      <c r="Q363" s="13" t="str" cm="1">
        <f t="array" ref="Q36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363">
        <v>100</v>
      </c>
      <c r="S363" t="str" cm="1">
        <f t="array" ref="S36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363">
        <v>66</v>
      </c>
      <c r="U363" t="str" cm="1">
        <f t="array" ref="U36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363">
        <v>98</v>
      </c>
      <c r="W363" t="str" cm="1">
        <f t="array" ref="W36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363">
        <v>97</v>
      </c>
      <c r="Y363" t="str" cm="1">
        <f t="array" ref="Y36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363">
        <f>SUM(Table1[[#This Row],[Math 
Score]],Table1[[#This Row],[History 
Score]],Table1[[#This Row],[Physics 
Score]],Table1[[#This Row],[Chemistry 
Score]],Table1[[#This Row],[Biology 
Score]],Table1[[#This Row],[English 
Score]],Table1[[#This Row],[Geography 
Score]])</f>
        <v>628</v>
      </c>
      <c r="AA363" s="3">
        <f>AVERAGE(Table1[[#This Row],[Math 
Score]],Table1[[#This Row],[History 
Score]],Table1[[#This Row],[Physics 
Score]],Table1[[#This Row],[Chemistry 
Score]],Table1[[#This Row],[Biology 
Score]],Table1[[#This Row],[English 
Score]],Table1[[#This Row],[Geography 
Score]])</f>
        <v>89.714285714285708</v>
      </c>
      <c r="AB36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363">
        <f t="shared" si="5"/>
        <v>164</v>
      </c>
      <c r="AD363" t="str">
        <f>_xlfn.IFS(Table1[[#This Row],[Absence 
Days]]&lt;3,"Excellent",Table1[[#This Row],[Absence 
Days]]&lt;=6,"Good",Table1[[#This Row],[Absence 
Days]]&gt;6,"Poor")</f>
        <v>Excellent</v>
      </c>
    </row>
    <row r="364" spans="1:30" x14ac:dyDescent="0.35">
      <c r="A364">
        <v>363</v>
      </c>
      <c r="B364" s="2" t="s">
        <v>203</v>
      </c>
      <c r="C364" t="s">
        <v>688</v>
      </c>
      <c r="D364" t="str">
        <f>_xlfn.TEXTJOIN(" ",TRUE,Table1[[#This Row],[First 
Name]:[Last 
Name]])</f>
        <v>Nicole Buchanan</v>
      </c>
      <c r="E364" t="s">
        <v>1474</v>
      </c>
      <c r="F364" t="s">
        <v>3245</v>
      </c>
      <c r="G364" t="str">
        <f ca="1">PROPER(Table1[[#This Row],[Part Time 
Job]])</f>
        <v>False</v>
      </c>
      <c r="H364" s="3">
        <v>3</v>
      </c>
      <c r="I364" t="str">
        <f ca="1">PROPER(Table1[[#This Row],[Extracurricular 
Activities]])</f>
        <v>False</v>
      </c>
      <c r="J364">
        <v>13</v>
      </c>
      <c r="K364" t="s">
        <v>3118</v>
      </c>
      <c r="L364">
        <v>92</v>
      </c>
      <c r="M364" s="12" t="str" cm="1">
        <f t="array" ref="M36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364">
        <v>79</v>
      </c>
      <c r="O364" s="13" t="str" cm="1">
        <f t="array" ref="O36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364">
        <v>71</v>
      </c>
      <c r="Q364" s="13" t="str" cm="1">
        <f t="array" ref="Q36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364">
        <v>65</v>
      </c>
      <c r="S364" t="str" cm="1">
        <f t="array" ref="S36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364">
        <v>99</v>
      </c>
      <c r="U364" t="str" cm="1">
        <f t="array" ref="U36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364">
        <v>91</v>
      </c>
      <c r="W364" t="str" cm="1">
        <f t="array" ref="W36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364">
        <v>98</v>
      </c>
      <c r="Y364" t="str" cm="1">
        <f t="array" ref="Y36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364">
        <f>SUM(Table1[[#This Row],[Math 
Score]],Table1[[#This Row],[History 
Score]],Table1[[#This Row],[Physics 
Score]],Table1[[#This Row],[Chemistry 
Score]],Table1[[#This Row],[Biology 
Score]],Table1[[#This Row],[English 
Score]],Table1[[#This Row],[Geography 
Score]])</f>
        <v>595</v>
      </c>
      <c r="AA364" s="3">
        <f>AVERAGE(Table1[[#This Row],[Math 
Score]],Table1[[#This Row],[History 
Score]],Table1[[#This Row],[Physics 
Score]],Table1[[#This Row],[Chemistry 
Score]],Table1[[#This Row],[Biology 
Score]],Table1[[#This Row],[English 
Score]],Table1[[#This Row],[Geography 
Score]])</f>
        <v>85</v>
      </c>
      <c r="AB36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364">
        <f t="shared" si="5"/>
        <v>465</v>
      </c>
      <c r="AD364" t="str">
        <f>_xlfn.IFS(Table1[[#This Row],[Absence 
Days]]&lt;3,"Excellent",Table1[[#This Row],[Absence 
Days]]&lt;=6,"Good",Table1[[#This Row],[Absence 
Days]]&gt;6,"Poor")</f>
        <v>Good</v>
      </c>
    </row>
    <row r="365" spans="1:30" x14ac:dyDescent="0.35">
      <c r="A365">
        <v>364</v>
      </c>
      <c r="B365" s="2" t="s">
        <v>204</v>
      </c>
      <c r="C365" t="s">
        <v>592</v>
      </c>
      <c r="D365" t="str">
        <f>_xlfn.TEXTJOIN(" ",TRUE,Table1[[#This Row],[First 
Name]:[Last 
Name]])</f>
        <v>Kristin Johnson</v>
      </c>
      <c r="E365" t="s">
        <v>1475</v>
      </c>
      <c r="F365" t="s">
        <v>3245</v>
      </c>
      <c r="G365" t="str">
        <f ca="1">PROPER(Table1[[#This Row],[Part Time 
Job]])</f>
        <v>False</v>
      </c>
      <c r="H365" s="3">
        <v>7</v>
      </c>
      <c r="I365" t="str">
        <f ca="1">PROPER(Table1[[#This Row],[Extracurricular 
Activities]])</f>
        <v>False</v>
      </c>
      <c r="J365">
        <v>33</v>
      </c>
      <c r="K365" t="s">
        <v>3121</v>
      </c>
      <c r="L365">
        <v>89</v>
      </c>
      <c r="M365" s="12" t="str" cm="1">
        <f t="array" ref="M36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365">
        <v>76</v>
      </c>
      <c r="O365" s="13" t="str" cm="1">
        <f t="array" ref="O36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365">
        <v>95</v>
      </c>
      <c r="Q365" s="13" t="str" cm="1">
        <f t="array" ref="Q36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365">
        <v>83</v>
      </c>
      <c r="S365" t="str" cm="1">
        <f t="array" ref="S36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365">
        <v>84</v>
      </c>
      <c r="U365" t="str" cm="1">
        <f t="array" ref="U36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365">
        <v>96</v>
      </c>
      <c r="W365" t="str" cm="1">
        <f t="array" ref="W36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365">
        <v>61</v>
      </c>
      <c r="Y365" t="str" cm="1">
        <f t="array" ref="Y36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365">
        <f>SUM(Table1[[#This Row],[Math 
Score]],Table1[[#This Row],[History 
Score]],Table1[[#This Row],[Physics 
Score]],Table1[[#This Row],[Chemistry 
Score]],Table1[[#This Row],[Biology 
Score]],Table1[[#This Row],[English 
Score]],Table1[[#This Row],[Geography 
Score]])</f>
        <v>584</v>
      </c>
      <c r="AA365" s="3">
        <f>AVERAGE(Table1[[#This Row],[Math 
Score]],Table1[[#This Row],[History 
Score]],Table1[[#This Row],[Physics 
Score]],Table1[[#This Row],[Chemistry 
Score]],Table1[[#This Row],[Biology 
Score]],Table1[[#This Row],[English 
Score]],Table1[[#This Row],[Geography 
Score]])</f>
        <v>83.428571428571431</v>
      </c>
      <c r="AB36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365">
        <f t="shared" si="5"/>
        <v>635</v>
      </c>
      <c r="AD365" t="str">
        <f>_xlfn.IFS(Table1[[#This Row],[Absence 
Days]]&lt;3,"Excellent",Table1[[#This Row],[Absence 
Days]]&lt;=6,"Good",Table1[[#This Row],[Absence 
Days]]&gt;6,"Poor")</f>
        <v>Poor</v>
      </c>
    </row>
    <row r="366" spans="1:30" x14ac:dyDescent="0.35">
      <c r="A366">
        <v>365</v>
      </c>
      <c r="B366" s="2" t="s">
        <v>37</v>
      </c>
      <c r="C366" t="s">
        <v>546</v>
      </c>
      <c r="D366" t="str">
        <f>_xlfn.TEXTJOIN(" ",TRUE,Table1[[#This Row],[First 
Name]:[Last 
Name]])</f>
        <v>Emily Bell</v>
      </c>
      <c r="E366" t="s">
        <v>1476</v>
      </c>
      <c r="F366" t="s">
        <v>3245</v>
      </c>
      <c r="G366" t="str">
        <f ca="1">PROPER(Table1[[#This Row],[Part Time 
Job]])</f>
        <v>False</v>
      </c>
      <c r="H366" s="3">
        <v>3</v>
      </c>
      <c r="I366" t="str">
        <f ca="1">PROPER(Table1[[#This Row],[Extracurricular 
Activities]])</f>
        <v>False</v>
      </c>
      <c r="J366">
        <v>15</v>
      </c>
      <c r="K366" t="s">
        <v>3123</v>
      </c>
      <c r="L366">
        <v>93</v>
      </c>
      <c r="M366" s="12" t="str" cm="1">
        <f t="array" ref="M36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366">
        <v>92</v>
      </c>
      <c r="O366" s="13" t="str" cm="1">
        <f t="array" ref="O36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366">
        <v>92</v>
      </c>
      <c r="Q366" s="13" t="str" cm="1">
        <f t="array" ref="Q36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366">
        <v>76</v>
      </c>
      <c r="S366" t="str" cm="1">
        <f t="array" ref="S36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366">
        <v>49</v>
      </c>
      <c r="U366" t="str" cm="1">
        <f t="array" ref="U36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D</v>
      </c>
      <c r="V366">
        <v>93</v>
      </c>
      <c r="W366" t="str" cm="1">
        <f t="array" ref="W36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366">
        <v>75</v>
      </c>
      <c r="Y366" t="str" cm="1">
        <f t="array" ref="Y36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366">
        <f>SUM(Table1[[#This Row],[Math 
Score]],Table1[[#This Row],[History 
Score]],Table1[[#This Row],[Physics 
Score]],Table1[[#This Row],[Chemistry 
Score]],Table1[[#This Row],[Biology 
Score]],Table1[[#This Row],[English 
Score]],Table1[[#This Row],[Geography 
Score]])</f>
        <v>570</v>
      </c>
      <c r="AA366" s="3">
        <f>AVERAGE(Table1[[#This Row],[Math 
Score]],Table1[[#This Row],[History 
Score]],Table1[[#This Row],[Physics 
Score]],Table1[[#This Row],[Chemistry 
Score]],Table1[[#This Row],[Biology 
Score]],Table1[[#This Row],[English 
Score]],Table1[[#This Row],[Geography 
Score]])</f>
        <v>81.428571428571431</v>
      </c>
      <c r="AB36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366">
        <f t="shared" si="5"/>
        <v>937</v>
      </c>
      <c r="AD366" t="str">
        <f>_xlfn.IFS(Table1[[#This Row],[Absence 
Days]]&lt;3,"Excellent",Table1[[#This Row],[Absence 
Days]]&lt;=6,"Good",Table1[[#This Row],[Absence 
Days]]&gt;6,"Poor")</f>
        <v>Good</v>
      </c>
    </row>
    <row r="367" spans="1:30" x14ac:dyDescent="0.35">
      <c r="A367">
        <v>366</v>
      </c>
      <c r="B367" s="2" t="s">
        <v>205</v>
      </c>
      <c r="C367" t="s">
        <v>653</v>
      </c>
      <c r="D367" t="str">
        <f>_xlfn.TEXTJOIN(" ",TRUE,Table1[[#This Row],[First 
Name]:[Last 
Name]])</f>
        <v>Francis Nelson</v>
      </c>
      <c r="E367" t="s">
        <v>1477</v>
      </c>
      <c r="F367" t="s">
        <v>3244</v>
      </c>
      <c r="G367" t="str">
        <f ca="1">PROPER(Table1[[#This Row],[Part Time 
Job]])</f>
        <v>False</v>
      </c>
      <c r="H367" s="3">
        <v>10</v>
      </c>
      <c r="I367" t="str">
        <f ca="1">PROPER(Table1[[#This Row],[Extracurricular 
Activities]])</f>
        <v>False</v>
      </c>
      <c r="J367">
        <v>33</v>
      </c>
      <c r="K367" t="s">
        <v>3116</v>
      </c>
      <c r="L367">
        <v>81</v>
      </c>
      <c r="M367" s="12" t="str" cm="1">
        <f t="array" ref="M36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367">
        <v>64</v>
      </c>
      <c r="O367" s="13" t="str" cm="1">
        <f t="array" ref="O36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367">
        <v>67</v>
      </c>
      <c r="Q367" s="13" t="str" cm="1">
        <f t="array" ref="Q36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367">
        <v>74</v>
      </c>
      <c r="S367" t="str" cm="1">
        <f t="array" ref="S36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367">
        <v>65</v>
      </c>
      <c r="U367" t="str" cm="1">
        <f t="array" ref="U36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367">
        <v>94</v>
      </c>
      <c r="W367" t="str" cm="1">
        <f t="array" ref="W36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367">
        <v>96</v>
      </c>
      <c r="Y367" t="str" cm="1">
        <f t="array" ref="Y36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367">
        <f>SUM(Table1[[#This Row],[Math 
Score]],Table1[[#This Row],[History 
Score]],Table1[[#This Row],[Physics 
Score]],Table1[[#This Row],[Chemistry 
Score]],Table1[[#This Row],[Biology 
Score]],Table1[[#This Row],[English 
Score]],Table1[[#This Row],[Geography 
Score]])</f>
        <v>541</v>
      </c>
      <c r="AA367" s="3">
        <f>AVERAGE(Table1[[#This Row],[Math 
Score]],Table1[[#This Row],[History 
Score]],Table1[[#This Row],[Physics 
Score]],Table1[[#This Row],[Chemistry 
Score]],Table1[[#This Row],[Biology 
Score]],Table1[[#This Row],[English 
Score]],Table1[[#This Row],[Geography 
Score]])</f>
        <v>77.285714285714292</v>
      </c>
      <c r="AB36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367">
        <f t="shared" si="5"/>
        <v>1493</v>
      </c>
      <c r="AD367" t="str">
        <f>_xlfn.IFS(Table1[[#This Row],[Absence 
Days]]&lt;3,"Excellent",Table1[[#This Row],[Absence 
Days]]&lt;=6,"Good",Table1[[#This Row],[Absence 
Days]]&gt;6,"Poor")</f>
        <v>Poor</v>
      </c>
    </row>
    <row r="368" spans="1:30" x14ac:dyDescent="0.35">
      <c r="A368">
        <v>367</v>
      </c>
      <c r="B368" s="2" t="s">
        <v>176</v>
      </c>
      <c r="C368" t="s">
        <v>520</v>
      </c>
      <c r="D368" t="str">
        <f>_xlfn.TEXTJOIN(" ",TRUE,Table1[[#This Row],[First 
Name]:[Last 
Name]])</f>
        <v>Tracy Harris</v>
      </c>
      <c r="E368" t="s">
        <v>1478</v>
      </c>
      <c r="F368" t="s">
        <v>3244</v>
      </c>
      <c r="G368" t="str">
        <f ca="1">PROPER(Table1[[#This Row],[Part Time 
Job]])</f>
        <v>False</v>
      </c>
      <c r="H368" s="3">
        <v>2</v>
      </c>
      <c r="I368" t="str">
        <f ca="1">PROPER(Table1[[#This Row],[Extracurricular 
Activities]])</f>
        <v>False</v>
      </c>
      <c r="J368">
        <v>11</v>
      </c>
      <c r="K368" t="s">
        <v>3124</v>
      </c>
      <c r="L368">
        <v>70</v>
      </c>
      <c r="M368" s="12" t="str" cm="1">
        <f t="array" ref="M368">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368">
        <v>73</v>
      </c>
      <c r="O368" s="13" t="str" cm="1">
        <f t="array" ref="O36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368">
        <v>70</v>
      </c>
      <c r="Q368" s="13" t="str" cm="1">
        <f t="array" ref="Q36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368">
        <v>67</v>
      </c>
      <c r="S368" t="str" cm="1">
        <f t="array" ref="S36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368">
        <v>96</v>
      </c>
      <c r="U368" t="str" cm="1">
        <f t="array" ref="U36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368">
        <v>86</v>
      </c>
      <c r="W368" t="str" cm="1">
        <f t="array" ref="W36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368">
        <v>89</v>
      </c>
      <c r="Y368" t="str" cm="1">
        <f t="array" ref="Y36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368">
        <f>SUM(Table1[[#This Row],[Math 
Score]],Table1[[#This Row],[History 
Score]],Table1[[#This Row],[Physics 
Score]],Table1[[#This Row],[Chemistry 
Score]],Table1[[#This Row],[Biology 
Score]],Table1[[#This Row],[English 
Score]],Table1[[#This Row],[Geography 
Score]])</f>
        <v>551</v>
      </c>
      <c r="AA368" s="3">
        <f>AVERAGE(Table1[[#This Row],[Math 
Score]],Table1[[#This Row],[History 
Score]],Table1[[#This Row],[Physics 
Score]],Table1[[#This Row],[Chemistry 
Score]],Table1[[#This Row],[Biology 
Score]],Table1[[#This Row],[English 
Score]],Table1[[#This Row],[Geography 
Score]])</f>
        <v>78.714285714285708</v>
      </c>
      <c r="AB36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368">
        <f t="shared" si="5"/>
        <v>1317</v>
      </c>
      <c r="AD368" t="str">
        <f>_xlfn.IFS(Table1[[#This Row],[Absence 
Days]]&lt;3,"Excellent",Table1[[#This Row],[Absence 
Days]]&lt;=6,"Good",Table1[[#This Row],[Absence 
Days]]&gt;6,"Poor")</f>
        <v>Excellent</v>
      </c>
    </row>
    <row r="369" spans="1:30" x14ac:dyDescent="0.35">
      <c r="A369">
        <v>368</v>
      </c>
      <c r="B369" s="2" t="s">
        <v>164</v>
      </c>
      <c r="C369" t="s">
        <v>689</v>
      </c>
      <c r="D369" t="str">
        <f>_xlfn.TEXTJOIN(" ",TRUE,Table1[[#This Row],[First 
Name]:[Last 
Name]])</f>
        <v>Sheila Sosa</v>
      </c>
      <c r="E369" t="s">
        <v>1479</v>
      </c>
      <c r="F369" t="s">
        <v>3245</v>
      </c>
      <c r="G369" t="str">
        <f ca="1">PROPER(Table1[[#This Row],[Part Time 
Job]])</f>
        <v>False</v>
      </c>
      <c r="H369" s="3">
        <v>2</v>
      </c>
      <c r="I369" t="str">
        <f ca="1">PROPER(Table1[[#This Row],[Extracurricular 
Activities]])</f>
        <v>False</v>
      </c>
      <c r="J369">
        <v>30</v>
      </c>
      <c r="K369" t="s">
        <v>3116</v>
      </c>
      <c r="L369">
        <v>61</v>
      </c>
      <c r="M369" s="12" t="str" cm="1">
        <f t="array" ref="M369">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369">
        <v>70</v>
      </c>
      <c r="O369" s="13" t="str" cm="1">
        <f t="array" ref="O36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369">
        <v>89</v>
      </c>
      <c r="Q369" s="13" t="str" cm="1">
        <f t="array" ref="Q36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369">
        <v>97</v>
      </c>
      <c r="S369" t="str" cm="1">
        <f t="array" ref="S36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369">
        <v>60</v>
      </c>
      <c r="U369" t="str" cm="1">
        <f t="array" ref="U36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369">
        <v>79</v>
      </c>
      <c r="W369" t="str" cm="1">
        <f t="array" ref="W36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369">
        <v>79</v>
      </c>
      <c r="Y369" t="str" cm="1">
        <f t="array" ref="Y36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369">
        <f>SUM(Table1[[#This Row],[Math 
Score]],Table1[[#This Row],[History 
Score]],Table1[[#This Row],[Physics 
Score]],Table1[[#This Row],[Chemistry 
Score]],Table1[[#This Row],[Biology 
Score]],Table1[[#This Row],[English 
Score]],Table1[[#This Row],[Geography 
Score]])</f>
        <v>535</v>
      </c>
      <c r="AA369" s="3">
        <f>AVERAGE(Table1[[#This Row],[Math 
Score]],Table1[[#This Row],[History 
Score]],Table1[[#This Row],[Physics 
Score]],Table1[[#This Row],[Chemistry 
Score]],Table1[[#This Row],[Biology 
Score]],Table1[[#This Row],[English 
Score]],Table1[[#This Row],[Geography 
Score]])</f>
        <v>76.428571428571431</v>
      </c>
      <c r="AB36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369">
        <f t="shared" si="5"/>
        <v>1578</v>
      </c>
      <c r="AD369" t="str">
        <f>_xlfn.IFS(Table1[[#This Row],[Absence 
Days]]&lt;3,"Excellent",Table1[[#This Row],[Absence 
Days]]&lt;=6,"Good",Table1[[#This Row],[Absence 
Days]]&gt;6,"Poor")</f>
        <v>Excellent</v>
      </c>
    </row>
    <row r="370" spans="1:30" x14ac:dyDescent="0.35">
      <c r="A370">
        <v>369</v>
      </c>
      <c r="B370" s="2" t="s">
        <v>182</v>
      </c>
      <c r="C370" t="s">
        <v>690</v>
      </c>
      <c r="D370" t="str">
        <f>_xlfn.TEXTJOIN(" ",TRUE,Table1[[#This Row],[First 
Name]:[Last 
Name]])</f>
        <v>Ashley Mendez</v>
      </c>
      <c r="E370" t="s">
        <v>1480</v>
      </c>
      <c r="F370" t="s">
        <v>3245</v>
      </c>
      <c r="G370" t="str">
        <f ca="1">PROPER(Table1[[#This Row],[Part Time 
Job]])</f>
        <v>False</v>
      </c>
      <c r="H370" s="3">
        <v>7</v>
      </c>
      <c r="I370" t="str">
        <f ca="1">PROPER(Table1[[#This Row],[Extracurricular 
Activities]])</f>
        <v>False</v>
      </c>
      <c r="J370">
        <v>2</v>
      </c>
      <c r="K370" t="s">
        <v>3119</v>
      </c>
      <c r="L370">
        <v>62</v>
      </c>
      <c r="M370" s="12" t="str" cm="1">
        <f t="array" ref="M370">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370">
        <v>53</v>
      </c>
      <c r="O370" s="13" t="str" cm="1">
        <f t="array" ref="O37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C</v>
      </c>
      <c r="P370">
        <v>78</v>
      </c>
      <c r="Q370" s="13" t="str" cm="1">
        <f t="array" ref="Q37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370">
        <v>77</v>
      </c>
      <c r="S370" t="str" cm="1">
        <f t="array" ref="S37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370">
        <v>59</v>
      </c>
      <c r="U370" t="str" cm="1">
        <f t="array" ref="U37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C</v>
      </c>
      <c r="V370">
        <v>95</v>
      </c>
      <c r="W370" t="str" cm="1">
        <f t="array" ref="W37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370">
        <v>80</v>
      </c>
      <c r="Y370" t="str" cm="1">
        <f t="array" ref="Y37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370">
        <f>SUM(Table1[[#This Row],[Math 
Score]],Table1[[#This Row],[History 
Score]],Table1[[#This Row],[Physics 
Score]],Table1[[#This Row],[Chemistry 
Score]],Table1[[#This Row],[Biology 
Score]],Table1[[#This Row],[English 
Score]],Table1[[#This Row],[Geography 
Score]])</f>
        <v>504</v>
      </c>
      <c r="AA370" s="3">
        <f>AVERAGE(Table1[[#This Row],[Math 
Score]],Table1[[#This Row],[History 
Score]],Table1[[#This Row],[Physics 
Score]],Table1[[#This Row],[Chemistry 
Score]],Table1[[#This Row],[Biology 
Score]],Table1[[#This Row],[English 
Score]],Table1[[#This Row],[Geography 
Score]])</f>
        <v>72</v>
      </c>
      <c r="AB37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370">
        <f t="shared" si="5"/>
        <v>1858</v>
      </c>
      <c r="AD370" t="str">
        <f>_xlfn.IFS(Table1[[#This Row],[Absence 
Days]]&lt;3,"Excellent",Table1[[#This Row],[Absence 
Days]]&lt;=6,"Good",Table1[[#This Row],[Absence 
Days]]&gt;6,"Poor")</f>
        <v>Poor</v>
      </c>
    </row>
    <row r="371" spans="1:30" x14ac:dyDescent="0.35">
      <c r="A371">
        <v>370</v>
      </c>
      <c r="B371" s="2" t="s">
        <v>110</v>
      </c>
      <c r="C371" t="s">
        <v>472</v>
      </c>
      <c r="D371" t="str">
        <f>_xlfn.TEXTJOIN(" ",TRUE,Table1[[#This Row],[First 
Name]:[Last 
Name]])</f>
        <v>Matthew Griffin</v>
      </c>
      <c r="E371" t="s">
        <v>1481</v>
      </c>
      <c r="F371" t="s">
        <v>3244</v>
      </c>
      <c r="G371" t="str">
        <f ca="1">PROPER(Table1[[#This Row],[Part Time 
Job]])</f>
        <v>False</v>
      </c>
      <c r="H371" s="3">
        <v>3</v>
      </c>
      <c r="I371" t="str">
        <f ca="1">PROPER(Table1[[#This Row],[Extracurricular 
Activities]])</f>
        <v>False</v>
      </c>
      <c r="J371">
        <v>4</v>
      </c>
      <c r="K371" t="s">
        <v>3127</v>
      </c>
      <c r="L371">
        <v>83</v>
      </c>
      <c r="M371" s="12" t="str" cm="1">
        <f t="array" ref="M37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371">
        <v>61</v>
      </c>
      <c r="O371" s="13" t="str" cm="1">
        <f t="array" ref="O37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371">
        <v>79</v>
      </c>
      <c r="Q371" s="13" t="str" cm="1">
        <f t="array" ref="Q37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371">
        <v>99</v>
      </c>
      <c r="S371" t="str" cm="1">
        <f t="array" ref="S37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371">
        <v>66</v>
      </c>
      <c r="U371" t="str" cm="1">
        <f t="array" ref="U37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371">
        <v>60</v>
      </c>
      <c r="W371" t="str" cm="1">
        <f t="array" ref="W37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371">
        <v>76</v>
      </c>
      <c r="Y371" t="str" cm="1">
        <f t="array" ref="Y37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371">
        <f>SUM(Table1[[#This Row],[Math 
Score]],Table1[[#This Row],[History 
Score]],Table1[[#This Row],[Physics 
Score]],Table1[[#This Row],[Chemistry 
Score]],Table1[[#This Row],[Biology 
Score]],Table1[[#This Row],[English 
Score]],Table1[[#This Row],[Geography 
Score]])</f>
        <v>524</v>
      </c>
      <c r="AA371" s="3">
        <f>AVERAGE(Table1[[#This Row],[Math 
Score]],Table1[[#This Row],[History 
Score]],Table1[[#This Row],[Physics 
Score]],Table1[[#This Row],[Chemistry 
Score]],Table1[[#This Row],[Biology 
Score]],Table1[[#This Row],[English 
Score]],Table1[[#This Row],[Geography 
Score]])</f>
        <v>74.857142857142861</v>
      </c>
      <c r="AB37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371">
        <f t="shared" si="5"/>
        <v>1715</v>
      </c>
      <c r="AD371" t="str">
        <f>_xlfn.IFS(Table1[[#This Row],[Absence 
Days]]&lt;3,"Excellent",Table1[[#This Row],[Absence 
Days]]&lt;=6,"Good",Table1[[#This Row],[Absence 
Days]]&gt;6,"Poor")</f>
        <v>Good</v>
      </c>
    </row>
    <row r="372" spans="1:30" x14ac:dyDescent="0.35">
      <c r="A372">
        <v>371</v>
      </c>
      <c r="B372" s="2" t="s">
        <v>30</v>
      </c>
      <c r="C372" t="s">
        <v>691</v>
      </c>
      <c r="D372" t="str">
        <f>_xlfn.TEXTJOIN(" ",TRUE,Table1[[#This Row],[First 
Name]:[Last 
Name]])</f>
        <v>Timothy Mann</v>
      </c>
      <c r="E372" t="s">
        <v>1482</v>
      </c>
      <c r="F372" t="s">
        <v>3244</v>
      </c>
      <c r="G372" t="str">
        <f ca="1">PROPER(Table1[[#This Row],[Part Time 
Job]])</f>
        <v>False</v>
      </c>
      <c r="H372" s="3">
        <v>3</v>
      </c>
      <c r="I372" t="str">
        <f ca="1">PROPER(Table1[[#This Row],[Extracurricular 
Activities]])</f>
        <v>False</v>
      </c>
      <c r="J372">
        <v>32</v>
      </c>
      <c r="K372" t="s">
        <v>3117</v>
      </c>
      <c r="L372">
        <v>85</v>
      </c>
      <c r="M372" s="12" t="str" cm="1">
        <f t="array" ref="M37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372">
        <v>96</v>
      </c>
      <c r="O372" s="13" t="str" cm="1">
        <f t="array" ref="O37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372">
        <v>87</v>
      </c>
      <c r="Q372" s="13" t="str" cm="1">
        <f t="array" ref="Q37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372">
        <v>63</v>
      </c>
      <c r="S372" t="str" cm="1">
        <f t="array" ref="S37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372">
        <v>69</v>
      </c>
      <c r="U372" t="str" cm="1">
        <f t="array" ref="U37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372">
        <v>69</v>
      </c>
      <c r="W372" t="str" cm="1">
        <f t="array" ref="W37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372">
        <v>81</v>
      </c>
      <c r="Y372" t="str" cm="1">
        <f t="array" ref="Y37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372">
        <f>SUM(Table1[[#This Row],[Math 
Score]],Table1[[#This Row],[History 
Score]],Table1[[#This Row],[Physics 
Score]],Table1[[#This Row],[Chemistry 
Score]],Table1[[#This Row],[Biology 
Score]],Table1[[#This Row],[English 
Score]],Table1[[#This Row],[Geography 
Score]])</f>
        <v>550</v>
      </c>
      <c r="AA372" s="3">
        <f>AVERAGE(Table1[[#This Row],[Math 
Score]],Table1[[#This Row],[History 
Score]],Table1[[#This Row],[Physics 
Score]],Table1[[#This Row],[Chemistry 
Score]],Table1[[#This Row],[Biology 
Score]],Table1[[#This Row],[English 
Score]],Table1[[#This Row],[Geography 
Score]])</f>
        <v>78.571428571428569</v>
      </c>
      <c r="AB37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372">
        <f t="shared" si="5"/>
        <v>1338</v>
      </c>
      <c r="AD372" t="str">
        <f>_xlfn.IFS(Table1[[#This Row],[Absence 
Days]]&lt;3,"Excellent",Table1[[#This Row],[Absence 
Days]]&lt;=6,"Good",Table1[[#This Row],[Absence 
Days]]&gt;6,"Poor")</f>
        <v>Good</v>
      </c>
    </row>
    <row r="373" spans="1:30" x14ac:dyDescent="0.35">
      <c r="A373">
        <v>372</v>
      </c>
      <c r="B373" s="2" t="s">
        <v>206</v>
      </c>
      <c r="C373" t="s">
        <v>692</v>
      </c>
      <c r="D373" t="str">
        <f>_xlfn.TEXTJOIN(" ",TRUE,Table1[[#This Row],[First 
Name]:[Last 
Name]])</f>
        <v>Christine Foster</v>
      </c>
      <c r="E373" t="s">
        <v>1483</v>
      </c>
      <c r="F373" t="s">
        <v>3245</v>
      </c>
      <c r="G373" t="str">
        <f ca="1">PROPER(Table1[[#This Row],[Part Time 
Job]])</f>
        <v>True</v>
      </c>
      <c r="H373" s="3">
        <v>7</v>
      </c>
      <c r="I373" t="str">
        <f ca="1">PROPER(Table1[[#This Row],[Extracurricular 
Activities]])</f>
        <v>False</v>
      </c>
      <c r="J373">
        <v>0</v>
      </c>
      <c r="K373" t="s">
        <v>3119</v>
      </c>
      <c r="L373">
        <v>83</v>
      </c>
      <c r="M373" s="12" t="str" cm="1">
        <f t="array" ref="M37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373">
        <v>55</v>
      </c>
      <c r="O373" s="13" t="str" cm="1">
        <f t="array" ref="O37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C</v>
      </c>
      <c r="P373">
        <v>87</v>
      </c>
      <c r="Q373" s="13" t="str" cm="1">
        <f t="array" ref="Q37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373">
        <v>74</v>
      </c>
      <c r="S373" t="str" cm="1">
        <f t="array" ref="S37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373">
        <v>73</v>
      </c>
      <c r="U373" t="str" cm="1">
        <f t="array" ref="U37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373">
        <v>77</v>
      </c>
      <c r="W373" t="str" cm="1">
        <f t="array" ref="W37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373">
        <v>61</v>
      </c>
      <c r="Y373" t="str" cm="1">
        <f t="array" ref="Y37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373">
        <f>SUM(Table1[[#This Row],[Math 
Score]],Table1[[#This Row],[History 
Score]],Table1[[#This Row],[Physics 
Score]],Table1[[#This Row],[Chemistry 
Score]],Table1[[#This Row],[Biology 
Score]],Table1[[#This Row],[English 
Score]],Table1[[#This Row],[Geography 
Score]])</f>
        <v>510</v>
      </c>
      <c r="AA373" s="3">
        <f>AVERAGE(Table1[[#This Row],[Math 
Score]],Table1[[#This Row],[History 
Score]],Table1[[#This Row],[Physics 
Score]],Table1[[#This Row],[Chemistry 
Score]],Table1[[#This Row],[Biology 
Score]],Table1[[#This Row],[English 
Score]],Table1[[#This Row],[Geography 
Score]])</f>
        <v>72.857142857142861</v>
      </c>
      <c r="AB37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373">
        <f t="shared" si="5"/>
        <v>1828</v>
      </c>
      <c r="AD373" t="str">
        <f>_xlfn.IFS(Table1[[#This Row],[Absence 
Days]]&lt;3,"Excellent",Table1[[#This Row],[Absence 
Days]]&lt;=6,"Good",Table1[[#This Row],[Absence 
Days]]&gt;6,"Poor")</f>
        <v>Poor</v>
      </c>
    </row>
    <row r="374" spans="1:30" x14ac:dyDescent="0.35">
      <c r="A374">
        <v>373</v>
      </c>
      <c r="B374" s="2" t="s">
        <v>112</v>
      </c>
      <c r="C374" t="s">
        <v>693</v>
      </c>
      <c r="D374" t="str">
        <f>_xlfn.TEXTJOIN(" ",TRUE,Table1[[#This Row],[First 
Name]:[Last 
Name]])</f>
        <v>Julie Yates</v>
      </c>
      <c r="E374" t="s">
        <v>1484</v>
      </c>
      <c r="F374" t="s">
        <v>3245</v>
      </c>
      <c r="G374" t="str">
        <f ca="1">PROPER(Table1[[#This Row],[Part Time 
Job]])</f>
        <v>False</v>
      </c>
      <c r="H374" s="3">
        <v>2</v>
      </c>
      <c r="I374" t="str">
        <f ca="1">PROPER(Table1[[#This Row],[Extracurricular 
Activities]])</f>
        <v>False</v>
      </c>
      <c r="J374">
        <v>4</v>
      </c>
      <c r="K374" t="s">
        <v>3119</v>
      </c>
      <c r="L374">
        <v>73</v>
      </c>
      <c r="M374" s="12" t="str" cm="1">
        <f t="array" ref="M374">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374">
        <v>95</v>
      </c>
      <c r="O374" s="13" t="str" cm="1">
        <f t="array" ref="O37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374">
        <v>54</v>
      </c>
      <c r="Q374" s="13" t="str" cm="1">
        <f t="array" ref="Q37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C</v>
      </c>
      <c r="R374">
        <v>94</v>
      </c>
      <c r="S374" t="str" cm="1">
        <f t="array" ref="S37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374">
        <v>99</v>
      </c>
      <c r="U374" t="str" cm="1">
        <f t="array" ref="U37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374">
        <v>58</v>
      </c>
      <c r="W374" t="str" cm="1">
        <f t="array" ref="W37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C</v>
      </c>
      <c r="X374">
        <v>94</v>
      </c>
      <c r="Y374" t="str" cm="1">
        <f t="array" ref="Y37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374">
        <f>SUM(Table1[[#This Row],[Math 
Score]],Table1[[#This Row],[History 
Score]],Table1[[#This Row],[Physics 
Score]],Table1[[#This Row],[Chemistry 
Score]],Table1[[#This Row],[Biology 
Score]],Table1[[#This Row],[English 
Score]],Table1[[#This Row],[Geography 
Score]])</f>
        <v>567</v>
      </c>
      <c r="AA374" s="3">
        <f>AVERAGE(Table1[[#This Row],[Math 
Score]],Table1[[#This Row],[History 
Score]],Table1[[#This Row],[Physics 
Score]],Table1[[#This Row],[Chemistry 
Score]],Table1[[#This Row],[Biology 
Score]],Table1[[#This Row],[English 
Score]],Table1[[#This Row],[Geography 
Score]])</f>
        <v>81</v>
      </c>
      <c r="AB37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374">
        <f t="shared" si="5"/>
        <v>994</v>
      </c>
      <c r="AD374" t="str">
        <f>_xlfn.IFS(Table1[[#This Row],[Absence 
Days]]&lt;3,"Excellent",Table1[[#This Row],[Absence 
Days]]&lt;=6,"Good",Table1[[#This Row],[Absence 
Days]]&gt;6,"Poor")</f>
        <v>Excellent</v>
      </c>
    </row>
    <row r="375" spans="1:30" x14ac:dyDescent="0.35">
      <c r="A375">
        <v>374</v>
      </c>
      <c r="B375" s="2" t="s">
        <v>75</v>
      </c>
      <c r="C375" t="s">
        <v>694</v>
      </c>
      <c r="D375" t="str">
        <f>_xlfn.TEXTJOIN(" ",TRUE,Table1[[#This Row],[First 
Name]:[Last 
Name]])</f>
        <v>William Ballard</v>
      </c>
      <c r="E375" t="s">
        <v>1485</v>
      </c>
      <c r="F375" t="s">
        <v>3244</v>
      </c>
      <c r="G375" t="str">
        <f ca="1">PROPER(Table1[[#This Row],[Part Time 
Job]])</f>
        <v>True</v>
      </c>
      <c r="H375" s="3">
        <v>10</v>
      </c>
      <c r="I375" t="str">
        <f ca="1">PROPER(Table1[[#This Row],[Extracurricular 
Activities]])</f>
        <v>True</v>
      </c>
      <c r="J375">
        <v>0</v>
      </c>
      <c r="K375" t="s">
        <v>3119</v>
      </c>
      <c r="L375">
        <v>61</v>
      </c>
      <c r="M375" s="12" t="str" cm="1">
        <f t="array" ref="M375">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375">
        <v>65</v>
      </c>
      <c r="O375" s="13" t="str" cm="1">
        <f t="array" ref="O37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375">
        <v>73</v>
      </c>
      <c r="Q375" s="13" t="str" cm="1">
        <f t="array" ref="Q37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375">
        <v>78</v>
      </c>
      <c r="S375" t="str" cm="1">
        <f t="array" ref="S37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375">
        <v>77</v>
      </c>
      <c r="U375" t="str" cm="1">
        <f t="array" ref="U37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375">
        <v>97</v>
      </c>
      <c r="W375" t="str" cm="1">
        <f t="array" ref="W37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375">
        <v>96</v>
      </c>
      <c r="Y375" t="str" cm="1">
        <f t="array" ref="Y37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375">
        <f>SUM(Table1[[#This Row],[Math 
Score]],Table1[[#This Row],[History 
Score]],Table1[[#This Row],[Physics 
Score]],Table1[[#This Row],[Chemistry 
Score]],Table1[[#This Row],[Biology 
Score]],Table1[[#This Row],[English 
Score]],Table1[[#This Row],[Geography 
Score]])</f>
        <v>547</v>
      </c>
      <c r="AA375" s="3">
        <f>AVERAGE(Table1[[#This Row],[Math 
Score]],Table1[[#This Row],[History 
Score]],Table1[[#This Row],[Physics 
Score]],Table1[[#This Row],[Chemistry 
Score]],Table1[[#This Row],[Biology 
Score]],Table1[[#This Row],[English 
Score]],Table1[[#This Row],[Geography 
Score]])</f>
        <v>78.142857142857139</v>
      </c>
      <c r="AB37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375">
        <f t="shared" si="5"/>
        <v>1388</v>
      </c>
      <c r="AD375" t="str">
        <f>_xlfn.IFS(Table1[[#This Row],[Absence 
Days]]&lt;3,"Excellent",Table1[[#This Row],[Absence 
Days]]&lt;=6,"Good",Table1[[#This Row],[Absence 
Days]]&gt;6,"Poor")</f>
        <v>Poor</v>
      </c>
    </row>
    <row r="376" spans="1:30" x14ac:dyDescent="0.35">
      <c r="A376">
        <v>375</v>
      </c>
      <c r="B376" s="2" t="s">
        <v>207</v>
      </c>
      <c r="C376" t="s">
        <v>618</v>
      </c>
      <c r="D376" t="str">
        <f>_xlfn.TEXTJOIN(" ",TRUE,Table1[[#This Row],[First 
Name]:[Last 
Name]])</f>
        <v>Kristen Adams</v>
      </c>
      <c r="E376" t="s">
        <v>1486</v>
      </c>
      <c r="F376" t="s">
        <v>3245</v>
      </c>
      <c r="G376" t="str">
        <f ca="1">PROPER(Table1[[#This Row],[Part Time 
Job]])</f>
        <v>False</v>
      </c>
      <c r="H376" s="3">
        <v>5</v>
      </c>
      <c r="I376" t="str">
        <f ca="1">PROPER(Table1[[#This Row],[Extracurricular 
Activities]])</f>
        <v>True</v>
      </c>
      <c r="J376">
        <v>21</v>
      </c>
      <c r="K376" t="s">
        <v>3116</v>
      </c>
      <c r="L376">
        <v>77</v>
      </c>
      <c r="M376" s="12" t="str" cm="1">
        <f t="array" ref="M37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376">
        <v>72</v>
      </c>
      <c r="O376" s="13" t="str" cm="1">
        <f t="array" ref="O37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376">
        <v>81</v>
      </c>
      <c r="Q376" s="13" t="str" cm="1">
        <f t="array" ref="Q37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376">
        <v>63</v>
      </c>
      <c r="S376" t="str" cm="1">
        <f t="array" ref="S37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376">
        <v>69</v>
      </c>
      <c r="U376" t="str" cm="1">
        <f t="array" ref="U37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376">
        <v>73</v>
      </c>
      <c r="W376" t="str" cm="1">
        <f t="array" ref="W37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376">
        <v>80</v>
      </c>
      <c r="Y376" t="str" cm="1">
        <f t="array" ref="Y37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376">
        <f>SUM(Table1[[#This Row],[Math 
Score]],Table1[[#This Row],[History 
Score]],Table1[[#This Row],[Physics 
Score]],Table1[[#This Row],[Chemistry 
Score]],Table1[[#This Row],[Biology 
Score]],Table1[[#This Row],[English 
Score]],Table1[[#This Row],[Geography 
Score]])</f>
        <v>515</v>
      </c>
      <c r="AA376" s="3">
        <f>AVERAGE(Table1[[#This Row],[Math 
Score]],Table1[[#This Row],[History 
Score]],Table1[[#This Row],[Physics 
Score]],Table1[[#This Row],[Chemistry 
Score]],Table1[[#This Row],[Biology 
Score]],Table1[[#This Row],[English 
Score]],Table1[[#This Row],[Geography 
Score]])</f>
        <v>73.571428571428569</v>
      </c>
      <c r="AB37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376">
        <f t="shared" si="5"/>
        <v>1798</v>
      </c>
      <c r="AD376" t="str">
        <f>_xlfn.IFS(Table1[[#This Row],[Absence 
Days]]&lt;3,"Excellent",Table1[[#This Row],[Absence 
Days]]&lt;=6,"Good",Table1[[#This Row],[Absence 
Days]]&gt;6,"Poor")</f>
        <v>Good</v>
      </c>
    </row>
    <row r="377" spans="1:30" x14ac:dyDescent="0.35">
      <c r="A377">
        <v>376</v>
      </c>
      <c r="B377" s="2" t="s">
        <v>68</v>
      </c>
      <c r="C377" t="s">
        <v>433</v>
      </c>
      <c r="D377" t="str">
        <f>_xlfn.TEXTJOIN(" ",TRUE,Table1[[#This Row],[First 
Name]:[Last 
Name]])</f>
        <v>Chelsea Mitchell</v>
      </c>
      <c r="E377" t="s">
        <v>1487</v>
      </c>
      <c r="F377" t="s">
        <v>3245</v>
      </c>
      <c r="G377" t="str">
        <f ca="1">PROPER(Table1[[#This Row],[Part Time 
Job]])</f>
        <v>False</v>
      </c>
      <c r="H377" s="3">
        <v>2</v>
      </c>
      <c r="I377" t="str">
        <f ca="1">PROPER(Table1[[#This Row],[Extracurricular 
Activities]])</f>
        <v>False</v>
      </c>
      <c r="J377">
        <v>29</v>
      </c>
      <c r="K377" t="s">
        <v>3122</v>
      </c>
      <c r="L377">
        <v>77</v>
      </c>
      <c r="M377" s="12" t="str" cm="1">
        <f t="array" ref="M37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377">
        <v>87</v>
      </c>
      <c r="O377" s="13" t="str" cm="1">
        <f t="array" ref="O37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377">
        <v>65</v>
      </c>
      <c r="Q377" s="13" t="str" cm="1">
        <f t="array" ref="Q37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377">
        <v>91</v>
      </c>
      <c r="S377" t="str" cm="1">
        <f t="array" ref="S37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377">
        <v>71</v>
      </c>
      <c r="U377" t="str" cm="1">
        <f t="array" ref="U37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377">
        <v>90</v>
      </c>
      <c r="W377" t="str" cm="1">
        <f t="array" ref="W37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377">
        <v>90</v>
      </c>
      <c r="Y377" t="str" cm="1">
        <f t="array" ref="Y37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377">
        <f>SUM(Table1[[#This Row],[Math 
Score]],Table1[[#This Row],[History 
Score]],Table1[[#This Row],[Physics 
Score]],Table1[[#This Row],[Chemistry 
Score]],Table1[[#This Row],[Biology 
Score]],Table1[[#This Row],[English 
Score]],Table1[[#This Row],[Geography 
Score]])</f>
        <v>571</v>
      </c>
      <c r="AA377" s="3">
        <f>AVERAGE(Table1[[#This Row],[Math 
Score]],Table1[[#This Row],[History 
Score]],Table1[[#This Row],[Physics 
Score]],Table1[[#This Row],[Chemistry 
Score]],Table1[[#This Row],[Biology 
Score]],Table1[[#This Row],[English 
Score]],Table1[[#This Row],[Geography 
Score]])</f>
        <v>81.571428571428569</v>
      </c>
      <c r="AB37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377">
        <f t="shared" si="5"/>
        <v>915</v>
      </c>
      <c r="AD377" t="str">
        <f>_xlfn.IFS(Table1[[#This Row],[Absence 
Days]]&lt;3,"Excellent",Table1[[#This Row],[Absence 
Days]]&lt;=6,"Good",Table1[[#This Row],[Absence 
Days]]&gt;6,"Poor")</f>
        <v>Excellent</v>
      </c>
    </row>
    <row r="378" spans="1:30" x14ac:dyDescent="0.35">
      <c r="A378">
        <v>377</v>
      </c>
      <c r="B378" s="2" t="s">
        <v>76</v>
      </c>
      <c r="C378" t="s">
        <v>695</v>
      </c>
      <c r="D378" t="str">
        <f>_xlfn.TEXTJOIN(" ",TRUE,Table1[[#This Row],[First 
Name]:[Last 
Name]])</f>
        <v>Patrick Everett</v>
      </c>
      <c r="E378" t="s">
        <v>1488</v>
      </c>
      <c r="F378" t="s">
        <v>3244</v>
      </c>
      <c r="G378" t="str">
        <f ca="1">PROPER(Table1[[#This Row],[Part Time 
Job]])</f>
        <v>False</v>
      </c>
      <c r="H378" s="3">
        <v>3</v>
      </c>
      <c r="I378" t="str">
        <f ca="1">PROPER(Table1[[#This Row],[Extracurricular 
Activities]])</f>
        <v>False</v>
      </c>
      <c r="J378">
        <v>32</v>
      </c>
      <c r="K378" t="s">
        <v>3116</v>
      </c>
      <c r="L378">
        <v>99</v>
      </c>
      <c r="M378" s="12" t="str" cm="1">
        <f t="array" ref="M37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378">
        <v>94</v>
      </c>
      <c r="O378" s="13" t="str" cm="1">
        <f t="array" ref="O37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378">
        <v>94</v>
      </c>
      <c r="Q378" s="13" t="str" cm="1">
        <f t="array" ref="Q37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378">
        <v>62</v>
      </c>
      <c r="S378" t="str" cm="1">
        <f t="array" ref="S37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378">
        <v>68</v>
      </c>
      <c r="U378" t="str" cm="1">
        <f t="array" ref="U37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378">
        <v>79</v>
      </c>
      <c r="W378" t="str" cm="1">
        <f t="array" ref="W37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378">
        <v>68</v>
      </c>
      <c r="Y378" t="str" cm="1">
        <f t="array" ref="Y37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378">
        <f>SUM(Table1[[#This Row],[Math 
Score]],Table1[[#This Row],[History 
Score]],Table1[[#This Row],[Physics 
Score]],Table1[[#This Row],[Chemistry 
Score]],Table1[[#This Row],[Biology 
Score]],Table1[[#This Row],[English 
Score]],Table1[[#This Row],[Geography 
Score]])</f>
        <v>564</v>
      </c>
      <c r="AA378" s="3">
        <f>AVERAGE(Table1[[#This Row],[Math 
Score]],Table1[[#This Row],[History 
Score]],Table1[[#This Row],[Physics 
Score]],Table1[[#This Row],[Chemistry 
Score]],Table1[[#This Row],[Biology 
Score]],Table1[[#This Row],[English 
Score]],Table1[[#This Row],[Geography 
Score]])</f>
        <v>80.571428571428569</v>
      </c>
      <c r="AB37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378">
        <f t="shared" si="5"/>
        <v>1056</v>
      </c>
      <c r="AD378" t="str">
        <f>_xlfn.IFS(Table1[[#This Row],[Absence 
Days]]&lt;3,"Excellent",Table1[[#This Row],[Absence 
Days]]&lt;=6,"Good",Table1[[#This Row],[Absence 
Days]]&gt;6,"Poor")</f>
        <v>Good</v>
      </c>
    </row>
    <row r="379" spans="1:30" x14ac:dyDescent="0.35">
      <c r="A379">
        <v>378</v>
      </c>
      <c r="B379" s="2" t="s">
        <v>190</v>
      </c>
      <c r="C379" t="s">
        <v>528</v>
      </c>
      <c r="D379" t="str">
        <f>_xlfn.TEXTJOIN(" ",TRUE,Table1[[#This Row],[First 
Name]:[Last 
Name]])</f>
        <v>Carla Parker</v>
      </c>
      <c r="E379" t="s">
        <v>1489</v>
      </c>
      <c r="F379" t="s">
        <v>3245</v>
      </c>
      <c r="G379" t="str">
        <f ca="1">PROPER(Table1[[#This Row],[Part Time 
Job]])</f>
        <v>False</v>
      </c>
      <c r="H379" s="3">
        <v>7</v>
      </c>
      <c r="I379" t="str">
        <f ca="1">PROPER(Table1[[#This Row],[Extracurricular 
Activities]])</f>
        <v>False</v>
      </c>
      <c r="J379">
        <v>14</v>
      </c>
      <c r="K379" t="s">
        <v>3116</v>
      </c>
      <c r="L379">
        <v>73</v>
      </c>
      <c r="M379" s="12" t="str" cm="1">
        <f t="array" ref="M379">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379">
        <v>69</v>
      </c>
      <c r="O379" s="13" t="str" cm="1">
        <f t="array" ref="O37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379">
        <v>94</v>
      </c>
      <c r="Q379" s="13" t="str" cm="1">
        <f t="array" ref="Q37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379">
        <v>78</v>
      </c>
      <c r="S379" t="str" cm="1">
        <f t="array" ref="S37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379">
        <v>76</v>
      </c>
      <c r="U379" t="str" cm="1">
        <f t="array" ref="U37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379">
        <v>63</v>
      </c>
      <c r="W379" t="str" cm="1">
        <f t="array" ref="W37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379">
        <v>71</v>
      </c>
      <c r="Y379" t="str" cm="1">
        <f t="array" ref="Y37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379">
        <f>SUM(Table1[[#This Row],[Math 
Score]],Table1[[#This Row],[History 
Score]],Table1[[#This Row],[Physics 
Score]],Table1[[#This Row],[Chemistry 
Score]],Table1[[#This Row],[Biology 
Score]],Table1[[#This Row],[English 
Score]],Table1[[#This Row],[Geography 
Score]])</f>
        <v>524</v>
      </c>
      <c r="AA379" s="3">
        <f>AVERAGE(Table1[[#This Row],[Math 
Score]],Table1[[#This Row],[History 
Score]],Table1[[#This Row],[Physics 
Score]],Table1[[#This Row],[Chemistry 
Score]],Table1[[#This Row],[Biology 
Score]],Table1[[#This Row],[English 
Score]],Table1[[#This Row],[Geography 
Score]])</f>
        <v>74.857142857142861</v>
      </c>
      <c r="AB37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379">
        <f t="shared" si="5"/>
        <v>1715</v>
      </c>
      <c r="AD379" t="str">
        <f>_xlfn.IFS(Table1[[#This Row],[Absence 
Days]]&lt;3,"Excellent",Table1[[#This Row],[Absence 
Days]]&lt;=6,"Good",Table1[[#This Row],[Absence 
Days]]&gt;6,"Poor")</f>
        <v>Poor</v>
      </c>
    </row>
    <row r="380" spans="1:30" x14ac:dyDescent="0.35">
      <c r="A380">
        <v>379</v>
      </c>
      <c r="B380" s="2" t="s">
        <v>53</v>
      </c>
      <c r="C380" t="s">
        <v>696</v>
      </c>
      <c r="D380" t="str">
        <f>_xlfn.TEXTJOIN(" ",TRUE,Table1[[#This Row],[First 
Name]:[Last 
Name]])</f>
        <v>Casey Galvan</v>
      </c>
      <c r="E380" t="s">
        <v>1490</v>
      </c>
      <c r="F380" t="s">
        <v>3244</v>
      </c>
      <c r="G380" t="str">
        <f ca="1">PROPER(Table1[[#This Row],[Part Time 
Job]])</f>
        <v>False</v>
      </c>
      <c r="H380" s="3">
        <v>1</v>
      </c>
      <c r="I380" t="str">
        <f ca="1">PROPER(Table1[[#This Row],[Extracurricular 
Activities]])</f>
        <v>False</v>
      </c>
      <c r="J380">
        <v>25</v>
      </c>
      <c r="K380" t="s">
        <v>3112</v>
      </c>
      <c r="L380">
        <v>95</v>
      </c>
      <c r="M380" s="12" t="str" cm="1">
        <f t="array" ref="M38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380">
        <v>89</v>
      </c>
      <c r="O380" s="13" t="str" cm="1">
        <f t="array" ref="O38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380">
        <v>96</v>
      </c>
      <c r="Q380" s="13" t="str" cm="1">
        <f t="array" ref="Q38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380">
        <v>89</v>
      </c>
      <c r="S380" t="str" cm="1">
        <f t="array" ref="S38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380">
        <v>60</v>
      </c>
      <c r="U380" t="str" cm="1">
        <f t="array" ref="U38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380">
        <v>99</v>
      </c>
      <c r="W380" t="str" cm="1">
        <f t="array" ref="W38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380">
        <v>93</v>
      </c>
      <c r="Y380" t="str" cm="1">
        <f t="array" ref="Y38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380">
        <f>SUM(Table1[[#This Row],[Math 
Score]],Table1[[#This Row],[History 
Score]],Table1[[#This Row],[Physics 
Score]],Table1[[#This Row],[Chemistry 
Score]],Table1[[#This Row],[Biology 
Score]],Table1[[#This Row],[English 
Score]],Table1[[#This Row],[Geography 
Score]])</f>
        <v>621</v>
      </c>
      <c r="AA380" s="3">
        <f>AVERAGE(Table1[[#This Row],[Math 
Score]],Table1[[#This Row],[History 
Score]],Table1[[#This Row],[Physics 
Score]],Table1[[#This Row],[Chemistry 
Score]],Table1[[#This Row],[Biology 
Score]],Table1[[#This Row],[English 
Score]],Table1[[#This Row],[Geography 
Score]])</f>
        <v>88.714285714285708</v>
      </c>
      <c r="AB38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380">
        <f t="shared" si="5"/>
        <v>214</v>
      </c>
      <c r="AD380" t="str">
        <f>_xlfn.IFS(Table1[[#This Row],[Absence 
Days]]&lt;3,"Excellent",Table1[[#This Row],[Absence 
Days]]&lt;=6,"Good",Table1[[#This Row],[Absence 
Days]]&gt;6,"Poor")</f>
        <v>Excellent</v>
      </c>
    </row>
    <row r="381" spans="1:30" x14ac:dyDescent="0.35">
      <c r="A381">
        <v>380</v>
      </c>
      <c r="B381" s="2" t="s">
        <v>58</v>
      </c>
      <c r="C381" t="s">
        <v>697</v>
      </c>
      <c r="D381" t="str">
        <f>_xlfn.TEXTJOIN(" ",TRUE,Table1[[#This Row],[First 
Name]:[Last 
Name]])</f>
        <v>Eric Moran</v>
      </c>
      <c r="E381" t="s">
        <v>1491</v>
      </c>
      <c r="F381" t="s">
        <v>3244</v>
      </c>
      <c r="G381" t="str">
        <f ca="1">PROPER(Table1[[#This Row],[Part Time 
Job]])</f>
        <v>False</v>
      </c>
      <c r="H381" s="3">
        <v>7</v>
      </c>
      <c r="I381" t="str">
        <f ca="1">PROPER(Table1[[#This Row],[Extracurricular 
Activities]])</f>
        <v>True</v>
      </c>
      <c r="J381">
        <v>4</v>
      </c>
      <c r="K381" t="s">
        <v>3116</v>
      </c>
      <c r="L381">
        <v>94</v>
      </c>
      <c r="M381" s="12" t="str" cm="1">
        <f t="array" ref="M38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381">
        <v>79</v>
      </c>
      <c r="O381" s="13" t="str" cm="1">
        <f t="array" ref="O38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381">
        <v>92</v>
      </c>
      <c r="Q381" s="13" t="str" cm="1">
        <f t="array" ref="Q38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381">
        <v>100</v>
      </c>
      <c r="S381" t="str" cm="1">
        <f t="array" ref="S38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381">
        <v>93</v>
      </c>
      <c r="U381" t="str" cm="1">
        <f t="array" ref="U38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381">
        <v>63</v>
      </c>
      <c r="W381" t="str" cm="1">
        <f t="array" ref="W38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381">
        <v>98</v>
      </c>
      <c r="Y381" t="str" cm="1">
        <f t="array" ref="Y38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381">
        <f>SUM(Table1[[#This Row],[Math 
Score]],Table1[[#This Row],[History 
Score]],Table1[[#This Row],[Physics 
Score]],Table1[[#This Row],[Chemistry 
Score]],Table1[[#This Row],[Biology 
Score]],Table1[[#This Row],[English 
Score]],Table1[[#This Row],[Geography 
Score]])</f>
        <v>619</v>
      </c>
      <c r="AA381" s="3">
        <f>AVERAGE(Table1[[#This Row],[Math 
Score]],Table1[[#This Row],[History 
Score]],Table1[[#This Row],[Physics 
Score]],Table1[[#This Row],[Chemistry 
Score]],Table1[[#This Row],[Biology 
Score]],Table1[[#This Row],[English 
Score]],Table1[[#This Row],[Geography 
Score]])</f>
        <v>88.428571428571431</v>
      </c>
      <c r="AB38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381">
        <f t="shared" si="5"/>
        <v>221</v>
      </c>
      <c r="AD381" t="str">
        <f>_xlfn.IFS(Table1[[#This Row],[Absence 
Days]]&lt;3,"Excellent",Table1[[#This Row],[Absence 
Days]]&lt;=6,"Good",Table1[[#This Row],[Absence 
Days]]&gt;6,"Poor")</f>
        <v>Poor</v>
      </c>
    </row>
    <row r="382" spans="1:30" x14ac:dyDescent="0.35">
      <c r="A382">
        <v>381</v>
      </c>
      <c r="B382" s="2" t="s">
        <v>208</v>
      </c>
      <c r="C382" t="s">
        <v>698</v>
      </c>
      <c r="D382" t="str">
        <f>_xlfn.TEXTJOIN(" ",TRUE,Table1[[#This Row],[First 
Name]:[Last 
Name]])</f>
        <v>Tabitha Hudson</v>
      </c>
      <c r="E382" t="s">
        <v>1492</v>
      </c>
      <c r="F382" t="s">
        <v>3245</v>
      </c>
      <c r="G382" t="str">
        <f ca="1">PROPER(Table1[[#This Row],[Part Time 
Job]])</f>
        <v>False</v>
      </c>
      <c r="H382" s="3">
        <v>2</v>
      </c>
      <c r="I382" t="str">
        <f ca="1">PROPER(Table1[[#This Row],[Extracurricular 
Activities]])</f>
        <v>True</v>
      </c>
      <c r="J382">
        <v>32</v>
      </c>
      <c r="K382" t="s">
        <v>3127</v>
      </c>
      <c r="L382">
        <v>75</v>
      </c>
      <c r="M382" s="12" t="str" cm="1">
        <f t="array" ref="M38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382">
        <v>83</v>
      </c>
      <c r="O382" s="13" t="str" cm="1">
        <f t="array" ref="O38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382">
        <v>85</v>
      </c>
      <c r="Q382" s="13" t="str" cm="1">
        <f t="array" ref="Q38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382">
        <v>65</v>
      </c>
      <c r="S382" t="str" cm="1">
        <f t="array" ref="S38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382">
        <v>76</v>
      </c>
      <c r="U382" t="str" cm="1">
        <f t="array" ref="U38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382">
        <v>94</v>
      </c>
      <c r="W382" t="str" cm="1">
        <f t="array" ref="W38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382">
        <v>60</v>
      </c>
      <c r="Y382" t="str" cm="1">
        <f t="array" ref="Y38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382">
        <f>SUM(Table1[[#This Row],[Math 
Score]],Table1[[#This Row],[History 
Score]],Table1[[#This Row],[Physics 
Score]],Table1[[#This Row],[Chemistry 
Score]],Table1[[#This Row],[Biology 
Score]],Table1[[#This Row],[English 
Score]],Table1[[#This Row],[Geography 
Score]])</f>
        <v>538</v>
      </c>
      <c r="AA382" s="3">
        <f>AVERAGE(Table1[[#This Row],[Math 
Score]],Table1[[#This Row],[History 
Score]],Table1[[#This Row],[Physics 
Score]],Table1[[#This Row],[Chemistry 
Score]],Table1[[#This Row],[Biology 
Score]],Table1[[#This Row],[English 
Score]],Table1[[#This Row],[Geography 
Score]])</f>
        <v>76.857142857142861</v>
      </c>
      <c r="AB38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382">
        <f t="shared" si="5"/>
        <v>1537</v>
      </c>
      <c r="AD382" t="str">
        <f>_xlfn.IFS(Table1[[#This Row],[Absence 
Days]]&lt;3,"Excellent",Table1[[#This Row],[Absence 
Days]]&lt;=6,"Good",Table1[[#This Row],[Absence 
Days]]&gt;6,"Poor")</f>
        <v>Excellent</v>
      </c>
    </row>
    <row r="383" spans="1:30" x14ac:dyDescent="0.35">
      <c r="A383">
        <v>382</v>
      </c>
      <c r="B383" s="2" t="s">
        <v>209</v>
      </c>
      <c r="C383" t="s">
        <v>646</v>
      </c>
      <c r="D383" t="str">
        <f>_xlfn.TEXTJOIN(" ",TRUE,Table1[[#This Row],[First 
Name]:[Last 
Name]])</f>
        <v>Lance Salazar</v>
      </c>
      <c r="E383" t="s">
        <v>1493</v>
      </c>
      <c r="F383" t="s">
        <v>3244</v>
      </c>
      <c r="G383" t="str">
        <f ca="1">PROPER(Table1[[#This Row],[Part Time 
Job]])</f>
        <v>False</v>
      </c>
      <c r="H383" s="3">
        <v>2</v>
      </c>
      <c r="I383" t="str">
        <f ca="1">PROPER(Table1[[#This Row],[Extracurricular 
Activities]])</f>
        <v>False</v>
      </c>
      <c r="J383">
        <v>7</v>
      </c>
      <c r="K383" t="s">
        <v>3116</v>
      </c>
      <c r="L383">
        <v>66</v>
      </c>
      <c r="M383" s="12" t="str" cm="1">
        <f t="array" ref="M383">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383">
        <v>83</v>
      </c>
      <c r="O383" s="13" t="str" cm="1">
        <f t="array" ref="O38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383">
        <v>77</v>
      </c>
      <c r="Q383" s="13" t="str" cm="1">
        <f t="array" ref="Q38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383">
        <v>91</v>
      </c>
      <c r="S383" t="str" cm="1">
        <f t="array" ref="S38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383">
        <v>84</v>
      </c>
      <c r="U383" t="str" cm="1">
        <f t="array" ref="U38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383">
        <v>74</v>
      </c>
      <c r="W383" t="str" cm="1">
        <f t="array" ref="W38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383">
        <v>62</v>
      </c>
      <c r="Y383" t="str" cm="1">
        <f t="array" ref="Y38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383">
        <f>SUM(Table1[[#This Row],[Math 
Score]],Table1[[#This Row],[History 
Score]],Table1[[#This Row],[Physics 
Score]],Table1[[#This Row],[Chemistry 
Score]],Table1[[#This Row],[Biology 
Score]],Table1[[#This Row],[English 
Score]],Table1[[#This Row],[Geography 
Score]])</f>
        <v>537</v>
      </c>
      <c r="AA383" s="3">
        <f>AVERAGE(Table1[[#This Row],[Math 
Score]],Table1[[#This Row],[History 
Score]],Table1[[#This Row],[Physics 
Score]],Table1[[#This Row],[Chemistry 
Score]],Table1[[#This Row],[Biology 
Score]],Table1[[#This Row],[English 
Score]],Table1[[#This Row],[Geography 
Score]])</f>
        <v>76.714285714285708</v>
      </c>
      <c r="AB38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383">
        <f t="shared" si="5"/>
        <v>1553</v>
      </c>
      <c r="AD383" t="str">
        <f>_xlfn.IFS(Table1[[#This Row],[Absence 
Days]]&lt;3,"Excellent",Table1[[#This Row],[Absence 
Days]]&lt;=6,"Good",Table1[[#This Row],[Absence 
Days]]&gt;6,"Poor")</f>
        <v>Excellent</v>
      </c>
    </row>
    <row r="384" spans="1:30" x14ac:dyDescent="0.35">
      <c r="A384">
        <v>383</v>
      </c>
      <c r="B384" s="2" t="s">
        <v>51</v>
      </c>
      <c r="C384" t="s">
        <v>552</v>
      </c>
      <c r="D384" t="str">
        <f>_xlfn.TEXTJOIN(" ",TRUE,Table1[[#This Row],[First 
Name]:[Last 
Name]])</f>
        <v>Melissa Williamson</v>
      </c>
      <c r="E384" t="s">
        <v>1494</v>
      </c>
      <c r="F384" t="s">
        <v>3245</v>
      </c>
      <c r="G384" t="str">
        <f ca="1">PROPER(Table1[[#This Row],[Part Time 
Job]])</f>
        <v>True</v>
      </c>
      <c r="H384" s="3">
        <v>1</v>
      </c>
      <c r="I384" t="str">
        <f ca="1">PROPER(Table1[[#This Row],[Extracurricular 
Activities]])</f>
        <v>False</v>
      </c>
      <c r="J384">
        <v>22</v>
      </c>
      <c r="K384" t="s">
        <v>3117</v>
      </c>
      <c r="L384">
        <v>91</v>
      </c>
      <c r="M384" s="12" t="str" cm="1">
        <f t="array" ref="M38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384">
        <v>79</v>
      </c>
      <c r="O384" s="13" t="str" cm="1">
        <f t="array" ref="O38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384">
        <v>89</v>
      </c>
      <c r="Q384" s="13" t="str" cm="1">
        <f t="array" ref="Q38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384">
        <v>74</v>
      </c>
      <c r="S384" t="str" cm="1">
        <f t="array" ref="S38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384">
        <v>79</v>
      </c>
      <c r="U384" t="str" cm="1">
        <f t="array" ref="U38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384">
        <v>74</v>
      </c>
      <c r="W384" t="str" cm="1">
        <f t="array" ref="W38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384">
        <v>61</v>
      </c>
      <c r="Y384" t="str" cm="1">
        <f t="array" ref="Y38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384">
        <f>SUM(Table1[[#This Row],[Math 
Score]],Table1[[#This Row],[History 
Score]],Table1[[#This Row],[Physics 
Score]],Table1[[#This Row],[Chemistry 
Score]],Table1[[#This Row],[Biology 
Score]],Table1[[#This Row],[English 
Score]],Table1[[#This Row],[Geography 
Score]])</f>
        <v>547</v>
      </c>
      <c r="AA384" s="3">
        <f>AVERAGE(Table1[[#This Row],[Math 
Score]],Table1[[#This Row],[History 
Score]],Table1[[#This Row],[Physics 
Score]],Table1[[#This Row],[Chemistry 
Score]],Table1[[#This Row],[Biology 
Score]],Table1[[#This Row],[English 
Score]],Table1[[#This Row],[Geography 
Score]])</f>
        <v>78.142857142857139</v>
      </c>
      <c r="AB38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384">
        <f t="shared" si="5"/>
        <v>1388</v>
      </c>
      <c r="AD384" t="str">
        <f>_xlfn.IFS(Table1[[#This Row],[Absence 
Days]]&lt;3,"Excellent",Table1[[#This Row],[Absence 
Days]]&lt;=6,"Good",Table1[[#This Row],[Absence 
Days]]&gt;6,"Poor")</f>
        <v>Excellent</v>
      </c>
    </row>
    <row r="385" spans="1:30" x14ac:dyDescent="0.35">
      <c r="A385">
        <v>384</v>
      </c>
      <c r="B385" s="2" t="s">
        <v>71</v>
      </c>
      <c r="C385" t="s">
        <v>699</v>
      </c>
      <c r="D385" t="str">
        <f>_xlfn.TEXTJOIN(" ",TRUE,Table1[[#This Row],[First 
Name]:[Last 
Name]])</f>
        <v>James Castro</v>
      </c>
      <c r="E385" t="s">
        <v>1495</v>
      </c>
      <c r="F385" t="s">
        <v>3244</v>
      </c>
      <c r="G385" t="str">
        <f ca="1">PROPER(Table1[[#This Row],[Part Time 
Job]])</f>
        <v>False</v>
      </c>
      <c r="H385" s="3">
        <v>5</v>
      </c>
      <c r="I385" t="str">
        <f ca="1">PROPER(Table1[[#This Row],[Extracurricular 
Activities]])</f>
        <v>False</v>
      </c>
      <c r="J385">
        <v>3</v>
      </c>
      <c r="K385" t="s">
        <v>3116</v>
      </c>
      <c r="L385">
        <v>81</v>
      </c>
      <c r="M385" s="12" t="str" cm="1">
        <f t="array" ref="M38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385">
        <v>61</v>
      </c>
      <c r="O385" s="13" t="str" cm="1">
        <f t="array" ref="O38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385">
        <v>75</v>
      </c>
      <c r="Q385" s="13" t="str" cm="1">
        <f t="array" ref="Q38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385">
        <v>65</v>
      </c>
      <c r="S385" t="str" cm="1">
        <f t="array" ref="S38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385">
        <v>90</v>
      </c>
      <c r="U385" t="str" cm="1">
        <f t="array" ref="U38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385">
        <v>92</v>
      </c>
      <c r="W385" t="str" cm="1">
        <f t="array" ref="W38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385">
        <v>80</v>
      </c>
      <c r="Y385" t="str" cm="1">
        <f t="array" ref="Y38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385">
        <f>SUM(Table1[[#This Row],[Math 
Score]],Table1[[#This Row],[History 
Score]],Table1[[#This Row],[Physics 
Score]],Table1[[#This Row],[Chemistry 
Score]],Table1[[#This Row],[Biology 
Score]],Table1[[#This Row],[English 
Score]],Table1[[#This Row],[Geography 
Score]])</f>
        <v>544</v>
      </c>
      <c r="AA385" s="3">
        <f>AVERAGE(Table1[[#This Row],[Math 
Score]],Table1[[#This Row],[History 
Score]],Table1[[#This Row],[Physics 
Score]],Table1[[#This Row],[Chemistry 
Score]],Table1[[#This Row],[Biology 
Score]],Table1[[#This Row],[English 
Score]],Table1[[#This Row],[Geography 
Score]])</f>
        <v>77.714285714285708</v>
      </c>
      <c r="AB38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385">
        <f t="shared" si="5"/>
        <v>1446</v>
      </c>
      <c r="AD385" t="str">
        <f>_xlfn.IFS(Table1[[#This Row],[Absence 
Days]]&lt;3,"Excellent",Table1[[#This Row],[Absence 
Days]]&lt;=6,"Good",Table1[[#This Row],[Absence 
Days]]&gt;6,"Poor")</f>
        <v>Good</v>
      </c>
    </row>
    <row r="386" spans="1:30" x14ac:dyDescent="0.35">
      <c r="A386">
        <v>385</v>
      </c>
      <c r="B386" s="2" t="s">
        <v>149</v>
      </c>
      <c r="C386" t="s">
        <v>592</v>
      </c>
      <c r="D386" t="str">
        <f>_xlfn.TEXTJOIN(" ",TRUE,Table1[[#This Row],[First 
Name]:[Last 
Name]])</f>
        <v>Joseph Johnson</v>
      </c>
      <c r="E386" t="s">
        <v>1496</v>
      </c>
      <c r="F386" t="s">
        <v>3244</v>
      </c>
      <c r="G386" t="str">
        <f ca="1">PROPER(Table1[[#This Row],[Part Time 
Job]])</f>
        <v>True</v>
      </c>
      <c r="H386" s="3">
        <v>8</v>
      </c>
      <c r="I386" t="str">
        <f ca="1">PROPER(Table1[[#This Row],[Extracurricular 
Activities]])</f>
        <v>False</v>
      </c>
      <c r="J386">
        <v>1</v>
      </c>
      <c r="K386" t="s">
        <v>3119</v>
      </c>
      <c r="L386">
        <v>71</v>
      </c>
      <c r="M386" s="12" t="str" cm="1">
        <f t="array" ref="M386">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386">
        <v>69</v>
      </c>
      <c r="O386" s="13" t="str" cm="1">
        <f t="array" ref="O38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386">
        <v>69</v>
      </c>
      <c r="Q386" s="13" t="str" cm="1">
        <f t="array" ref="Q38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386">
        <v>67</v>
      </c>
      <c r="S386" t="str" cm="1">
        <f t="array" ref="S38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386">
        <v>70</v>
      </c>
      <c r="U386" t="str" cm="1">
        <f t="array" ref="U38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386">
        <v>78</v>
      </c>
      <c r="W386" t="str" cm="1">
        <f t="array" ref="W38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386">
        <v>66</v>
      </c>
      <c r="Y386" t="str" cm="1">
        <f t="array" ref="Y38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386">
        <f>SUM(Table1[[#This Row],[Math 
Score]],Table1[[#This Row],[History 
Score]],Table1[[#This Row],[Physics 
Score]],Table1[[#This Row],[Chemistry 
Score]],Table1[[#This Row],[Biology 
Score]],Table1[[#This Row],[English 
Score]],Table1[[#This Row],[Geography 
Score]])</f>
        <v>490</v>
      </c>
      <c r="AA386" s="3">
        <f>AVERAGE(Table1[[#This Row],[Math 
Score]],Table1[[#This Row],[History 
Score]],Table1[[#This Row],[Physics 
Score]],Table1[[#This Row],[Chemistry 
Score]],Table1[[#This Row],[Biology 
Score]],Table1[[#This Row],[English 
Score]],Table1[[#This Row],[Geography 
Score]])</f>
        <v>70</v>
      </c>
      <c r="AB38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386">
        <f t="shared" ref="AC386:AC449" si="6">RANK(AA386,$AA$2:$AA$2001,0)</f>
        <v>1911</v>
      </c>
      <c r="AD386" t="str">
        <f>_xlfn.IFS(Table1[[#This Row],[Absence 
Days]]&lt;3,"Excellent",Table1[[#This Row],[Absence 
Days]]&lt;=6,"Good",Table1[[#This Row],[Absence 
Days]]&gt;6,"Poor")</f>
        <v>Poor</v>
      </c>
    </row>
    <row r="387" spans="1:30" x14ac:dyDescent="0.35">
      <c r="A387">
        <v>386</v>
      </c>
      <c r="B387" s="2" t="s">
        <v>210</v>
      </c>
      <c r="C387" t="s">
        <v>700</v>
      </c>
      <c r="D387" t="str">
        <f>_xlfn.TEXTJOIN(" ",TRUE,Table1[[#This Row],[First 
Name]:[Last 
Name]])</f>
        <v>Gene Woodward</v>
      </c>
      <c r="E387" t="s">
        <v>1497</v>
      </c>
      <c r="F387" t="s">
        <v>3244</v>
      </c>
      <c r="G387" t="str">
        <f ca="1">PROPER(Table1[[#This Row],[Part Time 
Job]])</f>
        <v>False</v>
      </c>
      <c r="H387" s="3">
        <v>4</v>
      </c>
      <c r="I387" t="str">
        <f ca="1">PROPER(Table1[[#This Row],[Extracurricular 
Activities]])</f>
        <v>True</v>
      </c>
      <c r="J387">
        <v>23</v>
      </c>
      <c r="K387" t="s">
        <v>3122</v>
      </c>
      <c r="L387">
        <v>77</v>
      </c>
      <c r="M387" s="12" t="str" cm="1">
        <f t="array" ref="M38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387">
        <v>94</v>
      </c>
      <c r="O387" s="13" t="str" cm="1">
        <f t="array" ref="O38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387">
        <v>97</v>
      </c>
      <c r="Q387" s="13" t="str" cm="1">
        <f t="array" ref="Q38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387">
        <v>77</v>
      </c>
      <c r="S387" t="str" cm="1">
        <f t="array" ref="S38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387">
        <v>63</v>
      </c>
      <c r="U387" t="str" cm="1">
        <f t="array" ref="U38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387">
        <v>98</v>
      </c>
      <c r="W387" t="str" cm="1">
        <f t="array" ref="W38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387">
        <v>98</v>
      </c>
      <c r="Y387" t="str" cm="1">
        <f t="array" ref="Y38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387">
        <f>SUM(Table1[[#This Row],[Math 
Score]],Table1[[#This Row],[History 
Score]],Table1[[#This Row],[Physics 
Score]],Table1[[#This Row],[Chemistry 
Score]],Table1[[#This Row],[Biology 
Score]],Table1[[#This Row],[English 
Score]],Table1[[#This Row],[Geography 
Score]])</f>
        <v>604</v>
      </c>
      <c r="AA387" s="3">
        <f>AVERAGE(Table1[[#This Row],[Math 
Score]],Table1[[#This Row],[History 
Score]],Table1[[#This Row],[Physics 
Score]],Table1[[#This Row],[Chemistry 
Score]],Table1[[#This Row],[Biology 
Score]],Table1[[#This Row],[English 
Score]],Table1[[#This Row],[Geography 
Score]])</f>
        <v>86.285714285714292</v>
      </c>
      <c r="AB38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387">
        <f t="shared" si="6"/>
        <v>353</v>
      </c>
      <c r="AD387" t="str">
        <f>_xlfn.IFS(Table1[[#This Row],[Absence 
Days]]&lt;3,"Excellent",Table1[[#This Row],[Absence 
Days]]&lt;=6,"Good",Table1[[#This Row],[Absence 
Days]]&gt;6,"Poor")</f>
        <v>Good</v>
      </c>
    </row>
    <row r="388" spans="1:30" x14ac:dyDescent="0.35">
      <c r="A388">
        <v>387</v>
      </c>
      <c r="B388" s="2" t="s">
        <v>11</v>
      </c>
      <c r="C388" t="s">
        <v>596</v>
      </c>
      <c r="D388" t="str">
        <f>_xlfn.TEXTJOIN(" ",TRUE,Table1[[#This Row],[First 
Name]:[Last 
Name]])</f>
        <v>Patricia Watson</v>
      </c>
      <c r="E388" t="s">
        <v>1498</v>
      </c>
      <c r="F388" t="s">
        <v>3245</v>
      </c>
      <c r="G388" t="str">
        <f ca="1">PROPER(Table1[[#This Row],[Part Time 
Job]])</f>
        <v>False</v>
      </c>
      <c r="H388" s="3">
        <v>0</v>
      </c>
      <c r="I388" t="str">
        <f ca="1">PROPER(Table1[[#This Row],[Extracurricular 
Activities]])</f>
        <v>False</v>
      </c>
      <c r="J388">
        <v>42</v>
      </c>
      <c r="K388" t="s">
        <v>3113</v>
      </c>
      <c r="L388">
        <v>91</v>
      </c>
      <c r="M388" s="12" t="str" cm="1">
        <f t="array" ref="M38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388">
        <v>87</v>
      </c>
      <c r="O388" s="13" t="str" cm="1">
        <f t="array" ref="O38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388">
        <v>93</v>
      </c>
      <c r="Q388" s="13" t="str" cm="1">
        <f t="array" ref="Q38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388">
        <v>85</v>
      </c>
      <c r="S388" t="str" cm="1">
        <f t="array" ref="S38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388">
        <v>98</v>
      </c>
      <c r="U388" t="str" cm="1">
        <f t="array" ref="U38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388">
        <v>85</v>
      </c>
      <c r="W388" t="str" cm="1">
        <f t="array" ref="W38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388">
        <v>95</v>
      </c>
      <c r="Y388" t="str" cm="1">
        <f t="array" ref="Y38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388">
        <f>SUM(Table1[[#This Row],[Math 
Score]],Table1[[#This Row],[History 
Score]],Table1[[#This Row],[Physics 
Score]],Table1[[#This Row],[Chemistry 
Score]],Table1[[#This Row],[Biology 
Score]],Table1[[#This Row],[English 
Score]],Table1[[#This Row],[Geography 
Score]])</f>
        <v>634</v>
      </c>
      <c r="AA388" s="3">
        <f>AVERAGE(Table1[[#This Row],[Math 
Score]],Table1[[#This Row],[History 
Score]],Table1[[#This Row],[Physics 
Score]],Table1[[#This Row],[Chemistry 
Score]],Table1[[#This Row],[Biology 
Score]],Table1[[#This Row],[English 
Score]],Table1[[#This Row],[Geography 
Score]])</f>
        <v>90.571428571428569</v>
      </c>
      <c r="AB38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388">
        <f t="shared" si="6"/>
        <v>131</v>
      </c>
      <c r="AD388" t="str">
        <f>_xlfn.IFS(Table1[[#This Row],[Absence 
Days]]&lt;3,"Excellent",Table1[[#This Row],[Absence 
Days]]&lt;=6,"Good",Table1[[#This Row],[Absence 
Days]]&gt;6,"Poor")</f>
        <v>Excellent</v>
      </c>
    </row>
    <row r="389" spans="1:30" x14ac:dyDescent="0.35">
      <c r="A389">
        <v>388</v>
      </c>
      <c r="B389" s="2" t="s">
        <v>124</v>
      </c>
      <c r="C389" t="s">
        <v>655</v>
      </c>
      <c r="D389" t="str">
        <f>_xlfn.TEXTJOIN(" ",TRUE,Table1[[#This Row],[First 
Name]:[Last 
Name]])</f>
        <v>John Carey</v>
      </c>
      <c r="E389" t="s">
        <v>1499</v>
      </c>
      <c r="F389" t="s">
        <v>3244</v>
      </c>
      <c r="G389" t="str">
        <f ca="1">PROPER(Table1[[#This Row],[Part Time 
Job]])</f>
        <v>False</v>
      </c>
      <c r="H389" s="3">
        <v>1</v>
      </c>
      <c r="I389" t="str">
        <f ca="1">PROPER(Table1[[#This Row],[Extracurricular 
Activities]])</f>
        <v>False</v>
      </c>
      <c r="J389">
        <v>30</v>
      </c>
      <c r="K389" t="s">
        <v>3120</v>
      </c>
      <c r="L389">
        <v>83</v>
      </c>
      <c r="M389" s="12" t="str" cm="1">
        <f t="array" ref="M38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389">
        <v>98</v>
      </c>
      <c r="O389" s="13" t="str" cm="1">
        <f t="array" ref="O38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389">
        <v>100</v>
      </c>
      <c r="Q389" s="13" t="str" cm="1">
        <f t="array" ref="Q38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389">
        <v>93</v>
      </c>
      <c r="S389" t="str" cm="1">
        <f t="array" ref="S38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389">
        <v>100</v>
      </c>
      <c r="U389" t="str" cm="1">
        <f t="array" ref="U38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389">
        <v>77</v>
      </c>
      <c r="W389" t="str" cm="1">
        <f t="array" ref="W38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389">
        <v>76</v>
      </c>
      <c r="Y389" t="str" cm="1">
        <f t="array" ref="Y38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389">
        <f>SUM(Table1[[#This Row],[Math 
Score]],Table1[[#This Row],[History 
Score]],Table1[[#This Row],[Physics 
Score]],Table1[[#This Row],[Chemistry 
Score]],Table1[[#This Row],[Biology 
Score]],Table1[[#This Row],[English 
Score]],Table1[[#This Row],[Geography 
Score]])</f>
        <v>627</v>
      </c>
      <c r="AA389" s="3">
        <f>AVERAGE(Table1[[#This Row],[Math 
Score]],Table1[[#This Row],[History 
Score]],Table1[[#This Row],[Physics 
Score]],Table1[[#This Row],[Chemistry 
Score]],Table1[[#This Row],[Biology 
Score]],Table1[[#This Row],[English 
Score]],Table1[[#This Row],[Geography 
Score]])</f>
        <v>89.571428571428569</v>
      </c>
      <c r="AB38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389">
        <f t="shared" si="6"/>
        <v>168</v>
      </c>
      <c r="AD389" t="str">
        <f>_xlfn.IFS(Table1[[#This Row],[Absence 
Days]]&lt;3,"Excellent",Table1[[#This Row],[Absence 
Days]]&lt;=6,"Good",Table1[[#This Row],[Absence 
Days]]&gt;6,"Poor")</f>
        <v>Excellent</v>
      </c>
    </row>
    <row r="390" spans="1:30" x14ac:dyDescent="0.35">
      <c r="A390">
        <v>389</v>
      </c>
      <c r="B390" s="2" t="s">
        <v>211</v>
      </c>
      <c r="C390" t="s">
        <v>595</v>
      </c>
      <c r="D390" t="str">
        <f>_xlfn.TEXTJOIN(" ",TRUE,Table1[[#This Row],[First 
Name]:[Last 
Name]])</f>
        <v>Sara Cochran</v>
      </c>
      <c r="E390" t="s">
        <v>1500</v>
      </c>
      <c r="F390" t="s">
        <v>3245</v>
      </c>
      <c r="G390" t="str">
        <f ca="1">PROPER(Table1[[#This Row],[Part Time 
Job]])</f>
        <v>False</v>
      </c>
      <c r="H390" s="3">
        <v>1</v>
      </c>
      <c r="I390" t="str">
        <f ca="1">PROPER(Table1[[#This Row],[Extracurricular 
Activities]])</f>
        <v>False</v>
      </c>
      <c r="J390">
        <v>1</v>
      </c>
      <c r="K390" t="s">
        <v>3119</v>
      </c>
      <c r="L390">
        <v>75</v>
      </c>
      <c r="M390" s="12" t="str" cm="1">
        <f t="array" ref="M39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390">
        <v>51</v>
      </c>
      <c r="O390" s="13" t="str" cm="1">
        <f t="array" ref="O39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C</v>
      </c>
      <c r="P390">
        <v>70</v>
      </c>
      <c r="Q390" s="13" t="str" cm="1">
        <f t="array" ref="Q39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390">
        <v>84</v>
      </c>
      <c r="S390" t="str" cm="1">
        <f t="array" ref="S39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390">
        <v>66</v>
      </c>
      <c r="U390" t="str" cm="1">
        <f t="array" ref="U39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390">
        <v>64</v>
      </c>
      <c r="W390" t="str" cm="1">
        <f t="array" ref="W39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390">
        <v>88</v>
      </c>
      <c r="Y390" t="str" cm="1">
        <f t="array" ref="Y39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390">
        <f>SUM(Table1[[#This Row],[Math 
Score]],Table1[[#This Row],[History 
Score]],Table1[[#This Row],[Physics 
Score]],Table1[[#This Row],[Chemistry 
Score]],Table1[[#This Row],[Biology 
Score]],Table1[[#This Row],[English 
Score]],Table1[[#This Row],[Geography 
Score]])</f>
        <v>498</v>
      </c>
      <c r="AA390" s="3">
        <f>AVERAGE(Table1[[#This Row],[Math 
Score]],Table1[[#This Row],[History 
Score]],Table1[[#This Row],[Physics 
Score]],Table1[[#This Row],[Chemistry 
Score]],Table1[[#This Row],[Biology 
Score]],Table1[[#This Row],[English 
Score]],Table1[[#This Row],[Geography 
Score]])</f>
        <v>71.142857142857139</v>
      </c>
      <c r="AB39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390">
        <f t="shared" si="6"/>
        <v>1884</v>
      </c>
      <c r="AD390" t="str">
        <f>_xlfn.IFS(Table1[[#This Row],[Absence 
Days]]&lt;3,"Excellent",Table1[[#This Row],[Absence 
Days]]&lt;=6,"Good",Table1[[#This Row],[Absence 
Days]]&gt;6,"Poor")</f>
        <v>Excellent</v>
      </c>
    </row>
    <row r="391" spans="1:30" x14ac:dyDescent="0.35">
      <c r="A391">
        <v>390</v>
      </c>
      <c r="B391" s="2" t="s">
        <v>49</v>
      </c>
      <c r="C391" t="s">
        <v>701</v>
      </c>
      <c r="D391" t="str">
        <f>_xlfn.TEXTJOIN(" ",TRUE,Table1[[#This Row],[First 
Name]:[Last 
Name]])</f>
        <v>Jamie Suarez</v>
      </c>
      <c r="E391" t="s">
        <v>1501</v>
      </c>
      <c r="F391" t="s">
        <v>3245</v>
      </c>
      <c r="G391" t="str">
        <f ca="1">PROPER(Table1[[#This Row],[Part Time 
Job]])</f>
        <v>True</v>
      </c>
      <c r="H391" s="3">
        <v>3</v>
      </c>
      <c r="I391" t="str">
        <f ca="1">PROPER(Table1[[#This Row],[Extracurricular 
Activities]])</f>
        <v>True</v>
      </c>
      <c r="J391">
        <v>17</v>
      </c>
      <c r="K391" t="s">
        <v>3117</v>
      </c>
      <c r="L391">
        <v>86</v>
      </c>
      <c r="M391" s="12" t="str" cm="1">
        <f t="array" ref="M39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391">
        <v>96</v>
      </c>
      <c r="O391" s="13" t="str" cm="1">
        <f t="array" ref="O39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391">
        <v>68</v>
      </c>
      <c r="Q391" s="13" t="str" cm="1">
        <f t="array" ref="Q39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391">
        <v>71</v>
      </c>
      <c r="S391" t="str" cm="1">
        <f t="array" ref="S39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391">
        <v>86</v>
      </c>
      <c r="U391" t="str" cm="1">
        <f t="array" ref="U39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391">
        <v>94</v>
      </c>
      <c r="W391" t="str" cm="1">
        <f t="array" ref="W39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391">
        <v>89</v>
      </c>
      <c r="Y391" t="str" cm="1">
        <f t="array" ref="Y39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391">
        <f>SUM(Table1[[#This Row],[Math 
Score]],Table1[[#This Row],[History 
Score]],Table1[[#This Row],[Physics 
Score]],Table1[[#This Row],[Chemistry 
Score]],Table1[[#This Row],[Biology 
Score]],Table1[[#This Row],[English 
Score]],Table1[[#This Row],[Geography 
Score]])</f>
        <v>590</v>
      </c>
      <c r="AA391" s="3">
        <f>AVERAGE(Table1[[#This Row],[Math 
Score]],Table1[[#This Row],[History 
Score]],Table1[[#This Row],[Physics 
Score]],Table1[[#This Row],[Chemistry 
Score]],Table1[[#This Row],[Biology 
Score]],Table1[[#This Row],[English 
Score]],Table1[[#This Row],[Geography 
Score]])</f>
        <v>84.285714285714292</v>
      </c>
      <c r="AB39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391">
        <f t="shared" si="6"/>
        <v>531</v>
      </c>
      <c r="AD391" t="str">
        <f>_xlfn.IFS(Table1[[#This Row],[Absence 
Days]]&lt;3,"Excellent",Table1[[#This Row],[Absence 
Days]]&lt;=6,"Good",Table1[[#This Row],[Absence 
Days]]&gt;6,"Poor")</f>
        <v>Good</v>
      </c>
    </row>
    <row r="392" spans="1:30" x14ac:dyDescent="0.35">
      <c r="A392">
        <v>391</v>
      </c>
      <c r="B392" s="2" t="s">
        <v>60</v>
      </c>
      <c r="C392" t="s">
        <v>597</v>
      </c>
      <c r="D392" t="str">
        <f>_xlfn.TEXTJOIN(" ",TRUE,Table1[[#This Row],[First 
Name]:[Last 
Name]])</f>
        <v>Steven Frazier</v>
      </c>
      <c r="E392" t="s">
        <v>1502</v>
      </c>
      <c r="F392" t="s">
        <v>3244</v>
      </c>
      <c r="G392" t="str">
        <f ca="1">PROPER(Table1[[#This Row],[Part Time 
Job]])</f>
        <v>False</v>
      </c>
      <c r="H392" s="3">
        <v>2</v>
      </c>
      <c r="I392" t="str">
        <f ca="1">PROPER(Table1[[#This Row],[Extracurricular 
Activities]])</f>
        <v>False</v>
      </c>
      <c r="J392">
        <v>48</v>
      </c>
      <c r="K392" t="s">
        <v>3113</v>
      </c>
      <c r="L392">
        <v>86</v>
      </c>
      <c r="M392" s="12" t="str" cm="1">
        <f t="array" ref="M39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392">
        <v>88</v>
      </c>
      <c r="O392" s="13" t="str" cm="1">
        <f t="array" ref="O39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392">
        <v>89</v>
      </c>
      <c r="Q392" s="13" t="str" cm="1">
        <f t="array" ref="Q39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392">
        <v>89</v>
      </c>
      <c r="S392" t="str" cm="1">
        <f t="array" ref="S39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392">
        <v>98</v>
      </c>
      <c r="U392" t="str" cm="1">
        <f t="array" ref="U39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392">
        <v>89</v>
      </c>
      <c r="W392" t="str" cm="1">
        <f t="array" ref="W39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392">
        <v>96</v>
      </c>
      <c r="Y392" t="str" cm="1">
        <f t="array" ref="Y39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392">
        <f>SUM(Table1[[#This Row],[Math 
Score]],Table1[[#This Row],[History 
Score]],Table1[[#This Row],[Physics 
Score]],Table1[[#This Row],[Chemistry 
Score]],Table1[[#This Row],[Biology 
Score]],Table1[[#This Row],[English 
Score]],Table1[[#This Row],[Geography 
Score]])</f>
        <v>635</v>
      </c>
      <c r="AA392" s="3">
        <f>AVERAGE(Table1[[#This Row],[Math 
Score]],Table1[[#This Row],[History 
Score]],Table1[[#This Row],[Physics 
Score]],Table1[[#This Row],[Chemistry 
Score]],Table1[[#This Row],[Biology 
Score]],Table1[[#This Row],[English 
Score]],Table1[[#This Row],[Geography 
Score]])</f>
        <v>90.714285714285708</v>
      </c>
      <c r="AB39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392">
        <f t="shared" si="6"/>
        <v>128</v>
      </c>
      <c r="AD392" t="str">
        <f>_xlfn.IFS(Table1[[#This Row],[Absence 
Days]]&lt;3,"Excellent",Table1[[#This Row],[Absence 
Days]]&lt;=6,"Good",Table1[[#This Row],[Absence 
Days]]&gt;6,"Poor")</f>
        <v>Excellent</v>
      </c>
    </row>
    <row r="393" spans="1:30" x14ac:dyDescent="0.35">
      <c r="A393">
        <v>392</v>
      </c>
      <c r="B393" s="2" t="s">
        <v>117</v>
      </c>
      <c r="C393" t="s">
        <v>702</v>
      </c>
      <c r="D393" t="str">
        <f>_xlfn.TEXTJOIN(" ",TRUE,Table1[[#This Row],[First 
Name]:[Last 
Name]])</f>
        <v>Nicholas Hart</v>
      </c>
      <c r="E393" t="s">
        <v>1503</v>
      </c>
      <c r="F393" t="s">
        <v>3244</v>
      </c>
      <c r="G393" t="str">
        <f ca="1">PROPER(Table1[[#This Row],[Part Time 
Job]])</f>
        <v>False</v>
      </c>
      <c r="H393" s="3">
        <v>4</v>
      </c>
      <c r="I393" t="str">
        <f ca="1">PROPER(Table1[[#This Row],[Extracurricular 
Activities]])</f>
        <v>True</v>
      </c>
      <c r="J393">
        <v>24</v>
      </c>
      <c r="K393" t="s">
        <v>3117</v>
      </c>
      <c r="L393">
        <v>85</v>
      </c>
      <c r="M393" s="12" t="str" cm="1">
        <f t="array" ref="M39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393">
        <v>67</v>
      </c>
      <c r="O393" s="13" t="str" cm="1">
        <f t="array" ref="O39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393">
        <v>60</v>
      </c>
      <c r="Q393" s="13" t="str" cm="1">
        <f t="array" ref="Q39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393">
        <v>82</v>
      </c>
      <c r="S393" t="str" cm="1">
        <f t="array" ref="S39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393">
        <v>77</v>
      </c>
      <c r="U393" t="str" cm="1">
        <f t="array" ref="U39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393">
        <v>72</v>
      </c>
      <c r="W393" t="str" cm="1">
        <f t="array" ref="W39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393">
        <v>72</v>
      </c>
      <c r="Y393" t="str" cm="1">
        <f t="array" ref="Y39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393">
        <f>SUM(Table1[[#This Row],[Math 
Score]],Table1[[#This Row],[History 
Score]],Table1[[#This Row],[Physics 
Score]],Table1[[#This Row],[Chemistry 
Score]],Table1[[#This Row],[Biology 
Score]],Table1[[#This Row],[English 
Score]],Table1[[#This Row],[Geography 
Score]])</f>
        <v>515</v>
      </c>
      <c r="AA393" s="3">
        <f>AVERAGE(Table1[[#This Row],[Math 
Score]],Table1[[#This Row],[History 
Score]],Table1[[#This Row],[Physics 
Score]],Table1[[#This Row],[Chemistry 
Score]],Table1[[#This Row],[Biology 
Score]],Table1[[#This Row],[English 
Score]],Table1[[#This Row],[Geography 
Score]])</f>
        <v>73.571428571428569</v>
      </c>
      <c r="AB39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393">
        <f t="shared" si="6"/>
        <v>1798</v>
      </c>
      <c r="AD393" t="str">
        <f>_xlfn.IFS(Table1[[#This Row],[Absence 
Days]]&lt;3,"Excellent",Table1[[#This Row],[Absence 
Days]]&lt;=6,"Good",Table1[[#This Row],[Absence 
Days]]&gt;6,"Poor")</f>
        <v>Good</v>
      </c>
    </row>
    <row r="394" spans="1:30" x14ac:dyDescent="0.35">
      <c r="A394">
        <v>393</v>
      </c>
      <c r="B394" s="2" t="s">
        <v>212</v>
      </c>
      <c r="C394" t="s">
        <v>703</v>
      </c>
      <c r="D394" t="str">
        <f>_xlfn.TEXTJOIN(" ",TRUE,Table1[[#This Row],[First 
Name]:[Last 
Name]])</f>
        <v>Cheryl Arias</v>
      </c>
      <c r="E394" t="s">
        <v>1504</v>
      </c>
      <c r="F394" t="s">
        <v>3245</v>
      </c>
      <c r="G394" t="str">
        <f ca="1">PROPER(Table1[[#This Row],[Part Time 
Job]])</f>
        <v>False</v>
      </c>
      <c r="H394" s="3">
        <v>6</v>
      </c>
      <c r="I394" t="str">
        <f ca="1">PROPER(Table1[[#This Row],[Extracurricular 
Activities]])</f>
        <v>False</v>
      </c>
      <c r="J394">
        <v>31</v>
      </c>
      <c r="K394" t="s">
        <v>3122</v>
      </c>
      <c r="L394">
        <v>62</v>
      </c>
      <c r="M394" s="12" t="str" cm="1">
        <f t="array" ref="M394">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394">
        <v>81</v>
      </c>
      <c r="O394" s="13" t="str" cm="1">
        <f t="array" ref="O39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394">
        <v>80</v>
      </c>
      <c r="Q394" s="13" t="str" cm="1">
        <f t="array" ref="Q39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394">
        <v>88</v>
      </c>
      <c r="S394" t="str" cm="1">
        <f t="array" ref="S39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394">
        <v>78</v>
      </c>
      <c r="U394" t="str" cm="1">
        <f t="array" ref="U39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394">
        <v>94</v>
      </c>
      <c r="W394" t="str" cm="1">
        <f t="array" ref="W39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394">
        <v>85</v>
      </c>
      <c r="Y394" t="str" cm="1">
        <f t="array" ref="Y39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394">
        <f>SUM(Table1[[#This Row],[Math 
Score]],Table1[[#This Row],[History 
Score]],Table1[[#This Row],[Physics 
Score]],Table1[[#This Row],[Chemistry 
Score]],Table1[[#This Row],[Biology 
Score]],Table1[[#This Row],[English 
Score]],Table1[[#This Row],[Geography 
Score]])</f>
        <v>568</v>
      </c>
      <c r="AA394" s="3">
        <f>AVERAGE(Table1[[#This Row],[Math 
Score]],Table1[[#This Row],[History 
Score]],Table1[[#This Row],[Physics 
Score]],Table1[[#This Row],[Chemistry 
Score]],Table1[[#This Row],[Biology 
Score]],Table1[[#This Row],[English 
Score]],Table1[[#This Row],[Geography 
Score]])</f>
        <v>81.142857142857139</v>
      </c>
      <c r="AB39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394">
        <f t="shared" si="6"/>
        <v>975</v>
      </c>
      <c r="AD394" t="str">
        <f>_xlfn.IFS(Table1[[#This Row],[Absence 
Days]]&lt;3,"Excellent",Table1[[#This Row],[Absence 
Days]]&lt;=6,"Good",Table1[[#This Row],[Absence 
Days]]&gt;6,"Poor")</f>
        <v>Good</v>
      </c>
    </row>
    <row r="395" spans="1:30" x14ac:dyDescent="0.35">
      <c r="A395">
        <v>394</v>
      </c>
      <c r="B395" s="2" t="s">
        <v>104</v>
      </c>
      <c r="C395" t="s">
        <v>704</v>
      </c>
      <c r="D395" t="str">
        <f>_xlfn.TEXTJOIN(" ",TRUE,Table1[[#This Row],[First 
Name]:[Last 
Name]])</f>
        <v>Marc Brock</v>
      </c>
      <c r="E395" t="s">
        <v>1505</v>
      </c>
      <c r="F395" t="s">
        <v>3244</v>
      </c>
      <c r="G395" t="str">
        <f ca="1">PROPER(Table1[[#This Row],[Part Time 
Job]])</f>
        <v>True</v>
      </c>
      <c r="H395" s="3">
        <v>7</v>
      </c>
      <c r="I395" t="str">
        <f ca="1">PROPER(Table1[[#This Row],[Extracurricular 
Activities]])</f>
        <v>False</v>
      </c>
      <c r="J395">
        <v>0</v>
      </c>
      <c r="K395" t="s">
        <v>3119</v>
      </c>
      <c r="L395">
        <v>100</v>
      </c>
      <c r="M395" s="12" t="str" cm="1">
        <f t="array" ref="M39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395">
        <v>65</v>
      </c>
      <c r="O395" s="13" t="str" cm="1">
        <f t="array" ref="O39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395">
        <v>67</v>
      </c>
      <c r="Q395" s="13" t="str" cm="1">
        <f t="array" ref="Q39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395">
        <v>61</v>
      </c>
      <c r="S395" t="str" cm="1">
        <f t="array" ref="S39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395">
        <v>76</v>
      </c>
      <c r="U395" t="str" cm="1">
        <f t="array" ref="U39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395">
        <v>58</v>
      </c>
      <c r="W395" t="str" cm="1">
        <f t="array" ref="W39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C</v>
      </c>
      <c r="X395">
        <v>84</v>
      </c>
      <c r="Y395" t="str" cm="1">
        <f t="array" ref="Y39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395">
        <f>SUM(Table1[[#This Row],[Math 
Score]],Table1[[#This Row],[History 
Score]],Table1[[#This Row],[Physics 
Score]],Table1[[#This Row],[Chemistry 
Score]],Table1[[#This Row],[Biology 
Score]],Table1[[#This Row],[English 
Score]],Table1[[#This Row],[Geography 
Score]])</f>
        <v>511</v>
      </c>
      <c r="AA395" s="3">
        <f>AVERAGE(Table1[[#This Row],[Math 
Score]],Table1[[#This Row],[History 
Score]],Table1[[#This Row],[Physics 
Score]],Table1[[#This Row],[Chemistry 
Score]],Table1[[#This Row],[Biology 
Score]],Table1[[#This Row],[English 
Score]],Table1[[#This Row],[Geography 
Score]])</f>
        <v>73</v>
      </c>
      <c r="AB39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395">
        <f t="shared" si="6"/>
        <v>1823</v>
      </c>
      <c r="AD395" t="str">
        <f>_xlfn.IFS(Table1[[#This Row],[Absence 
Days]]&lt;3,"Excellent",Table1[[#This Row],[Absence 
Days]]&lt;=6,"Good",Table1[[#This Row],[Absence 
Days]]&gt;6,"Poor")</f>
        <v>Poor</v>
      </c>
    </row>
    <row r="396" spans="1:30" x14ac:dyDescent="0.35">
      <c r="A396">
        <v>395</v>
      </c>
      <c r="B396" s="2" t="s">
        <v>30</v>
      </c>
      <c r="C396" t="s">
        <v>510</v>
      </c>
      <c r="D396" t="str">
        <f>_xlfn.TEXTJOIN(" ",TRUE,Table1[[#This Row],[First 
Name]:[Last 
Name]])</f>
        <v>Timothy Perez</v>
      </c>
      <c r="E396" t="s">
        <v>1506</v>
      </c>
      <c r="F396" t="s">
        <v>3244</v>
      </c>
      <c r="G396" t="str">
        <f ca="1">PROPER(Table1[[#This Row],[Part Time 
Job]])</f>
        <v>False</v>
      </c>
      <c r="H396" s="3">
        <v>9</v>
      </c>
      <c r="I396" t="str">
        <f ca="1">PROPER(Table1[[#This Row],[Extracurricular 
Activities]])</f>
        <v>False</v>
      </c>
      <c r="J396">
        <v>2</v>
      </c>
      <c r="K396" t="s">
        <v>3119</v>
      </c>
      <c r="L396">
        <v>79</v>
      </c>
      <c r="M396" s="12" t="str" cm="1">
        <f t="array" ref="M39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396">
        <v>86</v>
      </c>
      <c r="O396" s="13" t="str" cm="1">
        <f t="array" ref="O39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396">
        <v>97</v>
      </c>
      <c r="Q396" s="13" t="str" cm="1">
        <f t="array" ref="Q39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396">
        <v>60</v>
      </c>
      <c r="S396" t="str" cm="1">
        <f t="array" ref="S39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396">
        <v>66</v>
      </c>
      <c r="U396" t="str" cm="1">
        <f t="array" ref="U39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396">
        <v>74</v>
      </c>
      <c r="W396" t="str" cm="1">
        <f t="array" ref="W39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396">
        <v>96</v>
      </c>
      <c r="Y396" t="str" cm="1">
        <f t="array" ref="Y39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396">
        <f>SUM(Table1[[#This Row],[Math 
Score]],Table1[[#This Row],[History 
Score]],Table1[[#This Row],[Physics 
Score]],Table1[[#This Row],[Chemistry 
Score]],Table1[[#This Row],[Biology 
Score]],Table1[[#This Row],[English 
Score]],Table1[[#This Row],[Geography 
Score]])</f>
        <v>558</v>
      </c>
      <c r="AA396" s="3">
        <f>AVERAGE(Table1[[#This Row],[Math 
Score]],Table1[[#This Row],[History 
Score]],Table1[[#This Row],[Physics 
Score]],Table1[[#This Row],[Chemistry 
Score]],Table1[[#This Row],[Biology 
Score]],Table1[[#This Row],[English 
Score]],Table1[[#This Row],[Geography 
Score]])</f>
        <v>79.714285714285708</v>
      </c>
      <c r="AB39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396">
        <f t="shared" si="6"/>
        <v>1178</v>
      </c>
      <c r="AD396" t="str">
        <f>_xlfn.IFS(Table1[[#This Row],[Absence 
Days]]&lt;3,"Excellent",Table1[[#This Row],[Absence 
Days]]&lt;=6,"Good",Table1[[#This Row],[Absence 
Days]]&gt;6,"Poor")</f>
        <v>Poor</v>
      </c>
    </row>
    <row r="397" spans="1:30" x14ac:dyDescent="0.35">
      <c r="A397">
        <v>396</v>
      </c>
      <c r="B397" s="2" t="s">
        <v>113</v>
      </c>
      <c r="C397" t="s">
        <v>567</v>
      </c>
      <c r="D397" t="str">
        <f>_xlfn.TEXTJOIN(" ",TRUE,Table1[[#This Row],[First 
Name]:[Last 
Name]])</f>
        <v>Courtney Rodriguez</v>
      </c>
      <c r="E397" t="s">
        <v>1507</v>
      </c>
      <c r="F397" t="s">
        <v>3245</v>
      </c>
      <c r="G397" t="str">
        <f ca="1">PROPER(Table1[[#This Row],[Part Time 
Job]])</f>
        <v>False</v>
      </c>
      <c r="H397" s="3">
        <v>1</v>
      </c>
      <c r="I397" t="str">
        <f ca="1">PROPER(Table1[[#This Row],[Extracurricular 
Activities]])</f>
        <v>False</v>
      </c>
      <c r="J397">
        <v>24</v>
      </c>
      <c r="K397" t="s">
        <v>3112</v>
      </c>
      <c r="L397">
        <v>99</v>
      </c>
      <c r="M397" s="12" t="str" cm="1">
        <f t="array" ref="M39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397">
        <v>97</v>
      </c>
      <c r="O397" s="13" t="str" cm="1">
        <f t="array" ref="O39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397">
        <v>68</v>
      </c>
      <c r="Q397" s="13" t="str" cm="1">
        <f t="array" ref="Q39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397">
        <v>85</v>
      </c>
      <c r="S397" t="str" cm="1">
        <f t="array" ref="S39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397">
        <v>86</v>
      </c>
      <c r="U397" t="str" cm="1">
        <f t="array" ref="U39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397">
        <v>85</v>
      </c>
      <c r="W397" t="str" cm="1">
        <f t="array" ref="W39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397">
        <v>73</v>
      </c>
      <c r="Y397" t="str" cm="1">
        <f t="array" ref="Y39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397">
        <f>SUM(Table1[[#This Row],[Math 
Score]],Table1[[#This Row],[History 
Score]],Table1[[#This Row],[Physics 
Score]],Table1[[#This Row],[Chemistry 
Score]],Table1[[#This Row],[Biology 
Score]],Table1[[#This Row],[English 
Score]],Table1[[#This Row],[Geography 
Score]])</f>
        <v>593</v>
      </c>
      <c r="AA397" s="3">
        <f>AVERAGE(Table1[[#This Row],[Math 
Score]],Table1[[#This Row],[History 
Score]],Table1[[#This Row],[Physics 
Score]],Table1[[#This Row],[Chemistry 
Score]],Table1[[#This Row],[Biology 
Score]],Table1[[#This Row],[English 
Score]],Table1[[#This Row],[Geography 
Score]])</f>
        <v>84.714285714285708</v>
      </c>
      <c r="AB39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397">
        <f t="shared" si="6"/>
        <v>494</v>
      </c>
      <c r="AD397" t="str">
        <f>_xlfn.IFS(Table1[[#This Row],[Absence 
Days]]&lt;3,"Excellent",Table1[[#This Row],[Absence 
Days]]&lt;=6,"Good",Table1[[#This Row],[Absence 
Days]]&gt;6,"Poor")</f>
        <v>Excellent</v>
      </c>
    </row>
    <row r="398" spans="1:30" x14ac:dyDescent="0.35">
      <c r="A398">
        <v>397</v>
      </c>
      <c r="B398" s="2" t="s">
        <v>146</v>
      </c>
      <c r="C398" t="s">
        <v>455</v>
      </c>
      <c r="D398" t="str">
        <f>_xlfn.TEXTJOIN(" ",TRUE,Table1[[#This Row],[First 
Name]:[Last 
Name]])</f>
        <v>Samantha Clark</v>
      </c>
      <c r="E398" t="s">
        <v>1508</v>
      </c>
      <c r="F398" t="s">
        <v>3245</v>
      </c>
      <c r="G398" t="str">
        <f ca="1">PROPER(Table1[[#This Row],[Part Time 
Job]])</f>
        <v>False</v>
      </c>
      <c r="H398" s="3">
        <v>7</v>
      </c>
      <c r="I398" t="str">
        <f ca="1">PROPER(Table1[[#This Row],[Extracurricular 
Activities]])</f>
        <v>False</v>
      </c>
      <c r="J398">
        <v>2</v>
      </c>
      <c r="K398" t="s">
        <v>3119</v>
      </c>
      <c r="L398">
        <v>46</v>
      </c>
      <c r="M398" s="12" t="str" cm="1">
        <f t="array" ref="M398">_xlfn.IFS(Table1[[#This Row],[Math 
Score]]&gt;=90,"A+",Table1[[#This Row],[Math 
Score]]&gt;=80,"A", Table1[[#This Row],[Math 
Score]]&gt;=75,"A-",Table1[[#This Row],[Math 
Score]]&gt;=70,"B+",Table1[[#This Row],[Math 
Score]]&gt;=65,"B",Table1[[#This Row],[Math 
Score]]&gt;=60,"B-",Table1[[#This Row],[Math 
Score]]&gt;=50,"C",Table1[[#This Row],[Math 
Score]]&gt;=40,"D",Table1[[#This Row],[Math 
Score]]&lt;40,"F")</f>
        <v>D</v>
      </c>
      <c r="N398">
        <v>65</v>
      </c>
      <c r="O398" s="13" t="str" cm="1">
        <f t="array" ref="O39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398">
        <v>97</v>
      </c>
      <c r="Q398" s="13" t="str" cm="1">
        <f t="array" ref="Q39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398">
        <v>100</v>
      </c>
      <c r="S398" t="str" cm="1">
        <f t="array" ref="S39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398">
        <v>56</v>
      </c>
      <c r="U398" t="str" cm="1">
        <f t="array" ref="U39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C</v>
      </c>
      <c r="V398">
        <v>73</v>
      </c>
      <c r="W398" t="str" cm="1">
        <f t="array" ref="W39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398">
        <v>95</v>
      </c>
      <c r="Y398" t="str" cm="1">
        <f t="array" ref="Y39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398">
        <f>SUM(Table1[[#This Row],[Math 
Score]],Table1[[#This Row],[History 
Score]],Table1[[#This Row],[Physics 
Score]],Table1[[#This Row],[Chemistry 
Score]],Table1[[#This Row],[Biology 
Score]],Table1[[#This Row],[English 
Score]],Table1[[#This Row],[Geography 
Score]])</f>
        <v>532</v>
      </c>
      <c r="AA398" s="3">
        <f>AVERAGE(Table1[[#This Row],[Math 
Score]],Table1[[#This Row],[History 
Score]],Table1[[#This Row],[Physics 
Score]],Table1[[#This Row],[Chemistry 
Score]],Table1[[#This Row],[Biology 
Score]],Table1[[#This Row],[English 
Score]],Table1[[#This Row],[Geography 
Score]])</f>
        <v>76</v>
      </c>
      <c r="AB39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398">
        <f t="shared" si="6"/>
        <v>1622</v>
      </c>
      <c r="AD398" t="str">
        <f>_xlfn.IFS(Table1[[#This Row],[Absence 
Days]]&lt;3,"Excellent",Table1[[#This Row],[Absence 
Days]]&lt;=6,"Good",Table1[[#This Row],[Absence 
Days]]&gt;6,"Poor")</f>
        <v>Poor</v>
      </c>
    </row>
    <row r="399" spans="1:30" x14ac:dyDescent="0.35">
      <c r="A399">
        <v>398</v>
      </c>
      <c r="B399" s="2" t="s">
        <v>213</v>
      </c>
      <c r="C399" t="s">
        <v>577</v>
      </c>
      <c r="D399" t="str">
        <f>_xlfn.TEXTJOIN(" ",TRUE,Table1[[#This Row],[First 
Name]:[Last 
Name]])</f>
        <v>Francisco Reilly</v>
      </c>
      <c r="E399" t="s">
        <v>1509</v>
      </c>
      <c r="F399" t="s">
        <v>3244</v>
      </c>
      <c r="G399" t="str">
        <f ca="1">PROPER(Table1[[#This Row],[Part Time 
Job]])</f>
        <v>False</v>
      </c>
      <c r="H399" s="3">
        <v>0</v>
      </c>
      <c r="I399" t="str">
        <f ca="1">PROPER(Table1[[#This Row],[Extracurricular 
Activities]])</f>
        <v>False</v>
      </c>
      <c r="J399">
        <v>32</v>
      </c>
      <c r="K399" t="s">
        <v>3117</v>
      </c>
      <c r="L399">
        <v>85</v>
      </c>
      <c r="M399" s="12" t="str" cm="1">
        <f t="array" ref="M39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399">
        <v>97</v>
      </c>
      <c r="O399" s="13" t="str" cm="1">
        <f t="array" ref="O39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399">
        <v>88</v>
      </c>
      <c r="Q399" s="13" t="str" cm="1">
        <f t="array" ref="Q39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399">
        <v>61</v>
      </c>
      <c r="S399" t="str" cm="1">
        <f t="array" ref="S39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399">
        <v>80</v>
      </c>
      <c r="U399" t="str" cm="1">
        <f t="array" ref="U39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399">
        <v>80</v>
      </c>
      <c r="W399" t="str" cm="1">
        <f t="array" ref="W39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399">
        <v>84</v>
      </c>
      <c r="Y399" t="str" cm="1">
        <f t="array" ref="Y39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399">
        <f>SUM(Table1[[#This Row],[Math 
Score]],Table1[[#This Row],[History 
Score]],Table1[[#This Row],[Physics 
Score]],Table1[[#This Row],[Chemistry 
Score]],Table1[[#This Row],[Biology 
Score]],Table1[[#This Row],[English 
Score]],Table1[[#This Row],[Geography 
Score]])</f>
        <v>575</v>
      </c>
      <c r="AA399" s="3">
        <f>AVERAGE(Table1[[#This Row],[Math 
Score]],Table1[[#This Row],[History 
Score]],Table1[[#This Row],[Physics 
Score]],Table1[[#This Row],[Chemistry 
Score]],Table1[[#This Row],[Biology 
Score]],Table1[[#This Row],[English 
Score]],Table1[[#This Row],[Geography 
Score]])</f>
        <v>82.142857142857139</v>
      </c>
      <c r="AB39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399">
        <f t="shared" si="6"/>
        <v>807</v>
      </c>
      <c r="AD399" t="str">
        <f>_xlfn.IFS(Table1[[#This Row],[Absence 
Days]]&lt;3,"Excellent",Table1[[#This Row],[Absence 
Days]]&lt;=6,"Good",Table1[[#This Row],[Absence 
Days]]&gt;6,"Poor")</f>
        <v>Excellent</v>
      </c>
    </row>
    <row r="400" spans="1:30" x14ac:dyDescent="0.35">
      <c r="A400">
        <v>399</v>
      </c>
      <c r="B400" s="2" t="s">
        <v>118</v>
      </c>
      <c r="C400" t="s">
        <v>564</v>
      </c>
      <c r="D400" t="str">
        <f>_xlfn.TEXTJOIN(" ",TRUE,Table1[[#This Row],[First 
Name]:[Last 
Name]])</f>
        <v>Denise Young</v>
      </c>
      <c r="E400" t="s">
        <v>1510</v>
      </c>
      <c r="F400" t="s">
        <v>3245</v>
      </c>
      <c r="G400" t="str">
        <f ca="1">PROPER(Table1[[#This Row],[Part Time 
Job]])</f>
        <v>False</v>
      </c>
      <c r="H400" s="3">
        <v>2</v>
      </c>
      <c r="I400" t="str">
        <f ca="1">PROPER(Table1[[#This Row],[Extracurricular 
Activities]])</f>
        <v>False</v>
      </c>
      <c r="J400">
        <v>4</v>
      </c>
      <c r="K400" t="s">
        <v>3114</v>
      </c>
      <c r="L400">
        <v>85</v>
      </c>
      <c r="M400" s="12" t="str" cm="1">
        <f t="array" ref="M40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400">
        <v>68</v>
      </c>
      <c r="O400" s="13" t="str" cm="1">
        <f t="array" ref="O40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400">
        <v>89</v>
      </c>
      <c r="Q400" s="13" t="str" cm="1">
        <f t="array" ref="Q40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400">
        <v>64</v>
      </c>
      <c r="S400" t="str" cm="1">
        <f t="array" ref="S40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400">
        <v>79</v>
      </c>
      <c r="U400" t="str" cm="1">
        <f t="array" ref="U40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400">
        <v>66</v>
      </c>
      <c r="W400" t="str" cm="1">
        <f t="array" ref="W40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400">
        <v>66</v>
      </c>
      <c r="Y400" t="str" cm="1">
        <f t="array" ref="Y40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400">
        <f>SUM(Table1[[#This Row],[Math 
Score]],Table1[[#This Row],[History 
Score]],Table1[[#This Row],[Physics 
Score]],Table1[[#This Row],[Chemistry 
Score]],Table1[[#This Row],[Biology 
Score]],Table1[[#This Row],[English 
Score]],Table1[[#This Row],[Geography 
Score]])</f>
        <v>517</v>
      </c>
      <c r="AA400" s="3">
        <f>AVERAGE(Table1[[#This Row],[Math 
Score]],Table1[[#This Row],[History 
Score]],Table1[[#This Row],[Physics 
Score]],Table1[[#This Row],[Chemistry 
Score]],Table1[[#This Row],[Biology 
Score]],Table1[[#This Row],[English 
Score]],Table1[[#This Row],[Geography 
Score]])</f>
        <v>73.857142857142861</v>
      </c>
      <c r="AB40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400">
        <f t="shared" si="6"/>
        <v>1781</v>
      </c>
      <c r="AD400" t="str">
        <f>_xlfn.IFS(Table1[[#This Row],[Absence 
Days]]&lt;3,"Excellent",Table1[[#This Row],[Absence 
Days]]&lt;=6,"Good",Table1[[#This Row],[Absence 
Days]]&gt;6,"Poor")</f>
        <v>Excellent</v>
      </c>
    </row>
    <row r="401" spans="1:30" x14ac:dyDescent="0.35">
      <c r="A401">
        <v>400</v>
      </c>
      <c r="B401" s="2" t="s">
        <v>214</v>
      </c>
      <c r="C401" t="s">
        <v>475</v>
      </c>
      <c r="D401" t="str">
        <f>_xlfn.TEXTJOIN(" ",TRUE,Table1[[#This Row],[First 
Name]:[Last 
Name]])</f>
        <v>Darrell Williams</v>
      </c>
      <c r="E401" t="s">
        <v>1511</v>
      </c>
      <c r="F401" t="s">
        <v>3244</v>
      </c>
      <c r="G401" t="str">
        <f ca="1">PROPER(Table1[[#This Row],[Part Time 
Job]])</f>
        <v>False</v>
      </c>
      <c r="H401" s="3">
        <v>4</v>
      </c>
      <c r="I401" t="str">
        <f ca="1">PROPER(Table1[[#This Row],[Extracurricular 
Activities]])</f>
        <v>False</v>
      </c>
      <c r="J401">
        <v>32</v>
      </c>
      <c r="K401" t="s">
        <v>3117</v>
      </c>
      <c r="L401">
        <v>85</v>
      </c>
      <c r="M401" s="12" t="str" cm="1">
        <f t="array" ref="M40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401">
        <v>87</v>
      </c>
      <c r="O401" s="13" t="str" cm="1">
        <f t="array" ref="O40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401">
        <v>91</v>
      </c>
      <c r="Q401" s="13" t="str" cm="1">
        <f t="array" ref="Q40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401">
        <v>63</v>
      </c>
      <c r="S401" t="str" cm="1">
        <f t="array" ref="S40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401">
        <v>95</v>
      </c>
      <c r="U401" t="str" cm="1">
        <f t="array" ref="U40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401">
        <v>88</v>
      </c>
      <c r="W401" t="str" cm="1">
        <f t="array" ref="W40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401">
        <v>62</v>
      </c>
      <c r="Y401" t="str" cm="1">
        <f t="array" ref="Y40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401">
        <f>SUM(Table1[[#This Row],[Math 
Score]],Table1[[#This Row],[History 
Score]],Table1[[#This Row],[Physics 
Score]],Table1[[#This Row],[Chemistry 
Score]],Table1[[#This Row],[Biology 
Score]],Table1[[#This Row],[English 
Score]],Table1[[#This Row],[Geography 
Score]])</f>
        <v>571</v>
      </c>
      <c r="AA401" s="3">
        <f>AVERAGE(Table1[[#This Row],[Math 
Score]],Table1[[#This Row],[History 
Score]],Table1[[#This Row],[Physics 
Score]],Table1[[#This Row],[Chemistry 
Score]],Table1[[#This Row],[Biology 
Score]],Table1[[#This Row],[English 
Score]],Table1[[#This Row],[Geography 
Score]])</f>
        <v>81.571428571428569</v>
      </c>
      <c r="AB40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401">
        <f t="shared" si="6"/>
        <v>915</v>
      </c>
      <c r="AD401" t="str">
        <f>_xlfn.IFS(Table1[[#This Row],[Absence 
Days]]&lt;3,"Excellent",Table1[[#This Row],[Absence 
Days]]&lt;=6,"Good",Table1[[#This Row],[Absence 
Days]]&gt;6,"Poor")</f>
        <v>Good</v>
      </c>
    </row>
    <row r="402" spans="1:30" x14ac:dyDescent="0.35">
      <c r="A402">
        <v>401</v>
      </c>
      <c r="B402" s="2" t="s">
        <v>93</v>
      </c>
      <c r="C402" t="s">
        <v>458</v>
      </c>
      <c r="D402" t="str">
        <f>_xlfn.TEXTJOIN(" ",TRUE,Table1[[#This Row],[First 
Name]:[Last 
Name]])</f>
        <v>Andrew Smith</v>
      </c>
      <c r="E402" t="s">
        <v>1512</v>
      </c>
      <c r="F402" t="s">
        <v>3244</v>
      </c>
      <c r="G402" t="str">
        <f ca="1">PROPER(Table1[[#This Row],[Part Time 
Job]])</f>
        <v>False</v>
      </c>
      <c r="H402" s="3">
        <v>3</v>
      </c>
      <c r="I402" t="str">
        <f ca="1">PROPER(Table1[[#This Row],[Extracurricular 
Activities]])</f>
        <v>False</v>
      </c>
      <c r="J402">
        <v>16</v>
      </c>
      <c r="K402" t="s">
        <v>3127</v>
      </c>
      <c r="L402">
        <v>99</v>
      </c>
      <c r="M402" s="12" t="str" cm="1">
        <f t="array" ref="M40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402">
        <v>86</v>
      </c>
      <c r="O402" s="13" t="str" cm="1">
        <f t="array" ref="O40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402">
        <v>90</v>
      </c>
      <c r="Q402" s="13" t="str" cm="1">
        <f t="array" ref="Q40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402">
        <v>100</v>
      </c>
      <c r="S402" t="str" cm="1">
        <f t="array" ref="S40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402">
        <v>96</v>
      </c>
      <c r="U402" t="str" cm="1">
        <f t="array" ref="U40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402">
        <v>77</v>
      </c>
      <c r="W402" t="str" cm="1">
        <f t="array" ref="W40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402">
        <v>60</v>
      </c>
      <c r="Y402" t="str" cm="1">
        <f t="array" ref="Y40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402">
        <f>SUM(Table1[[#This Row],[Math 
Score]],Table1[[#This Row],[History 
Score]],Table1[[#This Row],[Physics 
Score]],Table1[[#This Row],[Chemistry 
Score]],Table1[[#This Row],[Biology 
Score]],Table1[[#This Row],[English 
Score]],Table1[[#This Row],[Geography 
Score]])</f>
        <v>608</v>
      </c>
      <c r="AA402" s="3">
        <f>AVERAGE(Table1[[#This Row],[Math 
Score]],Table1[[#This Row],[History 
Score]],Table1[[#This Row],[Physics 
Score]],Table1[[#This Row],[Chemistry 
Score]],Table1[[#This Row],[Biology 
Score]],Table1[[#This Row],[English 
Score]],Table1[[#This Row],[Geography 
Score]])</f>
        <v>86.857142857142861</v>
      </c>
      <c r="AB40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402">
        <f t="shared" si="6"/>
        <v>318</v>
      </c>
      <c r="AD402" t="str">
        <f>_xlfn.IFS(Table1[[#This Row],[Absence 
Days]]&lt;3,"Excellent",Table1[[#This Row],[Absence 
Days]]&lt;=6,"Good",Table1[[#This Row],[Absence 
Days]]&gt;6,"Poor")</f>
        <v>Good</v>
      </c>
    </row>
    <row r="403" spans="1:30" x14ac:dyDescent="0.35">
      <c r="A403">
        <v>402</v>
      </c>
      <c r="B403" s="2" t="s">
        <v>215</v>
      </c>
      <c r="C403" t="s">
        <v>705</v>
      </c>
      <c r="D403" t="str">
        <f>_xlfn.TEXTJOIN(" ",TRUE,Table1[[#This Row],[First 
Name]:[Last 
Name]])</f>
        <v>Teresa Stafford</v>
      </c>
      <c r="E403" t="s">
        <v>1513</v>
      </c>
      <c r="F403" t="s">
        <v>3245</v>
      </c>
      <c r="G403" t="str">
        <f ca="1">PROPER(Table1[[#This Row],[Part Time 
Job]])</f>
        <v>False</v>
      </c>
      <c r="H403" s="3">
        <v>1</v>
      </c>
      <c r="I403" t="str">
        <f ca="1">PROPER(Table1[[#This Row],[Extracurricular 
Activities]])</f>
        <v>False</v>
      </c>
      <c r="J403">
        <v>20</v>
      </c>
      <c r="K403" t="s">
        <v>3121</v>
      </c>
      <c r="L403">
        <v>84</v>
      </c>
      <c r="M403" s="12" t="str" cm="1">
        <f t="array" ref="M40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403">
        <v>92</v>
      </c>
      <c r="O403" s="13" t="str" cm="1">
        <f t="array" ref="O40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403">
        <v>63</v>
      </c>
      <c r="Q403" s="13" t="str" cm="1">
        <f t="array" ref="Q40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403">
        <v>91</v>
      </c>
      <c r="S403" t="str" cm="1">
        <f t="array" ref="S40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403">
        <v>89</v>
      </c>
      <c r="U403" t="str" cm="1">
        <f t="array" ref="U40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403">
        <v>92</v>
      </c>
      <c r="W403" t="str" cm="1">
        <f t="array" ref="W40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403">
        <v>76</v>
      </c>
      <c r="Y403" t="str" cm="1">
        <f t="array" ref="Y40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403">
        <f>SUM(Table1[[#This Row],[Math 
Score]],Table1[[#This Row],[History 
Score]],Table1[[#This Row],[Physics 
Score]],Table1[[#This Row],[Chemistry 
Score]],Table1[[#This Row],[Biology 
Score]],Table1[[#This Row],[English 
Score]],Table1[[#This Row],[Geography 
Score]])</f>
        <v>587</v>
      </c>
      <c r="AA403" s="3">
        <f>AVERAGE(Table1[[#This Row],[Math 
Score]],Table1[[#This Row],[History 
Score]],Table1[[#This Row],[Physics 
Score]],Table1[[#This Row],[Chemistry 
Score]],Table1[[#This Row],[Biology 
Score]],Table1[[#This Row],[English 
Score]],Table1[[#This Row],[Geography 
Score]])</f>
        <v>83.857142857142861</v>
      </c>
      <c r="AB40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403">
        <f t="shared" si="6"/>
        <v>583</v>
      </c>
      <c r="AD403" t="str">
        <f>_xlfn.IFS(Table1[[#This Row],[Absence 
Days]]&lt;3,"Excellent",Table1[[#This Row],[Absence 
Days]]&lt;=6,"Good",Table1[[#This Row],[Absence 
Days]]&gt;6,"Poor")</f>
        <v>Excellent</v>
      </c>
    </row>
    <row r="404" spans="1:30" x14ac:dyDescent="0.35">
      <c r="A404">
        <v>403</v>
      </c>
      <c r="B404" s="2" t="s">
        <v>100</v>
      </c>
      <c r="C404" t="s">
        <v>520</v>
      </c>
      <c r="D404" t="str">
        <f>_xlfn.TEXTJOIN(" ",TRUE,Table1[[#This Row],[First 
Name]:[Last 
Name]])</f>
        <v>Cory Harris</v>
      </c>
      <c r="E404" t="s">
        <v>1514</v>
      </c>
      <c r="F404" t="s">
        <v>3244</v>
      </c>
      <c r="G404" t="str">
        <f ca="1">PROPER(Table1[[#This Row],[Part Time 
Job]])</f>
        <v>False</v>
      </c>
      <c r="H404" s="3">
        <v>4</v>
      </c>
      <c r="I404" t="str">
        <f ca="1">PROPER(Table1[[#This Row],[Extracurricular 
Activities]])</f>
        <v>False</v>
      </c>
      <c r="J404">
        <v>28</v>
      </c>
      <c r="K404" t="s">
        <v>3125</v>
      </c>
      <c r="L404">
        <v>85</v>
      </c>
      <c r="M404" s="12" t="str" cm="1">
        <f t="array" ref="M40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404">
        <v>72</v>
      </c>
      <c r="O404" s="13" t="str" cm="1">
        <f t="array" ref="O40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404">
        <v>87</v>
      </c>
      <c r="Q404" s="13" t="str" cm="1">
        <f t="array" ref="Q40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404">
        <v>72</v>
      </c>
      <c r="S404" t="str" cm="1">
        <f t="array" ref="S40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404">
        <v>68</v>
      </c>
      <c r="U404" t="str" cm="1">
        <f t="array" ref="U40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404">
        <v>85</v>
      </c>
      <c r="W404" t="str" cm="1">
        <f t="array" ref="W40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404">
        <v>78</v>
      </c>
      <c r="Y404" t="str" cm="1">
        <f t="array" ref="Y40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404">
        <f>SUM(Table1[[#This Row],[Math 
Score]],Table1[[#This Row],[History 
Score]],Table1[[#This Row],[Physics 
Score]],Table1[[#This Row],[Chemistry 
Score]],Table1[[#This Row],[Biology 
Score]],Table1[[#This Row],[English 
Score]],Table1[[#This Row],[Geography 
Score]])</f>
        <v>547</v>
      </c>
      <c r="AA404" s="3">
        <f>AVERAGE(Table1[[#This Row],[Math 
Score]],Table1[[#This Row],[History 
Score]],Table1[[#This Row],[Physics 
Score]],Table1[[#This Row],[Chemistry 
Score]],Table1[[#This Row],[Biology 
Score]],Table1[[#This Row],[English 
Score]],Table1[[#This Row],[Geography 
Score]])</f>
        <v>78.142857142857139</v>
      </c>
      <c r="AB40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404">
        <f t="shared" si="6"/>
        <v>1388</v>
      </c>
      <c r="AD404" t="str">
        <f>_xlfn.IFS(Table1[[#This Row],[Absence 
Days]]&lt;3,"Excellent",Table1[[#This Row],[Absence 
Days]]&lt;=6,"Good",Table1[[#This Row],[Absence 
Days]]&gt;6,"Poor")</f>
        <v>Good</v>
      </c>
    </row>
    <row r="405" spans="1:30" x14ac:dyDescent="0.35">
      <c r="A405">
        <v>404</v>
      </c>
      <c r="B405" s="2" t="s">
        <v>154</v>
      </c>
      <c r="C405" t="s">
        <v>706</v>
      </c>
      <c r="D405" t="str">
        <f>_xlfn.TEXTJOIN(" ",TRUE,Table1[[#This Row],[First 
Name]:[Last 
Name]])</f>
        <v>Douglas Irwin</v>
      </c>
      <c r="E405" t="s">
        <v>1515</v>
      </c>
      <c r="F405" t="s">
        <v>3244</v>
      </c>
      <c r="G405" t="str">
        <f ca="1">PROPER(Table1[[#This Row],[Part Time 
Job]])</f>
        <v>False</v>
      </c>
      <c r="H405" s="3">
        <v>7</v>
      </c>
      <c r="I405" t="str">
        <f ca="1">PROPER(Table1[[#This Row],[Extracurricular 
Activities]])</f>
        <v>False</v>
      </c>
      <c r="J405">
        <v>30</v>
      </c>
      <c r="K405" t="s">
        <v>3117</v>
      </c>
      <c r="L405">
        <v>100</v>
      </c>
      <c r="M405" s="12" t="str" cm="1">
        <f t="array" ref="M40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405">
        <v>79</v>
      </c>
      <c r="O405" s="13" t="str" cm="1">
        <f t="array" ref="O40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405">
        <v>92</v>
      </c>
      <c r="Q405" s="13" t="str" cm="1">
        <f t="array" ref="Q40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405">
        <v>92</v>
      </c>
      <c r="S405" t="str" cm="1">
        <f t="array" ref="S40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405">
        <v>67</v>
      </c>
      <c r="U405" t="str" cm="1">
        <f t="array" ref="U40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405">
        <v>68</v>
      </c>
      <c r="W405" t="str" cm="1">
        <f t="array" ref="W40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405">
        <v>72</v>
      </c>
      <c r="Y405" t="str" cm="1">
        <f t="array" ref="Y40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405">
        <f>SUM(Table1[[#This Row],[Math 
Score]],Table1[[#This Row],[History 
Score]],Table1[[#This Row],[Physics 
Score]],Table1[[#This Row],[Chemistry 
Score]],Table1[[#This Row],[Biology 
Score]],Table1[[#This Row],[English 
Score]],Table1[[#This Row],[Geography 
Score]])</f>
        <v>570</v>
      </c>
      <c r="AA405" s="3">
        <f>AVERAGE(Table1[[#This Row],[Math 
Score]],Table1[[#This Row],[History 
Score]],Table1[[#This Row],[Physics 
Score]],Table1[[#This Row],[Chemistry 
Score]],Table1[[#This Row],[Biology 
Score]],Table1[[#This Row],[English 
Score]],Table1[[#This Row],[Geography 
Score]])</f>
        <v>81.428571428571431</v>
      </c>
      <c r="AB40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405">
        <f t="shared" si="6"/>
        <v>937</v>
      </c>
      <c r="AD405" t="str">
        <f>_xlfn.IFS(Table1[[#This Row],[Absence 
Days]]&lt;3,"Excellent",Table1[[#This Row],[Absence 
Days]]&lt;=6,"Good",Table1[[#This Row],[Absence 
Days]]&gt;6,"Poor")</f>
        <v>Poor</v>
      </c>
    </row>
    <row r="406" spans="1:30" x14ac:dyDescent="0.35">
      <c r="A406">
        <v>405</v>
      </c>
      <c r="B406" s="2" t="s">
        <v>216</v>
      </c>
      <c r="C406" t="s">
        <v>479</v>
      </c>
      <c r="D406" t="str">
        <f>_xlfn.TEXTJOIN(" ",TRUE,Table1[[#This Row],[First 
Name]:[Last 
Name]])</f>
        <v>Deborah Miller</v>
      </c>
      <c r="E406" t="s">
        <v>1516</v>
      </c>
      <c r="F406" t="s">
        <v>3245</v>
      </c>
      <c r="G406" t="str">
        <f ca="1">PROPER(Table1[[#This Row],[Part Time 
Job]])</f>
        <v>False</v>
      </c>
      <c r="H406" s="3">
        <v>3</v>
      </c>
      <c r="I406" t="str">
        <f ca="1">PROPER(Table1[[#This Row],[Extracurricular 
Activities]])</f>
        <v>False</v>
      </c>
      <c r="J406">
        <v>17</v>
      </c>
      <c r="K406" t="s">
        <v>3121</v>
      </c>
      <c r="L406">
        <v>86</v>
      </c>
      <c r="M406" s="12" t="str" cm="1">
        <f t="array" ref="M40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406">
        <v>61</v>
      </c>
      <c r="O406" s="13" t="str" cm="1">
        <f t="array" ref="O40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406">
        <v>68</v>
      </c>
      <c r="Q406" s="13" t="str" cm="1">
        <f t="array" ref="Q40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406">
        <v>91</v>
      </c>
      <c r="S406" t="str" cm="1">
        <f t="array" ref="S40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406">
        <v>60</v>
      </c>
      <c r="U406" t="str" cm="1">
        <f t="array" ref="U40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406">
        <v>86</v>
      </c>
      <c r="W406" t="str" cm="1">
        <f t="array" ref="W40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406">
        <v>62</v>
      </c>
      <c r="Y406" t="str" cm="1">
        <f t="array" ref="Y40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406">
        <f>SUM(Table1[[#This Row],[Math 
Score]],Table1[[#This Row],[History 
Score]],Table1[[#This Row],[Physics 
Score]],Table1[[#This Row],[Chemistry 
Score]],Table1[[#This Row],[Biology 
Score]],Table1[[#This Row],[English 
Score]],Table1[[#This Row],[Geography 
Score]])</f>
        <v>514</v>
      </c>
      <c r="AA406" s="3">
        <f>AVERAGE(Table1[[#This Row],[Math 
Score]],Table1[[#This Row],[History 
Score]],Table1[[#This Row],[Physics 
Score]],Table1[[#This Row],[Chemistry 
Score]],Table1[[#This Row],[Biology 
Score]],Table1[[#This Row],[English 
Score]],Table1[[#This Row],[Geography 
Score]])</f>
        <v>73.428571428571431</v>
      </c>
      <c r="AB40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406">
        <f t="shared" si="6"/>
        <v>1805</v>
      </c>
      <c r="AD406" t="str">
        <f>_xlfn.IFS(Table1[[#This Row],[Absence 
Days]]&lt;3,"Excellent",Table1[[#This Row],[Absence 
Days]]&lt;=6,"Good",Table1[[#This Row],[Absence 
Days]]&gt;6,"Poor")</f>
        <v>Good</v>
      </c>
    </row>
    <row r="407" spans="1:30" x14ac:dyDescent="0.35">
      <c r="A407">
        <v>406</v>
      </c>
      <c r="B407" s="2" t="s">
        <v>217</v>
      </c>
      <c r="C407" t="s">
        <v>593</v>
      </c>
      <c r="D407" t="str">
        <f>_xlfn.TEXTJOIN(" ",TRUE,Table1[[#This Row],[First 
Name]:[Last 
Name]])</f>
        <v>Autumn Hernandez</v>
      </c>
      <c r="E407" t="s">
        <v>1517</v>
      </c>
      <c r="F407" t="s">
        <v>3245</v>
      </c>
      <c r="G407" t="str">
        <f ca="1">PROPER(Table1[[#This Row],[Part Time 
Job]])</f>
        <v>False</v>
      </c>
      <c r="H407" s="3">
        <v>5</v>
      </c>
      <c r="I407" t="str">
        <f ca="1">PROPER(Table1[[#This Row],[Extracurricular 
Activities]])</f>
        <v>False</v>
      </c>
      <c r="J407">
        <v>25</v>
      </c>
      <c r="K407" t="s">
        <v>3116</v>
      </c>
      <c r="L407">
        <v>79</v>
      </c>
      <c r="M407" s="12" t="str" cm="1">
        <f t="array" ref="M40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407">
        <v>70</v>
      </c>
      <c r="O407" s="13" t="str" cm="1">
        <f t="array" ref="O40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407">
        <v>71</v>
      </c>
      <c r="Q407" s="13" t="str" cm="1">
        <f t="array" ref="Q40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407">
        <v>95</v>
      </c>
      <c r="S407" t="str" cm="1">
        <f t="array" ref="S40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407">
        <v>79</v>
      </c>
      <c r="U407" t="str" cm="1">
        <f t="array" ref="U40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407">
        <v>77</v>
      </c>
      <c r="W407" t="str" cm="1">
        <f t="array" ref="W40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407">
        <v>68</v>
      </c>
      <c r="Y407" t="str" cm="1">
        <f t="array" ref="Y40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407">
        <f>SUM(Table1[[#This Row],[Math 
Score]],Table1[[#This Row],[History 
Score]],Table1[[#This Row],[Physics 
Score]],Table1[[#This Row],[Chemistry 
Score]],Table1[[#This Row],[Biology 
Score]],Table1[[#This Row],[English 
Score]],Table1[[#This Row],[Geography 
Score]])</f>
        <v>539</v>
      </c>
      <c r="AA407" s="3">
        <f>AVERAGE(Table1[[#This Row],[Math 
Score]],Table1[[#This Row],[History 
Score]],Table1[[#This Row],[Physics 
Score]],Table1[[#This Row],[Chemistry 
Score]],Table1[[#This Row],[Biology 
Score]],Table1[[#This Row],[English 
Score]],Table1[[#This Row],[Geography 
Score]])</f>
        <v>77</v>
      </c>
      <c r="AB40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407">
        <f t="shared" si="6"/>
        <v>1531</v>
      </c>
      <c r="AD407" t="str">
        <f>_xlfn.IFS(Table1[[#This Row],[Absence 
Days]]&lt;3,"Excellent",Table1[[#This Row],[Absence 
Days]]&lt;=6,"Good",Table1[[#This Row],[Absence 
Days]]&gt;6,"Poor")</f>
        <v>Good</v>
      </c>
    </row>
    <row r="408" spans="1:30" x14ac:dyDescent="0.35">
      <c r="A408">
        <v>407</v>
      </c>
      <c r="B408" s="2" t="s">
        <v>0</v>
      </c>
      <c r="C408" t="s">
        <v>707</v>
      </c>
      <c r="D408" t="str">
        <f>_xlfn.TEXTJOIN(" ",TRUE,Table1[[#This Row],[First 
Name]:[Last 
Name]])</f>
        <v>Paul Serrano</v>
      </c>
      <c r="E408" t="s">
        <v>1518</v>
      </c>
      <c r="F408" t="s">
        <v>3244</v>
      </c>
      <c r="G408" t="str">
        <f ca="1">PROPER(Table1[[#This Row],[Part Time 
Job]])</f>
        <v>False</v>
      </c>
      <c r="H408" s="3">
        <v>5</v>
      </c>
      <c r="I408" t="str">
        <f ca="1">PROPER(Table1[[#This Row],[Extracurricular 
Activities]])</f>
        <v>False</v>
      </c>
      <c r="J408">
        <v>18</v>
      </c>
      <c r="K408" t="s">
        <v>3123</v>
      </c>
      <c r="L408">
        <v>76</v>
      </c>
      <c r="M408" s="12" t="str" cm="1">
        <f t="array" ref="M40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408">
        <v>82</v>
      </c>
      <c r="O408" s="13" t="str" cm="1">
        <f t="array" ref="O40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408">
        <v>76</v>
      </c>
      <c r="Q408" s="13" t="str" cm="1">
        <f t="array" ref="Q40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408">
        <v>71</v>
      </c>
      <c r="S408" t="str" cm="1">
        <f t="array" ref="S40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408">
        <v>70</v>
      </c>
      <c r="U408" t="str" cm="1">
        <f t="array" ref="U40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408">
        <v>89</v>
      </c>
      <c r="W408" t="str" cm="1">
        <f t="array" ref="W40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408">
        <v>76</v>
      </c>
      <c r="Y408" t="str" cm="1">
        <f t="array" ref="Y40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408">
        <f>SUM(Table1[[#This Row],[Math 
Score]],Table1[[#This Row],[History 
Score]],Table1[[#This Row],[Physics 
Score]],Table1[[#This Row],[Chemistry 
Score]],Table1[[#This Row],[Biology 
Score]],Table1[[#This Row],[English 
Score]],Table1[[#This Row],[Geography 
Score]])</f>
        <v>540</v>
      </c>
      <c r="AA408" s="3">
        <f>AVERAGE(Table1[[#This Row],[Math 
Score]],Table1[[#This Row],[History 
Score]],Table1[[#This Row],[Physics 
Score]],Table1[[#This Row],[Chemistry 
Score]],Table1[[#This Row],[Biology 
Score]],Table1[[#This Row],[English 
Score]],Table1[[#This Row],[Geography 
Score]])</f>
        <v>77.142857142857139</v>
      </c>
      <c r="AB40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408">
        <f t="shared" si="6"/>
        <v>1513</v>
      </c>
      <c r="AD408" t="str">
        <f>_xlfn.IFS(Table1[[#This Row],[Absence 
Days]]&lt;3,"Excellent",Table1[[#This Row],[Absence 
Days]]&lt;=6,"Good",Table1[[#This Row],[Absence 
Days]]&gt;6,"Poor")</f>
        <v>Good</v>
      </c>
    </row>
    <row r="409" spans="1:30" x14ac:dyDescent="0.35">
      <c r="A409">
        <v>408</v>
      </c>
      <c r="B409" s="2" t="s">
        <v>110</v>
      </c>
      <c r="C409" t="s">
        <v>472</v>
      </c>
      <c r="D409" t="str">
        <f>_xlfn.TEXTJOIN(" ",TRUE,Table1[[#This Row],[First 
Name]:[Last 
Name]])</f>
        <v>Matthew Griffin</v>
      </c>
      <c r="E409" t="s">
        <v>1519</v>
      </c>
      <c r="F409" t="s">
        <v>3244</v>
      </c>
      <c r="G409" t="str">
        <f ca="1">PROPER(Table1[[#This Row],[Part Time 
Job]])</f>
        <v>True</v>
      </c>
      <c r="H409" s="3">
        <v>1</v>
      </c>
      <c r="I409" t="str">
        <f ca="1">PROPER(Table1[[#This Row],[Extracurricular 
Activities]])</f>
        <v>False</v>
      </c>
      <c r="J409">
        <v>23</v>
      </c>
      <c r="K409" t="s">
        <v>3117</v>
      </c>
      <c r="L409">
        <v>96</v>
      </c>
      <c r="M409" s="12" t="str" cm="1">
        <f t="array" ref="M40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409">
        <v>63</v>
      </c>
      <c r="O409" s="13" t="str" cm="1">
        <f t="array" ref="O40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409">
        <v>69</v>
      </c>
      <c r="Q409" s="13" t="str" cm="1">
        <f t="array" ref="Q40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409">
        <v>67</v>
      </c>
      <c r="S409" t="str" cm="1">
        <f t="array" ref="S40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409">
        <v>69</v>
      </c>
      <c r="U409" t="str" cm="1">
        <f t="array" ref="U40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409">
        <v>92</v>
      </c>
      <c r="W409" t="str" cm="1">
        <f t="array" ref="W40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409">
        <v>77</v>
      </c>
      <c r="Y409" t="str" cm="1">
        <f t="array" ref="Y40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409">
        <f>SUM(Table1[[#This Row],[Math 
Score]],Table1[[#This Row],[History 
Score]],Table1[[#This Row],[Physics 
Score]],Table1[[#This Row],[Chemistry 
Score]],Table1[[#This Row],[Biology 
Score]],Table1[[#This Row],[English 
Score]],Table1[[#This Row],[Geography 
Score]])</f>
        <v>533</v>
      </c>
      <c r="AA409" s="3">
        <f>AVERAGE(Table1[[#This Row],[Math 
Score]],Table1[[#This Row],[History 
Score]],Table1[[#This Row],[Physics 
Score]],Table1[[#This Row],[Chemistry 
Score]],Table1[[#This Row],[Biology 
Score]],Table1[[#This Row],[English 
Score]],Table1[[#This Row],[Geography 
Score]])</f>
        <v>76.142857142857139</v>
      </c>
      <c r="AB40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409">
        <f t="shared" si="6"/>
        <v>1613</v>
      </c>
      <c r="AD409" t="str">
        <f>_xlfn.IFS(Table1[[#This Row],[Absence 
Days]]&lt;3,"Excellent",Table1[[#This Row],[Absence 
Days]]&lt;=6,"Good",Table1[[#This Row],[Absence 
Days]]&gt;6,"Poor")</f>
        <v>Excellent</v>
      </c>
    </row>
    <row r="410" spans="1:30" x14ac:dyDescent="0.35">
      <c r="A410">
        <v>409</v>
      </c>
      <c r="B410" s="2" t="s">
        <v>121</v>
      </c>
      <c r="C410" t="s">
        <v>639</v>
      </c>
      <c r="D410" t="str">
        <f>_xlfn.TEXTJOIN(" ",TRUE,Table1[[#This Row],[First 
Name]:[Last 
Name]])</f>
        <v>Evan Holmes</v>
      </c>
      <c r="E410" t="s">
        <v>1520</v>
      </c>
      <c r="F410" t="s">
        <v>3244</v>
      </c>
      <c r="G410" t="str">
        <f ca="1">PROPER(Table1[[#This Row],[Part Time 
Job]])</f>
        <v>False</v>
      </c>
      <c r="H410" s="3">
        <v>4</v>
      </c>
      <c r="I410" t="str">
        <f ca="1">PROPER(Table1[[#This Row],[Extracurricular 
Activities]])</f>
        <v>True</v>
      </c>
      <c r="J410">
        <v>23</v>
      </c>
      <c r="K410" t="s">
        <v>3117</v>
      </c>
      <c r="L410">
        <v>100</v>
      </c>
      <c r="M410" s="12" t="str" cm="1">
        <f t="array" ref="M41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410">
        <v>77</v>
      </c>
      <c r="O410" s="13" t="str" cm="1">
        <f t="array" ref="O41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410">
        <v>75</v>
      </c>
      <c r="Q410" s="13" t="str" cm="1">
        <f t="array" ref="Q41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410">
        <v>74</v>
      </c>
      <c r="S410" t="str" cm="1">
        <f t="array" ref="S41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410">
        <v>80</v>
      </c>
      <c r="U410" t="str" cm="1">
        <f t="array" ref="U41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410">
        <v>94</v>
      </c>
      <c r="W410" t="str" cm="1">
        <f t="array" ref="W41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410">
        <v>74</v>
      </c>
      <c r="Y410" t="str" cm="1">
        <f t="array" ref="Y41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410">
        <f>SUM(Table1[[#This Row],[Math 
Score]],Table1[[#This Row],[History 
Score]],Table1[[#This Row],[Physics 
Score]],Table1[[#This Row],[Chemistry 
Score]],Table1[[#This Row],[Biology 
Score]],Table1[[#This Row],[English 
Score]],Table1[[#This Row],[Geography 
Score]])</f>
        <v>574</v>
      </c>
      <c r="AA410" s="3">
        <f>AVERAGE(Table1[[#This Row],[Math 
Score]],Table1[[#This Row],[History 
Score]],Table1[[#This Row],[Physics 
Score]],Table1[[#This Row],[Chemistry 
Score]],Table1[[#This Row],[Biology 
Score]],Table1[[#This Row],[English 
Score]],Table1[[#This Row],[Geography 
Score]])</f>
        <v>82</v>
      </c>
      <c r="AB41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410">
        <f t="shared" si="6"/>
        <v>832</v>
      </c>
      <c r="AD410" t="str">
        <f>_xlfn.IFS(Table1[[#This Row],[Absence 
Days]]&lt;3,"Excellent",Table1[[#This Row],[Absence 
Days]]&lt;=6,"Good",Table1[[#This Row],[Absence 
Days]]&gt;6,"Poor")</f>
        <v>Good</v>
      </c>
    </row>
    <row r="411" spans="1:30" x14ac:dyDescent="0.35">
      <c r="A411">
        <v>410</v>
      </c>
      <c r="B411" s="2" t="s">
        <v>29</v>
      </c>
      <c r="C411" t="s">
        <v>708</v>
      </c>
      <c r="D411" t="str">
        <f>_xlfn.TEXTJOIN(" ",TRUE,Table1[[#This Row],[First 
Name]:[Last 
Name]])</f>
        <v>Cynthia Baker</v>
      </c>
      <c r="E411" t="s">
        <v>1521</v>
      </c>
      <c r="F411" t="s">
        <v>3245</v>
      </c>
      <c r="G411" t="str">
        <f ca="1">PROPER(Table1[[#This Row],[Part Time 
Job]])</f>
        <v>False</v>
      </c>
      <c r="H411" s="3">
        <v>6</v>
      </c>
      <c r="I411" t="str">
        <f ca="1">PROPER(Table1[[#This Row],[Extracurricular 
Activities]])</f>
        <v>False</v>
      </c>
      <c r="J411">
        <v>21</v>
      </c>
      <c r="K411" t="s">
        <v>3117</v>
      </c>
      <c r="L411">
        <v>88</v>
      </c>
      <c r="M411" s="12" t="str" cm="1">
        <f t="array" ref="M41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411">
        <v>84</v>
      </c>
      <c r="O411" s="13" t="str" cm="1">
        <f t="array" ref="O41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411">
        <v>87</v>
      </c>
      <c r="Q411" s="13" t="str" cm="1">
        <f t="array" ref="Q41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411">
        <v>97</v>
      </c>
      <c r="S411" t="str" cm="1">
        <f t="array" ref="S41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411">
        <v>94</v>
      </c>
      <c r="U411" t="str" cm="1">
        <f t="array" ref="U41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411">
        <v>87</v>
      </c>
      <c r="W411" t="str" cm="1">
        <f t="array" ref="W41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411">
        <v>85</v>
      </c>
      <c r="Y411" t="str" cm="1">
        <f t="array" ref="Y41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411">
        <f>SUM(Table1[[#This Row],[Math 
Score]],Table1[[#This Row],[History 
Score]],Table1[[#This Row],[Physics 
Score]],Table1[[#This Row],[Chemistry 
Score]],Table1[[#This Row],[Biology 
Score]],Table1[[#This Row],[English 
Score]],Table1[[#This Row],[Geography 
Score]])</f>
        <v>622</v>
      </c>
      <c r="AA411" s="3">
        <f>AVERAGE(Table1[[#This Row],[Math 
Score]],Table1[[#This Row],[History 
Score]],Table1[[#This Row],[Physics 
Score]],Table1[[#This Row],[Chemistry 
Score]],Table1[[#This Row],[Biology 
Score]],Table1[[#This Row],[English 
Score]],Table1[[#This Row],[Geography 
Score]])</f>
        <v>88.857142857142861</v>
      </c>
      <c r="AB41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411">
        <f t="shared" si="6"/>
        <v>208</v>
      </c>
      <c r="AD411" t="str">
        <f>_xlfn.IFS(Table1[[#This Row],[Absence 
Days]]&lt;3,"Excellent",Table1[[#This Row],[Absence 
Days]]&lt;=6,"Good",Table1[[#This Row],[Absence 
Days]]&gt;6,"Poor")</f>
        <v>Good</v>
      </c>
    </row>
    <row r="412" spans="1:30" x14ac:dyDescent="0.35">
      <c r="A412">
        <v>411</v>
      </c>
      <c r="B412" s="2" t="s">
        <v>46</v>
      </c>
      <c r="C412" t="s">
        <v>709</v>
      </c>
      <c r="D412" t="str">
        <f>_xlfn.TEXTJOIN(" ",TRUE,Table1[[#This Row],[First 
Name]:[Last 
Name]])</f>
        <v>Sandra Melendez</v>
      </c>
      <c r="E412" t="s">
        <v>1522</v>
      </c>
      <c r="F412" t="s">
        <v>3245</v>
      </c>
      <c r="G412" t="str">
        <f ca="1">PROPER(Table1[[#This Row],[Part Time 
Job]])</f>
        <v>False</v>
      </c>
      <c r="H412" s="3">
        <v>3</v>
      </c>
      <c r="I412" t="str">
        <f ca="1">PROPER(Table1[[#This Row],[Extracurricular 
Activities]])</f>
        <v>False</v>
      </c>
      <c r="J412">
        <v>27</v>
      </c>
      <c r="K412" t="s">
        <v>3117</v>
      </c>
      <c r="L412">
        <v>96</v>
      </c>
      <c r="M412" s="12" t="str" cm="1">
        <f t="array" ref="M41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412">
        <v>76</v>
      </c>
      <c r="O412" s="13" t="str" cm="1">
        <f t="array" ref="O41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412">
        <v>98</v>
      </c>
      <c r="Q412" s="13" t="str" cm="1">
        <f t="array" ref="Q41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412">
        <v>89</v>
      </c>
      <c r="S412" t="str" cm="1">
        <f t="array" ref="S41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412">
        <v>93</v>
      </c>
      <c r="U412" t="str" cm="1">
        <f t="array" ref="U41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412">
        <v>85</v>
      </c>
      <c r="W412" t="str" cm="1">
        <f t="array" ref="W41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412">
        <v>75</v>
      </c>
      <c r="Y412" t="str" cm="1">
        <f t="array" ref="Y41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412">
        <f>SUM(Table1[[#This Row],[Math 
Score]],Table1[[#This Row],[History 
Score]],Table1[[#This Row],[Physics 
Score]],Table1[[#This Row],[Chemistry 
Score]],Table1[[#This Row],[Biology 
Score]],Table1[[#This Row],[English 
Score]],Table1[[#This Row],[Geography 
Score]])</f>
        <v>612</v>
      </c>
      <c r="AA412" s="3">
        <f>AVERAGE(Table1[[#This Row],[Math 
Score]],Table1[[#This Row],[History 
Score]],Table1[[#This Row],[Physics 
Score]],Table1[[#This Row],[Chemistry 
Score]],Table1[[#This Row],[Biology 
Score]],Table1[[#This Row],[English 
Score]],Table1[[#This Row],[Geography 
Score]])</f>
        <v>87.428571428571431</v>
      </c>
      <c r="AB41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412">
        <f t="shared" si="6"/>
        <v>283</v>
      </c>
      <c r="AD412" t="str">
        <f>_xlfn.IFS(Table1[[#This Row],[Absence 
Days]]&lt;3,"Excellent",Table1[[#This Row],[Absence 
Days]]&lt;=6,"Good",Table1[[#This Row],[Absence 
Days]]&gt;6,"Poor")</f>
        <v>Good</v>
      </c>
    </row>
    <row r="413" spans="1:30" x14ac:dyDescent="0.35">
      <c r="A413">
        <v>412</v>
      </c>
      <c r="B413" s="2" t="s">
        <v>218</v>
      </c>
      <c r="C413" t="s">
        <v>710</v>
      </c>
      <c r="D413" t="str">
        <f>_xlfn.TEXTJOIN(" ",TRUE,Table1[[#This Row],[First 
Name]:[Last 
Name]])</f>
        <v>Claudia Munoz</v>
      </c>
      <c r="E413" t="s">
        <v>1523</v>
      </c>
      <c r="F413" t="s">
        <v>3245</v>
      </c>
      <c r="G413" t="str">
        <f ca="1">PROPER(Table1[[#This Row],[Part Time 
Job]])</f>
        <v>False</v>
      </c>
      <c r="H413" s="3">
        <v>5</v>
      </c>
      <c r="I413" t="str">
        <f ca="1">PROPER(Table1[[#This Row],[Extracurricular 
Activities]])</f>
        <v>False</v>
      </c>
      <c r="J413">
        <v>14</v>
      </c>
      <c r="K413" t="s">
        <v>3117</v>
      </c>
      <c r="L413">
        <v>92</v>
      </c>
      <c r="M413" s="12" t="str" cm="1">
        <f t="array" ref="M41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413">
        <v>66</v>
      </c>
      <c r="O413" s="13" t="str" cm="1">
        <f t="array" ref="O41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413">
        <v>96</v>
      </c>
      <c r="Q413" s="13" t="str" cm="1">
        <f t="array" ref="Q41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413">
        <v>71</v>
      </c>
      <c r="S413" t="str" cm="1">
        <f t="array" ref="S41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413">
        <v>87</v>
      </c>
      <c r="U413" t="str" cm="1">
        <f t="array" ref="U41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413">
        <v>89</v>
      </c>
      <c r="W413" t="str" cm="1">
        <f t="array" ref="W41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413">
        <v>61</v>
      </c>
      <c r="Y413" t="str" cm="1">
        <f t="array" ref="Y41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413">
        <f>SUM(Table1[[#This Row],[Math 
Score]],Table1[[#This Row],[History 
Score]],Table1[[#This Row],[Physics 
Score]],Table1[[#This Row],[Chemistry 
Score]],Table1[[#This Row],[Biology 
Score]],Table1[[#This Row],[English 
Score]],Table1[[#This Row],[Geography 
Score]])</f>
        <v>562</v>
      </c>
      <c r="AA413" s="3">
        <f>AVERAGE(Table1[[#This Row],[Math 
Score]],Table1[[#This Row],[History 
Score]],Table1[[#This Row],[Physics 
Score]],Table1[[#This Row],[Chemistry 
Score]],Table1[[#This Row],[Biology 
Score]],Table1[[#This Row],[English 
Score]],Table1[[#This Row],[Geography 
Score]])</f>
        <v>80.285714285714292</v>
      </c>
      <c r="AB41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413">
        <f t="shared" si="6"/>
        <v>1099</v>
      </c>
      <c r="AD413" t="str">
        <f>_xlfn.IFS(Table1[[#This Row],[Absence 
Days]]&lt;3,"Excellent",Table1[[#This Row],[Absence 
Days]]&lt;=6,"Good",Table1[[#This Row],[Absence 
Days]]&gt;6,"Poor")</f>
        <v>Good</v>
      </c>
    </row>
    <row r="414" spans="1:30" x14ac:dyDescent="0.35">
      <c r="A414">
        <v>413</v>
      </c>
      <c r="B414" s="2" t="s">
        <v>36</v>
      </c>
      <c r="C414" t="s">
        <v>711</v>
      </c>
      <c r="D414" t="str">
        <f>_xlfn.TEXTJOIN(" ",TRUE,Table1[[#This Row],[First 
Name]:[Last 
Name]])</f>
        <v>Christopher Nguyen</v>
      </c>
      <c r="E414" t="s">
        <v>1524</v>
      </c>
      <c r="F414" t="s">
        <v>3244</v>
      </c>
      <c r="G414" t="str">
        <f ca="1">PROPER(Table1[[#This Row],[Part Time 
Job]])</f>
        <v>False</v>
      </c>
      <c r="H414" s="3">
        <v>2</v>
      </c>
      <c r="I414" t="str">
        <f ca="1">PROPER(Table1[[#This Row],[Extracurricular 
Activities]])</f>
        <v>True</v>
      </c>
      <c r="J414">
        <v>37</v>
      </c>
      <c r="K414" t="s">
        <v>3113</v>
      </c>
      <c r="L414">
        <v>87</v>
      </c>
      <c r="M414" s="12" t="str" cm="1">
        <f t="array" ref="M41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414">
        <v>93</v>
      </c>
      <c r="O414" s="13" t="str" cm="1">
        <f t="array" ref="O41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414">
        <v>99</v>
      </c>
      <c r="Q414" s="13" t="str" cm="1">
        <f t="array" ref="Q41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414">
        <v>100</v>
      </c>
      <c r="S414" t="str" cm="1">
        <f t="array" ref="S41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414">
        <v>97</v>
      </c>
      <c r="U414" t="str" cm="1">
        <f t="array" ref="U41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414">
        <v>92</v>
      </c>
      <c r="W414" t="str" cm="1">
        <f t="array" ref="W41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414">
        <v>90</v>
      </c>
      <c r="Y414" t="str" cm="1">
        <f t="array" ref="Y41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414">
        <f>SUM(Table1[[#This Row],[Math 
Score]],Table1[[#This Row],[History 
Score]],Table1[[#This Row],[Physics 
Score]],Table1[[#This Row],[Chemistry 
Score]],Table1[[#This Row],[Biology 
Score]],Table1[[#This Row],[English 
Score]],Table1[[#This Row],[Geography 
Score]])</f>
        <v>658</v>
      </c>
      <c r="AA414" s="3">
        <f>AVERAGE(Table1[[#This Row],[Math 
Score]],Table1[[#This Row],[History 
Score]],Table1[[#This Row],[Physics 
Score]],Table1[[#This Row],[Chemistry 
Score]],Table1[[#This Row],[Biology 
Score]],Table1[[#This Row],[English 
Score]],Table1[[#This Row],[Geography 
Score]])</f>
        <v>94</v>
      </c>
      <c r="AB41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414">
        <f t="shared" si="6"/>
        <v>24</v>
      </c>
      <c r="AD414" t="str">
        <f>_xlfn.IFS(Table1[[#This Row],[Absence 
Days]]&lt;3,"Excellent",Table1[[#This Row],[Absence 
Days]]&lt;=6,"Good",Table1[[#This Row],[Absence 
Days]]&gt;6,"Poor")</f>
        <v>Excellent</v>
      </c>
    </row>
    <row r="415" spans="1:30" x14ac:dyDescent="0.35">
      <c r="A415">
        <v>414</v>
      </c>
      <c r="B415" s="2" t="s">
        <v>40</v>
      </c>
      <c r="C415" t="s">
        <v>712</v>
      </c>
      <c r="D415" t="str">
        <f>_xlfn.TEXTJOIN(" ",TRUE,Table1[[#This Row],[First 
Name]:[Last 
Name]])</f>
        <v>David Jennings</v>
      </c>
      <c r="E415" t="s">
        <v>1525</v>
      </c>
      <c r="F415" t="s">
        <v>3244</v>
      </c>
      <c r="G415" t="str">
        <f ca="1">PROPER(Table1[[#This Row],[Part Time 
Job]])</f>
        <v>False</v>
      </c>
      <c r="H415" s="3">
        <v>3</v>
      </c>
      <c r="I415" t="str">
        <f ca="1">PROPER(Table1[[#This Row],[Extracurricular 
Activities]])</f>
        <v>False</v>
      </c>
      <c r="J415">
        <v>29</v>
      </c>
      <c r="K415" t="s">
        <v>3123</v>
      </c>
      <c r="L415">
        <v>95</v>
      </c>
      <c r="M415" s="12" t="str" cm="1">
        <f t="array" ref="M41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415">
        <v>82</v>
      </c>
      <c r="O415" s="13" t="str" cm="1">
        <f t="array" ref="O41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415">
        <v>74</v>
      </c>
      <c r="Q415" s="13" t="str" cm="1">
        <f t="array" ref="Q41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415">
        <v>87</v>
      </c>
      <c r="S415" t="str" cm="1">
        <f t="array" ref="S41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415">
        <v>36</v>
      </c>
      <c r="U415" t="str" cm="1">
        <f t="array" ref="U41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F</v>
      </c>
      <c r="V415">
        <v>61</v>
      </c>
      <c r="W415" t="str" cm="1">
        <f t="array" ref="W41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415">
        <v>88</v>
      </c>
      <c r="Y415" t="str" cm="1">
        <f t="array" ref="Y41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415">
        <f>SUM(Table1[[#This Row],[Math 
Score]],Table1[[#This Row],[History 
Score]],Table1[[#This Row],[Physics 
Score]],Table1[[#This Row],[Chemistry 
Score]],Table1[[#This Row],[Biology 
Score]],Table1[[#This Row],[English 
Score]],Table1[[#This Row],[Geography 
Score]])</f>
        <v>523</v>
      </c>
      <c r="AA415" s="3">
        <f>AVERAGE(Table1[[#This Row],[Math 
Score]],Table1[[#This Row],[History 
Score]],Table1[[#This Row],[Physics 
Score]],Table1[[#This Row],[Chemistry 
Score]],Table1[[#This Row],[Biology 
Score]],Table1[[#This Row],[English 
Score]],Table1[[#This Row],[Geography 
Score]])</f>
        <v>74.714285714285708</v>
      </c>
      <c r="AB41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415">
        <f t="shared" si="6"/>
        <v>1727</v>
      </c>
      <c r="AD415" t="str">
        <f>_xlfn.IFS(Table1[[#This Row],[Absence 
Days]]&lt;3,"Excellent",Table1[[#This Row],[Absence 
Days]]&lt;=6,"Good",Table1[[#This Row],[Absence 
Days]]&gt;6,"Poor")</f>
        <v>Good</v>
      </c>
    </row>
    <row r="416" spans="1:30" x14ac:dyDescent="0.35">
      <c r="A416">
        <v>415</v>
      </c>
      <c r="B416" s="2" t="s">
        <v>186</v>
      </c>
      <c r="C416" t="s">
        <v>606</v>
      </c>
      <c r="D416" t="str">
        <f>_xlfn.TEXTJOIN(" ",TRUE,Table1[[#This Row],[First 
Name]:[Last 
Name]])</f>
        <v>Joel Morris</v>
      </c>
      <c r="E416" t="s">
        <v>1526</v>
      </c>
      <c r="F416" t="s">
        <v>3244</v>
      </c>
      <c r="G416" t="str">
        <f ca="1">PROPER(Table1[[#This Row],[Part Time 
Job]])</f>
        <v>True</v>
      </c>
      <c r="H416" s="3">
        <v>6</v>
      </c>
      <c r="I416" t="str">
        <f ca="1">PROPER(Table1[[#This Row],[Extracurricular 
Activities]])</f>
        <v>False</v>
      </c>
      <c r="J416">
        <v>4</v>
      </c>
      <c r="K416" t="s">
        <v>3119</v>
      </c>
      <c r="L416">
        <v>44</v>
      </c>
      <c r="M416" s="12" t="str" cm="1">
        <f t="array" ref="M416">_xlfn.IFS(Table1[[#This Row],[Math 
Score]]&gt;=90,"A+",Table1[[#This Row],[Math 
Score]]&gt;=80,"A", Table1[[#This Row],[Math 
Score]]&gt;=75,"A-",Table1[[#This Row],[Math 
Score]]&gt;=70,"B+",Table1[[#This Row],[Math 
Score]]&gt;=65,"B",Table1[[#This Row],[Math 
Score]]&gt;=60,"B-",Table1[[#This Row],[Math 
Score]]&gt;=50,"C",Table1[[#This Row],[Math 
Score]]&gt;=40,"D",Table1[[#This Row],[Math 
Score]]&lt;40,"F")</f>
        <v>D</v>
      </c>
      <c r="N416">
        <v>76</v>
      </c>
      <c r="O416" s="13" t="str" cm="1">
        <f t="array" ref="O41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416">
        <v>56</v>
      </c>
      <c r="Q416" s="13" t="str" cm="1">
        <f t="array" ref="Q41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C</v>
      </c>
      <c r="R416">
        <v>71</v>
      </c>
      <c r="S416" t="str" cm="1">
        <f t="array" ref="S41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416">
        <v>66</v>
      </c>
      <c r="U416" t="str" cm="1">
        <f t="array" ref="U41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416">
        <v>54</v>
      </c>
      <c r="W416" t="str" cm="1">
        <f t="array" ref="W41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C</v>
      </c>
      <c r="X416">
        <v>91</v>
      </c>
      <c r="Y416" t="str" cm="1">
        <f t="array" ref="Y41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416">
        <f>SUM(Table1[[#This Row],[Math 
Score]],Table1[[#This Row],[History 
Score]],Table1[[#This Row],[Physics 
Score]],Table1[[#This Row],[Chemistry 
Score]],Table1[[#This Row],[Biology 
Score]],Table1[[#This Row],[English 
Score]],Table1[[#This Row],[Geography 
Score]])</f>
        <v>458</v>
      </c>
      <c r="AA416" s="3">
        <f>AVERAGE(Table1[[#This Row],[Math 
Score]],Table1[[#This Row],[History 
Score]],Table1[[#This Row],[Physics 
Score]],Table1[[#This Row],[Chemistry 
Score]],Table1[[#This Row],[Biology 
Score]],Table1[[#This Row],[English 
Score]],Table1[[#This Row],[Geography 
Score]])</f>
        <v>65.428571428571431</v>
      </c>
      <c r="AB41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416">
        <f t="shared" si="6"/>
        <v>1983</v>
      </c>
      <c r="AD416" t="str">
        <f>_xlfn.IFS(Table1[[#This Row],[Absence 
Days]]&lt;3,"Excellent",Table1[[#This Row],[Absence 
Days]]&lt;=6,"Good",Table1[[#This Row],[Absence 
Days]]&gt;6,"Poor")</f>
        <v>Good</v>
      </c>
    </row>
    <row r="417" spans="1:30" x14ac:dyDescent="0.35">
      <c r="A417">
        <v>416</v>
      </c>
      <c r="B417" s="2" t="s">
        <v>67</v>
      </c>
      <c r="C417" t="s">
        <v>256</v>
      </c>
      <c r="D417" t="str">
        <f>_xlfn.TEXTJOIN(" ",TRUE,Table1[[#This Row],[First 
Name]:[Last 
Name]])</f>
        <v>Rhonda Bradley</v>
      </c>
      <c r="E417" t="s">
        <v>1527</v>
      </c>
      <c r="F417" t="s">
        <v>3245</v>
      </c>
      <c r="G417" t="str">
        <f ca="1">PROPER(Table1[[#This Row],[Part Time 
Job]])</f>
        <v>False</v>
      </c>
      <c r="H417" s="3">
        <v>3</v>
      </c>
      <c r="I417" t="str">
        <f ca="1">PROPER(Table1[[#This Row],[Extracurricular 
Activities]])</f>
        <v>False</v>
      </c>
      <c r="J417">
        <v>16</v>
      </c>
      <c r="K417" t="s">
        <v>3121</v>
      </c>
      <c r="L417">
        <v>78</v>
      </c>
      <c r="M417" s="12" t="str" cm="1">
        <f t="array" ref="M41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417">
        <v>89</v>
      </c>
      <c r="O417" s="13" t="str" cm="1">
        <f t="array" ref="O41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417">
        <v>68</v>
      </c>
      <c r="Q417" s="13" t="str" cm="1">
        <f t="array" ref="Q41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417">
        <v>63</v>
      </c>
      <c r="S417" t="str" cm="1">
        <f t="array" ref="S41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417">
        <v>81</v>
      </c>
      <c r="U417" t="str" cm="1">
        <f t="array" ref="U41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417">
        <v>92</v>
      </c>
      <c r="W417" t="str" cm="1">
        <f t="array" ref="W41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417">
        <v>97</v>
      </c>
      <c r="Y417" t="str" cm="1">
        <f t="array" ref="Y41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417">
        <f>SUM(Table1[[#This Row],[Math 
Score]],Table1[[#This Row],[History 
Score]],Table1[[#This Row],[Physics 
Score]],Table1[[#This Row],[Chemistry 
Score]],Table1[[#This Row],[Biology 
Score]],Table1[[#This Row],[English 
Score]],Table1[[#This Row],[Geography 
Score]])</f>
        <v>568</v>
      </c>
      <c r="AA417" s="3">
        <f>AVERAGE(Table1[[#This Row],[Math 
Score]],Table1[[#This Row],[History 
Score]],Table1[[#This Row],[Physics 
Score]],Table1[[#This Row],[Chemistry 
Score]],Table1[[#This Row],[Biology 
Score]],Table1[[#This Row],[English 
Score]],Table1[[#This Row],[Geography 
Score]])</f>
        <v>81.142857142857139</v>
      </c>
      <c r="AB41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417">
        <f t="shared" si="6"/>
        <v>975</v>
      </c>
      <c r="AD417" t="str">
        <f>_xlfn.IFS(Table1[[#This Row],[Absence 
Days]]&lt;3,"Excellent",Table1[[#This Row],[Absence 
Days]]&lt;=6,"Good",Table1[[#This Row],[Absence 
Days]]&gt;6,"Poor")</f>
        <v>Good</v>
      </c>
    </row>
    <row r="418" spans="1:30" x14ac:dyDescent="0.35">
      <c r="A418">
        <v>417</v>
      </c>
      <c r="B418" s="2" t="s">
        <v>51</v>
      </c>
      <c r="C418" t="s">
        <v>527</v>
      </c>
      <c r="D418" t="str">
        <f>_xlfn.TEXTJOIN(" ",TRUE,Table1[[#This Row],[First 
Name]:[Last 
Name]])</f>
        <v>Melissa Brown</v>
      </c>
      <c r="E418" t="s">
        <v>1528</v>
      </c>
      <c r="F418" t="s">
        <v>3245</v>
      </c>
      <c r="G418" t="str">
        <f ca="1">PROPER(Table1[[#This Row],[Part Time 
Job]])</f>
        <v>False</v>
      </c>
      <c r="H418" s="3">
        <v>4</v>
      </c>
      <c r="I418" t="str">
        <f ca="1">PROPER(Table1[[#This Row],[Extracurricular 
Activities]])</f>
        <v>False</v>
      </c>
      <c r="J418">
        <v>30</v>
      </c>
      <c r="K418" t="s">
        <v>3123</v>
      </c>
      <c r="L418">
        <v>95</v>
      </c>
      <c r="M418" s="12" t="str" cm="1">
        <f t="array" ref="M41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418">
        <v>78</v>
      </c>
      <c r="O418" s="13" t="str" cm="1">
        <f t="array" ref="O41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418">
        <v>93</v>
      </c>
      <c r="Q418" s="13" t="str" cm="1">
        <f t="array" ref="Q41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418">
        <v>85</v>
      </c>
      <c r="S418" t="str" cm="1">
        <f t="array" ref="S41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418">
        <v>48</v>
      </c>
      <c r="U418" t="str" cm="1">
        <f t="array" ref="U41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D</v>
      </c>
      <c r="V418">
        <v>68</v>
      </c>
      <c r="W418" t="str" cm="1">
        <f t="array" ref="W41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418">
        <v>75</v>
      </c>
      <c r="Y418" t="str" cm="1">
        <f t="array" ref="Y41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418">
        <f>SUM(Table1[[#This Row],[Math 
Score]],Table1[[#This Row],[History 
Score]],Table1[[#This Row],[Physics 
Score]],Table1[[#This Row],[Chemistry 
Score]],Table1[[#This Row],[Biology 
Score]],Table1[[#This Row],[English 
Score]],Table1[[#This Row],[Geography 
Score]])</f>
        <v>542</v>
      </c>
      <c r="AA418" s="3">
        <f>AVERAGE(Table1[[#This Row],[Math 
Score]],Table1[[#This Row],[History 
Score]],Table1[[#This Row],[Physics 
Score]],Table1[[#This Row],[Chemistry 
Score]],Table1[[#This Row],[Biology 
Score]],Table1[[#This Row],[English 
Score]],Table1[[#This Row],[Geography 
Score]])</f>
        <v>77.428571428571431</v>
      </c>
      <c r="AB41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418">
        <f t="shared" si="6"/>
        <v>1478</v>
      </c>
      <c r="AD418" t="str">
        <f>_xlfn.IFS(Table1[[#This Row],[Absence 
Days]]&lt;3,"Excellent",Table1[[#This Row],[Absence 
Days]]&lt;=6,"Good",Table1[[#This Row],[Absence 
Days]]&gt;6,"Poor")</f>
        <v>Good</v>
      </c>
    </row>
    <row r="419" spans="1:30" x14ac:dyDescent="0.35">
      <c r="A419">
        <v>418</v>
      </c>
      <c r="B419" s="2" t="s">
        <v>110</v>
      </c>
      <c r="C419" t="s">
        <v>713</v>
      </c>
      <c r="D419" t="str">
        <f>_xlfn.TEXTJOIN(" ",TRUE,Table1[[#This Row],[First 
Name]:[Last 
Name]])</f>
        <v>Matthew Kramer</v>
      </c>
      <c r="E419" t="s">
        <v>1529</v>
      </c>
      <c r="F419" t="s">
        <v>3244</v>
      </c>
      <c r="G419" t="str">
        <f ca="1">PROPER(Table1[[#This Row],[Part Time 
Job]])</f>
        <v>True</v>
      </c>
      <c r="H419" s="3">
        <v>7</v>
      </c>
      <c r="I419" t="str">
        <f ca="1">PROPER(Table1[[#This Row],[Extracurricular 
Activities]])</f>
        <v>False</v>
      </c>
      <c r="J419">
        <v>1</v>
      </c>
      <c r="K419" t="s">
        <v>3119</v>
      </c>
      <c r="L419">
        <v>57</v>
      </c>
      <c r="M419" s="12" t="str" cm="1">
        <f t="array" ref="M419">_xlfn.IFS(Table1[[#This Row],[Math 
Score]]&gt;=90,"A+",Table1[[#This Row],[Math 
Score]]&gt;=80,"A", Table1[[#This Row],[Math 
Score]]&gt;=75,"A-",Table1[[#This Row],[Math 
Score]]&gt;=70,"B+",Table1[[#This Row],[Math 
Score]]&gt;=65,"B",Table1[[#This Row],[Math 
Score]]&gt;=60,"B-",Table1[[#This Row],[Math 
Score]]&gt;=50,"C",Table1[[#This Row],[Math 
Score]]&gt;=40,"D",Table1[[#This Row],[Math 
Score]]&lt;40,"F")</f>
        <v>C</v>
      </c>
      <c r="N419">
        <v>56</v>
      </c>
      <c r="O419" s="13" t="str" cm="1">
        <f t="array" ref="O41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C</v>
      </c>
      <c r="P419">
        <v>53</v>
      </c>
      <c r="Q419" s="13" t="str" cm="1">
        <f t="array" ref="Q41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C</v>
      </c>
      <c r="R419">
        <v>75</v>
      </c>
      <c r="S419" t="str" cm="1">
        <f t="array" ref="S41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419">
        <v>98</v>
      </c>
      <c r="U419" t="str" cm="1">
        <f t="array" ref="U41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419">
        <v>92</v>
      </c>
      <c r="W419" t="str" cm="1">
        <f t="array" ref="W41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419">
        <v>73</v>
      </c>
      <c r="Y419" t="str" cm="1">
        <f t="array" ref="Y41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419">
        <f>SUM(Table1[[#This Row],[Math 
Score]],Table1[[#This Row],[History 
Score]],Table1[[#This Row],[Physics 
Score]],Table1[[#This Row],[Chemistry 
Score]],Table1[[#This Row],[Biology 
Score]],Table1[[#This Row],[English 
Score]],Table1[[#This Row],[Geography 
Score]])</f>
        <v>504</v>
      </c>
      <c r="AA419" s="3">
        <f>AVERAGE(Table1[[#This Row],[Math 
Score]],Table1[[#This Row],[History 
Score]],Table1[[#This Row],[Physics 
Score]],Table1[[#This Row],[Chemistry 
Score]],Table1[[#This Row],[Biology 
Score]],Table1[[#This Row],[English 
Score]],Table1[[#This Row],[Geography 
Score]])</f>
        <v>72</v>
      </c>
      <c r="AB41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419">
        <f t="shared" si="6"/>
        <v>1858</v>
      </c>
      <c r="AD419" t="str">
        <f>_xlfn.IFS(Table1[[#This Row],[Absence 
Days]]&lt;3,"Excellent",Table1[[#This Row],[Absence 
Days]]&lt;=6,"Good",Table1[[#This Row],[Absence 
Days]]&gt;6,"Poor")</f>
        <v>Poor</v>
      </c>
    </row>
    <row r="420" spans="1:30" x14ac:dyDescent="0.35">
      <c r="A420">
        <v>419</v>
      </c>
      <c r="B420" s="2" t="s">
        <v>219</v>
      </c>
      <c r="C420" t="s">
        <v>714</v>
      </c>
      <c r="D420" t="str">
        <f>_xlfn.TEXTJOIN(" ",TRUE,Table1[[#This Row],[First 
Name]:[Last 
Name]])</f>
        <v>Austin Bass</v>
      </c>
      <c r="E420" t="s">
        <v>1530</v>
      </c>
      <c r="F420" t="s">
        <v>3244</v>
      </c>
      <c r="G420" t="str">
        <f ca="1">PROPER(Table1[[#This Row],[Part Time 
Job]])</f>
        <v>False</v>
      </c>
      <c r="H420" s="3">
        <v>3</v>
      </c>
      <c r="I420" t="str">
        <f ca="1">PROPER(Table1[[#This Row],[Extracurricular 
Activities]])</f>
        <v>True</v>
      </c>
      <c r="J420">
        <v>24</v>
      </c>
      <c r="K420" t="s">
        <v>3117</v>
      </c>
      <c r="L420">
        <v>86</v>
      </c>
      <c r="M420" s="12" t="str" cm="1">
        <f t="array" ref="M42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420">
        <v>99</v>
      </c>
      <c r="O420" s="13" t="str" cm="1">
        <f t="array" ref="O42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420">
        <v>95</v>
      </c>
      <c r="Q420" s="13" t="str" cm="1">
        <f t="array" ref="Q42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420">
        <v>94</v>
      </c>
      <c r="S420" t="str" cm="1">
        <f t="array" ref="S42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420">
        <v>92</v>
      </c>
      <c r="U420" t="str" cm="1">
        <f t="array" ref="U42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420">
        <v>90</v>
      </c>
      <c r="W420" t="str" cm="1">
        <f t="array" ref="W42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420">
        <v>77</v>
      </c>
      <c r="Y420" t="str" cm="1">
        <f t="array" ref="Y42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420">
        <f>SUM(Table1[[#This Row],[Math 
Score]],Table1[[#This Row],[History 
Score]],Table1[[#This Row],[Physics 
Score]],Table1[[#This Row],[Chemistry 
Score]],Table1[[#This Row],[Biology 
Score]],Table1[[#This Row],[English 
Score]],Table1[[#This Row],[Geography 
Score]])</f>
        <v>633</v>
      </c>
      <c r="AA420" s="3">
        <f>AVERAGE(Table1[[#This Row],[Math 
Score]],Table1[[#This Row],[History 
Score]],Table1[[#This Row],[Physics 
Score]],Table1[[#This Row],[Chemistry 
Score]],Table1[[#This Row],[Biology 
Score]],Table1[[#This Row],[English 
Score]],Table1[[#This Row],[Geography 
Score]])</f>
        <v>90.428571428571431</v>
      </c>
      <c r="AB42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420">
        <f t="shared" si="6"/>
        <v>137</v>
      </c>
      <c r="AD420" t="str">
        <f>_xlfn.IFS(Table1[[#This Row],[Absence 
Days]]&lt;3,"Excellent",Table1[[#This Row],[Absence 
Days]]&lt;=6,"Good",Table1[[#This Row],[Absence 
Days]]&gt;6,"Poor")</f>
        <v>Good</v>
      </c>
    </row>
    <row r="421" spans="1:30" x14ac:dyDescent="0.35">
      <c r="A421">
        <v>420</v>
      </c>
      <c r="B421" s="2" t="s">
        <v>50</v>
      </c>
      <c r="C421" t="s">
        <v>473</v>
      </c>
      <c r="D421" t="str">
        <f>_xlfn.TEXTJOIN(" ",TRUE,Table1[[#This Row],[First 
Name]:[Last 
Name]])</f>
        <v>Jennifer West</v>
      </c>
      <c r="E421" t="s">
        <v>1531</v>
      </c>
      <c r="F421" t="s">
        <v>3245</v>
      </c>
      <c r="G421" t="str">
        <f ca="1">PROPER(Table1[[#This Row],[Part Time 
Job]])</f>
        <v>False</v>
      </c>
      <c r="H421" s="3">
        <v>2</v>
      </c>
      <c r="I421" t="str">
        <f ca="1">PROPER(Table1[[#This Row],[Extracurricular 
Activities]])</f>
        <v>False</v>
      </c>
      <c r="J421">
        <v>35</v>
      </c>
      <c r="K421" t="s">
        <v>3122</v>
      </c>
      <c r="L421">
        <v>92</v>
      </c>
      <c r="M421" s="12" t="str" cm="1">
        <f t="array" ref="M42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421">
        <v>97</v>
      </c>
      <c r="O421" s="13" t="str" cm="1">
        <f t="array" ref="O42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421">
        <v>100</v>
      </c>
      <c r="Q421" s="13" t="str" cm="1">
        <f t="array" ref="Q42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421">
        <v>91</v>
      </c>
      <c r="S421" t="str" cm="1">
        <f t="array" ref="S42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421">
        <v>95</v>
      </c>
      <c r="U421" t="str" cm="1">
        <f t="array" ref="U42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421">
        <v>90</v>
      </c>
      <c r="W421" t="str" cm="1">
        <f t="array" ref="W42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421">
        <v>95</v>
      </c>
      <c r="Y421" t="str" cm="1">
        <f t="array" ref="Y42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421">
        <f>SUM(Table1[[#This Row],[Math 
Score]],Table1[[#This Row],[History 
Score]],Table1[[#This Row],[Physics 
Score]],Table1[[#This Row],[Chemistry 
Score]],Table1[[#This Row],[Biology 
Score]],Table1[[#This Row],[English 
Score]],Table1[[#This Row],[Geography 
Score]])</f>
        <v>660</v>
      </c>
      <c r="AA421" s="3">
        <f>AVERAGE(Table1[[#This Row],[Math 
Score]],Table1[[#This Row],[History 
Score]],Table1[[#This Row],[Physics 
Score]],Table1[[#This Row],[Chemistry 
Score]],Table1[[#This Row],[Biology 
Score]],Table1[[#This Row],[English 
Score]],Table1[[#This Row],[Geography 
Score]])</f>
        <v>94.285714285714292</v>
      </c>
      <c r="AB42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421">
        <f t="shared" si="6"/>
        <v>17</v>
      </c>
      <c r="AD421" t="str">
        <f>_xlfn.IFS(Table1[[#This Row],[Absence 
Days]]&lt;3,"Excellent",Table1[[#This Row],[Absence 
Days]]&lt;=6,"Good",Table1[[#This Row],[Absence 
Days]]&gt;6,"Poor")</f>
        <v>Excellent</v>
      </c>
    </row>
    <row r="422" spans="1:30" x14ac:dyDescent="0.35">
      <c r="A422">
        <v>421</v>
      </c>
      <c r="B422" s="2" t="s">
        <v>11</v>
      </c>
      <c r="C422" t="s">
        <v>715</v>
      </c>
      <c r="D422" t="str">
        <f>_xlfn.TEXTJOIN(" ",TRUE,Table1[[#This Row],[First 
Name]:[Last 
Name]])</f>
        <v>Patricia Mccormick</v>
      </c>
      <c r="E422" t="s">
        <v>1532</v>
      </c>
      <c r="F422" t="s">
        <v>3245</v>
      </c>
      <c r="G422" t="str">
        <f ca="1">PROPER(Table1[[#This Row],[Part Time 
Job]])</f>
        <v>False</v>
      </c>
      <c r="H422" s="3">
        <v>1</v>
      </c>
      <c r="I422" t="str">
        <f ca="1">PROPER(Table1[[#This Row],[Extracurricular 
Activities]])</f>
        <v>False</v>
      </c>
      <c r="J422">
        <v>14</v>
      </c>
      <c r="K422" t="s">
        <v>3118</v>
      </c>
      <c r="L422">
        <v>69</v>
      </c>
      <c r="M422" s="12" t="str" cm="1">
        <f t="array" ref="M422">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422">
        <v>69</v>
      </c>
      <c r="O422" s="13" t="str" cm="1">
        <f t="array" ref="O42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422">
        <v>84</v>
      </c>
      <c r="Q422" s="13" t="str" cm="1">
        <f t="array" ref="Q42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422">
        <v>100</v>
      </c>
      <c r="S422" t="str" cm="1">
        <f t="array" ref="S42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422">
        <v>69</v>
      </c>
      <c r="U422" t="str" cm="1">
        <f t="array" ref="U42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422">
        <v>77</v>
      </c>
      <c r="W422" t="str" cm="1">
        <f t="array" ref="W42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422">
        <v>87</v>
      </c>
      <c r="Y422" t="str" cm="1">
        <f t="array" ref="Y42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422">
        <f>SUM(Table1[[#This Row],[Math 
Score]],Table1[[#This Row],[History 
Score]],Table1[[#This Row],[Physics 
Score]],Table1[[#This Row],[Chemistry 
Score]],Table1[[#This Row],[Biology 
Score]],Table1[[#This Row],[English 
Score]],Table1[[#This Row],[Geography 
Score]])</f>
        <v>555</v>
      </c>
      <c r="AA422" s="3">
        <f>AVERAGE(Table1[[#This Row],[Math 
Score]],Table1[[#This Row],[History 
Score]],Table1[[#This Row],[Physics 
Score]],Table1[[#This Row],[Chemistry 
Score]],Table1[[#This Row],[Biology 
Score]],Table1[[#This Row],[English 
Score]],Table1[[#This Row],[Geography 
Score]])</f>
        <v>79.285714285714292</v>
      </c>
      <c r="AB42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422">
        <f t="shared" si="6"/>
        <v>1245</v>
      </c>
      <c r="AD422" t="str">
        <f>_xlfn.IFS(Table1[[#This Row],[Absence 
Days]]&lt;3,"Excellent",Table1[[#This Row],[Absence 
Days]]&lt;=6,"Good",Table1[[#This Row],[Absence 
Days]]&gt;6,"Poor")</f>
        <v>Excellent</v>
      </c>
    </row>
    <row r="423" spans="1:30" x14ac:dyDescent="0.35">
      <c r="A423">
        <v>422</v>
      </c>
      <c r="B423" s="2" t="s">
        <v>46</v>
      </c>
      <c r="C423" t="s">
        <v>716</v>
      </c>
      <c r="D423" t="str">
        <f>_xlfn.TEXTJOIN(" ",TRUE,Table1[[#This Row],[First 
Name]:[Last 
Name]])</f>
        <v>Sandra Jacobs</v>
      </c>
      <c r="E423" t="s">
        <v>1533</v>
      </c>
      <c r="F423" t="s">
        <v>3245</v>
      </c>
      <c r="G423" t="str">
        <f ca="1">PROPER(Table1[[#This Row],[Part Time 
Job]])</f>
        <v>False</v>
      </c>
      <c r="H423" s="3">
        <v>1</v>
      </c>
      <c r="I423" t="str">
        <f ca="1">PROPER(Table1[[#This Row],[Extracurricular 
Activities]])</f>
        <v>False</v>
      </c>
      <c r="J423">
        <v>3</v>
      </c>
      <c r="K423" t="s">
        <v>3124</v>
      </c>
      <c r="L423">
        <v>91</v>
      </c>
      <c r="M423" s="12" t="str" cm="1">
        <f t="array" ref="M42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423">
        <v>62</v>
      </c>
      <c r="O423" s="13" t="str" cm="1">
        <f t="array" ref="O42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423">
        <v>75</v>
      </c>
      <c r="Q423" s="13" t="str" cm="1">
        <f t="array" ref="Q42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423">
        <v>60</v>
      </c>
      <c r="S423" t="str" cm="1">
        <f t="array" ref="S42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423">
        <v>82</v>
      </c>
      <c r="U423" t="str" cm="1">
        <f t="array" ref="U42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423">
        <v>91</v>
      </c>
      <c r="W423" t="str" cm="1">
        <f t="array" ref="W42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423">
        <v>96</v>
      </c>
      <c r="Y423" t="str" cm="1">
        <f t="array" ref="Y42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423">
        <f>SUM(Table1[[#This Row],[Math 
Score]],Table1[[#This Row],[History 
Score]],Table1[[#This Row],[Physics 
Score]],Table1[[#This Row],[Chemistry 
Score]],Table1[[#This Row],[Biology 
Score]],Table1[[#This Row],[English 
Score]],Table1[[#This Row],[Geography 
Score]])</f>
        <v>557</v>
      </c>
      <c r="AA423" s="3">
        <f>AVERAGE(Table1[[#This Row],[Math 
Score]],Table1[[#This Row],[History 
Score]],Table1[[#This Row],[Physics 
Score]],Table1[[#This Row],[Chemistry 
Score]],Table1[[#This Row],[Biology 
Score]],Table1[[#This Row],[English 
Score]],Table1[[#This Row],[Geography 
Score]])</f>
        <v>79.571428571428569</v>
      </c>
      <c r="AB42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423">
        <f t="shared" si="6"/>
        <v>1200</v>
      </c>
      <c r="AD423" t="str">
        <f>_xlfn.IFS(Table1[[#This Row],[Absence 
Days]]&lt;3,"Excellent",Table1[[#This Row],[Absence 
Days]]&lt;=6,"Good",Table1[[#This Row],[Absence 
Days]]&gt;6,"Poor")</f>
        <v>Excellent</v>
      </c>
    </row>
    <row r="424" spans="1:30" x14ac:dyDescent="0.35">
      <c r="A424">
        <v>423</v>
      </c>
      <c r="B424" s="2" t="s">
        <v>220</v>
      </c>
      <c r="C424" t="s">
        <v>455</v>
      </c>
      <c r="D424" t="str">
        <f>_xlfn.TEXTJOIN(" ",TRUE,Table1[[#This Row],[First 
Name]:[Last 
Name]])</f>
        <v>Jasmine Clark</v>
      </c>
      <c r="E424" t="s">
        <v>1534</v>
      </c>
      <c r="F424" t="s">
        <v>3245</v>
      </c>
      <c r="G424" t="str">
        <f ca="1">PROPER(Table1[[#This Row],[Part Time 
Job]])</f>
        <v>False</v>
      </c>
      <c r="H424" s="3">
        <v>4</v>
      </c>
      <c r="I424" t="str">
        <f ca="1">PROPER(Table1[[#This Row],[Extracurricular 
Activities]])</f>
        <v>False</v>
      </c>
      <c r="J424">
        <v>15</v>
      </c>
      <c r="K424" t="s">
        <v>3123</v>
      </c>
      <c r="L424">
        <v>79</v>
      </c>
      <c r="M424" s="12" t="str" cm="1">
        <f t="array" ref="M42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424">
        <v>79</v>
      </c>
      <c r="O424" s="13" t="str" cm="1">
        <f t="array" ref="O42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424">
        <v>97</v>
      </c>
      <c r="Q424" s="13" t="str" cm="1">
        <f t="array" ref="Q42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424">
        <v>78</v>
      </c>
      <c r="S424" t="str" cm="1">
        <f t="array" ref="S42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424">
        <v>31</v>
      </c>
      <c r="U424" t="str" cm="1">
        <f t="array" ref="U42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F</v>
      </c>
      <c r="V424">
        <v>99</v>
      </c>
      <c r="W424" t="str" cm="1">
        <f t="array" ref="W42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424">
        <v>84</v>
      </c>
      <c r="Y424" t="str" cm="1">
        <f t="array" ref="Y42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424">
        <f>SUM(Table1[[#This Row],[Math 
Score]],Table1[[#This Row],[History 
Score]],Table1[[#This Row],[Physics 
Score]],Table1[[#This Row],[Chemistry 
Score]],Table1[[#This Row],[Biology 
Score]],Table1[[#This Row],[English 
Score]],Table1[[#This Row],[Geography 
Score]])</f>
        <v>547</v>
      </c>
      <c r="AA424" s="3">
        <f>AVERAGE(Table1[[#This Row],[Math 
Score]],Table1[[#This Row],[History 
Score]],Table1[[#This Row],[Physics 
Score]],Table1[[#This Row],[Chemistry 
Score]],Table1[[#This Row],[Biology 
Score]],Table1[[#This Row],[English 
Score]],Table1[[#This Row],[Geography 
Score]])</f>
        <v>78.142857142857139</v>
      </c>
      <c r="AB42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424">
        <f t="shared" si="6"/>
        <v>1388</v>
      </c>
      <c r="AD424" t="str">
        <f>_xlfn.IFS(Table1[[#This Row],[Absence 
Days]]&lt;3,"Excellent",Table1[[#This Row],[Absence 
Days]]&lt;=6,"Good",Table1[[#This Row],[Absence 
Days]]&gt;6,"Poor")</f>
        <v>Good</v>
      </c>
    </row>
    <row r="425" spans="1:30" x14ac:dyDescent="0.35">
      <c r="A425">
        <v>424</v>
      </c>
      <c r="B425" s="2" t="s">
        <v>26</v>
      </c>
      <c r="C425" t="s">
        <v>564</v>
      </c>
      <c r="D425" t="str">
        <f>_xlfn.TEXTJOIN(" ",TRUE,Table1[[#This Row],[First 
Name]:[Last 
Name]])</f>
        <v>Jeffrey Young</v>
      </c>
      <c r="E425" t="s">
        <v>1535</v>
      </c>
      <c r="F425" t="s">
        <v>3244</v>
      </c>
      <c r="G425" t="str">
        <f ca="1">PROPER(Table1[[#This Row],[Part Time 
Job]])</f>
        <v>False</v>
      </c>
      <c r="H425" s="3">
        <v>5</v>
      </c>
      <c r="I425" t="str">
        <f ca="1">PROPER(Table1[[#This Row],[Extracurricular 
Activities]])</f>
        <v>False</v>
      </c>
      <c r="J425">
        <v>23</v>
      </c>
      <c r="K425" t="s">
        <v>3117</v>
      </c>
      <c r="L425">
        <v>93</v>
      </c>
      <c r="M425" s="12" t="str" cm="1">
        <f t="array" ref="M42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425">
        <v>96</v>
      </c>
      <c r="O425" s="13" t="str" cm="1">
        <f t="array" ref="O42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425">
        <v>80</v>
      </c>
      <c r="Q425" s="13" t="str" cm="1">
        <f t="array" ref="Q42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425">
        <v>64</v>
      </c>
      <c r="S425" t="str" cm="1">
        <f t="array" ref="S42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425">
        <v>91</v>
      </c>
      <c r="U425" t="str" cm="1">
        <f t="array" ref="U42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425">
        <v>68</v>
      </c>
      <c r="W425" t="str" cm="1">
        <f t="array" ref="W42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425">
        <v>71</v>
      </c>
      <c r="Y425" t="str" cm="1">
        <f t="array" ref="Y42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425">
        <f>SUM(Table1[[#This Row],[Math 
Score]],Table1[[#This Row],[History 
Score]],Table1[[#This Row],[Physics 
Score]],Table1[[#This Row],[Chemistry 
Score]],Table1[[#This Row],[Biology 
Score]],Table1[[#This Row],[English 
Score]],Table1[[#This Row],[Geography 
Score]])</f>
        <v>563</v>
      </c>
      <c r="AA425" s="3">
        <f>AVERAGE(Table1[[#This Row],[Math 
Score]],Table1[[#This Row],[History 
Score]],Table1[[#This Row],[Physics 
Score]],Table1[[#This Row],[Chemistry 
Score]],Table1[[#This Row],[Biology 
Score]],Table1[[#This Row],[English 
Score]],Table1[[#This Row],[Geography 
Score]])</f>
        <v>80.428571428571431</v>
      </c>
      <c r="AB42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425">
        <f t="shared" si="6"/>
        <v>1077</v>
      </c>
      <c r="AD425" t="str">
        <f>_xlfn.IFS(Table1[[#This Row],[Absence 
Days]]&lt;3,"Excellent",Table1[[#This Row],[Absence 
Days]]&lt;=6,"Good",Table1[[#This Row],[Absence 
Days]]&gt;6,"Poor")</f>
        <v>Good</v>
      </c>
    </row>
    <row r="426" spans="1:30" x14ac:dyDescent="0.35">
      <c r="A426">
        <v>425</v>
      </c>
      <c r="B426" s="2" t="s">
        <v>24</v>
      </c>
      <c r="C426" t="s">
        <v>593</v>
      </c>
      <c r="D426" t="str">
        <f>_xlfn.TEXTJOIN(" ",TRUE,Table1[[#This Row],[First 
Name]:[Last 
Name]])</f>
        <v>Jason Hernandez</v>
      </c>
      <c r="E426" t="s">
        <v>1536</v>
      </c>
      <c r="F426" t="s">
        <v>3244</v>
      </c>
      <c r="G426" t="str">
        <f ca="1">PROPER(Table1[[#This Row],[Part Time 
Job]])</f>
        <v>False</v>
      </c>
      <c r="H426" s="3">
        <v>6</v>
      </c>
      <c r="I426" t="str">
        <f ca="1">PROPER(Table1[[#This Row],[Extracurricular 
Activities]])</f>
        <v>False</v>
      </c>
      <c r="J426">
        <v>19</v>
      </c>
      <c r="K426" t="s">
        <v>3116</v>
      </c>
      <c r="L426">
        <v>90</v>
      </c>
      <c r="M426" s="12" t="str" cm="1">
        <f t="array" ref="M42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426">
        <v>79</v>
      </c>
      <c r="O426" s="13" t="str" cm="1">
        <f t="array" ref="O42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426">
        <v>90</v>
      </c>
      <c r="Q426" s="13" t="str" cm="1">
        <f t="array" ref="Q42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426">
        <v>73</v>
      </c>
      <c r="S426" t="str" cm="1">
        <f t="array" ref="S42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426">
        <v>76</v>
      </c>
      <c r="U426" t="str" cm="1">
        <f t="array" ref="U42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426">
        <v>68</v>
      </c>
      <c r="W426" t="str" cm="1">
        <f t="array" ref="W42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426">
        <v>95</v>
      </c>
      <c r="Y426" t="str" cm="1">
        <f t="array" ref="Y42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426">
        <f>SUM(Table1[[#This Row],[Math 
Score]],Table1[[#This Row],[History 
Score]],Table1[[#This Row],[Physics 
Score]],Table1[[#This Row],[Chemistry 
Score]],Table1[[#This Row],[Biology 
Score]],Table1[[#This Row],[English 
Score]],Table1[[#This Row],[Geography 
Score]])</f>
        <v>571</v>
      </c>
      <c r="AA426" s="3">
        <f>AVERAGE(Table1[[#This Row],[Math 
Score]],Table1[[#This Row],[History 
Score]],Table1[[#This Row],[Physics 
Score]],Table1[[#This Row],[Chemistry 
Score]],Table1[[#This Row],[Biology 
Score]],Table1[[#This Row],[English 
Score]],Table1[[#This Row],[Geography 
Score]])</f>
        <v>81.571428571428569</v>
      </c>
      <c r="AB42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426">
        <f t="shared" si="6"/>
        <v>915</v>
      </c>
      <c r="AD426" t="str">
        <f>_xlfn.IFS(Table1[[#This Row],[Absence 
Days]]&lt;3,"Excellent",Table1[[#This Row],[Absence 
Days]]&lt;=6,"Good",Table1[[#This Row],[Absence 
Days]]&gt;6,"Poor")</f>
        <v>Good</v>
      </c>
    </row>
    <row r="427" spans="1:30" x14ac:dyDescent="0.35">
      <c r="A427">
        <v>426</v>
      </c>
      <c r="B427" s="2" t="s">
        <v>36</v>
      </c>
      <c r="C427" t="s">
        <v>640</v>
      </c>
      <c r="D427" t="str">
        <f>_xlfn.TEXTJOIN(" ",TRUE,Table1[[#This Row],[First 
Name]:[Last 
Name]])</f>
        <v>Christopher Hamilton</v>
      </c>
      <c r="E427" t="s">
        <v>1537</v>
      </c>
      <c r="F427" t="s">
        <v>3244</v>
      </c>
      <c r="G427" t="str">
        <f ca="1">PROPER(Table1[[#This Row],[Part Time 
Job]])</f>
        <v>False</v>
      </c>
      <c r="H427" s="3">
        <v>3</v>
      </c>
      <c r="I427" t="str">
        <f ca="1">PROPER(Table1[[#This Row],[Extracurricular 
Activities]])</f>
        <v>False</v>
      </c>
      <c r="J427">
        <v>33</v>
      </c>
      <c r="K427" t="s">
        <v>3113</v>
      </c>
      <c r="L427">
        <v>99</v>
      </c>
      <c r="M427" s="12" t="str" cm="1">
        <f t="array" ref="M42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427">
        <v>68</v>
      </c>
      <c r="O427" s="13" t="str" cm="1">
        <f t="array" ref="O42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427">
        <v>100</v>
      </c>
      <c r="Q427" s="13" t="str" cm="1">
        <f t="array" ref="Q42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427">
        <v>95</v>
      </c>
      <c r="S427" t="str" cm="1">
        <f t="array" ref="S42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427">
        <v>95</v>
      </c>
      <c r="U427" t="str" cm="1">
        <f t="array" ref="U42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427">
        <v>88</v>
      </c>
      <c r="W427" t="str" cm="1">
        <f t="array" ref="W42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427">
        <v>83</v>
      </c>
      <c r="Y427" t="str" cm="1">
        <f t="array" ref="Y42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427">
        <f>SUM(Table1[[#This Row],[Math 
Score]],Table1[[#This Row],[History 
Score]],Table1[[#This Row],[Physics 
Score]],Table1[[#This Row],[Chemistry 
Score]],Table1[[#This Row],[Biology 
Score]],Table1[[#This Row],[English 
Score]],Table1[[#This Row],[Geography 
Score]])</f>
        <v>628</v>
      </c>
      <c r="AA427" s="3">
        <f>AVERAGE(Table1[[#This Row],[Math 
Score]],Table1[[#This Row],[History 
Score]],Table1[[#This Row],[Physics 
Score]],Table1[[#This Row],[Chemistry 
Score]],Table1[[#This Row],[Biology 
Score]],Table1[[#This Row],[English 
Score]],Table1[[#This Row],[Geography 
Score]])</f>
        <v>89.714285714285708</v>
      </c>
      <c r="AB42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427">
        <f t="shared" si="6"/>
        <v>164</v>
      </c>
      <c r="AD427" t="str">
        <f>_xlfn.IFS(Table1[[#This Row],[Absence 
Days]]&lt;3,"Excellent",Table1[[#This Row],[Absence 
Days]]&lt;=6,"Good",Table1[[#This Row],[Absence 
Days]]&gt;6,"Poor")</f>
        <v>Good</v>
      </c>
    </row>
    <row r="428" spans="1:30" x14ac:dyDescent="0.35">
      <c r="A428">
        <v>427</v>
      </c>
      <c r="B428" s="2" t="s">
        <v>221</v>
      </c>
      <c r="C428" t="s">
        <v>578</v>
      </c>
      <c r="D428" t="str">
        <f>_xlfn.TEXTJOIN(" ",TRUE,Table1[[#This Row],[First 
Name]:[Last 
Name]])</f>
        <v>Monique Peterson</v>
      </c>
      <c r="E428" t="s">
        <v>1538</v>
      </c>
      <c r="F428" t="s">
        <v>3245</v>
      </c>
      <c r="G428" t="str">
        <f ca="1">PROPER(Table1[[#This Row],[Part Time 
Job]])</f>
        <v>False</v>
      </c>
      <c r="H428" s="3">
        <v>0</v>
      </c>
      <c r="I428" t="str">
        <f ca="1">PROPER(Table1[[#This Row],[Extracurricular 
Activities]])</f>
        <v>False</v>
      </c>
      <c r="J428">
        <v>14</v>
      </c>
      <c r="K428" t="s">
        <v>3121</v>
      </c>
      <c r="L428">
        <v>90</v>
      </c>
      <c r="M428" s="12" t="str" cm="1">
        <f t="array" ref="M42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428">
        <v>69</v>
      </c>
      <c r="O428" s="13" t="str" cm="1">
        <f t="array" ref="O42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428">
        <v>81</v>
      </c>
      <c r="Q428" s="13" t="str" cm="1">
        <f t="array" ref="Q42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428">
        <v>92</v>
      </c>
      <c r="S428" t="str" cm="1">
        <f t="array" ref="S42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428">
        <v>65</v>
      </c>
      <c r="U428" t="str" cm="1">
        <f t="array" ref="U42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428">
        <v>89</v>
      </c>
      <c r="W428" t="str" cm="1">
        <f t="array" ref="W42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428">
        <v>69</v>
      </c>
      <c r="Y428" t="str" cm="1">
        <f t="array" ref="Y42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428">
        <f>SUM(Table1[[#This Row],[Math 
Score]],Table1[[#This Row],[History 
Score]],Table1[[#This Row],[Physics 
Score]],Table1[[#This Row],[Chemistry 
Score]],Table1[[#This Row],[Biology 
Score]],Table1[[#This Row],[English 
Score]],Table1[[#This Row],[Geography 
Score]])</f>
        <v>555</v>
      </c>
      <c r="AA428" s="3">
        <f>AVERAGE(Table1[[#This Row],[Math 
Score]],Table1[[#This Row],[History 
Score]],Table1[[#This Row],[Physics 
Score]],Table1[[#This Row],[Chemistry 
Score]],Table1[[#This Row],[Biology 
Score]],Table1[[#This Row],[English 
Score]],Table1[[#This Row],[Geography 
Score]])</f>
        <v>79.285714285714292</v>
      </c>
      <c r="AB42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428">
        <f t="shared" si="6"/>
        <v>1245</v>
      </c>
      <c r="AD428" t="str">
        <f>_xlfn.IFS(Table1[[#This Row],[Absence 
Days]]&lt;3,"Excellent",Table1[[#This Row],[Absence 
Days]]&lt;=6,"Good",Table1[[#This Row],[Absence 
Days]]&gt;6,"Poor")</f>
        <v>Excellent</v>
      </c>
    </row>
    <row r="429" spans="1:30" x14ac:dyDescent="0.35">
      <c r="A429">
        <v>428</v>
      </c>
      <c r="B429" s="2" t="s">
        <v>63</v>
      </c>
      <c r="C429" t="s">
        <v>579</v>
      </c>
      <c r="D429" t="str">
        <f>_xlfn.TEXTJOIN(" ",TRUE,Table1[[#This Row],[First 
Name]:[Last 
Name]])</f>
        <v>Jill Sexton</v>
      </c>
      <c r="E429" t="s">
        <v>1539</v>
      </c>
      <c r="F429" t="s">
        <v>3245</v>
      </c>
      <c r="G429" t="str">
        <f ca="1">PROPER(Table1[[#This Row],[Part Time 
Job]])</f>
        <v>False</v>
      </c>
      <c r="H429" s="3">
        <v>1</v>
      </c>
      <c r="I429" t="str">
        <f ca="1">PROPER(Table1[[#This Row],[Extracurricular 
Activities]])</f>
        <v>True</v>
      </c>
      <c r="J429">
        <v>0</v>
      </c>
      <c r="K429" t="s">
        <v>3115</v>
      </c>
      <c r="L429">
        <v>71</v>
      </c>
      <c r="M429" s="12" t="str" cm="1">
        <f t="array" ref="M429">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429">
        <v>84</v>
      </c>
      <c r="O429" s="13" t="str" cm="1">
        <f t="array" ref="O42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429">
        <v>66</v>
      </c>
      <c r="Q429" s="13" t="str" cm="1">
        <f t="array" ref="Q42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429">
        <v>75</v>
      </c>
      <c r="S429" t="str" cm="1">
        <f t="array" ref="S42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429">
        <v>93</v>
      </c>
      <c r="U429" t="str" cm="1">
        <f t="array" ref="U42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429">
        <v>84</v>
      </c>
      <c r="W429" t="str" cm="1">
        <f t="array" ref="W42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429">
        <v>69</v>
      </c>
      <c r="Y429" t="str" cm="1">
        <f t="array" ref="Y42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429">
        <f>SUM(Table1[[#This Row],[Math 
Score]],Table1[[#This Row],[History 
Score]],Table1[[#This Row],[Physics 
Score]],Table1[[#This Row],[Chemistry 
Score]],Table1[[#This Row],[Biology 
Score]],Table1[[#This Row],[English 
Score]],Table1[[#This Row],[Geography 
Score]])</f>
        <v>542</v>
      </c>
      <c r="AA429" s="3">
        <f>AVERAGE(Table1[[#This Row],[Math 
Score]],Table1[[#This Row],[History 
Score]],Table1[[#This Row],[Physics 
Score]],Table1[[#This Row],[Chemistry 
Score]],Table1[[#This Row],[Biology 
Score]],Table1[[#This Row],[English 
Score]],Table1[[#This Row],[Geography 
Score]])</f>
        <v>77.428571428571431</v>
      </c>
      <c r="AB42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429">
        <f t="shared" si="6"/>
        <v>1478</v>
      </c>
      <c r="AD429" t="str">
        <f>_xlfn.IFS(Table1[[#This Row],[Absence 
Days]]&lt;3,"Excellent",Table1[[#This Row],[Absence 
Days]]&lt;=6,"Good",Table1[[#This Row],[Absence 
Days]]&gt;6,"Poor")</f>
        <v>Excellent</v>
      </c>
    </row>
    <row r="430" spans="1:30" x14ac:dyDescent="0.35">
      <c r="A430">
        <v>429</v>
      </c>
      <c r="B430" s="2" t="s">
        <v>50</v>
      </c>
      <c r="C430" t="s">
        <v>717</v>
      </c>
      <c r="D430" t="str">
        <f>_xlfn.TEXTJOIN(" ",TRUE,Table1[[#This Row],[First 
Name]:[Last 
Name]])</f>
        <v>Jennifer Kemp</v>
      </c>
      <c r="E430" t="s">
        <v>1540</v>
      </c>
      <c r="F430" t="s">
        <v>3245</v>
      </c>
      <c r="G430" t="str">
        <f ca="1">PROPER(Table1[[#This Row],[Part Time 
Job]])</f>
        <v>False</v>
      </c>
      <c r="H430" s="3">
        <v>1</v>
      </c>
      <c r="I430" t="str">
        <f ca="1">PROPER(Table1[[#This Row],[Extracurricular 
Activities]])</f>
        <v>False</v>
      </c>
      <c r="J430">
        <v>34</v>
      </c>
      <c r="K430" t="s">
        <v>3112</v>
      </c>
      <c r="L430">
        <v>98</v>
      </c>
      <c r="M430" s="12" t="str" cm="1">
        <f t="array" ref="M43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430">
        <v>93</v>
      </c>
      <c r="O430" s="13" t="str" cm="1">
        <f t="array" ref="O43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430">
        <v>67</v>
      </c>
      <c r="Q430" s="13" t="str" cm="1">
        <f t="array" ref="Q43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430">
        <v>74</v>
      </c>
      <c r="S430" t="str" cm="1">
        <f t="array" ref="S43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430">
        <v>81</v>
      </c>
      <c r="U430" t="str" cm="1">
        <f t="array" ref="U43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430">
        <v>87</v>
      </c>
      <c r="W430" t="str" cm="1">
        <f t="array" ref="W43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430">
        <v>76</v>
      </c>
      <c r="Y430" t="str" cm="1">
        <f t="array" ref="Y43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430">
        <f>SUM(Table1[[#This Row],[Math 
Score]],Table1[[#This Row],[History 
Score]],Table1[[#This Row],[Physics 
Score]],Table1[[#This Row],[Chemistry 
Score]],Table1[[#This Row],[Biology 
Score]],Table1[[#This Row],[English 
Score]],Table1[[#This Row],[Geography 
Score]])</f>
        <v>576</v>
      </c>
      <c r="AA430" s="3">
        <f>AVERAGE(Table1[[#This Row],[Math 
Score]],Table1[[#This Row],[History 
Score]],Table1[[#This Row],[Physics 
Score]],Table1[[#This Row],[Chemistry 
Score]],Table1[[#This Row],[Biology 
Score]],Table1[[#This Row],[English 
Score]],Table1[[#This Row],[Geography 
Score]])</f>
        <v>82.285714285714292</v>
      </c>
      <c r="AB43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430">
        <f t="shared" si="6"/>
        <v>789</v>
      </c>
      <c r="AD430" t="str">
        <f>_xlfn.IFS(Table1[[#This Row],[Absence 
Days]]&lt;3,"Excellent",Table1[[#This Row],[Absence 
Days]]&lt;=6,"Good",Table1[[#This Row],[Absence 
Days]]&gt;6,"Poor")</f>
        <v>Excellent</v>
      </c>
    </row>
    <row r="431" spans="1:30" x14ac:dyDescent="0.35">
      <c r="A431">
        <v>430</v>
      </c>
      <c r="B431" s="2" t="s">
        <v>40</v>
      </c>
      <c r="C431" t="s">
        <v>520</v>
      </c>
      <c r="D431" t="str">
        <f>_xlfn.TEXTJOIN(" ",TRUE,Table1[[#This Row],[First 
Name]:[Last 
Name]])</f>
        <v>David Harris</v>
      </c>
      <c r="E431" t="s">
        <v>1541</v>
      </c>
      <c r="F431" t="s">
        <v>3244</v>
      </c>
      <c r="G431" t="str">
        <f ca="1">PROPER(Table1[[#This Row],[Part Time 
Job]])</f>
        <v>False</v>
      </c>
      <c r="H431" s="3">
        <v>5</v>
      </c>
      <c r="I431" t="str">
        <f ca="1">PROPER(Table1[[#This Row],[Extracurricular 
Activities]])</f>
        <v>False</v>
      </c>
      <c r="J431">
        <v>33</v>
      </c>
      <c r="K431" t="s">
        <v>3120</v>
      </c>
      <c r="L431">
        <v>94</v>
      </c>
      <c r="M431" s="12" t="str" cm="1">
        <f t="array" ref="M43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431">
        <v>99</v>
      </c>
      <c r="O431" s="13" t="str" cm="1">
        <f t="array" ref="O43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431">
        <v>83</v>
      </c>
      <c r="Q431" s="13" t="str" cm="1">
        <f t="array" ref="Q43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431">
        <v>94</v>
      </c>
      <c r="S431" t="str" cm="1">
        <f t="array" ref="S43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431">
        <v>93</v>
      </c>
      <c r="U431" t="str" cm="1">
        <f t="array" ref="U43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431">
        <v>95</v>
      </c>
      <c r="W431" t="str" cm="1">
        <f t="array" ref="W43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431">
        <v>93</v>
      </c>
      <c r="Y431" t="str" cm="1">
        <f t="array" ref="Y43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431">
        <f>SUM(Table1[[#This Row],[Math 
Score]],Table1[[#This Row],[History 
Score]],Table1[[#This Row],[Physics 
Score]],Table1[[#This Row],[Chemistry 
Score]],Table1[[#This Row],[Biology 
Score]],Table1[[#This Row],[English 
Score]],Table1[[#This Row],[Geography 
Score]])</f>
        <v>651</v>
      </c>
      <c r="AA431" s="3">
        <f>AVERAGE(Table1[[#This Row],[Math 
Score]],Table1[[#This Row],[History 
Score]],Table1[[#This Row],[Physics 
Score]],Table1[[#This Row],[Chemistry 
Score]],Table1[[#This Row],[Biology 
Score]],Table1[[#This Row],[English 
Score]],Table1[[#This Row],[Geography 
Score]])</f>
        <v>93</v>
      </c>
      <c r="AB43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431">
        <f t="shared" si="6"/>
        <v>51</v>
      </c>
      <c r="AD431" t="str">
        <f>_xlfn.IFS(Table1[[#This Row],[Absence 
Days]]&lt;3,"Excellent",Table1[[#This Row],[Absence 
Days]]&lt;=6,"Good",Table1[[#This Row],[Absence 
Days]]&gt;6,"Poor")</f>
        <v>Good</v>
      </c>
    </row>
    <row r="432" spans="1:30" x14ac:dyDescent="0.35">
      <c r="A432">
        <v>431</v>
      </c>
      <c r="B432" s="2" t="s">
        <v>212</v>
      </c>
      <c r="C432" t="s">
        <v>521</v>
      </c>
      <c r="D432" t="str">
        <f>_xlfn.TEXTJOIN(" ",TRUE,Table1[[#This Row],[First 
Name]:[Last 
Name]])</f>
        <v>Cheryl Snyder</v>
      </c>
      <c r="E432" t="s">
        <v>1542</v>
      </c>
      <c r="F432" t="s">
        <v>3245</v>
      </c>
      <c r="G432" t="str">
        <f ca="1">PROPER(Table1[[#This Row],[Part Time 
Job]])</f>
        <v>False</v>
      </c>
      <c r="H432" s="3">
        <v>7</v>
      </c>
      <c r="I432" t="str">
        <f ca="1">PROPER(Table1[[#This Row],[Extracurricular 
Activities]])</f>
        <v>False</v>
      </c>
      <c r="J432">
        <v>7</v>
      </c>
      <c r="K432" t="s">
        <v>3127</v>
      </c>
      <c r="L432">
        <v>92</v>
      </c>
      <c r="M432" s="12" t="str" cm="1">
        <f t="array" ref="M43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432">
        <v>89</v>
      </c>
      <c r="O432" s="13" t="str" cm="1">
        <f t="array" ref="O43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432">
        <v>79</v>
      </c>
      <c r="Q432" s="13" t="str" cm="1">
        <f t="array" ref="Q43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432">
        <v>76</v>
      </c>
      <c r="S432" t="str" cm="1">
        <f t="array" ref="S43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432">
        <v>86</v>
      </c>
      <c r="U432" t="str" cm="1">
        <f t="array" ref="U43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432">
        <v>61</v>
      </c>
      <c r="W432" t="str" cm="1">
        <f t="array" ref="W43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432">
        <v>81</v>
      </c>
      <c r="Y432" t="str" cm="1">
        <f t="array" ref="Y43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432">
        <f>SUM(Table1[[#This Row],[Math 
Score]],Table1[[#This Row],[History 
Score]],Table1[[#This Row],[Physics 
Score]],Table1[[#This Row],[Chemistry 
Score]],Table1[[#This Row],[Biology 
Score]],Table1[[#This Row],[English 
Score]],Table1[[#This Row],[Geography 
Score]])</f>
        <v>564</v>
      </c>
      <c r="AA432" s="3">
        <f>AVERAGE(Table1[[#This Row],[Math 
Score]],Table1[[#This Row],[History 
Score]],Table1[[#This Row],[Physics 
Score]],Table1[[#This Row],[Chemistry 
Score]],Table1[[#This Row],[Biology 
Score]],Table1[[#This Row],[English 
Score]],Table1[[#This Row],[Geography 
Score]])</f>
        <v>80.571428571428569</v>
      </c>
      <c r="AB43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432">
        <f t="shared" si="6"/>
        <v>1056</v>
      </c>
      <c r="AD432" t="str">
        <f>_xlfn.IFS(Table1[[#This Row],[Absence 
Days]]&lt;3,"Excellent",Table1[[#This Row],[Absence 
Days]]&lt;=6,"Good",Table1[[#This Row],[Absence 
Days]]&gt;6,"Poor")</f>
        <v>Poor</v>
      </c>
    </row>
    <row r="433" spans="1:30" x14ac:dyDescent="0.35">
      <c r="A433">
        <v>432</v>
      </c>
      <c r="B433" s="2" t="s">
        <v>162</v>
      </c>
      <c r="C433" t="s">
        <v>718</v>
      </c>
      <c r="D433" t="str">
        <f>_xlfn.TEXTJOIN(" ",TRUE,Table1[[#This Row],[First 
Name]:[Last 
Name]])</f>
        <v>Nathan Armstrong</v>
      </c>
      <c r="E433" t="s">
        <v>1543</v>
      </c>
      <c r="F433" t="s">
        <v>3244</v>
      </c>
      <c r="G433" t="str">
        <f ca="1">PROPER(Table1[[#This Row],[Part Time 
Job]])</f>
        <v>False</v>
      </c>
      <c r="H433" s="3">
        <v>2</v>
      </c>
      <c r="I433" t="str">
        <f ca="1">PROPER(Table1[[#This Row],[Extracurricular 
Activities]])</f>
        <v>False</v>
      </c>
      <c r="J433">
        <v>18</v>
      </c>
      <c r="K433" t="s">
        <v>3117</v>
      </c>
      <c r="L433">
        <v>100</v>
      </c>
      <c r="M433" s="12" t="str" cm="1">
        <f t="array" ref="M43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433">
        <v>96</v>
      </c>
      <c r="O433" s="13" t="str" cm="1">
        <f t="array" ref="O43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433">
        <v>74</v>
      </c>
      <c r="Q433" s="13" t="str" cm="1">
        <f t="array" ref="Q43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433">
        <v>61</v>
      </c>
      <c r="S433" t="str" cm="1">
        <f t="array" ref="S43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433">
        <v>87</v>
      </c>
      <c r="U433" t="str" cm="1">
        <f t="array" ref="U43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433">
        <v>94</v>
      </c>
      <c r="W433" t="str" cm="1">
        <f t="array" ref="W43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433">
        <v>60</v>
      </c>
      <c r="Y433" t="str" cm="1">
        <f t="array" ref="Y43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433">
        <f>SUM(Table1[[#This Row],[Math 
Score]],Table1[[#This Row],[History 
Score]],Table1[[#This Row],[Physics 
Score]],Table1[[#This Row],[Chemistry 
Score]],Table1[[#This Row],[Biology 
Score]],Table1[[#This Row],[English 
Score]],Table1[[#This Row],[Geography 
Score]])</f>
        <v>572</v>
      </c>
      <c r="AA433" s="3">
        <f>AVERAGE(Table1[[#This Row],[Math 
Score]],Table1[[#This Row],[History 
Score]],Table1[[#This Row],[Physics 
Score]],Table1[[#This Row],[Chemistry 
Score]],Table1[[#This Row],[Biology 
Score]],Table1[[#This Row],[English 
Score]],Table1[[#This Row],[Geography 
Score]])</f>
        <v>81.714285714285708</v>
      </c>
      <c r="AB43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433">
        <f t="shared" si="6"/>
        <v>890</v>
      </c>
      <c r="AD433" t="str">
        <f>_xlfn.IFS(Table1[[#This Row],[Absence 
Days]]&lt;3,"Excellent",Table1[[#This Row],[Absence 
Days]]&lt;=6,"Good",Table1[[#This Row],[Absence 
Days]]&gt;6,"Poor")</f>
        <v>Excellent</v>
      </c>
    </row>
    <row r="434" spans="1:30" x14ac:dyDescent="0.35">
      <c r="A434">
        <v>433</v>
      </c>
      <c r="B434" s="2" t="s">
        <v>76</v>
      </c>
      <c r="C434" t="s">
        <v>33</v>
      </c>
      <c r="D434" t="str">
        <f>_xlfn.TEXTJOIN(" ",TRUE,Table1[[#This Row],[First 
Name]:[Last 
Name]])</f>
        <v>Patrick Ryan</v>
      </c>
      <c r="E434" t="s">
        <v>1544</v>
      </c>
      <c r="F434" t="s">
        <v>3244</v>
      </c>
      <c r="G434" t="str">
        <f ca="1">PROPER(Table1[[#This Row],[Part Time 
Job]])</f>
        <v>False</v>
      </c>
      <c r="H434" s="3">
        <v>9</v>
      </c>
      <c r="I434" t="str">
        <f ca="1">PROPER(Table1[[#This Row],[Extracurricular 
Activities]])</f>
        <v>False</v>
      </c>
      <c r="J434">
        <v>4</v>
      </c>
      <c r="K434" t="s">
        <v>3119</v>
      </c>
      <c r="L434">
        <v>48</v>
      </c>
      <c r="M434" s="12" t="str" cm="1">
        <f t="array" ref="M434">_xlfn.IFS(Table1[[#This Row],[Math 
Score]]&gt;=90,"A+",Table1[[#This Row],[Math 
Score]]&gt;=80,"A", Table1[[#This Row],[Math 
Score]]&gt;=75,"A-",Table1[[#This Row],[Math 
Score]]&gt;=70,"B+",Table1[[#This Row],[Math 
Score]]&gt;=65,"B",Table1[[#This Row],[Math 
Score]]&gt;=60,"B-",Table1[[#This Row],[Math 
Score]]&gt;=50,"C",Table1[[#This Row],[Math 
Score]]&gt;=40,"D",Table1[[#This Row],[Math 
Score]]&lt;40,"F")</f>
        <v>D</v>
      </c>
      <c r="N434">
        <v>55</v>
      </c>
      <c r="O434" s="13" t="str" cm="1">
        <f t="array" ref="O43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C</v>
      </c>
      <c r="P434">
        <v>86</v>
      </c>
      <c r="Q434" s="13" t="str" cm="1">
        <f t="array" ref="Q43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434">
        <v>51</v>
      </c>
      <c r="S434" t="str" cm="1">
        <f t="array" ref="S43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C</v>
      </c>
      <c r="T434">
        <v>54</v>
      </c>
      <c r="U434" t="str" cm="1">
        <f t="array" ref="U43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C</v>
      </c>
      <c r="V434">
        <v>94</v>
      </c>
      <c r="W434" t="str" cm="1">
        <f t="array" ref="W43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434">
        <v>61</v>
      </c>
      <c r="Y434" t="str" cm="1">
        <f t="array" ref="Y43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434">
        <f>SUM(Table1[[#This Row],[Math 
Score]],Table1[[#This Row],[History 
Score]],Table1[[#This Row],[Physics 
Score]],Table1[[#This Row],[Chemistry 
Score]],Table1[[#This Row],[Biology 
Score]],Table1[[#This Row],[English 
Score]],Table1[[#This Row],[Geography 
Score]])</f>
        <v>449</v>
      </c>
      <c r="AA434" s="3">
        <f>AVERAGE(Table1[[#This Row],[Math 
Score]],Table1[[#This Row],[History 
Score]],Table1[[#This Row],[Physics 
Score]],Table1[[#This Row],[Chemistry 
Score]],Table1[[#This Row],[Biology 
Score]],Table1[[#This Row],[English 
Score]],Table1[[#This Row],[Geography 
Score]])</f>
        <v>64.142857142857139</v>
      </c>
      <c r="AB43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434">
        <f t="shared" si="6"/>
        <v>1993</v>
      </c>
      <c r="AD434" t="str">
        <f>_xlfn.IFS(Table1[[#This Row],[Absence 
Days]]&lt;3,"Excellent",Table1[[#This Row],[Absence 
Days]]&lt;=6,"Good",Table1[[#This Row],[Absence 
Days]]&gt;6,"Poor")</f>
        <v>Poor</v>
      </c>
    </row>
    <row r="435" spans="1:30" x14ac:dyDescent="0.35">
      <c r="A435">
        <v>434</v>
      </c>
      <c r="B435" s="2" t="s">
        <v>222</v>
      </c>
      <c r="C435" t="s">
        <v>719</v>
      </c>
      <c r="D435" t="str">
        <f>_xlfn.TEXTJOIN(" ",TRUE,Table1[[#This Row],[First 
Name]:[Last 
Name]])</f>
        <v>Christian Wilkins</v>
      </c>
      <c r="E435" t="s">
        <v>1545</v>
      </c>
      <c r="F435" t="s">
        <v>3244</v>
      </c>
      <c r="G435" t="str">
        <f ca="1">PROPER(Table1[[#This Row],[Part Time 
Job]])</f>
        <v>False</v>
      </c>
      <c r="H435" s="3">
        <v>6</v>
      </c>
      <c r="I435" t="str">
        <f ca="1">PROPER(Table1[[#This Row],[Extracurricular 
Activities]])</f>
        <v>False</v>
      </c>
      <c r="J435">
        <v>10</v>
      </c>
      <c r="K435" t="s">
        <v>3128</v>
      </c>
      <c r="L435">
        <v>63</v>
      </c>
      <c r="M435" s="12" t="str" cm="1">
        <f t="array" ref="M435">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435">
        <v>87</v>
      </c>
      <c r="O435" s="13" t="str" cm="1">
        <f t="array" ref="O43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435">
        <v>71</v>
      </c>
      <c r="Q435" s="13" t="str" cm="1">
        <f t="array" ref="Q43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435">
        <v>68</v>
      </c>
      <c r="S435" t="str" cm="1">
        <f t="array" ref="S43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435">
        <v>66</v>
      </c>
      <c r="U435" t="str" cm="1">
        <f t="array" ref="U43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435">
        <v>67</v>
      </c>
      <c r="W435" t="str" cm="1">
        <f t="array" ref="W43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435">
        <v>99</v>
      </c>
      <c r="Y435" t="str" cm="1">
        <f t="array" ref="Y43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435">
        <f>SUM(Table1[[#This Row],[Math 
Score]],Table1[[#This Row],[History 
Score]],Table1[[#This Row],[Physics 
Score]],Table1[[#This Row],[Chemistry 
Score]],Table1[[#This Row],[Biology 
Score]],Table1[[#This Row],[English 
Score]],Table1[[#This Row],[Geography 
Score]])</f>
        <v>521</v>
      </c>
      <c r="AA435" s="3">
        <f>AVERAGE(Table1[[#This Row],[Math 
Score]],Table1[[#This Row],[History 
Score]],Table1[[#This Row],[Physics 
Score]],Table1[[#This Row],[Chemistry 
Score]],Table1[[#This Row],[Biology 
Score]],Table1[[#This Row],[English 
Score]],Table1[[#This Row],[Geography 
Score]])</f>
        <v>74.428571428571431</v>
      </c>
      <c r="AB43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435">
        <f t="shared" si="6"/>
        <v>1749</v>
      </c>
      <c r="AD435" t="str">
        <f>_xlfn.IFS(Table1[[#This Row],[Absence 
Days]]&lt;3,"Excellent",Table1[[#This Row],[Absence 
Days]]&lt;=6,"Good",Table1[[#This Row],[Absence 
Days]]&gt;6,"Poor")</f>
        <v>Good</v>
      </c>
    </row>
    <row r="436" spans="1:30" x14ac:dyDescent="0.35">
      <c r="A436">
        <v>435</v>
      </c>
      <c r="B436" s="2" t="s">
        <v>10</v>
      </c>
      <c r="C436" t="s">
        <v>353</v>
      </c>
      <c r="D436" t="str">
        <f>_xlfn.TEXTJOIN(" ",TRUE,Table1[[#This Row],[First 
Name]:[Last 
Name]])</f>
        <v>Clinton Martin</v>
      </c>
      <c r="E436" t="s">
        <v>1546</v>
      </c>
      <c r="F436" t="s">
        <v>3244</v>
      </c>
      <c r="G436" t="str">
        <f ca="1">PROPER(Table1[[#This Row],[Part Time 
Job]])</f>
        <v>True</v>
      </c>
      <c r="H436" s="3">
        <v>2</v>
      </c>
      <c r="I436" t="str">
        <f ca="1">PROPER(Table1[[#This Row],[Extracurricular 
Activities]])</f>
        <v>False</v>
      </c>
      <c r="J436">
        <v>22</v>
      </c>
      <c r="K436" t="s">
        <v>3117</v>
      </c>
      <c r="L436">
        <v>89</v>
      </c>
      <c r="M436" s="12" t="str" cm="1">
        <f t="array" ref="M43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436">
        <v>83</v>
      </c>
      <c r="O436" s="13" t="str" cm="1">
        <f t="array" ref="O43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436">
        <v>89</v>
      </c>
      <c r="Q436" s="13" t="str" cm="1">
        <f t="array" ref="Q43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436">
        <v>91</v>
      </c>
      <c r="S436" t="str" cm="1">
        <f t="array" ref="S43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436">
        <v>94</v>
      </c>
      <c r="U436" t="str" cm="1">
        <f t="array" ref="U43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436">
        <v>93</v>
      </c>
      <c r="W436" t="str" cm="1">
        <f t="array" ref="W43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436">
        <v>69</v>
      </c>
      <c r="Y436" t="str" cm="1">
        <f t="array" ref="Y43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436">
        <f>SUM(Table1[[#This Row],[Math 
Score]],Table1[[#This Row],[History 
Score]],Table1[[#This Row],[Physics 
Score]],Table1[[#This Row],[Chemistry 
Score]],Table1[[#This Row],[Biology 
Score]],Table1[[#This Row],[English 
Score]],Table1[[#This Row],[Geography 
Score]])</f>
        <v>608</v>
      </c>
      <c r="AA436" s="3">
        <f>AVERAGE(Table1[[#This Row],[Math 
Score]],Table1[[#This Row],[History 
Score]],Table1[[#This Row],[Physics 
Score]],Table1[[#This Row],[Chemistry 
Score]],Table1[[#This Row],[Biology 
Score]],Table1[[#This Row],[English 
Score]],Table1[[#This Row],[Geography 
Score]])</f>
        <v>86.857142857142861</v>
      </c>
      <c r="AB43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436">
        <f t="shared" si="6"/>
        <v>318</v>
      </c>
      <c r="AD436" t="str">
        <f>_xlfn.IFS(Table1[[#This Row],[Absence 
Days]]&lt;3,"Excellent",Table1[[#This Row],[Absence 
Days]]&lt;=6,"Good",Table1[[#This Row],[Absence 
Days]]&gt;6,"Poor")</f>
        <v>Excellent</v>
      </c>
    </row>
    <row r="437" spans="1:30" x14ac:dyDescent="0.35">
      <c r="A437">
        <v>436</v>
      </c>
      <c r="B437" s="2" t="s">
        <v>223</v>
      </c>
      <c r="C437" t="s">
        <v>453</v>
      </c>
      <c r="D437" t="str">
        <f>_xlfn.TEXTJOIN(" ",TRUE,Table1[[#This Row],[First 
Name]:[Last 
Name]])</f>
        <v>Adriana Sandoval</v>
      </c>
      <c r="E437" t="s">
        <v>1547</v>
      </c>
      <c r="F437" t="s">
        <v>3245</v>
      </c>
      <c r="G437" t="str">
        <f ca="1">PROPER(Table1[[#This Row],[Part Time 
Job]])</f>
        <v>False</v>
      </c>
      <c r="H437" s="3">
        <v>5</v>
      </c>
      <c r="I437" t="str">
        <f ca="1">PROPER(Table1[[#This Row],[Extracurricular 
Activities]])</f>
        <v>False</v>
      </c>
      <c r="J437">
        <v>28</v>
      </c>
      <c r="K437" t="s">
        <v>3127</v>
      </c>
      <c r="L437">
        <v>88</v>
      </c>
      <c r="M437" s="12" t="str" cm="1">
        <f t="array" ref="M43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437">
        <v>90</v>
      </c>
      <c r="O437" s="13" t="str" cm="1">
        <f t="array" ref="O43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437">
        <v>93</v>
      </c>
      <c r="Q437" s="13" t="str" cm="1">
        <f t="array" ref="Q43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437">
        <v>81</v>
      </c>
      <c r="S437" t="str" cm="1">
        <f t="array" ref="S43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437">
        <v>88</v>
      </c>
      <c r="U437" t="str" cm="1">
        <f t="array" ref="U43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437">
        <v>90</v>
      </c>
      <c r="W437" t="str" cm="1">
        <f t="array" ref="W43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437">
        <v>74</v>
      </c>
      <c r="Y437" t="str" cm="1">
        <f t="array" ref="Y43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437">
        <f>SUM(Table1[[#This Row],[Math 
Score]],Table1[[#This Row],[History 
Score]],Table1[[#This Row],[Physics 
Score]],Table1[[#This Row],[Chemistry 
Score]],Table1[[#This Row],[Biology 
Score]],Table1[[#This Row],[English 
Score]],Table1[[#This Row],[Geography 
Score]])</f>
        <v>604</v>
      </c>
      <c r="AA437" s="3">
        <f>AVERAGE(Table1[[#This Row],[Math 
Score]],Table1[[#This Row],[History 
Score]],Table1[[#This Row],[Physics 
Score]],Table1[[#This Row],[Chemistry 
Score]],Table1[[#This Row],[Biology 
Score]],Table1[[#This Row],[English 
Score]],Table1[[#This Row],[Geography 
Score]])</f>
        <v>86.285714285714292</v>
      </c>
      <c r="AB43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437">
        <f t="shared" si="6"/>
        <v>353</v>
      </c>
      <c r="AD437" t="str">
        <f>_xlfn.IFS(Table1[[#This Row],[Absence 
Days]]&lt;3,"Excellent",Table1[[#This Row],[Absence 
Days]]&lt;=6,"Good",Table1[[#This Row],[Absence 
Days]]&gt;6,"Poor")</f>
        <v>Good</v>
      </c>
    </row>
    <row r="438" spans="1:30" x14ac:dyDescent="0.35">
      <c r="A438">
        <v>437</v>
      </c>
      <c r="B438" s="2" t="s">
        <v>125</v>
      </c>
      <c r="C438" t="s">
        <v>720</v>
      </c>
      <c r="D438" t="str">
        <f>_xlfn.TEXTJOIN(" ",TRUE,Table1[[#This Row],[First 
Name]:[Last 
Name]])</f>
        <v>Jeremy Harvey</v>
      </c>
      <c r="E438" t="s">
        <v>1548</v>
      </c>
      <c r="F438" t="s">
        <v>3244</v>
      </c>
      <c r="G438" t="str">
        <f ca="1">PROPER(Table1[[#This Row],[Part Time 
Job]])</f>
        <v>False</v>
      </c>
      <c r="H438" s="3">
        <v>2</v>
      </c>
      <c r="I438" t="str">
        <f ca="1">PROPER(Table1[[#This Row],[Extracurricular 
Activities]])</f>
        <v>False</v>
      </c>
      <c r="J438">
        <v>2</v>
      </c>
      <c r="K438" t="s">
        <v>3128</v>
      </c>
      <c r="L438">
        <v>98</v>
      </c>
      <c r="M438" s="12" t="str" cm="1">
        <f t="array" ref="M43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438">
        <v>87</v>
      </c>
      <c r="O438" s="13" t="str" cm="1">
        <f t="array" ref="O43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438">
        <v>67</v>
      </c>
      <c r="Q438" s="13" t="str" cm="1">
        <f t="array" ref="Q43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438">
        <v>97</v>
      </c>
      <c r="S438" t="str" cm="1">
        <f t="array" ref="S43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438">
        <v>62</v>
      </c>
      <c r="U438" t="str" cm="1">
        <f t="array" ref="U43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438">
        <v>60</v>
      </c>
      <c r="W438" t="str" cm="1">
        <f t="array" ref="W43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438">
        <v>79</v>
      </c>
      <c r="Y438" t="str" cm="1">
        <f t="array" ref="Y43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438">
        <f>SUM(Table1[[#This Row],[Math 
Score]],Table1[[#This Row],[History 
Score]],Table1[[#This Row],[Physics 
Score]],Table1[[#This Row],[Chemistry 
Score]],Table1[[#This Row],[Biology 
Score]],Table1[[#This Row],[English 
Score]],Table1[[#This Row],[Geography 
Score]])</f>
        <v>550</v>
      </c>
      <c r="AA438" s="3">
        <f>AVERAGE(Table1[[#This Row],[Math 
Score]],Table1[[#This Row],[History 
Score]],Table1[[#This Row],[Physics 
Score]],Table1[[#This Row],[Chemistry 
Score]],Table1[[#This Row],[Biology 
Score]],Table1[[#This Row],[English 
Score]],Table1[[#This Row],[Geography 
Score]])</f>
        <v>78.571428571428569</v>
      </c>
      <c r="AB43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438">
        <f t="shared" si="6"/>
        <v>1338</v>
      </c>
      <c r="AD438" t="str">
        <f>_xlfn.IFS(Table1[[#This Row],[Absence 
Days]]&lt;3,"Excellent",Table1[[#This Row],[Absence 
Days]]&lt;=6,"Good",Table1[[#This Row],[Absence 
Days]]&gt;6,"Poor")</f>
        <v>Excellent</v>
      </c>
    </row>
    <row r="439" spans="1:30" x14ac:dyDescent="0.35">
      <c r="A439">
        <v>438</v>
      </c>
      <c r="B439" s="2" t="s">
        <v>224</v>
      </c>
      <c r="C439" t="s">
        <v>721</v>
      </c>
      <c r="D439" t="str">
        <f>_xlfn.TEXTJOIN(" ",TRUE,Table1[[#This Row],[First 
Name]:[Last 
Name]])</f>
        <v>Caitlin Murillo</v>
      </c>
      <c r="E439" t="s">
        <v>1549</v>
      </c>
      <c r="F439" t="s">
        <v>3245</v>
      </c>
      <c r="G439" t="str">
        <f ca="1">PROPER(Table1[[#This Row],[Part Time 
Job]])</f>
        <v>False</v>
      </c>
      <c r="H439" s="3">
        <v>1</v>
      </c>
      <c r="I439" t="str">
        <f ca="1">PROPER(Table1[[#This Row],[Extracurricular 
Activities]])</f>
        <v>False</v>
      </c>
      <c r="J439">
        <v>0</v>
      </c>
      <c r="K439" t="s">
        <v>3119</v>
      </c>
      <c r="L439">
        <v>92</v>
      </c>
      <c r="M439" s="12" t="str" cm="1">
        <f t="array" ref="M43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439">
        <v>86</v>
      </c>
      <c r="O439" s="13" t="str" cm="1">
        <f t="array" ref="O43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439">
        <v>88</v>
      </c>
      <c r="Q439" s="13" t="str" cm="1">
        <f t="array" ref="Q43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439">
        <v>75</v>
      </c>
      <c r="S439" t="str" cm="1">
        <f t="array" ref="S43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439">
        <v>60</v>
      </c>
      <c r="U439" t="str" cm="1">
        <f t="array" ref="U43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439">
        <v>50</v>
      </c>
      <c r="W439" t="str" cm="1">
        <f t="array" ref="W43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C</v>
      </c>
      <c r="X439">
        <v>79</v>
      </c>
      <c r="Y439" t="str" cm="1">
        <f t="array" ref="Y43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439">
        <f>SUM(Table1[[#This Row],[Math 
Score]],Table1[[#This Row],[History 
Score]],Table1[[#This Row],[Physics 
Score]],Table1[[#This Row],[Chemistry 
Score]],Table1[[#This Row],[Biology 
Score]],Table1[[#This Row],[English 
Score]],Table1[[#This Row],[Geography 
Score]])</f>
        <v>530</v>
      </c>
      <c r="AA439" s="3">
        <f>AVERAGE(Table1[[#This Row],[Math 
Score]],Table1[[#This Row],[History 
Score]],Table1[[#This Row],[Physics 
Score]],Table1[[#This Row],[Chemistry 
Score]],Table1[[#This Row],[Biology 
Score]],Table1[[#This Row],[English 
Score]],Table1[[#This Row],[Geography 
Score]])</f>
        <v>75.714285714285708</v>
      </c>
      <c r="AB43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439">
        <f t="shared" si="6"/>
        <v>1646</v>
      </c>
      <c r="AD439" t="str">
        <f>_xlfn.IFS(Table1[[#This Row],[Absence 
Days]]&lt;3,"Excellent",Table1[[#This Row],[Absence 
Days]]&lt;=6,"Good",Table1[[#This Row],[Absence 
Days]]&gt;6,"Poor")</f>
        <v>Excellent</v>
      </c>
    </row>
    <row r="440" spans="1:30" x14ac:dyDescent="0.35">
      <c r="A440">
        <v>439</v>
      </c>
      <c r="B440" s="2" t="s">
        <v>93</v>
      </c>
      <c r="C440" t="s">
        <v>722</v>
      </c>
      <c r="D440" t="str">
        <f>_xlfn.TEXTJOIN(" ",TRUE,Table1[[#This Row],[First 
Name]:[Last 
Name]])</f>
        <v>Andrew Green</v>
      </c>
      <c r="E440" t="s">
        <v>1550</v>
      </c>
      <c r="F440" t="s">
        <v>3244</v>
      </c>
      <c r="G440" t="str">
        <f ca="1">PROPER(Table1[[#This Row],[Part Time 
Job]])</f>
        <v>False</v>
      </c>
      <c r="H440" s="3">
        <v>3</v>
      </c>
      <c r="I440" t="str">
        <f ca="1">PROPER(Table1[[#This Row],[Extracurricular 
Activities]])</f>
        <v>False</v>
      </c>
      <c r="J440">
        <v>24</v>
      </c>
      <c r="K440" t="s">
        <v>3113</v>
      </c>
      <c r="L440">
        <v>80</v>
      </c>
      <c r="M440" s="12" t="str" cm="1">
        <f t="array" ref="M44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440">
        <v>60</v>
      </c>
      <c r="O440" s="13" t="str" cm="1">
        <f t="array" ref="O44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440">
        <v>100</v>
      </c>
      <c r="Q440" s="13" t="str" cm="1">
        <f t="array" ref="Q44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440">
        <v>99</v>
      </c>
      <c r="S440" t="str" cm="1">
        <f t="array" ref="S44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440">
        <v>98</v>
      </c>
      <c r="U440" t="str" cm="1">
        <f t="array" ref="U44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440">
        <v>75</v>
      </c>
      <c r="W440" t="str" cm="1">
        <f t="array" ref="W44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440">
        <v>94</v>
      </c>
      <c r="Y440" t="str" cm="1">
        <f t="array" ref="Y44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440">
        <f>SUM(Table1[[#This Row],[Math 
Score]],Table1[[#This Row],[History 
Score]],Table1[[#This Row],[Physics 
Score]],Table1[[#This Row],[Chemistry 
Score]],Table1[[#This Row],[Biology 
Score]],Table1[[#This Row],[English 
Score]],Table1[[#This Row],[Geography 
Score]])</f>
        <v>606</v>
      </c>
      <c r="AA440" s="3">
        <f>AVERAGE(Table1[[#This Row],[Math 
Score]],Table1[[#This Row],[History 
Score]],Table1[[#This Row],[Physics 
Score]],Table1[[#This Row],[Chemistry 
Score]],Table1[[#This Row],[Biology 
Score]],Table1[[#This Row],[English 
Score]],Table1[[#This Row],[Geography 
Score]])</f>
        <v>86.571428571428569</v>
      </c>
      <c r="AB44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440">
        <f t="shared" si="6"/>
        <v>333</v>
      </c>
      <c r="AD440" t="str">
        <f>_xlfn.IFS(Table1[[#This Row],[Absence 
Days]]&lt;3,"Excellent",Table1[[#This Row],[Absence 
Days]]&lt;=6,"Good",Table1[[#This Row],[Absence 
Days]]&gt;6,"Poor")</f>
        <v>Good</v>
      </c>
    </row>
    <row r="441" spans="1:30" x14ac:dyDescent="0.35">
      <c r="A441">
        <v>440</v>
      </c>
      <c r="B441" s="2" t="s">
        <v>225</v>
      </c>
      <c r="C441" t="s">
        <v>549</v>
      </c>
      <c r="D441" t="str">
        <f>_xlfn.TEXTJOIN(" ",TRUE,Table1[[#This Row],[First 
Name]:[Last 
Name]])</f>
        <v>Rodney Bennett</v>
      </c>
      <c r="E441" t="s">
        <v>1551</v>
      </c>
      <c r="F441" t="s">
        <v>3244</v>
      </c>
      <c r="G441" t="str">
        <f ca="1">PROPER(Table1[[#This Row],[Part Time 
Job]])</f>
        <v>False</v>
      </c>
      <c r="H441" s="3">
        <v>2</v>
      </c>
      <c r="I441" t="str">
        <f ca="1">PROPER(Table1[[#This Row],[Extracurricular 
Activities]])</f>
        <v>False</v>
      </c>
      <c r="J441">
        <v>15</v>
      </c>
      <c r="K441" t="s">
        <v>3125</v>
      </c>
      <c r="L441">
        <v>92</v>
      </c>
      <c r="M441" s="12" t="str" cm="1">
        <f t="array" ref="M44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441">
        <v>63</v>
      </c>
      <c r="O441" s="13" t="str" cm="1">
        <f t="array" ref="O44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441">
        <v>91</v>
      </c>
      <c r="Q441" s="13" t="str" cm="1">
        <f t="array" ref="Q44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441">
        <v>65</v>
      </c>
      <c r="S441" t="str" cm="1">
        <f t="array" ref="S44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441">
        <v>69</v>
      </c>
      <c r="U441" t="str" cm="1">
        <f t="array" ref="U44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441">
        <v>94</v>
      </c>
      <c r="W441" t="str" cm="1">
        <f t="array" ref="W44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441">
        <v>98</v>
      </c>
      <c r="Y441" t="str" cm="1">
        <f t="array" ref="Y44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441">
        <f>SUM(Table1[[#This Row],[Math 
Score]],Table1[[#This Row],[History 
Score]],Table1[[#This Row],[Physics 
Score]],Table1[[#This Row],[Chemistry 
Score]],Table1[[#This Row],[Biology 
Score]],Table1[[#This Row],[English 
Score]],Table1[[#This Row],[Geography 
Score]])</f>
        <v>572</v>
      </c>
      <c r="AA441" s="3">
        <f>AVERAGE(Table1[[#This Row],[Math 
Score]],Table1[[#This Row],[History 
Score]],Table1[[#This Row],[Physics 
Score]],Table1[[#This Row],[Chemistry 
Score]],Table1[[#This Row],[Biology 
Score]],Table1[[#This Row],[English 
Score]],Table1[[#This Row],[Geography 
Score]])</f>
        <v>81.714285714285708</v>
      </c>
      <c r="AB44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441">
        <f t="shared" si="6"/>
        <v>890</v>
      </c>
      <c r="AD441" t="str">
        <f>_xlfn.IFS(Table1[[#This Row],[Absence 
Days]]&lt;3,"Excellent",Table1[[#This Row],[Absence 
Days]]&lt;=6,"Good",Table1[[#This Row],[Absence 
Days]]&gt;6,"Poor")</f>
        <v>Excellent</v>
      </c>
    </row>
    <row r="442" spans="1:30" x14ac:dyDescent="0.35">
      <c r="A442">
        <v>441</v>
      </c>
      <c r="B442" s="2" t="s">
        <v>226</v>
      </c>
      <c r="C442" t="s">
        <v>723</v>
      </c>
      <c r="D442" t="str">
        <f>_xlfn.TEXTJOIN(" ",TRUE,Table1[[#This Row],[First 
Name]:[Last 
Name]])</f>
        <v>Megan Moyer</v>
      </c>
      <c r="E442" t="s">
        <v>1552</v>
      </c>
      <c r="F442" t="s">
        <v>3245</v>
      </c>
      <c r="G442" t="str">
        <f ca="1">PROPER(Table1[[#This Row],[Part Time 
Job]])</f>
        <v>True</v>
      </c>
      <c r="H442" s="3">
        <v>2</v>
      </c>
      <c r="I442" t="str">
        <f ca="1">PROPER(Table1[[#This Row],[Extracurricular 
Activities]])</f>
        <v>False</v>
      </c>
      <c r="J442">
        <v>1</v>
      </c>
      <c r="K442" t="s">
        <v>3115</v>
      </c>
      <c r="L442">
        <v>82</v>
      </c>
      <c r="M442" s="12" t="str" cm="1">
        <f t="array" ref="M44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442">
        <v>95</v>
      </c>
      <c r="O442" s="13" t="str" cm="1">
        <f t="array" ref="O44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442">
        <v>68</v>
      </c>
      <c r="Q442" s="13" t="str" cm="1">
        <f t="array" ref="Q44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442">
        <v>64</v>
      </c>
      <c r="S442" t="str" cm="1">
        <f t="array" ref="S44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442">
        <v>97</v>
      </c>
      <c r="U442" t="str" cm="1">
        <f t="array" ref="U44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442">
        <v>99</v>
      </c>
      <c r="W442" t="str" cm="1">
        <f t="array" ref="W44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442">
        <v>60</v>
      </c>
      <c r="Y442" t="str" cm="1">
        <f t="array" ref="Y44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442">
        <f>SUM(Table1[[#This Row],[Math 
Score]],Table1[[#This Row],[History 
Score]],Table1[[#This Row],[Physics 
Score]],Table1[[#This Row],[Chemistry 
Score]],Table1[[#This Row],[Biology 
Score]],Table1[[#This Row],[English 
Score]],Table1[[#This Row],[Geography 
Score]])</f>
        <v>565</v>
      </c>
      <c r="AA442" s="3">
        <f>AVERAGE(Table1[[#This Row],[Math 
Score]],Table1[[#This Row],[History 
Score]],Table1[[#This Row],[Physics 
Score]],Table1[[#This Row],[Chemistry 
Score]],Table1[[#This Row],[Biology 
Score]],Table1[[#This Row],[English 
Score]],Table1[[#This Row],[Geography 
Score]])</f>
        <v>80.714285714285708</v>
      </c>
      <c r="AB44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442">
        <f t="shared" si="6"/>
        <v>1035</v>
      </c>
      <c r="AD442" t="str">
        <f>_xlfn.IFS(Table1[[#This Row],[Absence 
Days]]&lt;3,"Excellent",Table1[[#This Row],[Absence 
Days]]&lt;=6,"Good",Table1[[#This Row],[Absence 
Days]]&gt;6,"Poor")</f>
        <v>Excellent</v>
      </c>
    </row>
    <row r="443" spans="1:30" x14ac:dyDescent="0.35">
      <c r="A443">
        <v>442</v>
      </c>
      <c r="B443" s="2" t="s">
        <v>227</v>
      </c>
      <c r="C443" t="s">
        <v>483</v>
      </c>
      <c r="D443" t="str">
        <f>_xlfn.TEXTJOIN(" ",TRUE,Table1[[#This Row],[First 
Name]:[Last 
Name]])</f>
        <v>Mathew Burns</v>
      </c>
      <c r="E443" t="s">
        <v>1553</v>
      </c>
      <c r="F443" t="s">
        <v>3244</v>
      </c>
      <c r="G443" t="str">
        <f ca="1">PROPER(Table1[[#This Row],[Part Time 
Job]])</f>
        <v>False</v>
      </c>
      <c r="H443" s="3">
        <v>1</v>
      </c>
      <c r="I443" t="str">
        <f ca="1">PROPER(Table1[[#This Row],[Extracurricular 
Activities]])</f>
        <v>False</v>
      </c>
      <c r="J443">
        <v>8</v>
      </c>
      <c r="K443" t="s">
        <v>3127</v>
      </c>
      <c r="L443">
        <v>84</v>
      </c>
      <c r="M443" s="12" t="str" cm="1">
        <f t="array" ref="M44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443">
        <v>74</v>
      </c>
      <c r="O443" s="13" t="str" cm="1">
        <f t="array" ref="O44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443">
        <v>74</v>
      </c>
      <c r="Q443" s="13" t="str" cm="1">
        <f t="array" ref="Q44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443">
        <v>75</v>
      </c>
      <c r="S443" t="str" cm="1">
        <f t="array" ref="S44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443">
        <v>99</v>
      </c>
      <c r="U443" t="str" cm="1">
        <f t="array" ref="U44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443">
        <v>99</v>
      </c>
      <c r="W443" t="str" cm="1">
        <f t="array" ref="W44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443">
        <v>85</v>
      </c>
      <c r="Y443" t="str" cm="1">
        <f t="array" ref="Y44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443">
        <f>SUM(Table1[[#This Row],[Math 
Score]],Table1[[#This Row],[History 
Score]],Table1[[#This Row],[Physics 
Score]],Table1[[#This Row],[Chemistry 
Score]],Table1[[#This Row],[Biology 
Score]],Table1[[#This Row],[English 
Score]],Table1[[#This Row],[Geography 
Score]])</f>
        <v>590</v>
      </c>
      <c r="AA443" s="3">
        <f>AVERAGE(Table1[[#This Row],[Math 
Score]],Table1[[#This Row],[History 
Score]],Table1[[#This Row],[Physics 
Score]],Table1[[#This Row],[Chemistry 
Score]],Table1[[#This Row],[Biology 
Score]],Table1[[#This Row],[English 
Score]],Table1[[#This Row],[Geography 
Score]])</f>
        <v>84.285714285714292</v>
      </c>
      <c r="AB44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443">
        <f t="shared" si="6"/>
        <v>531</v>
      </c>
      <c r="AD443" t="str">
        <f>_xlfn.IFS(Table1[[#This Row],[Absence 
Days]]&lt;3,"Excellent",Table1[[#This Row],[Absence 
Days]]&lt;=6,"Good",Table1[[#This Row],[Absence 
Days]]&gt;6,"Poor")</f>
        <v>Excellent</v>
      </c>
    </row>
    <row r="444" spans="1:30" x14ac:dyDescent="0.35">
      <c r="A444">
        <v>443</v>
      </c>
      <c r="B444" s="2" t="s">
        <v>228</v>
      </c>
      <c r="C444" t="s">
        <v>7</v>
      </c>
      <c r="D444" t="str">
        <f>_xlfn.TEXTJOIN(" ",TRUE,Table1[[#This Row],[First 
Name]:[Last 
Name]])</f>
        <v>Tammie Stanley</v>
      </c>
      <c r="E444" t="s">
        <v>1554</v>
      </c>
      <c r="F444" t="s">
        <v>3245</v>
      </c>
      <c r="G444" t="str">
        <f ca="1">PROPER(Table1[[#This Row],[Part Time 
Job]])</f>
        <v>False</v>
      </c>
      <c r="H444" s="3">
        <v>7</v>
      </c>
      <c r="I444" t="str">
        <f ca="1">PROPER(Table1[[#This Row],[Extracurricular 
Activities]])</f>
        <v>False</v>
      </c>
      <c r="J444">
        <v>9</v>
      </c>
      <c r="K444" t="s">
        <v>3118</v>
      </c>
      <c r="L444">
        <v>61</v>
      </c>
      <c r="M444" s="12" t="str" cm="1">
        <f t="array" ref="M444">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444">
        <v>70</v>
      </c>
      <c r="O444" s="13" t="str" cm="1">
        <f t="array" ref="O44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444">
        <v>65</v>
      </c>
      <c r="Q444" s="13" t="str" cm="1">
        <f t="array" ref="Q44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444">
        <v>67</v>
      </c>
      <c r="S444" t="str" cm="1">
        <f t="array" ref="S44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444">
        <v>93</v>
      </c>
      <c r="U444" t="str" cm="1">
        <f t="array" ref="U44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444">
        <v>81</v>
      </c>
      <c r="W444" t="str" cm="1">
        <f t="array" ref="W44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444">
        <v>63</v>
      </c>
      <c r="Y444" t="str" cm="1">
        <f t="array" ref="Y44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444">
        <f>SUM(Table1[[#This Row],[Math 
Score]],Table1[[#This Row],[History 
Score]],Table1[[#This Row],[Physics 
Score]],Table1[[#This Row],[Chemistry 
Score]],Table1[[#This Row],[Biology 
Score]],Table1[[#This Row],[English 
Score]],Table1[[#This Row],[Geography 
Score]])</f>
        <v>500</v>
      </c>
      <c r="AA444" s="3">
        <f>AVERAGE(Table1[[#This Row],[Math 
Score]],Table1[[#This Row],[History 
Score]],Table1[[#This Row],[Physics 
Score]],Table1[[#This Row],[Chemistry 
Score]],Table1[[#This Row],[Biology 
Score]],Table1[[#This Row],[English 
Score]],Table1[[#This Row],[Geography 
Score]])</f>
        <v>71.428571428571431</v>
      </c>
      <c r="AB44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444">
        <f t="shared" si="6"/>
        <v>1875</v>
      </c>
      <c r="AD444" t="str">
        <f>_xlfn.IFS(Table1[[#This Row],[Absence 
Days]]&lt;3,"Excellent",Table1[[#This Row],[Absence 
Days]]&lt;=6,"Good",Table1[[#This Row],[Absence 
Days]]&gt;6,"Poor")</f>
        <v>Poor</v>
      </c>
    </row>
    <row r="445" spans="1:30" x14ac:dyDescent="0.35">
      <c r="A445">
        <v>444</v>
      </c>
      <c r="B445" s="2" t="s">
        <v>71</v>
      </c>
      <c r="C445" t="s">
        <v>724</v>
      </c>
      <c r="D445" t="str">
        <f>_xlfn.TEXTJOIN(" ",TRUE,Table1[[#This Row],[First 
Name]:[Last 
Name]])</f>
        <v>James Glover</v>
      </c>
      <c r="E445" t="s">
        <v>1555</v>
      </c>
      <c r="F445" t="s">
        <v>3244</v>
      </c>
      <c r="G445" t="str">
        <f ca="1">PROPER(Table1[[#This Row],[Part Time 
Job]])</f>
        <v>False</v>
      </c>
      <c r="H445" s="3">
        <v>4</v>
      </c>
      <c r="I445" t="str">
        <f ca="1">PROPER(Table1[[#This Row],[Extracurricular 
Activities]])</f>
        <v>False</v>
      </c>
      <c r="J445">
        <v>33</v>
      </c>
      <c r="K445" t="s">
        <v>3117</v>
      </c>
      <c r="L445">
        <v>99</v>
      </c>
      <c r="M445" s="12" t="str" cm="1">
        <f t="array" ref="M44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445">
        <v>87</v>
      </c>
      <c r="O445" s="13" t="str" cm="1">
        <f t="array" ref="O44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445">
        <v>98</v>
      </c>
      <c r="Q445" s="13" t="str" cm="1">
        <f t="array" ref="Q44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445">
        <v>76</v>
      </c>
      <c r="S445" t="str" cm="1">
        <f t="array" ref="S44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445">
        <v>65</v>
      </c>
      <c r="U445" t="str" cm="1">
        <f t="array" ref="U44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445">
        <v>94</v>
      </c>
      <c r="W445" t="str" cm="1">
        <f t="array" ref="W44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445">
        <v>67</v>
      </c>
      <c r="Y445" t="str" cm="1">
        <f t="array" ref="Y44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445">
        <f>SUM(Table1[[#This Row],[Math 
Score]],Table1[[#This Row],[History 
Score]],Table1[[#This Row],[Physics 
Score]],Table1[[#This Row],[Chemistry 
Score]],Table1[[#This Row],[Biology 
Score]],Table1[[#This Row],[English 
Score]],Table1[[#This Row],[Geography 
Score]])</f>
        <v>586</v>
      </c>
      <c r="AA445" s="3">
        <f>AVERAGE(Table1[[#This Row],[Math 
Score]],Table1[[#This Row],[History 
Score]],Table1[[#This Row],[Physics 
Score]],Table1[[#This Row],[Chemistry 
Score]],Table1[[#This Row],[Biology 
Score]],Table1[[#This Row],[English 
Score]],Table1[[#This Row],[Geography 
Score]])</f>
        <v>83.714285714285708</v>
      </c>
      <c r="AB44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445">
        <f t="shared" si="6"/>
        <v>601</v>
      </c>
      <c r="AD445" t="str">
        <f>_xlfn.IFS(Table1[[#This Row],[Absence 
Days]]&lt;3,"Excellent",Table1[[#This Row],[Absence 
Days]]&lt;=6,"Good",Table1[[#This Row],[Absence 
Days]]&gt;6,"Poor")</f>
        <v>Good</v>
      </c>
    </row>
    <row r="446" spans="1:30" x14ac:dyDescent="0.35">
      <c r="A446">
        <v>445</v>
      </c>
      <c r="B446" s="2" t="s">
        <v>54</v>
      </c>
      <c r="C446" t="s">
        <v>725</v>
      </c>
      <c r="D446" t="str">
        <f>_xlfn.TEXTJOIN(" ",TRUE,Table1[[#This Row],[First 
Name]:[Last 
Name]])</f>
        <v>Michelle Reeves</v>
      </c>
      <c r="E446" t="s">
        <v>1556</v>
      </c>
      <c r="F446" t="s">
        <v>3245</v>
      </c>
      <c r="G446" t="str">
        <f ca="1">PROPER(Table1[[#This Row],[Part Time 
Job]])</f>
        <v>False</v>
      </c>
      <c r="H446" s="3">
        <v>3</v>
      </c>
      <c r="I446" t="str">
        <f ca="1">PROPER(Table1[[#This Row],[Extracurricular 
Activities]])</f>
        <v>False</v>
      </c>
      <c r="J446">
        <v>32</v>
      </c>
      <c r="K446" t="s">
        <v>3123</v>
      </c>
      <c r="L446">
        <v>83</v>
      </c>
      <c r="M446" s="12" t="str" cm="1">
        <f t="array" ref="M44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446">
        <v>69</v>
      </c>
      <c r="O446" s="13" t="str" cm="1">
        <f t="array" ref="O44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446">
        <v>90</v>
      </c>
      <c r="Q446" s="13" t="str" cm="1">
        <f t="array" ref="Q44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446">
        <v>78</v>
      </c>
      <c r="S446" t="str" cm="1">
        <f t="array" ref="S44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446">
        <v>39</v>
      </c>
      <c r="U446" t="str" cm="1">
        <f t="array" ref="U44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F</v>
      </c>
      <c r="V446">
        <v>95</v>
      </c>
      <c r="W446" t="str" cm="1">
        <f t="array" ref="W44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446">
        <v>82</v>
      </c>
      <c r="Y446" t="str" cm="1">
        <f t="array" ref="Y44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446">
        <f>SUM(Table1[[#This Row],[Math 
Score]],Table1[[#This Row],[History 
Score]],Table1[[#This Row],[Physics 
Score]],Table1[[#This Row],[Chemistry 
Score]],Table1[[#This Row],[Biology 
Score]],Table1[[#This Row],[English 
Score]],Table1[[#This Row],[Geography 
Score]])</f>
        <v>536</v>
      </c>
      <c r="AA446" s="3">
        <f>AVERAGE(Table1[[#This Row],[Math 
Score]],Table1[[#This Row],[History 
Score]],Table1[[#This Row],[Physics 
Score]],Table1[[#This Row],[Chemistry 
Score]],Table1[[#This Row],[Biology 
Score]],Table1[[#This Row],[English 
Score]],Table1[[#This Row],[Geography 
Score]])</f>
        <v>76.571428571428569</v>
      </c>
      <c r="AB44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446">
        <f t="shared" si="6"/>
        <v>1567</v>
      </c>
      <c r="AD446" t="str">
        <f>_xlfn.IFS(Table1[[#This Row],[Absence 
Days]]&lt;3,"Excellent",Table1[[#This Row],[Absence 
Days]]&lt;=6,"Good",Table1[[#This Row],[Absence 
Days]]&gt;6,"Poor")</f>
        <v>Good</v>
      </c>
    </row>
    <row r="447" spans="1:30" x14ac:dyDescent="0.35">
      <c r="A447">
        <v>446</v>
      </c>
      <c r="B447" s="2" t="s">
        <v>67</v>
      </c>
      <c r="C447" t="s">
        <v>662</v>
      </c>
      <c r="D447" t="str">
        <f>_xlfn.TEXTJOIN(" ",TRUE,Table1[[#This Row],[First 
Name]:[Last 
Name]])</f>
        <v>Rhonda Hall</v>
      </c>
      <c r="E447" t="s">
        <v>1557</v>
      </c>
      <c r="F447" t="s">
        <v>3245</v>
      </c>
      <c r="G447" t="str">
        <f ca="1">PROPER(Table1[[#This Row],[Part Time 
Job]])</f>
        <v>True</v>
      </c>
      <c r="H447" s="3">
        <v>9</v>
      </c>
      <c r="I447" t="str">
        <f ca="1">PROPER(Table1[[#This Row],[Extracurricular 
Activities]])</f>
        <v>False</v>
      </c>
      <c r="J447">
        <v>4</v>
      </c>
      <c r="K447" t="s">
        <v>3119</v>
      </c>
      <c r="L447">
        <v>56</v>
      </c>
      <c r="M447" s="12" t="str" cm="1">
        <f t="array" ref="M447">_xlfn.IFS(Table1[[#This Row],[Math 
Score]]&gt;=90,"A+",Table1[[#This Row],[Math 
Score]]&gt;=80,"A", Table1[[#This Row],[Math 
Score]]&gt;=75,"A-",Table1[[#This Row],[Math 
Score]]&gt;=70,"B+",Table1[[#This Row],[Math 
Score]]&gt;=65,"B",Table1[[#This Row],[Math 
Score]]&gt;=60,"B-",Table1[[#This Row],[Math 
Score]]&gt;=50,"C",Table1[[#This Row],[Math 
Score]]&gt;=40,"D",Table1[[#This Row],[Math 
Score]]&lt;40,"F")</f>
        <v>C</v>
      </c>
      <c r="N447">
        <v>90</v>
      </c>
      <c r="O447" s="13" t="str" cm="1">
        <f t="array" ref="O44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447">
        <v>95</v>
      </c>
      <c r="Q447" s="13" t="str" cm="1">
        <f t="array" ref="Q44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447">
        <v>59</v>
      </c>
      <c r="S447" t="str" cm="1">
        <f t="array" ref="S44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C</v>
      </c>
      <c r="T447">
        <v>91</v>
      </c>
      <c r="U447" t="str" cm="1">
        <f t="array" ref="U44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447">
        <v>77</v>
      </c>
      <c r="W447" t="str" cm="1">
        <f t="array" ref="W44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447">
        <v>99</v>
      </c>
      <c r="Y447" t="str" cm="1">
        <f t="array" ref="Y44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447">
        <f>SUM(Table1[[#This Row],[Math 
Score]],Table1[[#This Row],[History 
Score]],Table1[[#This Row],[Physics 
Score]],Table1[[#This Row],[Chemistry 
Score]],Table1[[#This Row],[Biology 
Score]],Table1[[#This Row],[English 
Score]],Table1[[#This Row],[Geography 
Score]])</f>
        <v>567</v>
      </c>
      <c r="AA447" s="3">
        <f>AVERAGE(Table1[[#This Row],[Math 
Score]],Table1[[#This Row],[History 
Score]],Table1[[#This Row],[Physics 
Score]],Table1[[#This Row],[Chemistry 
Score]],Table1[[#This Row],[Biology 
Score]],Table1[[#This Row],[English 
Score]],Table1[[#This Row],[Geography 
Score]])</f>
        <v>81</v>
      </c>
      <c r="AB44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447">
        <f t="shared" si="6"/>
        <v>994</v>
      </c>
      <c r="AD447" t="str">
        <f>_xlfn.IFS(Table1[[#This Row],[Absence 
Days]]&lt;3,"Excellent",Table1[[#This Row],[Absence 
Days]]&lt;=6,"Good",Table1[[#This Row],[Absence 
Days]]&gt;6,"Poor")</f>
        <v>Poor</v>
      </c>
    </row>
    <row r="448" spans="1:30" x14ac:dyDescent="0.35">
      <c r="A448">
        <v>447</v>
      </c>
      <c r="B448" s="2" t="s">
        <v>110</v>
      </c>
      <c r="C448" t="s">
        <v>726</v>
      </c>
      <c r="D448" t="str">
        <f>_xlfn.TEXTJOIN(" ",TRUE,Table1[[#This Row],[First 
Name]:[Last 
Name]])</f>
        <v>Matthew Kidd</v>
      </c>
      <c r="E448" t="s">
        <v>1558</v>
      </c>
      <c r="F448" t="s">
        <v>3244</v>
      </c>
      <c r="G448" t="str">
        <f ca="1">PROPER(Table1[[#This Row],[Part Time 
Job]])</f>
        <v>False</v>
      </c>
      <c r="H448" s="3">
        <v>2</v>
      </c>
      <c r="I448" t="str">
        <f ca="1">PROPER(Table1[[#This Row],[Extracurricular 
Activities]])</f>
        <v>False</v>
      </c>
      <c r="J448">
        <v>2</v>
      </c>
      <c r="K448" t="s">
        <v>3119</v>
      </c>
      <c r="L448">
        <v>65</v>
      </c>
      <c r="M448" s="12" t="str" cm="1">
        <f t="array" ref="M448">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448">
        <v>64</v>
      </c>
      <c r="O448" s="13" t="str" cm="1">
        <f t="array" ref="O44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448">
        <v>52</v>
      </c>
      <c r="Q448" s="13" t="str" cm="1">
        <f t="array" ref="Q44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C</v>
      </c>
      <c r="R448">
        <v>56</v>
      </c>
      <c r="S448" t="str" cm="1">
        <f t="array" ref="S44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C</v>
      </c>
      <c r="T448">
        <v>63</v>
      </c>
      <c r="U448" t="str" cm="1">
        <f t="array" ref="U44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448">
        <v>82</v>
      </c>
      <c r="W448" t="str" cm="1">
        <f t="array" ref="W44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448">
        <v>83</v>
      </c>
      <c r="Y448" t="str" cm="1">
        <f t="array" ref="Y44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448">
        <f>SUM(Table1[[#This Row],[Math 
Score]],Table1[[#This Row],[History 
Score]],Table1[[#This Row],[Physics 
Score]],Table1[[#This Row],[Chemistry 
Score]],Table1[[#This Row],[Biology 
Score]],Table1[[#This Row],[English 
Score]],Table1[[#This Row],[Geography 
Score]])</f>
        <v>465</v>
      </c>
      <c r="AA448" s="3">
        <f>AVERAGE(Table1[[#This Row],[Math 
Score]],Table1[[#This Row],[History 
Score]],Table1[[#This Row],[Physics 
Score]],Table1[[#This Row],[Chemistry 
Score]],Table1[[#This Row],[Biology 
Score]],Table1[[#This Row],[English 
Score]],Table1[[#This Row],[Geography 
Score]])</f>
        <v>66.428571428571431</v>
      </c>
      <c r="AB44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448">
        <f t="shared" si="6"/>
        <v>1971</v>
      </c>
      <c r="AD448" t="str">
        <f>_xlfn.IFS(Table1[[#This Row],[Absence 
Days]]&lt;3,"Excellent",Table1[[#This Row],[Absence 
Days]]&lt;=6,"Good",Table1[[#This Row],[Absence 
Days]]&gt;6,"Poor")</f>
        <v>Excellent</v>
      </c>
    </row>
    <row r="449" spans="1:30" x14ac:dyDescent="0.35">
      <c r="A449">
        <v>448</v>
      </c>
      <c r="B449" s="2" t="s">
        <v>149</v>
      </c>
      <c r="C449" t="s">
        <v>727</v>
      </c>
      <c r="D449" t="str">
        <f>_xlfn.TEXTJOIN(" ",TRUE,Table1[[#This Row],[First 
Name]:[Last 
Name]])</f>
        <v>Joseph Stone</v>
      </c>
      <c r="E449" t="s">
        <v>1559</v>
      </c>
      <c r="F449" t="s">
        <v>3244</v>
      </c>
      <c r="G449" t="str">
        <f ca="1">PROPER(Table1[[#This Row],[Part Time 
Job]])</f>
        <v>False</v>
      </c>
      <c r="H449" s="3">
        <v>3</v>
      </c>
      <c r="I449" t="str">
        <f ca="1">PROPER(Table1[[#This Row],[Extracurricular 
Activities]])</f>
        <v>False</v>
      </c>
      <c r="J449">
        <v>20</v>
      </c>
      <c r="K449" t="s">
        <v>3124</v>
      </c>
      <c r="L449">
        <v>94</v>
      </c>
      <c r="M449" s="12" t="str" cm="1">
        <f t="array" ref="M44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449">
        <v>61</v>
      </c>
      <c r="O449" s="13" t="str" cm="1">
        <f t="array" ref="O44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449">
        <v>77</v>
      </c>
      <c r="Q449" s="13" t="str" cm="1">
        <f t="array" ref="Q44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449">
        <v>73</v>
      </c>
      <c r="S449" t="str" cm="1">
        <f t="array" ref="S44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449">
        <v>79</v>
      </c>
      <c r="U449" t="str" cm="1">
        <f t="array" ref="U44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449">
        <v>65</v>
      </c>
      <c r="W449" t="str" cm="1">
        <f t="array" ref="W44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449">
        <v>89</v>
      </c>
      <c r="Y449" t="str" cm="1">
        <f t="array" ref="Y44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449">
        <f>SUM(Table1[[#This Row],[Math 
Score]],Table1[[#This Row],[History 
Score]],Table1[[#This Row],[Physics 
Score]],Table1[[#This Row],[Chemistry 
Score]],Table1[[#This Row],[Biology 
Score]],Table1[[#This Row],[English 
Score]],Table1[[#This Row],[Geography 
Score]])</f>
        <v>538</v>
      </c>
      <c r="AA449" s="3">
        <f>AVERAGE(Table1[[#This Row],[Math 
Score]],Table1[[#This Row],[History 
Score]],Table1[[#This Row],[Physics 
Score]],Table1[[#This Row],[Chemistry 
Score]],Table1[[#This Row],[Biology 
Score]],Table1[[#This Row],[English 
Score]],Table1[[#This Row],[Geography 
Score]])</f>
        <v>76.857142857142861</v>
      </c>
      <c r="AB44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449">
        <f t="shared" si="6"/>
        <v>1537</v>
      </c>
      <c r="AD449" t="str">
        <f>_xlfn.IFS(Table1[[#This Row],[Absence 
Days]]&lt;3,"Excellent",Table1[[#This Row],[Absence 
Days]]&lt;=6,"Good",Table1[[#This Row],[Absence 
Days]]&gt;6,"Poor")</f>
        <v>Good</v>
      </c>
    </row>
    <row r="450" spans="1:30" x14ac:dyDescent="0.35">
      <c r="A450">
        <v>449</v>
      </c>
      <c r="B450" s="2" t="s">
        <v>102</v>
      </c>
      <c r="C450" t="s">
        <v>728</v>
      </c>
      <c r="D450" t="str">
        <f>_xlfn.TEXTJOIN(" ",TRUE,Table1[[#This Row],[First 
Name]:[Last 
Name]])</f>
        <v>Jessica Mendoza</v>
      </c>
      <c r="E450" t="s">
        <v>1560</v>
      </c>
      <c r="F450" t="s">
        <v>3245</v>
      </c>
      <c r="G450" t="str">
        <f ca="1">PROPER(Table1[[#This Row],[Part Time 
Job]])</f>
        <v>False</v>
      </c>
      <c r="H450" s="3">
        <v>1</v>
      </c>
      <c r="I450" t="str">
        <f ca="1">PROPER(Table1[[#This Row],[Extracurricular 
Activities]])</f>
        <v>False</v>
      </c>
      <c r="J450">
        <v>21</v>
      </c>
      <c r="K450" t="s">
        <v>3117</v>
      </c>
      <c r="L450">
        <v>90</v>
      </c>
      <c r="M450" s="12" t="str" cm="1">
        <f t="array" ref="M45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450">
        <v>96</v>
      </c>
      <c r="O450" s="13" t="str" cm="1">
        <f t="array" ref="O45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450">
        <v>73</v>
      </c>
      <c r="Q450" s="13" t="str" cm="1">
        <f t="array" ref="Q45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450">
        <v>89</v>
      </c>
      <c r="S450" t="str" cm="1">
        <f t="array" ref="S45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450">
        <v>93</v>
      </c>
      <c r="U450" t="str" cm="1">
        <f t="array" ref="U45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450">
        <v>87</v>
      </c>
      <c r="W450" t="str" cm="1">
        <f t="array" ref="W45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450">
        <v>96</v>
      </c>
      <c r="Y450" t="str" cm="1">
        <f t="array" ref="Y45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450">
        <f>SUM(Table1[[#This Row],[Math 
Score]],Table1[[#This Row],[History 
Score]],Table1[[#This Row],[Physics 
Score]],Table1[[#This Row],[Chemistry 
Score]],Table1[[#This Row],[Biology 
Score]],Table1[[#This Row],[English 
Score]],Table1[[#This Row],[Geography 
Score]])</f>
        <v>624</v>
      </c>
      <c r="AA450" s="3">
        <f>AVERAGE(Table1[[#This Row],[Math 
Score]],Table1[[#This Row],[History 
Score]],Table1[[#This Row],[Physics 
Score]],Table1[[#This Row],[Chemistry 
Score]],Table1[[#This Row],[Biology 
Score]],Table1[[#This Row],[English 
Score]],Table1[[#This Row],[Geography 
Score]])</f>
        <v>89.142857142857139</v>
      </c>
      <c r="AB45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450">
        <f t="shared" ref="AC450:AC513" si="7">RANK(AA450,$AA$2:$AA$2001,0)</f>
        <v>194</v>
      </c>
      <c r="AD450" t="str">
        <f>_xlfn.IFS(Table1[[#This Row],[Absence 
Days]]&lt;3,"Excellent",Table1[[#This Row],[Absence 
Days]]&lt;=6,"Good",Table1[[#This Row],[Absence 
Days]]&gt;6,"Poor")</f>
        <v>Excellent</v>
      </c>
    </row>
    <row r="451" spans="1:30" x14ac:dyDescent="0.35">
      <c r="A451">
        <v>450</v>
      </c>
      <c r="B451" s="2" t="s">
        <v>229</v>
      </c>
      <c r="C451" t="s">
        <v>527</v>
      </c>
      <c r="D451" t="str">
        <f>_xlfn.TEXTJOIN(" ",TRUE,Table1[[#This Row],[First 
Name]:[Last 
Name]])</f>
        <v>Susan Brown</v>
      </c>
      <c r="E451" t="s">
        <v>1561</v>
      </c>
      <c r="F451" t="s">
        <v>3245</v>
      </c>
      <c r="G451" t="str">
        <f ca="1">PROPER(Table1[[#This Row],[Part Time 
Job]])</f>
        <v>False</v>
      </c>
      <c r="H451" s="3">
        <v>3</v>
      </c>
      <c r="I451" t="str">
        <f ca="1">PROPER(Table1[[#This Row],[Extracurricular 
Activities]])</f>
        <v>False</v>
      </c>
      <c r="J451">
        <v>29</v>
      </c>
      <c r="K451" t="s">
        <v>3112</v>
      </c>
      <c r="L451">
        <v>94</v>
      </c>
      <c r="M451" s="12" t="str" cm="1">
        <f t="array" ref="M45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451">
        <v>82</v>
      </c>
      <c r="O451" s="13" t="str" cm="1">
        <f t="array" ref="O45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451">
        <v>81</v>
      </c>
      <c r="Q451" s="13" t="str" cm="1">
        <f t="array" ref="Q45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451">
        <v>90</v>
      </c>
      <c r="S451" t="str" cm="1">
        <f t="array" ref="S45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451">
        <v>76</v>
      </c>
      <c r="U451" t="str" cm="1">
        <f t="array" ref="U45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451">
        <v>97</v>
      </c>
      <c r="W451" t="str" cm="1">
        <f t="array" ref="W45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451">
        <v>86</v>
      </c>
      <c r="Y451" t="str" cm="1">
        <f t="array" ref="Y45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451">
        <f>SUM(Table1[[#This Row],[Math 
Score]],Table1[[#This Row],[History 
Score]],Table1[[#This Row],[Physics 
Score]],Table1[[#This Row],[Chemistry 
Score]],Table1[[#This Row],[Biology 
Score]],Table1[[#This Row],[English 
Score]],Table1[[#This Row],[Geography 
Score]])</f>
        <v>606</v>
      </c>
      <c r="AA451" s="3">
        <f>AVERAGE(Table1[[#This Row],[Math 
Score]],Table1[[#This Row],[History 
Score]],Table1[[#This Row],[Physics 
Score]],Table1[[#This Row],[Chemistry 
Score]],Table1[[#This Row],[Biology 
Score]],Table1[[#This Row],[English 
Score]],Table1[[#This Row],[Geography 
Score]])</f>
        <v>86.571428571428569</v>
      </c>
      <c r="AB45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451">
        <f t="shared" si="7"/>
        <v>333</v>
      </c>
      <c r="AD451" t="str">
        <f>_xlfn.IFS(Table1[[#This Row],[Absence 
Days]]&lt;3,"Excellent",Table1[[#This Row],[Absence 
Days]]&lt;=6,"Good",Table1[[#This Row],[Absence 
Days]]&gt;6,"Poor")</f>
        <v>Good</v>
      </c>
    </row>
    <row r="452" spans="1:30" x14ac:dyDescent="0.35">
      <c r="A452">
        <v>451</v>
      </c>
      <c r="B452" s="2" t="s">
        <v>230</v>
      </c>
      <c r="C452" t="s">
        <v>33</v>
      </c>
      <c r="D452" t="str">
        <f>_xlfn.TEXTJOIN(" ",TRUE,Table1[[#This Row],[First 
Name]:[Last 
Name]])</f>
        <v>Lori Ryan</v>
      </c>
      <c r="E452" t="s">
        <v>1562</v>
      </c>
      <c r="F452" t="s">
        <v>3245</v>
      </c>
      <c r="G452" t="str">
        <f ca="1">PROPER(Table1[[#This Row],[Part Time 
Job]])</f>
        <v>False</v>
      </c>
      <c r="H452" s="3">
        <v>3</v>
      </c>
      <c r="I452" t="str">
        <f ca="1">PROPER(Table1[[#This Row],[Extracurricular 
Activities]])</f>
        <v>False</v>
      </c>
      <c r="J452">
        <v>13</v>
      </c>
      <c r="K452" t="s">
        <v>3116</v>
      </c>
      <c r="L452">
        <v>89</v>
      </c>
      <c r="M452" s="12" t="str" cm="1">
        <f t="array" ref="M45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452">
        <v>87</v>
      </c>
      <c r="O452" s="13" t="str" cm="1">
        <f t="array" ref="O45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452">
        <v>63</v>
      </c>
      <c r="Q452" s="13" t="str" cm="1">
        <f t="array" ref="Q45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452">
        <v>83</v>
      </c>
      <c r="S452" t="str" cm="1">
        <f t="array" ref="S45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452">
        <v>64</v>
      </c>
      <c r="U452" t="str" cm="1">
        <f t="array" ref="U45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452">
        <v>85</v>
      </c>
      <c r="W452" t="str" cm="1">
        <f t="array" ref="W45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452">
        <v>72</v>
      </c>
      <c r="Y452" t="str" cm="1">
        <f t="array" ref="Y45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452">
        <f>SUM(Table1[[#This Row],[Math 
Score]],Table1[[#This Row],[History 
Score]],Table1[[#This Row],[Physics 
Score]],Table1[[#This Row],[Chemistry 
Score]],Table1[[#This Row],[Biology 
Score]],Table1[[#This Row],[English 
Score]],Table1[[#This Row],[Geography 
Score]])</f>
        <v>543</v>
      </c>
      <c r="AA452" s="3">
        <f>AVERAGE(Table1[[#This Row],[Math 
Score]],Table1[[#This Row],[History 
Score]],Table1[[#This Row],[Physics 
Score]],Table1[[#This Row],[Chemistry 
Score]],Table1[[#This Row],[Biology 
Score]],Table1[[#This Row],[English 
Score]],Table1[[#This Row],[Geography 
Score]])</f>
        <v>77.571428571428569</v>
      </c>
      <c r="AB45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452">
        <f t="shared" si="7"/>
        <v>1464</v>
      </c>
      <c r="AD452" t="str">
        <f>_xlfn.IFS(Table1[[#This Row],[Absence 
Days]]&lt;3,"Excellent",Table1[[#This Row],[Absence 
Days]]&lt;=6,"Good",Table1[[#This Row],[Absence 
Days]]&gt;6,"Poor")</f>
        <v>Good</v>
      </c>
    </row>
    <row r="453" spans="1:30" x14ac:dyDescent="0.35">
      <c r="A453">
        <v>452</v>
      </c>
      <c r="B453" s="2" t="s">
        <v>33</v>
      </c>
      <c r="C453" t="s">
        <v>602</v>
      </c>
      <c r="D453" t="str">
        <f>_xlfn.TEXTJOIN(" ",TRUE,Table1[[#This Row],[First 
Name]:[Last 
Name]])</f>
        <v>Ryan Cruz</v>
      </c>
      <c r="E453" t="s">
        <v>1563</v>
      </c>
      <c r="F453" t="s">
        <v>3244</v>
      </c>
      <c r="G453" t="str">
        <f ca="1">PROPER(Table1[[#This Row],[Part Time 
Job]])</f>
        <v>False</v>
      </c>
      <c r="H453" s="3">
        <v>1</v>
      </c>
      <c r="I453" t="str">
        <f ca="1">PROPER(Table1[[#This Row],[Extracurricular 
Activities]])</f>
        <v>False</v>
      </c>
      <c r="J453">
        <v>24</v>
      </c>
      <c r="K453" t="s">
        <v>3123</v>
      </c>
      <c r="L453">
        <v>89</v>
      </c>
      <c r="M453" s="12" t="str" cm="1">
        <f t="array" ref="M45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453">
        <v>67</v>
      </c>
      <c r="O453" s="13" t="str" cm="1">
        <f t="array" ref="O45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453">
        <v>68</v>
      </c>
      <c r="Q453" s="13" t="str" cm="1">
        <f t="array" ref="Q45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453">
        <v>93</v>
      </c>
      <c r="S453" t="str" cm="1">
        <f t="array" ref="S45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453">
        <v>98</v>
      </c>
      <c r="U453" t="str" cm="1">
        <f t="array" ref="U45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453">
        <v>75</v>
      </c>
      <c r="W453" t="str" cm="1">
        <f t="array" ref="W45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453">
        <v>88</v>
      </c>
      <c r="Y453" t="str" cm="1">
        <f t="array" ref="Y45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453">
        <f>SUM(Table1[[#This Row],[Math 
Score]],Table1[[#This Row],[History 
Score]],Table1[[#This Row],[Physics 
Score]],Table1[[#This Row],[Chemistry 
Score]],Table1[[#This Row],[Biology 
Score]],Table1[[#This Row],[English 
Score]],Table1[[#This Row],[Geography 
Score]])</f>
        <v>578</v>
      </c>
      <c r="AA453" s="3">
        <f>AVERAGE(Table1[[#This Row],[Math 
Score]],Table1[[#This Row],[History 
Score]],Table1[[#This Row],[Physics 
Score]],Table1[[#This Row],[Chemistry 
Score]],Table1[[#This Row],[Biology 
Score]],Table1[[#This Row],[English 
Score]],Table1[[#This Row],[Geography 
Score]])</f>
        <v>82.571428571428569</v>
      </c>
      <c r="AB45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453">
        <f t="shared" si="7"/>
        <v>752</v>
      </c>
      <c r="AD453" t="str">
        <f>_xlfn.IFS(Table1[[#This Row],[Absence 
Days]]&lt;3,"Excellent",Table1[[#This Row],[Absence 
Days]]&lt;=6,"Good",Table1[[#This Row],[Absence 
Days]]&gt;6,"Poor")</f>
        <v>Excellent</v>
      </c>
    </row>
    <row r="454" spans="1:30" x14ac:dyDescent="0.35">
      <c r="A454">
        <v>453</v>
      </c>
      <c r="B454" s="2" t="s">
        <v>117</v>
      </c>
      <c r="C454" t="s">
        <v>592</v>
      </c>
      <c r="D454" t="str">
        <f>_xlfn.TEXTJOIN(" ",TRUE,Table1[[#This Row],[First 
Name]:[Last 
Name]])</f>
        <v>Nicholas Johnson</v>
      </c>
      <c r="E454" t="s">
        <v>1564</v>
      </c>
      <c r="F454" t="s">
        <v>3244</v>
      </c>
      <c r="G454" t="str">
        <f ca="1">PROPER(Table1[[#This Row],[Part Time 
Job]])</f>
        <v>False</v>
      </c>
      <c r="H454" s="3">
        <v>7</v>
      </c>
      <c r="I454" t="str">
        <f ca="1">PROPER(Table1[[#This Row],[Extracurricular 
Activities]])</f>
        <v>False</v>
      </c>
      <c r="J454">
        <v>30</v>
      </c>
      <c r="K454" t="s">
        <v>3113</v>
      </c>
      <c r="L454">
        <v>88</v>
      </c>
      <c r="M454" s="12" t="str" cm="1">
        <f t="array" ref="M45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454">
        <v>98</v>
      </c>
      <c r="O454" s="13" t="str" cm="1">
        <f t="array" ref="O45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454">
        <v>87</v>
      </c>
      <c r="Q454" s="13" t="str" cm="1">
        <f t="array" ref="Q45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454">
        <v>85</v>
      </c>
      <c r="S454" t="str" cm="1">
        <f t="array" ref="S45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454">
        <v>96</v>
      </c>
      <c r="U454" t="str" cm="1">
        <f t="array" ref="U45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454">
        <v>77</v>
      </c>
      <c r="W454" t="str" cm="1">
        <f t="array" ref="W45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454">
        <v>96</v>
      </c>
      <c r="Y454" t="str" cm="1">
        <f t="array" ref="Y45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454">
        <f>SUM(Table1[[#This Row],[Math 
Score]],Table1[[#This Row],[History 
Score]],Table1[[#This Row],[Physics 
Score]],Table1[[#This Row],[Chemistry 
Score]],Table1[[#This Row],[Biology 
Score]],Table1[[#This Row],[English 
Score]],Table1[[#This Row],[Geography 
Score]])</f>
        <v>627</v>
      </c>
      <c r="AA454" s="3">
        <f>AVERAGE(Table1[[#This Row],[Math 
Score]],Table1[[#This Row],[History 
Score]],Table1[[#This Row],[Physics 
Score]],Table1[[#This Row],[Chemistry 
Score]],Table1[[#This Row],[Biology 
Score]],Table1[[#This Row],[English 
Score]],Table1[[#This Row],[Geography 
Score]])</f>
        <v>89.571428571428569</v>
      </c>
      <c r="AB45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454">
        <f t="shared" si="7"/>
        <v>168</v>
      </c>
      <c r="AD454" t="str">
        <f>_xlfn.IFS(Table1[[#This Row],[Absence 
Days]]&lt;3,"Excellent",Table1[[#This Row],[Absence 
Days]]&lt;=6,"Good",Table1[[#This Row],[Absence 
Days]]&gt;6,"Poor")</f>
        <v>Poor</v>
      </c>
    </row>
    <row r="455" spans="1:30" x14ac:dyDescent="0.35">
      <c r="A455">
        <v>454</v>
      </c>
      <c r="B455" s="2" t="s">
        <v>149</v>
      </c>
      <c r="C455" t="s">
        <v>729</v>
      </c>
      <c r="D455" t="str">
        <f>_xlfn.TEXTJOIN(" ",TRUE,Table1[[#This Row],[First 
Name]:[Last 
Name]])</f>
        <v>Joseph Schmidt</v>
      </c>
      <c r="E455" t="s">
        <v>1565</v>
      </c>
      <c r="F455" t="s">
        <v>3244</v>
      </c>
      <c r="G455" t="str">
        <f ca="1">PROPER(Table1[[#This Row],[Part Time 
Job]])</f>
        <v>False</v>
      </c>
      <c r="H455" s="3">
        <v>1</v>
      </c>
      <c r="I455" t="str">
        <f ca="1">PROPER(Table1[[#This Row],[Extracurricular 
Activities]])</f>
        <v>False</v>
      </c>
      <c r="J455">
        <v>25</v>
      </c>
      <c r="K455" t="s">
        <v>3127</v>
      </c>
      <c r="L455">
        <v>76</v>
      </c>
      <c r="M455" s="12" t="str" cm="1">
        <f t="array" ref="M45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455">
        <v>94</v>
      </c>
      <c r="O455" s="13" t="str" cm="1">
        <f t="array" ref="O45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455">
        <v>90</v>
      </c>
      <c r="Q455" s="13" t="str" cm="1">
        <f t="array" ref="Q45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455">
        <v>75</v>
      </c>
      <c r="S455" t="str" cm="1">
        <f t="array" ref="S45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455">
        <v>92</v>
      </c>
      <c r="U455" t="str" cm="1">
        <f t="array" ref="U45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455">
        <v>86</v>
      </c>
      <c r="W455" t="str" cm="1">
        <f t="array" ref="W45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455">
        <v>87</v>
      </c>
      <c r="Y455" t="str" cm="1">
        <f t="array" ref="Y45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455">
        <f>SUM(Table1[[#This Row],[Math 
Score]],Table1[[#This Row],[History 
Score]],Table1[[#This Row],[Physics 
Score]],Table1[[#This Row],[Chemistry 
Score]],Table1[[#This Row],[Biology 
Score]],Table1[[#This Row],[English 
Score]],Table1[[#This Row],[Geography 
Score]])</f>
        <v>600</v>
      </c>
      <c r="AA455" s="3">
        <f>AVERAGE(Table1[[#This Row],[Math 
Score]],Table1[[#This Row],[History 
Score]],Table1[[#This Row],[Physics 
Score]],Table1[[#This Row],[Chemistry 
Score]],Table1[[#This Row],[Biology 
Score]],Table1[[#This Row],[English 
Score]],Table1[[#This Row],[Geography 
Score]])</f>
        <v>85.714285714285708</v>
      </c>
      <c r="AB45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455">
        <f t="shared" si="7"/>
        <v>406</v>
      </c>
      <c r="AD455" t="str">
        <f>_xlfn.IFS(Table1[[#This Row],[Absence 
Days]]&lt;3,"Excellent",Table1[[#This Row],[Absence 
Days]]&lt;=6,"Good",Table1[[#This Row],[Absence 
Days]]&gt;6,"Poor")</f>
        <v>Excellent</v>
      </c>
    </row>
    <row r="456" spans="1:30" x14ac:dyDescent="0.35">
      <c r="A456">
        <v>455</v>
      </c>
      <c r="B456" s="2" t="s">
        <v>231</v>
      </c>
      <c r="C456" t="s">
        <v>527</v>
      </c>
      <c r="D456" t="str">
        <f>_xlfn.TEXTJOIN(" ",TRUE,Table1[[#This Row],[First 
Name]:[Last 
Name]])</f>
        <v>Daniel Brown</v>
      </c>
      <c r="E456" t="s">
        <v>1566</v>
      </c>
      <c r="F456" t="s">
        <v>3244</v>
      </c>
      <c r="G456" t="str">
        <f ca="1">PROPER(Table1[[#This Row],[Part Time 
Job]])</f>
        <v>False</v>
      </c>
      <c r="H456" s="3">
        <v>1</v>
      </c>
      <c r="I456" t="str">
        <f ca="1">PROPER(Table1[[#This Row],[Extracurricular 
Activities]])</f>
        <v>False</v>
      </c>
      <c r="J456">
        <v>1</v>
      </c>
      <c r="K456" t="s">
        <v>3124</v>
      </c>
      <c r="L456">
        <v>88</v>
      </c>
      <c r="M456" s="12" t="str" cm="1">
        <f t="array" ref="M45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456">
        <v>78</v>
      </c>
      <c r="O456" s="13" t="str" cm="1">
        <f t="array" ref="O45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456">
        <v>84</v>
      </c>
      <c r="Q456" s="13" t="str" cm="1">
        <f t="array" ref="Q45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456">
        <v>96</v>
      </c>
      <c r="S456" t="str" cm="1">
        <f t="array" ref="S45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456">
        <v>92</v>
      </c>
      <c r="U456" t="str" cm="1">
        <f t="array" ref="U45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456">
        <v>99</v>
      </c>
      <c r="W456" t="str" cm="1">
        <f t="array" ref="W45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456">
        <v>97</v>
      </c>
      <c r="Y456" t="str" cm="1">
        <f t="array" ref="Y45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456">
        <f>SUM(Table1[[#This Row],[Math 
Score]],Table1[[#This Row],[History 
Score]],Table1[[#This Row],[Physics 
Score]],Table1[[#This Row],[Chemistry 
Score]],Table1[[#This Row],[Biology 
Score]],Table1[[#This Row],[English 
Score]],Table1[[#This Row],[Geography 
Score]])</f>
        <v>634</v>
      </c>
      <c r="AA456" s="3">
        <f>AVERAGE(Table1[[#This Row],[Math 
Score]],Table1[[#This Row],[History 
Score]],Table1[[#This Row],[Physics 
Score]],Table1[[#This Row],[Chemistry 
Score]],Table1[[#This Row],[Biology 
Score]],Table1[[#This Row],[English 
Score]],Table1[[#This Row],[Geography 
Score]])</f>
        <v>90.571428571428569</v>
      </c>
      <c r="AB45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456">
        <f t="shared" si="7"/>
        <v>131</v>
      </c>
      <c r="AD456" t="str">
        <f>_xlfn.IFS(Table1[[#This Row],[Absence 
Days]]&lt;3,"Excellent",Table1[[#This Row],[Absence 
Days]]&lt;=6,"Good",Table1[[#This Row],[Absence 
Days]]&gt;6,"Poor")</f>
        <v>Excellent</v>
      </c>
    </row>
    <row r="457" spans="1:30" x14ac:dyDescent="0.35">
      <c r="A457">
        <v>456</v>
      </c>
      <c r="B457" s="2" t="s">
        <v>232</v>
      </c>
      <c r="C457" t="s">
        <v>644</v>
      </c>
      <c r="D457" t="str">
        <f>_xlfn.TEXTJOIN(" ",TRUE,Table1[[#This Row],[First 
Name]:[Last 
Name]])</f>
        <v>Harold Vazquez</v>
      </c>
      <c r="E457" t="s">
        <v>1567</v>
      </c>
      <c r="F457" t="s">
        <v>3244</v>
      </c>
      <c r="G457" t="str">
        <f ca="1">PROPER(Table1[[#This Row],[Part Time 
Job]])</f>
        <v>False</v>
      </c>
      <c r="H457" s="3">
        <v>4</v>
      </c>
      <c r="I457" t="str">
        <f ca="1">PROPER(Table1[[#This Row],[Extracurricular 
Activities]])</f>
        <v>False</v>
      </c>
      <c r="J457">
        <v>27</v>
      </c>
      <c r="K457" t="s">
        <v>3117</v>
      </c>
      <c r="L457">
        <v>88</v>
      </c>
      <c r="M457" s="12" t="str" cm="1">
        <f t="array" ref="M45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457">
        <v>76</v>
      </c>
      <c r="O457" s="13" t="str" cm="1">
        <f t="array" ref="O45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457">
        <v>80</v>
      </c>
      <c r="Q457" s="13" t="str" cm="1">
        <f t="array" ref="Q45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457">
        <v>72</v>
      </c>
      <c r="S457" t="str" cm="1">
        <f t="array" ref="S45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457">
        <v>100</v>
      </c>
      <c r="U457" t="str" cm="1">
        <f t="array" ref="U45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457">
        <v>69</v>
      </c>
      <c r="W457" t="str" cm="1">
        <f t="array" ref="W45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457">
        <v>71</v>
      </c>
      <c r="Y457" t="str" cm="1">
        <f t="array" ref="Y45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457">
        <f>SUM(Table1[[#This Row],[Math 
Score]],Table1[[#This Row],[History 
Score]],Table1[[#This Row],[Physics 
Score]],Table1[[#This Row],[Chemistry 
Score]],Table1[[#This Row],[Biology 
Score]],Table1[[#This Row],[English 
Score]],Table1[[#This Row],[Geography 
Score]])</f>
        <v>556</v>
      </c>
      <c r="AA457" s="3">
        <f>AVERAGE(Table1[[#This Row],[Math 
Score]],Table1[[#This Row],[History 
Score]],Table1[[#This Row],[Physics 
Score]],Table1[[#This Row],[Chemistry 
Score]],Table1[[#This Row],[Biology 
Score]],Table1[[#This Row],[English 
Score]],Table1[[#This Row],[Geography 
Score]])</f>
        <v>79.428571428571431</v>
      </c>
      <c r="AB45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457">
        <f t="shared" si="7"/>
        <v>1224</v>
      </c>
      <c r="AD457" t="str">
        <f>_xlfn.IFS(Table1[[#This Row],[Absence 
Days]]&lt;3,"Excellent",Table1[[#This Row],[Absence 
Days]]&lt;=6,"Good",Table1[[#This Row],[Absence 
Days]]&gt;6,"Poor")</f>
        <v>Good</v>
      </c>
    </row>
    <row r="458" spans="1:30" x14ac:dyDescent="0.35">
      <c r="A458">
        <v>457</v>
      </c>
      <c r="B458" s="2" t="s">
        <v>209</v>
      </c>
      <c r="C458" t="s">
        <v>530</v>
      </c>
      <c r="D458" t="str">
        <f>_xlfn.TEXTJOIN(" ",TRUE,Table1[[#This Row],[First 
Name]:[Last 
Name]])</f>
        <v>Lance Parsons</v>
      </c>
      <c r="E458" t="s">
        <v>1568</v>
      </c>
      <c r="F458" t="s">
        <v>3244</v>
      </c>
      <c r="G458" t="str">
        <f ca="1">PROPER(Table1[[#This Row],[Part Time 
Job]])</f>
        <v>False</v>
      </c>
      <c r="H458" s="3">
        <v>0</v>
      </c>
      <c r="I458" t="str">
        <f ca="1">PROPER(Table1[[#This Row],[Extracurricular 
Activities]])</f>
        <v>True</v>
      </c>
      <c r="J458">
        <v>4</v>
      </c>
      <c r="K458" t="s">
        <v>3128</v>
      </c>
      <c r="L458">
        <v>54</v>
      </c>
      <c r="M458" s="12" t="str" cm="1">
        <f t="array" ref="M458">_xlfn.IFS(Table1[[#This Row],[Math 
Score]]&gt;=90,"A+",Table1[[#This Row],[Math 
Score]]&gt;=80,"A", Table1[[#This Row],[Math 
Score]]&gt;=75,"A-",Table1[[#This Row],[Math 
Score]]&gt;=70,"B+",Table1[[#This Row],[Math 
Score]]&gt;=65,"B",Table1[[#This Row],[Math 
Score]]&gt;=60,"B-",Table1[[#This Row],[Math 
Score]]&gt;=50,"C",Table1[[#This Row],[Math 
Score]]&gt;=40,"D",Table1[[#This Row],[Math 
Score]]&lt;40,"F")</f>
        <v>C</v>
      </c>
      <c r="N458">
        <v>88</v>
      </c>
      <c r="O458" s="13" t="str" cm="1">
        <f t="array" ref="O45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458">
        <v>82</v>
      </c>
      <c r="Q458" s="13" t="str" cm="1">
        <f t="array" ref="Q45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458">
        <v>89</v>
      </c>
      <c r="S458" t="str" cm="1">
        <f t="array" ref="S45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458">
        <v>72</v>
      </c>
      <c r="U458" t="str" cm="1">
        <f t="array" ref="U45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458">
        <v>60</v>
      </c>
      <c r="W458" t="str" cm="1">
        <f t="array" ref="W45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458">
        <v>69</v>
      </c>
      <c r="Y458" t="str" cm="1">
        <f t="array" ref="Y45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458">
        <f>SUM(Table1[[#This Row],[Math 
Score]],Table1[[#This Row],[History 
Score]],Table1[[#This Row],[Physics 
Score]],Table1[[#This Row],[Chemistry 
Score]],Table1[[#This Row],[Biology 
Score]],Table1[[#This Row],[English 
Score]],Table1[[#This Row],[Geography 
Score]])</f>
        <v>514</v>
      </c>
      <c r="AA458" s="3">
        <f>AVERAGE(Table1[[#This Row],[Math 
Score]],Table1[[#This Row],[History 
Score]],Table1[[#This Row],[Physics 
Score]],Table1[[#This Row],[Chemistry 
Score]],Table1[[#This Row],[Biology 
Score]],Table1[[#This Row],[English 
Score]],Table1[[#This Row],[Geography 
Score]])</f>
        <v>73.428571428571431</v>
      </c>
      <c r="AB45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458">
        <f t="shared" si="7"/>
        <v>1805</v>
      </c>
      <c r="AD458" t="str">
        <f>_xlfn.IFS(Table1[[#This Row],[Absence 
Days]]&lt;3,"Excellent",Table1[[#This Row],[Absence 
Days]]&lt;=6,"Good",Table1[[#This Row],[Absence 
Days]]&gt;6,"Poor")</f>
        <v>Excellent</v>
      </c>
    </row>
    <row r="459" spans="1:30" x14ac:dyDescent="0.35">
      <c r="A459">
        <v>458</v>
      </c>
      <c r="B459" s="2" t="s">
        <v>63</v>
      </c>
      <c r="C459" t="s">
        <v>730</v>
      </c>
      <c r="D459" t="str">
        <f>_xlfn.TEXTJOIN(" ",TRUE,Table1[[#This Row],[First 
Name]:[Last 
Name]])</f>
        <v>Jill Mathews</v>
      </c>
      <c r="E459" t="s">
        <v>1569</v>
      </c>
      <c r="F459" t="s">
        <v>3245</v>
      </c>
      <c r="G459" t="str">
        <f ca="1">PROPER(Table1[[#This Row],[Part Time 
Job]])</f>
        <v>False</v>
      </c>
      <c r="H459" s="3">
        <v>2</v>
      </c>
      <c r="I459" t="str">
        <f ca="1">PROPER(Table1[[#This Row],[Extracurricular 
Activities]])</f>
        <v>True</v>
      </c>
      <c r="J459">
        <v>32</v>
      </c>
      <c r="K459" t="s">
        <v>3121</v>
      </c>
      <c r="L459">
        <v>87</v>
      </c>
      <c r="M459" s="12" t="str" cm="1">
        <f t="array" ref="M45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459">
        <v>87</v>
      </c>
      <c r="O459" s="13" t="str" cm="1">
        <f t="array" ref="O45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459">
        <v>76</v>
      </c>
      <c r="Q459" s="13" t="str" cm="1">
        <f t="array" ref="Q45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459">
        <v>67</v>
      </c>
      <c r="S459" t="str" cm="1">
        <f t="array" ref="S45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459">
        <v>68</v>
      </c>
      <c r="U459" t="str" cm="1">
        <f t="array" ref="U45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459">
        <v>89</v>
      </c>
      <c r="W459" t="str" cm="1">
        <f t="array" ref="W45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459">
        <v>77</v>
      </c>
      <c r="Y459" t="str" cm="1">
        <f t="array" ref="Y45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459">
        <f>SUM(Table1[[#This Row],[Math 
Score]],Table1[[#This Row],[History 
Score]],Table1[[#This Row],[Physics 
Score]],Table1[[#This Row],[Chemistry 
Score]],Table1[[#This Row],[Biology 
Score]],Table1[[#This Row],[English 
Score]],Table1[[#This Row],[Geography 
Score]])</f>
        <v>551</v>
      </c>
      <c r="AA459" s="3">
        <f>AVERAGE(Table1[[#This Row],[Math 
Score]],Table1[[#This Row],[History 
Score]],Table1[[#This Row],[Physics 
Score]],Table1[[#This Row],[Chemistry 
Score]],Table1[[#This Row],[Biology 
Score]],Table1[[#This Row],[English 
Score]],Table1[[#This Row],[Geography 
Score]])</f>
        <v>78.714285714285708</v>
      </c>
      <c r="AB45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459">
        <f t="shared" si="7"/>
        <v>1317</v>
      </c>
      <c r="AD459" t="str">
        <f>_xlfn.IFS(Table1[[#This Row],[Absence 
Days]]&lt;3,"Excellent",Table1[[#This Row],[Absence 
Days]]&lt;=6,"Good",Table1[[#This Row],[Absence 
Days]]&gt;6,"Poor")</f>
        <v>Excellent</v>
      </c>
    </row>
    <row r="460" spans="1:30" x14ac:dyDescent="0.35">
      <c r="A460">
        <v>459</v>
      </c>
      <c r="B460" s="2" t="s">
        <v>94</v>
      </c>
      <c r="C460" t="s">
        <v>711</v>
      </c>
      <c r="D460" t="str">
        <f>_xlfn.TEXTJOIN(" ",TRUE,Table1[[#This Row],[First 
Name]:[Last 
Name]])</f>
        <v>Crystal Nguyen</v>
      </c>
      <c r="E460" t="s">
        <v>1570</v>
      </c>
      <c r="F460" t="s">
        <v>3245</v>
      </c>
      <c r="G460" t="str">
        <f ca="1">PROPER(Table1[[#This Row],[Part Time 
Job]])</f>
        <v>False</v>
      </c>
      <c r="H460" s="3">
        <v>1</v>
      </c>
      <c r="I460" t="str">
        <f ca="1">PROPER(Table1[[#This Row],[Extracurricular 
Activities]])</f>
        <v>False</v>
      </c>
      <c r="J460">
        <v>1</v>
      </c>
      <c r="K460" t="s">
        <v>3115</v>
      </c>
      <c r="L460">
        <v>95</v>
      </c>
      <c r="M460" s="12" t="str" cm="1">
        <f t="array" ref="M46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460">
        <v>73</v>
      </c>
      <c r="O460" s="13" t="str" cm="1">
        <f t="array" ref="O46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460">
        <v>79</v>
      </c>
      <c r="Q460" s="13" t="str" cm="1">
        <f t="array" ref="Q46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460">
        <v>81</v>
      </c>
      <c r="S460" t="str" cm="1">
        <f t="array" ref="S46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460">
        <v>82</v>
      </c>
      <c r="U460" t="str" cm="1">
        <f t="array" ref="U46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460">
        <v>69</v>
      </c>
      <c r="W460" t="str" cm="1">
        <f t="array" ref="W46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460">
        <v>100</v>
      </c>
      <c r="Y460" t="str" cm="1">
        <f t="array" ref="Y46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460">
        <f>SUM(Table1[[#This Row],[Math 
Score]],Table1[[#This Row],[History 
Score]],Table1[[#This Row],[Physics 
Score]],Table1[[#This Row],[Chemistry 
Score]],Table1[[#This Row],[Biology 
Score]],Table1[[#This Row],[English 
Score]],Table1[[#This Row],[Geography 
Score]])</f>
        <v>579</v>
      </c>
      <c r="AA460" s="3">
        <f>AVERAGE(Table1[[#This Row],[Math 
Score]],Table1[[#This Row],[History 
Score]],Table1[[#This Row],[Physics 
Score]],Table1[[#This Row],[Chemistry 
Score]],Table1[[#This Row],[Biology 
Score]],Table1[[#This Row],[English 
Score]],Table1[[#This Row],[Geography 
Score]])</f>
        <v>82.714285714285708</v>
      </c>
      <c r="AB46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460">
        <f t="shared" si="7"/>
        <v>730</v>
      </c>
      <c r="AD460" t="str">
        <f>_xlfn.IFS(Table1[[#This Row],[Absence 
Days]]&lt;3,"Excellent",Table1[[#This Row],[Absence 
Days]]&lt;=6,"Good",Table1[[#This Row],[Absence 
Days]]&gt;6,"Poor")</f>
        <v>Excellent</v>
      </c>
    </row>
    <row r="461" spans="1:30" x14ac:dyDescent="0.35">
      <c r="A461">
        <v>460</v>
      </c>
      <c r="B461" s="2" t="s">
        <v>229</v>
      </c>
      <c r="C461" t="s">
        <v>510</v>
      </c>
      <c r="D461" t="str">
        <f>_xlfn.TEXTJOIN(" ",TRUE,Table1[[#This Row],[First 
Name]:[Last 
Name]])</f>
        <v>Susan Perez</v>
      </c>
      <c r="E461" t="s">
        <v>1571</v>
      </c>
      <c r="F461" t="s">
        <v>3245</v>
      </c>
      <c r="G461" t="str">
        <f ca="1">PROPER(Table1[[#This Row],[Part Time 
Job]])</f>
        <v>False</v>
      </c>
      <c r="H461" s="3">
        <v>2</v>
      </c>
      <c r="I461" t="str">
        <f ca="1">PROPER(Table1[[#This Row],[Extracurricular 
Activities]])</f>
        <v>False</v>
      </c>
      <c r="J461">
        <v>32</v>
      </c>
      <c r="K461" t="s">
        <v>3124</v>
      </c>
      <c r="L461">
        <v>72</v>
      </c>
      <c r="M461" s="12" t="str" cm="1">
        <f t="array" ref="M461">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461">
        <v>72</v>
      </c>
      <c r="O461" s="13" t="str" cm="1">
        <f t="array" ref="O46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461">
        <v>68</v>
      </c>
      <c r="Q461" s="13" t="str" cm="1">
        <f t="array" ref="Q46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461">
        <v>81</v>
      </c>
      <c r="S461" t="str" cm="1">
        <f t="array" ref="S46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461">
        <v>95</v>
      </c>
      <c r="U461" t="str" cm="1">
        <f t="array" ref="U46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461">
        <v>90</v>
      </c>
      <c r="W461" t="str" cm="1">
        <f t="array" ref="W46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461">
        <v>99</v>
      </c>
      <c r="Y461" t="str" cm="1">
        <f t="array" ref="Y46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461">
        <f>SUM(Table1[[#This Row],[Math 
Score]],Table1[[#This Row],[History 
Score]],Table1[[#This Row],[Physics 
Score]],Table1[[#This Row],[Chemistry 
Score]],Table1[[#This Row],[Biology 
Score]],Table1[[#This Row],[English 
Score]],Table1[[#This Row],[Geography 
Score]])</f>
        <v>577</v>
      </c>
      <c r="AA461" s="3">
        <f>AVERAGE(Table1[[#This Row],[Math 
Score]],Table1[[#This Row],[History 
Score]],Table1[[#This Row],[Physics 
Score]],Table1[[#This Row],[Chemistry 
Score]],Table1[[#This Row],[Biology 
Score]],Table1[[#This Row],[English 
Score]],Table1[[#This Row],[Geography 
Score]])</f>
        <v>82.428571428571431</v>
      </c>
      <c r="AB46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461">
        <f t="shared" si="7"/>
        <v>769</v>
      </c>
      <c r="AD461" t="str">
        <f>_xlfn.IFS(Table1[[#This Row],[Absence 
Days]]&lt;3,"Excellent",Table1[[#This Row],[Absence 
Days]]&lt;=6,"Good",Table1[[#This Row],[Absence 
Days]]&gt;6,"Poor")</f>
        <v>Excellent</v>
      </c>
    </row>
    <row r="462" spans="1:30" x14ac:dyDescent="0.35">
      <c r="A462">
        <v>461</v>
      </c>
      <c r="B462" s="2" t="s">
        <v>174</v>
      </c>
      <c r="C462" t="s">
        <v>731</v>
      </c>
      <c r="D462" t="str">
        <f>_xlfn.TEXTJOIN(" ",TRUE,Table1[[#This Row],[First 
Name]:[Last 
Name]])</f>
        <v>Brenda Powers</v>
      </c>
      <c r="E462" t="s">
        <v>1572</v>
      </c>
      <c r="F462" t="s">
        <v>3245</v>
      </c>
      <c r="G462" t="str">
        <f ca="1">PROPER(Table1[[#This Row],[Part Time 
Job]])</f>
        <v>False</v>
      </c>
      <c r="H462" s="3">
        <v>1</v>
      </c>
      <c r="I462" t="str">
        <f ca="1">PROPER(Table1[[#This Row],[Extracurricular 
Activities]])</f>
        <v>True</v>
      </c>
      <c r="J462">
        <v>4</v>
      </c>
      <c r="K462" t="s">
        <v>3128</v>
      </c>
      <c r="L462">
        <v>95</v>
      </c>
      <c r="M462" s="12" t="str" cm="1">
        <f t="array" ref="M46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462">
        <v>76</v>
      </c>
      <c r="O462" s="13" t="str" cm="1">
        <f t="array" ref="O46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462">
        <v>70</v>
      </c>
      <c r="Q462" s="13" t="str" cm="1">
        <f t="array" ref="Q46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462">
        <v>89</v>
      </c>
      <c r="S462" t="str" cm="1">
        <f t="array" ref="S46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462">
        <v>88</v>
      </c>
      <c r="U462" t="str" cm="1">
        <f t="array" ref="U46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462">
        <v>87</v>
      </c>
      <c r="W462" t="str" cm="1">
        <f t="array" ref="W46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462">
        <v>62</v>
      </c>
      <c r="Y462" t="str" cm="1">
        <f t="array" ref="Y46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462">
        <f>SUM(Table1[[#This Row],[Math 
Score]],Table1[[#This Row],[History 
Score]],Table1[[#This Row],[Physics 
Score]],Table1[[#This Row],[Chemistry 
Score]],Table1[[#This Row],[Biology 
Score]],Table1[[#This Row],[English 
Score]],Table1[[#This Row],[Geography 
Score]])</f>
        <v>567</v>
      </c>
      <c r="AA462" s="3">
        <f>AVERAGE(Table1[[#This Row],[Math 
Score]],Table1[[#This Row],[History 
Score]],Table1[[#This Row],[Physics 
Score]],Table1[[#This Row],[Chemistry 
Score]],Table1[[#This Row],[Biology 
Score]],Table1[[#This Row],[English 
Score]],Table1[[#This Row],[Geography 
Score]])</f>
        <v>81</v>
      </c>
      <c r="AB46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462">
        <f t="shared" si="7"/>
        <v>994</v>
      </c>
      <c r="AD462" t="str">
        <f>_xlfn.IFS(Table1[[#This Row],[Absence 
Days]]&lt;3,"Excellent",Table1[[#This Row],[Absence 
Days]]&lt;=6,"Good",Table1[[#This Row],[Absence 
Days]]&gt;6,"Poor")</f>
        <v>Excellent</v>
      </c>
    </row>
    <row r="463" spans="1:30" x14ac:dyDescent="0.35">
      <c r="A463">
        <v>462</v>
      </c>
      <c r="B463" s="2" t="s">
        <v>200</v>
      </c>
      <c r="C463" t="s">
        <v>466</v>
      </c>
      <c r="D463" t="str">
        <f>_xlfn.TEXTJOIN(" ",TRUE,Table1[[#This Row],[First 
Name]:[Last 
Name]])</f>
        <v>Samuel Thompson</v>
      </c>
      <c r="E463" t="s">
        <v>1573</v>
      </c>
      <c r="F463" t="s">
        <v>3244</v>
      </c>
      <c r="G463" t="str">
        <f ca="1">PROPER(Table1[[#This Row],[Part Time 
Job]])</f>
        <v>False</v>
      </c>
      <c r="H463" s="3">
        <v>4</v>
      </c>
      <c r="I463" t="str">
        <f ca="1">PROPER(Table1[[#This Row],[Extracurricular 
Activities]])</f>
        <v>False</v>
      </c>
      <c r="J463">
        <v>28</v>
      </c>
      <c r="K463" t="s">
        <v>3117</v>
      </c>
      <c r="L463">
        <v>91</v>
      </c>
      <c r="M463" s="12" t="str" cm="1">
        <f t="array" ref="M46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463">
        <v>97</v>
      </c>
      <c r="O463" s="13" t="str" cm="1">
        <f t="array" ref="O46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463">
        <v>86</v>
      </c>
      <c r="Q463" s="13" t="str" cm="1">
        <f t="array" ref="Q46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463">
        <v>77</v>
      </c>
      <c r="S463" t="str" cm="1">
        <f t="array" ref="S46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463">
        <v>83</v>
      </c>
      <c r="U463" t="str" cm="1">
        <f t="array" ref="U46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463">
        <v>79</v>
      </c>
      <c r="W463" t="str" cm="1">
        <f t="array" ref="W46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463">
        <v>62</v>
      </c>
      <c r="Y463" t="str" cm="1">
        <f t="array" ref="Y46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463">
        <f>SUM(Table1[[#This Row],[Math 
Score]],Table1[[#This Row],[History 
Score]],Table1[[#This Row],[Physics 
Score]],Table1[[#This Row],[Chemistry 
Score]],Table1[[#This Row],[Biology 
Score]],Table1[[#This Row],[English 
Score]],Table1[[#This Row],[Geography 
Score]])</f>
        <v>575</v>
      </c>
      <c r="AA463" s="3">
        <f>AVERAGE(Table1[[#This Row],[Math 
Score]],Table1[[#This Row],[History 
Score]],Table1[[#This Row],[Physics 
Score]],Table1[[#This Row],[Chemistry 
Score]],Table1[[#This Row],[Biology 
Score]],Table1[[#This Row],[English 
Score]],Table1[[#This Row],[Geography 
Score]])</f>
        <v>82.142857142857139</v>
      </c>
      <c r="AB46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463">
        <f t="shared" si="7"/>
        <v>807</v>
      </c>
      <c r="AD463" t="str">
        <f>_xlfn.IFS(Table1[[#This Row],[Absence 
Days]]&lt;3,"Excellent",Table1[[#This Row],[Absence 
Days]]&lt;=6,"Good",Table1[[#This Row],[Absence 
Days]]&gt;6,"Poor")</f>
        <v>Good</v>
      </c>
    </row>
    <row r="464" spans="1:30" x14ac:dyDescent="0.35">
      <c r="A464">
        <v>463</v>
      </c>
      <c r="B464" s="2" t="s">
        <v>188</v>
      </c>
      <c r="C464" t="s">
        <v>653</v>
      </c>
      <c r="D464" t="str">
        <f>_xlfn.TEXTJOIN(" ",TRUE,Table1[[#This Row],[First 
Name]:[Last 
Name]])</f>
        <v>Taylor Nelson</v>
      </c>
      <c r="E464" t="s">
        <v>1574</v>
      </c>
      <c r="F464" t="s">
        <v>3245</v>
      </c>
      <c r="G464" t="str">
        <f ca="1">PROPER(Table1[[#This Row],[Part Time 
Job]])</f>
        <v>False</v>
      </c>
      <c r="H464" s="3">
        <v>3</v>
      </c>
      <c r="I464" t="str">
        <f ca="1">PROPER(Table1[[#This Row],[Extracurricular 
Activities]])</f>
        <v>True</v>
      </c>
      <c r="J464">
        <v>32</v>
      </c>
      <c r="K464" t="s">
        <v>3112</v>
      </c>
      <c r="L464">
        <v>79</v>
      </c>
      <c r="M464" s="12" t="str" cm="1">
        <f t="array" ref="M46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464">
        <v>81</v>
      </c>
      <c r="O464" s="13" t="str" cm="1">
        <f t="array" ref="O46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464">
        <v>63</v>
      </c>
      <c r="Q464" s="13" t="str" cm="1">
        <f t="array" ref="Q46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464">
        <v>79</v>
      </c>
      <c r="S464" t="str" cm="1">
        <f t="array" ref="S46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464">
        <v>96</v>
      </c>
      <c r="U464" t="str" cm="1">
        <f t="array" ref="U46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464">
        <v>96</v>
      </c>
      <c r="W464" t="str" cm="1">
        <f t="array" ref="W46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464">
        <v>89</v>
      </c>
      <c r="Y464" t="str" cm="1">
        <f t="array" ref="Y46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464">
        <f>SUM(Table1[[#This Row],[Math 
Score]],Table1[[#This Row],[History 
Score]],Table1[[#This Row],[Physics 
Score]],Table1[[#This Row],[Chemistry 
Score]],Table1[[#This Row],[Biology 
Score]],Table1[[#This Row],[English 
Score]],Table1[[#This Row],[Geography 
Score]])</f>
        <v>583</v>
      </c>
      <c r="AA464" s="3">
        <f>AVERAGE(Table1[[#This Row],[Math 
Score]],Table1[[#This Row],[History 
Score]],Table1[[#This Row],[Physics 
Score]],Table1[[#This Row],[Chemistry 
Score]],Table1[[#This Row],[Biology 
Score]],Table1[[#This Row],[English 
Score]],Table1[[#This Row],[Geography 
Score]])</f>
        <v>83.285714285714292</v>
      </c>
      <c r="AB46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464">
        <f t="shared" si="7"/>
        <v>655</v>
      </c>
      <c r="AD464" t="str">
        <f>_xlfn.IFS(Table1[[#This Row],[Absence 
Days]]&lt;3,"Excellent",Table1[[#This Row],[Absence 
Days]]&lt;=6,"Good",Table1[[#This Row],[Absence 
Days]]&gt;6,"Poor")</f>
        <v>Good</v>
      </c>
    </row>
    <row r="465" spans="1:30" x14ac:dyDescent="0.35">
      <c r="A465">
        <v>464</v>
      </c>
      <c r="B465" s="2" t="s">
        <v>44</v>
      </c>
      <c r="C465" t="s">
        <v>473</v>
      </c>
      <c r="D465" t="str">
        <f>_xlfn.TEXTJOIN(" ",TRUE,Table1[[#This Row],[First 
Name]:[Last 
Name]])</f>
        <v>Kimberly West</v>
      </c>
      <c r="E465" t="s">
        <v>1575</v>
      </c>
      <c r="F465" t="s">
        <v>3245</v>
      </c>
      <c r="G465" t="str">
        <f ca="1">PROPER(Table1[[#This Row],[Part Time 
Job]])</f>
        <v>False</v>
      </c>
      <c r="H465" s="3">
        <v>1</v>
      </c>
      <c r="I465" t="str">
        <f ca="1">PROPER(Table1[[#This Row],[Extracurricular 
Activities]])</f>
        <v>False</v>
      </c>
      <c r="J465">
        <v>33</v>
      </c>
      <c r="K465" t="s">
        <v>3113</v>
      </c>
      <c r="L465">
        <v>80</v>
      </c>
      <c r="M465" s="12" t="str" cm="1">
        <f t="array" ref="M46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465">
        <v>71</v>
      </c>
      <c r="O465" s="13" t="str" cm="1">
        <f t="array" ref="O46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465">
        <v>94</v>
      </c>
      <c r="Q465" s="13" t="str" cm="1">
        <f t="array" ref="Q46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465">
        <v>92</v>
      </c>
      <c r="S465" t="str" cm="1">
        <f t="array" ref="S46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465">
        <v>92</v>
      </c>
      <c r="U465" t="str" cm="1">
        <f t="array" ref="U46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465">
        <v>60</v>
      </c>
      <c r="W465" t="str" cm="1">
        <f t="array" ref="W46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465">
        <v>78</v>
      </c>
      <c r="Y465" t="str" cm="1">
        <f t="array" ref="Y46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465">
        <f>SUM(Table1[[#This Row],[Math 
Score]],Table1[[#This Row],[History 
Score]],Table1[[#This Row],[Physics 
Score]],Table1[[#This Row],[Chemistry 
Score]],Table1[[#This Row],[Biology 
Score]],Table1[[#This Row],[English 
Score]],Table1[[#This Row],[Geography 
Score]])</f>
        <v>567</v>
      </c>
      <c r="AA465" s="3">
        <f>AVERAGE(Table1[[#This Row],[Math 
Score]],Table1[[#This Row],[History 
Score]],Table1[[#This Row],[Physics 
Score]],Table1[[#This Row],[Chemistry 
Score]],Table1[[#This Row],[Biology 
Score]],Table1[[#This Row],[English 
Score]],Table1[[#This Row],[Geography 
Score]])</f>
        <v>81</v>
      </c>
      <c r="AB46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465">
        <f t="shared" si="7"/>
        <v>994</v>
      </c>
      <c r="AD465" t="str">
        <f>_xlfn.IFS(Table1[[#This Row],[Absence 
Days]]&lt;3,"Excellent",Table1[[#This Row],[Absence 
Days]]&lt;=6,"Good",Table1[[#This Row],[Absence 
Days]]&gt;6,"Poor")</f>
        <v>Excellent</v>
      </c>
    </row>
    <row r="466" spans="1:30" x14ac:dyDescent="0.35">
      <c r="A466">
        <v>465</v>
      </c>
      <c r="B466" s="2" t="s">
        <v>233</v>
      </c>
      <c r="C466" t="s">
        <v>326</v>
      </c>
      <c r="D466" t="str">
        <f>_xlfn.TEXTJOIN(" ",TRUE,Table1[[#This Row],[First 
Name]:[Last 
Name]])</f>
        <v>Brad Lee</v>
      </c>
      <c r="E466" t="s">
        <v>1576</v>
      </c>
      <c r="F466" t="s">
        <v>3244</v>
      </c>
      <c r="G466" t="str">
        <f ca="1">PROPER(Table1[[#This Row],[Part Time 
Job]])</f>
        <v>True</v>
      </c>
      <c r="H466" s="3">
        <v>2</v>
      </c>
      <c r="I466" t="str">
        <f ca="1">PROPER(Table1[[#This Row],[Extracurricular 
Activities]])</f>
        <v>False</v>
      </c>
      <c r="J466">
        <v>4</v>
      </c>
      <c r="K466" t="s">
        <v>3119</v>
      </c>
      <c r="L466">
        <v>86</v>
      </c>
      <c r="M466" s="12" t="str" cm="1">
        <f t="array" ref="M46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466">
        <v>90</v>
      </c>
      <c r="O466" s="13" t="str" cm="1">
        <f t="array" ref="O46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466">
        <v>88</v>
      </c>
      <c r="Q466" s="13" t="str" cm="1">
        <f t="array" ref="Q46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466">
        <v>73</v>
      </c>
      <c r="S466" t="str" cm="1">
        <f t="array" ref="S46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466">
        <v>50</v>
      </c>
      <c r="U466" t="str" cm="1">
        <f t="array" ref="U46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C</v>
      </c>
      <c r="V466">
        <v>93</v>
      </c>
      <c r="W466" t="str" cm="1">
        <f t="array" ref="W46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466">
        <v>71</v>
      </c>
      <c r="Y466" t="str" cm="1">
        <f t="array" ref="Y46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466">
        <f>SUM(Table1[[#This Row],[Math 
Score]],Table1[[#This Row],[History 
Score]],Table1[[#This Row],[Physics 
Score]],Table1[[#This Row],[Chemistry 
Score]],Table1[[#This Row],[Biology 
Score]],Table1[[#This Row],[English 
Score]],Table1[[#This Row],[Geography 
Score]])</f>
        <v>551</v>
      </c>
      <c r="AA466" s="3">
        <f>AVERAGE(Table1[[#This Row],[Math 
Score]],Table1[[#This Row],[History 
Score]],Table1[[#This Row],[Physics 
Score]],Table1[[#This Row],[Chemistry 
Score]],Table1[[#This Row],[Biology 
Score]],Table1[[#This Row],[English 
Score]],Table1[[#This Row],[Geography 
Score]])</f>
        <v>78.714285714285708</v>
      </c>
      <c r="AB46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466">
        <f t="shared" si="7"/>
        <v>1317</v>
      </c>
      <c r="AD466" t="str">
        <f>_xlfn.IFS(Table1[[#This Row],[Absence 
Days]]&lt;3,"Excellent",Table1[[#This Row],[Absence 
Days]]&lt;=6,"Good",Table1[[#This Row],[Absence 
Days]]&gt;6,"Poor")</f>
        <v>Excellent</v>
      </c>
    </row>
    <row r="467" spans="1:30" x14ac:dyDescent="0.35">
      <c r="A467">
        <v>466</v>
      </c>
      <c r="B467" s="2" t="s">
        <v>234</v>
      </c>
      <c r="C467" t="s">
        <v>722</v>
      </c>
      <c r="D467" t="str">
        <f>_xlfn.TEXTJOIN(" ",TRUE,Table1[[#This Row],[First 
Name]:[Last 
Name]])</f>
        <v>Clayton Green</v>
      </c>
      <c r="E467" t="s">
        <v>1577</v>
      </c>
      <c r="F467" t="s">
        <v>3244</v>
      </c>
      <c r="G467" t="str">
        <f ca="1">PROPER(Table1[[#This Row],[Part Time 
Job]])</f>
        <v>False</v>
      </c>
      <c r="H467" s="3">
        <v>1</v>
      </c>
      <c r="I467" t="str">
        <f ca="1">PROPER(Table1[[#This Row],[Extracurricular 
Activities]])</f>
        <v>False</v>
      </c>
      <c r="J467">
        <v>31</v>
      </c>
      <c r="K467" t="s">
        <v>3117</v>
      </c>
      <c r="L467">
        <v>88</v>
      </c>
      <c r="M467" s="12" t="str" cm="1">
        <f t="array" ref="M46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467">
        <v>88</v>
      </c>
      <c r="O467" s="13" t="str" cm="1">
        <f t="array" ref="O46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467">
        <v>90</v>
      </c>
      <c r="Q467" s="13" t="str" cm="1">
        <f t="array" ref="Q46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467">
        <v>67</v>
      </c>
      <c r="S467" t="str" cm="1">
        <f t="array" ref="S46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467">
        <v>77</v>
      </c>
      <c r="U467" t="str" cm="1">
        <f t="array" ref="U46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467">
        <v>83</v>
      </c>
      <c r="W467" t="str" cm="1">
        <f t="array" ref="W46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467">
        <v>64</v>
      </c>
      <c r="Y467" t="str" cm="1">
        <f t="array" ref="Y46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467">
        <f>SUM(Table1[[#This Row],[Math 
Score]],Table1[[#This Row],[History 
Score]],Table1[[#This Row],[Physics 
Score]],Table1[[#This Row],[Chemistry 
Score]],Table1[[#This Row],[Biology 
Score]],Table1[[#This Row],[English 
Score]],Table1[[#This Row],[Geography 
Score]])</f>
        <v>557</v>
      </c>
      <c r="AA467" s="3">
        <f>AVERAGE(Table1[[#This Row],[Math 
Score]],Table1[[#This Row],[History 
Score]],Table1[[#This Row],[Physics 
Score]],Table1[[#This Row],[Chemistry 
Score]],Table1[[#This Row],[Biology 
Score]],Table1[[#This Row],[English 
Score]],Table1[[#This Row],[Geography 
Score]])</f>
        <v>79.571428571428569</v>
      </c>
      <c r="AB46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467">
        <f t="shared" si="7"/>
        <v>1200</v>
      </c>
      <c r="AD467" t="str">
        <f>_xlfn.IFS(Table1[[#This Row],[Absence 
Days]]&lt;3,"Excellent",Table1[[#This Row],[Absence 
Days]]&lt;=6,"Good",Table1[[#This Row],[Absence 
Days]]&gt;6,"Poor")</f>
        <v>Excellent</v>
      </c>
    </row>
    <row r="468" spans="1:30" x14ac:dyDescent="0.35">
      <c r="A468">
        <v>467</v>
      </c>
      <c r="B468" s="2" t="s">
        <v>235</v>
      </c>
      <c r="C468" t="s">
        <v>673</v>
      </c>
      <c r="D468" t="str">
        <f>_xlfn.TEXTJOIN(" ",TRUE,Table1[[#This Row],[First 
Name]:[Last 
Name]])</f>
        <v>Richard Anderson</v>
      </c>
      <c r="E468" t="s">
        <v>1578</v>
      </c>
      <c r="F468" t="s">
        <v>3244</v>
      </c>
      <c r="G468" t="str">
        <f ca="1">PROPER(Table1[[#This Row],[Part Time 
Job]])</f>
        <v>False</v>
      </c>
      <c r="H468" s="3">
        <v>5</v>
      </c>
      <c r="I468" t="str">
        <f ca="1">PROPER(Table1[[#This Row],[Extracurricular 
Activities]])</f>
        <v>False</v>
      </c>
      <c r="J468">
        <v>17</v>
      </c>
      <c r="K468" t="s">
        <v>3125</v>
      </c>
      <c r="L468">
        <v>83</v>
      </c>
      <c r="M468" s="12" t="str" cm="1">
        <f t="array" ref="M46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468">
        <v>95</v>
      </c>
      <c r="O468" s="13" t="str" cm="1">
        <f t="array" ref="O46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468">
        <v>86</v>
      </c>
      <c r="Q468" s="13" t="str" cm="1">
        <f t="array" ref="Q46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468">
        <v>80</v>
      </c>
      <c r="S468" t="str" cm="1">
        <f t="array" ref="S46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468">
        <v>64</v>
      </c>
      <c r="U468" t="str" cm="1">
        <f t="array" ref="U46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468">
        <v>66</v>
      </c>
      <c r="W468" t="str" cm="1">
        <f t="array" ref="W46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468">
        <v>97</v>
      </c>
      <c r="Y468" t="str" cm="1">
        <f t="array" ref="Y46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468">
        <f>SUM(Table1[[#This Row],[Math 
Score]],Table1[[#This Row],[History 
Score]],Table1[[#This Row],[Physics 
Score]],Table1[[#This Row],[Chemistry 
Score]],Table1[[#This Row],[Biology 
Score]],Table1[[#This Row],[English 
Score]],Table1[[#This Row],[Geography 
Score]])</f>
        <v>571</v>
      </c>
      <c r="AA468" s="3">
        <f>AVERAGE(Table1[[#This Row],[Math 
Score]],Table1[[#This Row],[History 
Score]],Table1[[#This Row],[Physics 
Score]],Table1[[#This Row],[Chemistry 
Score]],Table1[[#This Row],[Biology 
Score]],Table1[[#This Row],[English 
Score]],Table1[[#This Row],[Geography 
Score]])</f>
        <v>81.571428571428569</v>
      </c>
      <c r="AB46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468">
        <f t="shared" si="7"/>
        <v>915</v>
      </c>
      <c r="AD468" t="str">
        <f>_xlfn.IFS(Table1[[#This Row],[Absence 
Days]]&lt;3,"Excellent",Table1[[#This Row],[Absence 
Days]]&lt;=6,"Good",Table1[[#This Row],[Absence 
Days]]&gt;6,"Poor")</f>
        <v>Good</v>
      </c>
    </row>
    <row r="469" spans="1:30" x14ac:dyDescent="0.35">
      <c r="A469">
        <v>468</v>
      </c>
      <c r="B469" s="2" t="s">
        <v>96</v>
      </c>
      <c r="C469" t="s">
        <v>645</v>
      </c>
      <c r="D469" t="str">
        <f>_xlfn.TEXTJOIN(" ",TRUE,Table1[[#This Row],[First 
Name]:[Last 
Name]])</f>
        <v>Antonio Flores</v>
      </c>
      <c r="E469" t="s">
        <v>1579</v>
      </c>
      <c r="F469" t="s">
        <v>3244</v>
      </c>
      <c r="G469" t="str">
        <f ca="1">PROPER(Table1[[#This Row],[Part Time 
Job]])</f>
        <v>False</v>
      </c>
      <c r="H469" s="3">
        <v>2</v>
      </c>
      <c r="I469" t="str">
        <f ca="1">PROPER(Table1[[#This Row],[Extracurricular 
Activities]])</f>
        <v>False</v>
      </c>
      <c r="J469">
        <v>23</v>
      </c>
      <c r="K469" t="s">
        <v>3113</v>
      </c>
      <c r="L469">
        <v>84</v>
      </c>
      <c r="M469" s="12" t="str" cm="1">
        <f t="array" ref="M46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469">
        <v>84</v>
      </c>
      <c r="O469" s="13" t="str" cm="1">
        <f t="array" ref="O46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469">
        <v>80</v>
      </c>
      <c r="Q469" s="13" t="str" cm="1">
        <f t="array" ref="Q46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469">
        <v>97</v>
      </c>
      <c r="S469" t="str" cm="1">
        <f t="array" ref="S46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469">
        <v>87</v>
      </c>
      <c r="U469" t="str" cm="1">
        <f t="array" ref="U46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469">
        <v>97</v>
      </c>
      <c r="W469" t="str" cm="1">
        <f t="array" ref="W46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469">
        <v>91</v>
      </c>
      <c r="Y469" t="str" cm="1">
        <f t="array" ref="Y46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469">
        <f>SUM(Table1[[#This Row],[Math 
Score]],Table1[[#This Row],[History 
Score]],Table1[[#This Row],[Physics 
Score]],Table1[[#This Row],[Chemistry 
Score]],Table1[[#This Row],[Biology 
Score]],Table1[[#This Row],[English 
Score]],Table1[[#This Row],[Geography 
Score]])</f>
        <v>620</v>
      </c>
      <c r="AA469" s="3">
        <f>AVERAGE(Table1[[#This Row],[Math 
Score]],Table1[[#This Row],[History 
Score]],Table1[[#This Row],[Physics 
Score]],Table1[[#This Row],[Chemistry 
Score]],Table1[[#This Row],[Biology 
Score]],Table1[[#This Row],[English 
Score]],Table1[[#This Row],[Geography 
Score]])</f>
        <v>88.571428571428569</v>
      </c>
      <c r="AB46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469">
        <f t="shared" si="7"/>
        <v>215</v>
      </c>
      <c r="AD469" t="str">
        <f>_xlfn.IFS(Table1[[#This Row],[Absence 
Days]]&lt;3,"Excellent",Table1[[#This Row],[Absence 
Days]]&lt;=6,"Good",Table1[[#This Row],[Absence 
Days]]&gt;6,"Poor")</f>
        <v>Excellent</v>
      </c>
    </row>
    <row r="470" spans="1:30" x14ac:dyDescent="0.35">
      <c r="A470">
        <v>469</v>
      </c>
      <c r="B470" s="2" t="s">
        <v>236</v>
      </c>
      <c r="C470" t="s">
        <v>732</v>
      </c>
      <c r="D470" t="str">
        <f>_xlfn.TEXTJOIN(" ",TRUE,Table1[[#This Row],[First 
Name]:[Last 
Name]])</f>
        <v>Margaret Mullins</v>
      </c>
      <c r="E470" t="s">
        <v>1580</v>
      </c>
      <c r="F470" t="s">
        <v>3245</v>
      </c>
      <c r="G470" t="str">
        <f ca="1">PROPER(Table1[[#This Row],[Part Time 
Job]])</f>
        <v>False</v>
      </c>
      <c r="H470" s="3">
        <v>0</v>
      </c>
      <c r="I470" t="str">
        <f ca="1">PROPER(Table1[[#This Row],[Extracurricular 
Activities]])</f>
        <v>False</v>
      </c>
      <c r="J470">
        <v>29</v>
      </c>
      <c r="K470" t="s">
        <v>3117</v>
      </c>
      <c r="L470">
        <v>85</v>
      </c>
      <c r="M470" s="12" t="str" cm="1">
        <f t="array" ref="M47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470">
        <v>82</v>
      </c>
      <c r="O470" s="13" t="str" cm="1">
        <f t="array" ref="O47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470">
        <v>81</v>
      </c>
      <c r="Q470" s="13" t="str" cm="1">
        <f t="array" ref="Q47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470">
        <v>85</v>
      </c>
      <c r="S470" t="str" cm="1">
        <f t="array" ref="S47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470">
        <v>72</v>
      </c>
      <c r="U470" t="str" cm="1">
        <f t="array" ref="U47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470">
        <v>90</v>
      </c>
      <c r="W470" t="str" cm="1">
        <f t="array" ref="W47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470">
        <v>71</v>
      </c>
      <c r="Y470" t="str" cm="1">
        <f t="array" ref="Y47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470">
        <f>SUM(Table1[[#This Row],[Math 
Score]],Table1[[#This Row],[History 
Score]],Table1[[#This Row],[Physics 
Score]],Table1[[#This Row],[Chemistry 
Score]],Table1[[#This Row],[Biology 
Score]],Table1[[#This Row],[English 
Score]],Table1[[#This Row],[Geography 
Score]])</f>
        <v>566</v>
      </c>
      <c r="AA470" s="3">
        <f>AVERAGE(Table1[[#This Row],[Math 
Score]],Table1[[#This Row],[History 
Score]],Table1[[#This Row],[Physics 
Score]],Table1[[#This Row],[Chemistry 
Score]],Table1[[#This Row],[Biology 
Score]],Table1[[#This Row],[English 
Score]],Table1[[#This Row],[Geography 
Score]])</f>
        <v>80.857142857142861</v>
      </c>
      <c r="AB47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470">
        <f t="shared" si="7"/>
        <v>1019</v>
      </c>
      <c r="AD470" t="str">
        <f>_xlfn.IFS(Table1[[#This Row],[Absence 
Days]]&lt;3,"Excellent",Table1[[#This Row],[Absence 
Days]]&lt;=6,"Good",Table1[[#This Row],[Absence 
Days]]&gt;6,"Poor")</f>
        <v>Excellent</v>
      </c>
    </row>
    <row r="471" spans="1:30" x14ac:dyDescent="0.35">
      <c r="A471">
        <v>470</v>
      </c>
      <c r="B471" s="2" t="s">
        <v>34</v>
      </c>
      <c r="C471" t="s">
        <v>733</v>
      </c>
      <c r="D471" t="str">
        <f>_xlfn.TEXTJOIN(" ",TRUE,Table1[[#This Row],[First 
Name]:[Last 
Name]])</f>
        <v>Michael Ball</v>
      </c>
      <c r="E471" t="s">
        <v>1581</v>
      </c>
      <c r="F471" t="s">
        <v>3244</v>
      </c>
      <c r="G471" t="str">
        <f ca="1">PROPER(Table1[[#This Row],[Part Time 
Job]])</f>
        <v>False</v>
      </c>
      <c r="H471" s="3">
        <v>2</v>
      </c>
      <c r="I471" t="str">
        <f ca="1">PROPER(Table1[[#This Row],[Extracurricular 
Activities]])</f>
        <v>False</v>
      </c>
      <c r="J471">
        <v>19</v>
      </c>
      <c r="K471" t="s">
        <v>3117</v>
      </c>
      <c r="L471">
        <v>91</v>
      </c>
      <c r="M471" s="12" t="str" cm="1">
        <f t="array" ref="M47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471">
        <v>85</v>
      </c>
      <c r="O471" s="13" t="str" cm="1">
        <f t="array" ref="O47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471">
        <v>96</v>
      </c>
      <c r="Q471" s="13" t="str" cm="1">
        <f t="array" ref="Q47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471">
        <v>83</v>
      </c>
      <c r="S471" t="str" cm="1">
        <f t="array" ref="S47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471">
        <v>74</v>
      </c>
      <c r="U471" t="str" cm="1">
        <f t="array" ref="U47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471">
        <v>87</v>
      </c>
      <c r="W471" t="str" cm="1">
        <f t="array" ref="W47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471">
        <v>74</v>
      </c>
      <c r="Y471" t="str" cm="1">
        <f t="array" ref="Y47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471">
        <f>SUM(Table1[[#This Row],[Math 
Score]],Table1[[#This Row],[History 
Score]],Table1[[#This Row],[Physics 
Score]],Table1[[#This Row],[Chemistry 
Score]],Table1[[#This Row],[Biology 
Score]],Table1[[#This Row],[English 
Score]],Table1[[#This Row],[Geography 
Score]])</f>
        <v>590</v>
      </c>
      <c r="AA471" s="3">
        <f>AVERAGE(Table1[[#This Row],[Math 
Score]],Table1[[#This Row],[History 
Score]],Table1[[#This Row],[Physics 
Score]],Table1[[#This Row],[Chemistry 
Score]],Table1[[#This Row],[Biology 
Score]],Table1[[#This Row],[English 
Score]],Table1[[#This Row],[Geography 
Score]])</f>
        <v>84.285714285714292</v>
      </c>
      <c r="AB47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471">
        <f t="shared" si="7"/>
        <v>531</v>
      </c>
      <c r="AD471" t="str">
        <f>_xlfn.IFS(Table1[[#This Row],[Absence 
Days]]&lt;3,"Excellent",Table1[[#This Row],[Absence 
Days]]&lt;=6,"Good",Table1[[#This Row],[Absence 
Days]]&gt;6,"Poor")</f>
        <v>Excellent</v>
      </c>
    </row>
    <row r="472" spans="1:30" x14ac:dyDescent="0.35">
      <c r="A472">
        <v>471</v>
      </c>
      <c r="B472" s="2" t="s">
        <v>194</v>
      </c>
      <c r="C472" t="s">
        <v>734</v>
      </c>
      <c r="D472" t="str">
        <f>_xlfn.TEXTJOIN(" ",TRUE,Table1[[#This Row],[First 
Name]:[Last 
Name]])</f>
        <v>Allen Booth</v>
      </c>
      <c r="E472" t="s">
        <v>1582</v>
      </c>
      <c r="F472" t="s">
        <v>3244</v>
      </c>
      <c r="G472" t="str">
        <f ca="1">PROPER(Table1[[#This Row],[Part Time 
Job]])</f>
        <v>True</v>
      </c>
      <c r="H472" s="3">
        <v>4</v>
      </c>
      <c r="I472" t="str">
        <f ca="1">PROPER(Table1[[#This Row],[Extracurricular 
Activities]])</f>
        <v>True</v>
      </c>
      <c r="J472">
        <v>26</v>
      </c>
      <c r="K472" t="s">
        <v>3121</v>
      </c>
      <c r="L472">
        <v>83</v>
      </c>
      <c r="M472" s="12" t="str" cm="1">
        <f t="array" ref="M47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472">
        <v>71</v>
      </c>
      <c r="O472" s="13" t="str" cm="1">
        <f t="array" ref="O47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472">
        <v>94</v>
      </c>
      <c r="Q472" s="13" t="str" cm="1">
        <f t="array" ref="Q47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472">
        <v>60</v>
      </c>
      <c r="S472" t="str" cm="1">
        <f t="array" ref="S47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472">
        <v>63</v>
      </c>
      <c r="U472" t="str" cm="1">
        <f t="array" ref="U47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472">
        <v>93</v>
      </c>
      <c r="W472" t="str" cm="1">
        <f t="array" ref="W47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472">
        <v>67</v>
      </c>
      <c r="Y472" t="str" cm="1">
        <f t="array" ref="Y47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472">
        <f>SUM(Table1[[#This Row],[Math 
Score]],Table1[[#This Row],[History 
Score]],Table1[[#This Row],[Physics 
Score]],Table1[[#This Row],[Chemistry 
Score]],Table1[[#This Row],[Biology 
Score]],Table1[[#This Row],[English 
Score]],Table1[[#This Row],[Geography 
Score]])</f>
        <v>531</v>
      </c>
      <c r="AA472" s="3">
        <f>AVERAGE(Table1[[#This Row],[Math 
Score]],Table1[[#This Row],[History 
Score]],Table1[[#This Row],[Physics 
Score]],Table1[[#This Row],[Chemistry 
Score]],Table1[[#This Row],[Biology 
Score]],Table1[[#This Row],[English 
Score]],Table1[[#This Row],[Geography 
Score]])</f>
        <v>75.857142857142861</v>
      </c>
      <c r="AB47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472">
        <f t="shared" si="7"/>
        <v>1637</v>
      </c>
      <c r="AD472" t="str">
        <f>_xlfn.IFS(Table1[[#This Row],[Absence 
Days]]&lt;3,"Excellent",Table1[[#This Row],[Absence 
Days]]&lt;=6,"Good",Table1[[#This Row],[Absence 
Days]]&gt;6,"Poor")</f>
        <v>Good</v>
      </c>
    </row>
    <row r="473" spans="1:30" x14ac:dyDescent="0.35">
      <c r="A473">
        <v>472</v>
      </c>
      <c r="B473" s="2" t="s">
        <v>237</v>
      </c>
      <c r="C473" t="s">
        <v>455</v>
      </c>
      <c r="D473" t="str">
        <f>_xlfn.TEXTJOIN(" ",TRUE,Table1[[#This Row],[First 
Name]:[Last 
Name]])</f>
        <v>Stephanie Clark</v>
      </c>
      <c r="E473" t="s">
        <v>1583</v>
      </c>
      <c r="F473" t="s">
        <v>3245</v>
      </c>
      <c r="G473" t="str">
        <f ca="1">PROPER(Table1[[#This Row],[Part Time 
Job]])</f>
        <v>False</v>
      </c>
      <c r="H473" s="3">
        <v>7</v>
      </c>
      <c r="I473" t="str">
        <f ca="1">PROPER(Table1[[#This Row],[Extracurricular 
Activities]])</f>
        <v>False</v>
      </c>
      <c r="J473">
        <v>7</v>
      </c>
      <c r="K473" t="s">
        <v>3128</v>
      </c>
      <c r="L473">
        <v>97</v>
      </c>
      <c r="M473" s="12" t="str" cm="1">
        <f t="array" ref="M47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473">
        <v>93</v>
      </c>
      <c r="O473" s="13" t="str" cm="1">
        <f t="array" ref="O47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473">
        <v>99</v>
      </c>
      <c r="Q473" s="13" t="str" cm="1">
        <f t="array" ref="Q47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473">
        <v>98</v>
      </c>
      <c r="S473" t="str" cm="1">
        <f t="array" ref="S47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473">
        <v>96</v>
      </c>
      <c r="U473" t="str" cm="1">
        <f t="array" ref="U47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473">
        <v>79</v>
      </c>
      <c r="W473" t="str" cm="1">
        <f t="array" ref="W47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473">
        <v>88</v>
      </c>
      <c r="Y473" t="str" cm="1">
        <f t="array" ref="Y47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473">
        <f>SUM(Table1[[#This Row],[Math 
Score]],Table1[[#This Row],[History 
Score]],Table1[[#This Row],[Physics 
Score]],Table1[[#This Row],[Chemistry 
Score]],Table1[[#This Row],[Biology 
Score]],Table1[[#This Row],[English 
Score]],Table1[[#This Row],[Geography 
Score]])</f>
        <v>650</v>
      </c>
      <c r="AA473" s="3">
        <f>AVERAGE(Table1[[#This Row],[Math 
Score]],Table1[[#This Row],[History 
Score]],Table1[[#This Row],[Physics 
Score]],Table1[[#This Row],[Chemistry 
Score]],Table1[[#This Row],[Biology 
Score]],Table1[[#This Row],[English 
Score]],Table1[[#This Row],[Geography 
Score]])</f>
        <v>92.857142857142861</v>
      </c>
      <c r="AB47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473">
        <f t="shared" si="7"/>
        <v>56</v>
      </c>
      <c r="AD473" t="str">
        <f>_xlfn.IFS(Table1[[#This Row],[Absence 
Days]]&lt;3,"Excellent",Table1[[#This Row],[Absence 
Days]]&lt;=6,"Good",Table1[[#This Row],[Absence 
Days]]&gt;6,"Poor")</f>
        <v>Poor</v>
      </c>
    </row>
    <row r="474" spans="1:30" x14ac:dyDescent="0.35">
      <c r="A474">
        <v>473</v>
      </c>
      <c r="B474" s="2" t="s">
        <v>238</v>
      </c>
      <c r="C474" t="s">
        <v>653</v>
      </c>
      <c r="D474" t="str">
        <f>_xlfn.TEXTJOIN(" ",TRUE,Table1[[#This Row],[First 
Name]:[Last 
Name]])</f>
        <v>Sharon Nelson</v>
      </c>
      <c r="E474" t="s">
        <v>1584</v>
      </c>
      <c r="F474" t="s">
        <v>3245</v>
      </c>
      <c r="G474" t="str">
        <f ca="1">PROPER(Table1[[#This Row],[Part Time 
Job]])</f>
        <v>False</v>
      </c>
      <c r="H474" s="3">
        <v>6</v>
      </c>
      <c r="I474" t="str">
        <f ca="1">PROPER(Table1[[#This Row],[Extracurricular 
Activities]])</f>
        <v>False</v>
      </c>
      <c r="J474">
        <v>4</v>
      </c>
      <c r="K474" t="s">
        <v>3128</v>
      </c>
      <c r="L474">
        <v>63</v>
      </c>
      <c r="M474" s="12" t="str" cm="1">
        <f t="array" ref="M474">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474">
        <v>68</v>
      </c>
      <c r="O474" s="13" t="str" cm="1">
        <f t="array" ref="O47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474">
        <v>92</v>
      </c>
      <c r="Q474" s="13" t="str" cm="1">
        <f t="array" ref="Q47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474">
        <v>73</v>
      </c>
      <c r="S474" t="str" cm="1">
        <f t="array" ref="S47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474">
        <v>66</v>
      </c>
      <c r="U474" t="str" cm="1">
        <f t="array" ref="U47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474">
        <v>69</v>
      </c>
      <c r="W474" t="str" cm="1">
        <f t="array" ref="W47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474">
        <v>87</v>
      </c>
      <c r="Y474" t="str" cm="1">
        <f t="array" ref="Y47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474">
        <f>SUM(Table1[[#This Row],[Math 
Score]],Table1[[#This Row],[History 
Score]],Table1[[#This Row],[Physics 
Score]],Table1[[#This Row],[Chemistry 
Score]],Table1[[#This Row],[Biology 
Score]],Table1[[#This Row],[English 
Score]],Table1[[#This Row],[Geography 
Score]])</f>
        <v>518</v>
      </c>
      <c r="AA474" s="3">
        <f>AVERAGE(Table1[[#This Row],[Math 
Score]],Table1[[#This Row],[History 
Score]],Table1[[#This Row],[Physics 
Score]],Table1[[#This Row],[Chemistry 
Score]],Table1[[#This Row],[Biology 
Score]],Table1[[#This Row],[English 
Score]],Table1[[#This Row],[Geography 
Score]])</f>
        <v>74</v>
      </c>
      <c r="AB47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474">
        <f t="shared" si="7"/>
        <v>1775</v>
      </c>
      <c r="AD474" t="str">
        <f>_xlfn.IFS(Table1[[#This Row],[Absence 
Days]]&lt;3,"Excellent",Table1[[#This Row],[Absence 
Days]]&lt;=6,"Good",Table1[[#This Row],[Absence 
Days]]&gt;6,"Poor")</f>
        <v>Good</v>
      </c>
    </row>
    <row r="475" spans="1:30" x14ac:dyDescent="0.35">
      <c r="A475">
        <v>474</v>
      </c>
      <c r="B475" s="2" t="s">
        <v>239</v>
      </c>
      <c r="C475" t="s">
        <v>455</v>
      </c>
      <c r="D475" t="str">
        <f>_xlfn.TEXTJOIN(" ",TRUE,Table1[[#This Row],[First 
Name]:[Last 
Name]])</f>
        <v>Marco Clark</v>
      </c>
      <c r="E475" t="s">
        <v>1585</v>
      </c>
      <c r="F475" t="s">
        <v>3244</v>
      </c>
      <c r="G475" t="str">
        <f ca="1">PROPER(Table1[[#This Row],[Part Time 
Job]])</f>
        <v>False</v>
      </c>
      <c r="H475" s="3">
        <v>6</v>
      </c>
      <c r="I475" t="str">
        <f ca="1">PROPER(Table1[[#This Row],[Extracurricular 
Activities]])</f>
        <v>False</v>
      </c>
      <c r="J475">
        <v>22</v>
      </c>
      <c r="K475" t="s">
        <v>3113</v>
      </c>
      <c r="L475">
        <v>92</v>
      </c>
      <c r="M475" s="12" t="str" cm="1">
        <f t="array" ref="M47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475">
        <v>98</v>
      </c>
      <c r="O475" s="13" t="str" cm="1">
        <f t="array" ref="O47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475">
        <v>90</v>
      </c>
      <c r="Q475" s="13" t="str" cm="1">
        <f t="array" ref="Q47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475">
        <v>82</v>
      </c>
      <c r="S475" t="str" cm="1">
        <f t="array" ref="S47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475">
        <v>86</v>
      </c>
      <c r="U475" t="str" cm="1">
        <f t="array" ref="U47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475">
        <v>86</v>
      </c>
      <c r="W475" t="str" cm="1">
        <f t="array" ref="W47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475">
        <v>89</v>
      </c>
      <c r="Y475" t="str" cm="1">
        <f t="array" ref="Y47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475">
        <f>SUM(Table1[[#This Row],[Math 
Score]],Table1[[#This Row],[History 
Score]],Table1[[#This Row],[Physics 
Score]],Table1[[#This Row],[Chemistry 
Score]],Table1[[#This Row],[Biology 
Score]],Table1[[#This Row],[English 
Score]],Table1[[#This Row],[Geography 
Score]])</f>
        <v>623</v>
      </c>
      <c r="AA475" s="3">
        <f>AVERAGE(Table1[[#This Row],[Math 
Score]],Table1[[#This Row],[History 
Score]],Table1[[#This Row],[Physics 
Score]],Table1[[#This Row],[Chemistry 
Score]],Table1[[#This Row],[Biology 
Score]],Table1[[#This Row],[English 
Score]],Table1[[#This Row],[Geography 
Score]])</f>
        <v>89</v>
      </c>
      <c r="AB47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475">
        <f t="shared" si="7"/>
        <v>201</v>
      </c>
      <c r="AD475" t="str">
        <f>_xlfn.IFS(Table1[[#This Row],[Absence 
Days]]&lt;3,"Excellent",Table1[[#This Row],[Absence 
Days]]&lt;=6,"Good",Table1[[#This Row],[Absence 
Days]]&gt;6,"Poor")</f>
        <v>Good</v>
      </c>
    </row>
    <row r="476" spans="1:30" x14ac:dyDescent="0.35">
      <c r="A476">
        <v>475</v>
      </c>
      <c r="B476" s="2" t="s">
        <v>108</v>
      </c>
      <c r="C476" t="s">
        <v>458</v>
      </c>
      <c r="D476" t="str">
        <f>_xlfn.TEXTJOIN(" ",TRUE,Table1[[#This Row],[First 
Name]:[Last 
Name]])</f>
        <v>Victor Smith</v>
      </c>
      <c r="E476" t="s">
        <v>1586</v>
      </c>
      <c r="F476" t="s">
        <v>3244</v>
      </c>
      <c r="G476" t="str">
        <f ca="1">PROPER(Table1[[#This Row],[Part Time 
Job]])</f>
        <v>True</v>
      </c>
      <c r="H476" s="3">
        <v>6</v>
      </c>
      <c r="I476" t="str">
        <f ca="1">PROPER(Table1[[#This Row],[Extracurricular 
Activities]])</f>
        <v>True</v>
      </c>
      <c r="J476">
        <v>4</v>
      </c>
      <c r="K476" t="s">
        <v>3119</v>
      </c>
      <c r="L476">
        <v>78</v>
      </c>
      <c r="M476" s="12" t="str" cm="1">
        <f t="array" ref="M47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476">
        <v>78</v>
      </c>
      <c r="O476" s="13" t="str" cm="1">
        <f t="array" ref="O47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476">
        <v>64</v>
      </c>
      <c r="Q476" s="13" t="str" cm="1">
        <f t="array" ref="Q47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476">
        <v>94</v>
      </c>
      <c r="S476" t="str" cm="1">
        <f t="array" ref="S47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476">
        <v>79</v>
      </c>
      <c r="U476" t="str" cm="1">
        <f t="array" ref="U47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476">
        <v>92</v>
      </c>
      <c r="W476" t="str" cm="1">
        <f t="array" ref="W47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476">
        <v>63</v>
      </c>
      <c r="Y476" t="str" cm="1">
        <f t="array" ref="Y47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476">
        <f>SUM(Table1[[#This Row],[Math 
Score]],Table1[[#This Row],[History 
Score]],Table1[[#This Row],[Physics 
Score]],Table1[[#This Row],[Chemistry 
Score]],Table1[[#This Row],[Biology 
Score]],Table1[[#This Row],[English 
Score]],Table1[[#This Row],[Geography 
Score]])</f>
        <v>548</v>
      </c>
      <c r="AA476" s="3">
        <f>AVERAGE(Table1[[#This Row],[Math 
Score]],Table1[[#This Row],[History 
Score]],Table1[[#This Row],[Physics 
Score]],Table1[[#This Row],[Chemistry 
Score]],Table1[[#This Row],[Biology 
Score]],Table1[[#This Row],[English 
Score]],Table1[[#This Row],[Geography 
Score]])</f>
        <v>78.285714285714292</v>
      </c>
      <c r="AB47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476">
        <f t="shared" si="7"/>
        <v>1374</v>
      </c>
      <c r="AD476" t="str">
        <f>_xlfn.IFS(Table1[[#This Row],[Absence 
Days]]&lt;3,"Excellent",Table1[[#This Row],[Absence 
Days]]&lt;=6,"Good",Table1[[#This Row],[Absence 
Days]]&gt;6,"Poor")</f>
        <v>Good</v>
      </c>
    </row>
    <row r="477" spans="1:30" x14ac:dyDescent="0.35">
      <c r="A477">
        <v>476</v>
      </c>
      <c r="B477" s="2" t="s">
        <v>139</v>
      </c>
      <c r="C477" t="s">
        <v>735</v>
      </c>
      <c r="D477" t="str">
        <f>_xlfn.TEXTJOIN(" ",TRUE,Table1[[#This Row],[First 
Name]:[Last 
Name]])</f>
        <v>Christina Patterson</v>
      </c>
      <c r="E477" t="s">
        <v>1587</v>
      </c>
      <c r="F477" t="s">
        <v>3245</v>
      </c>
      <c r="G477" t="str">
        <f ca="1">PROPER(Table1[[#This Row],[Part Time 
Job]])</f>
        <v>False</v>
      </c>
      <c r="H477" s="3">
        <v>3</v>
      </c>
      <c r="I477" t="str">
        <f ca="1">PROPER(Table1[[#This Row],[Extracurricular 
Activities]])</f>
        <v>False</v>
      </c>
      <c r="J477">
        <v>29</v>
      </c>
      <c r="K477" t="s">
        <v>3112</v>
      </c>
      <c r="L477">
        <v>78</v>
      </c>
      <c r="M477" s="12" t="str" cm="1">
        <f t="array" ref="M47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477">
        <v>90</v>
      </c>
      <c r="O477" s="13" t="str" cm="1">
        <f t="array" ref="O47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477">
        <v>69</v>
      </c>
      <c r="Q477" s="13" t="str" cm="1">
        <f t="array" ref="Q47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477">
        <v>100</v>
      </c>
      <c r="S477" t="str" cm="1">
        <f t="array" ref="S47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477">
        <v>90</v>
      </c>
      <c r="U477" t="str" cm="1">
        <f t="array" ref="U47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477">
        <v>91</v>
      </c>
      <c r="W477" t="str" cm="1">
        <f t="array" ref="W47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477">
        <v>90</v>
      </c>
      <c r="Y477" t="str" cm="1">
        <f t="array" ref="Y47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477">
        <f>SUM(Table1[[#This Row],[Math 
Score]],Table1[[#This Row],[History 
Score]],Table1[[#This Row],[Physics 
Score]],Table1[[#This Row],[Chemistry 
Score]],Table1[[#This Row],[Biology 
Score]],Table1[[#This Row],[English 
Score]],Table1[[#This Row],[Geography 
Score]])</f>
        <v>608</v>
      </c>
      <c r="AA477" s="3">
        <f>AVERAGE(Table1[[#This Row],[Math 
Score]],Table1[[#This Row],[History 
Score]],Table1[[#This Row],[Physics 
Score]],Table1[[#This Row],[Chemistry 
Score]],Table1[[#This Row],[Biology 
Score]],Table1[[#This Row],[English 
Score]],Table1[[#This Row],[Geography 
Score]])</f>
        <v>86.857142857142861</v>
      </c>
      <c r="AB47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477">
        <f t="shared" si="7"/>
        <v>318</v>
      </c>
      <c r="AD477" t="str">
        <f>_xlfn.IFS(Table1[[#This Row],[Absence 
Days]]&lt;3,"Excellent",Table1[[#This Row],[Absence 
Days]]&lt;=6,"Good",Table1[[#This Row],[Absence 
Days]]&gt;6,"Poor")</f>
        <v>Good</v>
      </c>
    </row>
    <row r="478" spans="1:30" x14ac:dyDescent="0.35">
      <c r="A478">
        <v>477</v>
      </c>
      <c r="B478" s="2" t="s">
        <v>240</v>
      </c>
      <c r="C478" t="s">
        <v>736</v>
      </c>
      <c r="D478" t="str">
        <f>_xlfn.TEXTJOIN(" ",TRUE,Table1[[#This Row],[First 
Name]:[Last 
Name]])</f>
        <v>Jerry Knight</v>
      </c>
      <c r="E478" t="s">
        <v>1588</v>
      </c>
      <c r="F478" t="s">
        <v>3244</v>
      </c>
      <c r="G478" t="str">
        <f ca="1">PROPER(Table1[[#This Row],[Part Time 
Job]])</f>
        <v>False</v>
      </c>
      <c r="H478" s="3">
        <v>8</v>
      </c>
      <c r="I478" t="str">
        <f ca="1">PROPER(Table1[[#This Row],[Extracurricular 
Activities]])</f>
        <v>True</v>
      </c>
      <c r="J478">
        <v>21</v>
      </c>
      <c r="K478" t="s">
        <v>3127</v>
      </c>
      <c r="L478">
        <v>89</v>
      </c>
      <c r="M478" s="12" t="str" cm="1">
        <f t="array" ref="M47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478">
        <v>60</v>
      </c>
      <c r="O478" s="13" t="str" cm="1">
        <f t="array" ref="O47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478">
        <v>93</v>
      </c>
      <c r="Q478" s="13" t="str" cm="1">
        <f t="array" ref="Q47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478">
        <v>79</v>
      </c>
      <c r="S478" t="str" cm="1">
        <f t="array" ref="S47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478">
        <v>72</v>
      </c>
      <c r="U478" t="str" cm="1">
        <f t="array" ref="U47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478">
        <v>76</v>
      </c>
      <c r="W478" t="str" cm="1">
        <f t="array" ref="W47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478">
        <v>85</v>
      </c>
      <c r="Y478" t="str" cm="1">
        <f t="array" ref="Y47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478">
        <f>SUM(Table1[[#This Row],[Math 
Score]],Table1[[#This Row],[History 
Score]],Table1[[#This Row],[Physics 
Score]],Table1[[#This Row],[Chemistry 
Score]],Table1[[#This Row],[Biology 
Score]],Table1[[#This Row],[English 
Score]],Table1[[#This Row],[Geography 
Score]])</f>
        <v>554</v>
      </c>
      <c r="AA478" s="3">
        <f>AVERAGE(Table1[[#This Row],[Math 
Score]],Table1[[#This Row],[History 
Score]],Table1[[#This Row],[Physics 
Score]],Table1[[#This Row],[Chemistry 
Score]],Table1[[#This Row],[Biology 
Score]],Table1[[#This Row],[English 
Score]],Table1[[#This Row],[Geography 
Score]])</f>
        <v>79.142857142857139</v>
      </c>
      <c r="AB47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478">
        <f t="shared" si="7"/>
        <v>1264</v>
      </c>
      <c r="AD478" t="str">
        <f>_xlfn.IFS(Table1[[#This Row],[Absence 
Days]]&lt;3,"Excellent",Table1[[#This Row],[Absence 
Days]]&lt;=6,"Good",Table1[[#This Row],[Absence 
Days]]&gt;6,"Poor")</f>
        <v>Poor</v>
      </c>
    </row>
    <row r="479" spans="1:30" x14ac:dyDescent="0.35">
      <c r="A479">
        <v>478</v>
      </c>
      <c r="B479" s="2" t="s">
        <v>241</v>
      </c>
      <c r="C479" t="s">
        <v>716</v>
      </c>
      <c r="D479" t="str">
        <f>_xlfn.TEXTJOIN(" ",TRUE,Table1[[#This Row],[First 
Name]:[Last 
Name]])</f>
        <v>Madison Jacobs</v>
      </c>
      <c r="E479" t="s">
        <v>1589</v>
      </c>
      <c r="F479" t="s">
        <v>3245</v>
      </c>
      <c r="G479" t="str">
        <f ca="1">PROPER(Table1[[#This Row],[Part Time 
Job]])</f>
        <v>False</v>
      </c>
      <c r="H479" s="3">
        <v>3</v>
      </c>
      <c r="I479" t="str">
        <f ca="1">PROPER(Table1[[#This Row],[Extracurricular 
Activities]])</f>
        <v>False</v>
      </c>
      <c r="J479">
        <v>5</v>
      </c>
      <c r="K479" t="s">
        <v>3128</v>
      </c>
      <c r="L479">
        <v>53</v>
      </c>
      <c r="M479" s="12" t="str" cm="1">
        <f t="array" ref="M479">_xlfn.IFS(Table1[[#This Row],[Math 
Score]]&gt;=90,"A+",Table1[[#This Row],[Math 
Score]]&gt;=80,"A", Table1[[#This Row],[Math 
Score]]&gt;=75,"A-",Table1[[#This Row],[Math 
Score]]&gt;=70,"B+",Table1[[#This Row],[Math 
Score]]&gt;=65,"B",Table1[[#This Row],[Math 
Score]]&gt;=60,"B-",Table1[[#This Row],[Math 
Score]]&gt;=50,"C",Table1[[#This Row],[Math 
Score]]&gt;=40,"D",Table1[[#This Row],[Math 
Score]]&lt;40,"F")</f>
        <v>C</v>
      </c>
      <c r="N479">
        <v>87</v>
      </c>
      <c r="O479" s="13" t="str" cm="1">
        <f t="array" ref="O47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479">
        <v>100</v>
      </c>
      <c r="Q479" s="13" t="str" cm="1">
        <f t="array" ref="Q47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479">
        <v>84</v>
      </c>
      <c r="S479" t="str" cm="1">
        <f t="array" ref="S47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479">
        <v>63</v>
      </c>
      <c r="U479" t="str" cm="1">
        <f t="array" ref="U47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479">
        <v>62</v>
      </c>
      <c r="W479" t="str" cm="1">
        <f t="array" ref="W47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479">
        <v>95</v>
      </c>
      <c r="Y479" t="str" cm="1">
        <f t="array" ref="Y47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479">
        <f>SUM(Table1[[#This Row],[Math 
Score]],Table1[[#This Row],[History 
Score]],Table1[[#This Row],[Physics 
Score]],Table1[[#This Row],[Chemistry 
Score]],Table1[[#This Row],[Biology 
Score]],Table1[[#This Row],[English 
Score]],Table1[[#This Row],[Geography 
Score]])</f>
        <v>544</v>
      </c>
      <c r="AA479" s="3">
        <f>AVERAGE(Table1[[#This Row],[Math 
Score]],Table1[[#This Row],[History 
Score]],Table1[[#This Row],[Physics 
Score]],Table1[[#This Row],[Chemistry 
Score]],Table1[[#This Row],[Biology 
Score]],Table1[[#This Row],[English 
Score]],Table1[[#This Row],[Geography 
Score]])</f>
        <v>77.714285714285708</v>
      </c>
      <c r="AB47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479">
        <f t="shared" si="7"/>
        <v>1446</v>
      </c>
      <c r="AD479" t="str">
        <f>_xlfn.IFS(Table1[[#This Row],[Absence 
Days]]&lt;3,"Excellent",Table1[[#This Row],[Absence 
Days]]&lt;=6,"Good",Table1[[#This Row],[Absence 
Days]]&gt;6,"Poor")</f>
        <v>Good</v>
      </c>
    </row>
    <row r="480" spans="1:30" x14ac:dyDescent="0.35">
      <c r="A480">
        <v>479</v>
      </c>
      <c r="B480" s="2" t="s">
        <v>154</v>
      </c>
      <c r="C480" t="s">
        <v>596</v>
      </c>
      <c r="D480" t="str">
        <f>_xlfn.TEXTJOIN(" ",TRUE,Table1[[#This Row],[First 
Name]:[Last 
Name]])</f>
        <v>Douglas Watson</v>
      </c>
      <c r="E480" t="s">
        <v>1590</v>
      </c>
      <c r="F480" t="s">
        <v>3244</v>
      </c>
      <c r="G480" t="str">
        <f ca="1">PROPER(Table1[[#This Row],[Part Time 
Job]])</f>
        <v>False</v>
      </c>
      <c r="H480" s="3">
        <v>5</v>
      </c>
      <c r="I480" t="str">
        <f ca="1">PROPER(Table1[[#This Row],[Extracurricular 
Activities]])</f>
        <v>False</v>
      </c>
      <c r="J480">
        <v>15</v>
      </c>
      <c r="K480" t="s">
        <v>3116</v>
      </c>
      <c r="L480">
        <v>63</v>
      </c>
      <c r="M480" s="12" t="str" cm="1">
        <f t="array" ref="M480">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480">
        <v>84</v>
      </c>
      <c r="O480" s="13" t="str" cm="1">
        <f t="array" ref="O48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480">
        <v>60</v>
      </c>
      <c r="Q480" s="13" t="str" cm="1">
        <f t="array" ref="Q48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480">
        <v>85</v>
      </c>
      <c r="S480" t="str" cm="1">
        <f t="array" ref="S48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480">
        <v>91</v>
      </c>
      <c r="U480" t="str" cm="1">
        <f t="array" ref="U48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480">
        <v>83</v>
      </c>
      <c r="W480" t="str" cm="1">
        <f t="array" ref="W48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480">
        <v>84</v>
      </c>
      <c r="Y480" t="str" cm="1">
        <f t="array" ref="Y48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480">
        <f>SUM(Table1[[#This Row],[Math 
Score]],Table1[[#This Row],[History 
Score]],Table1[[#This Row],[Physics 
Score]],Table1[[#This Row],[Chemistry 
Score]],Table1[[#This Row],[Biology 
Score]],Table1[[#This Row],[English 
Score]],Table1[[#This Row],[Geography 
Score]])</f>
        <v>550</v>
      </c>
      <c r="AA480" s="3">
        <f>AVERAGE(Table1[[#This Row],[Math 
Score]],Table1[[#This Row],[History 
Score]],Table1[[#This Row],[Physics 
Score]],Table1[[#This Row],[Chemistry 
Score]],Table1[[#This Row],[Biology 
Score]],Table1[[#This Row],[English 
Score]],Table1[[#This Row],[Geography 
Score]])</f>
        <v>78.571428571428569</v>
      </c>
      <c r="AB48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480">
        <f t="shared" si="7"/>
        <v>1338</v>
      </c>
      <c r="AD480" t="str">
        <f>_xlfn.IFS(Table1[[#This Row],[Absence 
Days]]&lt;3,"Excellent",Table1[[#This Row],[Absence 
Days]]&lt;=6,"Good",Table1[[#This Row],[Absence 
Days]]&gt;6,"Poor")</f>
        <v>Good</v>
      </c>
    </row>
    <row r="481" spans="1:30" x14ac:dyDescent="0.35">
      <c r="A481">
        <v>480</v>
      </c>
      <c r="B481" s="2" t="s">
        <v>242</v>
      </c>
      <c r="C481" t="s">
        <v>671</v>
      </c>
      <c r="D481" t="str">
        <f>_xlfn.TEXTJOIN(" ",TRUE,Table1[[#This Row],[First 
Name]:[Last 
Name]])</f>
        <v>Manuel Barrett</v>
      </c>
      <c r="E481" t="s">
        <v>1591</v>
      </c>
      <c r="F481" t="s">
        <v>3244</v>
      </c>
      <c r="G481" t="str">
        <f ca="1">PROPER(Table1[[#This Row],[Part Time 
Job]])</f>
        <v>False</v>
      </c>
      <c r="H481" s="3">
        <v>3</v>
      </c>
      <c r="I481" t="str">
        <f ca="1">PROPER(Table1[[#This Row],[Extracurricular 
Activities]])</f>
        <v>True</v>
      </c>
      <c r="J481">
        <v>10</v>
      </c>
      <c r="K481" t="s">
        <v>3116</v>
      </c>
      <c r="L481">
        <v>100</v>
      </c>
      <c r="M481" s="12" t="str" cm="1">
        <f t="array" ref="M48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481">
        <v>98</v>
      </c>
      <c r="O481" s="13" t="str" cm="1">
        <f t="array" ref="O48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481">
        <v>71</v>
      </c>
      <c r="Q481" s="13" t="str" cm="1">
        <f t="array" ref="Q48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481">
        <v>100</v>
      </c>
      <c r="S481" t="str" cm="1">
        <f t="array" ref="S48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481">
        <v>71</v>
      </c>
      <c r="U481" t="str" cm="1">
        <f t="array" ref="U48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481">
        <v>92</v>
      </c>
      <c r="W481" t="str" cm="1">
        <f t="array" ref="W48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481">
        <v>63</v>
      </c>
      <c r="Y481" t="str" cm="1">
        <f t="array" ref="Y48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481">
        <f>SUM(Table1[[#This Row],[Math 
Score]],Table1[[#This Row],[History 
Score]],Table1[[#This Row],[Physics 
Score]],Table1[[#This Row],[Chemistry 
Score]],Table1[[#This Row],[Biology 
Score]],Table1[[#This Row],[English 
Score]],Table1[[#This Row],[Geography 
Score]])</f>
        <v>595</v>
      </c>
      <c r="AA481" s="3">
        <f>AVERAGE(Table1[[#This Row],[Math 
Score]],Table1[[#This Row],[History 
Score]],Table1[[#This Row],[Physics 
Score]],Table1[[#This Row],[Chemistry 
Score]],Table1[[#This Row],[Biology 
Score]],Table1[[#This Row],[English 
Score]],Table1[[#This Row],[Geography 
Score]])</f>
        <v>85</v>
      </c>
      <c r="AB48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481">
        <f t="shared" si="7"/>
        <v>465</v>
      </c>
      <c r="AD481" t="str">
        <f>_xlfn.IFS(Table1[[#This Row],[Absence 
Days]]&lt;3,"Excellent",Table1[[#This Row],[Absence 
Days]]&lt;=6,"Good",Table1[[#This Row],[Absence 
Days]]&gt;6,"Poor")</f>
        <v>Good</v>
      </c>
    </row>
    <row r="482" spans="1:30" x14ac:dyDescent="0.35">
      <c r="A482">
        <v>481</v>
      </c>
      <c r="B482" s="2" t="s">
        <v>243</v>
      </c>
      <c r="C482" t="s">
        <v>353</v>
      </c>
      <c r="D482" t="str">
        <f>_xlfn.TEXTJOIN(" ",TRUE,Table1[[#This Row],[First 
Name]:[Last 
Name]])</f>
        <v>Janet Martin</v>
      </c>
      <c r="E482" t="s">
        <v>1592</v>
      </c>
      <c r="F482" t="s">
        <v>3245</v>
      </c>
      <c r="G482" t="str">
        <f ca="1">PROPER(Table1[[#This Row],[Part Time 
Job]])</f>
        <v>True</v>
      </c>
      <c r="H482" s="3">
        <v>7</v>
      </c>
      <c r="I482" t="str">
        <f ca="1">PROPER(Table1[[#This Row],[Extracurricular 
Activities]])</f>
        <v>False</v>
      </c>
      <c r="J482">
        <v>2</v>
      </c>
      <c r="K482" t="s">
        <v>3119</v>
      </c>
      <c r="L482">
        <v>79</v>
      </c>
      <c r="M482" s="12" t="str" cm="1">
        <f t="array" ref="M48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482">
        <v>54</v>
      </c>
      <c r="O482" s="13" t="str" cm="1">
        <f t="array" ref="O48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C</v>
      </c>
      <c r="P482">
        <v>81</v>
      </c>
      <c r="Q482" s="13" t="str" cm="1">
        <f t="array" ref="Q48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482">
        <v>87</v>
      </c>
      <c r="S482" t="str" cm="1">
        <f t="array" ref="S48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482">
        <v>67</v>
      </c>
      <c r="U482" t="str" cm="1">
        <f t="array" ref="U48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482">
        <v>74</v>
      </c>
      <c r="W482" t="str" cm="1">
        <f t="array" ref="W48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482">
        <v>85</v>
      </c>
      <c r="Y482" t="str" cm="1">
        <f t="array" ref="Y48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482">
        <f>SUM(Table1[[#This Row],[Math 
Score]],Table1[[#This Row],[History 
Score]],Table1[[#This Row],[Physics 
Score]],Table1[[#This Row],[Chemistry 
Score]],Table1[[#This Row],[Biology 
Score]],Table1[[#This Row],[English 
Score]],Table1[[#This Row],[Geography 
Score]])</f>
        <v>527</v>
      </c>
      <c r="AA482" s="3">
        <f>AVERAGE(Table1[[#This Row],[Math 
Score]],Table1[[#This Row],[History 
Score]],Table1[[#This Row],[Physics 
Score]],Table1[[#This Row],[Chemistry 
Score]],Table1[[#This Row],[Biology 
Score]],Table1[[#This Row],[English 
Score]],Table1[[#This Row],[Geography 
Score]])</f>
        <v>75.285714285714292</v>
      </c>
      <c r="AB48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482">
        <f t="shared" si="7"/>
        <v>1683</v>
      </c>
      <c r="AD482" t="str">
        <f>_xlfn.IFS(Table1[[#This Row],[Absence 
Days]]&lt;3,"Excellent",Table1[[#This Row],[Absence 
Days]]&lt;=6,"Good",Table1[[#This Row],[Absence 
Days]]&gt;6,"Poor")</f>
        <v>Poor</v>
      </c>
    </row>
    <row r="483" spans="1:30" x14ac:dyDescent="0.35">
      <c r="A483">
        <v>482</v>
      </c>
      <c r="B483" s="2" t="s">
        <v>215</v>
      </c>
      <c r="C483" t="s">
        <v>645</v>
      </c>
      <c r="D483" t="str">
        <f>_xlfn.TEXTJOIN(" ",TRUE,Table1[[#This Row],[First 
Name]:[Last 
Name]])</f>
        <v>Teresa Flores</v>
      </c>
      <c r="E483" t="s">
        <v>1593</v>
      </c>
      <c r="F483" t="s">
        <v>3245</v>
      </c>
      <c r="G483" t="str">
        <f ca="1">PROPER(Table1[[#This Row],[Part Time 
Job]])</f>
        <v>False</v>
      </c>
      <c r="H483" s="3">
        <v>4</v>
      </c>
      <c r="I483" t="str">
        <f ca="1">PROPER(Table1[[#This Row],[Extracurricular 
Activities]])</f>
        <v>True</v>
      </c>
      <c r="J483">
        <v>0</v>
      </c>
      <c r="K483" t="s">
        <v>3128</v>
      </c>
      <c r="L483">
        <v>93</v>
      </c>
      <c r="M483" s="12" t="str" cm="1">
        <f t="array" ref="M48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483">
        <v>77</v>
      </c>
      <c r="O483" s="13" t="str" cm="1">
        <f t="array" ref="O48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483">
        <v>71</v>
      </c>
      <c r="Q483" s="13" t="str" cm="1">
        <f t="array" ref="Q48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483">
        <v>62</v>
      </c>
      <c r="S483" t="str" cm="1">
        <f t="array" ref="S48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483">
        <v>94</v>
      </c>
      <c r="U483" t="str" cm="1">
        <f t="array" ref="U48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483">
        <v>69</v>
      </c>
      <c r="W483" t="str" cm="1">
        <f t="array" ref="W48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483">
        <v>72</v>
      </c>
      <c r="Y483" t="str" cm="1">
        <f t="array" ref="Y48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483">
        <f>SUM(Table1[[#This Row],[Math 
Score]],Table1[[#This Row],[History 
Score]],Table1[[#This Row],[Physics 
Score]],Table1[[#This Row],[Chemistry 
Score]],Table1[[#This Row],[Biology 
Score]],Table1[[#This Row],[English 
Score]],Table1[[#This Row],[Geography 
Score]])</f>
        <v>538</v>
      </c>
      <c r="AA483" s="3">
        <f>AVERAGE(Table1[[#This Row],[Math 
Score]],Table1[[#This Row],[History 
Score]],Table1[[#This Row],[Physics 
Score]],Table1[[#This Row],[Chemistry 
Score]],Table1[[#This Row],[Biology 
Score]],Table1[[#This Row],[English 
Score]],Table1[[#This Row],[Geography 
Score]])</f>
        <v>76.857142857142861</v>
      </c>
      <c r="AB48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483">
        <f t="shared" si="7"/>
        <v>1537</v>
      </c>
      <c r="AD483" t="str">
        <f>_xlfn.IFS(Table1[[#This Row],[Absence 
Days]]&lt;3,"Excellent",Table1[[#This Row],[Absence 
Days]]&lt;=6,"Good",Table1[[#This Row],[Absence 
Days]]&gt;6,"Poor")</f>
        <v>Good</v>
      </c>
    </row>
    <row r="484" spans="1:30" x14ac:dyDescent="0.35">
      <c r="A484">
        <v>483</v>
      </c>
      <c r="B484" s="2" t="s">
        <v>4</v>
      </c>
      <c r="C484" t="s">
        <v>732</v>
      </c>
      <c r="D484" t="str">
        <f>_xlfn.TEXTJOIN(" ",TRUE,Table1[[#This Row],[First 
Name]:[Last 
Name]])</f>
        <v>Anthony Mullins</v>
      </c>
      <c r="E484" t="s">
        <v>1594</v>
      </c>
      <c r="F484" t="s">
        <v>3244</v>
      </c>
      <c r="G484" t="str">
        <f ca="1">PROPER(Table1[[#This Row],[Part Time 
Job]])</f>
        <v>False</v>
      </c>
      <c r="H484" s="3">
        <v>5</v>
      </c>
      <c r="I484" t="str">
        <f ca="1">PROPER(Table1[[#This Row],[Extracurricular 
Activities]])</f>
        <v>True</v>
      </c>
      <c r="J484">
        <v>3</v>
      </c>
      <c r="K484" t="s">
        <v>3115</v>
      </c>
      <c r="L484">
        <v>97</v>
      </c>
      <c r="M484" s="12" t="str" cm="1">
        <f t="array" ref="M48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484">
        <v>88</v>
      </c>
      <c r="O484" s="13" t="str" cm="1">
        <f t="array" ref="O48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484">
        <v>67</v>
      </c>
      <c r="Q484" s="13" t="str" cm="1">
        <f t="array" ref="Q48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484">
        <v>72</v>
      </c>
      <c r="S484" t="str" cm="1">
        <f t="array" ref="S48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484">
        <v>83</v>
      </c>
      <c r="U484" t="str" cm="1">
        <f t="array" ref="U48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484">
        <v>87</v>
      </c>
      <c r="W484" t="str" cm="1">
        <f t="array" ref="W48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484">
        <v>62</v>
      </c>
      <c r="Y484" t="str" cm="1">
        <f t="array" ref="Y48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484">
        <f>SUM(Table1[[#This Row],[Math 
Score]],Table1[[#This Row],[History 
Score]],Table1[[#This Row],[Physics 
Score]],Table1[[#This Row],[Chemistry 
Score]],Table1[[#This Row],[Biology 
Score]],Table1[[#This Row],[English 
Score]],Table1[[#This Row],[Geography 
Score]])</f>
        <v>556</v>
      </c>
      <c r="AA484" s="3">
        <f>AVERAGE(Table1[[#This Row],[Math 
Score]],Table1[[#This Row],[History 
Score]],Table1[[#This Row],[Physics 
Score]],Table1[[#This Row],[Chemistry 
Score]],Table1[[#This Row],[Biology 
Score]],Table1[[#This Row],[English 
Score]],Table1[[#This Row],[Geography 
Score]])</f>
        <v>79.428571428571431</v>
      </c>
      <c r="AB48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484">
        <f t="shared" si="7"/>
        <v>1224</v>
      </c>
      <c r="AD484" t="str">
        <f>_xlfn.IFS(Table1[[#This Row],[Absence 
Days]]&lt;3,"Excellent",Table1[[#This Row],[Absence 
Days]]&lt;=6,"Good",Table1[[#This Row],[Absence 
Days]]&gt;6,"Poor")</f>
        <v>Good</v>
      </c>
    </row>
    <row r="485" spans="1:30" x14ac:dyDescent="0.35">
      <c r="A485">
        <v>484</v>
      </c>
      <c r="B485" s="2" t="s">
        <v>112</v>
      </c>
      <c r="C485" t="s">
        <v>737</v>
      </c>
      <c r="D485" t="str">
        <f>_xlfn.TEXTJOIN(" ",TRUE,Table1[[#This Row],[First 
Name]:[Last 
Name]])</f>
        <v>Julie Zamora</v>
      </c>
      <c r="E485" t="s">
        <v>1595</v>
      </c>
      <c r="F485" t="s">
        <v>3245</v>
      </c>
      <c r="G485" t="str">
        <f ca="1">PROPER(Table1[[#This Row],[Part Time 
Job]])</f>
        <v>False</v>
      </c>
      <c r="H485" s="3">
        <v>6</v>
      </c>
      <c r="I485" t="str">
        <f ca="1">PROPER(Table1[[#This Row],[Extracurricular 
Activities]])</f>
        <v>True</v>
      </c>
      <c r="J485">
        <v>1</v>
      </c>
      <c r="K485" t="s">
        <v>3116</v>
      </c>
      <c r="L485">
        <v>76</v>
      </c>
      <c r="M485" s="12" t="str" cm="1">
        <f t="array" ref="M48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485">
        <v>82</v>
      </c>
      <c r="O485" s="13" t="str" cm="1">
        <f t="array" ref="O48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485">
        <v>93</v>
      </c>
      <c r="Q485" s="13" t="str" cm="1">
        <f t="array" ref="Q48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485">
        <v>98</v>
      </c>
      <c r="S485" t="str" cm="1">
        <f t="array" ref="S48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485">
        <v>98</v>
      </c>
      <c r="U485" t="str" cm="1">
        <f t="array" ref="U48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485">
        <v>60</v>
      </c>
      <c r="W485" t="str" cm="1">
        <f t="array" ref="W48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485">
        <v>65</v>
      </c>
      <c r="Y485" t="str" cm="1">
        <f t="array" ref="Y48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485">
        <f>SUM(Table1[[#This Row],[Math 
Score]],Table1[[#This Row],[History 
Score]],Table1[[#This Row],[Physics 
Score]],Table1[[#This Row],[Chemistry 
Score]],Table1[[#This Row],[Biology 
Score]],Table1[[#This Row],[English 
Score]],Table1[[#This Row],[Geography 
Score]])</f>
        <v>572</v>
      </c>
      <c r="AA485" s="3">
        <f>AVERAGE(Table1[[#This Row],[Math 
Score]],Table1[[#This Row],[History 
Score]],Table1[[#This Row],[Physics 
Score]],Table1[[#This Row],[Chemistry 
Score]],Table1[[#This Row],[Biology 
Score]],Table1[[#This Row],[English 
Score]],Table1[[#This Row],[Geography 
Score]])</f>
        <v>81.714285714285708</v>
      </c>
      <c r="AB48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485">
        <f t="shared" si="7"/>
        <v>890</v>
      </c>
      <c r="AD485" t="str">
        <f>_xlfn.IFS(Table1[[#This Row],[Absence 
Days]]&lt;3,"Excellent",Table1[[#This Row],[Absence 
Days]]&lt;=6,"Good",Table1[[#This Row],[Absence 
Days]]&gt;6,"Poor")</f>
        <v>Good</v>
      </c>
    </row>
    <row r="486" spans="1:30" x14ac:dyDescent="0.35">
      <c r="A486">
        <v>485</v>
      </c>
      <c r="B486" s="2" t="s">
        <v>244</v>
      </c>
      <c r="C486" t="s">
        <v>711</v>
      </c>
      <c r="D486" t="str">
        <f>_xlfn.TEXTJOIN(" ",TRUE,Table1[[#This Row],[First 
Name]:[Last 
Name]])</f>
        <v>Maria Nguyen</v>
      </c>
      <c r="E486" t="s">
        <v>1596</v>
      </c>
      <c r="F486" t="s">
        <v>3245</v>
      </c>
      <c r="G486" t="str">
        <f ca="1">PROPER(Table1[[#This Row],[Part Time 
Job]])</f>
        <v>False</v>
      </c>
      <c r="H486" s="3">
        <v>3</v>
      </c>
      <c r="I486" t="str">
        <f ca="1">PROPER(Table1[[#This Row],[Extracurricular 
Activities]])</f>
        <v>True</v>
      </c>
      <c r="J486">
        <v>26</v>
      </c>
      <c r="K486" t="s">
        <v>3123</v>
      </c>
      <c r="L486">
        <v>84</v>
      </c>
      <c r="M486" s="12" t="str" cm="1">
        <f t="array" ref="M48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486">
        <v>83</v>
      </c>
      <c r="O486" s="13" t="str" cm="1">
        <f t="array" ref="O48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486">
        <v>80</v>
      </c>
      <c r="Q486" s="13" t="str" cm="1">
        <f t="array" ref="Q48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486">
        <v>91</v>
      </c>
      <c r="S486" t="str" cm="1">
        <f t="array" ref="S48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486">
        <v>88</v>
      </c>
      <c r="U486" t="str" cm="1">
        <f t="array" ref="U48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486">
        <v>61</v>
      </c>
      <c r="W486" t="str" cm="1">
        <f t="array" ref="W48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486">
        <v>61</v>
      </c>
      <c r="Y486" t="str" cm="1">
        <f t="array" ref="Y48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486">
        <f>SUM(Table1[[#This Row],[Math 
Score]],Table1[[#This Row],[History 
Score]],Table1[[#This Row],[Physics 
Score]],Table1[[#This Row],[Chemistry 
Score]],Table1[[#This Row],[Biology 
Score]],Table1[[#This Row],[English 
Score]],Table1[[#This Row],[Geography 
Score]])</f>
        <v>548</v>
      </c>
      <c r="AA486" s="3">
        <f>AVERAGE(Table1[[#This Row],[Math 
Score]],Table1[[#This Row],[History 
Score]],Table1[[#This Row],[Physics 
Score]],Table1[[#This Row],[Chemistry 
Score]],Table1[[#This Row],[Biology 
Score]],Table1[[#This Row],[English 
Score]],Table1[[#This Row],[Geography 
Score]])</f>
        <v>78.285714285714292</v>
      </c>
      <c r="AB48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486">
        <f t="shared" si="7"/>
        <v>1374</v>
      </c>
      <c r="AD486" t="str">
        <f>_xlfn.IFS(Table1[[#This Row],[Absence 
Days]]&lt;3,"Excellent",Table1[[#This Row],[Absence 
Days]]&lt;=6,"Good",Table1[[#This Row],[Absence 
Days]]&gt;6,"Poor")</f>
        <v>Good</v>
      </c>
    </row>
    <row r="487" spans="1:30" x14ac:dyDescent="0.35">
      <c r="A487">
        <v>486</v>
      </c>
      <c r="B487" s="2" t="s">
        <v>245</v>
      </c>
      <c r="C487" t="s">
        <v>699</v>
      </c>
      <c r="D487" t="str">
        <f>_xlfn.TEXTJOIN(" ",TRUE,Table1[[#This Row],[First 
Name]:[Last 
Name]])</f>
        <v>Selena Castro</v>
      </c>
      <c r="E487" t="s">
        <v>1597</v>
      </c>
      <c r="F487" t="s">
        <v>3245</v>
      </c>
      <c r="G487" t="str">
        <f ca="1">PROPER(Table1[[#This Row],[Part Time 
Job]])</f>
        <v>True</v>
      </c>
      <c r="H487" s="3">
        <v>5</v>
      </c>
      <c r="I487" t="str">
        <f ca="1">PROPER(Table1[[#This Row],[Extracurricular 
Activities]])</f>
        <v>False</v>
      </c>
      <c r="J487">
        <v>2</v>
      </c>
      <c r="K487" t="s">
        <v>3119</v>
      </c>
      <c r="L487">
        <v>56</v>
      </c>
      <c r="M487" s="12" t="str" cm="1">
        <f t="array" ref="M487">_xlfn.IFS(Table1[[#This Row],[Math 
Score]]&gt;=90,"A+",Table1[[#This Row],[Math 
Score]]&gt;=80,"A", Table1[[#This Row],[Math 
Score]]&gt;=75,"A-",Table1[[#This Row],[Math 
Score]]&gt;=70,"B+",Table1[[#This Row],[Math 
Score]]&gt;=65,"B",Table1[[#This Row],[Math 
Score]]&gt;=60,"B-",Table1[[#This Row],[Math 
Score]]&gt;=50,"C",Table1[[#This Row],[Math 
Score]]&gt;=40,"D",Table1[[#This Row],[Math 
Score]]&lt;40,"F")</f>
        <v>C</v>
      </c>
      <c r="N487">
        <v>96</v>
      </c>
      <c r="O487" s="13" t="str" cm="1">
        <f t="array" ref="O48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487">
        <v>65</v>
      </c>
      <c r="Q487" s="13" t="str" cm="1">
        <f t="array" ref="Q48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487">
        <v>61</v>
      </c>
      <c r="S487" t="str" cm="1">
        <f t="array" ref="S48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487">
        <v>78</v>
      </c>
      <c r="U487" t="str" cm="1">
        <f t="array" ref="U48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487">
        <v>77</v>
      </c>
      <c r="W487" t="str" cm="1">
        <f t="array" ref="W48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487">
        <v>95</v>
      </c>
      <c r="Y487" t="str" cm="1">
        <f t="array" ref="Y48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487">
        <f>SUM(Table1[[#This Row],[Math 
Score]],Table1[[#This Row],[History 
Score]],Table1[[#This Row],[Physics 
Score]],Table1[[#This Row],[Chemistry 
Score]],Table1[[#This Row],[Biology 
Score]],Table1[[#This Row],[English 
Score]],Table1[[#This Row],[Geography 
Score]])</f>
        <v>528</v>
      </c>
      <c r="AA487" s="3">
        <f>AVERAGE(Table1[[#This Row],[Math 
Score]],Table1[[#This Row],[History 
Score]],Table1[[#This Row],[Physics 
Score]],Table1[[#This Row],[Chemistry 
Score]],Table1[[#This Row],[Biology 
Score]],Table1[[#This Row],[English 
Score]],Table1[[#This Row],[Geography 
Score]])</f>
        <v>75.428571428571431</v>
      </c>
      <c r="AB48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487">
        <f t="shared" si="7"/>
        <v>1678</v>
      </c>
      <c r="AD487" t="str">
        <f>_xlfn.IFS(Table1[[#This Row],[Absence 
Days]]&lt;3,"Excellent",Table1[[#This Row],[Absence 
Days]]&lt;=6,"Good",Table1[[#This Row],[Absence 
Days]]&gt;6,"Poor")</f>
        <v>Good</v>
      </c>
    </row>
    <row r="488" spans="1:30" x14ac:dyDescent="0.35">
      <c r="A488">
        <v>487</v>
      </c>
      <c r="B488" s="2" t="s">
        <v>166</v>
      </c>
      <c r="C488" t="s">
        <v>479</v>
      </c>
      <c r="D488" t="str">
        <f>_xlfn.TEXTJOIN(" ",TRUE,Table1[[#This Row],[First 
Name]:[Last 
Name]])</f>
        <v>Whitney Miller</v>
      </c>
      <c r="E488" t="s">
        <v>1598</v>
      </c>
      <c r="F488" t="s">
        <v>3245</v>
      </c>
      <c r="G488" t="str">
        <f ca="1">PROPER(Table1[[#This Row],[Part Time 
Job]])</f>
        <v>False</v>
      </c>
      <c r="H488" s="3">
        <v>3</v>
      </c>
      <c r="I488" t="str">
        <f ca="1">PROPER(Table1[[#This Row],[Extracurricular 
Activities]])</f>
        <v>False</v>
      </c>
      <c r="J488">
        <v>21</v>
      </c>
      <c r="K488" t="s">
        <v>3116</v>
      </c>
      <c r="L488">
        <v>97</v>
      </c>
      <c r="M488" s="12" t="str" cm="1">
        <f t="array" ref="M48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488">
        <v>89</v>
      </c>
      <c r="O488" s="13" t="str" cm="1">
        <f t="array" ref="O48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488">
        <v>94</v>
      </c>
      <c r="Q488" s="13" t="str" cm="1">
        <f t="array" ref="Q48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488">
        <v>91</v>
      </c>
      <c r="S488" t="str" cm="1">
        <f t="array" ref="S48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488">
        <v>95</v>
      </c>
      <c r="U488" t="str" cm="1">
        <f t="array" ref="U48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488">
        <v>70</v>
      </c>
      <c r="W488" t="str" cm="1">
        <f t="array" ref="W48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488">
        <v>75</v>
      </c>
      <c r="Y488" t="str" cm="1">
        <f t="array" ref="Y48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488">
        <f>SUM(Table1[[#This Row],[Math 
Score]],Table1[[#This Row],[History 
Score]],Table1[[#This Row],[Physics 
Score]],Table1[[#This Row],[Chemistry 
Score]],Table1[[#This Row],[Biology 
Score]],Table1[[#This Row],[English 
Score]],Table1[[#This Row],[Geography 
Score]])</f>
        <v>611</v>
      </c>
      <c r="AA488" s="3">
        <f>AVERAGE(Table1[[#This Row],[Math 
Score]],Table1[[#This Row],[History 
Score]],Table1[[#This Row],[Physics 
Score]],Table1[[#This Row],[Chemistry 
Score]],Table1[[#This Row],[Biology 
Score]],Table1[[#This Row],[English 
Score]],Table1[[#This Row],[Geography 
Score]])</f>
        <v>87.285714285714292</v>
      </c>
      <c r="AB48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488">
        <f t="shared" si="7"/>
        <v>291</v>
      </c>
      <c r="AD488" t="str">
        <f>_xlfn.IFS(Table1[[#This Row],[Absence 
Days]]&lt;3,"Excellent",Table1[[#This Row],[Absence 
Days]]&lt;=6,"Good",Table1[[#This Row],[Absence 
Days]]&gt;6,"Poor")</f>
        <v>Good</v>
      </c>
    </row>
    <row r="489" spans="1:30" x14ac:dyDescent="0.35">
      <c r="A489">
        <v>488</v>
      </c>
      <c r="B489" s="2" t="s">
        <v>174</v>
      </c>
      <c r="C489" t="s">
        <v>738</v>
      </c>
      <c r="D489" t="str">
        <f>_xlfn.TEXTJOIN(" ",TRUE,Table1[[#This Row],[First 
Name]:[Last 
Name]])</f>
        <v>Brenda Mooney</v>
      </c>
      <c r="E489" t="s">
        <v>1599</v>
      </c>
      <c r="F489" t="s">
        <v>3245</v>
      </c>
      <c r="G489" t="str">
        <f ca="1">PROPER(Table1[[#This Row],[Part Time 
Job]])</f>
        <v>False</v>
      </c>
      <c r="H489" s="3">
        <v>10</v>
      </c>
      <c r="I489" t="str">
        <f ca="1">PROPER(Table1[[#This Row],[Extracurricular 
Activities]])</f>
        <v>False</v>
      </c>
      <c r="J489">
        <v>5</v>
      </c>
      <c r="K489" t="s">
        <v>3119</v>
      </c>
      <c r="L489">
        <v>67</v>
      </c>
      <c r="M489" s="12" t="str" cm="1">
        <f t="array" ref="M489">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489">
        <v>60</v>
      </c>
      <c r="O489" s="13" t="str" cm="1">
        <f t="array" ref="O48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489">
        <v>97</v>
      </c>
      <c r="Q489" s="13" t="str" cm="1">
        <f t="array" ref="Q48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489">
        <v>53</v>
      </c>
      <c r="S489" t="str" cm="1">
        <f t="array" ref="S48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C</v>
      </c>
      <c r="T489">
        <v>93</v>
      </c>
      <c r="U489" t="str" cm="1">
        <f t="array" ref="U48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489">
        <v>78</v>
      </c>
      <c r="W489" t="str" cm="1">
        <f t="array" ref="W48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489">
        <v>81</v>
      </c>
      <c r="Y489" t="str" cm="1">
        <f t="array" ref="Y48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489">
        <f>SUM(Table1[[#This Row],[Math 
Score]],Table1[[#This Row],[History 
Score]],Table1[[#This Row],[Physics 
Score]],Table1[[#This Row],[Chemistry 
Score]],Table1[[#This Row],[Biology 
Score]],Table1[[#This Row],[English 
Score]],Table1[[#This Row],[Geography 
Score]])</f>
        <v>529</v>
      </c>
      <c r="AA489" s="3">
        <f>AVERAGE(Table1[[#This Row],[Math 
Score]],Table1[[#This Row],[History 
Score]],Table1[[#This Row],[Physics 
Score]],Table1[[#This Row],[Chemistry 
Score]],Table1[[#This Row],[Biology 
Score]],Table1[[#This Row],[English 
Score]],Table1[[#This Row],[Geography 
Score]])</f>
        <v>75.571428571428569</v>
      </c>
      <c r="AB48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489">
        <f t="shared" si="7"/>
        <v>1664</v>
      </c>
      <c r="AD489" t="str">
        <f>_xlfn.IFS(Table1[[#This Row],[Absence 
Days]]&lt;3,"Excellent",Table1[[#This Row],[Absence 
Days]]&lt;=6,"Good",Table1[[#This Row],[Absence 
Days]]&gt;6,"Poor")</f>
        <v>Poor</v>
      </c>
    </row>
    <row r="490" spans="1:30" x14ac:dyDescent="0.35">
      <c r="A490">
        <v>489</v>
      </c>
      <c r="B490" s="2" t="s">
        <v>18</v>
      </c>
      <c r="C490" t="s">
        <v>194</v>
      </c>
      <c r="D490" t="str">
        <f>_xlfn.TEXTJOIN(" ",TRUE,Table1[[#This Row],[First 
Name]:[Last 
Name]])</f>
        <v>Angela Allen</v>
      </c>
      <c r="E490" t="s">
        <v>1600</v>
      </c>
      <c r="F490" t="s">
        <v>3245</v>
      </c>
      <c r="G490" t="str">
        <f ca="1">PROPER(Table1[[#This Row],[Part Time 
Job]])</f>
        <v>True</v>
      </c>
      <c r="H490" s="3">
        <v>10</v>
      </c>
      <c r="I490" t="str">
        <f ca="1">PROPER(Table1[[#This Row],[Extracurricular 
Activities]])</f>
        <v>False</v>
      </c>
      <c r="J490">
        <v>5</v>
      </c>
      <c r="K490" t="s">
        <v>3119</v>
      </c>
      <c r="L490">
        <v>97</v>
      </c>
      <c r="M490" s="12" t="str" cm="1">
        <f t="array" ref="M49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490">
        <v>93</v>
      </c>
      <c r="O490" s="13" t="str" cm="1">
        <f t="array" ref="O49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490">
        <v>64</v>
      </c>
      <c r="Q490" s="13" t="str" cm="1">
        <f t="array" ref="Q49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490">
        <v>74</v>
      </c>
      <c r="S490" t="str" cm="1">
        <f t="array" ref="S49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490">
        <v>94</v>
      </c>
      <c r="U490" t="str" cm="1">
        <f t="array" ref="U49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490">
        <v>74</v>
      </c>
      <c r="W490" t="str" cm="1">
        <f t="array" ref="W49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490">
        <v>76</v>
      </c>
      <c r="Y490" t="str" cm="1">
        <f t="array" ref="Y49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490">
        <f>SUM(Table1[[#This Row],[Math 
Score]],Table1[[#This Row],[History 
Score]],Table1[[#This Row],[Physics 
Score]],Table1[[#This Row],[Chemistry 
Score]],Table1[[#This Row],[Biology 
Score]],Table1[[#This Row],[English 
Score]],Table1[[#This Row],[Geography 
Score]])</f>
        <v>572</v>
      </c>
      <c r="AA490" s="3">
        <f>AVERAGE(Table1[[#This Row],[Math 
Score]],Table1[[#This Row],[History 
Score]],Table1[[#This Row],[Physics 
Score]],Table1[[#This Row],[Chemistry 
Score]],Table1[[#This Row],[Biology 
Score]],Table1[[#This Row],[English 
Score]],Table1[[#This Row],[Geography 
Score]])</f>
        <v>81.714285714285708</v>
      </c>
      <c r="AB49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490">
        <f t="shared" si="7"/>
        <v>890</v>
      </c>
      <c r="AD490" t="str">
        <f>_xlfn.IFS(Table1[[#This Row],[Absence 
Days]]&lt;3,"Excellent",Table1[[#This Row],[Absence 
Days]]&lt;=6,"Good",Table1[[#This Row],[Absence 
Days]]&gt;6,"Poor")</f>
        <v>Poor</v>
      </c>
    </row>
    <row r="491" spans="1:30" x14ac:dyDescent="0.35">
      <c r="A491">
        <v>490</v>
      </c>
      <c r="B491" s="2" t="s">
        <v>123</v>
      </c>
      <c r="C491" t="s">
        <v>588</v>
      </c>
      <c r="D491" t="str">
        <f>_xlfn.TEXTJOIN(" ",TRUE,Table1[[#This Row],[First 
Name]:[Last 
Name]])</f>
        <v>Erica Cohen</v>
      </c>
      <c r="E491" t="s">
        <v>1601</v>
      </c>
      <c r="F491" t="s">
        <v>3245</v>
      </c>
      <c r="G491" t="str">
        <f ca="1">PROPER(Table1[[#This Row],[Part Time 
Job]])</f>
        <v>False</v>
      </c>
      <c r="H491" s="3">
        <v>5</v>
      </c>
      <c r="I491" t="str">
        <f ca="1">PROPER(Table1[[#This Row],[Extracurricular 
Activities]])</f>
        <v>False</v>
      </c>
      <c r="J491">
        <v>0</v>
      </c>
      <c r="K491" t="s">
        <v>3119</v>
      </c>
      <c r="L491">
        <v>100</v>
      </c>
      <c r="M491" s="12" t="str" cm="1">
        <f t="array" ref="M49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491">
        <v>67</v>
      </c>
      <c r="O491" s="13" t="str" cm="1">
        <f t="array" ref="O49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491">
        <v>50</v>
      </c>
      <c r="Q491" s="13" t="str" cm="1">
        <f t="array" ref="Q49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C</v>
      </c>
      <c r="R491">
        <v>78</v>
      </c>
      <c r="S491" t="str" cm="1">
        <f t="array" ref="S49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491">
        <v>73</v>
      </c>
      <c r="U491" t="str" cm="1">
        <f t="array" ref="U49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491">
        <v>90</v>
      </c>
      <c r="W491" t="str" cm="1">
        <f t="array" ref="W49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491">
        <v>91</v>
      </c>
      <c r="Y491" t="str" cm="1">
        <f t="array" ref="Y49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491">
        <f>SUM(Table1[[#This Row],[Math 
Score]],Table1[[#This Row],[History 
Score]],Table1[[#This Row],[Physics 
Score]],Table1[[#This Row],[Chemistry 
Score]],Table1[[#This Row],[Biology 
Score]],Table1[[#This Row],[English 
Score]],Table1[[#This Row],[Geography 
Score]])</f>
        <v>549</v>
      </c>
      <c r="AA491" s="3">
        <f>AVERAGE(Table1[[#This Row],[Math 
Score]],Table1[[#This Row],[History 
Score]],Table1[[#This Row],[Physics 
Score]],Table1[[#This Row],[Chemistry 
Score]],Table1[[#This Row],[Biology 
Score]],Table1[[#This Row],[English 
Score]],Table1[[#This Row],[Geography 
Score]])</f>
        <v>78.428571428571431</v>
      </c>
      <c r="AB49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491">
        <f t="shared" si="7"/>
        <v>1355</v>
      </c>
      <c r="AD491" t="str">
        <f>_xlfn.IFS(Table1[[#This Row],[Absence 
Days]]&lt;3,"Excellent",Table1[[#This Row],[Absence 
Days]]&lt;=6,"Good",Table1[[#This Row],[Absence 
Days]]&gt;6,"Poor")</f>
        <v>Good</v>
      </c>
    </row>
    <row r="492" spans="1:30" x14ac:dyDescent="0.35">
      <c r="A492">
        <v>491</v>
      </c>
      <c r="B492" s="2" t="s">
        <v>5</v>
      </c>
      <c r="C492" t="s">
        <v>636</v>
      </c>
      <c r="D492" t="str">
        <f>_xlfn.TEXTJOIN(" ",TRUE,Table1[[#This Row],[First 
Name]:[Last 
Name]])</f>
        <v>Kelly Sanders</v>
      </c>
      <c r="E492" t="s">
        <v>1602</v>
      </c>
      <c r="F492" t="s">
        <v>3245</v>
      </c>
      <c r="G492" t="str">
        <f ca="1">PROPER(Table1[[#This Row],[Part Time 
Job]])</f>
        <v>False</v>
      </c>
      <c r="H492" s="3">
        <v>5</v>
      </c>
      <c r="I492" t="str">
        <f ca="1">PROPER(Table1[[#This Row],[Extracurricular 
Activities]])</f>
        <v>True</v>
      </c>
      <c r="J492">
        <v>10</v>
      </c>
      <c r="K492" t="s">
        <v>3118</v>
      </c>
      <c r="L492">
        <v>83</v>
      </c>
      <c r="M492" s="12" t="str" cm="1">
        <f t="array" ref="M49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492">
        <v>61</v>
      </c>
      <c r="O492" s="13" t="str" cm="1">
        <f t="array" ref="O49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492">
        <v>76</v>
      </c>
      <c r="Q492" s="13" t="str" cm="1">
        <f t="array" ref="Q49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492">
        <v>75</v>
      </c>
      <c r="S492" t="str" cm="1">
        <f t="array" ref="S49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492">
        <v>62</v>
      </c>
      <c r="U492" t="str" cm="1">
        <f t="array" ref="U49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492">
        <v>79</v>
      </c>
      <c r="W492" t="str" cm="1">
        <f t="array" ref="W49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492">
        <v>94</v>
      </c>
      <c r="Y492" t="str" cm="1">
        <f t="array" ref="Y49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492">
        <f>SUM(Table1[[#This Row],[Math 
Score]],Table1[[#This Row],[History 
Score]],Table1[[#This Row],[Physics 
Score]],Table1[[#This Row],[Chemistry 
Score]],Table1[[#This Row],[Biology 
Score]],Table1[[#This Row],[English 
Score]],Table1[[#This Row],[Geography 
Score]])</f>
        <v>530</v>
      </c>
      <c r="AA492" s="3">
        <f>AVERAGE(Table1[[#This Row],[Math 
Score]],Table1[[#This Row],[History 
Score]],Table1[[#This Row],[Physics 
Score]],Table1[[#This Row],[Chemistry 
Score]],Table1[[#This Row],[Biology 
Score]],Table1[[#This Row],[English 
Score]],Table1[[#This Row],[Geography 
Score]])</f>
        <v>75.714285714285708</v>
      </c>
      <c r="AB49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492">
        <f t="shared" si="7"/>
        <v>1646</v>
      </c>
      <c r="AD492" t="str">
        <f>_xlfn.IFS(Table1[[#This Row],[Absence 
Days]]&lt;3,"Excellent",Table1[[#This Row],[Absence 
Days]]&lt;=6,"Good",Table1[[#This Row],[Absence 
Days]]&gt;6,"Poor")</f>
        <v>Good</v>
      </c>
    </row>
    <row r="493" spans="1:30" x14ac:dyDescent="0.35">
      <c r="A493">
        <v>492</v>
      </c>
      <c r="B493" s="2" t="s">
        <v>34</v>
      </c>
      <c r="C493" t="s">
        <v>455</v>
      </c>
      <c r="D493" t="str">
        <f>_xlfn.TEXTJOIN(" ",TRUE,Table1[[#This Row],[First 
Name]:[Last 
Name]])</f>
        <v>Michael Clark</v>
      </c>
      <c r="E493" t="s">
        <v>1603</v>
      </c>
      <c r="F493" t="s">
        <v>3244</v>
      </c>
      <c r="G493" t="str">
        <f ca="1">PROPER(Table1[[#This Row],[Part Time 
Job]])</f>
        <v>False</v>
      </c>
      <c r="H493" s="3">
        <v>5</v>
      </c>
      <c r="I493" t="str">
        <f ca="1">PROPER(Table1[[#This Row],[Extracurricular 
Activities]])</f>
        <v>False</v>
      </c>
      <c r="J493">
        <v>2</v>
      </c>
      <c r="K493" t="s">
        <v>3115</v>
      </c>
      <c r="L493">
        <v>85</v>
      </c>
      <c r="M493" s="12" t="str" cm="1">
        <f t="array" ref="M49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493">
        <v>63</v>
      </c>
      <c r="O493" s="13" t="str" cm="1">
        <f t="array" ref="O49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493">
        <v>83</v>
      </c>
      <c r="Q493" s="13" t="str" cm="1">
        <f t="array" ref="Q49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493">
        <v>83</v>
      </c>
      <c r="S493" t="str" cm="1">
        <f t="array" ref="S49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493">
        <v>69</v>
      </c>
      <c r="U493" t="str" cm="1">
        <f t="array" ref="U49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493">
        <v>94</v>
      </c>
      <c r="W493" t="str" cm="1">
        <f t="array" ref="W49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493">
        <v>80</v>
      </c>
      <c r="Y493" t="str" cm="1">
        <f t="array" ref="Y49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493">
        <f>SUM(Table1[[#This Row],[Math 
Score]],Table1[[#This Row],[History 
Score]],Table1[[#This Row],[Physics 
Score]],Table1[[#This Row],[Chemistry 
Score]],Table1[[#This Row],[Biology 
Score]],Table1[[#This Row],[English 
Score]],Table1[[#This Row],[Geography 
Score]])</f>
        <v>557</v>
      </c>
      <c r="AA493" s="3">
        <f>AVERAGE(Table1[[#This Row],[Math 
Score]],Table1[[#This Row],[History 
Score]],Table1[[#This Row],[Physics 
Score]],Table1[[#This Row],[Chemistry 
Score]],Table1[[#This Row],[Biology 
Score]],Table1[[#This Row],[English 
Score]],Table1[[#This Row],[Geography 
Score]])</f>
        <v>79.571428571428569</v>
      </c>
      <c r="AB49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493">
        <f t="shared" si="7"/>
        <v>1200</v>
      </c>
      <c r="AD493" t="str">
        <f>_xlfn.IFS(Table1[[#This Row],[Absence 
Days]]&lt;3,"Excellent",Table1[[#This Row],[Absence 
Days]]&lt;=6,"Good",Table1[[#This Row],[Absence 
Days]]&gt;6,"Poor")</f>
        <v>Good</v>
      </c>
    </row>
    <row r="494" spans="1:30" x14ac:dyDescent="0.35">
      <c r="A494">
        <v>493</v>
      </c>
      <c r="B494" s="2" t="s">
        <v>144</v>
      </c>
      <c r="C494" t="s">
        <v>739</v>
      </c>
      <c r="D494" t="str">
        <f>_xlfn.TEXTJOIN(" ",TRUE,Table1[[#This Row],[First 
Name]:[Last 
Name]])</f>
        <v>Tammy Fields</v>
      </c>
      <c r="E494" t="s">
        <v>1604</v>
      </c>
      <c r="F494" t="s">
        <v>3245</v>
      </c>
      <c r="G494" t="str">
        <f ca="1">PROPER(Table1[[#This Row],[Part Time 
Job]])</f>
        <v>False</v>
      </c>
      <c r="H494" s="3">
        <v>5</v>
      </c>
      <c r="I494" t="str">
        <f ca="1">PROPER(Table1[[#This Row],[Extracurricular 
Activities]])</f>
        <v>True</v>
      </c>
      <c r="J494">
        <v>24</v>
      </c>
      <c r="K494" t="s">
        <v>3121</v>
      </c>
      <c r="L494">
        <v>100</v>
      </c>
      <c r="M494" s="12" t="str" cm="1">
        <f t="array" ref="M49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494">
        <v>96</v>
      </c>
      <c r="O494" s="13" t="str" cm="1">
        <f t="array" ref="O49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494">
        <v>97</v>
      </c>
      <c r="Q494" s="13" t="str" cm="1">
        <f t="array" ref="Q49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494">
        <v>64</v>
      </c>
      <c r="S494" t="str" cm="1">
        <f t="array" ref="S49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494">
        <v>76</v>
      </c>
      <c r="U494" t="str" cm="1">
        <f t="array" ref="U49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494">
        <v>77</v>
      </c>
      <c r="W494" t="str" cm="1">
        <f t="array" ref="W49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494">
        <v>61</v>
      </c>
      <c r="Y494" t="str" cm="1">
        <f t="array" ref="Y49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494">
        <f>SUM(Table1[[#This Row],[Math 
Score]],Table1[[#This Row],[History 
Score]],Table1[[#This Row],[Physics 
Score]],Table1[[#This Row],[Chemistry 
Score]],Table1[[#This Row],[Biology 
Score]],Table1[[#This Row],[English 
Score]],Table1[[#This Row],[Geography 
Score]])</f>
        <v>571</v>
      </c>
      <c r="AA494" s="3">
        <f>AVERAGE(Table1[[#This Row],[Math 
Score]],Table1[[#This Row],[History 
Score]],Table1[[#This Row],[Physics 
Score]],Table1[[#This Row],[Chemistry 
Score]],Table1[[#This Row],[Biology 
Score]],Table1[[#This Row],[English 
Score]],Table1[[#This Row],[Geography 
Score]])</f>
        <v>81.571428571428569</v>
      </c>
      <c r="AB49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494">
        <f t="shared" si="7"/>
        <v>915</v>
      </c>
      <c r="AD494" t="str">
        <f>_xlfn.IFS(Table1[[#This Row],[Absence 
Days]]&lt;3,"Excellent",Table1[[#This Row],[Absence 
Days]]&lt;=6,"Good",Table1[[#This Row],[Absence 
Days]]&gt;6,"Poor")</f>
        <v>Good</v>
      </c>
    </row>
    <row r="495" spans="1:30" x14ac:dyDescent="0.35">
      <c r="A495">
        <v>494</v>
      </c>
      <c r="B495" s="2" t="s">
        <v>60</v>
      </c>
      <c r="C495" t="s">
        <v>740</v>
      </c>
      <c r="D495" t="str">
        <f>_xlfn.TEXTJOIN(" ",TRUE,Table1[[#This Row],[First 
Name]:[Last 
Name]])</f>
        <v>Steven Pennington</v>
      </c>
      <c r="E495" t="s">
        <v>1605</v>
      </c>
      <c r="F495" t="s">
        <v>3244</v>
      </c>
      <c r="G495" t="str">
        <f ca="1">PROPER(Table1[[#This Row],[Part Time 
Job]])</f>
        <v>False</v>
      </c>
      <c r="H495" s="3">
        <v>4</v>
      </c>
      <c r="I495" t="str">
        <f ca="1">PROPER(Table1[[#This Row],[Extracurricular 
Activities]])</f>
        <v>False</v>
      </c>
      <c r="J495">
        <v>46</v>
      </c>
      <c r="K495" t="s">
        <v>3113</v>
      </c>
      <c r="L495">
        <v>92</v>
      </c>
      <c r="M495" s="12" t="str" cm="1">
        <f t="array" ref="M49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495">
        <v>98</v>
      </c>
      <c r="O495" s="13" t="str" cm="1">
        <f t="array" ref="O49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495">
        <v>99</v>
      </c>
      <c r="Q495" s="13" t="str" cm="1">
        <f t="array" ref="Q49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495">
        <v>86</v>
      </c>
      <c r="S495" t="str" cm="1">
        <f t="array" ref="S49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495">
        <v>100</v>
      </c>
      <c r="U495" t="str" cm="1">
        <f t="array" ref="U49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495">
        <v>86</v>
      </c>
      <c r="W495" t="str" cm="1">
        <f t="array" ref="W49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495">
        <v>87</v>
      </c>
      <c r="Y495" t="str" cm="1">
        <f t="array" ref="Y49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495">
        <f>SUM(Table1[[#This Row],[Math 
Score]],Table1[[#This Row],[History 
Score]],Table1[[#This Row],[Physics 
Score]],Table1[[#This Row],[Chemistry 
Score]],Table1[[#This Row],[Biology 
Score]],Table1[[#This Row],[English 
Score]],Table1[[#This Row],[Geography 
Score]])</f>
        <v>648</v>
      </c>
      <c r="AA495" s="3">
        <f>AVERAGE(Table1[[#This Row],[Math 
Score]],Table1[[#This Row],[History 
Score]],Table1[[#This Row],[Physics 
Score]],Table1[[#This Row],[Chemistry 
Score]],Table1[[#This Row],[Biology 
Score]],Table1[[#This Row],[English 
Score]],Table1[[#This Row],[Geography 
Score]])</f>
        <v>92.571428571428569</v>
      </c>
      <c r="AB49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495">
        <f t="shared" si="7"/>
        <v>65</v>
      </c>
      <c r="AD495" t="str">
        <f>_xlfn.IFS(Table1[[#This Row],[Absence 
Days]]&lt;3,"Excellent",Table1[[#This Row],[Absence 
Days]]&lt;=6,"Good",Table1[[#This Row],[Absence 
Days]]&gt;6,"Poor")</f>
        <v>Good</v>
      </c>
    </row>
    <row r="496" spans="1:30" x14ac:dyDescent="0.35">
      <c r="A496">
        <v>495</v>
      </c>
      <c r="B496" s="2" t="s">
        <v>110</v>
      </c>
      <c r="C496" t="s">
        <v>474</v>
      </c>
      <c r="D496" t="str">
        <f>_xlfn.TEXTJOIN(" ",TRUE,Table1[[#This Row],[First 
Name]:[Last 
Name]])</f>
        <v>Matthew Chavez</v>
      </c>
      <c r="E496" t="s">
        <v>1606</v>
      </c>
      <c r="F496" t="s">
        <v>3244</v>
      </c>
      <c r="G496" t="str">
        <f ca="1">PROPER(Table1[[#This Row],[Part Time 
Job]])</f>
        <v>False</v>
      </c>
      <c r="H496" s="3">
        <v>3</v>
      </c>
      <c r="I496" t="str">
        <f ca="1">PROPER(Table1[[#This Row],[Extracurricular 
Activities]])</f>
        <v>False</v>
      </c>
      <c r="J496">
        <v>31</v>
      </c>
      <c r="K496" t="s">
        <v>3122</v>
      </c>
      <c r="L496">
        <v>88</v>
      </c>
      <c r="M496" s="12" t="str" cm="1">
        <f t="array" ref="M49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496">
        <v>98</v>
      </c>
      <c r="O496" s="13" t="str" cm="1">
        <f t="array" ref="O49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496">
        <v>65</v>
      </c>
      <c r="Q496" s="13" t="str" cm="1">
        <f t="array" ref="Q49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496">
        <v>68</v>
      </c>
      <c r="S496" t="str" cm="1">
        <f t="array" ref="S49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496">
        <v>99</v>
      </c>
      <c r="U496" t="str" cm="1">
        <f t="array" ref="U49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496">
        <v>94</v>
      </c>
      <c r="W496" t="str" cm="1">
        <f t="array" ref="W49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496">
        <v>79</v>
      </c>
      <c r="Y496" t="str" cm="1">
        <f t="array" ref="Y49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496">
        <f>SUM(Table1[[#This Row],[Math 
Score]],Table1[[#This Row],[History 
Score]],Table1[[#This Row],[Physics 
Score]],Table1[[#This Row],[Chemistry 
Score]],Table1[[#This Row],[Biology 
Score]],Table1[[#This Row],[English 
Score]],Table1[[#This Row],[Geography 
Score]])</f>
        <v>591</v>
      </c>
      <c r="AA496" s="3">
        <f>AVERAGE(Table1[[#This Row],[Math 
Score]],Table1[[#This Row],[History 
Score]],Table1[[#This Row],[Physics 
Score]],Table1[[#This Row],[Chemistry 
Score]],Table1[[#This Row],[Biology 
Score]],Table1[[#This Row],[English 
Score]],Table1[[#This Row],[Geography 
Score]])</f>
        <v>84.428571428571431</v>
      </c>
      <c r="AB49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496">
        <f t="shared" si="7"/>
        <v>515</v>
      </c>
      <c r="AD496" t="str">
        <f>_xlfn.IFS(Table1[[#This Row],[Absence 
Days]]&lt;3,"Excellent",Table1[[#This Row],[Absence 
Days]]&lt;=6,"Good",Table1[[#This Row],[Absence 
Days]]&gt;6,"Poor")</f>
        <v>Good</v>
      </c>
    </row>
    <row r="497" spans="1:30" x14ac:dyDescent="0.35">
      <c r="A497">
        <v>496</v>
      </c>
      <c r="B497" s="2" t="s">
        <v>83</v>
      </c>
      <c r="C497" t="s">
        <v>741</v>
      </c>
      <c r="D497" t="str">
        <f>_xlfn.TEXTJOIN(" ",TRUE,Table1[[#This Row],[First 
Name]:[Last 
Name]])</f>
        <v>Stephen Gallagher</v>
      </c>
      <c r="E497" t="s">
        <v>1607</v>
      </c>
      <c r="F497" t="s">
        <v>3244</v>
      </c>
      <c r="G497" t="str">
        <f ca="1">PROPER(Table1[[#This Row],[Part Time 
Job]])</f>
        <v>False</v>
      </c>
      <c r="H497" s="3">
        <v>1</v>
      </c>
      <c r="I497" t="str">
        <f ca="1">PROPER(Table1[[#This Row],[Extracurricular 
Activities]])</f>
        <v>False</v>
      </c>
      <c r="J497">
        <v>33</v>
      </c>
      <c r="K497" t="s">
        <v>3112</v>
      </c>
      <c r="L497">
        <v>95</v>
      </c>
      <c r="M497" s="12" t="str" cm="1">
        <f t="array" ref="M49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497">
        <v>82</v>
      </c>
      <c r="O497" s="13" t="str" cm="1">
        <f t="array" ref="O49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497">
        <v>62</v>
      </c>
      <c r="Q497" s="13" t="str" cm="1">
        <f t="array" ref="Q49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497">
        <v>76</v>
      </c>
      <c r="S497" t="str" cm="1">
        <f t="array" ref="S49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497">
        <v>64</v>
      </c>
      <c r="U497" t="str" cm="1">
        <f t="array" ref="U49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497">
        <v>91</v>
      </c>
      <c r="W497" t="str" cm="1">
        <f t="array" ref="W49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497">
        <v>79</v>
      </c>
      <c r="Y497" t="str" cm="1">
        <f t="array" ref="Y49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497">
        <f>SUM(Table1[[#This Row],[Math 
Score]],Table1[[#This Row],[History 
Score]],Table1[[#This Row],[Physics 
Score]],Table1[[#This Row],[Chemistry 
Score]],Table1[[#This Row],[Biology 
Score]],Table1[[#This Row],[English 
Score]],Table1[[#This Row],[Geography 
Score]])</f>
        <v>549</v>
      </c>
      <c r="AA497" s="3">
        <f>AVERAGE(Table1[[#This Row],[Math 
Score]],Table1[[#This Row],[History 
Score]],Table1[[#This Row],[Physics 
Score]],Table1[[#This Row],[Chemistry 
Score]],Table1[[#This Row],[Biology 
Score]],Table1[[#This Row],[English 
Score]],Table1[[#This Row],[Geography 
Score]])</f>
        <v>78.428571428571431</v>
      </c>
      <c r="AB49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497">
        <f t="shared" si="7"/>
        <v>1355</v>
      </c>
      <c r="AD497" t="str">
        <f>_xlfn.IFS(Table1[[#This Row],[Absence 
Days]]&lt;3,"Excellent",Table1[[#This Row],[Absence 
Days]]&lt;=6,"Good",Table1[[#This Row],[Absence 
Days]]&gt;6,"Poor")</f>
        <v>Excellent</v>
      </c>
    </row>
    <row r="498" spans="1:30" x14ac:dyDescent="0.35">
      <c r="A498">
        <v>497</v>
      </c>
      <c r="B498" s="2" t="s">
        <v>78</v>
      </c>
      <c r="C498" t="s">
        <v>673</v>
      </c>
      <c r="D498" t="str">
        <f>_xlfn.TEXTJOIN(" ",TRUE,Table1[[#This Row],[First 
Name]:[Last 
Name]])</f>
        <v>Victoria Anderson</v>
      </c>
      <c r="E498" t="s">
        <v>1608</v>
      </c>
      <c r="F498" t="s">
        <v>3245</v>
      </c>
      <c r="G498" t="str">
        <f ca="1">PROPER(Table1[[#This Row],[Part Time 
Job]])</f>
        <v>False</v>
      </c>
      <c r="H498" s="3">
        <v>5</v>
      </c>
      <c r="I498" t="str">
        <f ca="1">PROPER(Table1[[#This Row],[Extracurricular 
Activities]])</f>
        <v>False</v>
      </c>
      <c r="J498">
        <v>26</v>
      </c>
      <c r="K498" t="s">
        <v>3127</v>
      </c>
      <c r="L498">
        <v>76</v>
      </c>
      <c r="M498" s="12" t="str" cm="1">
        <f t="array" ref="M49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498">
        <v>81</v>
      </c>
      <c r="O498" s="13" t="str" cm="1">
        <f t="array" ref="O49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498">
        <v>84</v>
      </c>
      <c r="Q498" s="13" t="str" cm="1">
        <f t="array" ref="Q49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498">
        <v>80</v>
      </c>
      <c r="S498" t="str" cm="1">
        <f t="array" ref="S49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498">
        <v>80</v>
      </c>
      <c r="U498" t="str" cm="1">
        <f t="array" ref="U49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498">
        <v>84</v>
      </c>
      <c r="W498" t="str" cm="1">
        <f t="array" ref="W49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498">
        <v>70</v>
      </c>
      <c r="Y498" t="str" cm="1">
        <f t="array" ref="Y49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498">
        <f>SUM(Table1[[#This Row],[Math 
Score]],Table1[[#This Row],[History 
Score]],Table1[[#This Row],[Physics 
Score]],Table1[[#This Row],[Chemistry 
Score]],Table1[[#This Row],[Biology 
Score]],Table1[[#This Row],[English 
Score]],Table1[[#This Row],[Geography 
Score]])</f>
        <v>555</v>
      </c>
      <c r="AA498" s="3">
        <f>AVERAGE(Table1[[#This Row],[Math 
Score]],Table1[[#This Row],[History 
Score]],Table1[[#This Row],[Physics 
Score]],Table1[[#This Row],[Chemistry 
Score]],Table1[[#This Row],[Biology 
Score]],Table1[[#This Row],[English 
Score]],Table1[[#This Row],[Geography 
Score]])</f>
        <v>79.285714285714292</v>
      </c>
      <c r="AB49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498">
        <f t="shared" si="7"/>
        <v>1245</v>
      </c>
      <c r="AD498" t="str">
        <f>_xlfn.IFS(Table1[[#This Row],[Absence 
Days]]&lt;3,"Excellent",Table1[[#This Row],[Absence 
Days]]&lt;=6,"Good",Table1[[#This Row],[Absence 
Days]]&gt;6,"Poor")</f>
        <v>Good</v>
      </c>
    </row>
    <row r="499" spans="1:30" x14ac:dyDescent="0.35">
      <c r="A499">
        <v>498</v>
      </c>
      <c r="B499" s="2" t="s">
        <v>80</v>
      </c>
      <c r="C499" t="s">
        <v>742</v>
      </c>
      <c r="D499" t="str">
        <f>_xlfn.TEXTJOIN(" ",TRUE,Table1[[#This Row],[First 
Name]:[Last 
Name]])</f>
        <v>Thomas Schroeder</v>
      </c>
      <c r="E499" t="s">
        <v>1609</v>
      </c>
      <c r="F499" t="s">
        <v>3244</v>
      </c>
      <c r="G499" t="str">
        <f ca="1">PROPER(Table1[[#This Row],[Part Time 
Job]])</f>
        <v>False</v>
      </c>
      <c r="H499" s="3">
        <v>2</v>
      </c>
      <c r="I499" t="str">
        <f ca="1">PROPER(Table1[[#This Row],[Extracurricular 
Activities]])</f>
        <v>False</v>
      </c>
      <c r="J499">
        <v>19</v>
      </c>
      <c r="K499" t="s">
        <v>3123</v>
      </c>
      <c r="L499">
        <v>79</v>
      </c>
      <c r="M499" s="12" t="str" cm="1">
        <f t="array" ref="M49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499">
        <v>93</v>
      </c>
      <c r="O499" s="13" t="str" cm="1">
        <f t="array" ref="O49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499">
        <v>72</v>
      </c>
      <c r="Q499" s="13" t="str" cm="1">
        <f t="array" ref="Q49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499">
        <v>97</v>
      </c>
      <c r="S499" t="str" cm="1">
        <f t="array" ref="S49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499">
        <v>69</v>
      </c>
      <c r="U499" t="str" cm="1">
        <f t="array" ref="U49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499">
        <v>78</v>
      </c>
      <c r="W499" t="str" cm="1">
        <f t="array" ref="W49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499">
        <v>87</v>
      </c>
      <c r="Y499" t="str" cm="1">
        <f t="array" ref="Y49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499">
        <f>SUM(Table1[[#This Row],[Math 
Score]],Table1[[#This Row],[History 
Score]],Table1[[#This Row],[Physics 
Score]],Table1[[#This Row],[Chemistry 
Score]],Table1[[#This Row],[Biology 
Score]],Table1[[#This Row],[English 
Score]],Table1[[#This Row],[Geography 
Score]])</f>
        <v>575</v>
      </c>
      <c r="AA499" s="3">
        <f>AVERAGE(Table1[[#This Row],[Math 
Score]],Table1[[#This Row],[History 
Score]],Table1[[#This Row],[Physics 
Score]],Table1[[#This Row],[Chemistry 
Score]],Table1[[#This Row],[Biology 
Score]],Table1[[#This Row],[English 
Score]],Table1[[#This Row],[Geography 
Score]])</f>
        <v>82.142857142857139</v>
      </c>
      <c r="AB49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499">
        <f t="shared" si="7"/>
        <v>807</v>
      </c>
      <c r="AD499" t="str">
        <f>_xlfn.IFS(Table1[[#This Row],[Absence 
Days]]&lt;3,"Excellent",Table1[[#This Row],[Absence 
Days]]&lt;=6,"Good",Table1[[#This Row],[Absence 
Days]]&gt;6,"Poor")</f>
        <v>Excellent</v>
      </c>
    </row>
    <row r="500" spans="1:30" x14ac:dyDescent="0.35">
      <c r="A500">
        <v>499</v>
      </c>
      <c r="B500" s="2" t="s">
        <v>109</v>
      </c>
      <c r="C500" t="s">
        <v>571</v>
      </c>
      <c r="D500" t="str">
        <f>_xlfn.TEXTJOIN(" ",TRUE,Table1[[#This Row],[First 
Name]:[Last 
Name]])</f>
        <v>Mark Sanchez</v>
      </c>
      <c r="E500" t="s">
        <v>1610</v>
      </c>
      <c r="F500" t="s">
        <v>3244</v>
      </c>
      <c r="G500" t="str">
        <f ca="1">PROPER(Table1[[#This Row],[Part Time 
Job]])</f>
        <v>False</v>
      </c>
      <c r="H500" s="3">
        <v>3</v>
      </c>
      <c r="I500" t="str">
        <f ca="1">PROPER(Table1[[#This Row],[Extracurricular 
Activities]])</f>
        <v>False</v>
      </c>
      <c r="J500">
        <v>25</v>
      </c>
      <c r="K500" t="s">
        <v>3117</v>
      </c>
      <c r="L500">
        <v>93</v>
      </c>
      <c r="M500" s="12" t="str" cm="1">
        <f t="array" ref="M50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500">
        <v>70</v>
      </c>
      <c r="O500" s="13" t="str" cm="1">
        <f t="array" ref="O50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500">
        <v>84</v>
      </c>
      <c r="Q500" s="13" t="str" cm="1">
        <f t="array" ref="Q50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500">
        <v>68</v>
      </c>
      <c r="S500" t="str" cm="1">
        <f t="array" ref="S50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500">
        <v>71</v>
      </c>
      <c r="U500" t="str" cm="1">
        <f t="array" ref="U50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500">
        <v>85</v>
      </c>
      <c r="W500" t="str" cm="1">
        <f t="array" ref="W50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500">
        <v>70</v>
      </c>
      <c r="Y500" t="str" cm="1">
        <f t="array" ref="Y50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500">
        <f>SUM(Table1[[#This Row],[Math 
Score]],Table1[[#This Row],[History 
Score]],Table1[[#This Row],[Physics 
Score]],Table1[[#This Row],[Chemistry 
Score]],Table1[[#This Row],[Biology 
Score]],Table1[[#This Row],[English 
Score]],Table1[[#This Row],[Geography 
Score]])</f>
        <v>541</v>
      </c>
      <c r="AA500" s="3">
        <f>AVERAGE(Table1[[#This Row],[Math 
Score]],Table1[[#This Row],[History 
Score]],Table1[[#This Row],[Physics 
Score]],Table1[[#This Row],[Chemistry 
Score]],Table1[[#This Row],[Biology 
Score]],Table1[[#This Row],[English 
Score]],Table1[[#This Row],[Geography 
Score]])</f>
        <v>77.285714285714292</v>
      </c>
      <c r="AB50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500">
        <f t="shared" si="7"/>
        <v>1493</v>
      </c>
      <c r="AD500" t="str">
        <f>_xlfn.IFS(Table1[[#This Row],[Absence 
Days]]&lt;3,"Excellent",Table1[[#This Row],[Absence 
Days]]&lt;=6,"Good",Table1[[#This Row],[Absence 
Days]]&gt;6,"Poor")</f>
        <v>Good</v>
      </c>
    </row>
    <row r="501" spans="1:30" x14ac:dyDescent="0.35">
      <c r="A501">
        <v>500</v>
      </c>
      <c r="B501" s="2" t="s">
        <v>246</v>
      </c>
      <c r="C501" t="s">
        <v>743</v>
      </c>
      <c r="D501" t="str">
        <f>_xlfn.TEXTJOIN(" ",TRUE,Table1[[#This Row],[First 
Name]:[Last 
Name]])</f>
        <v>Katelyn Moses</v>
      </c>
      <c r="E501" t="s">
        <v>1611</v>
      </c>
      <c r="F501" t="s">
        <v>3245</v>
      </c>
      <c r="G501" t="str">
        <f ca="1">PROPER(Table1[[#This Row],[Part Time 
Job]])</f>
        <v>False</v>
      </c>
      <c r="H501" s="3">
        <v>3</v>
      </c>
      <c r="I501" t="str">
        <f ca="1">PROPER(Table1[[#This Row],[Extracurricular 
Activities]])</f>
        <v>False</v>
      </c>
      <c r="J501">
        <v>24</v>
      </c>
      <c r="K501" t="s">
        <v>3123</v>
      </c>
      <c r="L501">
        <v>79</v>
      </c>
      <c r="M501" s="12" t="str" cm="1">
        <f t="array" ref="M50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501">
        <v>96</v>
      </c>
      <c r="O501" s="13" t="str" cm="1">
        <f t="array" ref="O50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501">
        <v>78</v>
      </c>
      <c r="Q501" s="13" t="str" cm="1">
        <f t="array" ref="Q50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501">
        <v>90</v>
      </c>
      <c r="S501" t="str" cm="1">
        <f t="array" ref="S50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501">
        <v>94</v>
      </c>
      <c r="U501" t="str" cm="1">
        <f t="array" ref="U50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501">
        <v>76</v>
      </c>
      <c r="W501" t="str" cm="1">
        <f t="array" ref="W50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501">
        <v>88</v>
      </c>
      <c r="Y501" t="str" cm="1">
        <f t="array" ref="Y50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501">
        <f>SUM(Table1[[#This Row],[Math 
Score]],Table1[[#This Row],[History 
Score]],Table1[[#This Row],[Physics 
Score]],Table1[[#This Row],[Chemistry 
Score]],Table1[[#This Row],[Biology 
Score]],Table1[[#This Row],[English 
Score]],Table1[[#This Row],[Geography 
Score]])</f>
        <v>601</v>
      </c>
      <c r="AA501" s="3">
        <f>AVERAGE(Table1[[#This Row],[Math 
Score]],Table1[[#This Row],[History 
Score]],Table1[[#This Row],[Physics 
Score]],Table1[[#This Row],[Chemistry 
Score]],Table1[[#This Row],[Biology 
Score]],Table1[[#This Row],[English 
Score]],Table1[[#This Row],[Geography 
Score]])</f>
        <v>85.857142857142861</v>
      </c>
      <c r="AB50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501">
        <f t="shared" si="7"/>
        <v>394</v>
      </c>
      <c r="AD501" t="str">
        <f>_xlfn.IFS(Table1[[#This Row],[Absence 
Days]]&lt;3,"Excellent",Table1[[#This Row],[Absence 
Days]]&lt;=6,"Good",Table1[[#This Row],[Absence 
Days]]&gt;6,"Poor")</f>
        <v>Good</v>
      </c>
    </row>
    <row r="502" spans="1:30" x14ac:dyDescent="0.35">
      <c r="A502">
        <v>501</v>
      </c>
      <c r="B502" s="2" t="s">
        <v>247</v>
      </c>
      <c r="C502" t="s">
        <v>492</v>
      </c>
      <c r="D502" t="str">
        <f>_xlfn.TEXTJOIN(" ",TRUE,Table1[[#This Row],[First 
Name]:[Last 
Name]])</f>
        <v>Corey Davis</v>
      </c>
      <c r="E502" t="s">
        <v>1612</v>
      </c>
      <c r="F502" t="s">
        <v>3244</v>
      </c>
      <c r="G502" t="str">
        <f ca="1">PROPER(Table1[[#This Row],[Part Time 
Job]])</f>
        <v>False</v>
      </c>
      <c r="H502" s="3">
        <v>1</v>
      </c>
      <c r="I502" t="str">
        <f ca="1">PROPER(Table1[[#This Row],[Extracurricular 
Activities]])</f>
        <v>False</v>
      </c>
      <c r="J502">
        <v>21</v>
      </c>
      <c r="K502" t="s">
        <v>3127</v>
      </c>
      <c r="L502">
        <v>98</v>
      </c>
      <c r="M502" s="12" t="str" cm="1">
        <f t="array" ref="M50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502">
        <v>99</v>
      </c>
      <c r="O502" s="13" t="str" cm="1">
        <f t="array" ref="O50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502">
        <v>72</v>
      </c>
      <c r="Q502" s="13" t="str" cm="1">
        <f t="array" ref="Q50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502">
        <v>100</v>
      </c>
      <c r="S502" t="str" cm="1">
        <f t="array" ref="S50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502">
        <v>94</v>
      </c>
      <c r="U502" t="str" cm="1">
        <f t="array" ref="U50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502">
        <v>77</v>
      </c>
      <c r="W502" t="str" cm="1">
        <f t="array" ref="W50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502">
        <v>84</v>
      </c>
      <c r="Y502" t="str" cm="1">
        <f t="array" ref="Y50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502">
        <f>SUM(Table1[[#This Row],[Math 
Score]],Table1[[#This Row],[History 
Score]],Table1[[#This Row],[Physics 
Score]],Table1[[#This Row],[Chemistry 
Score]],Table1[[#This Row],[Biology 
Score]],Table1[[#This Row],[English 
Score]],Table1[[#This Row],[Geography 
Score]])</f>
        <v>624</v>
      </c>
      <c r="AA502" s="3">
        <f>AVERAGE(Table1[[#This Row],[Math 
Score]],Table1[[#This Row],[History 
Score]],Table1[[#This Row],[Physics 
Score]],Table1[[#This Row],[Chemistry 
Score]],Table1[[#This Row],[Biology 
Score]],Table1[[#This Row],[English 
Score]],Table1[[#This Row],[Geography 
Score]])</f>
        <v>89.142857142857139</v>
      </c>
      <c r="AB50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502">
        <f t="shared" si="7"/>
        <v>194</v>
      </c>
      <c r="AD502" t="str">
        <f>_xlfn.IFS(Table1[[#This Row],[Absence 
Days]]&lt;3,"Excellent",Table1[[#This Row],[Absence 
Days]]&lt;=6,"Good",Table1[[#This Row],[Absence 
Days]]&gt;6,"Poor")</f>
        <v>Excellent</v>
      </c>
    </row>
    <row r="503" spans="1:30" x14ac:dyDescent="0.35">
      <c r="A503">
        <v>502</v>
      </c>
      <c r="B503" s="2" t="s">
        <v>229</v>
      </c>
      <c r="C503" t="s">
        <v>668</v>
      </c>
      <c r="D503" t="str">
        <f>_xlfn.TEXTJOIN(" ",TRUE,Table1[[#This Row],[First 
Name]:[Last 
Name]])</f>
        <v>Susan Klein</v>
      </c>
      <c r="E503" t="s">
        <v>1613</v>
      </c>
      <c r="F503" t="s">
        <v>3245</v>
      </c>
      <c r="G503" t="str">
        <f ca="1">PROPER(Table1[[#This Row],[Part Time 
Job]])</f>
        <v>True</v>
      </c>
      <c r="H503" s="3">
        <v>8</v>
      </c>
      <c r="I503" t="str">
        <f ca="1">PROPER(Table1[[#This Row],[Extracurricular 
Activities]])</f>
        <v>True</v>
      </c>
      <c r="J503">
        <v>0</v>
      </c>
      <c r="K503" t="s">
        <v>3119</v>
      </c>
      <c r="L503">
        <v>93</v>
      </c>
      <c r="M503" s="12" t="str" cm="1">
        <f t="array" ref="M50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503">
        <v>99</v>
      </c>
      <c r="O503" s="13" t="str" cm="1">
        <f t="array" ref="O50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503">
        <v>81</v>
      </c>
      <c r="Q503" s="13" t="str" cm="1">
        <f t="array" ref="Q50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503">
        <v>67</v>
      </c>
      <c r="S503" t="str" cm="1">
        <f t="array" ref="S50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503">
        <v>87</v>
      </c>
      <c r="U503" t="str" cm="1">
        <f t="array" ref="U50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503">
        <v>76</v>
      </c>
      <c r="W503" t="str" cm="1">
        <f t="array" ref="W50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503">
        <v>60</v>
      </c>
      <c r="Y503" t="str" cm="1">
        <f t="array" ref="Y50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503">
        <f>SUM(Table1[[#This Row],[Math 
Score]],Table1[[#This Row],[History 
Score]],Table1[[#This Row],[Physics 
Score]],Table1[[#This Row],[Chemistry 
Score]],Table1[[#This Row],[Biology 
Score]],Table1[[#This Row],[English 
Score]],Table1[[#This Row],[Geography 
Score]])</f>
        <v>563</v>
      </c>
      <c r="AA503" s="3">
        <f>AVERAGE(Table1[[#This Row],[Math 
Score]],Table1[[#This Row],[History 
Score]],Table1[[#This Row],[Physics 
Score]],Table1[[#This Row],[Chemistry 
Score]],Table1[[#This Row],[Biology 
Score]],Table1[[#This Row],[English 
Score]],Table1[[#This Row],[Geography 
Score]])</f>
        <v>80.428571428571431</v>
      </c>
      <c r="AB50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503">
        <f t="shared" si="7"/>
        <v>1077</v>
      </c>
      <c r="AD503" t="str">
        <f>_xlfn.IFS(Table1[[#This Row],[Absence 
Days]]&lt;3,"Excellent",Table1[[#This Row],[Absence 
Days]]&lt;=6,"Good",Table1[[#This Row],[Absence 
Days]]&gt;6,"Poor")</f>
        <v>Poor</v>
      </c>
    </row>
    <row r="504" spans="1:30" x14ac:dyDescent="0.35">
      <c r="A504">
        <v>503</v>
      </c>
      <c r="B504" s="2" t="s">
        <v>124</v>
      </c>
      <c r="C504" t="s">
        <v>486</v>
      </c>
      <c r="D504" t="str">
        <f>_xlfn.TEXTJOIN(" ",TRUE,Table1[[#This Row],[First 
Name]:[Last 
Name]])</f>
        <v>John Martinez</v>
      </c>
      <c r="E504" t="s">
        <v>1614</v>
      </c>
      <c r="F504" t="s">
        <v>3244</v>
      </c>
      <c r="G504" t="str">
        <f ca="1">PROPER(Table1[[#This Row],[Part Time 
Job]])</f>
        <v>False</v>
      </c>
      <c r="H504" s="3">
        <v>4</v>
      </c>
      <c r="I504" t="str">
        <f ca="1">PROPER(Table1[[#This Row],[Extracurricular 
Activities]])</f>
        <v>False</v>
      </c>
      <c r="J504">
        <v>30</v>
      </c>
      <c r="K504" t="s">
        <v>3121</v>
      </c>
      <c r="L504">
        <v>91</v>
      </c>
      <c r="M504" s="12" t="str" cm="1">
        <f t="array" ref="M50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504">
        <v>79</v>
      </c>
      <c r="O504" s="13" t="str" cm="1">
        <f t="array" ref="O50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504">
        <v>78</v>
      </c>
      <c r="Q504" s="13" t="str" cm="1">
        <f t="array" ref="Q50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504">
        <v>95</v>
      </c>
      <c r="S504" t="str" cm="1">
        <f t="array" ref="S50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504">
        <v>86</v>
      </c>
      <c r="U504" t="str" cm="1">
        <f t="array" ref="U50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504">
        <v>89</v>
      </c>
      <c r="W504" t="str" cm="1">
        <f t="array" ref="W50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504">
        <v>100</v>
      </c>
      <c r="Y504" t="str" cm="1">
        <f t="array" ref="Y50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504">
        <f>SUM(Table1[[#This Row],[Math 
Score]],Table1[[#This Row],[History 
Score]],Table1[[#This Row],[Physics 
Score]],Table1[[#This Row],[Chemistry 
Score]],Table1[[#This Row],[Biology 
Score]],Table1[[#This Row],[English 
Score]],Table1[[#This Row],[Geography 
Score]])</f>
        <v>618</v>
      </c>
      <c r="AA504" s="3">
        <f>AVERAGE(Table1[[#This Row],[Math 
Score]],Table1[[#This Row],[History 
Score]],Table1[[#This Row],[Physics 
Score]],Table1[[#This Row],[Chemistry 
Score]],Table1[[#This Row],[Biology 
Score]],Table1[[#This Row],[English 
Score]],Table1[[#This Row],[Geography 
Score]])</f>
        <v>88.285714285714292</v>
      </c>
      <c r="AB50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504">
        <f t="shared" si="7"/>
        <v>229</v>
      </c>
      <c r="AD504" t="str">
        <f>_xlfn.IFS(Table1[[#This Row],[Absence 
Days]]&lt;3,"Excellent",Table1[[#This Row],[Absence 
Days]]&lt;=6,"Good",Table1[[#This Row],[Absence 
Days]]&gt;6,"Poor")</f>
        <v>Good</v>
      </c>
    </row>
    <row r="505" spans="1:30" x14ac:dyDescent="0.35">
      <c r="A505">
        <v>504</v>
      </c>
      <c r="B505" s="2" t="s">
        <v>248</v>
      </c>
      <c r="C505" t="s">
        <v>608</v>
      </c>
      <c r="D505" t="str">
        <f>_xlfn.TEXTJOIN(" ",TRUE,Table1[[#This Row],[First 
Name]:[Last 
Name]])</f>
        <v>Kendra Robertson</v>
      </c>
      <c r="E505" t="s">
        <v>1615</v>
      </c>
      <c r="F505" t="s">
        <v>3245</v>
      </c>
      <c r="G505" t="str">
        <f ca="1">PROPER(Table1[[#This Row],[Part Time 
Job]])</f>
        <v>False</v>
      </c>
      <c r="H505" s="3">
        <v>4</v>
      </c>
      <c r="I505" t="str">
        <f ca="1">PROPER(Table1[[#This Row],[Extracurricular 
Activities]])</f>
        <v>False</v>
      </c>
      <c r="J505">
        <v>32</v>
      </c>
      <c r="K505" t="s">
        <v>3117</v>
      </c>
      <c r="L505">
        <v>86</v>
      </c>
      <c r="M505" s="12" t="str" cm="1">
        <f t="array" ref="M50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505">
        <v>99</v>
      </c>
      <c r="O505" s="13" t="str" cm="1">
        <f t="array" ref="O50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505">
        <v>77</v>
      </c>
      <c r="Q505" s="13" t="str" cm="1">
        <f t="array" ref="Q50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505">
        <v>61</v>
      </c>
      <c r="S505" t="str" cm="1">
        <f t="array" ref="S50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505">
        <v>72</v>
      </c>
      <c r="U505" t="str" cm="1">
        <f t="array" ref="U50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505">
        <v>92</v>
      </c>
      <c r="W505" t="str" cm="1">
        <f t="array" ref="W50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505">
        <v>70</v>
      </c>
      <c r="Y505" t="str" cm="1">
        <f t="array" ref="Y50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505">
        <f>SUM(Table1[[#This Row],[Math 
Score]],Table1[[#This Row],[History 
Score]],Table1[[#This Row],[Physics 
Score]],Table1[[#This Row],[Chemistry 
Score]],Table1[[#This Row],[Biology 
Score]],Table1[[#This Row],[English 
Score]],Table1[[#This Row],[Geography 
Score]])</f>
        <v>557</v>
      </c>
      <c r="AA505" s="3">
        <f>AVERAGE(Table1[[#This Row],[Math 
Score]],Table1[[#This Row],[History 
Score]],Table1[[#This Row],[Physics 
Score]],Table1[[#This Row],[Chemistry 
Score]],Table1[[#This Row],[Biology 
Score]],Table1[[#This Row],[English 
Score]],Table1[[#This Row],[Geography 
Score]])</f>
        <v>79.571428571428569</v>
      </c>
      <c r="AB50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505">
        <f t="shared" si="7"/>
        <v>1200</v>
      </c>
      <c r="AD505" t="str">
        <f>_xlfn.IFS(Table1[[#This Row],[Absence 
Days]]&lt;3,"Excellent",Table1[[#This Row],[Absence 
Days]]&lt;=6,"Good",Table1[[#This Row],[Absence 
Days]]&gt;6,"Poor")</f>
        <v>Good</v>
      </c>
    </row>
    <row r="506" spans="1:30" x14ac:dyDescent="0.35">
      <c r="A506">
        <v>505</v>
      </c>
      <c r="B506" s="2" t="s">
        <v>249</v>
      </c>
      <c r="C506" t="s">
        <v>744</v>
      </c>
      <c r="D506" t="str">
        <f>_xlfn.TEXTJOIN(" ",TRUE,Table1[[#This Row],[First 
Name]:[Last 
Name]])</f>
        <v>Tamara Olson</v>
      </c>
      <c r="E506" t="s">
        <v>1616</v>
      </c>
      <c r="F506" t="s">
        <v>3245</v>
      </c>
      <c r="G506" t="str">
        <f ca="1">PROPER(Table1[[#This Row],[Part Time 
Job]])</f>
        <v>False</v>
      </c>
      <c r="H506" s="3">
        <v>8</v>
      </c>
      <c r="I506" t="str">
        <f ca="1">PROPER(Table1[[#This Row],[Extracurricular 
Activities]])</f>
        <v>False</v>
      </c>
      <c r="J506">
        <v>15</v>
      </c>
      <c r="K506" t="s">
        <v>3116</v>
      </c>
      <c r="L506">
        <v>81</v>
      </c>
      <c r="M506" s="12" t="str" cm="1">
        <f t="array" ref="M50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506">
        <v>80</v>
      </c>
      <c r="O506" s="13" t="str" cm="1">
        <f t="array" ref="O50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506">
        <v>85</v>
      </c>
      <c r="Q506" s="13" t="str" cm="1">
        <f t="array" ref="Q50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506">
        <v>93</v>
      </c>
      <c r="S506" t="str" cm="1">
        <f t="array" ref="S50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506">
        <v>68</v>
      </c>
      <c r="U506" t="str" cm="1">
        <f t="array" ref="U50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506">
        <v>75</v>
      </c>
      <c r="W506" t="str" cm="1">
        <f t="array" ref="W50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506">
        <v>90</v>
      </c>
      <c r="Y506" t="str" cm="1">
        <f t="array" ref="Y50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506">
        <f>SUM(Table1[[#This Row],[Math 
Score]],Table1[[#This Row],[History 
Score]],Table1[[#This Row],[Physics 
Score]],Table1[[#This Row],[Chemistry 
Score]],Table1[[#This Row],[Biology 
Score]],Table1[[#This Row],[English 
Score]],Table1[[#This Row],[Geography 
Score]])</f>
        <v>572</v>
      </c>
      <c r="AA506" s="3">
        <f>AVERAGE(Table1[[#This Row],[Math 
Score]],Table1[[#This Row],[History 
Score]],Table1[[#This Row],[Physics 
Score]],Table1[[#This Row],[Chemistry 
Score]],Table1[[#This Row],[Biology 
Score]],Table1[[#This Row],[English 
Score]],Table1[[#This Row],[Geography 
Score]])</f>
        <v>81.714285714285708</v>
      </c>
      <c r="AB50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506">
        <f t="shared" si="7"/>
        <v>890</v>
      </c>
      <c r="AD506" t="str">
        <f>_xlfn.IFS(Table1[[#This Row],[Absence 
Days]]&lt;3,"Excellent",Table1[[#This Row],[Absence 
Days]]&lt;=6,"Good",Table1[[#This Row],[Absence 
Days]]&gt;6,"Poor")</f>
        <v>Poor</v>
      </c>
    </row>
    <row r="507" spans="1:30" x14ac:dyDescent="0.35">
      <c r="A507">
        <v>506</v>
      </c>
      <c r="B507" s="2" t="s">
        <v>211</v>
      </c>
      <c r="C507" t="s">
        <v>597</v>
      </c>
      <c r="D507" t="str">
        <f>_xlfn.TEXTJOIN(" ",TRUE,Table1[[#This Row],[First 
Name]:[Last 
Name]])</f>
        <v>Sara Frazier</v>
      </c>
      <c r="E507" t="s">
        <v>1617</v>
      </c>
      <c r="F507" t="s">
        <v>3245</v>
      </c>
      <c r="G507" t="str">
        <f ca="1">PROPER(Table1[[#This Row],[Part Time 
Job]])</f>
        <v>False</v>
      </c>
      <c r="H507" s="3">
        <v>6</v>
      </c>
      <c r="I507" t="str">
        <f ca="1">PROPER(Table1[[#This Row],[Extracurricular 
Activities]])</f>
        <v>False</v>
      </c>
      <c r="J507">
        <v>15</v>
      </c>
      <c r="K507" t="s">
        <v>3114</v>
      </c>
      <c r="L507">
        <v>97</v>
      </c>
      <c r="M507" s="12" t="str" cm="1">
        <f t="array" ref="M50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507">
        <v>94</v>
      </c>
      <c r="O507" s="13" t="str" cm="1">
        <f t="array" ref="O50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507">
        <v>94</v>
      </c>
      <c r="Q507" s="13" t="str" cm="1">
        <f t="array" ref="Q50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507">
        <v>83</v>
      </c>
      <c r="S507" t="str" cm="1">
        <f t="array" ref="S50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507">
        <v>91</v>
      </c>
      <c r="U507" t="str" cm="1">
        <f t="array" ref="U50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507">
        <v>65</v>
      </c>
      <c r="W507" t="str" cm="1">
        <f t="array" ref="W50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507">
        <v>96</v>
      </c>
      <c r="Y507" t="str" cm="1">
        <f t="array" ref="Y50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507">
        <f>SUM(Table1[[#This Row],[Math 
Score]],Table1[[#This Row],[History 
Score]],Table1[[#This Row],[Physics 
Score]],Table1[[#This Row],[Chemistry 
Score]],Table1[[#This Row],[Biology 
Score]],Table1[[#This Row],[English 
Score]],Table1[[#This Row],[Geography 
Score]])</f>
        <v>620</v>
      </c>
      <c r="AA507" s="3">
        <f>AVERAGE(Table1[[#This Row],[Math 
Score]],Table1[[#This Row],[History 
Score]],Table1[[#This Row],[Physics 
Score]],Table1[[#This Row],[Chemistry 
Score]],Table1[[#This Row],[Biology 
Score]],Table1[[#This Row],[English 
Score]],Table1[[#This Row],[Geography 
Score]])</f>
        <v>88.571428571428569</v>
      </c>
      <c r="AB50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507">
        <f t="shared" si="7"/>
        <v>215</v>
      </c>
      <c r="AD507" t="str">
        <f>_xlfn.IFS(Table1[[#This Row],[Absence 
Days]]&lt;3,"Excellent",Table1[[#This Row],[Absence 
Days]]&lt;=6,"Good",Table1[[#This Row],[Absence 
Days]]&gt;6,"Poor")</f>
        <v>Good</v>
      </c>
    </row>
    <row r="508" spans="1:30" x14ac:dyDescent="0.35">
      <c r="A508">
        <v>507</v>
      </c>
      <c r="B508" s="2" t="s">
        <v>250</v>
      </c>
      <c r="C508" t="s">
        <v>569</v>
      </c>
      <c r="D508" t="str">
        <f>_xlfn.TEXTJOIN(" ",TRUE,Table1[[#This Row],[First 
Name]:[Last 
Name]])</f>
        <v>Morgan Moore</v>
      </c>
      <c r="E508" t="s">
        <v>1618</v>
      </c>
      <c r="F508" t="s">
        <v>3245</v>
      </c>
      <c r="G508" t="str">
        <f ca="1">PROPER(Table1[[#This Row],[Part Time 
Job]])</f>
        <v>False</v>
      </c>
      <c r="H508" s="3">
        <v>3</v>
      </c>
      <c r="I508" t="str">
        <f ca="1">PROPER(Table1[[#This Row],[Extracurricular 
Activities]])</f>
        <v>True</v>
      </c>
      <c r="J508">
        <v>4</v>
      </c>
      <c r="K508" t="s">
        <v>3126</v>
      </c>
      <c r="L508">
        <v>90</v>
      </c>
      <c r="M508" s="12" t="str" cm="1">
        <f t="array" ref="M50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508">
        <v>95</v>
      </c>
      <c r="O508" s="13" t="str" cm="1">
        <f t="array" ref="O50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508">
        <v>89</v>
      </c>
      <c r="Q508" s="13" t="str" cm="1">
        <f t="array" ref="Q50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508">
        <v>93</v>
      </c>
      <c r="S508" t="str" cm="1">
        <f t="array" ref="S50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508">
        <v>92</v>
      </c>
      <c r="U508" t="str" cm="1">
        <f t="array" ref="U50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508">
        <v>99</v>
      </c>
      <c r="W508" t="str" cm="1">
        <f t="array" ref="W50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508">
        <v>88</v>
      </c>
      <c r="Y508" t="str" cm="1">
        <f t="array" ref="Y50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508">
        <f>SUM(Table1[[#This Row],[Math 
Score]],Table1[[#This Row],[History 
Score]],Table1[[#This Row],[Physics 
Score]],Table1[[#This Row],[Chemistry 
Score]],Table1[[#This Row],[Biology 
Score]],Table1[[#This Row],[English 
Score]],Table1[[#This Row],[Geography 
Score]])</f>
        <v>646</v>
      </c>
      <c r="AA508" s="3">
        <f>AVERAGE(Table1[[#This Row],[Math 
Score]],Table1[[#This Row],[History 
Score]],Table1[[#This Row],[Physics 
Score]],Table1[[#This Row],[Chemistry 
Score]],Table1[[#This Row],[Biology 
Score]],Table1[[#This Row],[English 
Score]],Table1[[#This Row],[Geography 
Score]])</f>
        <v>92.285714285714292</v>
      </c>
      <c r="AB50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508">
        <f t="shared" si="7"/>
        <v>73</v>
      </c>
      <c r="AD508" t="str">
        <f>_xlfn.IFS(Table1[[#This Row],[Absence 
Days]]&lt;3,"Excellent",Table1[[#This Row],[Absence 
Days]]&lt;=6,"Good",Table1[[#This Row],[Absence 
Days]]&gt;6,"Poor")</f>
        <v>Good</v>
      </c>
    </row>
    <row r="509" spans="1:30" x14ac:dyDescent="0.35">
      <c r="A509">
        <v>508</v>
      </c>
      <c r="B509" s="2" t="s">
        <v>58</v>
      </c>
      <c r="C509" t="s">
        <v>521</v>
      </c>
      <c r="D509" t="str">
        <f>_xlfn.TEXTJOIN(" ",TRUE,Table1[[#This Row],[First 
Name]:[Last 
Name]])</f>
        <v>Eric Snyder</v>
      </c>
      <c r="E509" t="s">
        <v>1619</v>
      </c>
      <c r="F509" t="s">
        <v>3244</v>
      </c>
      <c r="G509" t="str">
        <f ca="1">PROPER(Table1[[#This Row],[Part Time 
Job]])</f>
        <v>False</v>
      </c>
      <c r="H509" s="3">
        <v>1</v>
      </c>
      <c r="I509" t="str">
        <f ca="1">PROPER(Table1[[#This Row],[Extracurricular 
Activities]])</f>
        <v>True</v>
      </c>
      <c r="J509">
        <v>27</v>
      </c>
      <c r="K509" t="s">
        <v>3117</v>
      </c>
      <c r="L509">
        <v>90</v>
      </c>
      <c r="M509" s="12" t="str" cm="1">
        <f t="array" ref="M50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509">
        <v>91</v>
      </c>
      <c r="O509" s="13" t="str" cm="1">
        <f t="array" ref="O50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509">
        <v>62</v>
      </c>
      <c r="Q509" s="13" t="str" cm="1">
        <f t="array" ref="Q50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509">
        <v>82</v>
      </c>
      <c r="S509" t="str" cm="1">
        <f t="array" ref="S50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509">
        <v>76</v>
      </c>
      <c r="U509" t="str" cm="1">
        <f t="array" ref="U50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509">
        <v>70</v>
      </c>
      <c r="W509" t="str" cm="1">
        <f t="array" ref="W50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509">
        <v>64</v>
      </c>
      <c r="Y509" t="str" cm="1">
        <f t="array" ref="Y50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509">
        <f>SUM(Table1[[#This Row],[Math 
Score]],Table1[[#This Row],[History 
Score]],Table1[[#This Row],[Physics 
Score]],Table1[[#This Row],[Chemistry 
Score]],Table1[[#This Row],[Biology 
Score]],Table1[[#This Row],[English 
Score]],Table1[[#This Row],[Geography 
Score]])</f>
        <v>535</v>
      </c>
      <c r="AA509" s="3">
        <f>AVERAGE(Table1[[#This Row],[Math 
Score]],Table1[[#This Row],[History 
Score]],Table1[[#This Row],[Physics 
Score]],Table1[[#This Row],[Chemistry 
Score]],Table1[[#This Row],[Biology 
Score]],Table1[[#This Row],[English 
Score]],Table1[[#This Row],[Geography 
Score]])</f>
        <v>76.428571428571431</v>
      </c>
      <c r="AB50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509">
        <f t="shared" si="7"/>
        <v>1578</v>
      </c>
      <c r="AD509" t="str">
        <f>_xlfn.IFS(Table1[[#This Row],[Absence 
Days]]&lt;3,"Excellent",Table1[[#This Row],[Absence 
Days]]&lt;=6,"Good",Table1[[#This Row],[Absence 
Days]]&gt;6,"Poor")</f>
        <v>Excellent</v>
      </c>
    </row>
    <row r="510" spans="1:30" x14ac:dyDescent="0.35">
      <c r="A510">
        <v>509</v>
      </c>
      <c r="B510" s="2" t="s">
        <v>0</v>
      </c>
      <c r="C510" t="s">
        <v>745</v>
      </c>
      <c r="D510" t="str">
        <f>_xlfn.TEXTJOIN(" ",TRUE,Table1[[#This Row],[First 
Name]:[Last 
Name]])</f>
        <v>Paul Hale</v>
      </c>
      <c r="E510" t="s">
        <v>1620</v>
      </c>
      <c r="F510" t="s">
        <v>3244</v>
      </c>
      <c r="G510" t="str">
        <f ca="1">PROPER(Table1[[#This Row],[Part Time 
Job]])</f>
        <v>False</v>
      </c>
      <c r="H510" s="3">
        <v>5</v>
      </c>
      <c r="I510" t="str">
        <f ca="1">PROPER(Table1[[#This Row],[Extracurricular 
Activities]])</f>
        <v>False</v>
      </c>
      <c r="J510">
        <v>33</v>
      </c>
      <c r="K510" t="s">
        <v>3125</v>
      </c>
      <c r="L510">
        <v>82</v>
      </c>
      <c r="M510" s="12" t="str" cm="1">
        <f t="array" ref="M51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510">
        <v>92</v>
      </c>
      <c r="O510" s="13" t="str" cm="1">
        <f t="array" ref="O51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510">
        <v>95</v>
      </c>
      <c r="Q510" s="13" t="str" cm="1">
        <f t="array" ref="Q51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510">
        <v>61</v>
      </c>
      <c r="S510" t="str" cm="1">
        <f t="array" ref="S51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510">
        <v>84</v>
      </c>
      <c r="U510" t="str" cm="1">
        <f t="array" ref="U51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510">
        <v>81</v>
      </c>
      <c r="W510" t="str" cm="1">
        <f t="array" ref="W51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510">
        <v>82</v>
      </c>
      <c r="Y510" t="str" cm="1">
        <f t="array" ref="Y51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510">
        <f>SUM(Table1[[#This Row],[Math 
Score]],Table1[[#This Row],[History 
Score]],Table1[[#This Row],[Physics 
Score]],Table1[[#This Row],[Chemistry 
Score]],Table1[[#This Row],[Biology 
Score]],Table1[[#This Row],[English 
Score]],Table1[[#This Row],[Geography 
Score]])</f>
        <v>577</v>
      </c>
      <c r="AA510" s="3">
        <f>AVERAGE(Table1[[#This Row],[Math 
Score]],Table1[[#This Row],[History 
Score]],Table1[[#This Row],[Physics 
Score]],Table1[[#This Row],[Chemistry 
Score]],Table1[[#This Row],[Biology 
Score]],Table1[[#This Row],[English 
Score]],Table1[[#This Row],[Geography 
Score]])</f>
        <v>82.428571428571431</v>
      </c>
      <c r="AB51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510">
        <f t="shared" si="7"/>
        <v>769</v>
      </c>
      <c r="AD510" t="str">
        <f>_xlfn.IFS(Table1[[#This Row],[Absence 
Days]]&lt;3,"Excellent",Table1[[#This Row],[Absence 
Days]]&lt;=6,"Good",Table1[[#This Row],[Absence 
Days]]&gt;6,"Poor")</f>
        <v>Good</v>
      </c>
    </row>
    <row r="511" spans="1:30" x14ac:dyDescent="0.35">
      <c r="A511">
        <v>510</v>
      </c>
      <c r="B511" s="2" t="s">
        <v>251</v>
      </c>
      <c r="C511" t="s">
        <v>486</v>
      </c>
      <c r="D511" t="str">
        <f>_xlfn.TEXTJOIN(" ",TRUE,Table1[[#This Row],[First 
Name]:[Last 
Name]])</f>
        <v>Dale Martinez</v>
      </c>
      <c r="E511" t="s">
        <v>1621</v>
      </c>
      <c r="F511" t="s">
        <v>3244</v>
      </c>
      <c r="G511" t="str">
        <f ca="1">PROPER(Table1[[#This Row],[Part Time 
Job]])</f>
        <v>False</v>
      </c>
      <c r="H511" s="3">
        <v>7</v>
      </c>
      <c r="I511" t="str">
        <f ca="1">PROPER(Table1[[#This Row],[Extracurricular 
Activities]])</f>
        <v>False</v>
      </c>
      <c r="J511">
        <v>25</v>
      </c>
      <c r="K511" t="s">
        <v>3117</v>
      </c>
      <c r="L511">
        <v>91</v>
      </c>
      <c r="M511" s="12" t="str" cm="1">
        <f t="array" ref="M51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511">
        <v>94</v>
      </c>
      <c r="O511" s="13" t="str" cm="1">
        <f t="array" ref="O51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511">
        <v>89</v>
      </c>
      <c r="Q511" s="13" t="str" cm="1">
        <f t="array" ref="Q51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511">
        <v>74</v>
      </c>
      <c r="S511" t="str" cm="1">
        <f t="array" ref="S51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511">
        <v>60</v>
      </c>
      <c r="U511" t="str" cm="1">
        <f t="array" ref="U51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511">
        <v>77</v>
      </c>
      <c r="W511" t="str" cm="1">
        <f t="array" ref="W51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511">
        <v>77</v>
      </c>
      <c r="Y511" t="str" cm="1">
        <f t="array" ref="Y51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511">
        <f>SUM(Table1[[#This Row],[Math 
Score]],Table1[[#This Row],[History 
Score]],Table1[[#This Row],[Physics 
Score]],Table1[[#This Row],[Chemistry 
Score]],Table1[[#This Row],[Biology 
Score]],Table1[[#This Row],[English 
Score]],Table1[[#This Row],[Geography 
Score]])</f>
        <v>562</v>
      </c>
      <c r="AA511" s="3">
        <f>AVERAGE(Table1[[#This Row],[Math 
Score]],Table1[[#This Row],[History 
Score]],Table1[[#This Row],[Physics 
Score]],Table1[[#This Row],[Chemistry 
Score]],Table1[[#This Row],[Biology 
Score]],Table1[[#This Row],[English 
Score]],Table1[[#This Row],[Geography 
Score]])</f>
        <v>80.285714285714292</v>
      </c>
      <c r="AB51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511">
        <f t="shared" si="7"/>
        <v>1099</v>
      </c>
      <c r="AD511" t="str">
        <f>_xlfn.IFS(Table1[[#This Row],[Absence 
Days]]&lt;3,"Excellent",Table1[[#This Row],[Absence 
Days]]&lt;=6,"Good",Table1[[#This Row],[Absence 
Days]]&gt;6,"Poor")</f>
        <v>Poor</v>
      </c>
    </row>
    <row r="512" spans="1:30" x14ac:dyDescent="0.35">
      <c r="A512">
        <v>511</v>
      </c>
      <c r="B512" s="2" t="s">
        <v>46</v>
      </c>
      <c r="C512" t="s">
        <v>746</v>
      </c>
      <c r="D512" t="str">
        <f>_xlfn.TEXTJOIN(" ",TRUE,Table1[[#This Row],[First 
Name]:[Last 
Name]])</f>
        <v>Sandra Prince</v>
      </c>
      <c r="E512" t="s">
        <v>1622</v>
      </c>
      <c r="F512" t="s">
        <v>3245</v>
      </c>
      <c r="G512" t="str">
        <f ca="1">PROPER(Table1[[#This Row],[Part Time 
Job]])</f>
        <v>False</v>
      </c>
      <c r="H512" s="3">
        <v>0</v>
      </c>
      <c r="I512" t="str">
        <f ca="1">PROPER(Table1[[#This Row],[Extracurricular 
Activities]])</f>
        <v>False</v>
      </c>
      <c r="J512">
        <v>29</v>
      </c>
      <c r="K512" t="s">
        <v>3112</v>
      </c>
      <c r="L512">
        <v>70</v>
      </c>
      <c r="M512" s="12" t="str" cm="1">
        <f t="array" ref="M512">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512">
        <v>94</v>
      </c>
      <c r="O512" s="13" t="str" cm="1">
        <f t="array" ref="O51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512">
        <v>67</v>
      </c>
      <c r="Q512" s="13" t="str" cm="1">
        <f t="array" ref="Q51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512">
        <v>74</v>
      </c>
      <c r="S512" t="str" cm="1">
        <f t="array" ref="S51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512">
        <v>84</v>
      </c>
      <c r="U512" t="str" cm="1">
        <f t="array" ref="U51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512">
        <v>95</v>
      </c>
      <c r="W512" t="str" cm="1">
        <f t="array" ref="W51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512">
        <v>65</v>
      </c>
      <c r="Y512" t="str" cm="1">
        <f t="array" ref="Y51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512">
        <f>SUM(Table1[[#This Row],[Math 
Score]],Table1[[#This Row],[History 
Score]],Table1[[#This Row],[Physics 
Score]],Table1[[#This Row],[Chemistry 
Score]],Table1[[#This Row],[Biology 
Score]],Table1[[#This Row],[English 
Score]],Table1[[#This Row],[Geography 
Score]])</f>
        <v>549</v>
      </c>
      <c r="AA512" s="3">
        <f>AVERAGE(Table1[[#This Row],[Math 
Score]],Table1[[#This Row],[History 
Score]],Table1[[#This Row],[Physics 
Score]],Table1[[#This Row],[Chemistry 
Score]],Table1[[#This Row],[Biology 
Score]],Table1[[#This Row],[English 
Score]],Table1[[#This Row],[Geography 
Score]])</f>
        <v>78.428571428571431</v>
      </c>
      <c r="AB51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512">
        <f t="shared" si="7"/>
        <v>1355</v>
      </c>
      <c r="AD512" t="str">
        <f>_xlfn.IFS(Table1[[#This Row],[Absence 
Days]]&lt;3,"Excellent",Table1[[#This Row],[Absence 
Days]]&lt;=6,"Good",Table1[[#This Row],[Absence 
Days]]&gt;6,"Poor")</f>
        <v>Excellent</v>
      </c>
    </row>
    <row r="513" spans="1:30" x14ac:dyDescent="0.35">
      <c r="A513">
        <v>512</v>
      </c>
      <c r="B513" s="2" t="s">
        <v>197</v>
      </c>
      <c r="C513" t="s">
        <v>747</v>
      </c>
      <c r="D513" t="str">
        <f>_xlfn.TEXTJOIN(" ",TRUE,Table1[[#This Row],[First 
Name]:[Last 
Name]])</f>
        <v>Dawn Poole</v>
      </c>
      <c r="E513" t="s">
        <v>1623</v>
      </c>
      <c r="F513" t="s">
        <v>3245</v>
      </c>
      <c r="G513" t="str">
        <f ca="1">PROPER(Table1[[#This Row],[Part Time 
Job]])</f>
        <v>False</v>
      </c>
      <c r="H513" s="3">
        <v>2</v>
      </c>
      <c r="I513" t="str">
        <f ca="1">PROPER(Table1[[#This Row],[Extracurricular 
Activities]])</f>
        <v>False</v>
      </c>
      <c r="J513">
        <v>13</v>
      </c>
      <c r="K513" t="s">
        <v>3116</v>
      </c>
      <c r="L513">
        <v>60</v>
      </c>
      <c r="M513" s="12" t="str" cm="1">
        <f t="array" ref="M513">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513">
        <v>75</v>
      </c>
      <c r="O513" s="13" t="str" cm="1">
        <f t="array" ref="O51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513">
        <v>70</v>
      </c>
      <c r="Q513" s="13" t="str" cm="1">
        <f t="array" ref="Q51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513">
        <v>96</v>
      </c>
      <c r="S513" t="str" cm="1">
        <f t="array" ref="S51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513">
        <v>63</v>
      </c>
      <c r="U513" t="str" cm="1">
        <f t="array" ref="U51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513">
        <v>82</v>
      </c>
      <c r="W513" t="str" cm="1">
        <f t="array" ref="W51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513">
        <v>80</v>
      </c>
      <c r="Y513" t="str" cm="1">
        <f t="array" ref="Y51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513">
        <f>SUM(Table1[[#This Row],[Math 
Score]],Table1[[#This Row],[History 
Score]],Table1[[#This Row],[Physics 
Score]],Table1[[#This Row],[Chemistry 
Score]],Table1[[#This Row],[Biology 
Score]],Table1[[#This Row],[English 
Score]],Table1[[#This Row],[Geography 
Score]])</f>
        <v>526</v>
      </c>
      <c r="AA513" s="3">
        <f>AVERAGE(Table1[[#This Row],[Math 
Score]],Table1[[#This Row],[History 
Score]],Table1[[#This Row],[Physics 
Score]],Table1[[#This Row],[Chemistry 
Score]],Table1[[#This Row],[Biology 
Score]],Table1[[#This Row],[English 
Score]],Table1[[#This Row],[Geography 
Score]])</f>
        <v>75.142857142857139</v>
      </c>
      <c r="AB51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513">
        <f t="shared" si="7"/>
        <v>1688</v>
      </c>
      <c r="AD513" t="str">
        <f>_xlfn.IFS(Table1[[#This Row],[Absence 
Days]]&lt;3,"Excellent",Table1[[#This Row],[Absence 
Days]]&lt;=6,"Good",Table1[[#This Row],[Absence 
Days]]&gt;6,"Poor")</f>
        <v>Excellent</v>
      </c>
    </row>
    <row r="514" spans="1:30" x14ac:dyDescent="0.35">
      <c r="A514">
        <v>513</v>
      </c>
      <c r="B514" s="2" t="s">
        <v>37</v>
      </c>
      <c r="C514" t="s">
        <v>95</v>
      </c>
      <c r="D514" t="str">
        <f>_xlfn.TEXTJOIN(" ",TRUE,Table1[[#This Row],[First 
Name]:[Last 
Name]])</f>
        <v>Emily Jordan</v>
      </c>
      <c r="E514" t="s">
        <v>1624</v>
      </c>
      <c r="F514" t="s">
        <v>3245</v>
      </c>
      <c r="G514" t="str">
        <f ca="1">PROPER(Table1[[#This Row],[Part Time 
Job]])</f>
        <v>False</v>
      </c>
      <c r="H514" s="3">
        <v>3</v>
      </c>
      <c r="I514" t="str">
        <f ca="1">PROPER(Table1[[#This Row],[Extracurricular 
Activities]])</f>
        <v>False</v>
      </c>
      <c r="J514">
        <v>49</v>
      </c>
      <c r="K514" t="s">
        <v>3113</v>
      </c>
      <c r="L514">
        <v>85</v>
      </c>
      <c r="M514" s="12" t="str" cm="1">
        <f t="array" ref="M51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514">
        <v>96</v>
      </c>
      <c r="O514" s="13" t="str" cm="1">
        <f t="array" ref="O51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514">
        <v>99</v>
      </c>
      <c r="Q514" s="13" t="str" cm="1">
        <f t="array" ref="Q51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514">
        <v>94</v>
      </c>
      <c r="S514" t="str" cm="1">
        <f t="array" ref="S51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514">
        <v>95</v>
      </c>
      <c r="U514" t="str" cm="1">
        <f t="array" ref="U51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514">
        <v>92</v>
      </c>
      <c r="W514" t="str" cm="1">
        <f t="array" ref="W51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514">
        <v>95</v>
      </c>
      <c r="Y514" t="str" cm="1">
        <f t="array" ref="Y51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514">
        <f>SUM(Table1[[#This Row],[Math 
Score]],Table1[[#This Row],[History 
Score]],Table1[[#This Row],[Physics 
Score]],Table1[[#This Row],[Chemistry 
Score]],Table1[[#This Row],[Biology 
Score]],Table1[[#This Row],[English 
Score]],Table1[[#This Row],[Geography 
Score]])</f>
        <v>656</v>
      </c>
      <c r="AA514" s="3">
        <f>AVERAGE(Table1[[#This Row],[Math 
Score]],Table1[[#This Row],[History 
Score]],Table1[[#This Row],[Physics 
Score]],Table1[[#This Row],[Chemistry 
Score]],Table1[[#This Row],[Biology 
Score]],Table1[[#This Row],[English 
Score]],Table1[[#This Row],[Geography 
Score]])</f>
        <v>93.714285714285708</v>
      </c>
      <c r="AB51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514">
        <f t="shared" ref="AC514:AC577" si="8">RANK(AA514,$AA$2:$AA$2001,0)</f>
        <v>28</v>
      </c>
      <c r="AD514" t="str">
        <f>_xlfn.IFS(Table1[[#This Row],[Absence 
Days]]&lt;3,"Excellent",Table1[[#This Row],[Absence 
Days]]&lt;=6,"Good",Table1[[#This Row],[Absence 
Days]]&gt;6,"Poor")</f>
        <v>Good</v>
      </c>
    </row>
    <row r="515" spans="1:30" x14ac:dyDescent="0.35">
      <c r="A515">
        <v>514</v>
      </c>
      <c r="B515" s="2" t="s">
        <v>124</v>
      </c>
      <c r="C515" t="s">
        <v>748</v>
      </c>
      <c r="D515" t="str">
        <f>_xlfn.TEXTJOIN(" ",TRUE,Table1[[#This Row],[First 
Name]:[Last 
Name]])</f>
        <v>John Owen</v>
      </c>
      <c r="E515" t="s">
        <v>1625</v>
      </c>
      <c r="F515" t="s">
        <v>3244</v>
      </c>
      <c r="G515" t="str">
        <f ca="1">PROPER(Table1[[#This Row],[Part Time 
Job]])</f>
        <v>False</v>
      </c>
      <c r="H515" s="3">
        <v>6</v>
      </c>
      <c r="I515" t="str">
        <f ca="1">PROPER(Table1[[#This Row],[Extracurricular 
Activities]])</f>
        <v>False</v>
      </c>
      <c r="J515">
        <v>34</v>
      </c>
      <c r="K515" t="s">
        <v>3112</v>
      </c>
      <c r="L515">
        <v>82</v>
      </c>
      <c r="M515" s="12" t="str" cm="1">
        <f t="array" ref="M51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515">
        <v>85</v>
      </c>
      <c r="O515" s="13" t="str" cm="1">
        <f t="array" ref="O51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515">
        <v>72</v>
      </c>
      <c r="Q515" s="13" t="str" cm="1">
        <f t="array" ref="Q51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515">
        <v>69</v>
      </c>
      <c r="S515" t="str" cm="1">
        <f t="array" ref="S51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515">
        <v>63</v>
      </c>
      <c r="U515" t="str" cm="1">
        <f t="array" ref="U51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515">
        <v>99</v>
      </c>
      <c r="W515" t="str" cm="1">
        <f t="array" ref="W51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515">
        <v>68</v>
      </c>
      <c r="Y515" t="str" cm="1">
        <f t="array" ref="Y51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515">
        <f>SUM(Table1[[#This Row],[Math 
Score]],Table1[[#This Row],[History 
Score]],Table1[[#This Row],[Physics 
Score]],Table1[[#This Row],[Chemistry 
Score]],Table1[[#This Row],[Biology 
Score]],Table1[[#This Row],[English 
Score]],Table1[[#This Row],[Geography 
Score]])</f>
        <v>538</v>
      </c>
      <c r="AA515" s="3">
        <f>AVERAGE(Table1[[#This Row],[Math 
Score]],Table1[[#This Row],[History 
Score]],Table1[[#This Row],[Physics 
Score]],Table1[[#This Row],[Chemistry 
Score]],Table1[[#This Row],[Biology 
Score]],Table1[[#This Row],[English 
Score]],Table1[[#This Row],[Geography 
Score]])</f>
        <v>76.857142857142861</v>
      </c>
      <c r="AB51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515">
        <f t="shared" si="8"/>
        <v>1537</v>
      </c>
      <c r="AD515" t="str">
        <f>_xlfn.IFS(Table1[[#This Row],[Absence 
Days]]&lt;3,"Excellent",Table1[[#This Row],[Absence 
Days]]&lt;=6,"Good",Table1[[#This Row],[Absence 
Days]]&gt;6,"Poor")</f>
        <v>Good</v>
      </c>
    </row>
    <row r="516" spans="1:30" x14ac:dyDescent="0.35">
      <c r="A516">
        <v>515</v>
      </c>
      <c r="B516" s="2" t="s">
        <v>93</v>
      </c>
      <c r="C516" t="s">
        <v>749</v>
      </c>
      <c r="D516" t="str">
        <f>_xlfn.TEXTJOIN(" ",TRUE,Table1[[#This Row],[First 
Name]:[Last 
Name]])</f>
        <v>Andrew Best</v>
      </c>
      <c r="E516" t="s">
        <v>1626</v>
      </c>
      <c r="F516" t="s">
        <v>3244</v>
      </c>
      <c r="G516" t="str">
        <f ca="1">PROPER(Table1[[#This Row],[Part Time 
Job]])</f>
        <v>True</v>
      </c>
      <c r="H516" s="3">
        <v>4</v>
      </c>
      <c r="I516" t="str">
        <f ca="1">PROPER(Table1[[#This Row],[Extracurricular 
Activities]])</f>
        <v>False</v>
      </c>
      <c r="J516">
        <v>28</v>
      </c>
      <c r="K516" t="s">
        <v>3125</v>
      </c>
      <c r="L516">
        <v>83</v>
      </c>
      <c r="M516" s="12" t="str" cm="1">
        <f t="array" ref="M51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516">
        <v>79</v>
      </c>
      <c r="O516" s="13" t="str" cm="1">
        <f t="array" ref="O51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516">
        <v>92</v>
      </c>
      <c r="Q516" s="13" t="str" cm="1">
        <f t="array" ref="Q51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516">
        <v>69</v>
      </c>
      <c r="S516" t="str" cm="1">
        <f t="array" ref="S51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516">
        <v>85</v>
      </c>
      <c r="U516" t="str" cm="1">
        <f t="array" ref="U51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516">
        <v>71</v>
      </c>
      <c r="W516" t="str" cm="1">
        <f t="array" ref="W51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516">
        <v>95</v>
      </c>
      <c r="Y516" t="str" cm="1">
        <f t="array" ref="Y51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516">
        <f>SUM(Table1[[#This Row],[Math 
Score]],Table1[[#This Row],[History 
Score]],Table1[[#This Row],[Physics 
Score]],Table1[[#This Row],[Chemistry 
Score]],Table1[[#This Row],[Biology 
Score]],Table1[[#This Row],[English 
Score]],Table1[[#This Row],[Geography 
Score]])</f>
        <v>574</v>
      </c>
      <c r="AA516" s="3">
        <f>AVERAGE(Table1[[#This Row],[Math 
Score]],Table1[[#This Row],[History 
Score]],Table1[[#This Row],[Physics 
Score]],Table1[[#This Row],[Chemistry 
Score]],Table1[[#This Row],[Biology 
Score]],Table1[[#This Row],[English 
Score]],Table1[[#This Row],[Geography 
Score]])</f>
        <v>82</v>
      </c>
      <c r="AB51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516">
        <f t="shared" si="8"/>
        <v>832</v>
      </c>
      <c r="AD516" t="str">
        <f>_xlfn.IFS(Table1[[#This Row],[Absence 
Days]]&lt;3,"Excellent",Table1[[#This Row],[Absence 
Days]]&lt;=6,"Good",Table1[[#This Row],[Absence 
Days]]&gt;6,"Poor")</f>
        <v>Good</v>
      </c>
    </row>
    <row r="517" spans="1:30" x14ac:dyDescent="0.35">
      <c r="A517">
        <v>516</v>
      </c>
      <c r="B517" s="2" t="s">
        <v>159</v>
      </c>
      <c r="C517" t="s">
        <v>483</v>
      </c>
      <c r="D517" t="str">
        <f>_xlfn.TEXTJOIN(" ",TRUE,Table1[[#This Row],[First 
Name]:[Last 
Name]])</f>
        <v>Holly Burns</v>
      </c>
      <c r="E517" t="s">
        <v>1627</v>
      </c>
      <c r="F517" t="s">
        <v>3245</v>
      </c>
      <c r="G517" t="str">
        <f ca="1">PROPER(Table1[[#This Row],[Part Time 
Job]])</f>
        <v>False</v>
      </c>
      <c r="H517" s="3">
        <v>2</v>
      </c>
      <c r="I517" t="str">
        <f ca="1">PROPER(Table1[[#This Row],[Extracurricular 
Activities]])</f>
        <v>False</v>
      </c>
      <c r="J517">
        <v>44</v>
      </c>
      <c r="K517" t="s">
        <v>3113</v>
      </c>
      <c r="L517">
        <v>96</v>
      </c>
      <c r="M517" s="12" t="str" cm="1">
        <f t="array" ref="M51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517">
        <v>88</v>
      </c>
      <c r="O517" s="13" t="str" cm="1">
        <f t="array" ref="O51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517">
        <v>100</v>
      </c>
      <c r="Q517" s="13" t="str" cm="1">
        <f t="array" ref="Q51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517">
        <v>95</v>
      </c>
      <c r="S517" t="str" cm="1">
        <f t="array" ref="S51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517">
        <v>85</v>
      </c>
      <c r="U517" t="str" cm="1">
        <f t="array" ref="U51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517">
        <v>94</v>
      </c>
      <c r="W517" t="str" cm="1">
        <f t="array" ref="W51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517">
        <v>93</v>
      </c>
      <c r="Y517" t="str" cm="1">
        <f t="array" ref="Y51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517">
        <f>SUM(Table1[[#This Row],[Math 
Score]],Table1[[#This Row],[History 
Score]],Table1[[#This Row],[Physics 
Score]],Table1[[#This Row],[Chemistry 
Score]],Table1[[#This Row],[Biology 
Score]],Table1[[#This Row],[English 
Score]],Table1[[#This Row],[Geography 
Score]])</f>
        <v>651</v>
      </c>
      <c r="AA517" s="3">
        <f>AVERAGE(Table1[[#This Row],[Math 
Score]],Table1[[#This Row],[History 
Score]],Table1[[#This Row],[Physics 
Score]],Table1[[#This Row],[Chemistry 
Score]],Table1[[#This Row],[Biology 
Score]],Table1[[#This Row],[English 
Score]],Table1[[#This Row],[Geography 
Score]])</f>
        <v>93</v>
      </c>
      <c r="AB51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517">
        <f t="shared" si="8"/>
        <v>51</v>
      </c>
      <c r="AD517" t="str">
        <f>_xlfn.IFS(Table1[[#This Row],[Absence 
Days]]&lt;3,"Excellent",Table1[[#This Row],[Absence 
Days]]&lt;=6,"Good",Table1[[#This Row],[Absence 
Days]]&gt;6,"Poor")</f>
        <v>Excellent</v>
      </c>
    </row>
    <row r="518" spans="1:30" x14ac:dyDescent="0.35">
      <c r="A518">
        <v>517</v>
      </c>
      <c r="B518" s="2" t="s">
        <v>252</v>
      </c>
      <c r="C518" t="s">
        <v>567</v>
      </c>
      <c r="D518" t="str">
        <f>_xlfn.TEXTJOIN(" ",TRUE,Table1[[#This Row],[First 
Name]:[Last 
Name]])</f>
        <v>Alicia Rodriguez</v>
      </c>
      <c r="E518" t="s">
        <v>1628</v>
      </c>
      <c r="F518" t="s">
        <v>3245</v>
      </c>
      <c r="G518" t="str">
        <f ca="1">PROPER(Table1[[#This Row],[Part Time 
Job]])</f>
        <v>False</v>
      </c>
      <c r="H518" s="3">
        <v>1</v>
      </c>
      <c r="I518" t="str">
        <f ca="1">PROPER(Table1[[#This Row],[Extracurricular 
Activities]])</f>
        <v>False</v>
      </c>
      <c r="J518">
        <v>14</v>
      </c>
      <c r="K518" t="s">
        <v>3117</v>
      </c>
      <c r="L518">
        <v>85</v>
      </c>
      <c r="M518" s="12" t="str" cm="1">
        <f t="array" ref="M51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518">
        <v>87</v>
      </c>
      <c r="O518" s="13" t="str" cm="1">
        <f t="array" ref="O51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518">
        <v>78</v>
      </c>
      <c r="Q518" s="13" t="str" cm="1">
        <f t="array" ref="Q51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518">
        <v>72</v>
      </c>
      <c r="S518" t="str" cm="1">
        <f t="array" ref="S51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518">
        <v>91</v>
      </c>
      <c r="U518" t="str" cm="1">
        <f t="array" ref="U51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518">
        <v>88</v>
      </c>
      <c r="W518" t="str" cm="1">
        <f t="array" ref="W51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518">
        <v>93</v>
      </c>
      <c r="Y518" t="str" cm="1">
        <f t="array" ref="Y51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518">
        <f>SUM(Table1[[#This Row],[Math 
Score]],Table1[[#This Row],[History 
Score]],Table1[[#This Row],[Physics 
Score]],Table1[[#This Row],[Chemistry 
Score]],Table1[[#This Row],[Biology 
Score]],Table1[[#This Row],[English 
Score]],Table1[[#This Row],[Geography 
Score]])</f>
        <v>594</v>
      </c>
      <c r="AA518" s="3">
        <f>AVERAGE(Table1[[#This Row],[Math 
Score]],Table1[[#This Row],[History 
Score]],Table1[[#This Row],[Physics 
Score]],Table1[[#This Row],[Chemistry 
Score]],Table1[[#This Row],[Biology 
Score]],Table1[[#This Row],[English 
Score]],Table1[[#This Row],[Geography 
Score]])</f>
        <v>84.857142857142861</v>
      </c>
      <c r="AB51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518">
        <f t="shared" si="8"/>
        <v>479</v>
      </c>
      <c r="AD518" t="str">
        <f>_xlfn.IFS(Table1[[#This Row],[Absence 
Days]]&lt;3,"Excellent",Table1[[#This Row],[Absence 
Days]]&lt;=6,"Good",Table1[[#This Row],[Absence 
Days]]&gt;6,"Poor")</f>
        <v>Excellent</v>
      </c>
    </row>
    <row r="519" spans="1:30" x14ac:dyDescent="0.35">
      <c r="A519">
        <v>518</v>
      </c>
      <c r="B519" s="2" t="s">
        <v>85</v>
      </c>
      <c r="C519" t="s">
        <v>342</v>
      </c>
      <c r="D519" t="str">
        <f>_xlfn.TEXTJOIN(" ",TRUE,Table1[[#This Row],[First 
Name]:[Last 
Name]])</f>
        <v>Erin Ray</v>
      </c>
      <c r="E519" t="s">
        <v>1629</v>
      </c>
      <c r="F519" t="s">
        <v>3245</v>
      </c>
      <c r="G519" t="str">
        <f ca="1">PROPER(Table1[[#This Row],[Part Time 
Job]])</f>
        <v>False</v>
      </c>
      <c r="H519" s="3">
        <v>4</v>
      </c>
      <c r="I519" t="str">
        <f ca="1">PROPER(Table1[[#This Row],[Extracurricular 
Activities]])</f>
        <v>False</v>
      </c>
      <c r="J519">
        <v>1</v>
      </c>
      <c r="K519" t="s">
        <v>3128</v>
      </c>
      <c r="L519">
        <v>95</v>
      </c>
      <c r="M519" s="12" t="str" cm="1">
        <f t="array" ref="M51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519">
        <v>61</v>
      </c>
      <c r="O519" s="13" t="str" cm="1">
        <f t="array" ref="O51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519">
        <v>84</v>
      </c>
      <c r="Q519" s="13" t="str" cm="1">
        <f t="array" ref="Q51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519">
        <v>98</v>
      </c>
      <c r="S519" t="str" cm="1">
        <f t="array" ref="S51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519">
        <v>63</v>
      </c>
      <c r="U519" t="str" cm="1">
        <f t="array" ref="U51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519">
        <v>66</v>
      </c>
      <c r="W519" t="str" cm="1">
        <f t="array" ref="W51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519">
        <v>80</v>
      </c>
      <c r="Y519" t="str" cm="1">
        <f t="array" ref="Y51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519">
        <f>SUM(Table1[[#This Row],[Math 
Score]],Table1[[#This Row],[History 
Score]],Table1[[#This Row],[Physics 
Score]],Table1[[#This Row],[Chemistry 
Score]],Table1[[#This Row],[Biology 
Score]],Table1[[#This Row],[English 
Score]],Table1[[#This Row],[Geography 
Score]])</f>
        <v>547</v>
      </c>
      <c r="AA519" s="3">
        <f>AVERAGE(Table1[[#This Row],[Math 
Score]],Table1[[#This Row],[History 
Score]],Table1[[#This Row],[Physics 
Score]],Table1[[#This Row],[Chemistry 
Score]],Table1[[#This Row],[Biology 
Score]],Table1[[#This Row],[English 
Score]],Table1[[#This Row],[Geography 
Score]])</f>
        <v>78.142857142857139</v>
      </c>
      <c r="AB51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519">
        <f t="shared" si="8"/>
        <v>1388</v>
      </c>
      <c r="AD519" t="str">
        <f>_xlfn.IFS(Table1[[#This Row],[Absence 
Days]]&lt;3,"Excellent",Table1[[#This Row],[Absence 
Days]]&lt;=6,"Good",Table1[[#This Row],[Absence 
Days]]&gt;6,"Poor")</f>
        <v>Good</v>
      </c>
    </row>
    <row r="520" spans="1:30" x14ac:dyDescent="0.35">
      <c r="A520">
        <v>519</v>
      </c>
      <c r="B520" s="2" t="s">
        <v>253</v>
      </c>
      <c r="C520" t="s">
        <v>750</v>
      </c>
      <c r="D520" t="str">
        <f>_xlfn.TEXTJOIN(" ",TRUE,Table1[[#This Row],[First 
Name]:[Last 
Name]])</f>
        <v>Todd Griffith</v>
      </c>
      <c r="E520" t="s">
        <v>1630</v>
      </c>
      <c r="F520" t="s">
        <v>3244</v>
      </c>
      <c r="G520" t="str">
        <f ca="1">PROPER(Table1[[#This Row],[Part Time 
Job]])</f>
        <v>False</v>
      </c>
      <c r="H520" s="3">
        <v>6</v>
      </c>
      <c r="I520" t="str">
        <f ca="1">PROPER(Table1[[#This Row],[Extracurricular 
Activities]])</f>
        <v>False</v>
      </c>
      <c r="J520">
        <v>22</v>
      </c>
      <c r="K520" t="s">
        <v>3117</v>
      </c>
      <c r="L520">
        <v>97</v>
      </c>
      <c r="M520" s="12" t="str" cm="1">
        <f t="array" ref="M52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520">
        <v>92</v>
      </c>
      <c r="O520" s="13" t="str" cm="1">
        <f t="array" ref="O52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520">
        <v>87</v>
      </c>
      <c r="Q520" s="13" t="str" cm="1">
        <f t="array" ref="Q52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520">
        <v>61</v>
      </c>
      <c r="S520" t="str" cm="1">
        <f t="array" ref="S52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520">
        <v>75</v>
      </c>
      <c r="U520" t="str" cm="1">
        <f t="array" ref="U52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520">
        <v>62</v>
      </c>
      <c r="W520" t="str" cm="1">
        <f t="array" ref="W52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520">
        <v>94</v>
      </c>
      <c r="Y520" t="str" cm="1">
        <f t="array" ref="Y52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520">
        <f>SUM(Table1[[#This Row],[Math 
Score]],Table1[[#This Row],[History 
Score]],Table1[[#This Row],[Physics 
Score]],Table1[[#This Row],[Chemistry 
Score]],Table1[[#This Row],[Biology 
Score]],Table1[[#This Row],[English 
Score]],Table1[[#This Row],[Geography 
Score]])</f>
        <v>568</v>
      </c>
      <c r="AA520" s="3">
        <f>AVERAGE(Table1[[#This Row],[Math 
Score]],Table1[[#This Row],[History 
Score]],Table1[[#This Row],[Physics 
Score]],Table1[[#This Row],[Chemistry 
Score]],Table1[[#This Row],[Biology 
Score]],Table1[[#This Row],[English 
Score]],Table1[[#This Row],[Geography 
Score]])</f>
        <v>81.142857142857139</v>
      </c>
      <c r="AB52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520">
        <f t="shared" si="8"/>
        <v>975</v>
      </c>
      <c r="AD520" t="str">
        <f>_xlfn.IFS(Table1[[#This Row],[Absence 
Days]]&lt;3,"Excellent",Table1[[#This Row],[Absence 
Days]]&lt;=6,"Good",Table1[[#This Row],[Absence 
Days]]&gt;6,"Poor")</f>
        <v>Good</v>
      </c>
    </row>
    <row r="521" spans="1:30" x14ac:dyDescent="0.35">
      <c r="A521">
        <v>520</v>
      </c>
      <c r="B521" s="2" t="s">
        <v>254</v>
      </c>
      <c r="C521" t="s">
        <v>751</v>
      </c>
      <c r="D521" t="str">
        <f>_xlfn.TEXTJOIN(" ",TRUE,Table1[[#This Row],[First 
Name]:[Last 
Name]])</f>
        <v>Melinda Payne</v>
      </c>
      <c r="E521" t="s">
        <v>1631</v>
      </c>
      <c r="F521" t="s">
        <v>3245</v>
      </c>
      <c r="G521" t="str">
        <f ca="1">PROPER(Table1[[#This Row],[Part Time 
Job]])</f>
        <v>False</v>
      </c>
      <c r="H521" s="3">
        <v>2</v>
      </c>
      <c r="I521" t="str">
        <f ca="1">PROPER(Table1[[#This Row],[Extracurricular 
Activities]])</f>
        <v>False</v>
      </c>
      <c r="J521">
        <v>11</v>
      </c>
      <c r="K521" t="s">
        <v>3118</v>
      </c>
      <c r="L521">
        <v>95</v>
      </c>
      <c r="M521" s="12" t="str" cm="1">
        <f t="array" ref="M52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521">
        <v>69</v>
      </c>
      <c r="O521" s="13" t="str" cm="1">
        <f t="array" ref="O52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521">
        <v>91</v>
      </c>
      <c r="Q521" s="13" t="str" cm="1">
        <f t="array" ref="Q52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521">
        <v>97</v>
      </c>
      <c r="S521" t="str" cm="1">
        <f t="array" ref="S52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521">
        <v>89</v>
      </c>
      <c r="U521" t="str" cm="1">
        <f t="array" ref="U52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521">
        <v>84</v>
      </c>
      <c r="W521" t="str" cm="1">
        <f t="array" ref="W52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521">
        <v>66</v>
      </c>
      <c r="Y521" t="str" cm="1">
        <f t="array" ref="Y52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521">
        <f>SUM(Table1[[#This Row],[Math 
Score]],Table1[[#This Row],[History 
Score]],Table1[[#This Row],[Physics 
Score]],Table1[[#This Row],[Chemistry 
Score]],Table1[[#This Row],[Biology 
Score]],Table1[[#This Row],[English 
Score]],Table1[[#This Row],[Geography 
Score]])</f>
        <v>591</v>
      </c>
      <c r="AA521" s="3">
        <f>AVERAGE(Table1[[#This Row],[Math 
Score]],Table1[[#This Row],[History 
Score]],Table1[[#This Row],[Physics 
Score]],Table1[[#This Row],[Chemistry 
Score]],Table1[[#This Row],[Biology 
Score]],Table1[[#This Row],[English 
Score]],Table1[[#This Row],[Geography 
Score]])</f>
        <v>84.428571428571431</v>
      </c>
      <c r="AB52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521">
        <f t="shared" si="8"/>
        <v>515</v>
      </c>
      <c r="AD521" t="str">
        <f>_xlfn.IFS(Table1[[#This Row],[Absence 
Days]]&lt;3,"Excellent",Table1[[#This Row],[Absence 
Days]]&lt;=6,"Good",Table1[[#This Row],[Absence 
Days]]&gt;6,"Poor")</f>
        <v>Excellent</v>
      </c>
    </row>
    <row r="522" spans="1:30" x14ac:dyDescent="0.35">
      <c r="A522">
        <v>521</v>
      </c>
      <c r="B522" s="2" t="s">
        <v>29</v>
      </c>
      <c r="C522" t="s">
        <v>475</v>
      </c>
      <c r="D522" t="str">
        <f>_xlfn.TEXTJOIN(" ",TRUE,Table1[[#This Row],[First 
Name]:[Last 
Name]])</f>
        <v>Cynthia Williams</v>
      </c>
      <c r="E522" t="s">
        <v>1632</v>
      </c>
      <c r="F522" t="s">
        <v>3245</v>
      </c>
      <c r="G522" t="str">
        <f ca="1">PROPER(Table1[[#This Row],[Part Time 
Job]])</f>
        <v>False</v>
      </c>
      <c r="H522" s="3">
        <v>3</v>
      </c>
      <c r="I522" t="str">
        <f ca="1">PROPER(Table1[[#This Row],[Extracurricular 
Activities]])</f>
        <v>False</v>
      </c>
      <c r="J522">
        <v>2</v>
      </c>
      <c r="K522" t="s">
        <v>3116</v>
      </c>
      <c r="L522">
        <v>69</v>
      </c>
      <c r="M522" s="12" t="str" cm="1">
        <f t="array" ref="M522">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522">
        <v>98</v>
      </c>
      <c r="O522" s="13" t="str" cm="1">
        <f t="array" ref="O52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522">
        <v>77</v>
      </c>
      <c r="Q522" s="13" t="str" cm="1">
        <f t="array" ref="Q52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522">
        <v>63</v>
      </c>
      <c r="S522" t="str" cm="1">
        <f t="array" ref="S52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522">
        <v>88</v>
      </c>
      <c r="U522" t="str" cm="1">
        <f t="array" ref="U52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522">
        <v>64</v>
      </c>
      <c r="W522" t="str" cm="1">
        <f t="array" ref="W52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522">
        <v>60</v>
      </c>
      <c r="Y522" t="str" cm="1">
        <f t="array" ref="Y52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522">
        <f>SUM(Table1[[#This Row],[Math 
Score]],Table1[[#This Row],[History 
Score]],Table1[[#This Row],[Physics 
Score]],Table1[[#This Row],[Chemistry 
Score]],Table1[[#This Row],[Biology 
Score]],Table1[[#This Row],[English 
Score]],Table1[[#This Row],[Geography 
Score]])</f>
        <v>519</v>
      </c>
      <c r="AA522" s="3">
        <f>AVERAGE(Table1[[#This Row],[Math 
Score]],Table1[[#This Row],[History 
Score]],Table1[[#This Row],[Physics 
Score]],Table1[[#This Row],[Chemistry 
Score]],Table1[[#This Row],[Biology 
Score]],Table1[[#This Row],[English 
Score]],Table1[[#This Row],[Geography 
Score]])</f>
        <v>74.142857142857139</v>
      </c>
      <c r="AB52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522">
        <f t="shared" si="8"/>
        <v>1766</v>
      </c>
      <c r="AD522" t="str">
        <f>_xlfn.IFS(Table1[[#This Row],[Absence 
Days]]&lt;3,"Excellent",Table1[[#This Row],[Absence 
Days]]&lt;=6,"Good",Table1[[#This Row],[Absence 
Days]]&gt;6,"Poor")</f>
        <v>Good</v>
      </c>
    </row>
    <row r="523" spans="1:30" x14ac:dyDescent="0.35">
      <c r="A523">
        <v>522</v>
      </c>
      <c r="B523" s="2" t="s">
        <v>130</v>
      </c>
      <c r="C523" t="s">
        <v>752</v>
      </c>
      <c r="D523" t="str">
        <f>_xlfn.TEXTJOIN(" ",TRUE,Table1[[#This Row],[First 
Name]:[Last 
Name]])</f>
        <v>Jenny Washington</v>
      </c>
      <c r="E523" t="s">
        <v>1633</v>
      </c>
      <c r="F523" t="s">
        <v>3245</v>
      </c>
      <c r="G523" t="str">
        <f ca="1">PROPER(Table1[[#This Row],[Part Time 
Job]])</f>
        <v>False</v>
      </c>
      <c r="H523" s="3">
        <v>9</v>
      </c>
      <c r="I523" t="str">
        <f ca="1">PROPER(Table1[[#This Row],[Extracurricular 
Activities]])</f>
        <v>False</v>
      </c>
      <c r="J523">
        <v>3</v>
      </c>
      <c r="K523" t="s">
        <v>3119</v>
      </c>
      <c r="L523">
        <v>84</v>
      </c>
      <c r="M523" s="12" t="str" cm="1">
        <f t="array" ref="M52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523">
        <v>55</v>
      </c>
      <c r="O523" s="13" t="str" cm="1">
        <f t="array" ref="O52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C</v>
      </c>
      <c r="P523">
        <v>65</v>
      </c>
      <c r="Q523" s="13" t="str" cm="1">
        <f t="array" ref="Q52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523">
        <v>62</v>
      </c>
      <c r="S523" t="str" cm="1">
        <f t="array" ref="S52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523">
        <v>56</v>
      </c>
      <c r="U523" t="str" cm="1">
        <f t="array" ref="U52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C</v>
      </c>
      <c r="V523">
        <v>91</v>
      </c>
      <c r="W523" t="str" cm="1">
        <f t="array" ref="W52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523">
        <v>81</v>
      </c>
      <c r="Y523" t="str" cm="1">
        <f t="array" ref="Y52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523">
        <f>SUM(Table1[[#This Row],[Math 
Score]],Table1[[#This Row],[History 
Score]],Table1[[#This Row],[Physics 
Score]],Table1[[#This Row],[Chemistry 
Score]],Table1[[#This Row],[Biology 
Score]],Table1[[#This Row],[English 
Score]],Table1[[#This Row],[Geography 
Score]])</f>
        <v>494</v>
      </c>
      <c r="AA523" s="3">
        <f>AVERAGE(Table1[[#This Row],[Math 
Score]],Table1[[#This Row],[History 
Score]],Table1[[#This Row],[Physics 
Score]],Table1[[#This Row],[Chemistry 
Score]],Table1[[#This Row],[Biology 
Score]],Table1[[#This Row],[English 
Score]],Table1[[#This Row],[Geography 
Score]])</f>
        <v>70.571428571428569</v>
      </c>
      <c r="AB52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523">
        <f t="shared" si="8"/>
        <v>1897</v>
      </c>
      <c r="AD523" t="str">
        <f>_xlfn.IFS(Table1[[#This Row],[Absence 
Days]]&lt;3,"Excellent",Table1[[#This Row],[Absence 
Days]]&lt;=6,"Good",Table1[[#This Row],[Absence 
Days]]&gt;6,"Poor")</f>
        <v>Poor</v>
      </c>
    </row>
    <row r="524" spans="1:30" x14ac:dyDescent="0.35">
      <c r="A524">
        <v>523</v>
      </c>
      <c r="B524" s="2" t="s">
        <v>18</v>
      </c>
      <c r="C524" t="s">
        <v>753</v>
      </c>
      <c r="D524" t="str">
        <f>_xlfn.TEXTJOIN(" ",TRUE,Table1[[#This Row],[First 
Name]:[Last 
Name]])</f>
        <v>Angela Joyce</v>
      </c>
      <c r="E524" t="s">
        <v>1634</v>
      </c>
      <c r="F524" t="s">
        <v>3245</v>
      </c>
      <c r="G524" t="str">
        <f ca="1">PROPER(Table1[[#This Row],[Part Time 
Job]])</f>
        <v>False</v>
      </c>
      <c r="H524" s="3">
        <v>5</v>
      </c>
      <c r="I524" t="str">
        <f ca="1">PROPER(Table1[[#This Row],[Extracurricular 
Activities]])</f>
        <v>False</v>
      </c>
      <c r="J524">
        <v>28</v>
      </c>
      <c r="K524" t="s">
        <v>3121</v>
      </c>
      <c r="L524">
        <v>92</v>
      </c>
      <c r="M524" s="12" t="str" cm="1">
        <f t="array" ref="M52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524">
        <v>100</v>
      </c>
      <c r="O524" s="13" t="str" cm="1">
        <f t="array" ref="O52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524">
        <v>100</v>
      </c>
      <c r="Q524" s="13" t="str" cm="1">
        <f t="array" ref="Q52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524">
        <v>98</v>
      </c>
      <c r="S524" t="str" cm="1">
        <f t="array" ref="S52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524">
        <v>83</v>
      </c>
      <c r="U524" t="str" cm="1">
        <f t="array" ref="U52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524">
        <v>75</v>
      </c>
      <c r="W524" t="str" cm="1">
        <f t="array" ref="W52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524">
        <v>72</v>
      </c>
      <c r="Y524" t="str" cm="1">
        <f t="array" ref="Y52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524">
        <f>SUM(Table1[[#This Row],[Math 
Score]],Table1[[#This Row],[History 
Score]],Table1[[#This Row],[Physics 
Score]],Table1[[#This Row],[Chemistry 
Score]],Table1[[#This Row],[Biology 
Score]],Table1[[#This Row],[English 
Score]],Table1[[#This Row],[Geography 
Score]])</f>
        <v>620</v>
      </c>
      <c r="AA524" s="3">
        <f>AVERAGE(Table1[[#This Row],[Math 
Score]],Table1[[#This Row],[History 
Score]],Table1[[#This Row],[Physics 
Score]],Table1[[#This Row],[Chemistry 
Score]],Table1[[#This Row],[Biology 
Score]],Table1[[#This Row],[English 
Score]],Table1[[#This Row],[Geography 
Score]])</f>
        <v>88.571428571428569</v>
      </c>
      <c r="AB52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524">
        <f t="shared" si="8"/>
        <v>215</v>
      </c>
      <c r="AD524" t="str">
        <f>_xlfn.IFS(Table1[[#This Row],[Absence 
Days]]&lt;3,"Excellent",Table1[[#This Row],[Absence 
Days]]&lt;=6,"Good",Table1[[#This Row],[Absence 
Days]]&gt;6,"Poor")</f>
        <v>Good</v>
      </c>
    </row>
    <row r="525" spans="1:30" x14ac:dyDescent="0.35">
      <c r="A525">
        <v>524</v>
      </c>
      <c r="B525" s="2" t="s">
        <v>75</v>
      </c>
      <c r="C525" t="s">
        <v>754</v>
      </c>
      <c r="D525" t="str">
        <f>_xlfn.TEXTJOIN(" ",TRUE,Table1[[#This Row],[First 
Name]:[Last 
Name]])</f>
        <v>William Alvarado</v>
      </c>
      <c r="E525" t="s">
        <v>1635</v>
      </c>
      <c r="F525" t="s">
        <v>3244</v>
      </c>
      <c r="G525" t="str">
        <f ca="1">PROPER(Table1[[#This Row],[Part Time 
Job]])</f>
        <v>True</v>
      </c>
      <c r="H525" s="3">
        <v>2</v>
      </c>
      <c r="I525" t="str">
        <f ca="1">PROPER(Table1[[#This Row],[Extracurricular 
Activities]])</f>
        <v>False</v>
      </c>
      <c r="J525">
        <v>0</v>
      </c>
      <c r="K525" t="s">
        <v>3119</v>
      </c>
      <c r="L525">
        <v>87</v>
      </c>
      <c r="M525" s="12" t="str" cm="1">
        <f t="array" ref="M52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525">
        <v>95</v>
      </c>
      <c r="O525" s="13" t="str" cm="1">
        <f t="array" ref="O52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525">
        <v>78</v>
      </c>
      <c r="Q525" s="13" t="str" cm="1">
        <f t="array" ref="Q52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525">
        <v>82</v>
      </c>
      <c r="S525" t="str" cm="1">
        <f t="array" ref="S52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525">
        <v>53</v>
      </c>
      <c r="U525" t="str" cm="1">
        <f t="array" ref="U52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C</v>
      </c>
      <c r="V525">
        <v>59</v>
      </c>
      <c r="W525" t="str" cm="1">
        <f t="array" ref="W52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C</v>
      </c>
      <c r="X525">
        <v>66</v>
      </c>
      <c r="Y525" t="str" cm="1">
        <f t="array" ref="Y52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525">
        <f>SUM(Table1[[#This Row],[Math 
Score]],Table1[[#This Row],[History 
Score]],Table1[[#This Row],[Physics 
Score]],Table1[[#This Row],[Chemistry 
Score]],Table1[[#This Row],[Biology 
Score]],Table1[[#This Row],[English 
Score]],Table1[[#This Row],[Geography 
Score]])</f>
        <v>520</v>
      </c>
      <c r="AA525" s="3">
        <f>AVERAGE(Table1[[#This Row],[Math 
Score]],Table1[[#This Row],[History 
Score]],Table1[[#This Row],[Physics 
Score]],Table1[[#This Row],[Chemistry 
Score]],Table1[[#This Row],[Biology 
Score]],Table1[[#This Row],[English 
Score]],Table1[[#This Row],[Geography 
Score]])</f>
        <v>74.285714285714292</v>
      </c>
      <c r="AB52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525">
        <f t="shared" si="8"/>
        <v>1753</v>
      </c>
      <c r="AD525" t="str">
        <f>_xlfn.IFS(Table1[[#This Row],[Absence 
Days]]&lt;3,"Excellent",Table1[[#This Row],[Absence 
Days]]&lt;=6,"Good",Table1[[#This Row],[Absence 
Days]]&gt;6,"Poor")</f>
        <v>Excellent</v>
      </c>
    </row>
    <row r="526" spans="1:30" x14ac:dyDescent="0.35">
      <c r="A526">
        <v>525</v>
      </c>
      <c r="B526" s="2" t="s">
        <v>34</v>
      </c>
      <c r="C526" t="s">
        <v>755</v>
      </c>
      <c r="D526" t="str">
        <f>_xlfn.TEXTJOIN(" ",TRUE,Table1[[#This Row],[First 
Name]:[Last 
Name]])</f>
        <v>Michael Mercer</v>
      </c>
      <c r="E526" t="s">
        <v>1636</v>
      </c>
      <c r="F526" t="s">
        <v>3244</v>
      </c>
      <c r="G526" t="str">
        <f ca="1">PROPER(Table1[[#This Row],[Part Time 
Job]])</f>
        <v>False</v>
      </c>
      <c r="H526" s="3">
        <v>5</v>
      </c>
      <c r="I526" t="str">
        <f ca="1">PROPER(Table1[[#This Row],[Extracurricular 
Activities]])</f>
        <v>False</v>
      </c>
      <c r="J526">
        <v>22</v>
      </c>
      <c r="K526" t="s">
        <v>3121</v>
      </c>
      <c r="L526">
        <v>97</v>
      </c>
      <c r="M526" s="12" t="str" cm="1">
        <f t="array" ref="M52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526">
        <v>87</v>
      </c>
      <c r="O526" s="13" t="str" cm="1">
        <f t="array" ref="O52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526">
        <v>90</v>
      </c>
      <c r="Q526" s="13" t="str" cm="1">
        <f t="array" ref="Q52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526">
        <v>70</v>
      </c>
      <c r="S526" t="str" cm="1">
        <f t="array" ref="S52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526">
        <v>96</v>
      </c>
      <c r="U526" t="str" cm="1">
        <f t="array" ref="U52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526">
        <v>75</v>
      </c>
      <c r="W526" t="str" cm="1">
        <f t="array" ref="W52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526">
        <v>93</v>
      </c>
      <c r="Y526" t="str" cm="1">
        <f t="array" ref="Y52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526">
        <f>SUM(Table1[[#This Row],[Math 
Score]],Table1[[#This Row],[History 
Score]],Table1[[#This Row],[Physics 
Score]],Table1[[#This Row],[Chemistry 
Score]],Table1[[#This Row],[Biology 
Score]],Table1[[#This Row],[English 
Score]],Table1[[#This Row],[Geography 
Score]])</f>
        <v>608</v>
      </c>
      <c r="AA526" s="3">
        <f>AVERAGE(Table1[[#This Row],[Math 
Score]],Table1[[#This Row],[History 
Score]],Table1[[#This Row],[Physics 
Score]],Table1[[#This Row],[Chemistry 
Score]],Table1[[#This Row],[Biology 
Score]],Table1[[#This Row],[English 
Score]],Table1[[#This Row],[Geography 
Score]])</f>
        <v>86.857142857142861</v>
      </c>
      <c r="AB52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526">
        <f t="shared" si="8"/>
        <v>318</v>
      </c>
      <c r="AD526" t="str">
        <f>_xlfn.IFS(Table1[[#This Row],[Absence 
Days]]&lt;3,"Excellent",Table1[[#This Row],[Absence 
Days]]&lt;=6,"Good",Table1[[#This Row],[Absence 
Days]]&gt;6,"Poor")</f>
        <v>Good</v>
      </c>
    </row>
    <row r="527" spans="1:30" x14ac:dyDescent="0.35">
      <c r="A527">
        <v>526</v>
      </c>
      <c r="B527" s="2" t="s">
        <v>85</v>
      </c>
      <c r="C527" t="s">
        <v>479</v>
      </c>
      <c r="D527" t="str">
        <f>_xlfn.TEXTJOIN(" ",TRUE,Table1[[#This Row],[First 
Name]:[Last 
Name]])</f>
        <v>Erin Miller</v>
      </c>
      <c r="E527" t="s">
        <v>1637</v>
      </c>
      <c r="F527" t="s">
        <v>3245</v>
      </c>
      <c r="G527" t="str">
        <f ca="1">PROPER(Table1[[#This Row],[Part Time 
Job]])</f>
        <v>True</v>
      </c>
      <c r="H527" s="3">
        <v>8</v>
      </c>
      <c r="I527" t="str">
        <f ca="1">PROPER(Table1[[#This Row],[Extracurricular 
Activities]])</f>
        <v>False</v>
      </c>
      <c r="J527">
        <v>3</v>
      </c>
      <c r="K527" t="s">
        <v>3119</v>
      </c>
      <c r="L527">
        <v>92</v>
      </c>
      <c r="M527" s="12" t="str" cm="1">
        <f t="array" ref="M52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527">
        <v>96</v>
      </c>
      <c r="O527" s="13" t="str" cm="1">
        <f t="array" ref="O52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527">
        <v>77</v>
      </c>
      <c r="Q527" s="13" t="str" cm="1">
        <f t="array" ref="Q52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527">
        <v>95</v>
      </c>
      <c r="S527" t="str" cm="1">
        <f t="array" ref="S52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527">
        <v>63</v>
      </c>
      <c r="U527" t="str" cm="1">
        <f t="array" ref="U52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527">
        <v>57</v>
      </c>
      <c r="W527" t="str" cm="1">
        <f t="array" ref="W52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C</v>
      </c>
      <c r="X527">
        <v>90</v>
      </c>
      <c r="Y527" t="str" cm="1">
        <f t="array" ref="Y52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527">
        <f>SUM(Table1[[#This Row],[Math 
Score]],Table1[[#This Row],[History 
Score]],Table1[[#This Row],[Physics 
Score]],Table1[[#This Row],[Chemistry 
Score]],Table1[[#This Row],[Biology 
Score]],Table1[[#This Row],[English 
Score]],Table1[[#This Row],[Geography 
Score]])</f>
        <v>570</v>
      </c>
      <c r="AA527" s="3">
        <f>AVERAGE(Table1[[#This Row],[Math 
Score]],Table1[[#This Row],[History 
Score]],Table1[[#This Row],[Physics 
Score]],Table1[[#This Row],[Chemistry 
Score]],Table1[[#This Row],[Biology 
Score]],Table1[[#This Row],[English 
Score]],Table1[[#This Row],[Geography 
Score]])</f>
        <v>81.428571428571431</v>
      </c>
      <c r="AB52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527">
        <f t="shared" si="8"/>
        <v>937</v>
      </c>
      <c r="AD527" t="str">
        <f>_xlfn.IFS(Table1[[#This Row],[Absence 
Days]]&lt;3,"Excellent",Table1[[#This Row],[Absence 
Days]]&lt;=6,"Good",Table1[[#This Row],[Absence 
Days]]&gt;6,"Poor")</f>
        <v>Poor</v>
      </c>
    </row>
    <row r="528" spans="1:30" x14ac:dyDescent="0.35">
      <c r="A528">
        <v>527</v>
      </c>
      <c r="B528" s="2" t="s">
        <v>74</v>
      </c>
      <c r="C528" t="s">
        <v>756</v>
      </c>
      <c r="D528" t="str">
        <f>_xlfn.TEXTJOIN(" ",TRUE,Table1[[#This Row],[First 
Name]:[Last 
Name]])</f>
        <v>Robert Heath</v>
      </c>
      <c r="E528" t="s">
        <v>1638</v>
      </c>
      <c r="F528" t="s">
        <v>3244</v>
      </c>
      <c r="G528" t="str">
        <f ca="1">PROPER(Table1[[#This Row],[Part Time 
Job]])</f>
        <v>False</v>
      </c>
      <c r="H528" s="3">
        <v>2</v>
      </c>
      <c r="I528" t="str">
        <f ca="1">PROPER(Table1[[#This Row],[Extracurricular 
Activities]])</f>
        <v>False</v>
      </c>
      <c r="J528">
        <v>25</v>
      </c>
      <c r="K528" t="s">
        <v>3116</v>
      </c>
      <c r="L528">
        <v>72</v>
      </c>
      <c r="M528" s="12" t="str" cm="1">
        <f t="array" ref="M528">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528">
        <v>91</v>
      </c>
      <c r="O528" s="13" t="str" cm="1">
        <f t="array" ref="O52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528">
        <v>68</v>
      </c>
      <c r="Q528" s="13" t="str" cm="1">
        <f t="array" ref="Q52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528">
        <v>79</v>
      </c>
      <c r="S528" t="str" cm="1">
        <f t="array" ref="S52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528">
        <v>98</v>
      </c>
      <c r="U528" t="str" cm="1">
        <f t="array" ref="U52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528">
        <v>71</v>
      </c>
      <c r="W528" t="str" cm="1">
        <f t="array" ref="W52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528">
        <v>89</v>
      </c>
      <c r="Y528" t="str" cm="1">
        <f t="array" ref="Y52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528">
        <f>SUM(Table1[[#This Row],[Math 
Score]],Table1[[#This Row],[History 
Score]],Table1[[#This Row],[Physics 
Score]],Table1[[#This Row],[Chemistry 
Score]],Table1[[#This Row],[Biology 
Score]],Table1[[#This Row],[English 
Score]],Table1[[#This Row],[Geography 
Score]])</f>
        <v>568</v>
      </c>
      <c r="AA528" s="3">
        <f>AVERAGE(Table1[[#This Row],[Math 
Score]],Table1[[#This Row],[History 
Score]],Table1[[#This Row],[Physics 
Score]],Table1[[#This Row],[Chemistry 
Score]],Table1[[#This Row],[Biology 
Score]],Table1[[#This Row],[English 
Score]],Table1[[#This Row],[Geography 
Score]])</f>
        <v>81.142857142857139</v>
      </c>
      <c r="AB52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528">
        <f t="shared" si="8"/>
        <v>975</v>
      </c>
      <c r="AD528" t="str">
        <f>_xlfn.IFS(Table1[[#This Row],[Absence 
Days]]&lt;3,"Excellent",Table1[[#This Row],[Absence 
Days]]&lt;=6,"Good",Table1[[#This Row],[Absence 
Days]]&gt;6,"Poor")</f>
        <v>Excellent</v>
      </c>
    </row>
    <row r="529" spans="1:30" x14ac:dyDescent="0.35">
      <c r="A529">
        <v>528</v>
      </c>
      <c r="B529" s="2" t="s">
        <v>216</v>
      </c>
      <c r="C529" t="s">
        <v>757</v>
      </c>
      <c r="D529" t="str">
        <f>_xlfn.TEXTJOIN(" ",TRUE,Table1[[#This Row],[First 
Name]:[Last 
Name]])</f>
        <v>Deborah Rojas</v>
      </c>
      <c r="E529" t="s">
        <v>1639</v>
      </c>
      <c r="F529" t="s">
        <v>3245</v>
      </c>
      <c r="G529" t="str">
        <f ca="1">PROPER(Table1[[#This Row],[Part Time 
Job]])</f>
        <v>False</v>
      </c>
      <c r="H529" s="3">
        <v>3</v>
      </c>
      <c r="I529" t="str">
        <f ca="1">PROPER(Table1[[#This Row],[Extracurricular 
Activities]])</f>
        <v>True</v>
      </c>
      <c r="J529">
        <v>1</v>
      </c>
      <c r="K529" t="s">
        <v>3119</v>
      </c>
      <c r="L529">
        <v>50</v>
      </c>
      <c r="M529" s="12" t="str" cm="1">
        <f t="array" ref="M529">_xlfn.IFS(Table1[[#This Row],[Math 
Score]]&gt;=90,"A+",Table1[[#This Row],[Math 
Score]]&gt;=80,"A", Table1[[#This Row],[Math 
Score]]&gt;=75,"A-",Table1[[#This Row],[Math 
Score]]&gt;=70,"B+",Table1[[#This Row],[Math 
Score]]&gt;=65,"B",Table1[[#This Row],[Math 
Score]]&gt;=60,"B-",Table1[[#This Row],[Math 
Score]]&gt;=50,"C",Table1[[#This Row],[Math 
Score]]&gt;=40,"D",Table1[[#This Row],[Math 
Score]]&lt;40,"F")</f>
        <v>C</v>
      </c>
      <c r="N529">
        <v>55</v>
      </c>
      <c r="O529" s="13" t="str" cm="1">
        <f t="array" ref="O52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C</v>
      </c>
      <c r="P529">
        <v>96</v>
      </c>
      <c r="Q529" s="13" t="str" cm="1">
        <f t="array" ref="Q52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529">
        <v>72</v>
      </c>
      <c r="S529" t="str" cm="1">
        <f t="array" ref="S52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529">
        <v>55</v>
      </c>
      <c r="U529" t="str" cm="1">
        <f t="array" ref="U52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C</v>
      </c>
      <c r="V529">
        <v>50</v>
      </c>
      <c r="W529" t="str" cm="1">
        <f t="array" ref="W52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C</v>
      </c>
      <c r="X529">
        <v>64</v>
      </c>
      <c r="Y529" t="str" cm="1">
        <f t="array" ref="Y52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529">
        <f>SUM(Table1[[#This Row],[Math 
Score]],Table1[[#This Row],[History 
Score]],Table1[[#This Row],[Physics 
Score]],Table1[[#This Row],[Chemistry 
Score]],Table1[[#This Row],[Biology 
Score]],Table1[[#This Row],[English 
Score]],Table1[[#This Row],[Geography 
Score]])</f>
        <v>442</v>
      </c>
      <c r="AA529" s="3">
        <f>AVERAGE(Table1[[#This Row],[Math 
Score]],Table1[[#This Row],[History 
Score]],Table1[[#This Row],[Physics 
Score]],Table1[[#This Row],[Chemistry 
Score]],Table1[[#This Row],[Biology 
Score]],Table1[[#This Row],[English 
Score]],Table1[[#This Row],[Geography 
Score]])</f>
        <v>63.142857142857146</v>
      </c>
      <c r="AB52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529">
        <f t="shared" si="8"/>
        <v>1997</v>
      </c>
      <c r="AD529" t="str">
        <f>_xlfn.IFS(Table1[[#This Row],[Absence 
Days]]&lt;3,"Excellent",Table1[[#This Row],[Absence 
Days]]&lt;=6,"Good",Table1[[#This Row],[Absence 
Days]]&gt;6,"Poor")</f>
        <v>Good</v>
      </c>
    </row>
    <row r="530" spans="1:30" x14ac:dyDescent="0.35">
      <c r="A530">
        <v>529</v>
      </c>
      <c r="B530" s="2" t="s">
        <v>201</v>
      </c>
      <c r="C530" t="s">
        <v>532</v>
      </c>
      <c r="D530" t="str">
        <f>_xlfn.TEXTJOIN(" ",TRUE,Table1[[#This Row],[First 
Name]:[Last 
Name]])</f>
        <v>Diana Jones</v>
      </c>
      <c r="E530" t="s">
        <v>1640</v>
      </c>
      <c r="F530" t="s">
        <v>3245</v>
      </c>
      <c r="G530" t="str">
        <f ca="1">PROPER(Table1[[#This Row],[Part Time 
Job]])</f>
        <v>False</v>
      </c>
      <c r="H530" s="3">
        <v>7</v>
      </c>
      <c r="I530" t="str">
        <f ca="1">PROPER(Table1[[#This Row],[Extracurricular 
Activities]])</f>
        <v>False</v>
      </c>
      <c r="J530">
        <v>37</v>
      </c>
      <c r="K530" t="s">
        <v>3113</v>
      </c>
      <c r="L530">
        <v>97</v>
      </c>
      <c r="M530" s="12" t="str" cm="1">
        <f t="array" ref="M53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530">
        <v>96</v>
      </c>
      <c r="O530" s="13" t="str" cm="1">
        <f t="array" ref="O53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530">
        <v>93</v>
      </c>
      <c r="Q530" s="13" t="str" cm="1">
        <f t="array" ref="Q53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530">
        <v>94</v>
      </c>
      <c r="S530" t="str" cm="1">
        <f t="array" ref="S53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530">
        <v>91</v>
      </c>
      <c r="U530" t="str" cm="1">
        <f t="array" ref="U53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530">
        <v>96</v>
      </c>
      <c r="W530" t="str" cm="1">
        <f t="array" ref="W53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530">
        <v>87</v>
      </c>
      <c r="Y530" t="str" cm="1">
        <f t="array" ref="Y53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530">
        <f>SUM(Table1[[#This Row],[Math 
Score]],Table1[[#This Row],[History 
Score]],Table1[[#This Row],[Physics 
Score]],Table1[[#This Row],[Chemistry 
Score]],Table1[[#This Row],[Biology 
Score]],Table1[[#This Row],[English 
Score]],Table1[[#This Row],[Geography 
Score]])</f>
        <v>654</v>
      </c>
      <c r="AA530" s="3">
        <f>AVERAGE(Table1[[#This Row],[Math 
Score]],Table1[[#This Row],[History 
Score]],Table1[[#This Row],[Physics 
Score]],Table1[[#This Row],[Chemistry 
Score]],Table1[[#This Row],[Biology 
Score]],Table1[[#This Row],[English 
Score]],Table1[[#This Row],[Geography 
Score]])</f>
        <v>93.428571428571431</v>
      </c>
      <c r="AB53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530">
        <f t="shared" si="8"/>
        <v>37</v>
      </c>
      <c r="AD530" t="str">
        <f>_xlfn.IFS(Table1[[#This Row],[Absence 
Days]]&lt;3,"Excellent",Table1[[#This Row],[Absence 
Days]]&lt;=6,"Good",Table1[[#This Row],[Absence 
Days]]&gt;6,"Poor")</f>
        <v>Poor</v>
      </c>
    </row>
    <row r="531" spans="1:30" x14ac:dyDescent="0.35">
      <c r="A531">
        <v>530</v>
      </c>
      <c r="B531" s="2" t="s">
        <v>255</v>
      </c>
      <c r="C531" t="s">
        <v>455</v>
      </c>
      <c r="D531" t="str">
        <f>_xlfn.TEXTJOIN(" ",TRUE,Table1[[#This Row],[First 
Name]:[Last 
Name]])</f>
        <v>Meredith Clark</v>
      </c>
      <c r="E531" t="s">
        <v>1641</v>
      </c>
      <c r="F531" t="s">
        <v>3245</v>
      </c>
      <c r="G531" t="str">
        <f ca="1">PROPER(Table1[[#This Row],[Part Time 
Job]])</f>
        <v>False</v>
      </c>
      <c r="H531" s="3">
        <v>3</v>
      </c>
      <c r="I531" t="str">
        <f ca="1">PROPER(Table1[[#This Row],[Extracurricular 
Activities]])</f>
        <v>True</v>
      </c>
      <c r="J531">
        <v>28</v>
      </c>
      <c r="K531" t="s">
        <v>3117</v>
      </c>
      <c r="L531">
        <v>89</v>
      </c>
      <c r="M531" s="12" t="str" cm="1">
        <f t="array" ref="M53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531">
        <v>77</v>
      </c>
      <c r="O531" s="13" t="str" cm="1">
        <f t="array" ref="O53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531">
        <v>69</v>
      </c>
      <c r="Q531" s="13" t="str" cm="1">
        <f t="array" ref="Q53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531">
        <v>72</v>
      </c>
      <c r="S531" t="str" cm="1">
        <f t="array" ref="S53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531">
        <v>63</v>
      </c>
      <c r="U531" t="str" cm="1">
        <f t="array" ref="U53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531">
        <v>84</v>
      </c>
      <c r="W531" t="str" cm="1">
        <f t="array" ref="W53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531">
        <v>99</v>
      </c>
      <c r="Y531" t="str" cm="1">
        <f t="array" ref="Y53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531">
        <f>SUM(Table1[[#This Row],[Math 
Score]],Table1[[#This Row],[History 
Score]],Table1[[#This Row],[Physics 
Score]],Table1[[#This Row],[Chemistry 
Score]],Table1[[#This Row],[Biology 
Score]],Table1[[#This Row],[English 
Score]],Table1[[#This Row],[Geography 
Score]])</f>
        <v>553</v>
      </c>
      <c r="AA531" s="3">
        <f>AVERAGE(Table1[[#This Row],[Math 
Score]],Table1[[#This Row],[History 
Score]],Table1[[#This Row],[Physics 
Score]],Table1[[#This Row],[Chemistry 
Score]],Table1[[#This Row],[Biology 
Score]],Table1[[#This Row],[English 
Score]],Table1[[#This Row],[Geography 
Score]])</f>
        <v>79</v>
      </c>
      <c r="AB53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531">
        <f t="shared" si="8"/>
        <v>1284</v>
      </c>
      <c r="AD531" t="str">
        <f>_xlfn.IFS(Table1[[#This Row],[Absence 
Days]]&lt;3,"Excellent",Table1[[#This Row],[Absence 
Days]]&lt;=6,"Good",Table1[[#This Row],[Absence 
Days]]&gt;6,"Poor")</f>
        <v>Good</v>
      </c>
    </row>
    <row r="532" spans="1:30" x14ac:dyDescent="0.35">
      <c r="A532">
        <v>531</v>
      </c>
      <c r="B532" s="2" t="s">
        <v>139</v>
      </c>
      <c r="C532" t="s">
        <v>425</v>
      </c>
      <c r="D532" t="str">
        <f>_xlfn.TEXTJOIN(" ",TRUE,Table1[[#This Row],[First 
Name]:[Last 
Name]])</f>
        <v>Christina Garrett</v>
      </c>
      <c r="E532" t="s">
        <v>1642</v>
      </c>
      <c r="F532" t="s">
        <v>3245</v>
      </c>
      <c r="G532" t="str">
        <f ca="1">PROPER(Table1[[#This Row],[Part Time 
Job]])</f>
        <v>False</v>
      </c>
      <c r="H532" s="3">
        <v>3</v>
      </c>
      <c r="I532" t="str">
        <f ca="1">PROPER(Table1[[#This Row],[Extracurricular 
Activities]])</f>
        <v>False</v>
      </c>
      <c r="J532">
        <v>30</v>
      </c>
      <c r="K532" t="s">
        <v>3120</v>
      </c>
      <c r="L532">
        <v>77</v>
      </c>
      <c r="M532" s="12" t="str" cm="1">
        <f t="array" ref="M53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532">
        <v>76</v>
      </c>
      <c r="O532" s="13" t="str" cm="1">
        <f t="array" ref="O53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532">
        <v>90</v>
      </c>
      <c r="Q532" s="13" t="str" cm="1">
        <f t="array" ref="Q53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532">
        <v>95</v>
      </c>
      <c r="S532" t="str" cm="1">
        <f t="array" ref="S53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532">
        <v>94</v>
      </c>
      <c r="U532" t="str" cm="1">
        <f t="array" ref="U53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532">
        <v>99</v>
      </c>
      <c r="W532" t="str" cm="1">
        <f t="array" ref="W53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532">
        <v>94</v>
      </c>
      <c r="Y532" t="str" cm="1">
        <f t="array" ref="Y53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532">
        <f>SUM(Table1[[#This Row],[Math 
Score]],Table1[[#This Row],[History 
Score]],Table1[[#This Row],[Physics 
Score]],Table1[[#This Row],[Chemistry 
Score]],Table1[[#This Row],[Biology 
Score]],Table1[[#This Row],[English 
Score]],Table1[[#This Row],[Geography 
Score]])</f>
        <v>625</v>
      </c>
      <c r="AA532" s="3">
        <f>AVERAGE(Table1[[#This Row],[Math 
Score]],Table1[[#This Row],[History 
Score]],Table1[[#This Row],[Physics 
Score]],Table1[[#This Row],[Chemistry 
Score]],Table1[[#This Row],[Biology 
Score]],Table1[[#This Row],[English 
Score]],Table1[[#This Row],[Geography 
Score]])</f>
        <v>89.285714285714292</v>
      </c>
      <c r="AB53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532">
        <f t="shared" si="8"/>
        <v>187</v>
      </c>
      <c r="AD532" t="str">
        <f>_xlfn.IFS(Table1[[#This Row],[Absence 
Days]]&lt;3,"Excellent",Table1[[#This Row],[Absence 
Days]]&lt;=6,"Good",Table1[[#This Row],[Absence 
Days]]&gt;6,"Poor")</f>
        <v>Good</v>
      </c>
    </row>
    <row r="533" spans="1:30" x14ac:dyDescent="0.35">
      <c r="A533">
        <v>532</v>
      </c>
      <c r="B533" s="2" t="s">
        <v>231</v>
      </c>
      <c r="C533" t="s">
        <v>294</v>
      </c>
      <c r="D533" t="str">
        <f>_xlfn.TEXTJOIN(" ",TRUE,Table1[[#This Row],[First 
Name]:[Last 
Name]])</f>
        <v>Daniel Jackson</v>
      </c>
      <c r="E533" t="s">
        <v>1643</v>
      </c>
      <c r="F533" t="s">
        <v>3244</v>
      </c>
      <c r="G533" t="str">
        <f ca="1">PROPER(Table1[[#This Row],[Part Time 
Job]])</f>
        <v>False</v>
      </c>
      <c r="H533" s="3">
        <v>1</v>
      </c>
      <c r="I533" t="str">
        <f ca="1">PROPER(Table1[[#This Row],[Extracurricular 
Activities]])</f>
        <v>False</v>
      </c>
      <c r="J533">
        <v>19</v>
      </c>
      <c r="K533" t="s">
        <v>3127</v>
      </c>
      <c r="L533">
        <v>91</v>
      </c>
      <c r="M533" s="12" t="str" cm="1">
        <f t="array" ref="M53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533">
        <v>89</v>
      </c>
      <c r="O533" s="13" t="str" cm="1">
        <f t="array" ref="O53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533">
        <v>66</v>
      </c>
      <c r="Q533" s="13" t="str" cm="1">
        <f t="array" ref="Q53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533">
        <v>69</v>
      </c>
      <c r="S533" t="str" cm="1">
        <f t="array" ref="S53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533">
        <v>100</v>
      </c>
      <c r="U533" t="str" cm="1">
        <f t="array" ref="U53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533">
        <v>88</v>
      </c>
      <c r="W533" t="str" cm="1">
        <f t="array" ref="W53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533">
        <v>79</v>
      </c>
      <c r="Y533" t="str" cm="1">
        <f t="array" ref="Y53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533">
        <f>SUM(Table1[[#This Row],[Math 
Score]],Table1[[#This Row],[History 
Score]],Table1[[#This Row],[Physics 
Score]],Table1[[#This Row],[Chemistry 
Score]],Table1[[#This Row],[Biology 
Score]],Table1[[#This Row],[English 
Score]],Table1[[#This Row],[Geography 
Score]])</f>
        <v>582</v>
      </c>
      <c r="AA533" s="3">
        <f>AVERAGE(Table1[[#This Row],[Math 
Score]],Table1[[#This Row],[History 
Score]],Table1[[#This Row],[Physics 
Score]],Table1[[#This Row],[Chemistry 
Score]],Table1[[#This Row],[Biology 
Score]],Table1[[#This Row],[English 
Score]],Table1[[#This Row],[Geography 
Score]])</f>
        <v>83.142857142857139</v>
      </c>
      <c r="AB53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533">
        <f t="shared" si="8"/>
        <v>670</v>
      </c>
      <c r="AD533" t="str">
        <f>_xlfn.IFS(Table1[[#This Row],[Absence 
Days]]&lt;3,"Excellent",Table1[[#This Row],[Absence 
Days]]&lt;=6,"Good",Table1[[#This Row],[Absence 
Days]]&gt;6,"Poor")</f>
        <v>Excellent</v>
      </c>
    </row>
    <row r="534" spans="1:30" x14ac:dyDescent="0.35">
      <c r="A534">
        <v>533</v>
      </c>
      <c r="B534" s="2" t="s">
        <v>256</v>
      </c>
      <c r="C534" t="s">
        <v>531</v>
      </c>
      <c r="D534" t="str">
        <f>_xlfn.TEXTJOIN(" ",TRUE,Table1[[#This Row],[First 
Name]:[Last 
Name]])</f>
        <v>Bradley Robinson</v>
      </c>
      <c r="E534" t="s">
        <v>1644</v>
      </c>
      <c r="F534" t="s">
        <v>3244</v>
      </c>
      <c r="G534" t="str">
        <f ca="1">PROPER(Table1[[#This Row],[Part Time 
Job]])</f>
        <v>True</v>
      </c>
      <c r="H534" s="3">
        <v>7</v>
      </c>
      <c r="I534" t="str">
        <f ca="1">PROPER(Table1[[#This Row],[Extracurricular 
Activities]])</f>
        <v>False</v>
      </c>
      <c r="J534">
        <v>2</v>
      </c>
      <c r="K534" t="s">
        <v>3119</v>
      </c>
      <c r="L534">
        <v>64</v>
      </c>
      <c r="M534" s="12" t="str" cm="1">
        <f t="array" ref="M534">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534">
        <v>92</v>
      </c>
      <c r="O534" s="13" t="str" cm="1">
        <f t="array" ref="O53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534">
        <v>70</v>
      </c>
      <c r="Q534" s="13" t="str" cm="1">
        <f t="array" ref="Q53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534">
        <v>81</v>
      </c>
      <c r="S534" t="str" cm="1">
        <f t="array" ref="S53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534">
        <v>85</v>
      </c>
      <c r="U534" t="str" cm="1">
        <f t="array" ref="U53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534">
        <v>55</v>
      </c>
      <c r="W534" t="str" cm="1">
        <f t="array" ref="W53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C</v>
      </c>
      <c r="X534">
        <v>76</v>
      </c>
      <c r="Y534" t="str" cm="1">
        <f t="array" ref="Y53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534">
        <f>SUM(Table1[[#This Row],[Math 
Score]],Table1[[#This Row],[History 
Score]],Table1[[#This Row],[Physics 
Score]],Table1[[#This Row],[Chemistry 
Score]],Table1[[#This Row],[Biology 
Score]],Table1[[#This Row],[English 
Score]],Table1[[#This Row],[Geography 
Score]])</f>
        <v>523</v>
      </c>
      <c r="AA534" s="3">
        <f>AVERAGE(Table1[[#This Row],[Math 
Score]],Table1[[#This Row],[History 
Score]],Table1[[#This Row],[Physics 
Score]],Table1[[#This Row],[Chemistry 
Score]],Table1[[#This Row],[Biology 
Score]],Table1[[#This Row],[English 
Score]],Table1[[#This Row],[Geography 
Score]])</f>
        <v>74.714285714285708</v>
      </c>
      <c r="AB53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534">
        <f t="shared" si="8"/>
        <v>1727</v>
      </c>
      <c r="AD534" t="str">
        <f>_xlfn.IFS(Table1[[#This Row],[Absence 
Days]]&lt;3,"Excellent",Table1[[#This Row],[Absence 
Days]]&lt;=6,"Good",Table1[[#This Row],[Absence 
Days]]&gt;6,"Poor")</f>
        <v>Poor</v>
      </c>
    </row>
    <row r="535" spans="1:30" x14ac:dyDescent="0.35">
      <c r="A535">
        <v>534</v>
      </c>
      <c r="B535" s="2" t="s">
        <v>31</v>
      </c>
      <c r="C535" t="s">
        <v>575</v>
      </c>
      <c r="D535" t="str">
        <f>_xlfn.TEXTJOIN(" ",TRUE,Table1[[#This Row],[First 
Name]:[Last 
Name]])</f>
        <v>Phyllis Schneider</v>
      </c>
      <c r="E535" t="s">
        <v>1645</v>
      </c>
      <c r="F535" t="s">
        <v>3245</v>
      </c>
      <c r="G535" t="str">
        <f ca="1">PROPER(Table1[[#This Row],[Part Time 
Job]])</f>
        <v>True</v>
      </c>
      <c r="H535" s="3">
        <v>4</v>
      </c>
      <c r="I535" t="str">
        <f ca="1">PROPER(Table1[[#This Row],[Extracurricular 
Activities]])</f>
        <v>False</v>
      </c>
      <c r="J535">
        <v>26</v>
      </c>
      <c r="K535" t="s">
        <v>3116</v>
      </c>
      <c r="L535">
        <v>71</v>
      </c>
      <c r="M535" s="12" t="str" cm="1">
        <f t="array" ref="M535">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535">
        <v>87</v>
      </c>
      <c r="O535" s="13" t="str" cm="1">
        <f t="array" ref="O53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535">
        <v>63</v>
      </c>
      <c r="Q535" s="13" t="str" cm="1">
        <f t="array" ref="Q53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535">
        <v>73</v>
      </c>
      <c r="S535" t="str" cm="1">
        <f t="array" ref="S53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535">
        <v>89</v>
      </c>
      <c r="U535" t="str" cm="1">
        <f t="array" ref="U53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535">
        <v>77</v>
      </c>
      <c r="W535" t="str" cm="1">
        <f t="array" ref="W53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535">
        <v>66</v>
      </c>
      <c r="Y535" t="str" cm="1">
        <f t="array" ref="Y53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535">
        <f>SUM(Table1[[#This Row],[Math 
Score]],Table1[[#This Row],[History 
Score]],Table1[[#This Row],[Physics 
Score]],Table1[[#This Row],[Chemistry 
Score]],Table1[[#This Row],[Biology 
Score]],Table1[[#This Row],[English 
Score]],Table1[[#This Row],[Geography 
Score]])</f>
        <v>526</v>
      </c>
      <c r="AA535" s="3">
        <f>AVERAGE(Table1[[#This Row],[Math 
Score]],Table1[[#This Row],[History 
Score]],Table1[[#This Row],[Physics 
Score]],Table1[[#This Row],[Chemistry 
Score]],Table1[[#This Row],[Biology 
Score]],Table1[[#This Row],[English 
Score]],Table1[[#This Row],[Geography 
Score]])</f>
        <v>75.142857142857139</v>
      </c>
      <c r="AB53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535">
        <f t="shared" si="8"/>
        <v>1688</v>
      </c>
      <c r="AD535" t="str">
        <f>_xlfn.IFS(Table1[[#This Row],[Absence 
Days]]&lt;3,"Excellent",Table1[[#This Row],[Absence 
Days]]&lt;=6,"Good",Table1[[#This Row],[Absence 
Days]]&gt;6,"Poor")</f>
        <v>Good</v>
      </c>
    </row>
    <row r="536" spans="1:30" x14ac:dyDescent="0.35">
      <c r="A536">
        <v>535</v>
      </c>
      <c r="B536" s="2" t="s">
        <v>80</v>
      </c>
      <c r="C536" t="s">
        <v>455</v>
      </c>
      <c r="D536" t="str">
        <f>_xlfn.TEXTJOIN(" ",TRUE,Table1[[#This Row],[First 
Name]:[Last 
Name]])</f>
        <v>Thomas Clark</v>
      </c>
      <c r="E536" t="s">
        <v>1646</v>
      </c>
      <c r="F536" t="s">
        <v>3244</v>
      </c>
      <c r="G536" t="str">
        <f ca="1">PROPER(Table1[[#This Row],[Part Time 
Job]])</f>
        <v>False</v>
      </c>
      <c r="H536" s="3">
        <v>10</v>
      </c>
      <c r="I536" t="str">
        <f ca="1">PROPER(Table1[[#This Row],[Extracurricular 
Activities]])</f>
        <v>True</v>
      </c>
      <c r="J536">
        <v>0</v>
      </c>
      <c r="K536" t="s">
        <v>3119</v>
      </c>
      <c r="L536">
        <v>56</v>
      </c>
      <c r="M536" s="12" t="str" cm="1">
        <f t="array" ref="M536">_xlfn.IFS(Table1[[#This Row],[Math 
Score]]&gt;=90,"A+",Table1[[#This Row],[Math 
Score]]&gt;=80,"A", Table1[[#This Row],[Math 
Score]]&gt;=75,"A-",Table1[[#This Row],[Math 
Score]]&gt;=70,"B+",Table1[[#This Row],[Math 
Score]]&gt;=65,"B",Table1[[#This Row],[Math 
Score]]&gt;=60,"B-",Table1[[#This Row],[Math 
Score]]&gt;=50,"C",Table1[[#This Row],[Math 
Score]]&gt;=40,"D",Table1[[#This Row],[Math 
Score]]&lt;40,"F")</f>
        <v>C</v>
      </c>
      <c r="N536">
        <v>79</v>
      </c>
      <c r="O536" s="13" t="str" cm="1">
        <f t="array" ref="O53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536">
        <v>74</v>
      </c>
      <c r="Q536" s="13" t="str" cm="1">
        <f t="array" ref="Q53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536">
        <v>66</v>
      </c>
      <c r="S536" t="str" cm="1">
        <f t="array" ref="S53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536">
        <v>92</v>
      </c>
      <c r="U536" t="str" cm="1">
        <f t="array" ref="U53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536">
        <v>57</v>
      </c>
      <c r="W536" t="str" cm="1">
        <f t="array" ref="W53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C</v>
      </c>
      <c r="X536">
        <v>61</v>
      </c>
      <c r="Y536" t="str" cm="1">
        <f t="array" ref="Y53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536">
        <f>SUM(Table1[[#This Row],[Math 
Score]],Table1[[#This Row],[History 
Score]],Table1[[#This Row],[Physics 
Score]],Table1[[#This Row],[Chemistry 
Score]],Table1[[#This Row],[Biology 
Score]],Table1[[#This Row],[English 
Score]],Table1[[#This Row],[Geography 
Score]])</f>
        <v>485</v>
      </c>
      <c r="AA536" s="3">
        <f>AVERAGE(Table1[[#This Row],[Math 
Score]],Table1[[#This Row],[History 
Score]],Table1[[#This Row],[Physics 
Score]],Table1[[#This Row],[Chemistry 
Score]],Table1[[#This Row],[Biology 
Score]],Table1[[#This Row],[English 
Score]],Table1[[#This Row],[Geography 
Score]])</f>
        <v>69.285714285714292</v>
      </c>
      <c r="AB53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536">
        <f t="shared" si="8"/>
        <v>1923</v>
      </c>
      <c r="AD536" t="str">
        <f>_xlfn.IFS(Table1[[#This Row],[Absence 
Days]]&lt;3,"Excellent",Table1[[#This Row],[Absence 
Days]]&lt;=6,"Good",Table1[[#This Row],[Absence 
Days]]&gt;6,"Poor")</f>
        <v>Poor</v>
      </c>
    </row>
    <row r="537" spans="1:30" x14ac:dyDescent="0.35">
      <c r="A537">
        <v>536</v>
      </c>
      <c r="B537" s="2" t="s">
        <v>257</v>
      </c>
      <c r="C537" t="s">
        <v>542</v>
      </c>
      <c r="D537" t="str">
        <f>_xlfn.TEXTJOIN(" ",TRUE,Table1[[#This Row],[First 
Name]:[Last 
Name]])</f>
        <v>Gregory Gonzalez</v>
      </c>
      <c r="E537" t="s">
        <v>1647</v>
      </c>
      <c r="F537" t="s">
        <v>3244</v>
      </c>
      <c r="G537" t="str">
        <f ca="1">PROPER(Table1[[#This Row],[Part Time 
Job]])</f>
        <v>False</v>
      </c>
      <c r="H537" s="3">
        <v>4</v>
      </c>
      <c r="I537" t="str">
        <f ca="1">PROPER(Table1[[#This Row],[Extracurricular 
Activities]])</f>
        <v>False</v>
      </c>
      <c r="J537">
        <v>5</v>
      </c>
      <c r="K537" t="s">
        <v>3126</v>
      </c>
      <c r="L537">
        <v>87</v>
      </c>
      <c r="M537" s="12" t="str" cm="1">
        <f t="array" ref="M53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537">
        <v>70</v>
      </c>
      <c r="O537" s="13" t="str" cm="1">
        <f t="array" ref="O53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537">
        <v>98</v>
      </c>
      <c r="Q537" s="13" t="str" cm="1">
        <f t="array" ref="Q53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537">
        <v>64</v>
      </c>
      <c r="S537" t="str" cm="1">
        <f t="array" ref="S53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537">
        <v>65</v>
      </c>
      <c r="U537" t="str" cm="1">
        <f t="array" ref="U53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537">
        <v>78</v>
      </c>
      <c r="W537" t="str" cm="1">
        <f t="array" ref="W53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537">
        <v>83</v>
      </c>
      <c r="Y537" t="str" cm="1">
        <f t="array" ref="Y53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537">
        <f>SUM(Table1[[#This Row],[Math 
Score]],Table1[[#This Row],[History 
Score]],Table1[[#This Row],[Physics 
Score]],Table1[[#This Row],[Chemistry 
Score]],Table1[[#This Row],[Biology 
Score]],Table1[[#This Row],[English 
Score]],Table1[[#This Row],[Geography 
Score]])</f>
        <v>545</v>
      </c>
      <c r="AA537" s="3">
        <f>AVERAGE(Table1[[#This Row],[Math 
Score]],Table1[[#This Row],[History 
Score]],Table1[[#This Row],[Physics 
Score]],Table1[[#This Row],[Chemistry 
Score]],Table1[[#This Row],[Biology 
Score]],Table1[[#This Row],[English 
Score]],Table1[[#This Row],[Geography 
Score]])</f>
        <v>77.857142857142861</v>
      </c>
      <c r="AB53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537">
        <f t="shared" si="8"/>
        <v>1432</v>
      </c>
      <c r="AD537" t="str">
        <f>_xlfn.IFS(Table1[[#This Row],[Absence 
Days]]&lt;3,"Excellent",Table1[[#This Row],[Absence 
Days]]&lt;=6,"Good",Table1[[#This Row],[Absence 
Days]]&gt;6,"Poor")</f>
        <v>Good</v>
      </c>
    </row>
    <row r="538" spans="1:30" x14ac:dyDescent="0.35">
      <c r="A538">
        <v>537</v>
      </c>
      <c r="B538" s="2" t="s">
        <v>54</v>
      </c>
      <c r="C538" t="s">
        <v>649</v>
      </c>
      <c r="D538" t="str">
        <f>_xlfn.TEXTJOIN(" ",TRUE,Table1[[#This Row],[First 
Name]:[Last 
Name]])</f>
        <v>Michelle Roth</v>
      </c>
      <c r="E538" t="s">
        <v>1648</v>
      </c>
      <c r="F538" t="s">
        <v>3245</v>
      </c>
      <c r="G538" t="str">
        <f ca="1">PROPER(Table1[[#This Row],[Part Time 
Job]])</f>
        <v>False</v>
      </c>
      <c r="H538" s="3">
        <v>0</v>
      </c>
      <c r="I538" t="str">
        <f ca="1">PROPER(Table1[[#This Row],[Extracurricular 
Activities]])</f>
        <v>False</v>
      </c>
      <c r="J538">
        <v>17</v>
      </c>
      <c r="K538" t="s">
        <v>3117</v>
      </c>
      <c r="L538">
        <v>99</v>
      </c>
      <c r="M538" s="12" t="str" cm="1">
        <f t="array" ref="M53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538">
        <v>69</v>
      </c>
      <c r="O538" s="13" t="str" cm="1">
        <f t="array" ref="O53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538">
        <v>85</v>
      </c>
      <c r="Q538" s="13" t="str" cm="1">
        <f t="array" ref="Q53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538">
        <v>91</v>
      </c>
      <c r="S538" t="str" cm="1">
        <f t="array" ref="S53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538">
        <v>77</v>
      </c>
      <c r="U538" t="str" cm="1">
        <f t="array" ref="U53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538">
        <v>88</v>
      </c>
      <c r="W538" t="str" cm="1">
        <f t="array" ref="W53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538">
        <v>75</v>
      </c>
      <c r="Y538" t="str" cm="1">
        <f t="array" ref="Y53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538">
        <f>SUM(Table1[[#This Row],[Math 
Score]],Table1[[#This Row],[History 
Score]],Table1[[#This Row],[Physics 
Score]],Table1[[#This Row],[Chemistry 
Score]],Table1[[#This Row],[Biology 
Score]],Table1[[#This Row],[English 
Score]],Table1[[#This Row],[Geography 
Score]])</f>
        <v>584</v>
      </c>
      <c r="AA538" s="3">
        <f>AVERAGE(Table1[[#This Row],[Math 
Score]],Table1[[#This Row],[History 
Score]],Table1[[#This Row],[Physics 
Score]],Table1[[#This Row],[Chemistry 
Score]],Table1[[#This Row],[Biology 
Score]],Table1[[#This Row],[English 
Score]],Table1[[#This Row],[Geography 
Score]])</f>
        <v>83.428571428571431</v>
      </c>
      <c r="AB53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538">
        <f t="shared" si="8"/>
        <v>635</v>
      </c>
      <c r="AD538" t="str">
        <f>_xlfn.IFS(Table1[[#This Row],[Absence 
Days]]&lt;3,"Excellent",Table1[[#This Row],[Absence 
Days]]&lt;=6,"Good",Table1[[#This Row],[Absence 
Days]]&gt;6,"Poor")</f>
        <v>Excellent</v>
      </c>
    </row>
    <row r="539" spans="1:30" x14ac:dyDescent="0.35">
      <c r="A539">
        <v>538</v>
      </c>
      <c r="B539" s="2" t="s">
        <v>36</v>
      </c>
      <c r="C539" t="s">
        <v>498</v>
      </c>
      <c r="D539" t="str">
        <f>_xlfn.TEXTJOIN(" ",TRUE,Table1[[#This Row],[First 
Name]:[Last 
Name]])</f>
        <v>Christopher Murphy</v>
      </c>
      <c r="E539" t="s">
        <v>1649</v>
      </c>
      <c r="F539" t="s">
        <v>3244</v>
      </c>
      <c r="G539" t="str">
        <f ca="1">PROPER(Table1[[#This Row],[Part Time 
Job]])</f>
        <v>False</v>
      </c>
      <c r="H539" s="3">
        <v>2</v>
      </c>
      <c r="I539" t="str">
        <f ca="1">PROPER(Table1[[#This Row],[Extracurricular 
Activities]])</f>
        <v>False</v>
      </c>
      <c r="J539">
        <v>26</v>
      </c>
      <c r="K539" t="s">
        <v>3112</v>
      </c>
      <c r="L539">
        <v>98</v>
      </c>
      <c r="M539" s="12" t="str" cm="1">
        <f t="array" ref="M53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539">
        <v>88</v>
      </c>
      <c r="O539" s="13" t="str" cm="1">
        <f t="array" ref="O53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539">
        <v>76</v>
      </c>
      <c r="Q539" s="13" t="str" cm="1">
        <f t="array" ref="Q53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539">
        <v>72</v>
      </c>
      <c r="S539" t="str" cm="1">
        <f t="array" ref="S53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539">
        <v>92</v>
      </c>
      <c r="U539" t="str" cm="1">
        <f t="array" ref="U53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539">
        <v>81</v>
      </c>
      <c r="W539" t="str" cm="1">
        <f t="array" ref="W53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539">
        <v>89</v>
      </c>
      <c r="Y539" t="str" cm="1">
        <f t="array" ref="Y53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539">
        <f>SUM(Table1[[#This Row],[Math 
Score]],Table1[[#This Row],[History 
Score]],Table1[[#This Row],[Physics 
Score]],Table1[[#This Row],[Chemistry 
Score]],Table1[[#This Row],[Biology 
Score]],Table1[[#This Row],[English 
Score]],Table1[[#This Row],[Geography 
Score]])</f>
        <v>596</v>
      </c>
      <c r="AA539" s="3">
        <f>AVERAGE(Table1[[#This Row],[Math 
Score]],Table1[[#This Row],[History 
Score]],Table1[[#This Row],[Physics 
Score]],Table1[[#This Row],[Chemistry 
Score]],Table1[[#This Row],[Biology 
Score]],Table1[[#This Row],[English 
Score]],Table1[[#This Row],[Geography 
Score]])</f>
        <v>85.142857142857139</v>
      </c>
      <c r="AB53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539">
        <f t="shared" si="8"/>
        <v>458</v>
      </c>
      <c r="AD539" t="str">
        <f>_xlfn.IFS(Table1[[#This Row],[Absence 
Days]]&lt;3,"Excellent",Table1[[#This Row],[Absence 
Days]]&lt;=6,"Good",Table1[[#This Row],[Absence 
Days]]&gt;6,"Poor")</f>
        <v>Excellent</v>
      </c>
    </row>
    <row r="540" spans="1:30" x14ac:dyDescent="0.35">
      <c r="A540">
        <v>539</v>
      </c>
      <c r="B540" s="2" t="s">
        <v>109</v>
      </c>
      <c r="C540" t="s">
        <v>492</v>
      </c>
      <c r="D540" t="str">
        <f>_xlfn.TEXTJOIN(" ",TRUE,Table1[[#This Row],[First 
Name]:[Last 
Name]])</f>
        <v>Mark Davis</v>
      </c>
      <c r="E540" t="s">
        <v>1650</v>
      </c>
      <c r="F540" t="s">
        <v>3244</v>
      </c>
      <c r="G540" t="str">
        <f ca="1">PROPER(Table1[[#This Row],[Part Time 
Job]])</f>
        <v>False</v>
      </c>
      <c r="H540" s="3">
        <v>2</v>
      </c>
      <c r="I540" t="str">
        <f ca="1">PROPER(Table1[[#This Row],[Extracurricular 
Activities]])</f>
        <v>False</v>
      </c>
      <c r="J540">
        <v>32</v>
      </c>
      <c r="K540" t="s">
        <v>3116</v>
      </c>
      <c r="L540">
        <v>87</v>
      </c>
      <c r="M540" s="12" t="str" cm="1">
        <f t="array" ref="M54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540">
        <v>83</v>
      </c>
      <c r="O540" s="13" t="str" cm="1">
        <f t="array" ref="O54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540">
        <v>74</v>
      </c>
      <c r="Q540" s="13" t="str" cm="1">
        <f t="array" ref="Q54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540">
        <v>61</v>
      </c>
      <c r="S540" t="str" cm="1">
        <f t="array" ref="S54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540">
        <v>81</v>
      </c>
      <c r="U540" t="str" cm="1">
        <f t="array" ref="U54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540">
        <v>72</v>
      </c>
      <c r="W540" t="str" cm="1">
        <f t="array" ref="W54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540">
        <v>98</v>
      </c>
      <c r="Y540" t="str" cm="1">
        <f t="array" ref="Y54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540">
        <f>SUM(Table1[[#This Row],[Math 
Score]],Table1[[#This Row],[History 
Score]],Table1[[#This Row],[Physics 
Score]],Table1[[#This Row],[Chemistry 
Score]],Table1[[#This Row],[Biology 
Score]],Table1[[#This Row],[English 
Score]],Table1[[#This Row],[Geography 
Score]])</f>
        <v>556</v>
      </c>
      <c r="AA540" s="3">
        <f>AVERAGE(Table1[[#This Row],[Math 
Score]],Table1[[#This Row],[History 
Score]],Table1[[#This Row],[Physics 
Score]],Table1[[#This Row],[Chemistry 
Score]],Table1[[#This Row],[Biology 
Score]],Table1[[#This Row],[English 
Score]],Table1[[#This Row],[Geography 
Score]])</f>
        <v>79.428571428571431</v>
      </c>
      <c r="AB54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540">
        <f t="shared" si="8"/>
        <v>1224</v>
      </c>
      <c r="AD540" t="str">
        <f>_xlfn.IFS(Table1[[#This Row],[Absence 
Days]]&lt;3,"Excellent",Table1[[#This Row],[Absence 
Days]]&lt;=6,"Good",Table1[[#This Row],[Absence 
Days]]&gt;6,"Poor")</f>
        <v>Excellent</v>
      </c>
    </row>
    <row r="541" spans="1:30" x14ac:dyDescent="0.35">
      <c r="A541">
        <v>540</v>
      </c>
      <c r="B541" s="2" t="s">
        <v>39</v>
      </c>
      <c r="C541" t="s">
        <v>758</v>
      </c>
      <c r="D541" t="str">
        <f>_xlfn.TEXTJOIN(" ",TRUE,Table1[[#This Row],[First 
Name]:[Last 
Name]])</f>
        <v>Lauren Harrington</v>
      </c>
      <c r="E541" t="s">
        <v>1651</v>
      </c>
      <c r="F541" t="s">
        <v>3245</v>
      </c>
      <c r="G541" t="str">
        <f ca="1">PROPER(Table1[[#This Row],[Part Time 
Job]])</f>
        <v>False</v>
      </c>
      <c r="H541" s="3">
        <v>6</v>
      </c>
      <c r="I541" t="str">
        <f ca="1">PROPER(Table1[[#This Row],[Extracurricular 
Activities]])</f>
        <v>True</v>
      </c>
      <c r="J541">
        <v>16</v>
      </c>
      <c r="K541" t="s">
        <v>3117</v>
      </c>
      <c r="L541">
        <v>88</v>
      </c>
      <c r="M541" s="12" t="str" cm="1">
        <f t="array" ref="M54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541">
        <v>96</v>
      </c>
      <c r="O541" s="13" t="str" cm="1">
        <f t="array" ref="O54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541">
        <v>90</v>
      </c>
      <c r="Q541" s="13" t="str" cm="1">
        <f t="array" ref="Q54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541">
        <v>92</v>
      </c>
      <c r="S541" t="str" cm="1">
        <f t="array" ref="S54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541">
        <v>68</v>
      </c>
      <c r="U541" t="str" cm="1">
        <f t="array" ref="U54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541">
        <v>97</v>
      </c>
      <c r="W541" t="str" cm="1">
        <f t="array" ref="W54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541">
        <v>73</v>
      </c>
      <c r="Y541" t="str" cm="1">
        <f t="array" ref="Y54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541">
        <f>SUM(Table1[[#This Row],[Math 
Score]],Table1[[#This Row],[History 
Score]],Table1[[#This Row],[Physics 
Score]],Table1[[#This Row],[Chemistry 
Score]],Table1[[#This Row],[Biology 
Score]],Table1[[#This Row],[English 
Score]],Table1[[#This Row],[Geography 
Score]])</f>
        <v>604</v>
      </c>
      <c r="AA541" s="3">
        <f>AVERAGE(Table1[[#This Row],[Math 
Score]],Table1[[#This Row],[History 
Score]],Table1[[#This Row],[Physics 
Score]],Table1[[#This Row],[Chemistry 
Score]],Table1[[#This Row],[Biology 
Score]],Table1[[#This Row],[English 
Score]],Table1[[#This Row],[Geography 
Score]])</f>
        <v>86.285714285714292</v>
      </c>
      <c r="AB54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541">
        <f t="shared" si="8"/>
        <v>353</v>
      </c>
      <c r="AD541" t="str">
        <f>_xlfn.IFS(Table1[[#This Row],[Absence 
Days]]&lt;3,"Excellent",Table1[[#This Row],[Absence 
Days]]&lt;=6,"Good",Table1[[#This Row],[Absence 
Days]]&gt;6,"Poor")</f>
        <v>Good</v>
      </c>
    </row>
    <row r="542" spans="1:30" x14ac:dyDescent="0.35">
      <c r="A542">
        <v>541</v>
      </c>
      <c r="B542" s="2" t="s">
        <v>54</v>
      </c>
      <c r="C542" t="s">
        <v>616</v>
      </c>
      <c r="D542" t="str">
        <f>_xlfn.TEXTJOIN(" ",TRUE,Table1[[#This Row],[First 
Name]:[Last 
Name]])</f>
        <v>Michelle Owens</v>
      </c>
      <c r="E542" t="s">
        <v>1652</v>
      </c>
      <c r="F542" t="s">
        <v>3245</v>
      </c>
      <c r="G542" t="str">
        <f ca="1">PROPER(Table1[[#This Row],[Part Time 
Job]])</f>
        <v>True</v>
      </c>
      <c r="H542" s="3">
        <v>8</v>
      </c>
      <c r="I542" t="str">
        <f ca="1">PROPER(Table1[[#This Row],[Extracurricular 
Activities]])</f>
        <v>False</v>
      </c>
      <c r="J542">
        <v>2</v>
      </c>
      <c r="K542" t="s">
        <v>3119</v>
      </c>
      <c r="L542">
        <v>71</v>
      </c>
      <c r="M542" s="12" t="str" cm="1">
        <f t="array" ref="M542">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542">
        <v>52</v>
      </c>
      <c r="O542" s="13" t="str" cm="1">
        <f t="array" ref="O54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C</v>
      </c>
      <c r="P542">
        <v>53</v>
      </c>
      <c r="Q542" s="13" t="str" cm="1">
        <f t="array" ref="Q54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C</v>
      </c>
      <c r="R542">
        <v>64</v>
      </c>
      <c r="S542" t="str" cm="1">
        <f t="array" ref="S54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542">
        <v>89</v>
      </c>
      <c r="U542" t="str" cm="1">
        <f t="array" ref="U54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542">
        <v>76</v>
      </c>
      <c r="W542" t="str" cm="1">
        <f t="array" ref="W54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542">
        <v>70</v>
      </c>
      <c r="Y542" t="str" cm="1">
        <f t="array" ref="Y54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542">
        <f>SUM(Table1[[#This Row],[Math 
Score]],Table1[[#This Row],[History 
Score]],Table1[[#This Row],[Physics 
Score]],Table1[[#This Row],[Chemistry 
Score]],Table1[[#This Row],[Biology 
Score]],Table1[[#This Row],[English 
Score]],Table1[[#This Row],[Geography 
Score]])</f>
        <v>475</v>
      </c>
      <c r="AA542" s="3">
        <f>AVERAGE(Table1[[#This Row],[Math 
Score]],Table1[[#This Row],[History 
Score]],Table1[[#This Row],[Physics 
Score]],Table1[[#This Row],[Chemistry 
Score]],Table1[[#This Row],[Biology 
Score]],Table1[[#This Row],[English 
Score]],Table1[[#This Row],[Geography 
Score]])</f>
        <v>67.857142857142861</v>
      </c>
      <c r="AB54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542">
        <f t="shared" si="8"/>
        <v>1947</v>
      </c>
      <c r="AD542" t="str">
        <f>_xlfn.IFS(Table1[[#This Row],[Absence 
Days]]&lt;3,"Excellent",Table1[[#This Row],[Absence 
Days]]&lt;=6,"Good",Table1[[#This Row],[Absence 
Days]]&gt;6,"Poor")</f>
        <v>Poor</v>
      </c>
    </row>
    <row r="543" spans="1:30" x14ac:dyDescent="0.35">
      <c r="A543">
        <v>542</v>
      </c>
      <c r="B543" s="2" t="s">
        <v>192</v>
      </c>
      <c r="C543" t="s">
        <v>759</v>
      </c>
      <c r="D543" t="str">
        <f>_xlfn.TEXTJOIN(" ",TRUE,Table1[[#This Row],[First 
Name]:[Last 
Name]])</f>
        <v>Scott Weaver</v>
      </c>
      <c r="E543" t="s">
        <v>1653</v>
      </c>
      <c r="F543" t="s">
        <v>3244</v>
      </c>
      <c r="G543" t="str">
        <f ca="1">PROPER(Table1[[#This Row],[Part Time 
Job]])</f>
        <v>False</v>
      </c>
      <c r="H543" s="3">
        <v>2</v>
      </c>
      <c r="I543" t="str">
        <f ca="1">PROPER(Table1[[#This Row],[Extracurricular 
Activities]])</f>
        <v>False</v>
      </c>
      <c r="J543">
        <v>35</v>
      </c>
      <c r="K543" t="s">
        <v>3125</v>
      </c>
      <c r="L543">
        <v>96</v>
      </c>
      <c r="M543" s="12" t="str" cm="1">
        <f t="array" ref="M54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543">
        <v>90</v>
      </c>
      <c r="O543" s="13" t="str" cm="1">
        <f t="array" ref="O54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543">
        <v>91</v>
      </c>
      <c r="Q543" s="13" t="str" cm="1">
        <f t="array" ref="Q54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543">
        <v>95</v>
      </c>
      <c r="S543" t="str" cm="1">
        <f t="array" ref="S54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543">
        <v>99</v>
      </c>
      <c r="U543" t="str" cm="1">
        <f t="array" ref="U54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543">
        <v>95</v>
      </c>
      <c r="W543" t="str" cm="1">
        <f t="array" ref="W54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543">
        <v>99</v>
      </c>
      <c r="Y543" t="str" cm="1">
        <f t="array" ref="Y54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543">
        <f>SUM(Table1[[#This Row],[Math 
Score]],Table1[[#This Row],[History 
Score]],Table1[[#This Row],[Physics 
Score]],Table1[[#This Row],[Chemistry 
Score]],Table1[[#This Row],[Biology 
Score]],Table1[[#This Row],[English 
Score]],Table1[[#This Row],[Geography 
Score]])</f>
        <v>665</v>
      </c>
      <c r="AA543" s="3">
        <f>AVERAGE(Table1[[#This Row],[Math 
Score]],Table1[[#This Row],[History 
Score]],Table1[[#This Row],[Physics 
Score]],Table1[[#This Row],[Chemistry 
Score]],Table1[[#This Row],[Biology 
Score]],Table1[[#This Row],[English 
Score]],Table1[[#This Row],[Geography 
Score]])</f>
        <v>95</v>
      </c>
      <c r="AB54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543">
        <f t="shared" si="8"/>
        <v>9</v>
      </c>
      <c r="AD543" t="str">
        <f>_xlfn.IFS(Table1[[#This Row],[Absence 
Days]]&lt;3,"Excellent",Table1[[#This Row],[Absence 
Days]]&lt;=6,"Good",Table1[[#This Row],[Absence 
Days]]&gt;6,"Poor")</f>
        <v>Excellent</v>
      </c>
    </row>
    <row r="544" spans="1:30" x14ac:dyDescent="0.35">
      <c r="A544">
        <v>543</v>
      </c>
      <c r="B544" s="2" t="s">
        <v>258</v>
      </c>
      <c r="C544" t="s">
        <v>475</v>
      </c>
      <c r="D544" t="str">
        <f>_xlfn.TEXTJOIN(" ",TRUE,Table1[[#This Row],[First 
Name]:[Last 
Name]])</f>
        <v>Monica Williams</v>
      </c>
      <c r="E544" t="s">
        <v>1654</v>
      </c>
      <c r="F544" t="s">
        <v>3245</v>
      </c>
      <c r="G544" t="str">
        <f ca="1">PROPER(Table1[[#This Row],[Part Time 
Job]])</f>
        <v>False</v>
      </c>
      <c r="H544" s="3">
        <v>0</v>
      </c>
      <c r="I544" t="str">
        <f ca="1">PROPER(Table1[[#This Row],[Extracurricular 
Activities]])</f>
        <v>False</v>
      </c>
      <c r="J544">
        <v>17</v>
      </c>
      <c r="K544" t="s">
        <v>3123</v>
      </c>
      <c r="L544">
        <v>81</v>
      </c>
      <c r="M544" s="12" t="str" cm="1">
        <f t="array" ref="M54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544">
        <v>95</v>
      </c>
      <c r="O544" s="13" t="str" cm="1">
        <f t="array" ref="O54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544">
        <v>99</v>
      </c>
      <c r="Q544" s="13" t="str" cm="1">
        <f t="array" ref="Q54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544">
        <v>65</v>
      </c>
      <c r="S544" t="str" cm="1">
        <f t="array" ref="S54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544">
        <v>56</v>
      </c>
      <c r="U544" t="str" cm="1">
        <f t="array" ref="U54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C</v>
      </c>
      <c r="V544">
        <v>79</v>
      </c>
      <c r="W544" t="str" cm="1">
        <f t="array" ref="W54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544">
        <v>98</v>
      </c>
      <c r="Y544" t="str" cm="1">
        <f t="array" ref="Y54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544">
        <f>SUM(Table1[[#This Row],[Math 
Score]],Table1[[#This Row],[History 
Score]],Table1[[#This Row],[Physics 
Score]],Table1[[#This Row],[Chemistry 
Score]],Table1[[#This Row],[Biology 
Score]],Table1[[#This Row],[English 
Score]],Table1[[#This Row],[Geography 
Score]])</f>
        <v>573</v>
      </c>
      <c r="AA544" s="3">
        <f>AVERAGE(Table1[[#This Row],[Math 
Score]],Table1[[#This Row],[History 
Score]],Table1[[#This Row],[Physics 
Score]],Table1[[#This Row],[Chemistry 
Score]],Table1[[#This Row],[Biology 
Score]],Table1[[#This Row],[English 
Score]],Table1[[#This Row],[Geography 
Score]])</f>
        <v>81.857142857142861</v>
      </c>
      <c r="AB54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544">
        <f t="shared" si="8"/>
        <v>864</v>
      </c>
      <c r="AD544" t="str">
        <f>_xlfn.IFS(Table1[[#This Row],[Absence 
Days]]&lt;3,"Excellent",Table1[[#This Row],[Absence 
Days]]&lt;=6,"Good",Table1[[#This Row],[Absence 
Days]]&gt;6,"Poor")</f>
        <v>Excellent</v>
      </c>
    </row>
    <row r="545" spans="1:30" x14ac:dyDescent="0.35">
      <c r="A545">
        <v>544</v>
      </c>
      <c r="B545" s="2" t="s">
        <v>138</v>
      </c>
      <c r="C545" t="s">
        <v>760</v>
      </c>
      <c r="D545" t="str">
        <f>_xlfn.TEXTJOIN(" ",TRUE,Table1[[#This Row],[First 
Name]:[Last 
Name]])</f>
        <v>Kathryn Hampton</v>
      </c>
      <c r="E545" t="s">
        <v>1655</v>
      </c>
      <c r="F545" t="s">
        <v>3245</v>
      </c>
      <c r="G545" t="str">
        <f ca="1">PROPER(Table1[[#This Row],[Part Time 
Job]])</f>
        <v>False</v>
      </c>
      <c r="H545" s="3">
        <v>9</v>
      </c>
      <c r="I545" t="str">
        <f ca="1">PROPER(Table1[[#This Row],[Extracurricular 
Activities]])</f>
        <v>False</v>
      </c>
      <c r="J545">
        <v>3</v>
      </c>
      <c r="K545" t="s">
        <v>3119</v>
      </c>
      <c r="L545">
        <v>94</v>
      </c>
      <c r="M545" s="12" t="str" cm="1">
        <f t="array" ref="M54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545">
        <v>92</v>
      </c>
      <c r="O545" s="13" t="str" cm="1">
        <f t="array" ref="O54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545">
        <v>63</v>
      </c>
      <c r="Q545" s="13" t="str" cm="1">
        <f t="array" ref="Q54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545">
        <v>84</v>
      </c>
      <c r="S545" t="str" cm="1">
        <f t="array" ref="S54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545">
        <v>79</v>
      </c>
      <c r="U545" t="str" cm="1">
        <f t="array" ref="U54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545">
        <v>66</v>
      </c>
      <c r="W545" t="str" cm="1">
        <f t="array" ref="W54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545">
        <v>96</v>
      </c>
      <c r="Y545" t="str" cm="1">
        <f t="array" ref="Y54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545">
        <f>SUM(Table1[[#This Row],[Math 
Score]],Table1[[#This Row],[History 
Score]],Table1[[#This Row],[Physics 
Score]],Table1[[#This Row],[Chemistry 
Score]],Table1[[#This Row],[Biology 
Score]],Table1[[#This Row],[English 
Score]],Table1[[#This Row],[Geography 
Score]])</f>
        <v>574</v>
      </c>
      <c r="AA545" s="3">
        <f>AVERAGE(Table1[[#This Row],[Math 
Score]],Table1[[#This Row],[History 
Score]],Table1[[#This Row],[Physics 
Score]],Table1[[#This Row],[Chemistry 
Score]],Table1[[#This Row],[Biology 
Score]],Table1[[#This Row],[English 
Score]],Table1[[#This Row],[Geography 
Score]])</f>
        <v>82</v>
      </c>
      <c r="AB54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545">
        <f t="shared" si="8"/>
        <v>832</v>
      </c>
      <c r="AD545" t="str">
        <f>_xlfn.IFS(Table1[[#This Row],[Absence 
Days]]&lt;3,"Excellent",Table1[[#This Row],[Absence 
Days]]&lt;=6,"Good",Table1[[#This Row],[Absence 
Days]]&gt;6,"Poor")</f>
        <v>Poor</v>
      </c>
    </row>
    <row r="546" spans="1:30" x14ac:dyDescent="0.35">
      <c r="A546">
        <v>545</v>
      </c>
      <c r="B546" s="2" t="s">
        <v>139</v>
      </c>
      <c r="C546" t="s">
        <v>654</v>
      </c>
      <c r="D546" t="str">
        <f>_xlfn.TEXTJOIN(" ",TRUE,Table1[[#This Row],[First 
Name]:[Last 
Name]])</f>
        <v>Christina Shields</v>
      </c>
      <c r="E546" t="s">
        <v>1656</v>
      </c>
      <c r="F546" t="s">
        <v>3245</v>
      </c>
      <c r="G546" t="str">
        <f ca="1">PROPER(Table1[[#This Row],[Part Time 
Job]])</f>
        <v>True</v>
      </c>
      <c r="H546" s="3">
        <v>3</v>
      </c>
      <c r="I546" t="str">
        <f ca="1">PROPER(Table1[[#This Row],[Extracurricular 
Activities]])</f>
        <v>False</v>
      </c>
      <c r="J546">
        <v>47</v>
      </c>
      <c r="K546" t="s">
        <v>3113</v>
      </c>
      <c r="L546">
        <v>94</v>
      </c>
      <c r="M546" s="12" t="str" cm="1">
        <f t="array" ref="M54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546">
        <v>87</v>
      </c>
      <c r="O546" s="13" t="str" cm="1">
        <f t="array" ref="O54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546">
        <v>98</v>
      </c>
      <c r="Q546" s="13" t="str" cm="1">
        <f t="array" ref="Q54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546">
        <v>90</v>
      </c>
      <c r="S546" t="str" cm="1">
        <f t="array" ref="S54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546">
        <v>92</v>
      </c>
      <c r="U546" t="str" cm="1">
        <f t="array" ref="U54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546">
        <v>88</v>
      </c>
      <c r="W546" t="str" cm="1">
        <f t="array" ref="W54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546">
        <v>100</v>
      </c>
      <c r="Y546" t="str" cm="1">
        <f t="array" ref="Y54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546">
        <f>SUM(Table1[[#This Row],[Math 
Score]],Table1[[#This Row],[History 
Score]],Table1[[#This Row],[Physics 
Score]],Table1[[#This Row],[Chemistry 
Score]],Table1[[#This Row],[Biology 
Score]],Table1[[#This Row],[English 
Score]],Table1[[#This Row],[Geography 
Score]])</f>
        <v>649</v>
      </c>
      <c r="AA546" s="3">
        <f>AVERAGE(Table1[[#This Row],[Math 
Score]],Table1[[#This Row],[History 
Score]],Table1[[#This Row],[Physics 
Score]],Table1[[#This Row],[Chemistry 
Score]],Table1[[#This Row],[Biology 
Score]],Table1[[#This Row],[English 
Score]],Table1[[#This Row],[Geography 
Score]])</f>
        <v>92.714285714285708</v>
      </c>
      <c r="AB54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546">
        <f t="shared" si="8"/>
        <v>62</v>
      </c>
      <c r="AD546" t="str">
        <f>_xlfn.IFS(Table1[[#This Row],[Absence 
Days]]&lt;3,"Excellent",Table1[[#This Row],[Absence 
Days]]&lt;=6,"Good",Table1[[#This Row],[Absence 
Days]]&gt;6,"Poor")</f>
        <v>Good</v>
      </c>
    </row>
    <row r="547" spans="1:30" x14ac:dyDescent="0.35">
      <c r="A547">
        <v>546</v>
      </c>
      <c r="B547" s="2" t="s">
        <v>93</v>
      </c>
      <c r="C547" t="s">
        <v>80</v>
      </c>
      <c r="D547" t="str">
        <f>_xlfn.TEXTJOIN(" ",TRUE,Table1[[#This Row],[First 
Name]:[Last 
Name]])</f>
        <v>Andrew Thomas</v>
      </c>
      <c r="E547" t="s">
        <v>1657</v>
      </c>
      <c r="F547" t="s">
        <v>3244</v>
      </c>
      <c r="G547" t="str">
        <f ca="1">PROPER(Table1[[#This Row],[Part Time 
Job]])</f>
        <v>False</v>
      </c>
      <c r="H547" s="3">
        <v>0</v>
      </c>
      <c r="I547" t="str">
        <f ca="1">PROPER(Table1[[#This Row],[Extracurricular 
Activities]])</f>
        <v>False</v>
      </c>
      <c r="J547">
        <v>29</v>
      </c>
      <c r="K547" t="s">
        <v>3112</v>
      </c>
      <c r="L547">
        <v>98</v>
      </c>
      <c r="M547" s="12" t="str" cm="1">
        <f t="array" ref="M54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547">
        <v>87</v>
      </c>
      <c r="O547" s="13" t="str" cm="1">
        <f t="array" ref="O54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547">
        <v>75</v>
      </c>
      <c r="Q547" s="13" t="str" cm="1">
        <f t="array" ref="Q54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547">
        <v>63</v>
      </c>
      <c r="S547" t="str" cm="1">
        <f t="array" ref="S54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547">
        <v>85</v>
      </c>
      <c r="U547" t="str" cm="1">
        <f t="array" ref="U54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547">
        <v>88</v>
      </c>
      <c r="W547" t="str" cm="1">
        <f t="array" ref="W54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547">
        <v>75</v>
      </c>
      <c r="Y547" t="str" cm="1">
        <f t="array" ref="Y54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547">
        <f>SUM(Table1[[#This Row],[Math 
Score]],Table1[[#This Row],[History 
Score]],Table1[[#This Row],[Physics 
Score]],Table1[[#This Row],[Chemistry 
Score]],Table1[[#This Row],[Biology 
Score]],Table1[[#This Row],[English 
Score]],Table1[[#This Row],[Geography 
Score]])</f>
        <v>571</v>
      </c>
      <c r="AA547" s="3">
        <f>AVERAGE(Table1[[#This Row],[Math 
Score]],Table1[[#This Row],[History 
Score]],Table1[[#This Row],[Physics 
Score]],Table1[[#This Row],[Chemistry 
Score]],Table1[[#This Row],[Biology 
Score]],Table1[[#This Row],[English 
Score]],Table1[[#This Row],[Geography 
Score]])</f>
        <v>81.571428571428569</v>
      </c>
      <c r="AB54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547">
        <f t="shared" si="8"/>
        <v>915</v>
      </c>
      <c r="AD547" t="str">
        <f>_xlfn.IFS(Table1[[#This Row],[Absence 
Days]]&lt;3,"Excellent",Table1[[#This Row],[Absence 
Days]]&lt;=6,"Good",Table1[[#This Row],[Absence 
Days]]&gt;6,"Poor")</f>
        <v>Excellent</v>
      </c>
    </row>
    <row r="548" spans="1:30" x14ac:dyDescent="0.35">
      <c r="A548">
        <v>547</v>
      </c>
      <c r="B548" s="2" t="s">
        <v>159</v>
      </c>
      <c r="C548" t="s">
        <v>579</v>
      </c>
      <c r="D548" t="str">
        <f>_xlfn.TEXTJOIN(" ",TRUE,Table1[[#This Row],[First 
Name]:[Last 
Name]])</f>
        <v>Holly Sexton</v>
      </c>
      <c r="E548" t="s">
        <v>1658</v>
      </c>
      <c r="F548" t="s">
        <v>3245</v>
      </c>
      <c r="G548" t="str">
        <f ca="1">PROPER(Table1[[#This Row],[Part Time 
Job]])</f>
        <v>False</v>
      </c>
      <c r="H548" s="3">
        <v>10</v>
      </c>
      <c r="I548" t="str">
        <f ca="1">PROPER(Table1[[#This Row],[Extracurricular 
Activities]])</f>
        <v>False</v>
      </c>
      <c r="J548">
        <v>5</v>
      </c>
      <c r="K548" t="s">
        <v>3119</v>
      </c>
      <c r="L548">
        <v>100</v>
      </c>
      <c r="M548" s="12" t="str" cm="1">
        <f t="array" ref="M54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548">
        <v>58</v>
      </c>
      <c r="O548" s="13" t="str" cm="1">
        <f t="array" ref="O54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C</v>
      </c>
      <c r="P548">
        <v>54</v>
      </c>
      <c r="Q548" s="13" t="str" cm="1">
        <f t="array" ref="Q54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C</v>
      </c>
      <c r="R548">
        <v>97</v>
      </c>
      <c r="S548" t="str" cm="1">
        <f t="array" ref="S54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548">
        <v>58</v>
      </c>
      <c r="U548" t="str" cm="1">
        <f t="array" ref="U54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C</v>
      </c>
      <c r="V548">
        <v>51</v>
      </c>
      <c r="W548" t="str" cm="1">
        <f t="array" ref="W54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C</v>
      </c>
      <c r="X548">
        <v>80</v>
      </c>
      <c r="Y548" t="str" cm="1">
        <f t="array" ref="Y54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548">
        <f>SUM(Table1[[#This Row],[Math 
Score]],Table1[[#This Row],[History 
Score]],Table1[[#This Row],[Physics 
Score]],Table1[[#This Row],[Chemistry 
Score]],Table1[[#This Row],[Biology 
Score]],Table1[[#This Row],[English 
Score]],Table1[[#This Row],[Geography 
Score]])</f>
        <v>498</v>
      </c>
      <c r="AA548" s="3">
        <f>AVERAGE(Table1[[#This Row],[Math 
Score]],Table1[[#This Row],[History 
Score]],Table1[[#This Row],[Physics 
Score]],Table1[[#This Row],[Chemistry 
Score]],Table1[[#This Row],[Biology 
Score]],Table1[[#This Row],[English 
Score]],Table1[[#This Row],[Geography 
Score]])</f>
        <v>71.142857142857139</v>
      </c>
      <c r="AB54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548">
        <f t="shared" si="8"/>
        <v>1884</v>
      </c>
      <c r="AD548" t="str">
        <f>_xlfn.IFS(Table1[[#This Row],[Absence 
Days]]&lt;3,"Excellent",Table1[[#This Row],[Absence 
Days]]&lt;=6,"Good",Table1[[#This Row],[Absence 
Days]]&gt;6,"Poor")</f>
        <v>Poor</v>
      </c>
    </row>
    <row r="549" spans="1:30" x14ac:dyDescent="0.35">
      <c r="A549">
        <v>548</v>
      </c>
      <c r="B549" s="2" t="s">
        <v>36</v>
      </c>
      <c r="C549" t="s">
        <v>578</v>
      </c>
      <c r="D549" t="str">
        <f>_xlfn.TEXTJOIN(" ",TRUE,Table1[[#This Row],[First 
Name]:[Last 
Name]])</f>
        <v>Christopher Peterson</v>
      </c>
      <c r="E549" t="s">
        <v>1659</v>
      </c>
      <c r="F549" t="s">
        <v>3244</v>
      </c>
      <c r="G549" t="str">
        <f ca="1">PROPER(Table1[[#This Row],[Part Time 
Job]])</f>
        <v>False</v>
      </c>
      <c r="H549" s="3">
        <v>3</v>
      </c>
      <c r="I549" t="str">
        <f ca="1">PROPER(Table1[[#This Row],[Extracurricular 
Activities]])</f>
        <v>True</v>
      </c>
      <c r="J549">
        <v>12</v>
      </c>
      <c r="K549" t="s">
        <v>3124</v>
      </c>
      <c r="L549">
        <v>66</v>
      </c>
      <c r="M549" s="12" t="str" cm="1">
        <f t="array" ref="M549">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549">
        <v>89</v>
      </c>
      <c r="O549" s="13" t="str" cm="1">
        <f t="array" ref="O54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549">
        <v>65</v>
      </c>
      <c r="Q549" s="13" t="str" cm="1">
        <f t="array" ref="Q54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549">
        <v>99</v>
      </c>
      <c r="S549" t="str" cm="1">
        <f t="array" ref="S54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549">
        <v>84</v>
      </c>
      <c r="U549" t="str" cm="1">
        <f t="array" ref="U54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549">
        <v>84</v>
      </c>
      <c r="W549" t="str" cm="1">
        <f t="array" ref="W54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549">
        <v>86</v>
      </c>
      <c r="Y549" t="str" cm="1">
        <f t="array" ref="Y54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549">
        <f>SUM(Table1[[#This Row],[Math 
Score]],Table1[[#This Row],[History 
Score]],Table1[[#This Row],[Physics 
Score]],Table1[[#This Row],[Chemistry 
Score]],Table1[[#This Row],[Biology 
Score]],Table1[[#This Row],[English 
Score]],Table1[[#This Row],[Geography 
Score]])</f>
        <v>573</v>
      </c>
      <c r="AA549" s="3">
        <f>AVERAGE(Table1[[#This Row],[Math 
Score]],Table1[[#This Row],[History 
Score]],Table1[[#This Row],[Physics 
Score]],Table1[[#This Row],[Chemistry 
Score]],Table1[[#This Row],[Biology 
Score]],Table1[[#This Row],[English 
Score]],Table1[[#This Row],[Geography 
Score]])</f>
        <v>81.857142857142861</v>
      </c>
      <c r="AB54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549">
        <f t="shared" si="8"/>
        <v>864</v>
      </c>
      <c r="AD549" t="str">
        <f>_xlfn.IFS(Table1[[#This Row],[Absence 
Days]]&lt;3,"Excellent",Table1[[#This Row],[Absence 
Days]]&lt;=6,"Good",Table1[[#This Row],[Absence 
Days]]&gt;6,"Poor")</f>
        <v>Good</v>
      </c>
    </row>
    <row r="550" spans="1:30" x14ac:dyDescent="0.35">
      <c r="A550">
        <v>549</v>
      </c>
      <c r="B550" s="2" t="s">
        <v>58</v>
      </c>
      <c r="C550" t="s">
        <v>761</v>
      </c>
      <c r="D550" t="str">
        <f>_xlfn.TEXTJOIN(" ",TRUE,Table1[[#This Row],[First 
Name]:[Last 
Name]])</f>
        <v>Eric Murray</v>
      </c>
      <c r="E550" t="s">
        <v>1660</v>
      </c>
      <c r="F550" t="s">
        <v>3244</v>
      </c>
      <c r="G550" t="str">
        <f ca="1">PROPER(Table1[[#This Row],[Part Time 
Job]])</f>
        <v>False</v>
      </c>
      <c r="H550" s="3">
        <v>2</v>
      </c>
      <c r="I550" t="str">
        <f ca="1">PROPER(Table1[[#This Row],[Extracurricular 
Activities]])</f>
        <v>False</v>
      </c>
      <c r="J550">
        <v>35</v>
      </c>
      <c r="K550" t="s">
        <v>3113</v>
      </c>
      <c r="L550">
        <v>94</v>
      </c>
      <c r="M550" s="12" t="str" cm="1">
        <f t="array" ref="M55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550">
        <v>99</v>
      </c>
      <c r="O550" s="13" t="str" cm="1">
        <f t="array" ref="O55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550">
        <v>97</v>
      </c>
      <c r="Q550" s="13" t="str" cm="1">
        <f t="array" ref="Q55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550">
        <v>94</v>
      </c>
      <c r="S550" t="str" cm="1">
        <f t="array" ref="S55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550">
        <v>85</v>
      </c>
      <c r="U550" t="str" cm="1">
        <f t="array" ref="U55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550">
        <v>97</v>
      </c>
      <c r="W550" t="str" cm="1">
        <f t="array" ref="W55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550">
        <v>97</v>
      </c>
      <c r="Y550" t="str" cm="1">
        <f t="array" ref="Y55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550">
        <f>SUM(Table1[[#This Row],[Math 
Score]],Table1[[#This Row],[History 
Score]],Table1[[#This Row],[Physics 
Score]],Table1[[#This Row],[Chemistry 
Score]],Table1[[#This Row],[Biology 
Score]],Table1[[#This Row],[English 
Score]],Table1[[#This Row],[Geography 
Score]])</f>
        <v>663</v>
      </c>
      <c r="AA550" s="3">
        <f>AVERAGE(Table1[[#This Row],[Math 
Score]],Table1[[#This Row],[History 
Score]],Table1[[#This Row],[Physics 
Score]],Table1[[#This Row],[Chemistry 
Score]],Table1[[#This Row],[Biology 
Score]],Table1[[#This Row],[English 
Score]],Table1[[#This Row],[Geography 
Score]])</f>
        <v>94.714285714285708</v>
      </c>
      <c r="AB55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550">
        <f t="shared" si="8"/>
        <v>11</v>
      </c>
      <c r="AD550" t="str">
        <f>_xlfn.IFS(Table1[[#This Row],[Absence 
Days]]&lt;3,"Excellent",Table1[[#This Row],[Absence 
Days]]&lt;=6,"Good",Table1[[#This Row],[Absence 
Days]]&gt;6,"Poor")</f>
        <v>Excellent</v>
      </c>
    </row>
    <row r="551" spans="1:30" x14ac:dyDescent="0.35">
      <c r="A551">
        <v>550</v>
      </c>
      <c r="B551" s="2" t="s">
        <v>259</v>
      </c>
      <c r="C551" t="s">
        <v>596</v>
      </c>
      <c r="D551" t="str">
        <f>_xlfn.TEXTJOIN(" ",TRUE,Table1[[#This Row],[First 
Name]:[Last 
Name]])</f>
        <v>Kristina Watson</v>
      </c>
      <c r="E551" t="s">
        <v>1661</v>
      </c>
      <c r="F551" t="s">
        <v>3245</v>
      </c>
      <c r="G551" t="str">
        <f ca="1">PROPER(Table1[[#This Row],[Part Time 
Job]])</f>
        <v>True</v>
      </c>
      <c r="H551" s="3">
        <v>0</v>
      </c>
      <c r="I551" t="str">
        <f ca="1">PROPER(Table1[[#This Row],[Extracurricular 
Activities]])</f>
        <v>False</v>
      </c>
      <c r="J551">
        <v>3</v>
      </c>
      <c r="K551" t="s">
        <v>3126</v>
      </c>
      <c r="L551">
        <v>83</v>
      </c>
      <c r="M551" s="12" t="str" cm="1">
        <f t="array" ref="M55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551">
        <v>90</v>
      </c>
      <c r="O551" s="13" t="str" cm="1">
        <f t="array" ref="O55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551">
        <v>93</v>
      </c>
      <c r="Q551" s="13" t="str" cm="1">
        <f t="array" ref="Q55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551">
        <v>89</v>
      </c>
      <c r="S551" t="str" cm="1">
        <f t="array" ref="S55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551">
        <v>64</v>
      </c>
      <c r="U551" t="str" cm="1">
        <f t="array" ref="U55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551">
        <v>63</v>
      </c>
      <c r="W551" t="str" cm="1">
        <f t="array" ref="W55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551">
        <v>82</v>
      </c>
      <c r="Y551" t="str" cm="1">
        <f t="array" ref="Y55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551">
        <f>SUM(Table1[[#This Row],[Math 
Score]],Table1[[#This Row],[History 
Score]],Table1[[#This Row],[Physics 
Score]],Table1[[#This Row],[Chemistry 
Score]],Table1[[#This Row],[Biology 
Score]],Table1[[#This Row],[English 
Score]],Table1[[#This Row],[Geography 
Score]])</f>
        <v>564</v>
      </c>
      <c r="AA551" s="3">
        <f>AVERAGE(Table1[[#This Row],[Math 
Score]],Table1[[#This Row],[History 
Score]],Table1[[#This Row],[Physics 
Score]],Table1[[#This Row],[Chemistry 
Score]],Table1[[#This Row],[Biology 
Score]],Table1[[#This Row],[English 
Score]],Table1[[#This Row],[Geography 
Score]])</f>
        <v>80.571428571428569</v>
      </c>
      <c r="AB55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551">
        <f t="shared" si="8"/>
        <v>1056</v>
      </c>
      <c r="AD551" t="str">
        <f>_xlfn.IFS(Table1[[#This Row],[Absence 
Days]]&lt;3,"Excellent",Table1[[#This Row],[Absence 
Days]]&lt;=6,"Good",Table1[[#This Row],[Absence 
Days]]&gt;6,"Poor")</f>
        <v>Excellent</v>
      </c>
    </row>
    <row r="552" spans="1:30" x14ac:dyDescent="0.35">
      <c r="A552">
        <v>551</v>
      </c>
      <c r="B552" s="2" t="s">
        <v>260</v>
      </c>
      <c r="C552" t="s">
        <v>353</v>
      </c>
      <c r="D552" t="str">
        <f>_xlfn.TEXTJOIN(" ",TRUE,Table1[[#This Row],[First 
Name]:[Last 
Name]])</f>
        <v>Greg Martin</v>
      </c>
      <c r="E552" t="s">
        <v>1662</v>
      </c>
      <c r="F552" t="s">
        <v>3244</v>
      </c>
      <c r="G552" t="str">
        <f ca="1">PROPER(Table1[[#This Row],[Part Time 
Job]])</f>
        <v>True</v>
      </c>
      <c r="H552" s="3">
        <v>8</v>
      </c>
      <c r="I552" t="str">
        <f ca="1">PROPER(Table1[[#This Row],[Extracurricular 
Activities]])</f>
        <v>False</v>
      </c>
      <c r="J552">
        <v>2</v>
      </c>
      <c r="K552" t="s">
        <v>3119</v>
      </c>
      <c r="L552">
        <v>92</v>
      </c>
      <c r="M552" s="12" t="str" cm="1">
        <f t="array" ref="M55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552">
        <v>54</v>
      </c>
      <c r="O552" s="13" t="str" cm="1">
        <f t="array" ref="O55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C</v>
      </c>
      <c r="P552">
        <v>50</v>
      </c>
      <c r="Q552" s="13" t="str" cm="1">
        <f t="array" ref="Q55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C</v>
      </c>
      <c r="R552">
        <v>88</v>
      </c>
      <c r="S552" t="str" cm="1">
        <f t="array" ref="S55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552">
        <v>90</v>
      </c>
      <c r="U552" t="str" cm="1">
        <f t="array" ref="U55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552">
        <v>91</v>
      </c>
      <c r="W552" t="str" cm="1">
        <f t="array" ref="W55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552">
        <v>95</v>
      </c>
      <c r="Y552" t="str" cm="1">
        <f t="array" ref="Y55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552">
        <f>SUM(Table1[[#This Row],[Math 
Score]],Table1[[#This Row],[History 
Score]],Table1[[#This Row],[Physics 
Score]],Table1[[#This Row],[Chemistry 
Score]],Table1[[#This Row],[Biology 
Score]],Table1[[#This Row],[English 
Score]],Table1[[#This Row],[Geography 
Score]])</f>
        <v>560</v>
      </c>
      <c r="AA552" s="3">
        <f>AVERAGE(Table1[[#This Row],[Math 
Score]],Table1[[#This Row],[History 
Score]],Table1[[#This Row],[Physics 
Score]],Table1[[#This Row],[Chemistry 
Score]],Table1[[#This Row],[Biology 
Score]],Table1[[#This Row],[English 
Score]],Table1[[#This Row],[Geography 
Score]])</f>
        <v>80</v>
      </c>
      <c r="AB55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552">
        <f t="shared" si="8"/>
        <v>1134</v>
      </c>
      <c r="AD552" t="str">
        <f>_xlfn.IFS(Table1[[#This Row],[Absence 
Days]]&lt;3,"Excellent",Table1[[#This Row],[Absence 
Days]]&lt;=6,"Good",Table1[[#This Row],[Absence 
Days]]&gt;6,"Poor")</f>
        <v>Poor</v>
      </c>
    </row>
    <row r="553" spans="1:30" x14ac:dyDescent="0.35">
      <c r="A553">
        <v>552</v>
      </c>
      <c r="B553" s="2" t="s">
        <v>0</v>
      </c>
      <c r="C553" t="s">
        <v>762</v>
      </c>
      <c r="D553" t="str">
        <f>_xlfn.TEXTJOIN(" ",TRUE,Table1[[#This Row],[First 
Name]:[Last 
Name]])</f>
        <v>Paul Shaffer</v>
      </c>
      <c r="E553" t="s">
        <v>1663</v>
      </c>
      <c r="F553" t="s">
        <v>3244</v>
      </c>
      <c r="G553" t="str">
        <f ca="1">PROPER(Table1[[#This Row],[Part Time 
Job]])</f>
        <v>False</v>
      </c>
      <c r="H553" s="3">
        <v>10</v>
      </c>
      <c r="I553" t="str">
        <f ca="1">PROPER(Table1[[#This Row],[Extracurricular 
Activities]])</f>
        <v>False</v>
      </c>
      <c r="J553">
        <v>35</v>
      </c>
      <c r="K553" t="s">
        <v>3117</v>
      </c>
      <c r="L553">
        <v>93</v>
      </c>
      <c r="M553" s="12" t="str" cm="1">
        <f t="array" ref="M55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553">
        <v>100</v>
      </c>
      <c r="O553" s="13" t="str" cm="1">
        <f t="array" ref="O55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553">
        <v>90</v>
      </c>
      <c r="Q553" s="13" t="str" cm="1">
        <f t="array" ref="Q55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553">
        <v>94</v>
      </c>
      <c r="S553" t="str" cm="1">
        <f t="array" ref="S55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553">
        <v>97</v>
      </c>
      <c r="U553" t="str" cm="1">
        <f t="array" ref="U55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553">
        <v>98</v>
      </c>
      <c r="W553" t="str" cm="1">
        <f t="array" ref="W55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553">
        <v>98</v>
      </c>
      <c r="Y553" t="str" cm="1">
        <f t="array" ref="Y55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553">
        <f>SUM(Table1[[#This Row],[Math 
Score]],Table1[[#This Row],[History 
Score]],Table1[[#This Row],[Physics 
Score]],Table1[[#This Row],[Chemistry 
Score]],Table1[[#This Row],[Biology 
Score]],Table1[[#This Row],[English 
Score]],Table1[[#This Row],[Geography 
Score]])</f>
        <v>670</v>
      </c>
      <c r="AA553" s="3">
        <f>AVERAGE(Table1[[#This Row],[Math 
Score]],Table1[[#This Row],[History 
Score]],Table1[[#This Row],[Physics 
Score]],Table1[[#This Row],[Chemistry 
Score]],Table1[[#This Row],[Biology 
Score]],Table1[[#This Row],[English 
Score]],Table1[[#This Row],[Geography 
Score]])</f>
        <v>95.714285714285708</v>
      </c>
      <c r="AB55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553">
        <f t="shared" si="8"/>
        <v>4</v>
      </c>
      <c r="AD553" t="str">
        <f>_xlfn.IFS(Table1[[#This Row],[Absence 
Days]]&lt;3,"Excellent",Table1[[#This Row],[Absence 
Days]]&lt;=6,"Good",Table1[[#This Row],[Absence 
Days]]&gt;6,"Poor")</f>
        <v>Poor</v>
      </c>
    </row>
    <row r="554" spans="1:30" x14ac:dyDescent="0.35">
      <c r="A554">
        <v>553</v>
      </c>
      <c r="B554" s="2" t="s">
        <v>261</v>
      </c>
      <c r="C554" t="s">
        <v>231</v>
      </c>
      <c r="D554" t="str">
        <f>_xlfn.TEXTJOIN(" ",TRUE,Table1[[#This Row],[First 
Name]:[Last 
Name]])</f>
        <v>Alexander Daniel</v>
      </c>
      <c r="E554" t="s">
        <v>1664</v>
      </c>
      <c r="F554" t="s">
        <v>3244</v>
      </c>
      <c r="G554" t="str">
        <f ca="1">PROPER(Table1[[#This Row],[Part Time 
Job]])</f>
        <v>True</v>
      </c>
      <c r="H554" s="3">
        <v>1</v>
      </c>
      <c r="I554" t="str">
        <f ca="1">PROPER(Table1[[#This Row],[Extracurricular 
Activities]])</f>
        <v>False</v>
      </c>
      <c r="J554">
        <v>7</v>
      </c>
      <c r="K554" t="s">
        <v>3114</v>
      </c>
      <c r="L554">
        <v>69</v>
      </c>
      <c r="M554" s="12" t="str" cm="1">
        <f t="array" ref="M554">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554">
        <v>92</v>
      </c>
      <c r="O554" s="13" t="str" cm="1">
        <f t="array" ref="O55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554">
        <v>84</v>
      </c>
      <c r="Q554" s="13" t="str" cm="1">
        <f t="array" ref="Q55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554">
        <v>98</v>
      </c>
      <c r="S554" t="str" cm="1">
        <f t="array" ref="S55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554">
        <v>98</v>
      </c>
      <c r="U554" t="str" cm="1">
        <f t="array" ref="U55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554">
        <v>83</v>
      </c>
      <c r="W554" t="str" cm="1">
        <f t="array" ref="W55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554">
        <v>87</v>
      </c>
      <c r="Y554" t="str" cm="1">
        <f t="array" ref="Y55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554">
        <f>SUM(Table1[[#This Row],[Math 
Score]],Table1[[#This Row],[History 
Score]],Table1[[#This Row],[Physics 
Score]],Table1[[#This Row],[Chemistry 
Score]],Table1[[#This Row],[Biology 
Score]],Table1[[#This Row],[English 
Score]],Table1[[#This Row],[Geography 
Score]])</f>
        <v>611</v>
      </c>
      <c r="AA554" s="3">
        <f>AVERAGE(Table1[[#This Row],[Math 
Score]],Table1[[#This Row],[History 
Score]],Table1[[#This Row],[Physics 
Score]],Table1[[#This Row],[Chemistry 
Score]],Table1[[#This Row],[Biology 
Score]],Table1[[#This Row],[English 
Score]],Table1[[#This Row],[Geography 
Score]])</f>
        <v>87.285714285714292</v>
      </c>
      <c r="AB55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554">
        <f t="shared" si="8"/>
        <v>291</v>
      </c>
      <c r="AD554" t="str">
        <f>_xlfn.IFS(Table1[[#This Row],[Absence 
Days]]&lt;3,"Excellent",Table1[[#This Row],[Absence 
Days]]&lt;=6,"Good",Table1[[#This Row],[Absence 
Days]]&gt;6,"Poor")</f>
        <v>Excellent</v>
      </c>
    </row>
    <row r="555" spans="1:30" x14ac:dyDescent="0.35">
      <c r="A555">
        <v>554</v>
      </c>
      <c r="B555" s="2" t="s">
        <v>190</v>
      </c>
      <c r="C555" t="s">
        <v>492</v>
      </c>
      <c r="D555" t="str">
        <f>_xlfn.TEXTJOIN(" ",TRUE,Table1[[#This Row],[First 
Name]:[Last 
Name]])</f>
        <v>Carla Davis</v>
      </c>
      <c r="E555" t="s">
        <v>1665</v>
      </c>
      <c r="F555" t="s">
        <v>3245</v>
      </c>
      <c r="G555" t="str">
        <f ca="1">PROPER(Table1[[#This Row],[Part Time 
Job]])</f>
        <v>False</v>
      </c>
      <c r="H555" s="3">
        <v>4</v>
      </c>
      <c r="I555" t="str">
        <f ca="1">PROPER(Table1[[#This Row],[Extracurricular 
Activities]])</f>
        <v>False</v>
      </c>
      <c r="J555">
        <v>15</v>
      </c>
      <c r="K555" t="s">
        <v>3117</v>
      </c>
      <c r="L555">
        <v>94</v>
      </c>
      <c r="M555" s="12" t="str" cm="1">
        <f t="array" ref="M55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555">
        <v>71</v>
      </c>
      <c r="O555" s="13" t="str" cm="1">
        <f t="array" ref="O55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555">
        <v>63</v>
      </c>
      <c r="Q555" s="13" t="str" cm="1">
        <f t="array" ref="Q55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555">
        <v>73</v>
      </c>
      <c r="S555" t="str" cm="1">
        <f t="array" ref="S55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555">
        <v>66</v>
      </c>
      <c r="U555" t="str" cm="1">
        <f t="array" ref="U55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555">
        <v>90</v>
      </c>
      <c r="W555" t="str" cm="1">
        <f t="array" ref="W55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555">
        <v>91</v>
      </c>
      <c r="Y555" t="str" cm="1">
        <f t="array" ref="Y55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555">
        <f>SUM(Table1[[#This Row],[Math 
Score]],Table1[[#This Row],[History 
Score]],Table1[[#This Row],[Physics 
Score]],Table1[[#This Row],[Chemistry 
Score]],Table1[[#This Row],[Biology 
Score]],Table1[[#This Row],[English 
Score]],Table1[[#This Row],[Geography 
Score]])</f>
        <v>548</v>
      </c>
      <c r="AA555" s="3">
        <f>AVERAGE(Table1[[#This Row],[Math 
Score]],Table1[[#This Row],[History 
Score]],Table1[[#This Row],[Physics 
Score]],Table1[[#This Row],[Chemistry 
Score]],Table1[[#This Row],[Biology 
Score]],Table1[[#This Row],[English 
Score]],Table1[[#This Row],[Geography 
Score]])</f>
        <v>78.285714285714292</v>
      </c>
      <c r="AB55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555">
        <f t="shared" si="8"/>
        <v>1374</v>
      </c>
      <c r="AD555" t="str">
        <f>_xlfn.IFS(Table1[[#This Row],[Absence 
Days]]&lt;3,"Excellent",Table1[[#This Row],[Absence 
Days]]&lt;=6,"Good",Table1[[#This Row],[Absence 
Days]]&gt;6,"Poor")</f>
        <v>Good</v>
      </c>
    </row>
    <row r="556" spans="1:30" x14ac:dyDescent="0.35">
      <c r="A556">
        <v>555</v>
      </c>
      <c r="B556" s="2" t="s">
        <v>68</v>
      </c>
      <c r="C556" t="s">
        <v>455</v>
      </c>
      <c r="D556" t="str">
        <f>_xlfn.TEXTJOIN(" ",TRUE,Table1[[#This Row],[First 
Name]:[Last 
Name]])</f>
        <v>Chelsea Clark</v>
      </c>
      <c r="E556" t="s">
        <v>1666</v>
      </c>
      <c r="F556" t="s">
        <v>3245</v>
      </c>
      <c r="G556" t="str">
        <f ca="1">PROPER(Table1[[#This Row],[Part Time 
Job]])</f>
        <v>False</v>
      </c>
      <c r="H556" s="3">
        <v>1</v>
      </c>
      <c r="I556" t="str">
        <f ca="1">PROPER(Table1[[#This Row],[Extracurricular 
Activities]])</f>
        <v>False</v>
      </c>
      <c r="J556">
        <v>3</v>
      </c>
      <c r="K556" t="s">
        <v>3127</v>
      </c>
      <c r="L556">
        <v>100</v>
      </c>
      <c r="M556" s="12" t="str" cm="1">
        <f t="array" ref="M55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556">
        <v>92</v>
      </c>
      <c r="O556" s="13" t="str" cm="1">
        <f t="array" ref="O55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556">
        <v>95</v>
      </c>
      <c r="Q556" s="13" t="str" cm="1">
        <f t="array" ref="Q55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556">
        <v>90</v>
      </c>
      <c r="S556" t="str" cm="1">
        <f t="array" ref="S55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556">
        <v>67</v>
      </c>
      <c r="U556" t="str" cm="1">
        <f t="array" ref="U55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556">
        <v>81</v>
      </c>
      <c r="W556" t="str" cm="1">
        <f t="array" ref="W55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556">
        <v>66</v>
      </c>
      <c r="Y556" t="str" cm="1">
        <f t="array" ref="Y55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556">
        <f>SUM(Table1[[#This Row],[Math 
Score]],Table1[[#This Row],[History 
Score]],Table1[[#This Row],[Physics 
Score]],Table1[[#This Row],[Chemistry 
Score]],Table1[[#This Row],[Biology 
Score]],Table1[[#This Row],[English 
Score]],Table1[[#This Row],[Geography 
Score]])</f>
        <v>591</v>
      </c>
      <c r="AA556" s="3">
        <f>AVERAGE(Table1[[#This Row],[Math 
Score]],Table1[[#This Row],[History 
Score]],Table1[[#This Row],[Physics 
Score]],Table1[[#This Row],[Chemistry 
Score]],Table1[[#This Row],[Biology 
Score]],Table1[[#This Row],[English 
Score]],Table1[[#This Row],[Geography 
Score]])</f>
        <v>84.428571428571431</v>
      </c>
      <c r="AB55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556">
        <f t="shared" si="8"/>
        <v>515</v>
      </c>
      <c r="AD556" t="str">
        <f>_xlfn.IFS(Table1[[#This Row],[Absence 
Days]]&lt;3,"Excellent",Table1[[#This Row],[Absence 
Days]]&lt;=6,"Good",Table1[[#This Row],[Absence 
Days]]&gt;6,"Poor")</f>
        <v>Excellent</v>
      </c>
    </row>
    <row r="557" spans="1:30" x14ac:dyDescent="0.35">
      <c r="A557">
        <v>556</v>
      </c>
      <c r="B557" s="2" t="s">
        <v>262</v>
      </c>
      <c r="C557" t="s">
        <v>154</v>
      </c>
      <c r="D557" t="str">
        <f>_xlfn.TEXTJOIN(" ",TRUE,Table1[[#This Row],[First 
Name]:[Last 
Name]])</f>
        <v>Justin Douglas</v>
      </c>
      <c r="E557" t="s">
        <v>1667</v>
      </c>
      <c r="F557" t="s">
        <v>3244</v>
      </c>
      <c r="G557" t="str">
        <f ca="1">PROPER(Table1[[#This Row],[Part Time 
Job]])</f>
        <v>False</v>
      </c>
      <c r="H557" s="3">
        <v>2</v>
      </c>
      <c r="I557" t="str">
        <f ca="1">PROPER(Table1[[#This Row],[Extracurricular 
Activities]])</f>
        <v>False</v>
      </c>
      <c r="J557">
        <v>35</v>
      </c>
      <c r="K557" t="s">
        <v>3116</v>
      </c>
      <c r="L557">
        <v>96</v>
      </c>
      <c r="M557" s="12" t="str" cm="1">
        <f t="array" ref="M55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557">
        <v>92</v>
      </c>
      <c r="O557" s="13" t="str" cm="1">
        <f t="array" ref="O55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557">
        <v>98</v>
      </c>
      <c r="Q557" s="13" t="str" cm="1">
        <f t="array" ref="Q55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557">
        <v>100</v>
      </c>
      <c r="S557" t="str" cm="1">
        <f t="array" ref="S55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557">
        <v>94</v>
      </c>
      <c r="U557" t="str" cm="1">
        <f t="array" ref="U55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557">
        <v>93</v>
      </c>
      <c r="W557" t="str" cm="1">
        <f t="array" ref="W55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557">
        <v>86</v>
      </c>
      <c r="Y557" t="str" cm="1">
        <f t="array" ref="Y55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557">
        <f>SUM(Table1[[#This Row],[Math 
Score]],Table1[[#This Row],[History 
Score]],Table1[[#This Row],[Physics 
Score]],Table1[[#This Row],[Chemistry 
Score]],Table1[[#This Row],[Biology 
Score]],Table1[[#This Row],[English 
Score]],Table1[[#This Row],[Geography 
Score]])</f>
        <v>659</v>
      </c>
      <c r="AA557" s="3">
        <f>AVERAGE(Table1[[#This Row],[Math 
Score]],Table1[[#This Row],[History 
Score]],Table1[[#This Row],[Physics 
Score]],Table1[[#This Row],[Chemistry 
Score]],Table1[[#This Row],[Biology 
Score]],Table1[[#This Row],[English 
Score]],Table1[[#This Row],[Geography 
Score]])</f>
        <v>94.142857142857139</v>
      </c>
      <c r="AB55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557">
        <f t="shared" si="8"/>
        <v>21</v>
      </c>
      <c r="AD557" t="str">
        <f>_xlfn.IFS(Table1[[#This Row],[Absence 
Days]]&lt;3,"Excellent",Table1[[#This Row],[Absence 
Days]]&lt;=6,"Good",Table1[[#This Row],[Absence 
Days]]&gt;6,"Poor")</f>
        <v>Excellent</v>
      </c>
    </row>
    <row r="558" spans="1:30" x14ac:dyDescent="0.35">
      <c r="A558">
        <v>557</v>
      </c>
      <c r="B558" s="2" t="s">
        <v>70</v>
      </c>
      <c r="C558" t="s">
        <v>763</v>
      </c>
      <c r="D558" t="str">
        <f>_xlfn.TEXTJOIN(" ",TRUE,Table1[[#This Row],[First 
Name]:[Last 
Name]])</f>
        <v>Charles Reid</v>
      </c>
      <c r="E558" t="s">
        <v>1668</v>
      </c>
      <c r="F558" t="s">
        <v>3244</v>
      </c>
      <c r="G558" t="str">
        <f ca="1">PROPER(Table1[[#This Row],[Part Time 
Job]])</f>
        <v>False</v>
      </c>
      <c r="H558" s="3">
        <v>3</v>
      </c>
      <c r="I558" t="str">
        <f ca="1">PROPER(Table1[[#This Row],[Extracurricular 
Activities]])</f>
        <v>True</v>
      </c>
      <c r="J558">
        <v>28</v>
      </c>
      <c r="K558" t="s">
        <v>3112</v>
      </c>
      <c r="L558">
        <v>76</v>
      </c>
      <c r="M558" s="12" t="str" cm="1">
        <f t="array" ref="M55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558">
        <v>87</v>
      </c>
      <c r="O558" s="13" t="str" cm="1">
        <f t="array" ref="O55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558">
        <v>99</v>
      </c>
      <c r="Q558" s="13" t="str" cm="1">
        <f t="array" ref="Q55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558">
        <v>69</v>
      </c>
      <c r="S558" t="str" cm="1">
        <f t="array" ref="S55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558">
        <v>89</v>
      </c>
      <c r="U558" t="str" cm="1">
        <f t="array" ref="U55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558">
        <v>93</v>
      </c>
      <c r="W558" t="str" cm="1">
        <f t="array" ref="W55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558">
        <v>85</v>
      </c>
      <c r="Y558" t="str" cm="1">
        <f t="array" ref="Y55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558">
        <f>SUM(Table1[[#This Row],[Math 
Score]],Table1[[#This Row],[History 
Score]],Table1[[#This Row],[Physics 
Score]],Table1[[#This Row],[Chemistry 
Score]],Table1[[#This Row],[Biology 
Score]],Table1[[#This Row],[English 
Score]],Table1[[#This Row],[Geography 
Score]])</f>
        <v>598</v>
      </c>
      <c r="AA558" s="3">
        <f>AVERAGE(Table1[[#This Row],[Math 
Score]],Table1[[#This Row],[History 
Score]],Table1[[#This Row],[Physics 
Score]],Table1[[#This Row],[Chemistry 
Score]],Table1[[#This Row],[Biology 
Score]],Table1[[#This Row],[English 
Score]],Table1[[#This Row],[Geography 
Score]])</f>
        <v>85.428571428571431</v>
      </c>
      <c r="AB55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558">
        <f t="shared" si="8"/>
        <v>436</v>
      </c>
      <c r="AD558" t="str">
        <f>_xlfn.IFS(Table1[[#This Row],[Absence 
Days]]&lt;3,"Excellent",Table1[[#This Row],[Absence 
Days]]&lt;=6,"Good",Table1[[#This Row],[Absence 
Days]]&gt;6,"Poor")</f>
        <v>Good</v>
      </c>
    </row>
    <row r="559" spans="1:30" x14ac:dyDescent="0.35">
      <c r="A559">
        <v>558</v>
      </c>
      <c r="B559" s="2" t="s">
        <v>113</v>
      </c>
      <c r="C559" t="s">
        <v>764</v>
      </c>
      <c r="D559" t="str">
        <f>_xlfn.TEXTJOIN(" ",TRUE,Table1[[#This Row],[First 
Name]:[Last 
Name]])</f>
        <v>Courtney Moreno</v>
      </c>
      <c r="E559" t="s">
        <v>1669</v>
      </c>
      <c r="F559" t="s">
        <v>3245</v>
      </c>
      <c r="G559" t="str">
        <f ca="1">PROPER(Table1[[#This Row],[Part Time 
Job]])</f>
        <v>False</v>
      </c>
      <c r="H559" s="3">
        <v>9</v>
      </c>
      <c r="I559" t="str">
        <f ca="1">PROPER(Table1[[#This Row],[Extracurricular 
Activities]])</f>
        <v>False</v>
      </c>
      <c r="J559">
        <v>4</v>
      </c>
      <c r="K559" t="s">
        <v>3119</v>
      </c>
      <c r="L559">
        <v>77</v>
      </c>
      <c r="M559" s="12" t="str" cm="1">
        <f t="array" ref="M55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559">
        <v>62</v>
      </c>
      <c r="O559" s="13" t="str" cm="1">
        <f t="array" ref="O55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559">
        <v>94</v>
      </c>
      <c r="Q559" s="13" t="str" cm="1">
        <f t="array" ref="Q55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559">
        <v>65</v>
      </c>
      <c r="S559" t="str" cm="1">
        <f t="array" ref="S55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559">
        <v>77</v>
      </c>
      <c r="U559" t="str" cm="1">
        <f t="array" ref="U55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559">
        <v>77</v>
      </c>
      <c r="W559" t="str" cm="1">
        <f t="array" ref="W55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559">
        <v>95</v>
      </c>
      <c r="Y559" t="str" cm="1">
        <f t="array" ref="Y55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559">
        <f>SUM(Table1[[#This Row],[Math 
Score]],Table1[[#This Row],[History 
Score]],Table1[[#This Row],[Physics 
Score]],Table1[[#This Row],[Chemistry 
Score]],Table1[[#This Row],[Biology 
Score]],Table1[[#This Row],[English 
Score]],Table1[[#This Row],[Geography 
Score]])</f>
        <v>547</v>
      </c>
      <c r="AA559" s="3">
        <f>AVERAGE(Table1[[#This Row],[Math 
Score]],Table1[[#This Row],[History 
Score]],Table1[[#This Row],[Physics 
Score]],Table1[[#This Row],[Chemistry 
Score]],Table1[[#This Row],[Biology 
Score]],Table1[[#This Row],[English 
Score]],Table1[[#This Row],[Geography 
Score]])</f>
        <v>78.142857142857139</v>
      </c>
      <c r="AB55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559">
        <f t="shared" si="8"/>
        <v>1388</v>
      </c>
      <c r="AD559" t="str">
        <f>_xlfn.IFS(Table1[[#This Row],[Absence 
Days]]&lt;3,"Excellent",Table1[[#This Row],[Absence 
Days]]&lt;=6,"Good",Table1[[#This Row],[Absence 
Days]]&gt;6,"Poor")</f>
        <v>Poor</v>
      </c>
    </row>
    <row r="560" spans="1:30" x14ac:dyDescent="0.35">
      <c r="A560">
        <v>559</v>
      </c>
      <c r="B560" s="2" t="s">
        <v>262</v>
      </c>
      <c r="C560" t="s">
        <v>433</v>
      </c>
      <c r="D560" t="str">
        <f>_xlfn.TEXTJOIN(" ",TRUE,Table1[[#This Row],[First 
Name]:[Last 
Name]])</f>
        <v>Justin Mitchell</v>
      </c>
      <c r="E560" t="s">
        <v>1670</v>
      </c>
      <c r="F560" t="s">
        <v>3244</v>
      </c>
      <c r="G560" t="str">
        <f ca="1">PROPER(Table1[[#This Row],[Part Time 
Job]])</f>
        <v>False</v>
      </c>
      <c r="H560" s="3">
        <v>1</v>
      </c>
      <c r="I560" t="str">
        <f ca="1">PROPER(Table1[[#This Row],[Extracurricular 
Activities]])</f>
        <v>True</v>
      </c>
      <c r="J560">
        <v>4</v>
      </c>
      <c r="K560" t="s">
        <v>3115</v>
      </c>
      <c r="L560">
        <v>84</v>
      </c>
      <c r="M560" s="12" t="str" cm="1">
        <f t="array" ref="M56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560">
        <v>67</v>
      </c>
      <c r="O560" s="13" t="str" cm="1">
        <f t="array" ref="O56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560">
        <v>79</v>
      </c>
      <c r="Q560" s="13" t="str" cm="1">
        <f t="array" ref="Q56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560">
        <v>60</v>
      </c>
      <c r="S560" t="str" cm="1">
        <f t="array" ref="S56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560">
        <v>69</v>
      </c>
      <c r="U560" t="str" cm="1">
        <f t="array" ref="U56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560">
        <v>80</v>
      </c>
      <c r="W560" t="str" cm="1">
        <f t="array" ref="W56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560">
        <v>98</v>
      </c>
      <c r="Y560" t="str" cm="1">
        <f t="array" ref="Y56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560">
        <f>SUM(Table1[[#This Row],[Math 
Score]],Table1[[#This Row],[History 
Score]],Table1[[#This Row],[Physics 
Score]],Table1[[#This Row],[Chemistry 
Score]],Table1[[#This Row],[Biology 
Score]],Table1[[#This Row],[English 
Score]],Table1[[#This Row],[Geography 
Score]])</f>
        <v>537</v>
      </c>
      <c r="AA560" s="3">
        <f>AVERAGE(Table1[[#This Row],[Math 
Score]],Table1[[#This Row],[History 
Score]],Table1[[#This Row],[Physics 
Score]],Table1[[#This Row],[Chemistry 
Score]],Table1[[#This Row],[Biology 
Score]],Table1[[#This Row],[English 
Score]],Table1[[#This Row],[Geography 
Score]])</f>
        <v>76.714285714285708</v>
      </c>
      <c r="AB56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560">
        <f t="shared" si="8"/>
        <v>1553</v>
      </c>
      <c r="AD560" t="str">
        <f>_xlfn.IFS(Table1[[#This Row],[Absence 
Days]]&lt;3,"Excellent",Table1[[#This Row],[Absence 
Days]]&lt;=6,"Good",Table1[[#This Row],[Absence 
Days]]&gt;6,"Poor")</f>
        <v>Excellent</v>
      </c>
    </row>
    <row r="561" spans="1:30" x14ac:dyDescent="0.35">
      <c r="A561">
        <v>560</v>
      </c>
      <c r="B561" s="2" t="s">
        <v>263</v>
      </c>
      <c r="C561" t="s">
        <v>765</v>
      </c>
      <c r="D561" t="str">
        <f>_xlfn.TEXTJOIN(" ",TRUE,Table1[[#This Row],[First 
Name]:[Last 
Name]])</f>
        <v>Bruce Woods</v>
      </c>
      <c r="E561" t="s">
        <v>1671</v>
      </c>
      <c r="F561" t="s">
        <v>3244</v>
      </c>
      <c r="G561" t="str">
        <f ca="1">PROPER(Table1[[#This Row],[Part Time 
Job]])</f>
        <v>False</v>
      </c>
      <c r="H561" s="3">
        <v>3</v>
      </c>
      <c r="I561" t="str">
        <f ca="1">PROPER(Table1[[#This Row],[Extracurricular 
Activities]])</f>
        <v>True</v>
      </c>
      <c r="J561">
        <v>16</v>
      </c>
      <c r="K561" t="s">
        <v>3117</v>
      </c>
      <c r="L561">
        <v>95</v>
      </c>
      <c r="M561" s="12" t="str" cm="1">
        <f t="array" ref="M56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561">
        <v>61</v>
      </c>
      <c r="O561" s="13" t="str" cm="1">
        <f t="array" ref="O56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561">
        <v>68</v>
      </c>
      <c r="Q561" s="13" t="str" cm="1">
        <f t="array" ref="Q56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561">
        <v>75</v>
      </c>
      <c r="S561" t="str" cm="1">
        <f t="array" ref="S56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561">
        <v>64</v>
      </c>
      <c r="U561" t="str" cm="1">
        <f t="array" ref="U56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561">
        <v>76</v>
      </c>
      <c r="W561" t="str" cm="1">
        <f t="array" ref="W56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561">
        <v>66</v>
      </c>
      <c r="Y561" t="str" cm="1">
        <f t="array" ref="Y56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561">
        <f>SUM(Table1[[#This Row],[Math 
Score]],Table1[[#This Row],[History 
Score]],Table1[[#This Row],[Physics 
Score]],Table1[[#This Row],[Chemistry 
Score]],Table1[[#This Row],[Biology 
Score]],Table1[[#This Row],[English 
Score]],Table1[[#This Row],[Geography 
Score]])</f>
        <v>505</v>
      </c>
      <c r="AA561" s="3">
        <f>AVERAGE(Table1[[#This Row],[Math 
Score]],Table1[[#This Row],[History 
Score]],Table1[[#This Row],[Physics 
Score]],Table1[[#This Row],[Chemistry 
Score]],Table1[[#This Row],[Biology 
Score]],Table1[[#This Row],[English 
Score]],Table1[[#This Row],[Geography 
Score]])</f>
        <v>72.142857142857139</v>
      </c>
      <c r="AB56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561">
        <f t="shared" si="8"/>
        <v>1854</v>
      </c>
      <c r="AD561" t="str">
        <f>_xlfn.IFS(Table1[[#This Row],[Absence 
Days]]&lt;3,"Excellent",Table1[[#This Row],[Absence 
Days]]&lt;=6,"Good",Table1[[#This Row],[Absence 
Days]]&gt;6,"Poor")</f>
        <v>Good</v>
      </c>
    </row>
    <row r="562" spans="1:30" x14ac:dyDescent="0.35">
      <c r="A562">
        <v>561</v>
      </c>
      <c r="B562" s="2" t="s">
        <v>36</v>
      </c>
      <c r="C562" t="s">
        <v>766</v>
      </c>
      <c r="D562" t="str">
        <f>_xlfn.TEXTJOIN(" ",TRUE,Table1[[#This Row],[First 
Name]:[Last 
Name]])</f>
        <v>Christopher Hines</v>
      </c>
      <c r="E562" t="s">
        <v>1672</v>
      </c>
      <c r="F562" t="s">
        <v>3244</v>
      </c>
      <c r="G562" t="str">
        <f ca="1">PROPER(Table1[[#This Row],[Part Time 
Job]])</f>
        <v>False</v>
      </c>
      <c r="H562" s="3">
        <v>1</v>
      </c>
      <c r="I562" t="str">
        <f ca="1">PROPER(Table1[[#This Row],[Extracurricular 
Activities]])</f>
        <v>False</v>
      </c>
      <c r="J562">
        <v>26</v>
      </c>
      <c r="K562" t="s">
        <v>3123</v>
      </c>
      <c r="L562">
        <v>90</v>
      </c>
      <c r="M562" s="12" t="str" cm="1">
        <f t="array" ref="M56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562">
        <v>64</v>
      </c>
      <c r="O562" s="13" t="str" cm="1">
        <f t="array" ref="O56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562">
        <v>94</v>
      </c>
      <c r="Q562" s="13" t="str" cm="1">
        <f t="array" ref="Q56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562">
        <v>84</v>
      </c>
      <c r="S562" t="str" cm="1">
        <f t="array" ref="S56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562">
        <v>66</v>
      </c>
      <c r="U562" t="str" cm="1">
        <f t="array" ref="U56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562">
        <v>61</v>
      </c>
      <c r="W562" t="str" cm="1">
        <f t="array" ref="W56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562">
        <v>72</v>
      </c>
      <c r="Y562" t="str" cm="1">
        <f t="array" ref="Y56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562">
        <f>SUM(Table1[[#This Row],[Math 
Score]],Table1[[#This Row],[History 
Score]],Table1[[#This Row],[Physics 
Score]],Table1[[#This Row],[Chemistry 
Score]],Table1[[#This Row],[Biology 
Score]],Table1[[#This Row],[English 
Score]],Table1[[#This Row],[Geography 
Score]])</f>
        <v>531</v>
      </c>
      <c r="AA562" s="3">
        <f>AVERAGE(Table1[[#This Row],[Math 
Score]],Table1[[#This Row],[History 
Score]],Table1[[#This Row],[Physics 
Score]],Table1[[#This Row],[Chemistry 
Score]],Table1[[#This Row],[Biology 
Score]],Table1[[#This Row],[English 
Score]],Table1[[#This Row],[Geography 
Score]])</f>
        <v>75.857142857142861</v>
      </c>
      <c r="AB56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562">
        <f t="shared" si="8"/>
        <v>1637</v>
      </c>
      <c r="AD562" t="str">
        <f>_xlfn.IFS(Table1[[#This Row],[Absence 
Days]]&lt;3,"Excellent",Table1[[#This Row],[Absence 
Days]]&lt;=6,"Good",Table1[[#This Row],[Absence 
Days]]&gt;6,"Poor")</f>
        <v>Excellent</v>
      </c>
    </row>
    <row r="563" spans="1:30" x14ac:dyDescent="0.35">
      <c r="A563">
        <v>562</v>
      </c>
      <c r="B563" s="2" t="s">
        <v>264</v>
      </c>
      <c r="C563" t="s">
        <v>475</v>
      </c>
      <c r="D563" t="str">
        <f>_xlfn.TEXTJOIN(" ",TRUE,Table1[[#This Row],[First 
Name]:[Last 
Name]])</f>
        <v>Theodore Williams</v>
      </c>
      <c r="E563" t="s">
        <v>1673</v>
      </c>
      <c r="F563" t="s">
        <v>3244</v>
      </c>
      <c r="G563" t="str">
        <f ca="1">PROPER(Table1[[#This Row],[Part Time 
Job]])</f>
        <v>False</v>
      </c>
      <c r="H563" s="3">
        <v>3</v>
      </c>
      <c r="I563" t="str">
        <f ca="1">PROPER(Table1[[#This Row],[Extracurricular 
Activities]])</f>
        <v>False</v>
      </c>
      <c r="J563">
        <v>30</v>
      </c>
      <c r="K563" t="s">
        <v>3116</v>
      </c>
      <c r="L563">
        <v>96</v>
      </c>
      <c r="M563" s="12" t="str" cm="1">
        <f t="array" ref="M56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563">
        <v>89</v>
      </c>
      <c r="O563" s="13" t="str" cm="1">
        <f t="array" ref="O56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563">
        <v>73</v>
      </c>
      <c r="Q563" s="13" t="str" cm="1">
        <f t="array" ref="Q56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563">
        <v>75</v>
      </c>
      <c r="S563" t="str" cm="1">
        <f t="array" ref="S56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563">
        <v>99</v>
      </c>
      <c r="U563" t="str" cm="1">
        <f t="array" ref="U56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563">
        <v>89</v>
      </c>
      <c r="W563" t="str" cm="1">
        <f t="array" ref="W56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563">
        <v>71</v>
      </c>
      <c r="Y563" t="str" cm="1">
        <f t="array" ref="Y56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563">
        <f>SUM(Table1[[#This Row],[Math 
Score]],Table1[[#This Row],[History 
Score]],Table1[[#This Row],[Physics 
Score]],Table1[[#This Row],[Chemistry 
Score]],Table1[[#This Row],[Biology 
Score]],Table1[[#This Row],[English 
Score]],Table1[[#This Row],[Geography 
Score]])</f>
        <v>592</v>
      </c>
      <c r="AA563" s="3">
        <f>AVERAGE(Table1[[#This Row],[Math 
Score]],Table1[[#This Row],[History 
Score]],Table1[[#This Row],[Physics 
Score]],Table1[[#This Row],[Chemistry 
Score]],Table1[[#This Row],[Biology 
Score]],Table1[[#This Row],[English 
Score]],Table1[[#This Row],[Geography 
Score]])</f>
        <v>84.571428571428569</v>
      </c>
      <c r="AB56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563">
        <f t="shared" si="8"/>
        <v>505</v>
      </c>
      <c r="AD563" t="str">
        <f>_xlfn.IFS(Table1[[#This Row],[Absence 
Days]]&lt;3,"Excellent",Table1[[#This Row],[Absence 
Days]]&lt;=6,"Good",Table1[[#This Row],[Absence 
Days]]&gt;6,"Poor")</f>
        <v>Good</v>
      </c>
    </row>
    <row r="564" spans="1:30" x14ac:dyDescent="0.35">
      <c r="A564">
        <v>563</v>
      </c>
      <c r="B564" s="2" t="s">
        <v>50</v>
      </c>
      <c r="C564" t="s">
        <v>629</v>
      </c>
      <c r="D564" t="str">
        <f>_xlfn.TEXTJOIN(" ",TRUE,Table1[[#This Row],[First 
Name]:[Last 
Name]])</f>
        <v>Jennifer Valdez</v>
      </c>
      <c r="E564" t="s">
        <v>1674</v>
      </c>
      <c r="F564" t="s">
        <v>3245</v>
      </c>
      <c r="G564" t="str">
        <f ca="1">PROPER(Table1[[#This Row],[Part Time 
Job]])</f>
        <v>True</v>
      </c>
      <c r="H564" s="3">
        <v>6</v>
      </c>
      <c r="I564" t="str">
        <f ca="1">PROPER(Table1[[#This Row],[Extracurricular 
Activities]])</f>
        <v>False</v>
      </c>
      <c r="J564">
        <v>2</v>
      </c>
      <c r="K564" t="s">
        <v>3119</v>
      </c>
      <c r="L564">
        <v>80</v>
      </c>
      <c r="M564" s="12" t="str" cm="1">
        <f t="array" ref="M56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564">
        <v>81</v>
      </c>
      <c r="O564" s="13" t="str" cm="1">
        <f t="array" ref="O56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564">
        <v>92</v>
      </c>
      <c r="Q564" s="13" t="str" cm="1">
        <f t="array" ref="Q56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564">
        <v>73</v>
      </c>
      <c r="S564" t="str" cm="1">
        <f t="array" ref="S56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564">
        <v>71</v>
      </c>
      <c r="U564" t="str" cm="1">
        <f t="array" ref="U56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564">
        <v>71</v>
      </c>
      <c r="W564" t="str" cm="1">
        <f t="array" ref="W56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564">
        <v>84</v>
      </c>
      <c r="Y564" t="str" cm="1">
        <f t="array" ref="Y56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564">
        <f>SUM(Table1[[#This Row],[Math 
Score]],Table1[[#This Row],[History 
Score]],Table1[[#This Row],[Physics 
Score]],Table1[[#This Row],[Chemistry 
Score]],Table1[[#This Row],[Biology 
Score]],Table1[[#This Row],[English 
Score]],Table1[[#This Row],[Geography 
Score]])</f>
        <v>552</v>
      </c>
      <c r="AA564" s="3">
        <f>AVERAGE(Table1[[#This Row],[Math 
Score]],Table1[[#This Row],[History 
Score]],Table1[[#This Row],[Physics 
Score]],Table1[[#This Row],[Chemistry 
Score]],Table1[[#This Row],[Biology 
Score]],Table1[[#This Row],[English 
Score]],Table1[[#This Row],[Geography 
Score]])</f>
        <v>78.857142857142861</v>
      </c>
      <c r="AB56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564">
        <f t="shared" si="8"/>
        <v>1306</v>
      </c>
      <c r="AD564" t="str">
        <f>_xlfn.IFS(Table1[[#This Row],[Absence 
Days]]&lt;3,"Excellent",Table1[[#This Row],[Absence 
Days]]&lt;=6,"Good",Table1[[#This Row],[Absence 
Days]]&gt;6,"Poor")</f>
        <v>Good</v>
      </c>
    </row>
    <row r="565" spans="1:30" x14ac:dyDescent="0.35">
      <c r="A565">
        <v>564</v>
      </c>
      <c r="B565" s="2" t="s">
        <v>87</v>
      </c>
      <c r="C565" t="s">
        <v>767</v>
      </c>
      <c r="D565" t="str">
        <f>_xlfn.TEXTJOIN(" ",TRUE,Table1[[#This Row],[First 
Name]:[Last 
Name]])</f>
        <v>Alexandra Day</v>
      </c>
      <c r="E565" t="s">
        <v>1675</v>
      </c>
      <c r="F565" t="s">
        <v>3245</v>
      </c>
      <c r="G565" t="str">
        <f ca="1">PROPER(Table1[[#This Row],[Part Time 
Job]])</f>
        <v>False</v>
      </c>
      <c r="H565" s="3">
        <v>2</v>
      </c>
      <c r="I565" t="str">
        <f ca="1">PROPER(Table1[[#This Row],[Extracurricular 
Activities]])</f>
        <v>False</v>
      </c>
      <c r="J565">
        <v>34</v>
      </c>
      <c r="K565" t="s">
        <v>3117</v>
      </c>
      <c r="L565">
        <v>87</v>
      </c>
      <c r="M565" s="12" t="str" cm="1">
        <f t="array" ref="M56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565">
        <v>83</v>
      </c>
      <c r="O565" s="13" t="str" cm="1">
        <f t="array" ref="O56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565">
        <v>75</v>
      </c>
      <c r="Q565" s="13" t="str" cm="1">
        <f t="array" ref="Q56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565">
        <v>73</v>
      </c>
      <c r="S565" t="str" cm="1">
        <f t="array" ref="S56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565">
        <v>92</v>
      </c>
      <c r="U565" t="str" cm="1">
        <f t="array" ref="U56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565">
        <v>91</v>
      </c>
      <c r="W565" t="str" cm="1">
        <f t="array" ref="W56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565">
        <v>71</v>
      </c>
      <c r="Y565" t="str" cm="1">
        <f t="array" ref="Y56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565">
        <f>SUM(Table1[[#This Row],[Math 
Score]],Table1[[#This Row],[History 
Score]],Table1[[#This Row],[Physics 
Score]],Table1[[#This Row],[Chemistry 
Score]],Table1[[#This Row],[Biology 
Score]],Table1[[#This Row],[English 
Score]],Table1[[#This Row],[Geography 
Score]])</f>
        <v>572</v>
      </c>
      <c r="AA565" s="3">
        <f>AVERAGE(Table1[[#This Row],[Math 
Score]],Table1[[#This Row],[History 
Score]],Table1[[#This Row],[Physics 
Score]],Table1[[#This Row],[Chemistry 
Score]],Table1[[#This Row],[Biology 
Score]],Table1[[#This Row],[English 
Score]],Table1[[#This Row],[Geography 
Score]])</f>
        <v>81.714285714285708</v>
      </c>
      <c r="AB56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565">
        <f t="shared" si="8"/>
        <v>890</v>
      </c>
      <c r="AD565" t="str">
        <f>_xlfn.IFS(Table1[[#This Row],[Absence 
Days]]&lt;3,"Excellent",Table1[[#This Row],[Absence 
Days]]&lt;=6,"Good",Table1[[#This Row],[Absence 
Days]]&gt;6,"Poor")</f>
        <v>Excellent</v>
      </c>
    </row>
    <row r="566" spans="1:30" x14ac:dyDescent="0.35">
      <c r="A566">
        <v>565</v>
      </c>
      <c r="B566" s="2" t="s">
        <v>124</v>
      </c>
      <c r="C566" t="s">
        <v>768</v>
      </c>
      <c r="D566" t="str">
        <f>_xlfn.TEXTJOIN(" ",TRUE,Table1[[#This Row],[First 
Name]:[Last 
Name]])</f>
        <v>John Pacheco</v>
      </c>
      <c r="E566" t="s">
        <v>1676</v>
      </c>
      <c r="F566" t="s">
        <v>3244</v>
      </c>
      <c r="G566" t="str">
        <f ca="1">PROPER(Table1[[#This Row],[Part Time 
Job]])</f>
        <v>False</v>
      </c>
      <c r="H566" s="3">
        <v>10</v>
      </c>
      <c r="I566" t="str">
        <f ca="1">PROPER(Table1[[#This Row],[Extracurricular 
Activities]])</f>
        <v>False</v>
      </c>
      <c r="J566">
        <v>0</v>
      </c>
      <c r="K566" t="s">
        <v>3119</v>
      </c>
      <c r="L566">
        <v>94</v>
      </c>
      <c r="M566" s="12" t="str" cm="1">
        <f t="array" ref="M56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566">
        <v>75</v>
      </c>
      <c r="O566" s="13" t="str" cm="1">
        <f t="array" ref="O56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566">
        <v>91</v>
      </c>
      <c r="Q566" s="13" t="str" cm="1">
        <f t="array" ref="Q56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566">
        <v>64</v>
      </c>
      <c r="S566" t="str" cm="1">
        <f t="array" ref="S56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566">
        <v>67</v>
      </c>
      <c r="U566" t="str" cm="1">
        <f t="array" ref="U56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566">
        <v>93</v>
      </c>
      <c r="W566" t="str" cm="1">
        <f t="array" ref="W56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566">
        <v>65</v>
      </c>
      <c r="Y566" t="str" cm="1">
        <f t="array" ref="Y56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566">
        <f>SUM(Table1[[#This Row],[Math 
Score]],Table1[[#This Row],[History 
Score]],Table1[[#This Row],[Physics 
Score]],Table1[[#This Row],[Chemistry 
Score]],Table1[[#This Row],[Biology 
Score]],Table1[[#This Row],[English 
Score]],Table1[[#This Row],[Geography 
Score]])</f>
        <v>549</v>
      </c>
      <c r="AA566" s="3">
        <f>AVERAGE(Table1[[#This Row],[Math 
Score]],Table1[[#This Row],[History 
Score]],Table1[[#This Row],[Physics 
Score]],Table1[[#This Row],[Chemistry 
Score]],Table1[[#This Row],[Biology 
Score]],Table1[[#This Row],[English 
Score]],Table1[[#This Row],[Geography 
Score]])</f>
        <v>78.428571428571431</v>
      </c>
      <c r="AB56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566">
        <f t="shared" si="8"/>
        <v>1355</v>
      </c>
      <c r="AD566" t="str">
        <f>_xlfn.IFS(Table1[[#This Row],[Absence 
Days]]&lt;3,"Excellent",Table1[[#This Row],[Absence 
Days]]&lt;=6,"Good",Table1[[#This Row],[Absence 
Days]]&gt;6,"Poor")</f>
        <v>Poor</v>
      </c>
    </row>
    <row r="567" spans="1:30" x14ac:dyDescent="0.35">
      <c r="A567">
        <v>566</v>
      </c>
      <c r="B567" s="2" t="s">
        <v>107</v>
      </c>
      <c r="C567" t="s">
        <v>527</v>
      </c>
      <c r="D567" t="str">
        <f>_xlfn.TEXTJOIN(" ",TRUE,Table1[[#This Row],[First 
Name]:[Last 
Name]])</f>
        <v>Sherry Brown</v>
      </c>
      <c r="E567" t="s">
        <v>1677</v>
      </c>
      <c r="F567" t="s">
        <v>3245</v>
      </c>
      <c r="G567" t="str">
        <f ca="1">PROPER(Table1[[#This Row],[Part Time 
Job]])</f>
        <v>False</v>
      </c>
      <c r="H567" s="3">
        <v>10</v>
      </c>
      <c r="I567" t="str">
        <f ca="1">PROPER(Table1[[#This Row],[Extracurricular 
Activities]])</f>
        <v>True</v>
      </c>
      <c r="J567">
        <v>3</v>
      </c>
      <c r="K567" t="s">
        <v>3115</v>
      </c>
      <c r="L567">
        <v>87</v>
      </c>
      <c r="M567" s="12" t="str" cm="1">
        <f t="array" ref="M56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567">
        <v>82</v>
      </c>
      <c r="O567" s="13" t="str" cm="1">
        <f t="array" ref="O56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567">
        <v>88</v>
      </c>
      <c r="Q567" s="13" t="str" cm="1">
        <f t="array" ref="Q56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567">
        <v>100</v>
      </c>
      <c r="S567" t="str" cm="1">
        <f t="array" ref="S56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567">
        <v>73</v>
      </c>
      <c r="U567" t="str" cm="1">
        <f t="array" ref="U56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567">
        <v>96</v>
      </c>
      <c r="W567" t="str" cm="1">
        <f t="array" ref="W56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567">
        <v>75</v>
      </c>
      <c r="Y567" t="str" cm="1">
        <f t="array" ref="Y56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567">
        <f>SUM(Table1[[#This Row],[Math 
Score]],Table1[[#This Row],[History 
Score]],Table1[[#This Row],[Physics 
Score]],Table1[[#This Row],[Chemistry 
Score]],Table1[[#This Row],[Biology 
Score]],Table1[[#This Row],[English 
Score]],Table1[[#This Row],[Geography 
Score]])</f>
        <v>601</v>
      </c>
      <c r="AA567" s="3">
        <f>AVERAGE(Table1[[#This Row],[Math 
Score]],Table1[[#This Row],[History 
Score]],Table1[[#This Row],[Physics 
Score]],Table1[[#This Row],[Chemistry 
Score]],Table1[[#This Row],[Biology 
Score]],Table1[[#This Row],[English 
Score]],Table1[[#This Row],[Geography 
Score]])</f>
        <v>85.857142857142861</v>
      </c>
      <c r="AB56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567">
        <f t="shared" si="8"/>
        <v>394</v>
      </c>
      <c r="AD567" t="str">
        <f>_xlfn.IFS(Table1[[#This Row],[Absence 
Days]]&lt;3,"Excellent",Table1[[#This Row],[Absence 
Days]]&lt;=6,"Good",Table1[[#This Row],[Absence 
Days]]&gt;6,"Poor")</f>
        <v>Poor</v>
      </c>
    </row>
    <row r="568" spans="1:30" x14ac:dyDescent="0.35">
      <c r="A568">
        <v>567</v>
      </c>
      <c r="B568" s="2" t="s">
        <v>154</v>
      </c>
      <c r="C568" t="s">
        <v>455</v>
      </c>
      <c r="D568" t="str">
        <f>_xlfn.TEXTJOIN(" ",TRUE,Table1[[#This Row],[First 
Name]:[Last 
Name]])</f>
        <v>Douglas Clark</v>
      </c>
      <c r="E568" t="s">
        <v>1678</v>
      </c>
      <c r="F568" t="s">
        <v>3244</v>
      </c>
      <c r="G568" t="str">
        <f ca="1">PROPER(Table1[[#This Row],[Part Time 
Job]])</f>
        <v>False</v>
      </c>
      <c r="H568" s="3">
        <v>2</v>
      </c>
      <c r="I568" t="str">
        <f ca="1">PROPER(Table1[[#This Row],[Extracurricular 
Activities]])</f>
        <v>False</v>
      </c>
      <c r="J568">
        <v>30</v>
      </c>
      <c r="K568" t="s">
        <v>3117</v>
      </c>
      <c r="L568">
        <v>95</v>
      </c>
      <c r="M568" s="12" t="str" cm="1">
        <f t="array" ref="M56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568">
        <v>97</v>
      </c>
      <c r="O568" s="13" t="str" cm="1">
        <f t="array" ref="O56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568">
        <v>88</v>
      </c>
      <c r="Q568" s="13" t="str" cm="1">
        <f t="array" ref="Q56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568">
        <v>77</v>
      </c>
      <c r="S568" t="str" cm="1">
        <f t="array" ref="S56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568">
        <v>96</v>
      </c>
      <c r="U568" t="str" cm="1">
        <f t="array" ref="U56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568">
        <v>96</v>
      </c>
      <c r="W568" t="str" cm="1">
        <f t="array" ref="W56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568">
        <v>74</v>
      </c>
      <c r="Y568" t="str" cm="1">
        <f t="array" ref="Y56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568">
        <f>SUM(Table1[[#This Row],[Math 
Score]],Table1[[#This Row],[History 
Score]],Table1[[#This Row],[Physics 
Score]],Table1[[#This Row],[Chemistry 
Score]],Table1[[#This Row],[Biology 
Score]],Table1[[#This Row],[English 
Score]],Table1[[#This Row],[Geography 
Score]])</f>
        <v>623</v>
      </c>
      <c r="AA568" s="3">
        <f>AVERAGE(Table1[[#This Row],[Math 
Score]],Table1[[#This Row],[History 
Score]],Table1[[#This Row],[Physics 
Score]],Table1[[#This Row],[Chemistry 
Score]],Table1[[#This Row],[Biology 
Score]],Table1[[#This Row],[English 
Score]],Table1[[#This Row],[Geography 
Score]])</f>
        <v>89</v>
      </c>
      <c r="AB56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568">
        <f t="shared" si="8"/>
        <v>201</v>
      </c>
      <c r="AD568" t="str">
        <f>_xlfn.IFS(Table1[[#This Row],[Absence 
Days]]&lt;3,"Excellent",Table1[[#This Row],[Absence 
Days]]&lt;=6,"Good",Table1[[#This Row],[Absence 
Days]]&gt;6,"Poor")</f>
        <v>Excellent</v>
      </c>
    </row>
    <row r="569" spans="1:30" x14ac:dyDescent="0.35">
      <c r="A569">
        <v>568</v>
      </c>
      <c r="B569" s="2" t="s">
        <v>127</v>
      </c>
      <c r="C569" t="s">
        <v>489</v>
      </c>
      <c r="D569" t="str">
        <f>_xlfn.TEXTJOIN(" ",TRUE,Table1[[#This Row],[First 
Name]:[Last 
Name]])</f>
        <v>Alex Farmer</v>
      </c>
      <c r="E569" t="s">
        <v>1679</v>
      </c>
      <c r="F569" t="s">
        <v>3244</v>
      </c>
      <c r="G569" t="str">
        <f ca="1">PROPER(Table1[[#This Row],[Part Time 
Job]])</f>
        <v>True</v>
      </c>
      <c r="H569" s="3">
        <v>3</v>
      </c>
      <c r="I569" t="str">
        <f ca="1">PROPER(Table1[[#This Row],[Extracurricular 
Activities]])</f>
        <v>True</v>
      </c>
      <c r="J569">
        <v>15</v>
      </c>
      <c r="K569" t="s">
        <v>3125</v>
      </c>
      <c r="L569">
        <v>85</v>
      </c>
      <c r="M569" s="12" t="str" cm="1">
        <f t="array" ref="M56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569">
        <v>96</v>
      </c>
      <c r="O569" s="13" t="str" cm="1">
        <f t="array" ref="O56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569">
        <v>82</v>
      </c>
      <c r="Q569" s="13" t="str" cm="1">
        <f t="array" ref="Q56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569">
        <v>64</v>
      </c>
      <c r="S569" t="str" cm="1">
        <f t="array" ref="S56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569">
        <v>82</v>
      </c>
      <c r="U569" t="str" cm="1">
        <f t="array" ref="U56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569">
        <v>94</v>
      </c>
      <c r="W569" t="str" cm="1">
        <f t="array" ref="W56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569">
        <v>81</v>
      </c>
      <c r="Y569" t="str" cm="1">
        <f t="array" ref="Y56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569">
        <f>SUM(Table1[[#This Row],[Math 
Score]],Table1[[#This Row],[History 
Score]],Table1[[#This Row],[Physics 
Score]],Table1[[#This Row],[Chemistry 
Score]],Table1[[#This Row],[Biology 
Score]],Table1[[#This Row],[English 
Score]],Table1[[#This Row],[Geography 
Score]])</f>
        <v>584</v>
      </c>
      <c r="AA569" s="3">
        <f>AVERAGE(Table1[[#This Row],[Math 
Score]],Table1[[#This Row],[History 
Score]],Table1[[#This Row],[Physics 
Score]],Table1[[#This Row],[Chemistry 
Score]],Table1[[#This Row],[Biology 
Score]],Table1[[#This Row],[English 
Score]],Table1[[#This Row],[Geography 
Score]])</f>
        <v>83.428571428571431</v>
      </c>
      <c r="AB56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569">
        <f t="shared" si="8"/>
        <v>635</v>
      </c>
      <c r="AD569" t="str">
        <f>_xlfn.IFS(Table1[[#This Row],[Absence 
Days]]&lt;3,"Excellent",Table1[[#This Row],[Absence 
Days]]&lt;=6,"Good",Table1[[#This Row],[Absence 
Days]]&gt;6,"Poor")</f>
        <v>Good</v>
      </c>
    </row>
    <row r="570" spans="1:30" x14ac:dyDescent="0.35">
      <c r="A570">
        <v>569</v>
      </c>
      <c r="B570" s="2" t="s">
        <v>191</v>
      </c>
      <c r="C570" t="s">
        <v>769</v>
      </c>
      <c r="D570" t="str">
        <f>_xlfn.TEXTJOIN(" ",TRUE,Table1[[#This Row],[First 
Name]:[Last 
Name]])</f>
        <v>Brandon Gonzales</v>
      </c>
      <c r="E570" t="s">
        <v>1680</v>
      </c>
      <c r="F570" t="s">
        <v>3244</v>
      </c>
      <c r="G570" t="str">
        <f ca="1">PROPER(Table1[[#This Row],[Part Time 
Job]])</f>
        <v>False</v>
      </c>
      <c r="H570" s="3">
        <v>8</v>
      </c>
      <c r="I570" t="str">
        <f ca="1">PROPER(Table1[[#This Row],[Extracurricular 
Activities]])</f>
        <v>True</v>
      </c>
      <c r="J570">
        <v>1</v>
      </c>
      <c r="K570" t="s">
        <v>3119</v>
      </c>
      <c r="L570">
        <v>67</v>
      </c>
      <c r="M570" s="12" t="str" cm="1">
        <f t="array" ref="M570">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570">
        <v>65</v>
      </c>
      <c r="O570" s="13" t="str" cm="1">
        <f t="array" ref="O57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570">
        <v>77</v>
      </c>
      <c r="Q570" s="13" t="str" cm="1">
        <f t="array" ref="Q57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570">
        <v>72</v>
      </c>
      <c r="S570" t="str" cm="1">
        <f t="array" ref="S57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570">
        <v>94</v>
      </c>
      <c r="U570" t="str" cm="1">
        <f t="array" ref="U57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570">
        <v>88</v>
      </c>
      <c r="W570" t="str" cm="1">
        <f t="array" ref="W57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570">
        <v>77</v>
      </c>
      <c r="Y570" t="str" cm="1">
        <f t="array" ref="Y57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570">
        <f>SUM(Table1[[#This Row],[Math 
Score]],Table1[[#This Row],[History 
Score]],Table1[[#This Row],[Physics 
Score]],Table1[[#This Row],[Chemistry 
Score]],Table1[[#This Row],[Biology 
Score]],Table1[[#This Row],[English 
Score]],Table1[[#This Row],[Geography 
Score]])</f>
        <v>540</v>
      </c>
      <c r="AA570" s="3">
        <f>AVERAGE(Table1[[#This Row],[Math 
Score]],Table1[[#This Row],[History 
Score]],Table1[[#This Row],[Physics 
Score]],Table1[[#This Row],[Chemistry 
Score]],Table1[[#This Row],[Biology 
Score]],Table1[[#This Row],[English 
Score]],Table1[[#This Row],[Geography 
Score]])</f>
        <v>77.142857142857139</v>
      </c>
      <c r="AB57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570">
        <f t="shared" si="8"/>
        <v>1513</v>
      </c>
      <c r="AD570" t="str">
        <f>_xlfn.IFS(Table1[[#This Row],[Absence 
Days]]&lt;3,"Excellent",Table1[[#This Row],[Absence 
Days]]&lt;=6,"Good",Table1[[#This Row],[Absence 
Days]]&gt;6,"Poor")</f>
        <v>Poor</v>
      </c>
    </row>
    <row r="571" spans="1:30" x14ac:dyDescent="0.35">
      <c r="A571">
        <v>570</v>
      </c>
      <c r="B571" s="2" t="s">
        <v>196</v>
      </c>
      <c r="C571" t="s">
        <v>770</v>
      </c>
      <c r="D571" t="str">
        <f>_xlfn.TEXTJOIN(" ",TRUE,Table1[[#This Row],[First 
Name]:[Last 
Name]])</f>
        <v>Wayne Trevino</v>
      </c>
      <c r="E571" t="s">
        <v>1681</v>
      </c>
      <c r="F571" t="s">
        <v>3244</v>
      </c>
      <c r="G571" t="str">
        <f ca="1">PROPER(Table1[[#This Row],[Part Time 
Job]])</f>
        <v>False</v>
      </c>
      <c r="H571" s="3">
        <v>3</v>
      </c>
      <c r="I571" t="str">
        <f ca="1">PROPER(Table1[[#This Row],[Extracurricular 
Activities]])</f>
        <v>True</v>
      </c>
      <c r="J571">
        <v>6</v>
      </c>
      <c r="K571" t="s">
        <v>3114</v>
      </c>
      <c r="L571">
        <v>84</v>
      </c>
      <c r="M571" s="12" t="str" cm="1">
        <f t="array" ref="M57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571">
        <v>100</v>
      </c>
      <c r="O571" s="13" t="str" cm="1">
        <f t="array" ref="O57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571">
        <v>92</v>
      </c>
      <c r="Q571" s="13" t="str" cm="1">
        <f t="array" ref="Q57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571">
        <v>82</v>
      </c>
      <c r="S571" t="str" cm="1">
        <f t="array" ref="S57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571">
        <v>85</v>
      </c>
      <c r="U571" t="str" cm="1">
        <f t="array" ref="U57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571">
        <v>70</v>
      </c>
      <c r="W571" t="str" cm="1">
        <f t="array" ref="W57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571">
        <v>69</v>
      </c>
      <c r="Y571" t="str" cm="1">
        <f t="array" ref="Y57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571">
        <f>SUM(Table1[[#This Row],[Math 
Score]],Table1[[#This Row],[History 
Score]],Table1[[#This Row],[Physics 
Score]],Table1[[#This Row],[Chemistry 
Score]],Table1[[#This Row],[Biology 
Score]],Table1[[#This Row],[English 
Score]],Table1[[#This Row],[Geography 
Score]])</f>
        <v>582</v>
      </c>
      <c r="AA571" s="3">
        <f>AVERAGE(Table1[[#This Row],[Math 
Score]],Table1[[#This Row],[History 
Score]],Table1[[#This Row],[Physics 
Score]],Table1[[#This Row],[Chemistry 
Score]],Table1[[#This Row],[Biology 
Score]],Table1[[#This Row],[English 
Score]],Table1[[#This Row],[Geography 
Score]])</f>
        <v>83.142857142857139</v>
      </c>
      <c r="AB57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571">
        <f t="shared" si="8"/>
        <v>670</v>
      </c>
      <c r="AD571" t="str">
        <f>_xlfn.IFS(Table1[[#This Row],[Absence 
Days]]&lt;3,"Excellent",Table1[[#This Row],[Absence 
Days]]&lt;=6,"Good",Table1[[#This Row],[Absence 
Days]]&gt;6,"Poor")</f>
        <v>Good</v>
      </c>
    </row>
    <row r="572" spans="1:30" x14ac:dyDescent="0.35">
      <c r="A572">
        <v>571</v>
      </c>
      <c r="B572" s="2" t="s">
        <v>12</v>
      </c>
      <c r="C572" t="s">
        <v>771</v>
      </c>
      <c r="D572" t="str">
        <f>_xlfn.TEXTJOIN(" ",TRUE,Table1[[#This Row],[First 
Name]:[Last 
Name]])</f>
        <v>Pamela Horne</v>
      </c>
      <c r="E572" t="s">
        <v>1682</v>
      </c>
      <c r="F572" t="s">
        <v>3245</v>
      </c>
      <c r="G572" t="str">
        <f ca="1">PROPER(Table1[[#This Row],[Part Time 
Job]])</f>
        <v>False</v>
      </c>
      <c r="H572" s="3">
        <v>7</v>
      </c>
      <c r="I572" t="str">
        <f ca="1">PROPER(Table1[[#This Row],[Extracurricular 
Activities]])</f>
        <v>True</v>
      </c>
      <c r="J572">
        <v>1</v>
      </c>
      <c r="K572" t="s">
        <v>3126</v>
      </c>
      <c r="L572">
        <v>83</v>
      </c>
      <c r="M572" s="12" t="str" cm="1">
        <f t="array" ref="M57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572">
        <v>88</v>
      </c>
      <c r="O572" s="13" t="str" cm="1">
        <f t="array" ref="O57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572">
        <v>90</v>
      </c>
      <c r="Q572" s="13" t="str" cm="1">
        <f t="array" ref="Q57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572">
        <v>100</v>
      </c>
      <c r="S572" t="str" cm="1">
        <f t="array" ref="S57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572">
        <v>71</v>
      </c>
      <c r="U572" t="str" cm="1">
        <f t="array" ref="U57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572">
        <v>98</v>
      </c>
      <c r="W572" t="str" cm="1">
        <f t="array" ref="W57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572">
        <v>96</v>
      </c>
      <c r="Y572" t="str" cm="1">
        <f t="array" ref="Y57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572">
        <f>SUM(Table1[[#This Row],[Math 
Score]],Table1[[#This Row],[History 
Score]],Table1[[#This Row],[Physics 
Score]],Table1[[#This Row],[Chemistry 
Score]],Table1[[#This Row],[Biology 
Score]],Table1[[#This Row],[English 
Score]],Table1[[#This Row],[Geography 
Score]])</f>
        <v>626</v>
      </c>
      <c r="AA572" s="3">
        <f>AVERAGE(Table1[[#This Row],[Math 
Score]],Table1[[#This Row],[History 
Score]],Table1[[#This Row],[Physics 
Score]],Table1[[#This Row],[Chemistry 
Score]],Table1[[#This Row],[Biology 
Score]],Table1[[#This Row],[English 
Score]],Table1[[#This Row],[Geography 
Score]])</f>
        <v>89.428571428571431</v>
      </c>
      <c r="AB57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572">
        <f t="shared" si="8"/>
        <v>179</v>
      </c>
      <c r="AD572" t="str">
        <f>_xlfn.IFS(Table1[[#This Row],[Absence 
Days]]&lt;3,"Excellent",Table1[[#This Row],[Absence 
Days]]&lt;=6,"Good",Table1[[#This Row],[Absence 
Days]]&gt;6,"Poor")</f>
        <v>Poor</v>
      </c>
    </row>
    <row r="573" spans="1:30" x14ac:dyDescent="0.35">
      <c r="A573">
        <v>572</v>
      </c>
      <c r="B573" s="2" t="s">
        <v>34</v>
      </c>
      <c r="C573" t="s">
        <v>772</v>
      </c>
      <c r="D573" t="str">
        <f>_xlfn.TEXTJOIN(" ",TRUE,Table1[[#This Row],[First 
Name]:[Last 
Name]])</f>
        <v>Michael Schaefer</v>
      </c>
      <c r="E573" t="s">
        <v>1683</v>
      </c>
      <c r="F573" t="s">
        <v>3244</v>
      </c>
      <c r="G573" t="str">
        <f ca="1">PROPER(Table1[[#This Row],[Part Time 
Job]])</f>
        <v>True</v>
      </c>
      <c r="H573" s="3">
        <v>9</v>
      </c>
      <c r="I573" t="str">
        <f ca="1">PROPER(Table1[[#This Row],[Extracurricular 
Activities]])</f>
        <v>True</v>
      </c>
      <c r="J573">
        <v>5</v>
      </c>
      <c r="K573" t="s">
        <v>3119</v>
      </c>
      <c r="L573">
        <v>67</v>
      </c>
      <c r="M573" s="12" t="str" cm="1">
        <f t="array" ref="M573">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573">
        <v>78</v>
      </c>
      <c r="O573" s="13" t="str" cm="1">
        <f t="array" ref="O57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573">
        <v>68</v>
      </c>
      <c r="Q573" s="13" t="str" cm="1">
        <f t="array" ref="Q57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573">
        <v>51</v>
      </c>
      <c r="S573" t="str" cm="1">
        <f t="array" ref="S57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C</v>
      </c>
      <c r="T573">
        <v>77</v>
      </c>
      <c r="U573" t="str" cm="1">
        <f t="array" ref="U57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573">
        <v>72</v>
      </c>
      <c r="W573" t="str" cm="1">
        <f t="array" ref="W57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573">
        <v>78</v>
      </c>
      <c r="Y573" t="str" cm="1">
        <f t="array" ref="Y57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573">
        <f>SUM(Table1[[#This Row],[Math 
Score]],Table1[[#This Row],[History 
Score]],Table1[[#This Row],[Physics 
Score]],Table1[[#This Row],[Chemistry 
Score]],Table1[[#This Row],[Biology 
Score]],Table1[[#This Row],[English 
Score]],Table1[[#This Row],[Geography 
Score]])</f>
        <v>491</v>
      </c>
      <c r="AA573" s="3">
        <f>AVERAGE(Table1[[#This Row],[Math 
Score]],Table1[[#This Row],[History 
Score]],Table1[[#This Row],[Physics 
Score]],Table1[[#This Row],[Chemistry 
Score]],Table1[[#This Row],[Biology 
Score]],Table1[[#This Row],[English 
Score]],Table1[[#This Row],[Geography 
Score]])</f>
        <v>70.142857142857139</v>
      </c>
      <c r="AB57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573">
        <f t="shared" si="8"/>
        <v>1907</v>
      </c>
      <c r="AD573" t="str">
        <f>_xlfn.IFS(Table1[[#This Row],[Absence 
Days]]&lt;3,"Excellent",Table1[[#This Row],[Absence 
Days]]&lt;=6,"Good",Table1[[#This Row],[Absence 
Days]]&gt;6,"Poor")</f>
        <v>Poor</v>
      </c>
    </row>
    <row r="574" spans="1:30" x14ac:dyDescent="0.35">
      <c r="A574">
        <v>573</v>
      </c>
      <c r="B574" s="2" t="s">
        <v>265</v>
      </c>
      <c r="C574" t="s">
        <v>773</v>
      </c>
      <c r="D574" t="str">
        <f>_xlfn.TEXTJOIN(" ",TRUE,Table1[[#This Row],[First 
Name]:[Last 
Name]])</f>
        <v>Carlos Ramirez</v>
      </c>
      <c r="E574" t="s">
        <v>1684</v>
      </c>
      <c r="F574" t="s">
        <v>3244</v>
      </c>
      <c r="G574" t="str">
        <f ca="1">PROPER(Table1[[#This Row],[Part Time 
Job]])</f>
        <v>False</v>
      </c>
      <c r="H574" s="3">
        <v>1</v>
      </c>
      <c r="I574" t="str">
        <f ca="1">PROPER(Table1[[#This Row],[Extracurricular 
Activities]])</f>
        <v>False</v>
      </c>
      <c r="J574">
        <v>30</v>
      </c>
      <c r="K574" t="s">
        <v>3121</v>
      </c>
      <c r="L574">
        <v>75</v>
      </c>
      <c r="M574" s="12" t="str" cm="1">
        <f t="array" ref="M57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574">
        <v>92</v>
      </c>
      <c r="O574" s="13" t="str" cm="1">
        <f t="array" ref="O57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574">
        <v>72</v>
      </c>
      <c r="Q574" s="13" t="str" cm="1">
        <f t="array" ref="Q57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574">
        <v>88</v>
      </c>
      <c r="S574" t="str" cm="1">
        <f t="array" ref="S57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574">
        <v>92</v>
      </c>
      <c r="U574" t="str" cm="1">
        <f t="array" ref="U57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574">
        <v>77</v>
      </c>
      <c r="W574" t="str" cm="1">
        <f t="array" ref="W57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574">
        <v>84</v>
      </c>
      <c r="Y574" t="str" cm="1">
        <f t="array" ref="Y57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574">
        <f>SUM(Table1[[#This Row],[Math 
Score]],Table1[[#This Row],[History 
Score]],Table1[[#This Row],[Physics 
Score]],Table1[[#This Row],[Chemistry 
Score]],Table1[[#This Row],[Biology 
Score]],Table1[[#This Row],[English 
Score]],Table1[[#This Row],[Geography 
Score]])</f>
        <v>580</v>
      </c>
      <c r="AA574" s="3">
        <f>AVERAGE(Table1[[#This Row],[Math 
Score]],Table1[[#This Row],[History 
Score]],Table1[[#This Row],[Physics 
Score]],Table1[[#This Row],[Chemistry 
Score]],Table1[[#This Row],[Biology 
Score]],Table1[[#This Row],[English 
Score]],Table1[[#This Row],[Geography 
Score]])</f>
        <v>82.857142857142861</v>
      </c>
      <c r="AB57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574">
        <f t="shared" si="8"/>
        <v>709</v>
      </c>
      <c r="AD574" t="str">
        <f>_xlfn.IFS(Table1[[#This Row],[Absence 
Days]]&lt;3,"Excellent",Table1[[#This Row],[Absence 
Days]]&lt;=6,"Good",Table1[[#This Row],[Absence 
Days]]&gt;6,"Poor")</f>
        <v>Excellent</v>
      </c>
    </row>
    <row r="575" spans="1:30" x14ac:dyDescent="0.35">
      <c r="A575">
        <v>574</v>
      </c>
      <c r="B575" s="2" t="s">
        <v>96</v>
      </c>
      <c r="C575" t="s">
        <v>774</v>
      </c>
      <c r="D575" t="str">
        <f>_xlfn.TEXTJOIN(" ",TRUE,Table1[[#This Row],[First 
Name]:[Last 
Name]])</f>
        <v>Antonio Lucero</v>
      </c>
      <c r="E575" t="s">
        <v>1685</v>
      </c>
      <c r="F575" t="s">
        <v>3244</v>
      </c>
      <c r="G575" t="str">
        <f ca="1">PROPER(Table1[[#This Row],[Part Time 
Job]])</f>
        <v>False</v>
      </c>
      <c r="H575" s="3">
        <v>3</v>
      </c>
      <c r="I575" t="str">
        <f ca="1">PROPER(Table1[[#This Row],[Extracurricular 
Activities]])</f>
        <v>True</v>
      </c>
      <c r="J575">
        <v>8</v>
      </c>
      <c r="K575" t="s">
        <v>3114</v>
      </c>
      <c r="L575">
        <v>67</v>
      </c>
      <c r="M575" s="12" t="str" cm="1">
        <f t="array" ref="M575">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575">
        <v>76</v>
      </c>
      <c r="O575" s="13" t="str" cm="1">
        <f t="array" ref="O57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575">
        <v>70</v>
      </c>
      <c r="Q575" s="13" t="str" cm="1">
        <f t="array" ref="Q57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575">
        <v>73</v>
      </c>
      <c r="S575" t="str" cm="1">
        <f t="array" ref="S57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575">
        <v>81</v>
      </c>
      <c r="U575" t="str" cm="1">
        <f t="array" ref="U57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575">
        <v>85</v>
      </c>
      <c r="W575" t="str" cm="1">
        <f t="array" ref="W57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575">
        <v>80</v>
      </c>
      <c r="Y575" t="str" cm="1">
        <f t="array" ref="Y57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575">
        <f>SUM(Table1[[#This Row],[Math 
Score]],Table1[[#This Row],[History 
Score]],Table1[[#This Row],[Physics 
Score]],Table1[[#This Row],[Chemistry 
Score]],Table1[[#This Row],[Biology 
Score]],Table1[[#This Row],[English 
Score]],Table1[[#This Row],[Geography 
Score]])</f>
        <v>532</v>
      </c>
      <c r="AA575" s="3">
        <f>AVERAGE(Table1[[#This Row],[Math 
Score]],Table1[[#This Row],[History 
Score]],Table1[[#This Row],[Physics 
Score]],Table1[[#This Row],[Chemistry 
Score]],Table1[[#This Row],[Biology 
Score]],Table1[[#This Row],[English 
Score]],Table1[[#This Row],[Geography 
Score]])</f>
        <v>76</v>
      </c>
      <c r="AB57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575">
        <f t="shared" si="8"/>
        <v>1622</v>
      </c>
      <c r="AD575" t="str">
        <f>_xlfn.IFS(Table1[[#This Row],[Absence 
Days]]&lt;3,"Excellent",Table1[[#This Row],[Absence 
Days]]&lt;=6,"Good",Table1[[#This Row],[Absence 
Days]]&gt;6,"Poor")</f>
        <v>Good</v>
      </c>
    </row>
    <row r="576" spans="1:30" x14ac:dyDescent="0.35">
      <c r="A576">
        <v>575</v>
      </c>
      <c r="B576" s="2" t="s">
        <v>177</v>
      </c>
      <c r="C576" t="s">
        <v>182</v>
      </c>
      <c r="D576" t="str">
        <f>_xlfn.TEXTJOIN(" ",TRUE,Table1[[#This Row],[First 
Name]:[Last 
Name]])</f>
        <v>Terry Ashley</v>
      </c>
      <c r="E576" t="s">
        <v>1686</v>
      </c>
      <c r="F576" t="s">
        <v>3244</v>
      </c>
      <c r="G576" t="str">
        <f ca="1">PROPER(Table1[[#This Row],[Part Time 
Job]])</f>
        <v>True</v>
      </c>
      <c r="H576" s="3">
        <v>9</v>
      </c>
      <c r="I576" t="str">
        <f ca="1">PROPER(Table1[[#This Row],[Extracurricular 
Activities]])</f>
        <v>False</v>
      </c>
      <c r="J576">
        <v>5</v>
      </c>
      <c r="K576" t="s">
        <v>3119</v>
      </c>
      <c r="L576">
        <v>67</v>
      </c>
      <c r="M576" s="12" t="str" cm="1">
        <f t="array" ref="M576">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576">
        <v>54</v>
      </c>
      <c r="O576" s="13" t="str" cm="1">
        <f t="array" ref="O57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C</v>
      </c>
      <c r="P576">
        <v>51</v>
      </c>
      <c r="Q576" s="13" t="str" cm="1">
        <f t="array" ref="Q57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C</v>
      </c>
      <c r="R576">
        <v>72</v>
      </c>
      <c r="S576" t="str" cm="1">
        <f t="array" ref="S57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576">
        <v>75</v>
      </c>
      <c r="U576" t="str" cm="1">
        <f t="array" ref="U57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576">
        <v>60</v>
      </c>
      <c r="W576" t="str" cm="1">
        <f t="array" ref="W57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576">
        <v>88</v>
      </c>
      <c r="Y576" t="str" cm="1">
        <f t="array" ref="Y57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576">
        <f>SUM(Table1[[#This Row],[Math 
Score]],Table1[[#This Row],[History 
Score]],Table1[[#This Row],[Physics 
Score]],Table1[[#This Row],[Chemistry 
Score]],Table1[[#This Row],[Biology 
Score]],Table1[[#This Row],[English 
Score]],Table1[[#This Row],[Geography 
Score]])</f>
        <v>467</v>
      </c>
      <c r="AA576" s="3">
        <f>AVERAGE(Table1[[#This Row],[Math 
Score]],Table1[[#This Row],[History 
Score]],Table1[[#This Row],[Physics 
Score]],Table1[[#This Row],[Chemistry 
Score]],Table1[[#This Row],[Biology 
Score]],Table1[[#This Row],[English 
Score]],Table1[[#This Row],[Geography 
Score]])</f>
        <v>66.714285714285708</v>
      </c>
      <c r="AB57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576">
        <f t="shared" si="8"/>
        <v>1967</v>
      </c>
      <c r="AD576" t="str">
        <f>_xlfn.IFS(Table1[[#This Row],[Absence 
Days]]&lt;3,"Excellent",Table1[[#This Row],[Absence 
Days]]&lt;=6,"Good",Table1[[#This Row],[Absence 
Days]]&gt;6,"Poor")</f>
        <v>Poor</v>
      </c>
    </row>
    <row r="577" spans="1:30" x14ac:dyDescent="0.35">
      <c r="A577">
        <v>576</v>
      </c>
      <c r="B577" s="2" t="s">
        <v>266</v>
      </c>
      <c r="C577" t="s">
        <v>595</v>
      </c>
      <c r="D577" t="str">
        <f>_xlfn.TEXTJOIN(" ",TRUE,Table1[[#This Row],[First 
Name]:[Last 
Name]])</f>
        <v>Rita Cochran</v>
      </c>
      <c r="E577" t="s">
        <v>1687</v>
      </c>
      <c r="F577" t="s">
        <v>3245</v>
      </c>
      <c r="G577" t="str">
        <f ca="1">PROPER(Table1[[#This Row],[Part Time 
Job]])</f>
        <v>False</v>
      </c>
      <c r="H577" s="3">
        <v>1</v>
      </c>
      <c r="I577" t="str">
        <f ca="1">PROPER(Table1[[#This Row],[Extracurricular 
Activities]])</f>
        <v>False</v>
      </c>
      <c r="J577">
        <v>5</v>
      </c>
      <c r="K577" t="s">
        <v>3115</v>
      </c>
      <c r="L577">
        <v>72</v>
      </c>
      <c r="M577" s="12" t="str" cm="1">
        <f t="array" ref="M577">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577">
        <v>91</v>
      </c>
      <c r="O577" s="13" t="str" cm="1">
        <f t="array" ref="O57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577">
        <v>78</v>
      </c>
      <c r="Q577" s="13" t="str" cm="1">
        <f t="array" ref="Q57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577">
        <v>97</v>
      </c>
      <c r="S577" t="str" cm="1">
        <f t="array" ref="S57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577">
        <v>86</v>
      </c>
      <c r="U577" t="str" cm="1">
        <f t="array" ref="U57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577">
        <v>93</v>
      </c>
      <c r="W577" t="str" cm="1">
        <f t="array" ref="W57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577">
        <v>77</v>
      </c>
      <c r="Y577" t="str" cm="1">
        <f t="array" ref="Y57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577">
        <f>SUM(Table1[[#This Row],[Math 
Score]],Table1[[#This Row],[History 
Score]],Table1[[#This Row],[Physics 
Score]],Table1[[#This Row],[Chemistry 
Score]],Table1[[#This Row],[Biology 
Score]],Table1[[#This Row],[English 
Score]],Table1[[#This Row],[Geography 
Score]])</f>
        <v>594</v>
      </c>
      <c r="AA577" s="3">
        <f>AVERAGE(Table1[[#This Row],[Math 
Score]],Table1[[#This Row],[History 
Score]],Table1[[#This Row],[Physics 
Score]],Table1[[#This Row],[Chemistry 
Score]],Table1[[#This Row],[Biology 
Score]],Table1[[#This Row],[English 
Score]],Table1[[#This Row],[Geography 
Score]])</f>
        <v>84.857142857142861</v>
      </c>
      <c r="AB57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577">
        <f t="shared" si="8"/>
        <v>479</v>
      </c>
      <c r="AD577" t="str">
        <f>_xlfn.IFS(Table1[[#This Row],[Absence 
Days]]&lt;3,"Excellent",Table1[[#This Row],[Absence 
Days]]&lt;=6,"Good",Table1[[#This Row],[Absence 
Days]]&gt;6,"Poor")</f>
        <v>Excellent</v>
      </c>
    </row>
    <row r="578" spans="1:30" x14ac:dyDescent="0.35">
      <c r="A578">
        <v>577</v>
      </c>
      <c r="B578" s="2" t="s">
        <v>149</v>
      </c>
      <c r="C578" t="s">
        <v>257</v>
      </c>
      <c r="D578" t="str">
        <f>_xlfn.TEXTJOIN(" ",TRUE,Table1[[#This Row],[First 
Name]:[Last 
Name]])</f>
        <v>Joseph Gregory</v>
      </c>
      <c r="E578" t="s">
        <v>1688</v>
      </c>
      <c r="F578" t="s">
        <v>3244</v>
      </c>
      <c r="G578" t="str">
        <f ca="1">PROPER(Table1[[#This Row],[Part Time 
Job]])</f>
        <v>False</v>
      </c>
      <c r="H578" s="3">
        <v>4</v>
      </c>
      <c r="I578" t="str">
        <f ca="1">PROPER(Table1[[#This Row],[Extracurricular 
Activities]])</f>
        <v>False</v>
      </c>
      <c r="J578">
        <v>4</v>
      </c>
      <c r="K578" t="s">
        <v>3114</v>
      </c>
      <c r="L578">
        <v>78</v>
      </c>
      <c r="M578" s="12" t="str" cm="1">
        <f t="array" ref="M57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578">
        <v>98</v>
      </c>
      <c r="O578" s="13" t="str" cm="1">
        <f t="array" ref="O57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578">
        <v>76</v>
      </c>
      <c r="Q578" s="13" t="str" cm="1">
        <f t="array" ref="Q57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578">
        <v>68</v>
      </c>
      <c r="S578" t="str" cm="1">
        <f t="array" ref="S57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578">
        <v>86</v>
      </c>
      <c r="U578" t="str" cm="1">
        <f t="array" ref="U57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578">
        <v>91</v>
      </c>
      <c r="W578" t="str" cm="1">
        <f t="array" ref="W57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578">
        <v>82</v>
      </c>
      <c r="Y578" t="str" cm="1">
        <f t="array" ref="Y57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578">
        <f>SUM(Table1[[#This Row],[Math 
Score]],Table1[[#This Row],[History 
Score]],Table1[[#This Row],[Physics 
Score]],Table1[[#This Row],[Chemistry 
Score]],Table1[[#This Row],[Biology 
Score]],Table1[[#This Row],[English 
Score]],Table1[[#This Row],[Geography 
Score]])</f>
        <v>579</v>
      </c>
      <c r="AA578" s="3">
        <f>AVERAGE(Table1[[#This Row],[Math 
Score]],Table1[[#This Row],[History 
Score]],Table1[[#This Row],[Physics 
Score]],Table1[[#This Row],[Chemistry 
Score]],Table1[[#This Row],[Biology 
Score]],Table1[[#This Row],[English 
Score]],Table1[[#This Row],[Geography 
Score]])</f>
        <v>82.714285714285708</v>
      </c>
      <c r="AB57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578">
        <f t="shared" ref="AC578:AC641" si="9">RANK(AA578,$AA$2:$AA$2001,0)</f>
        <v>730</v>
      </c>
      <c r="AD578" t="str">
        <f>_xlfn.IFS(Table1[[#This Row],[Absence 
Days]]&lt;3,"Excellent",Table1[[#This Row],[Absence 
Days]]&lt;=6,"Good",Table1[[#This Row],[Absence 
Days]]&gt;6,"Poor")</f>
        <v>Good</v>
      </c>
    </row>
    <row r="579" spans="1:30" x14ac:dyDescent="0.35">
      <c r="A579">
        <v>578</v>
      </c>
      <c r="B579" s="2" t="s">
        <v>87</v>
      </c>
      <c r="C579" t="s">
        <v>531</v>
      </c>
      <c r="D579" t="str">
        <f>_xlfn.TEXTJOIN(" ",TRUE,Table1[[#This Row],[First 
Name]:[Last 
Name]])</f>
        <v>Alexandra Robinson</v>
      </c>
      <c r="E579" t="s">
        <v>1689</v>
      </c>
      <c r="F579" t="s">
        <v>3245</v>
      </c>
      <c r="G579" t="str">
        <f ca="1">PROPER(Table1[[#This Row],[Part Time 
Job]])</f>
        <v>False</v>
      </c>
      <c r="H579" s="3">
        <v>1</v>
      </c>
      <c r="I579" t="str">
        <f ca="1">PROPER(Table1[[#This Row],[Extracurricular 
Activities]])</f>
        <v>False</v>
      </c>
      <c r="J579">
        <v>47</v>
      </c>
      <c r="K579" t="s">
        <v>3113</v>
      </c>
      <c r="L579">
        <v>85</v>
      </c>
      <c r="M579" s="12" t="str" cm="1">
        <f t="array" ref="M57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579">
        <v>87</v>
      </c>
      <c r="O579" s="13" t="str" cm="1">
        <f t="array" ref="O57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579">
        <v>92</v>
      </c>
      <c r="Q579" s="13" t="str" cm="1">
        <f t="array" ref="Q57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579">
        <v>96</v>
      </c>
      <c r="S579" t="str" cm="1">
        <f t="array" ref="S57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579">
        <v>92</v>
      </c>
      <c r="U579" t="str" cm="1">
        <f t="array" ref="U57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579">
        <v>90</v>
      </c>
      <c r="W579" t="str" cm="1">
        <f t="array" ref="W57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579">
        <v>88</v>
      </c>
      <c r="Y579" t="str" cm="1">
        <f t="array" ref="Y57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579">
        <f>SUM(Table1[[#This Row],[Math 
Score]],Table1[[#This Row],[History 
Score]],Table1[[#This Row],[Physics 
Score]],Table1[[#This Row],[Chemistry 
Score]],Table1[[#This Row],[Biology 
Score]],Table1[[#This Row],[English 
Score]],Table1[[#This Row],[Geography 
Score]])</f>
        <v>630</v>
      </c>
      <c r="AA579" s="3">
        <f>AVERAGE(Table1[[#This Row],[Math 
Score]],Table1[[#This Row],[History 
Score]],Table1[[#This Row],[Physics 
Score]],Table1[[#This Row],[Chemistry 
Score]],Table1[[#This Row],[Biology 
Score]],Table1[[#This Row],[English 
Score]],Table1[[#This Row],[Geography 
Score]])</f>
        <v>90</v>
      </c>
      <c r="AB57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579">
        <f t="shared" si="9"/>
        <v>154</v>
      </c>
      <c r="AD579" t="str">
        <f>_xlfn.IFS(Table1[[#This Row],[Absence 
Days]]&lt;3,"Excellent",Table1[[#This Row],[Absence 
Days]]&lt;=6,"Good",Table1[[#This Row],[Absence 
Days]]&gt;6,"Poor")</f>
        <v>Excellent</v>
      </c>
    </row>
    <row r="580" spans="1:30" x14ac:dyDescent="0.35">
      <c r="A580">
        <v>579</v>
      </c>
      <c r="B580" s="2" t="s">
        <v>2</v>
      </c>
      <c r="C580" t="s">
        <v>775</v>
      </c>
      <c r="D580" t="str">
        <f>_xlfn.TEXTJOIN(" ",TRUE,Table1[[#This Row],[First 
Name]:[Last 
Name]])</f>
        <v>Tina Sparks</v>
      </c>
      <c r="E580" t="s">
        <v>1690</v>
      </c>
      <c r="F580" t="s">
        <v>3245</v>
      </c>
      <c r="G580" t="str">
        <f ca="1">PROPER(Table1[[#This Row],[Part Time 
Job]])</f>
        <v>False</v>
      </c>
      <c r="H580" s="3">
        <v>3</v>
      </c>
      <c r="I580" t="str">
        <f ca="1">PROPER(Table1[[#This Row],[Extracurricular 
Activities]])</f>
        <v>True</v>
      </c>
      <c r="J580">
        <v>16</v>
      </c>
      <c r="K580" t="s">
        <v>3127</v>
      </c>
      <c r="L580">
        <v>100</v>
      </c>
      <c r="M580" s="12" t="str" cm="1">
        <f t="array" ref="M58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580">
        <v>70</v>
      </c>
      <c r="O580" s="13" t="str" cm="1">
        <f t="array" ref="O58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580">
        <v>69</v>
      </c>
      <c r="Q580" s="13" t="str" cm="1">
        <f t="array" ref="Q58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580">
        <v>61</v>
      </c>
      <c r="S580" t="str" cm="1">
        <f t="array" ref="S58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580">
        <v>100</v>
      </c>
      <c r="U580" t="str" cm="1">
        <f t="array" ref="U58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580">
        <v>65</v>
      </c>
      <c r="W580" t="str" cm="1">
        <f t="array" ref="W58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580">
        <v>81</v>
      </c>
      <c r="Y580" t="str" cm="1">
        <f t="array" ref="Y58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580">
        <f>SUM(Table1[[#This Row],[Math 
Score]],Table1[[#This Row],[History 
Score]],Table1[[#This Row],[Physics 
Score]],Table1[[#This Row],[Chemistry 
Score]],Table1[[#This Row],[Biology 
Score]],Table1[[#This Row],[English 
Score]],Table1[[#This Row],[Geography 
Score]])</f>
        <v>546</v>
      </c>
      <c r="AA580" s="3">
        <f>AVERAGE(Table1[[#This Row],[Math 
Score]],Table1[[#This Row],[History 
Score]],Table1[[#This Row],[Physics 
Score]],Table1[[#This Row],[Chemistry 
Score]],Table1[[#This Row],[Biology 
Score]],Table1[[#This Row],[English 
Score]],Table1[[#This Row],[Geography 
Score]])</f>
        <v>78</v>
      </c>
      <c r="AB58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580">
        <f t="shared" si="9"/>
        <v>1411</v>
      </c>
      <c r="AD580" t="str">
        <f>_xlfn.IFS(Table1[[#This Row],[Absence 
Days]]&lt;3,"Excellent",Table1[[#This Row],[Absence 
Days]]&lt;=6,"Good",Table1[[#This Row],[Absence 
Days]]&gt;6,"Poor")</f>
        <v>Good</v>
      </c>
    </row>
    <row r="581" spans="1:30" x14ac:dyDescent="0.35">
      <c r="A581">
        <v>580</v>
      </c>
      <c r="B581" s="2" t="s">
        <v>36</v>
      </c>
      <c r="C581" t="s">
        <v>688</v>
      </c>
      <c r="D581" t="str">
        <f>_xlfn.TEXTJOIN(" ",TRUE,Table1[[#This Row],[First 
Name]:[Last 
Name]])</f>
        <v>Christopher Buchanan</v>
      </c>
      <c r="E581" t="s">
        <v>1691</v>
      </c>
      <c r="F581" t="s">
        <v>3244</v>
      </c>
      <c r="G581" t="str">
        <f ca="1">PROPER(Table1[[#This Row],[Part Time 
Job]])</f>
        <v>True</v>
      </c>
      <c r="H581" s="3">
        <v>5</v>
      </c>
      <c r="I581" t="str">
        <f ca="1">PROPER(Table1[[#This Row],[Extracurricular 
Activities]])</f>
        <v>False</v>
      </c>
      <c r="J581">
        <v>3</v>
      </c>
      <c r="K581" t="s">
        <v>3119</v>
      </c>
      <c r="L581">
        <v>56</v>
      </c>
      <c r="M581" s="12" t="str" cm="1">
        <f t="array" ref="M581">_xlfn.IFS(Table1[[#This Row],[Math 
Score]]&gt;=90,"A+",Table1[[#This Row],[Math 
Score]]&gt;=80,"A", Table1[[#This Row],[Math 
Score]]&gt;=75,"A-",Table1[[#This Row],[Math 
Score]]&gt;=70,"B+",Table1[[#This Row],[Math 
Score]]&gt;=65,"B",Table1[[#This Row],[Math 
Score]]&gt;=60,"B-",Table1[[#This Row],[Math 
Score]]&gt;=50,"C",Table1[[#This Row],[Math 
Score]]&gt;=40,"D",Table1[[#This Row],[Math 
Score]]&lt;40,"F")</f>
        <v>C</v>
      </c>
      <c r="N581">
        <v>59</v>
      </c>
      <c r="O581" s="13" t="str" cm="1">
        <f t="array" ref="O58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C</v>
      </c>
      <c r="P581">
        <v>89</v>
      </c>
      <c r="Q581" s="13" t="str" cm="1">
        <f t="array" ref="Q58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581">
        <v>68</v>
      </c>
      <c r="S581" t="str" cm="1">
        <f t="array" ref="S58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581">
        <v>79</v>
      </c>
      <c r="U581" t="str" cm="1">
        <f t="array" ref="U58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581">
        <v>83</v>
      </c>
      <c r="W581" t="str" cm="1">
        <f t="array" ref="W58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581">
        <v>68</v>
      </c>
      <c r="Y581" t="str" cm="1">
        <f t="array" ref="Y58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581">
        <f>SUM(Table1[[#This Row],[Math 
Score]],Table1[[#This Row],[History 
Score]],Table1[[#This Row],[Physics 
Score]],Table1[[#This Row],[Chemistry 
Score]],Table1[[#This Row],[Biology 
Score]],Table1[[#This Row],[English 
Score]],Table1[[#This Row],[Geography 
Score]])</f>
        <v>502</v>
      </c>
      <c r="AA581" s="3">
        <f>AVERAGE(Table1[[#This Row],[Math 
Score]],Table1[[#This Row],[History 
Score]],Table1[[#This Row],[Physics 
Score]],Table1[[#This Row],[Chemistry 
Score]],Table1[[#This Row],[Biology 
Score]],Table1[[#This Row],[English 
Score]],Table1[[#This Row],[Geography 
Score]])</f>
        <v>71.714285714285708</v>
      </c>
      <c r="AB58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581">
        <f t="shared" si="9"/>
        <v>1866</v>
      </c>
      <c r="AD581" t="str">
        <f>_xlfn.IFS(Table1[[#This Row],[Absence 
Days]]&lt;3,"Excellent",Table1[[#This Row],[Absence 
Days]]&lt;=6,"Good",Table1[[#This Row],[Absence 
Days]]&gt;6,"Poor")</f>
        <v>Good</v>
      </c>
    </row>
    <row r="582" spans="1:30" x14ac:dyDescent="0.35">
      <c r="A582">
        <v>581</v>
      </c>
      <c r="B582" s="2" t="s">
        <v>139</v>
      </c>
      <c r="C582" t="s">
        <v>776</v>
      </c>
      <c r="D582" t="str">
        <f>_xlfn.TEXTJOIN(" ",TRUE,Table1[[#This Row],[First 
Name]:[Last 
Name]])</f>
        <v>Christina Guerrero</v>
      </c>
      <c r="E582" t="s">
        <v>1692</v>
      </c>
      <c r="F582" t="s">
        <v>3245</v>
      </c>
      <c r="G582" t="str">
        <f ca="1">PROPER(Table1[[#This Row],[Part Time 
Job]])</f>
        <v>False</v>
      </c>
      <c r="H582" s="3">
        <v>5</v>
      </c>
      <c r="I582" t="str">
        <f ca="1">PROPER(Table1[[#This Row],[Extracurricular 
Activities]])</f>
        <v>True</v>
      </c>
      <c r="J582">
        <v>32</v>
      </c>
      <c r="K582" t="s">
        <v>3120</v>
      </c>
      <c r="L582">
        <v>93</v>
      </c>
      <c r="M582" s="12" t="str" cm="1">
        <f t="array" ref="M58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582">
        <v>75</v>
      </c>
      <c r="O582" s="13" t="str" cm="1">
        <f t="array" ref="O58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582">
        <v>83</v>
      </c>
      <c r="Q582" s="13" t="str" cm="1">
        <f t="array" ref="Q58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582">
        <v>99</v>
      </c>
      <c r="S582" t="str" cm="1">
        <f t="array" ref="S58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582">
        <v>100</v>
      </c>
      <c r="U582" t="str" cm="1">
        <f t="array" ref="U58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582">
        <v>91</v>
      </c>
      <c r="W582" t="str" cm="1">
        <f t="array" ref="W58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582">
        <v>74</v>
      </c>
      <c r="Y582" t="str" cm="1">
        <f t="array" ref="Y58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582">
        <f>SUM(Table1[[#This Row],[Math 
Score]],Table1[[#This Row],[History 
Score]],Table1[[#This Row],[Physics 
Score]],Table1[[#This Row],[Chemistry 
Score]],Table1[[#This Row],[Biology 
Score]],Table1[[#This Row],[English 
Score]],Table1[[#This Row],[Geography 
Score]])</f>
        <v>615</v>
      </c>
      <c r="AA582" s="3">
        <f>AVERAGE(Table1[[#This Row],[Math 
Score]],Table1[[#This Row],[History 
Score]],Table1[[#This Row],[Physics 
Score]],Table1[[#This Row],[Chemistry 
Score]],Table1[[#This Row],[Biology 
Score]],Table1[[#This Row],[English 
Score]],Table1[[#This Row],[Geography 
Score]])</f>
        <v>87.857142857142861</v>
      </c>
      <c r="AB58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582">
        <f t="shared" si="9"/>
        <v>251</v>
      </c>
      <c r="AD582" t="str">
        <f>_xlfn.IFS(Table1[[#This Row],[Absence 
Days]]&lt;3,"Excellent",Table1[[#This Row],[Absence 
Days]]&lt;=6,"Good",Table1[[#This Row],[Absence 
Days]]&gt;6,"Poor")</f>
        <v>Good</v>
      </c>
    </row>
    <row r="583" spans="1:30" x14ac:dyDescent="0.35">
      <c r="A583">
        <v>582</v>
      </c>
      <c r="B583" s="2" t="s">
        <v>102</v>
      </c>
      <c r="C583" t="s">
        <v>777</v>
      </c>
      <c r="D583" t="str">
        <f>_xlfn.TEXTJOIN(" ",TRUE,Table1[[#This Row],[First 
Name]:[Last 
Name]])</f>
        <v>Jessica Hutchinson</v>
      </c>
      <c r="E583" t="s">
        <v>1693</v>
      </c>
      <c r="F583" t="s">
        <v>3245</v>
      </c>
      <c r="G583" t="str">
        <f ca="1">PROPER(Table1[[#This Row],[Part Time 
Job]])</f>
        <v>False</v>
      </c>
      <c r="H583" s="3">
        <v>2</v>
      </c>
      <c r="I583" t="str">
        <f ca="1">PROPER(Table1[[#This Row],[Extracurricular 
Activities]])</f>
        <v>False</v>
      </c>
      <c r="J583">
        <v>31</v>
      </c>
      <c r="K583" t="s">
        <v>3121</v>
      </c>
      <c r="L583">
        <v>89</v>
      </c>
      <c r="M583" s="12" t="str" cm="1">
        <f t="array" ref="M58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583">
        <v>91</v>
      </c>
      <c r="O583" s="13" t="str" cm="1">
        <f t="array" ref="O58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583">
        <v>85</v>
      </c>
      <c r="Q583" s="13" t="str" cm="1">
        <f t="array" ref="Q58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583">
        <v>69</v>
      </c>
      <c r="S583" t="str" cm="1">
        <f t="array" ref="S58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583">
        <v>76</v>
      </c>
      <c r="U583" t="str" cm="1">
        <f t="array" ref="U58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583">
        <v>92</v>
      </c>
      <c r="W583" t="str" cm="1">
        <f t="array" ref="W58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583">
        <v>94</v>
      </c>
      <c r="Y583" t="str" cm="1">
        <f t="array" ref="Y58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583">
        <f>SUM(Table1[[#This Row],[Math 
Score]],Table1[[#This Row],[History 
Score]],Table1[[#This Row],[Physics 
Score]],Table1[[#This Row],[Chemistry 
Score]],Table1[[#This Row],[Biology 
Score]],Table1[[#This Row],[English 
Score]],Table1[[#This Row],[Geography 
Score]])</f>
        <v>596</v>
      </c>
      <c r="AA583" s="3">
        <f>AVERAGE(Table1[[#This Row],[Math 
Score]],Table1[[#This Row],[History 
Score]],Table1[[#This Row],[Physics 
Score]],Table1[[#This Row],[Chemistry 
Score]],Table1[[#This Row],[Biology 
Score]],Table1[[#This Row],[English 
Score]],Table1[[#This Row],[Geography 
Score]])</f>
        <v>85.142857142857139</v>
      </c>
      <c r="AB58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583">
        <f t="shared" si="9"/>
        <v>458</v>
      </c>
      <c r="AD583" t="str">
        <f>_xlfn.IFS(Table1[[#This Row],[Absence 
Days]]&lt;3,"Excellent",Table1[[#This Row],[Absence 
Days]]&lt;=6,"Good",Table1[[#This Row],[Absence 
Days]]&gt;6,"Poor")</f>
        <v>Excellent</v>
      </c>
    </row>
    <row r="584" spans="1:30" x14ac:dyDescent="0.35">
      <c r="A584">
        <v>583</v>
      </c>
      <c r="B584" s="2" t="s">
        <v>267</v>
      </c>
      <c r="C584" t="s">
        <v>778</v>
      </c>
      <c r="D584" t="str">
        <f>_xlfn.TEXTJOIN(" ",TRUE,Table1[[#This Row],[First 
Name]:[Last 
Name]])</f>
        <v>Tyler Carrillo</v>
      </c>
      <c r="E584" t="s">
        <v>1694</v>
      </c>
      <c r="F584" t="s">
        <v>3244</v>
      </c>
      <c r="G584" t="str">
        <f ca="1">PROPER(Table1[[#This Row],[Part Time 
Job]])</f>
        <v>False</v>
      </c>
      <c r="H584" s="3">
        <v>3</v>
      </c>
      <c r="I584" t="str">
        <f ca="1">PROPER(Table1[[#This Row],[Extracurricular 
Activities]])</f>
        <v>False</v>
      </c>
      <c r="J584">
        <v>6</v>
      </c>
      <c r="K584" t="s">
        <v>3128</v>
      </c>
      <c r="L584">
        <v>59</v>
      </c>
      <c r="M584" s="12" t="str" cm="1">
        <f t="array" ref="M584">_xlfn.IFS(Table1[[#This Row],[Math 
Score]]&gt;=90,"A+",Table1[[#This Row],[Math 
Score]]&gt;=80,"A", Table1[[#This Row],[Math 
Score]]&gt;=75,"A-",Table1[[#This Row],[Math 
Score]]&gt;=70,"B+",Table1[[#This Row],[Math 
Score]]&gt;=65,"B",Table1[[#This Row],[Math 
Score]]&gt;=60,"B-",Table1[[#This Row],[Math 
Score]]&gt;=50,"C",Table1[[#This Row],[Math 
Score]]&gt;=40,"D",Table1[[#This Row],[Math 
Score]]&lt;40,"F")</f>
        <v>C</v>
      </c>
      <c r="N584">
        <v>88</v>
      </c>
      <c r="O584" s="13" t="str" cm="1">
        <f t="array" ref="O58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584">
        <v>74</v>
      </c>
      <c r="Q584" s="13" t="str" cm="1">
        <f t="array" ref="Q58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584">
        <v>92</v>
      </c>
      <c r="S584" t="str" cm="1">
        <f t="array" ref="S58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584">
        <v>72</v>
      </c>
      <c r="U584" t="str" cm="1">
        <f t="array" ref="U58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584">
        <v>97</v>
      </c>
      <c r="W584" t="str" cm="1">
        <f t="array" ref="W58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584">
        <v>64</v>
      </c>
      <c r="Y584" t="str" cm="1">
        <f t="array" ref="Y58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584">
        <f>SUM(Table1[[#This Row],[Math 
Score]],Table1[[#This Row],[History 
Score]],Table1[[#This Row],[Physics 
Score]],Table1[[#This Row],[Chemistry 
Score]],Table1[[#This Row],[Biology 
Score]],Table1[[#This Row],[English 
Score]],Table1[[#This Row],[Geography 
Score]])</f>
        <v>546</v>
      </c>
      <c r="AA584" s="3">
        <f>AVERAGE(Table1[[#This Row],[Math 
Score]],Table1[[#This Row],[History 
Score]],Table1[[#This Row],[Physics 
Score]],Table1[[#This Row],[Chemistry 
Score]],Table1[[#This Row],[Biology 
Score]],Table1[[#This Row],[English 
Score]],Table1[[#This Row],[Geography 
Score]])</f>
        <v>78</v>
      </c>
      <c r="AB58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584">
        <f t="shared" si="9"/>
        <v>1411</v>
      </c>
      <c r="AD584" t="str">
        <f>_xlfn.IFS(Table1[[#This Row],[Absence 
Days]]&lt;3,"Excellent",Table1[[#This Row],[Absence 
Days]]&lt;=6,"Good",Table1[[#This Row],[Absence 
Days]]&gt;6,"Poor")</f>
        <v>Good</v>
      </c>
    </row>
    <row r="585" spans="1:30" x14ac:dyDescent="0.35">
      <c r="A585">
        <v>584</v>
      </c>
      <c r="B585" s="2" t="s">
        <v>48</v>
      </c>
      <c r="C585" t="s">
        <v>779</v>
      </c>
      <c r="D585" t="str">
        <f>_xlfn.TEXTJOIN(" ",TRUE,Table1[[#This Row],[First 
Name]:[Last 
Name]])</f>
        <v>Lindsay Brady</v>
      </c>
      <c r="E585" t="s">
        <v>1695</v>
      </c>
      <c r="F585" t="s">
        <v>3245</v>
      </c>
      <c r="G585" t="str">
        <f ca="1">PROPER(Table1[[#This Row],[Part Time 
Job]])</f>
        <v>False</v>
      </c>
      <c r="H585" s="3">
        <v>3</v>
      </c>
      <c r="I585" t="str">
        <f ca="1">PROPER(Table1[[#This Row],[Extracurricular 
Activities]])</f>
        <v>False</v>
      </c>
      <c r="J585">
        <v>16</v>
      </c>
      <c r="K585" t="s">
        <v>3116</v>
      </c>
      <c r="L585">
        <v>99</v>
      </c>
      <c r="M585" s="12" t="str" cm="1">
        <f t="array" ref="M58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585">
        <v>70</v>
      </c>
      <c r="O585" s="13" t="str" cm="1">
        <f t="array" ref="O58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585">
        <v>74</v>
      </c>
      <c r="Q585" s="13" t="str" cm="1">
        <f t="array" ref="Q58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585">
        <v>65</v>
      </c>
      <c r="S585" t="str" cm="1">
        <f t="array" ref="S58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585">
        <v>99</v>
      </c>
      <c r="U585" t="str" cm="1">
        <f t="array" ref="U58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585">
        <v>74</v>
      </c>
      <c r="W585" t="str" cm="1">
        <f t="array" ref="W58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585">
        <v>62</v>
      </c>
      <c r="Y585" t="str" cm="1">
        <f t="array" ref="Y58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585">
        <f>SUM(Table1[[#This Row],[Math 
Score]],Table1[[#This Row],[History 
Score]],Table1[[#This Row],[Physics 
Score]],Table1[[#This Row],[Chemistry 
Score]],Table1[[#This Row],[Biology 
Score]],Table1[[#This Row],[English 
Score]],Table1[[#This Row],[Geography 
Score]])</f>
        <v>543</v>
      </c>
      <c r="AA585" s="3">
        <f>AVERAGE(Table1[[#This Row],[Math 
Score]],Table1[[#This Row],[History 
Score]],Table1[[#This Row],[Physics 
Score]],Table1[[#This Row],[Chemistry 
Score]],Table1[[#This Row],[Biology 
Score]],Table1[[#This Row],[English 
Score]],Table1[[#This Row],[Geography 
Score]])</f>
        <v>77.571428571428569</v>
      </c>
      <c r="AB58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585">
        <f t="shared" si="9"/>
        <v>1464</v>
      </c>
      <c r="AD585" t="str">
        <f>_xlfn.IFS(Table1[[#This Row],[Absence 
Days]]&lt;3,"Excellent",Table1[[#This Row],[Absence 
Days]]&lt;=6,"Good",Table1[[#This Row],[Absence 
Days]]&gt;6,"Poor")</f>
        <v>Good</v>
      </c>
    </row>
    <row r="586" spans="1:30" x14ac:dyDescent="0.35">
      <c r="A586">
        <v>585</v>
      </c>
      <c r="B586" s="2" t="s">
        <v>202</v>
      </c>
      <c r="C586" t="s">
        <v>780</v>
      </c>
      <c r="D586" t="str">
        <f>_xlfn.TEXTJOIN(" ",TRUE,Table1[[#This Row],[First 
Name]:[Last 
Name]])</f>
        <v>Gary Rivera</v>
      </c>
      <c r="E586" t="s">
        <v>1696</v>
      </c>
      <c r="F586" t="s">
        <v>3244</v>
      </c>
      <c r="G586" t="str">
        <f ca="1">PROPER(Table1[[#This Row],[Part Time 
Job]])</f>
        <v>False</v>
      </c>
      <c r="H586" s="3">
        <v>6</v>
      </c>
      <c r="I586" t="str">
        <f ca="1">PROPER(Table1[[#This Row],[Extracurricular 
Activities]])</f>
        <v>False</v>
      </c>
      <c r="J586">
        <v>34</v>
      </c>
      <c r="K586" t="s">
        <v>3112</v>
      </c>
      <c r="L586">
        <v>89</v>
      </c>
      <c r="M586" s="12" t="str" cm="1">
        <f t="array" ref="M58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586">
        <v>89</v>
      </c>
      <c r="O586" s="13" t="str" cm="1">
        <f t="array" ref="O58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586">
        <v>85</v>
      </c>
      <c r="Q586" s="13" t="str" cm="1">
        <f t="array" ref="Q58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586">
        <v>74</v>
      </c>
      <c r="S586" t="str" cm="1">
        <f t="array" ref="S58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586">
        <v>78</v>
      </c>
      <c r="U586" t="str" cm="1">
        <f t="array" ref="U58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586">
        <v>87</v>
      </c>
      <c r="W586" t="str" cm="1">
        <f t="array" ref="W58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586">
        <v>82</v>
      </c>
      <c r="Y586" t="str" cm="1">
        <f t="array" ref="Y58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586">
        <f>SUM(Table1[[#This Row],[Math 
Score]],Table1[[#This Row],[History 
Score]],Table1[[#This Row],[Physics 
Score]],Table1[[#This Row],[Chemistry 
Score]],Table1[[#This Row],[Biology 
Score]],Table1[[#This Row],[English 
Score]],Table1[[#This Row],[Geography 
Score]])</f>
        <v>584</v>
      </c>
      <c r="AA586" s="3">
        <f>AVERAGE(Table1[[#This Row],[Math 
Score]],Table1[[#This Row],[History 
Score]],Table1[[#This Row],[Physics 
Score]],Table1[[#This Row],[Chemistry 
Score]],Table1[[#This Row],[Biology 
Score]],Table1[[#This Row],[English 
Score]],Table1[[#This Row],[Geography 
Score]])</f>
        <v>83.428571428571431</v>
      </c>
      <c r="AB58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586">
        <f t="shared" si="9"/>
        <v>635</v>
      </c>
      <c r="AD586" t="str">
        <f>_xlfn.IFS(Table1[[#This Row],[Absence 
Days]]&lt;3,"Excellent",Table1[[#This Row],[Absence 
Days]]&lt;=6,"Good",Table1[[#This Row],[Absence 
Days]]&gt;6,"Poor")</f>
        <v>Good</v>
      </c>
    </row>
    <row r="587" spans="1:30" x14ac:dyDescent="0.35">
      <c r="A587">
        <v>586</v>
      </c>
      <c r="B587" s="2" t="s">
        <v>47</v>
      </c>
      <c r="C587" t="s">
        <v>569</v>
      </c>
      <c r="D587" t="str">
        <f>_xlfn.TEXTJOIN(" ",TRUE,Table1[[#This Row],[First 
Name]:[Last 
Name]])</f>
        <v>Luke Moore</v>
      </c>
      <c r="E587" t="s">
        <v>1697</v>
      </c>
      <c r="F587" t="s">
        <v>3244</v>
      </c>
      <c r="G587" t="str">
        <f ca="1">PROPER(Table1[[#This Row],[Part Time 
Job]])</f>
        <v>False</v>
      </c>
      <c r="H587" s="3">
        <v>3</v>
      </c>
      <c r="I587" t="str">
        <f ca="1">PROPER(Table1[[#This Row],[Extracurricular 
Activities]])</f>
        <v>False</v>
      </c>
      <c r="J587">
        <v>26</v>
      </c>
      <c r="K587" t="s">
        <v>3117</v>
      </c>
      <c r="L587">
        <v>86</v>
      </c>
      <c r="M587" s="12" t="str" cm="1">
        <f t="array" ref="M58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587">
        <v>63</v>
      </c>
      <c r="O587" s="13" t="str" cm="1">
        <f t="array" ref="O58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587">
        <v>78</v>
      </c>
      <c r="Q587" s="13" t="str" cm="1">
        <f t="array" ref="Q58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587">
        <v>78</v>
      </c>
      <c r="S587" t="str" cm="1">
        <f t="array" ref="S58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587">
        <v>80</v>
      </c>
      <c r="U587" t="str" cm="1">
        <f t="array" ref="U58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587">
        <v>67</v>
      </c>
      <c r="W587" t="str" cm="1">
        <f t="array" ref="W58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587">
        <v>97</v>
      </c>
      <c r="Y587" t="str" cm="1">
        <f t="array" ref="Y58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587">
        <f>SUM(Table1[[#This Row],[Math 
Score]],Table1[[#This Row],[History 
Score]],Table1[[#This Row],[Physics 
Score]],Table1[[#This Row],[Chemistry 
Score]],Table1[[#This Row],[Biology 
Score]],Table1[[#This Row],[English 
Score]],Table1[[#This Row],[Geography 
Score]])</f>
        <v>549</v>
      </c>
      <c r="AA587" s="3">
        <f>AVERAGE(Table1[[#This Row],[Math 
Score]],Table1[[#This Row],[History 
Score]],Table1[[#This Row],[Physics 
Score]],Table1[[#This Row],[Chemistry 
Score]],Table1[[#This Row],[Biology 
Score]],Table1[[#This Row],[English 
Score]],Table1[[#This Row],[Geography 
Score]])</f>
        <v>78.428571428571431</v>
      </c>
      <c r="AB58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587">
        <f t="shared" si="9"/>
        <v>1355</v>
      </c>
      <c r="AD587" t="str">
        <f>_xlfn.IFS(Table1[[#This Row],[Absence 
Days]]&lt;3,"Excellent",Table1[[#This Row],[Absence 
Days]]&lt;=6,"Good",Table1[[#This Row],[Absence 
Days]]&gt;6,"Poor")</f>
        <v>Good</v>
      </c>
    </row>
    <row r="588" spans="1:30" x14ac:dyDescent="0.35">
      <c r="A588">
        <v>587</v>
      </c>
      <c r="B588" s="2" t="s">
        <v>111</v>
      </c>
      <c r="C588" t="s">
        <v>722</v>
      </c>
      <c r="D588" t="str">
        <f>_xlfn.TEXTJOIN(" ",TRUE,Table1[[#This Row],[First 
Name]:[Last 
Name]])</f>
        <v>Tanya Green</v>
      </c>
      <c r="E588" t="s">
        <v>1698</v>
      </c>
      <c r="F588" t="s">
        <v>3245</v>
      </c>
      <c r="G588" t="str">
        <f ca="1">PROPER(Table1[[#This Row],[Part Time 
Job]])</f>
        <v>False</v>
      </c>
      <c r="H588" s="3">
        <v>6</v>
      </c>
      <c r="I588" t="str">
        <f ca="1">PROPER(Table1[[#This Row],[Extracurricular 
Activities]])</f>
        <v>False</v>
      </c>
      <c r="J588">
        <v>21</v>
      </c>
      <c r="K588" t="s">
        <v>3121</v>
      </c>
      <c r="L588">
        <v>79</v>
      </c>
      <c r="M588" s="12" t="str" cm="1">
        <f t="array" ref="M58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588">
        <v>65</v>
      </c>
      <c r="O588" s="13" t="str" cm="1">
        <f t="array" ref="O58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588">
        <v>91</v>
      </c>
      <c r="Q588" s="13" t="str" cm="1">
        <f t="array" ref="Q58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588">
        <v>65</v>
      </c>
      <c r="S588" t="str" cm="1">
        <f t="array" ref="S58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588">
        <v>61</v>
      </c>
      <c r="U588" t="str" cm="1">
        <f t="array" ref="U58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588">
        <v>88</v>
      </c>
      <c r="W588" t="str" cm="1">
        <f t="array" ref="W58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588">
        <v>95</v>
      </c>
      <c r="Y588" t="str" cm="1">
        <f t="array" ref="Y58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588">
        <f>SUM(Table1[[#This Row],[Math 
Score]],Table1[[#This Row],[History 
Score]],Table1[[#This Row],[Physics 
Score]],Table1[[#This Row],[Chemistry 
Score]],Table1[[#This Row],[Biology 
Score]],Table1[[#This Row],[English 
Score]],Table1[[#This Row],[Geography 
Score]])</f>
        <v>544</v>
      </c>
      <c r="AA588" s="3">
        <f>AVERAGE(Table1[[#This Row],[Math 
Score]],Table1[[#This Row],[History 
Score]],Table1[[#This Row],[Physics 
Score]],Table1[[#This Row],[Chemistry 
Score]],Table1[[#This Row],[Biology 
Score]],Table1[[#This Row],[English 
Score]],Table1[[#This Row],[Geography 
Score]])</f>
        <v>77.714285714285708</v>
      </c>
      <c r="AB58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588">
        <f t="shared" si="9"/>
        <v>1446</v>
      </c>
      <c r="AD588" t="str">
        <f>_xlfn.IFS(Table1[[#This Row],[Absence 
Days]]&lt;3,"Excellent",Table1[[#This Row],[Absence 
Days]]&lt;=6,"Good",Table1[[#This Row],[Absence 
Days]]&gt;6,"Poor")</f>
        <v>Good</v>
      </c>
    </row>
    <row r="589" spans="1:30" x14ac:dyDescent="0.35">
      <c r="A589">
        <v>588</v>
      </c>
      <c r="B589" s="2" t="s">
        <v>268</v>
      </c>
      <c r="C589" t="s">
        <v>326</v>
      </c>
      <c r="D589" t="str">
        <f>_xlfn.TEXTJOIN(" ",TRUE,Table1[[#This Row],[First 
Name]:[Last 
Name]])</f>
        <v>Bryan Lee</v>
      </c>
      <c r="E589" t="s">
        <v>1699</v>
      </c>
      <c r="F589" t="s">
        <v>3244</v>
      </c>
      <c r="G589" t="str">
        <f ca="1">PROPER(Table1[[#This Row],[Part Time 
Job]])</f>
        <v>False</v>
      </c>
      <c r="H589" s="3">
        <v>3</v>
      </c>
      <c r="I589" t="str">
        <f ca="1">PROPER(Table1[[#This Row],[Extracurricular 
Activities]])</f>
        <v>False</v>
      </c>
      <c r="J589">
        <v>46</v>
      </c>
      <c r="K589" t="s">
        <v>3113</v>
      </c>
      <c r="L589">
        <v>96</v>
      </c>
      <c r="M589" s="12" t="str" cm="1">
        <f t="array" ref="M58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589">
        <v>89</v>
      </c>
      <c r="O589" s="13" t="str" cm="1">
        <f t="array" ref="O58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589">
        <v>91</v>
      </c>
      <c r="Q589" s="13" t="str" cm="1">
        <f t="array" ref="Q58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589">
        <v>90</v>
      </c>
      <c r="S589" t="str" cm="1">
        <f t="array" ref="S58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589">
        <v>90</v>
      </c>
      <c r="U589" t="str" cm="1">
        <f t="array" ref="U58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589">
        <v>91</v>
      </c>
      <c r="W589" t="str" cm="1">
        <f t="array" ref="W58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589">
        <v>99</v>
      </c>
      <c r="Y589" t="str" cm="1">
        <f t="array" ref="Y58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589">
        <f>SUM(Table1[[#This Row],[Math 
Score]],Table1[[#This Row],[History 
Score]],Table1[[#This Row],[Physics 
Score]],Table1[[#This Row],[Chemistry 
Score]],Table1[[#This Row],[Biology 
Score]],Table1[[#This Row],[English 
Score]],Table1[[#This Row],[Geography 
Score]])</f>
        <v>646</v>
      </c>
      <c r="AA589" s="3">
        <f>AVERAGE(Table1[[#This Row],[Math 
Score]],Table1[[#This Row],[History 
Score]],Table1[[#This Row],[Physics 
Score]],Table1[[#This Row],[Chemistry 
Score]],Table1[[#This Row],[Biology 
Score]],Table1[[#This Row],[English 
Score]],Table1[[#This Row],[Geography 
Score]])</f>
        <v>92.285714285714292</v>
      </c>
      <c r="AB58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589">
        <f t="shared" si="9"/>
        <v>73</v>
      </c>
      <c r="AD589" t="str">
        <f>_xlfn.IFS(Table1[[#This Row],[Absence 
Days]]&lt;3,"Excellent",Table1[[#This Row],[Absence 
Days]]&lt;=6,"Good",Table1[[#This Row],[Absence 
Days]]&gt;6,"Poor")</f>
        <v>Good</v>
      </c>
    </row>
    <row r="590" spans="1:30" x14ac:dyDescent="0.35">
      <c r="A590">
        <v>589</v>
      </c>
      <c r="B590" s="2" t="s">
        <v>269</v>
      </c>
      <c r="C590" t="s">
        <v>525</v>
      </c>
      <c r="D590" t="str">
        <f>_xlfn.TEXTJOIN(" ",TRUE,Table1[[#This Row],[First 
Name]:[Last 
Name]])</f>
        <v>Melanie Bridges</v>
      </c>
      <c r="E590" t="s">
        <v>1700</v>
      </c>
      <c r="F590" t="s">
        <v>3245</v>
      </c>
      <c r="G590" t="str">
        <f ca="1">PROPER(Table1[[#This Row],[Part Time 
Job]])</f>
        <v>False</v>
      </c>
      <c r="H590" s="3">
        <v>6</v>
      </c>
      <c r="I590" t="str">
        <f ca="1">PROPER(Table1[[#This Row],[Extracurricular 
Activities]])</f>
        <v>False</v>
      </c>
      <c r="J590">
        <v>48</v>
      </c>
      <c r="K590" t="s">
        <v>3113</v>
      </c>
      <c r="L590">
        <v>95</v>
      </c>
      <c r="M590" s="12" t="str" cm="1">
        <f t="array" ref="M59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590">
        <v>90</v>
      </c>
      <c r="O590" s="13" t="str" cm="1">
        <f t="array" ref="O59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590">
        <v>85</v>
      </c>
      <c r="Q590" s="13" t="str" cm="1">
        <f t="array" ref="Q59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590">
        <v>90</v>
      </c>
      <c r="S590" t="str" cm="1">
        <f t="array" ref="S59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590">
        <v>96</v>
      </c>
      <c r="U590" t="str" cm="1">
        <f t="array" ref="U59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590">
        <v>89</v>
      </c>
      <c r="W590" t="str" cm="1">
        <f t="array" ref="W59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590">
        <v>96</v>
      </c>
      <c r="Y590" t="str" cm="1">
        <f t="array" ref="Y59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590">
        <f>SUM(Table1[[#This Row],[Math 
Score]],Table1[[#This Row],[History 
Score]],Table1[[#This Row],[Physics 
Score]],Table1[[#This Row],[Chemistry 
Score]],Table1[[#This Row],[Biology 
Score]],Table1[[#This Row],[English 
Score]],Table1[[#This Row],[Geography 
Score]])</f>
        <v>641</v>
      </c>
      <c r="AA590" s="3">
        <f>AVERAGE(Table1[[#This Row],[Math 
Score]],Table1[[#This Row],[History 
Score]],Table1[[#This Row],[Physics 
Score]],Table1[[#This Row],[Chemistry 
Score]],Table1[[#This Row],[Biology 
Score]],Table1[[#This Row],[English 
Score]],Table1[[#This Row],[Geography 
Score]])</f>
        <v>91.571428571428569</v>
      </c>
      <c r="AB59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590">
        <f t="shared" si="9"/>
        <v>94</v>
      </c>
      <c r="AD590" t="str">
        <f>_xlfn.IFS(Table1[[#This Row],[Absence 
Days]]&lt;3,"Excellent",Table1[[#This Row],[Absence 
Days]]&lt;=6,"Good",Table1[[#This Row],[Absence 
Days]]&gt;6,"Poor")</f>
        <v>Good</v>
      </c>
    </row>
    <row r="591" spans="1:30" x14ac:dyDescent="0.35">
      <c r="A591">
        <v>590</v>
      </c>
      <c r="B591" s="2" t="s">
        <v>58</v>
      </c>
      <c r="C591" t="s">
        <v>590</v>
      </c>
      <c r="D591" t="str">
        <f>_xlfn.TEXTJOIN(" ",TRUE,Table1[[#This Row],[First 
Name]:[Last 
Name]])</f>
        <v>Eric Bowers</v>
      </c>
      <c r="E591" t="s">
        <v>1701</v>
      </c>
      <c r="F591" t="s">
        <v>3244</v>
      </c>
      <c r="G591" t="str">
        <f ca="1">PROPER(Table1[[#This Row],[Part Time 
Job]])</f>
        <v>True</v>
      </c>
      <c r="H591" s="3">
        <v>1</v>
      </c>
      <c r="I591" t="str">
        <f ca="1">PROPER(Table1[[#This Row],[Extracurricular 
Activities]])</f>
        <v>False</v>
      </c>
      <c r="J591">
        <v>46</v>
      </c>
      <c r="K591" t="s">
        <v>3113</v>
      </c>
      <c r="L591">
        <v>96</v>
      </c>
      <c r="M591" s="12" t="str" cm="1">
        <f t="array" ref="M59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591">
        <v>85</v>
      </c>
      <c r="O591" s="13" t="str" cm="1">
        <f t="array" ref="O59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591">
        <v>90</v>
      </c>
      <c r="Q591" s="13" t="str" cm="1">
        <f t="array" ref="Q59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591">
        <v>95</v>
      </c>
      <c r="S591" t="str" cm="1">
        <f t="array" ref="S59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591">
        <v>100</v>
      </c>
      <c r="U591" t="str" cm="1">
        <f t="array" ref="U59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591">
        <v>96</v>
      </c>
      <c r="W591" t="str" cm="1">
        <f t="array" ref="W59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591">
        <v>88</v>
      </c>
      <c r="Y591" t="str" cm="1">
        <f t="array" ref="Y59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591">
        <f>SUM(Table1[[#This Row],[Math 
Score]],Table1[[#This Row],[History 
Score]],Table1[[#This Row],[Physics 
Score]],Table1[[#This Row],[Chemistry 
Score]],Table1[[#This Row],[Biology 
Score]],Table1[[#This Row],[English 
Score]],Table1[[#This Row],[Geography 
Score]])</f>
        <v>650</v>
      </c>
      <c r="AA591" s="3">
        <f>AVERAGE(Table1[[#This Row],[Math 
Score]],Table1[[#This Row],[History 
Score]],Table1[[#This Row],[Physics 
Score]],Table1[[#This Row],[Chemistry 
Score]],Table1[[#This Row],[Biology 
Score]],Table1[[#This Row],[English 
Score]],Table1[[#This Row],[Geography 
Score]])</f>
        <v>92.857142857142861</v>
      </c>
      <c r="AB59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591">
        <f t="shared" si="9"/>
        <v>56</v>
      </c>
      <c r="AD591" t="str">
        <f>_xlfn.IFS(Table1[[#This Row],[Absence 
Days]]&lt;3,"Excellent",Table1[[#This Row],[Absence 
Days]]&lt;=6,"Good",Table1[[#This Row],[Absence 
Days]]&gt;6,"Poor")</f>
        <v>Excellent</v>
      </c>
    </row>
    <row r="592" spans="1:30" x14ac:dyDescent="0.35">
      <c r="A592">
        <v>591</v>
      </c>
      <c r="B592" s="2" t="s">
        <v>255</v>
      </c>
      <c r="C592" t="s">
        <v>781</v>
      </c>
      <c r="D592" t="str">
        <f>_xlfn.TEXTJOIN(" ",TRUE,Table1[[#This Row],[First 
Name]:[Last 
Name]])</f>
        <v>Meredith Reed</v>
      </c>
      <c r="E592" t="s">
        <v>1702</v>
      </c>
      <c r="F592" t="s">
        <v>3245</v>
      </c>
      <c r="G592" t="str">
        <f ca="1">PROPER(Table1[[#This Row],[Part Time 
Job]])</f>
        <v>True</v>
      </c>
      <c r="H592" s="3">
        <v>3</v>
      </c>
      <c r="I592" t="str">
        <f ca="1">PROPER(Table1[[#This Row],[Extracurricular 
Activities]])</f>
        <v>False</v>
      </c>
      <c r="J592">
        <v>28</v>
      </c>
      <c r="K592" t="s">
        <v>3116</v>
      </c>
      <c r="L592">
        <v>95</v>
      </c>
      <c r="M592" s="12" t="str" cm="1">
        <f t="array" ref="M59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592">
        <v>80</v>
      </c>
      <c r="O592" s="13" t="str" cm="1">
        <f t="array" ref="O59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592">
        <v>64</v>
      </c>
      <c r="Q592" s="13" t="str" cm="1">
        <f t="array" ref="Q59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592">
        <v>97</v>
      </c>
      <c r="S592" t="str" cm="1">
        <f t="array" ref="S59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592">
        <v>85</v>
      </c>
      <c r="U592" t="str" cm="1">
        <f t="array" ref="U59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592">
        <v>94</v>
      </c>
      <c r="W592" t="str" cm="1">
        <f t="array" ref="W59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592">
        <v>60</v>
      </c>
      <c r="Y592" t="str" cm="1">
        <f t="array" ref="Y59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592">
        <f>SUM(Table1[[#This Row],[Math 
Score]],Table1[[#This Row],[History 
Score]],Table1[[#This Row],[Physics 
Score]],Table1[[#This Row],[Chemistry 
Score]],Table1[[#This Row],[Biology 
Score]],Table1[[#This Row],[English 
Score]],Table1[[#This Row],[Geography 
Score]])</f>
        <v>575</v>
      </c>
      <c r="AA592" s="3">
        <f>AVERAGE(Table1[[#This Row],[Math 
Score]],Table1[[#This Row],[History 
Score]],Table1[[#This Row],[Physics 
Score]],Table1[[#This Row],[Chemistry 
Score]],Table1[[#This Row],[Biology 
Score]],Table1[[#This Row],[English 
Score]],Table1[[#This Row],[Geography 
Score]])</f>
        <v>82.142857142857139</v>
      </c>
      <c r="AB59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592">
        <f t="shared" si="9"/>
        <v>807</v>
      </c>
      <c r="AD592" t="str">
        <f>_xlfn.IFS(Table1[[#This Row],[Absence 
Days]]&lt;3,"Excellent",Table1[[#This Row],[Absence 
Days]]&lt;=6,"Good",Table1[[#This Row],[Absence 
Days]]&gt;6,"Poor")</f>
        <v>Good</v>
      </c>
    </row>
    <row r="593" spans="1:30" x14ac:dyDescent="0.35">
      <c r="A593">
        <v>592</v>
      </c>
      <c r="B593" s="2" t="s">
        <v>40</v>
      </c>
      <c r="C593" t="s">
        <v>527</v>
      </c>
      <c r="D593" t="str">
        <f>_xlfn.TEXTJOIN(" ",TRUE,Table1[[#This Row],[First 
Name]:[Last 
Name]])</f>
        <v>David Brown</v>
      </c>
      <c r="E593" t="s">
        <v>1703</v>
      </c>
      <c r="F593" t="s">
        <v>3244</v>
      </c>
      <c r="G593" t="str">
        <f ca="1">PROPER(Table1[[#This Row],[Part Time 
Job]])</f>
        <v>True</v>
      </c>
      <c r="H593" s="3">
        <v>4</v>
      </c>
      <c r="I593" t="str">
        <f ca="1">PROPER(Table1[[#This Row],[Extracurricular 
Activities]])</f>
        <v>False</v>
      </c>
      <c r="J593">
        <v>2</v>
      </c>
      <c r="K593" t="s">
        <v>3116</v>
      </c>
      <c r="L593">
        <v>80</v>
      </c>
      <c r="M593" s="12" t="str" cm="1">
        <f t="array" ref="M59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593">
        <v>62</v>
      </c>
      <c r="O593" s="13" t="str" cm="1">
        <f t="array" ref="O59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593">
        <v>84</v>
      </c>
      <c r="Q593" s="13" t="str" cm="1">
        <f t="array" ref="Q59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593">
        <v>95</v>
      </c>
      <c r="S593" t="str" cm="1">
        <f t="array" ref="S59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593">
        <v>71</v>
      </c>
      <c r="U593" t="str" cm="1">
        <f t="array" ref="U59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593">
        <v>85</v>
      </c>
      <c r="W593" t="str" cm="1">
        <f t="array" ref="W59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593">
        <v>87</v>
      </c>
      <c r="Y593" t="str" cm="1">
        <f t="array" ref="Y59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593">
        <f>SUM(Table1[[#This Row],[Math 
Score]],Table1[[#This Row],[History 
Score]],Table1[[#This Row],[Physics 
Score]],Table1[[#This Row],[Chemistry 
Score]],Table1[[#This Row],[Biology 
Score]],Table1[[#This Row],[English 
Score]],Table1[[#This Row],[Geography 
Score]])</f>
        <v>564</v>
      </c>
      <c r="AA593" s="3">
        <f>AVERAGE(Table1[[#This Row],[Math 
Score]],Table1[[#This Row],[History 
Score]],Table1[[#This Row],[Physics 
Score]],Table1[[#This Row],[Chemistry 
Score]],Table1[[#This Row],[Biology 
Score]],Table1[[#This Row],[English 
Score]],Table1[[#This Row],[Geography 
Score]])</f>
        <v>80.571428571428569</v>
      </c>
      <c r="AB59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593">
        <f t="shared" si="9"/>
        <v>1056</v>
      </c>
      <c r="AD593" t="str">
        <f>_xlfn.IFS(Table1[[#This Row],[Absence 
Days]]&lt;3,"Excellent",Table1[[#This Row],[Absence 
Days]]&lt;=6,"Good",Table1[[#This Row],[Absence 
Days]]&gt;6,"Poor")</f>
        <v>Good</v>
      </c>
    </row>
    <row r="594" spans="1:30" x14ac:dyDescent="0.35">
      <c r="A594">
        <v>593</v>
      </c>
      <c r="B594" s="2" t="s">
        <v>75</v>
      </c>
      <c r="C594" t="s">
        <v>782</v>
      </c>
      <c r="D594" t="str">
        <f>_xlfn.TEXTJOIN(" ",TRUE,Table1[[#This Row],[First 
Name]:[Last 
Name]])</f>
        <v>William Johns</v>
      </c>
      <c r="E594" t="s">
        <v>1704</v>
      </c>
      <c r="F594" t="s">
        <v>3244</v>
      </c>
      <c r="G594" t="str">
        <f ca="1">PROPER(Table1[[#This Row],[Part Time 
Job]])</f>
        <v>True</v>
      </c>
      <c r="H594" s="3">
        <v>0</v>
      </c>
      <c r="I594" t="str">
        <f ca="1">PROPER(Table1[[#This Row],[Extracurricular 
Activities]])</f>
        <v>False</v>
      </c>
      <c r="J594">
        <v>32</v>
      </c>
      <c r="K594" t="s">
        <v>3127</v>
      </c>
      <c r="L594">
        <v>86</v>
      </c>
      <c r="M594" s="12" t="str" cm="1">
        <f t="array" ref="M59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594">
        <v>70</v>
      </c>
      <c r="O594" s="13" t="str" cm="1">
        <f t="array" ref="O59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594">
        <v>73</v>
      </c>
      <c r="Q594" s="13" t="str" cm="1">
        <f t="array" ref="Q59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594">
        <v>85</v>
      </c>
      <c r="S594" t="str" cm="1">
        <f t="array" ref="S59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594">
        <v>67</v>
      </c>
      <c r="U594" t="str" cm="1">
        <f t="array" ref="U59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594">
        <v>91</v>
      </c>
      <c r="W594" t="str" cm="1">
        <f t="array" ref="W59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594">
        <v>98</v>
      </c>
      <c r="Y594" t="str" cm="1">
        <f t="array" ref="Y59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594">
        <f>SUM(Table1[[#This Row],[Math 
Score]],Table1[[#This Row],[History 
Score]],Table1[[#This Row],[Physics 
Score]],Table1[[#This Row],[Chemistry 
Score]],Table1[[#This Row],[Biology 
Score]],Table1[[#This Row],[English 
Score]],Table1[[#This Row],[Geography 
Score]])</f>
        <v>570</v>
      </c>
      <c r="AA594" s="3">
        <f>AVERAGE(Table1[[#This Row],[Math 
Score]],Table1[[#This Row],[History 
Score]],Table1[[#This Row],[Physics 
Score]],Table1[[#This Row],[Chemistry 
Score]],Table1[[#This Row],[Biology 
Score]],Table1[[#This Row],[English 
Score]],Table1[[#This Row],[Geography 
Score]])</f>
        <v>81.428571428571431</v>
      </c>
      <c r="AB59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594">
        <f t="shared" si="9"/>
        <v>937</v>
      </c>
      <c r="AD594" t="str">
        <f>_xlfn.IFS(Table1[[#This Row],[Absence 
Days]]&lt;3,"Excellent",Table1[[#This Row],[Absence 
Days]]&lt;=6,"Good",Table1[[#This Row],[Absence 
Days]]&gt;6,"Poor")</f>
        <v>Excellent</v>
      </c>
    </row>
    <row r="595" spans="1:30" x14ac:dyDescent="0.35">
      <c r="A595">
        <v>594</v>
      </c>
      <c r="B595" s="2" t="s">
        <v>58</v>
      </c>
      <c r="C595" t="s">
        <v>537</v>
      </c>
      <c r="D595" t="str">
        <f>_xlfn.TEXTJOIN(" ",TRUE,Table1[[#This Row],[First 
Name]:[Last 
Name]])</f>
        <v>Eric Patton</v>
      </c>
      <c r="E595" t="s">
        <v>1705</v>
      </c>
      <c r="F595" t="s">
        <v>3244</v>
      </c>
      <c r="G595" t="str">
        <f ca="1">PROPER(Table1[[#This Row],[Part Time 
Job]])</f>
        <v>True</v>
      </c>
      <c r="H595" s="3">
        <v>10</v>
      </c>
      <c r="I595" t="str">
        <f ca="1">PROPER(Table1[[#This Row],[Extracurricular 
Activities]])</f>
        <v>False</v>
      </c>
      <c r="J595">
        <v>5</v>
      </c>
      <c r="K595" t="s">
        <v>3119</v>
      </c>
      <c r="L595">
        <v>42</v>
      </c>
      <c r="M595" s="12" t="str" cm="1">
        <f t="array" ref="M595">_xlfn.IFS(Table1[[#This Row],[Math 
Score]]&gt;=90,"A+",Table1[[#This Row],[Math 
Score]]&gt;=80,"A", Table1[[#This Row],[Math 
Score]]&gt;=75,"A-",Table1[[#This Row],[Math 
Score]]&gt;=70,"B+",Table1[[#This Row],[Math 
Score]]&gt;=65,"B",Table1[[#This Row],[Math 
Score]]&gt;=60,"B-",Table1[[#This Row],[Math 
Score]]&gt;=50,"C",Table1[[#This Row],[Math 
Score]]&gt;=40,"D",Table1[[#This Row],[Math 
Score]]&lt;40,"F")</f>
        <v>D</v>
      </c>
      <c r="N595">
        <v>95</v>
      </c>
      <c r="O595" s="13" t="str" cm="1">
        <f t="array" ref="O59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595">
        <v>99</v>
      </c>
      <c r="Q595" s="13" t="str" cm="1">
        <f t="array" ref="Q59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595">
        <v>61</v>
      </c>
      <c r="S595" t="str" cm="1">
        <f t="array" ref="S59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595">
        <v>62</v>
      </c>
      <c r="U595" t="str" cm="1">
        <f t="array" ref="U59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595">
        <v>77</v>
      </c>
      <c r="W595" t="str" cm="1">
        <f t="array" ref="W59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595">
        <v>99</v>
      </c>
      <c r="Y595" t="str" cm="1">
        <f t="array" ref="Y59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595">
        <f>SUM(Table1[[#This Row],[Math 
Score]],Table1[[#This Row],[History 
Score]],Table1[[#This Row],[Physics 
Score]],Table1[[#This Row],[Chemistry 
Score]],Table1[[#This Row],[Biology 
Score]],Table1[[#This Row],[English 
Score]],Table1[[#This Row],[Geography 
Score]])</f>
        <v>535</v>
      </c>
      <c r="AA595" s="3">
        <f>AVERAGE(Table1[[#This Row],[Math 
Score]],Table1[[#This Row],[History 
Score]],Table1[[#This Row],[Physics 
Score]],Table1[[#This Row],[Chemistry 
Score]],Table1[[#This Row],[Biology 
Score]],Table1[[#This Row],[English 
Score]],Table1[[#This Row],[Geography 
Score]])</f>
        <v>76.428571428571431</v>
      </c>
      <c r="AB59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595">
        <f t="shared" si="9"/>
        <v>1578</v>
      </c>
      <c r="AD595" t="str">
        <f>_xlfn.IFS(Table1[[#This Row],[Absence 
Days]]&lt;3,"Excellent",Table1[[#This Row],[Absence 
Days]]&lt;=6,"Good",Table1[[#This Row],[Absence 
Days]]&gt;6,"Poor")</f>
        <v>Poor</v>
      </c>
    </row>
    <row r="596" spans="1:30" x14ac:dyDescent="0.35">
      <c r="A596">
        <v>595</v>
      </c>
      <c r="B596" s="2" t="s">
        <v>97</v>
      </c>
      <c r="C596" t="s">
        <v>783</v>
      </c>
      <c r="D596" t="str">
        <f>_xlfn.TEXTJOIN(" ",TRUE,Table1[[#This Row],[First 
Name]:[Last 
Name]])</f>
        <v>Wendy Warner</v>
      </c>
      <c r="E596" t="s">
        <v>1706</v>
      </c>
      <c r="F596" t="s">
        <v>3245</v>
      </c>
      <c r="G596" t="str">
        <f ca="1">PROPER(Table1[[#This Row],[Part Time 
Job]])</f>
        <v>False</v>
      </c>
      <c r="H596" s="3">
        <v>4</v>
      </c>
      <c r="I596" t="str">
        <f ca="1">PROPER(Table1[[#This Row],[Extracurricular 
Activities]])</f>
        <v>False</v>
      </c>
      <c r="J596">
        <v>31</v>
      </c>
      <c r="K596" t="s">
        <v>3112</v>
      </c>
      <c r="L596">
        <v>80</v>
      </c>
      <c r="M596" s="12" t="str" cm="1">
        <f t="array" ref="M59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596">
        <v>93</v>
      </c>
      <c r="O596" s="13" t="str" cm="1">
        <f t="array" ref="O59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596">
        <v>93</v>
      </c>
      <c r="Q596" s="13" t="str" cm="1">
        <f t="array" ref="Q59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596">
        <v>94</v>
      </c>
      <c r="S596" t="str" cm="1">
        <f t="array" ref="S59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596">
        <v>81</v>
      </c>
      <c r="U596" t="str" cm="1">
        <f t="array" ref="U59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596">
        <v>81</v>
      </c>
      <c r="W596" t="str" cm="1">
        <f t="array" ref="W59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596">
        <v>78</v>
      </c>
      <c r="Y596" t="str" cm="1">
        <f t="array" ref="Y59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596">
        <f>SUM(Table1[[#This Row],[Math 
Score]],Table1[[#This Row],[History 
Score]],Table1[[#This Row],[Physics 
Score]],Table1[[#This Row],[Chemistry 
Score]],Table1[[#This Row],[Biology 
Score]],Table1[[#This Row],[English 
Score]],Table1[[#This Row],[Geography 
Score]])</f>
        <v>600</v>
      </c>
      <c r="AA596" s="3">
        <f>AVERAGE(Table1[[#This Row],[Math 
Score]],Table1[[#This Row],[History 
Score]],Table1[[#This Row],[Physics 
Score]],Table1[[#This Row],[Chemistry 
Score]],Table1[[#This Row],[Biology 
Score]],Table1[[#This Row],[English 
Score]],Table1[[#This Row],[Geography 
Score]])</f>
        <v>85.714285714285708</v>
      </c>
      <c r="AB59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596">
        <f t="shared" si="9"/>
        <v>406</v>
      </c>
      <c r="AD596" t="str">
        <f>_xlfn.IFS(Table1[[#This Row],[Absence 
Days]]&lt;3,"Excellent",Table1[[#This Row],[Absence 
Days]]&lt;=6,"Good",Table1[[#This Row],[Absence 
Days]]&gt;6,"Poor")</f>
        <v>Good</v>
      </c>
    </row>
    <row r="597" spans="1:30" x14ac:dyDescent="0.35">
      <c r="A597">
        <v>596</v>
      </c>
      <c r="B597" s="2" t="s">
        <v>30</v>
      </c>
      <c r="C597" t="s">
        <v>661</v>
      </c>
      <c r="D597" t="str">
        <f>_xlfn.TEXTJOIN(" ",TRUE,Table1[[#This Row],[First 
Name]:[Last 
Name]])</f>
        <v>Timothy Powell</v>
      </c>
      <c r="E597" t="s">
        <v>1707</v>
      </c>
      <c r="F597" t="s">
        <v>3244</v>
      </c>
      <c r="G597" t="str">
        <f ca="1">PROPER(Table1[[#This Row],[Part Time 
Job]])</f>
        <v>False</v>
      </c>
      <c r="H597" s="3">
        <v>4</v>
      </c>
      <c r="I597" t="str">
        <f ca="1">PROPER(Table1[[#This Row],[Extracurricular 
Activities]])</f>
        <v>True</v>
      </c>
      <c r="J597">
        <v>1</v>
      </c>
      <c r="K597" t="s">
        <v>3115</v>
      </c>
      <c r="L597">
        <v>79</v>
      </c>
      <c r="M597" s="12" t="str" cm="1">
        <f t="array" ref="M59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597">
        <v>97</v>
      </c>
      <c r="O597" s="13" t="str" cm="1">
        <f t="array" ref="O59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597">
        <v>100</v>
      </c>
      <c r="Q597" s="13" t="str" cm="1">
        <f t="array" ref="Q59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597">
        <v>94</v>
      </c>
      <c r="S597" t="str" cm="1">
        <f t="array" ref="S59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597">
        <v>65</v>
      </c>
      <c r="U597" t="str" cm="1">
        <f t="array" ref="U59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597">
        <v>62</v>
      </c>
      <c r="W597" t="str" cm="1">
        <f t="array" ref="W59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597">
        <v>76</v>
      </c>
      <c r="Y597" t="str" cm="1">
        <f t="array" ref="Y59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597">
        <f>SUM(Table1[[#This Row],[Math 
Score]],Table1[[#This Row],[History 
Score]],Table1[[#This Row],[Physics 
Score]],Table1[[#This Row],[Chemistry 
Score]],Table1[[#This Row],[Biology 
Score]],Table1[[#This Row],[English 
Score]],Table1[[#This Row],[Geography 
Score]])</f>
        <v>573</v>
      </c>
      <c r="AA597" s="3">
        <f>AVERAGE(Table1[[#This Row],[Math 
Score]],Table1[[#This Row],[History 
Score]],Table1[[#This Row],[Physics 
Score]],Table1[[#This Row],[Chemistry 
Score]],Table1[[#This Row],[Biology 
Score]],Table1[[#This Row],[English 
Score]],Table1[[#This Row],[Geography 
Score]])</f>
        <v>81.857142857142861</v>
      </c>
      <c r="AB59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597">
        <f t="shared" si="9"/>
        <v>864</v>
      </c>
      <c r="AD597" t="str">
        <f>_xlfn.IFS(Table1[[#This Row],[Absence 
Days]]&lt;3,"Excellent",Table1[[#This Row],[Absence 
Days]]&lt;=6,"Good",Table1[[#This Row],[Absence 
Days]]&gt;6,"Poor")</f>
        <v>Good</v>
      </c>
    </row>
    <row r="598" spans="1:30" x14ac:dyDescent="0.35">
      <c r="A598">
        <v>597</v>
      </c>
      <c r="B598" s="2" t="s">
        <v>78</v>
      </c>
      <c r="C598" t="s">
        <v>466</v>
      </c>
      <c r="D598" t="str">
        <f>_xlfn.TEXTJOIN(" ",TRUE,Table1[[#This Row],[First 
Name]:[Last 
Name]])</f>
        <v>Victoria Thompson</v>
      </c>
      <c r="E598" t="s">
        <v>1708</v>
      </c>
      <c r="F598" t="s">
        <v>3245</v>
      </c>
      <c r="G598" t="str">
        <f ca="1">PROPER(Table1[[#This Row],[Part Time 
Job]])</f>
        <v>True</v>
      </c>
      <c r="H598" s="3">
        <v>9</v>
      </c>
      <c r="I598" t="str">
        <f ca="1">PROPER(Table1[[#This Row],[Extracurricular 
Activities]])</f>
        <v>True</v>
      </c>
      <c r="J598">
        <v>4</v>
      </c>
      <c r="K598" t="s">
        <v>3119</v>
      </c>
      <c r="L598">
        <v>43</v>
      </c>
      <c r="M598" s="12" t="str" cm="1">
        <f t="array" ref="M598">_xlfn.IFS(Table1[[#This Row],[Math 
Score]]&gt;=90,"A+",Table1[[#This Row],[Math 
Score]]&gt;=80,"A", Table1[[#This Row],[Math 
Score]]&gt;=75,"A-",Table1[[#This Row],[Math 
Score]]&gt;=70,"B+",Table1[[#This Row],[Math 
Score]]&gt;=65,"B",Table1[[#This Row],[Math 
Score]]&gt;=60,"B-",Table1[[#This Row],[Math 
Score]]&gt;=50,"C",Table1[[#This Row],[Math 
Score]]&gt;=40,"D",Table1[[#This Row],[Math 
Score]]&lt;40,"F")</f>
        <v>D</v>
      </c>
      <c r="N598">
        <v>63</v>
      </c>
      <c r="O598" s="13" t="str" cm="1">
        <f t="array" ref="O59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598">
        <v>91</v>
      </c>
      <c r="Q598" s="13" t="str" cm="1">
        <f t="array" ref="Q59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598">
        <v>67</v>
      </c>
      <c r="S598" t="str" cm="1">
        <f t="array" ref="S59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598">
        <v>74</v>
      </c>
      <c r="U598" t="str" cm="1">
        <f t="array" ref="U59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598">
        <v>71</v>
      </c>
      <c r="W598" t="str" cm="1">
        <f t="array" ref="W59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598">
        <v>88</v>
      </c>
      <c r="Y598" t="str" cm="1">
        <f t="array" ref="Y59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598">
        <f>SUM(Table1[[#This Row],[Math 
Score]],Table1[[#This Row],[History 
Score]],Table1[[#This Row],[Physics 
Score]],Table1[[#This Row],[Chemistry 
Score]],Table1[[#This Row],[Biology 
Score]],Table1[[#This Row],[English 
Score]],Table1[[#This Row],[Geography 
Score]])</f>
        <v>497</v>
      </c>
      <c r="AA598" s="3">
        <f>AVERAGE(Table1[[#This Row],[Math 
Score]],Table1[[#This Row],[History 
Score]],Table1[[#This Row],[Physics 
Score]],Table1[[#This Row],[Chemistry 
Score]],Table1[[#This Row],[Biology 
Score]],Table1[[#This Row],[English 
Score]],Table1[[#This Row],[Geography 
Score]])</f>
        <v>71</v>
      </c>
      <c r="AB59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598">
        <f t="shared" si="9"/>
        <v>1888</v>
      </c>
      <c r="AD598" t="str">
        <f>_xlfn.IFS(Table1[[#This Row],[Absence 
Days]]&lt;3,"Excellent",Table1[[#This Row],[Absence 
Days]]&lt;=6,"Good",Table1[[#This Row],[Absence 
Days]]&gt;6,"Poor")</f>
        <v>Poor</v>
      </c>
    </row>
    <row r="599" spans="1:30" x14ac:dyDescent="0.35">
      <c r="A599">
        <v>598</v>
      </c>
      <c r="B599" s="2" t="s">
        <v>125</v>
      </c>
      <c r="C599" t="s">
        <v>527</v>
      </c>
      <c r="D599" t="str">
        <f>_xlfn.TEXTJOIN(" ",TRUE,Table1[[#This Row],[First 
Name]:[Last 
Name]])</f>
        <v>Jeremy Brown</v>
      </c>
      <c r="E599" t="s">
        <v>1709</v>
      </c>
      <c r="F599" t="s">
        <v>3244</v>
      </c>
      <c r="G599" t="str">
        <f ca="1">PROPER(Table1[[#This Row],[Part Time 
Job]])</f>
        <v>False</v>
      </c>
      <c r="H599" s="3">
        <v>2</v>
      </c>
      <c r="I599" t="str">
        <f ca="1">PROPER(Table1[[#This Row],[Extracurricular 
Activities]])</f>
        <v>True</v>
      </c>
      <c r="J599">
        <v>8</v>
      </c>
      <c r="K599" t="s">
        <v>3128</v>
      </c>
      <c r="L599">
        <v>58</v>
      </c>
      <c r="M599" s="12" t="str" cm="1">
        <f t="array" ref="M599">_xlfn.IFS(Table1[[#This Row],[Math 
Score]]&gt;=90,"A+",Table1[[#This Row],[Math 
Score]]&gt;=80,"A", Table1[[#This Row],[Math 
Score]]&gt;=75,"A-",Table1[[#This Row],[Math 
Score]]&gt;=70,"B+",Table1[[#This Row],[Math 
Score]]&gt;=65,"B",Table1[[#This Row],[Math 
Score]]&gt;=60,"B-",Table1[[#This Row],[Math 
Score]]&gt;=50,"C",Table1[[#This Row],[Math 
Score]]&gt;=40,"D",Table1[[#This Row],[Math 
Score]]&lt;40,"F")</f>
        <v>C</v>
      </c>
      <c r="N599">
        <v>84</v>
      </c>
      <c r="O599" s="13" t="str" cm="1">
        <f t="array" ref="O59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599">
        <v>95</v>
      </c>
      <c r="Q599" s="13" t="str" cm="1">
        <f t="array" ref="Q59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599">
        <v>66</v>
      </c>
      <c r="S599" t="str" cm="1">
        <f t="array" ref="S59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599">
        <v>99</v>
      </c>
      <c r="U599" t="str" cm="1">
        <f t="array" ref="U59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599">
        <v>91</v>
      </c>
      <c r="W599" t="str" cm="1">
        <f t="array" ref="W59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599">
        <v>70</v>
      </c>
      <c r="Y599" t="str" cm="1">
        <f t="array" ref="Y59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599">
        <f>SUM(Table1[[#This Row],[Math 
Score]],Table1[[#This Row],[History 
Score]],Table1[[#This Row],[Physics 
Score]],Table1[[#This Row],[Chemistry 
Score]],Table1[[#This Row],[Biology 
Score]],Table1[[#This Row],[English 
Score]],Table1[[#This Row],[Geography 
Score]])</f>
        <v>563</v>
      </c>
      <c r="AA599" s="3">
        <f>AVERAGE(Table1[[#This Row],[Math 
Score]],Table1[[#This Row],[History 
Score]],Table1[[#This Row],[Physics 
Score]],Table1[[#This Row],[Chemistry 
Score]],Table1[[#This Row],[Biology 
Score]],Table1[[#This Row],[English 
Score]],Table1[[#This Row],[Geography 
Score]])</f>
        <v>80.428571428571431</v>
      </c>
      <c r="AB59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599">
        <f t="shared" si="9"/>
        <v>1077</v>
      </c>
      <c r="AD599" t="str">
        <f>_xlfn.IFS(Table1[[#This Row],[Absence 
Days]]&lt;3,"Excellent",Table1[[#This Row],[Absence 
Days]]&lt;=6,"Good",Table1[[#This Row],[Absence 
Days]]&gt;6,"Poor")</f>
        <v>Excellent</v>
      </c>
    </row>
    <row r="600" spans="1:30" x14ac:dyDescent="0.35">
      <c r="A600">
        <v>599</v>
      </c>
      <c r="B600" s="2" t="s">
        <v>175</v>
      </c>
      <c r="C600" t="s">
        <v>575</v>
      </c>
      <c r="D600" t="str">
        <f>_xlfn.TEXTJOIN(" ",TRUE,Table1[[#This Row],[First 
Name]:[Last 
Name]])</f>
        <v>Barbara Schneider</v>
      </c>
      <c r="E600" t="s">
        <v>1710</v>
      </c>
      <c r="F600" t="s">
        <v>3245</v>
      </c>
      <c r="G600" t="str">
        <f ca="1">PROPER(Table1[[#This Row],[Part Time 
Job]])</f>
        <v>False</v>
      </c>
      <c r="H600" s="3">
        <v>3</v>
      </c>
      <c r="I600" t="str">
        <f ca="1">PROPER(Table1[[#This Row],[Extracurricular 
Activities]])</f>
        <v>True</v>
      </c>
      <c r="J600">
        <v>23</v>
      </c>
      <c r="K600" t="s">
        <v>3123</v>
      </c>
      <c r="L600">
        <v>86</v>
      </c>
      <c r="M600" s="12" t="str" cm="1">
        <f t="array" ref="M60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600">
        <v>73</v>
      </c>
      <c r="O600" s="13" t="str" cm="1">
        <f t="array" ref="O60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600">
        <v>83</v>
      </c>
      <c r="Q600" s="13" t="str" cm="1">
        <f t="array" ref="Q60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600">
        <v>93</v>
      </c>
      <c r="S600" t="str" cm="1">
        <f t="array" ref="S60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600">
        <v>46</v>
      </c>
      <c r="U600" t="str" cm="1">
        <f t="array" ref="U60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D</v>
      </c>
      <c r="V600">
        <v>91</v>
      </c>
      <c r="W600" t="str" cm="1">
        <f t="array" ref="W60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600">
        <v>70</v>
      </c>
      <c r="Y600" t="str" cm="1">
        <f t="array" ref="Y60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600">
        <f>SUM(Table1[[#This Row],[Math 
Score]],Table1[[#This Row],[History 
Score]],Table1[[#This Row],[Physics 
Score]],Table1[[#This Row],[Chemistry 
Score]],Table1[[#This Row],[Biology 
Score]],Table1[[#This Row],[English 
Score]],Table1[[#This Row],[Geography 
Score]])</f>
        <v>542</v>
      </c>
      <c r="AA600" s="3">
        <f>AVERAGE(Table1[[#This Row],[Math 
Score]],Table1[[#This Row],[History 
Score]],Table1[[#This Row],[Physics 
Score]],Table1[[#This Row],[Chemistry 
Score]],Table1[[#This Row],[Biology 
Score]],Table1[[#This Row],[English 
Score]],Table1[[#This Row],[Geography 
Score]])</f>
        <v>77.428571428571431</v>
      </c>
      <c r="AB60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600">
        <f t="shared" si="9"/>
        <v>1478</v>
      </c>
      <c r="AD600" t="str">
        <f>_xlfn.IFS(Table1[[#This Row],[Absence 
Days]]&lt;3,"Excellent",Table1[[#This Row],[Absence 
Days]]&lt;=6,"Good",Table1[[#This Row],[Absence 
Days]]&gt;6,"Poor")</f>
        <v>Good</v>
      </c>
    </row>
    <row r="601" spans="1:30" x14ac:dyDescent="0.35">
      <c r="A601">
        <v>600</v>
      </c>
      <c r="B601" s="2" t="s">
        <v>48</v>
      </c>
      <c r="C601" t="s">
        <v>784</v>
      </c>
      <c r="D601" t="str">
        <f>_xlfn.TEXTJOIN(" ",TRUE,Table1[[#This Row],[First 
Name]:[Last 
Name]])</f>
        <v>Lindsay Morales</v>
      </c>
      <c r="E601" t="s">
        <v>1711</v>
      </c>
      <c r="F601" t="s">
        <v>3245</v>
      </c>
      <c r="G601" t="str">
        <f ca="1">PROPER(Table1[[#This Row],[Part Time 
Job]])</f>
        <v>False</v>
      </c>
      <c r="H601" s="3">
        <v>1</v>
      </c>
      <c r="I601" t="str">
        <f ca="1">PROPER(Table1[[#This Row],[Extracurricular 
Activities]])</f>
        <v>False</v>
      </c>
      <c r="J601">
        <v>23</v>
      </c>
      <c r="K601" t="s">
        <v>3113</v>
      </c>
      <c r="L601">
        <v>96</v>
      </c>
      <c r="M601" s="12" t="str" cm="1">
        <f t="array" ref="M60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601">
        <v>91</v>
      </c>
      <c r="O601" s="13" t="str" cm="1">
        <f t="array" ref="O60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601">
        <v>97</v>
      </c>
      <c r="Q601" s="13" t="str" cm="1">
        <f t="array" ref="Q60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601">
        <v>84</v>
      </c>
      <c r="S601" t="str" cm="1">
        <f t="array" ref="S60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601">
        <v>89</v>
      </c>
      <c r="U601" t="str" cm="1">
        <f t="array" ref="U60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601">
        <v>82</v>
      </c>
      <c r="W601" t="str" cm="1">
        <f t="array" ref="W60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601">
        <v>75</v>
      </c>
      <c r="Y601" t="str" cm="1">
        <f t="array" ref="Y60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601">
        <f>SUM(Table1[[#This Row],[Math 
Score]],Table1[[#This Row],[History 
Score]],Table1[[#This Row],[Physics 
Score]],Table1[[#This Row],[Chemistry 
Score]],Table1[[#This Row],[Biology 
Score]],Table1[[#This Row],[English 
Score]],Table1[[#This Row],[Geography 
Score]])</f>
        <v>614</v>
      </c>
      <c r="AA601" s="3">
        <f>AVERAGE(Table1[[#This Row],[Math 
Score]],Table1[[#This Row],[History 
Score]],Table1[[#This Row],[Physics 
Score]],Table1[[#This Row],[Chemistry 
Score]],Table1[[#This Row],[Biology 
Score]],Table1[[#This Row],[English 
Score]],Table1[[#This Row],[Geography 
Score]])</f>
        <v>87.714285714285708</v>
      </c>
      <c r="AB60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601">
        <f t="shared" si="9"/>
        <v>260</v>
      </c>
      <c r="AD601" t="str">
        <f>_xlfn.IFS(Table1[[#This Row],[Absence 
Days]]&lt;3,"Excellent",Table1[[#This Row],[Absence 
Days]]&lt;=6,"Good",Table1[[#This Row],[Absence 
Days]]&gt;6,"Poor")</f>
        <v>Excellent</v>
      </c>
    </row>
    <row r="602" spans="1:30" x14ac:dyDescent="0.35">
      <c r="A602">
        <v>601</v>
      </c>
      <c r="B602" s="2" t="s">
        <v>202</v>
      </c>
      <c r="C602" t="s">
        <v>557</v>
      </c>
      <c r="D602" t="str">
        <f>_xlfn.TEXTJOIN(" ",TRUE,Table1[[#This Row],[First 
Name]:[Last 
Name]])</f>
        <v>Gary Patel</v>
      </c>
      <c r="E602" t="s">
        <v>1712</v>
      </c>
      <c r="F602" t="s">
        <v>3244</v>
      </c>
      <c r="G602" t="str">
        <f ca="1">PROPER(Table1[[#This Row],[Part Time 
Job]])</f>
        <v>False</v>
      </c>
      <c r="H602" s="3">
        <v>1</v>
      </c>
      <c r="I602" t="str">
        <f ca="1">PROPER(Table1[[#This Row],[Extracurricular 
Activities]])</f>
        <v>False</v>
      </c>
      <c r="J602">
        <v>28</v>
      </c>
      <c r="K602" t="s">
        <v>3112</v>
      </c>
      <c r="L602">
        <v>91</v>
      </c>
      <c r="M602" s="12" t="str" cm="1">
        <f t="array" ref="M60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602">
        <v>88</v>
      </c>
      <c r="O602" s="13" t="str" cm="1">
        <f t="array" ref="O60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602">
        <v>98</v>
      </c>
      <c r="Q602" s="13" t="str" cm="1">
        <f t="array" ref="Q60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602">
        <v>89</v>
      </c>
      <c r="S602" t="str" cm="1">
        <f t="array" ref="S60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602">
        <v>75</v>
      </c>
      <c r="U602" t="str" cm="1">
        <f t="array" ref="U60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602">
        <v>91</v>
      </c>
      <c r="W602" t="str" cm="1">
        <f t="array" ref="W60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602">
        <v>92</v>
      </c>
      <c r="Y602" t="str" cm="1">
        <f t="array" ref="Y60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602">
        <f>SUM(Table1[[#This Row],[Math 
Score]],Table1[[#This Row],[History 
Score]],Table1[[#This Row],[Physics 
Score]],Table1[[#This Row],[Chemistry 
Score]],Table1[[#This Row],[Biology 
Score]],Table1[[#This Row],[English 
Score]],Table1[[#This Row],[Geography 
Score]])</f>
        <v>624</v>
      </c>
      <c r="AA602" s="3">
        <f>AVERAGE(Table1[[#This Row],[Math 
Score]],Table1[[#This Row],[History 
Score]],Table1[[#This Row],[Physics 
Score]],Table1[[#This Row],[Chemistry 
Score]],Table1[[#This Row],[Biology 
Score]],Table1[[#This Row],[English 
Score]],Table1[[#This Row],[Geography 
Score]])</f>
        <v>89.142857142857139</v>
      </c>
      <c r="AB60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602">
        <f t="shared" si="9"/>
        <v>194</v>
      </c>
      <c r="AD602" t="str">
        <f>_xlfn.IFS(Table1[[#This Row],[Absence 
Days]]&lt;3,"Excellent",Table1[[#This Row],[Absence 
Days]]&lt;=6,"Good",Table1[[#This Row],[Absence 
Days]]&gt;6,"Poor")</f>
        <v>Excellent</v>
      </c>
    </row>
    <row r="603" spans="1:30" x14ac:dyDescent="0.35">
      <c r="A603">
        <v>602</v>
      </c>
      <c r="B603" s="2" t="s">
        <v>54</v>
      </c>
      <c r="C603" t="s">
        <v>785</v>
      </c>
      <c r="D603" t="str">
        <f>_xlfn.TEXTJOIN(" ",TRUE,Table1[[#This Row],[First 
Name]:[Last 
Name]])</f>
        <v>Michelle Ortiz</v>
      </c>
      <c r="E603" t="s">
        <v>1713</v>
      </c>
      <c r="F603" t="s">
        <v>3245</v>
      </c>
      <c r="G603" t="str">
        <f ca="1">PROPER(Table1[[#This Row],[Part Time 
Job]])</f>
        <v>False</v>
      </c>
      <c r="H603" s="3">
        <v>1</v>
      </c>
      <c r="I603" t="str">
        <f ca="1">PROPER(Table1[[#This Row],[Extracurricular 
Activities]])</f>
        <v>False</v>
      </c>
      <c r="J603">
        <v>7</v>
      </c>
      <c r="K603" t="s">
        <v>3116</v>
      </c>
      <c r="L603">
        <v>85</v>
      </c>
      <c r="M603" s="12" t="str" cm="1">
        <f t="array" ref="M60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603">
        <v>62</v>
      </c>
      <c r="O603" s="13" t="str" cm="1">
        <f t="array" ref="O60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603">
        <v>77</v>
      </c>
      <c r="Q603" s="13" t="str" cm="1">
        <f t="array" ref="Q60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603">
        <v>62</v>
      </c>
      <c r="S603" t="str" cm="1">
        <f t="array" ref="S60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603">
        <v>80</v>
      </c>
      <c r="U603" t="str" cm="1">
        <f t="array" ref="U60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603">
        <v>88</v>
      </c>
      <c r="W603" t="str" cm="1">
        <f t="array" ref="W60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603">
        <v>83</v>
      </c>
      <c r="Y603" t="str" cm="1">
        <f t="array" ref="Y60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603">
        <f>SUM(Table1[[#This Row],[Math 
Score]],Table1[[#This Row],[History 
Score]],Table1[[#This Row],[Physics 
Score]],Table1[[#This Row],[Chemistry 
Score]],Table1[[#This Row],[Biology 
Score]],Table1[[#This Row],[English 
Score]],Table1[[#This Row],[Geography 
Score]])</f>
        <v>537</v>
      </c>
      <c r="AA603" s="3">
        <f>AVERAGE(Table1[[#This Row],[Math 
Score]],Table1[[#This Row],[History 
Score]],Table1[[#This Row],[Physics 
Score]],Table1[[#This Row],[Chemistry 
Score]],Table1[[#This Row],[Biology 
Score]],Table1[[#This Row],[English 
Score]],Table1[[#This Row],[Geography 
Score]])</f>
        <v>76.714285714285708</v>
      </c>
      <c r="AB60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603">
        <f t="shared" si="9"/>
        <v>1553</v>
      </c>
      <c r="AD603" t="str">
        <f>_xlfn.IFS(Table1[[#This Row],[Absence 
Days]]&lt;3,"Excellent",Table1[[#This Row],[Absence 
Days]]&lt;=6,"Good",Table1[[#This Row],[Absence 
Days]]&gt;6,"Poor")</f>
        <v>Excellent</v>
      </c>
    </row>
    <row r="604" spans="1:30" x14ac:dyDescent="0.35">
      <c r="A604">
        <v>603</v>
      </c>
      <c r="B604" s="2" t="s">
        <v>229</v>
      </c>
      <c r="C604" t="s">
        <v>786</v>
      </c>
      <c r="D604" t="str">
        <f>_xlfn.TEXTJOIN(" ",TRUE,Table1[[#This Row],[First 
Name]:[Last 
Name]])</f>
        <v>Susan Lynch</v>
      </c>
      <c r="E604" t="s">
        <v>1714</v>
      </c>
      <c r="F604" t="s">
        <v>3245</v>
      </c>
      <c r="G604" t="str">
        <f ca="1">PROPER(Table1[[#This Row],[Part Time 
Job]])</f>
        <v>False</v>
      </c>
      <c r="H604" s="3">
        <v>0</v>
      </c>
      <c r="I604" t="str">
        <f ca="1">PROPER(Table1[[#This Row],[Extracurricular 
Activities]])</f>
        <v>False</v>
      </c>
      <c r="J604">
        <v>5</v>
      </c>
      <c r="K604" t="s">
        <v>3115</v>
      </c>
      <c r="L604">
        <v>87</v>
      </c>
      <c r="M604" s="12" t="str" cm="1">
        <f t="array" ref="M60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604">
        <v>91</v>
      </c>
      <c r="O604" s="13" t="str" cm="1">
        <f t="array" ref="O60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604">
        <v>93</v>
      </c>
      <c r="Q604" s="13" t="str" cm="1">
        <f t="array" ref="Q60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604">
        <v>92</v>
      </c>
      <c r="S604" t="str" cm="1">
        <f t="array" ref="S60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604">
        <v>97</v>
      </c>
      <c r="U604" t="str" cm="1">
        <f t="array" ref="U60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604">
        <v>95</v>
      </c>
      <c r="W604" t="str" cm="1">
        <f t="array" ref="W60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604">
        <v>99</v>
      </c>
      <c r="Y604" t="str" cm="1">
        <f t="array" ref="Y60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604">
        <f>SUM(Table1[[#This Row],[Math 
Score]],Table1[[#This Row],[History 
Score]],Table1[[#This Row],[Physics 
Score]],Table1[[#This Row],[Chemistry 
Score]],Table1[[#This Row],[Biology 
Score]],Table1[[#This Row],[English 
Score]],Table1[[#This Row],[Geography 
Score]])</f>
        <v>654</v>
      </c>
      <c r="AA604" s="3">
        <f>AVERAGE(Table1[[#This Row],[Math 
Score]],Table1[[#This Row],[History 
Score]],Table1[[#This Row],[Physics 
Score]],Table1[[#This Row],[Chemistry 
Score]],Table1[[#This Row],[Biology 
Score]],Table1[[#This Row],[English 
Score]],Table1[[#This Row],[Geography 
Score]])</f>
        <v>93.428571428571431</v>
      </c>
      <c r="AB60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604">
        <f t="shared" si="9"/>
        <v>37</v>
      </c>
      <c r="AD604" t="str">
        <f>_xlfn.IFS(Table1[[#This Row],[Absence 
Days]]&lt;3,"Excellent",Table1[[#This Row],[Absence 
Days]]&lt;=6,"Good",Table1[[#This Row],[Absence 
Days]]&gt;6,"Poor")</f>
        <v>Excellent</v>
      </c>
    </row>
    <row r="605" spans="1:30" x14ac:dyDescent="0.35">
      <c r="A605">
        <v>604</v>
      </c>
      <c r="B605" s="2" t="s">
        <v>144</v>
      </c>
      <c r="C605" t="s">
        <v>593</v>
      </c>
      <c r="D605" t="str">
        <f>_xlfn.TEXTJOIN(" ",TRUE,Table1[[#This Row],[First 
Name]:[Last 
Name]])</f>
        <v>Tammy Hernandez</v>
      </c>
      <c r="E605" t="s">
        <v>1715</v>
      </c>
      <c r="F605" t="s">
        <v>3245</v>
      </c>
      <c r="G605" t="str">
        <f ca="1">PROPER(Table1[[#This Row],[Part Time 
Job]])</f>
        <v>False</v>
      </c>
      <c r="H605" s="3">
        <v>2</v>
      </c>
      <c r="I605" t="str">
        <f ca="1">PROPER(Table1[[#This Row],[Extracurricular 
Activities]])</f>
        <v>False</v>
      </c>
      <c r="J605">
        <v>4</v>
      </c>
      <c r="K605" t="s">
        <v>3116</v>
      </c>
      <c r="L605">
        <v>60</v>
      </c>
      <c r="M605" s="12" t="str" cm="1">
        <f t="array" ref="M605">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605">
        <v>91</v>
      </c>
      <c r="O605" s="13" t="str" cm="1">
        <f t="array" ref="O60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605">
        <v>85</v>
      </c>
      <c r="Q605" s="13" t="str" cm="1">
        <f t="array" ref="Q60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605">
        <v>67</v>
      </c>
      <c r="S605" t="str" cm="1">
        <f t="array" ref="S60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605">
        <v>98</v>
      </c>
      <c r="U605" t="str" cm="1">
        <f t="array" ref="U60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605">
        <v>61</v>
      </c>
      <c r="W605" t="str" cm="1">
        <f t="array" ref="W60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605">
        <v>64</v>
      </c>
      <c r="Y605" t="str" cm="1">
        <f t="array" ref="Y60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605">
        <f>SUM(Table1[[#This Row],[Math 
Score]],Table1[[#This Row],[History 
Score]],Table1[[#This Row],[Physics 
Score]],Table1[[#This Row],[Chemistry 
Score]],Table1[[#This Row],[Biology 
Score]],Table1[[#This Row],[English 
Score]],Table1[[#This Row],[Geography 
Score]])</f>
        <v>526</v>
      </c>
      <c r="AA605" s="3">
        <f>AVERAGE(Table1[[#This Row],[Math 
Score]],Table1[[#This Row],[History 
Score]],Table1[[#This Row],[Physics 
Score]],Table1[[#This Row],[Chemistry 
Score]],Table1[[#This Row],[Biology 
Score]],Table1[[#This Row],[English 
Score]],Table1[[#This Row],[Geography 
Score]])</f>
        <v>75.142857142857139</v>
      </c>
      <c r="AB60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605">
        <f t="shared" si="9"/>
        <v>1688</v>
      </c>
      <c r="AD605" t="str">
        <f>_xlfn.IFS(Table1[[#This Row],[Absence 
Days]]&lt;3,"Excellent",Table1[[#This Row],[Absence 
Days]]&lt;=6,"Good",Table1[[#This Row],[Absence 
Days]]&gt;6,"Poor")</f>
        <v>Excellent</v>
      </c>
    </row>
    <row r="606" spans="1:30" x14ac:dyDescent="0.35">
      <c r="A606">
        <v>605</v>
      </c>
      <c r="B606" s="2" t="s">
        <v>50</v>
      </c>
      <c r="C606" t="s">
        <v>787</v>
      </c>
      <c r="D606" t="str">
        <f>_xlfn.TEXTJOIN(" ",TRUE,Table1[[#This Row],[First 
Name]:[Last 
Name]])</f>
        <v>Jennifer Guerra</v>
      </c>
      <c r="E606" t="s">
        <v>1716</v>
      </c>
      <c r="F606" t="s">
        <v>3245</v>
      </c>
      <c r="G606" t="str">
        <f ca="1">PROPER(Table1[[#This Row],[Part Time 
Job]])</f>
        <v>False</v>
      </c>
      <c r="H606" s="3">
        <v>2</v>
      </c>
      <c r="I606" t="str">
        <f ca="1">PROPER(Table1[[#This Row],[Extracurricular 
Activities]])</f>
        <v>False</v>
      </c>
      <c r="J606">
        <v>26</v>
      </c>
      <c r="K606" t="s">
        <v>3116</v>
      </c>
      <c r="L606">
        <v>76</v>
      </c>
      <c r="M606" s="12" t="str" cm="1">
        <f t="array" ref="M60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606">
        <v>85</v>
      </c>
      <c r="O606" s="13" t="str" cm="1">
        <f t="array" ref="O60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606">
        <v>67</v>
      </c>
      <c r="Q606" s="13" t="str" cm="1">
        <f t="array" ref="Q60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606">
        <v>60</v>
      </c>
      <c r="S606" t="str" cm="1">
        <f t="array" ref="S60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606">
        <v>100</v>
      </c>
      <c r="U606" t="str" cm="1">
        <f t="array" ref="U60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606">
        <v>63</v>
      </c>
      <c r="W606" t="str" cm="1">
        <f t="array" ref="W60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606">
        <v>64</v>
      </c>
      <c r="Y606" t="str" cm="1">
        <f t="array" ref="Y60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606">
        <f>SUM(Table1[[#This Row],[Math 
Score]],Table1[[#This Row],[History 
Score]],Table1[[#This Row],[Physics 
Score]],Table1[[#This Row],[Chemistry 
Score]],Table1[[#This Row],[Biology 
Score]],Table1[[#This Row],[English 
Score]],Table1[[#This Row],[Geography 
Score]])</f>
        <v>515</v>
      </c>
      <c r="AA606" s="3">
        <f>AVERAGE(Table1[[#This Row],[Math 
Score]],Table1[[#This Row],[History 
Score]],Table1[[#This Row],[Physics 
Score]],Table1[[#This Row],[Chemistry 
Score]],Table1[[#This Row],[Biology 
Score]],Table1[[#This Row],[English 
Score]],Table1[[#This Row],[Geography 
Score]])</f>
        <v>73.571428571428569</v>
      </c>
      <c r="AB60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606">
        <f t="shared" si="9"/>
        <v>1798</v>
      </c>
      <c r="AD606" t="str">
        <f>_xlfn.IFS(Table1[[#This Row],[Absence 
Days]]&lt;3,"Excellent",Table1[[#This Row],[Absence 
Days]]&lt;=6,"Good",Table1[[#This Row],[Absence 
Days]]&gt;6,"Poor")</f>
        <v>Excellent</v>
      </c>
    </row>
    <row r="607" spans="1:30" x14ac:dyDescent="0.35">
      <c r="A607">
        <v>606</v>
      </c>
      <c r="B607" s="2" t="s">
        <v>5</v>
      </c>
      <c r="C607" t="s">
        <v>788</v>
      </c>
      <c r="D607" t="str">
        <f>_xlfn.TEXTJOIN(" ",TRUE,Table1[[#This Row],[First 
Name]:[Last 
Name]])</f>
        <v>Kelly Schwartz</v>
      </c>
      <c r="E607" t="s">
        <v>1717</v>
      </c>
      <c r="F607" t="s">
        <v>3245</v>
      </c>
      <c r="G607" t="str">
        <f ca="1">PROPER(Table1[[#This Row],[Part Time 
Job]])</f>
        <v>False</v>
      </c>
      <c r="H607" s="3">
        <v>4</v>
      </c>
      <c r="I607" t="str">
        <f ca="1">PROPER(Table1[[#This Row],[Extracurricular 
Activities]])</f>
        <v>True</v>
      </c>
      <c r="J607">
        <v>33</v>
      </c>
      <c r="K607" t="s">
        <v>3112</v>
      </c>
      <c r="L607">
        <v>84</v>
      </c>
      <c r="M607" s="12" t="str" cm="1">
        <f t="array" ref="M60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607">
        <v>89</v>
      </c>
      <c r="O607" s="13" t="str" cm="1">
        <f t="array" ref="O60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607">
        <v>74</v>
      </c>
      <c r="Q607" s="13" t="str" cm="1">
        <f t="array" ref="Q60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607">
        <v>79</v>
      </c>
      <c r="S607" t="str" cm="1">
        <f t="array" ref="S60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607">
        <v>86</v>
      </c>
      <c r="U607" t="str" cm="1">
        <f t="array" ref="U60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607">
        <v>93</v>
      </c>
      <c r="W607" t="str" cm="1">
        <f t="array" ref="W60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607">
        <v>95</v>
      </c>
      <c r="Y607" t="str" cm="1">
        <f t="array" ref="Y60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607">
        <f>SUM(Table1[[#This Row],[Math 
Score]],Table1[[#This Row],[History 
Score]],Table1[[#This Row],[Physics 
Score]],Table1[[#This Row],[Chemistry 
Score]],Table1[[#This Row],[Biology 
Score]],Table1[[#This Row],[English 
Score]],Table1[[#This Row],[Geography 
Score]])</f>
        <v>600</v>
      </c>
      <c r="AA607" s="3">
        <f>AVERAGE(Table1[[#This Row],[Math 
Score]],Table1[[#This Row],[History 
Score]],Table1[[#This Row],[Physics 
Score]],Table1[[#This Row],[Chemistry 
Score]],Table1[[#This Row],[Biology 
Score]],Table1[[#This Row],[English 
Score]],Table1[[#This Row],[Geography 
Score]])</f>
        <v>85.714285714285708</v>
      </c>
      <c r="AB60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607">
        <f t="shared" si="9"/>
        <v>406</v>
      </c>
      <c r="AD607" t="str">
        <f>_xlfn.IFS(Table1[[#This Row],[Absence 
Days]]&lt;3,"Excellent",Table1[[#This Row],[Absence 
Days]]&lt;=6,"Good",Table1[[#This Row],[Absence 
Days]]&gt;6,"Poor")</f>
        <v>Good</v>
      </c>
    </row>
    <row r="608" spans="1:30" x14ac:dyDescent="0.35">
      <c r="A608">
        <v>607</v>
      </c>
      <c r="B608" s="2" t="s">
        <v>55</v>
      </c>
      <c r="C608" t="s">
        <v>789</v>
      </c>
      <c r="D608" t="str">
        <f>_xlfn.TEXTJOIN(" ",TRUE,Table1[[#This Row],[First 
Name]:[Last 
Name]])</f>
        <v>Brittany Orozco</v>
      </c>
      <c r="E608" t="s">
        <v>1718</v>
      </c>
      <c r="F608" t="s">
        <v>3245</v>
      </c>
      <c r="G608" t="str">
        <f ca="1">PROPER(Table1[[#This Row],[Part Time 
Job]])</f>
        <v>False</v>
      </c>
      <c r="H608" s="3">
        <v>4</v>
      </c>
      <c r="I608" t="str">
        <f ca="1">PROPER(Table1[[#This Row],[Extracurricular 
Activities]])</f>
        <v>True</v>
      </c>
      <c r="J608">
        <v>34</v>
      </c>
      <c r="K608" t="s">
        <v>3112</v>
      </c>
      <c r="L608">
        <v>87</v>
      </c>
      <c r="M608" s="12" t="str" cm="1">
        <f t="array" ref="M60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608">
        <v>94</v>
      </c>
      <c r="O608" s="13" t="str" cm="1">
        <f t="array" ref="O60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608">
        <v>74</v>
      </c>
      <c r="Q608" s="13" t="str" cm="1">
        <f t="array" ref="Q60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608">
        <v>84</v>
      </c>
      <c r="S608" t="str" cm="1">
        <f t="array" ref="S60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608">
        <v>77</v>
      </c>
      <c r="U608" t="str" cm="1">
        <f t="array" ref="U60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608">
        <v>82</v>
      </c>
      <c r="W608" t="str" cm="1">
        <f t="array" ref="W60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608">
        <v>85</v>
      </c>
      <c r="Y608" t="str" cm="1">
        <f t="array" ref="Y60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608">
        <f>SUM(Table1[[#This Row],[Math 
Score]],Table1[[#This Row],[History 
Score]],Table1[[#This Row],[Physics 
Score]],Table1[[#This Row],[Chemistry 
Score]],Table1[[#This Row],[Biology 
Score]],Table1[[#This Row],[English 
Score]],Table1[[#This Row],[Geography 
Score]])</f>
        <v>583</v>
      </c>
      <c r="AA608" s="3">
        <f>AVERAGE(Table1[[#This Row],[Math 
Score]],Table1[[#This Row],[History 
Score]],Table1[[#This Row],[Physics 
Score]],Table1[[#This Row],[Chemistry 
Score]],Table1[[#This Row],[Biology 
Score]],Table1[[#This Row],[English 
Score]],Table1[[#This Row],[Geography 
Score]])</f>
        <v>83.285714285714292</v>
      </c>
      <c r="AB60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608">
        <f t="shared" si="9"/>
        <v>655</v>
      </c>
      <c r="AD608" t="str">
        <f>_xlfn.IFS(Table1[[#This Row],[Absence 
Days]]&lt;3,"Excellent",Table1[[#This Row],[Absence 
Days]]&lt;=6,"Good",Table1[[#This Row],[Absence 
Days]]&gt;6,"Poor")</f>
        <v>Good</v>
      </c>
    </row>
    <row r="609" spans="1:30" x14ac:dyDescent="0.35">
      <c r="A609">
        <v>608</v>
      </c>
      <c r="B609" s="2" t="s">
        <v>146</v>
      </c>
      <c r="C609" t="s">
        <v>754</v>
      </c>
      <c r="D609" t="str">
        <f>_xlfn.TEXTJOIN(" ",TRUE,Table1[[#This Row],[First 
Name]:[Last 
Name]])</f>
        <v>Samantha Alvarado</v>
      </c>
      <c r="E609" t="s">
        <v>1719</v>
      </c>
      <c r="F609" t="s">
        <v>3245</v>
      </c>
      <c r="G609" t="str">
        <f ca="1">PROPER(Table1[[#This Row],[Part Time 
Job]])</f>
        <v>True</v>
      </c>
      <c r="H609" s="3">
        <v>4</v>
      </c>
      <c r="I609" t="str">
        <f ca="1">PROPER(Table1[[#This Row],[Extracurricular 
Activities]])</f>
        <v>False</v>
      </c>
      <c r="J609">
        <v>16</v>
      </c>
      <c r="K609" t="s">
        <v>3123</v>
      </c>
      <c r="L609">
        <v>82</v>
      </c>
      <c r="M609" s="12" t="str" cm="1">
        <f t="array" ref="M60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609">
        <v>79</v>
      </c>
      <c r="O609" s="13" t="str" cm="1">
        <f t="array" ref="O60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609">
        <v>64</v>
      </c>
      <c r="Q609" s="13" t="str" cm="1">
        <f t="array" ref="Q60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609">
        <v>75</v>
      </c>
      <c r="S609" t="str" cm="1">
        <f t="array" ref="S60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609">
        <v>93</v>
      </c>
      <c r="U609" t="str" cm="1">
        <f t="array" ref="U60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609">
        <v>82</v>
      </c>
      <c r="W609" t="str" cm="1">
        <f t="array" ref="W60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609">
        <v>60</v>
      </c>
      <c r="Y609" t="str" cm="1">
        <f t="array" ref="Y60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609">
        <f>SUM(Table1[[#This Row],[Math 
Score]],Table1[[#This Row],[History 
Score]],Table1[[#This Row],[Physics 
Score]],Table1[[#This Row],[Chemistry 
Score]],Table1[[#This Row],[Biology 
Score]],Table1[[#This Row],[English 
Score]],Table1[[#This Row],[Geography 
Score]])</f>
        <v>535</v>
      </c>
      <c r="AA609" s="3">
        <f>AVERAGE(Table1[[#This Row],[Math 
Score]],Table1[[#This Row],[History 
Score]],Table1[[#This Row],[Physics 
Score]],Table1[[#This Row],[Chemistry 
Score]],Table1[[#This Row],[Biology 
Score]],Table1[[#This Row],[English 
Score]],Table1[[#This Row],[Geography 
Score]])</f>
        <v>76.428571428571431</v>
      </c>
      <c r="AB60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609">
        <f t="shared" si="9"/>
        <v>1578</v>
      </c>
      <c r="AD609" t="str">
        <f>_xlfn.IFS(Table1[[#This Row],[Absence 
Days]]&lt;3,"Excellent",Table1[[#This Row],[Absence 
Days]]&lt;=6,"Good",Table1[[#This Row],[Absence 
Days]]&gt;6,"Poor")</f>
        <v>Good</v>
      </c>
    </row>
    <row r="610" spans="1:30" x14ac:dyDescent="0.35">
      <c r="A610">
        <v>609</v>
      </c>
      <c r="B610" s="2" t="s">
        <v>36</v>
      </c>
      <c r="C610" t="s">
        <v>673</v>
      </c>
      <c r="D610" t="str">
        <f>_xlfn.TEXTJOIN(" ",TRUE,Table1[[#This Row],[First 
Name]:[Last 
Name]])</f>
        <v>Christopher Anderson</v>
      </c>
      <c r="E610" t="s">
        <v>1720</v>
      </c>
      <c r="F610" t="s">
        <v>3244</v>
      </c>
      <c r="G610" t="str">
        <f ca="1">PROPER(Table1[[#This Row],[Part Time 
Job]])</f>
        <v>False</v>
      </c>
      <c r="H610" s="3">
        <v>4</v>
      </c>
      <c r="I610" t="str">
        <f ca="1">PROPER(Table1[[#This Row],[Extracurricular 
Activities]])</f>
        <v>False</v>
      </c>
      <c r="J610">
        <v>3</v>
      </c>
      <c r="K610" t="s">
        <v>3119</v>
      </c>
      <c r="L610">
        <v>64</v>
      </c>
      <c r="M610" s="12" t="str" cm="1">
        <f t="array" ref="M610">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610">
        <v>61</v>
      </c>
      <c r="O610" s="13" t="str" cm="1">
        <f t="array" ref="O61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610">
        <v>73</v>
      </c>
      <c r="Q610" s="13" t="str" cm="1">
        <f t="array" ref="Q61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610">
        <v>70</v>
      </c>
      <c r="S610" t="str" cm="1">
        <f t="array" ref="S61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610">
        <v>87</v>
      </c>
      <c r="U610" t="str" cm="1">
        <f t="array" ref="U61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610">
        <v>75</v>
      </c>
      <c r="W610" t="str" cm="1">
        <f t="array" ref="W61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610">
        <v>100</v>
      </c>
      <c r="Y610" t="str" cm="1">
        <f t="array" ref="Y61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610">
        <f>SUM(Table1[[#This Row],[Math 
Score]],Table1[[#This Row],[History 
Score]],Table1[[#This Row],[Physics 
Score]],Table1[[#This Row],[Chemistry 
Score]],Table1[[#This Row],[Biology 
Score]],Table1[[#This Row],[English 
Score]],Table1[[#This Row],[Geography 
Score]])</f>
        <v>530</v>
      </c>
      <c r="AA610" s="3">
        <f>AVERAGE(Table1[[#This Row],[Math 
Score]],Table1[[#This Row],[History 
Score]],Table1[[#This Row],[Physics 
Score]],Table1[[#This Row],[Chemistry 
Score]],Table1[[#This Row],[Biology 
Score]],Table1[[#This Row],[English 
Score]],Table1[[#This Row],[Geography 
Score]])</f>
        <v>75.714285714285708</v>
      </c>
      <c r="AB61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610">
        <f t="shared" si="9"/>
        <v>1646</v>
      </c>
      <c r="AD610" t="str">
        <f>_xlfn.IFS(Table1[[#This Row],[Absence 
Days]]&lt;3,"Excellent",Table1[[#This Row],[Absence 
Days]]&lt;=6,"Good",Table1[[#This Row],[Absence 
Days]]&gt;6,"Poor")</f>
        <v>Good</v>
      </c>
    </row>
    <row r="611" spans="1:30" x14ac:dyDescent="0.35">
      <c r="A611">
        <v>610</v>
      </c>
      <c r="B611" s="2" t="s">
        <v>75</v>
      </c>
      <c r="C611" t="s">
        <v>458</v>
      </c>
      <c r="D611" t="str">
        <f>_xlfn.TEXTJOIN(" ",TRUE,Table1[[#This Row],[First 
Name]:[Last 
Name]])</f>
        <v>William Smith</v>
      </c>
      <c r="E611" t="s">
        <v>1721</v>
      </c>
      <c r="F611" t="s">
        <v>3244</v>
      </c>
      <c r="G611" t="str">
        <f ca="1">PROPER(Table1[[#This Row],[Part Time 
Job]])</f>
        <v>False</v>
      </c>
      <c r="H611" s="3">
        <v>3</v>
      </c>
      <c r="I611" t="str">
        <f ca="1">PROPER(Table1[[#This Row],[Extracurricular 
Activities]])</f>
        <v>False</v>
      </c>
      <c r="J611">
        <v>25</v>
      </c>
      <c r="K611" t="s">
        <v>3112</v>
      </c>
      <c r="L611">
        <v>77</v>
      </c>
      <c r="M611" s="12" t="str" cm="1">
        <f t="array" ref="M61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611">
        <v>80</v>
      </c>
      <c r="O611" s="13" t="str" cm="1">
        <f t="array" ref="O61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611">
        <v>88</v>
      </c>
      <c r="Q611" s="13" t="str" cm="1">
        <f t="array" ref="Q61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611">
        <v>84</v>
      </c>
      <c r="S611" t="str" cm="1">
        <f t="array" ref="S61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611">
        <v>84</v>
      </c>
      <c r="U611" t="str" cm="1">
        <f t="array" ref="U61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611">
        <v>92</v>
      </c>
      <c r="W611" t="str" cm="1">
        <f t="array" ref="W61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611">
        <v>82</v>
      </c>
      <c r="Y611" t="str" cm="1">
        <f t="array" ref="Y61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611">
        <f>SUM(Table1[[#This Row],[Math 
Score]],Table1[[#This Row],[History 
Score]],Table1[[#This Row],[Physics 
Score]],Table1[[#This Row],[Chemistry 
Score]],Table1[[#This Row],[Biology 
Score]],Table1[[#This Row],[English 
Score]],Table1[[#This Row],[Geography 
Score]])</f>
        <v>587</v>
      </c>
      <c r="AA611" s="3">
        <f>AVERAGE(Table1[[#This Row],[Math 
Score]],Table1[[#This Row],[History 
Score]],Table1[[#This Row],[Physics 
Score]],Table1[[#This Row],[Chemistry 
Score]],Table1[[#This Row],[Biology 
Score]],Table1[[#This Row],[English 
Score]],Table1[[#This Row],[Geography 
Score]])</f>
        <v>83.857142857142861</v>
      </c>
      <c r="AB61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611">
        <f t="shared" si="9"/>
        <v>583</v>
      </c>
      <c r="AD611" t="str">
        <f>_xlfn.IFS(Table1[[#This Row],[Absence 
Days]]&lt;3,"Excellent",Table1[[#This Row],[Absence 
Days]]&lt;=6,"Good",Table1[[#This Row],[Absence 
Days]]&gt;6,"Poor")</f>
        <v>Good</v>
      </c>
    </row>
    <row r="612" spans="1:30" x14ac:dyDescent="0.35">
      <c r="A612">
        <v>611</v>
      </c>
      <c r="B612" s="2" t="s">
        <v>113</v>
      </c>
      <c r="C612" t="s">
        <v>735</v>
      </c>
      <c r="D612" t="str">
        <f>_xlfn.TEXTJOIN(" ",TRUE,Table1[[#This Row],[First 
Name]:[Last 
Name]])</f>
        <v>Courtney Patterson</v>
      </c>
      <c r="E612" t="s">
        <v>1722</v>
      </c>
      <c r="F612" t="s">
        <v>3245</v>
      </c>
      <c r="G612" t="str">
        <f ca="1">PROPER(Table1[[#This Row],[Part Time 
Job]])</f>
        <v>False</v>
      </c>
      <c r="H612" s="3">
        <v>0</v>
      </c>
      <c r="I612" t="str">
        <f ca="1">PROPER(Table1[[#This Row],[Extracurricular 
Activities]])</f>
        <v>False</v>
      </c>
      <c r="J612">
        <v>4</v>
      </c>
      <c r="K612" t="s">
        <v>3127</v>
      </c>
      <c r="L612">
        <v>86</v>
      </c>
      <c r="M612" s="12" t="str" cm="1">
        <f t="array" ref="M61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612">
        <v>82</v>
      </c>
      <c r="O612" s="13" t="str" cm="1">
        <f t="array" ref="O61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612">
        <v>90</v>
      </c>
      <c r="Q612" s="13" t="str" cm="1">
        <f t="array" ref="Q61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612">
        <v>69</v>
      </c>
      <c r="S612" t="str" cm="1">
        <f t="array" ref="S61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612">
        <v>66</v>
      </c>
      <c r="U612" t="str" cm="1">
        <f t="array" ref="U61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612">
        <v>93</v>
      </c>
      <c r="W612" t="str" cm="1">
        <f t="array" ref="W61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612">
        <v>94</v>
      </c>
      <c r="Y612" t="str" cm="1">
        <f t="array" ref="Y61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612">
        <f>SUM(Table1[[#This Row],[Math 
Score]],Table1[[#This Row],[History 
Score]],Table1[[#This Row],[Physics 
Score]],Table1[[#This Row],[Chemistry 
Score]],Table1[[#This Row],[Biology 
Score]],Table1[[#This Row],[English 
Score]],Table1[[#This Row],[Geography 
Score]])</f>
        <v>580</v>
      </c>
      <c r="AA612" s="3">
        <f>AVERAGE(Table1[[#This Row],[Math 
Score]],Table1[[#This Row],[History 
Score]],Table1[[#This Row],[Physics 
Score]],Table1[[#This Row],[Chemistry 
Score]],Table1[[#This Row],[Biology 
Score]],Table1[[#This Row],[English 
Score]],Table1[[#This Row],[Geography 
Score]])</f>
        <v>82.857142857142861</v>
      </c>
      <c r="AB61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612">
        <f t="shared" si="9"/>
        <v>709</v>
      </c>
      <c r="AD612" t="str">
        <f>_xlfn.IFS(Table1[[#This Row],[Absence 
Days]]&lt;3,"Excellent",Table1[[#This Row],[Absence 
Days]]&lt;=6,"Good",Table1[[#This Row],[Absence 
Days]]&gt;6,"Poor")</f>
        <v>Excellent</v>
      </c>
    </row>
    <row r="613" spans="1:30" x14ac:dyDescent="0.35">
      <c r="A613">
        <v>612</v>
      </c>
      <c r="B613" s="2" t="s">
        <v>167</v>
      </c>
      <c r="C613" t="s">
        <v>790</v>
      </c>
      <c r="D613" t="str">
        <f>_xlfn.TEXTJOIN(" ",TRUE,Table1[[#This Row],[First 
Name]:[Last 
Name]])</f>
        <v>Kevin Hess</v>
      </c>
      <c r="E613" t="s">
        <v>1723</v>
      </c>
      <c r="F613" t="s">
        <v>3244</v>
      </c>
      <c r="G613" t="str">
        <f ca="1">PROPER(Table1[[#This Row],[Part Time 
Job]])</f>
        <v>False</v>
      </c>
      <c r="H613" s="3">
        <v>0</v>
      </c>
      <c r="I613" t="str">
        <f ca="1">PROPER(Table1[[#This Row],[Extracurricular 
Activities]])</f>
        <v>False</v>
      </c>
      <c r="J613">
        <v>4</v>
      </c>
      <c r="K613" t="s">
        <v>3128</v>
      </c>
      <c r="L613">
        <v>81</v>
      </c>
      <c r="M613" s="12" t="str" cm="1">
        <f t="array" ref="M61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613">
        <v>84</v>
      </c>
      <c r="O613" s="13" t="str" cm="1">
        <f t="array" ref="O61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613">
        <v>76</v>
      </c>
      <c r="Q613" s="13" t="str" cm="1">
        <f t="array" ref="Q61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613">
        <v>88</v>
      </c>
      <c r="S613" t="str" cm="1">
        <f t="array" ref="S61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613">
        <v>84</v>
      </c>
      <c r="U613" t="str" cm="1">
        <f t="array" ref="U61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613">
        <v>89</v>
      </c>
      <c r="W613" t="str" cm="1">
        <f t="array" ref="W61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613">
        <v>87</v>
      </c>
      <c r="Y613" t="str" cm="1">
        <f t="array" ref="Y61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613">
        <f>SUM(Table1[[#This Row],[Math 
Score]],Table1[[#This Row],[History 
Score]],Table1[[#This Row],[Physics 
Score]],Table1[[#This Row],[Chemistry 
Score]],Table1[[#This Row],[Biology 
Score]],Table1[[#This Row],[English 
Score]],Table1[[#This Row],[Geography 
Score]])</f>
        <v>589</v>
      </c>
      <c r="AA613" s="3">
        <f>AVERAGE(Table1[[#This Row],[Math 
Score]],Table1[[#This Row],[History 
Score]],Table1[[#This Row],[Physics 
Score]],Table1[[#This Row],[Chemistry 
Score]],Table1[[#This Row],[Biology 
Score]],Table1[[#This Row],[English 
Score]],Table1[[#This Row],[Geography 
Score]])</f>
        <v>84.142857142857139</v>
      </c>
      <c r="AB61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613">
        <f t="shared" si="9"/>
        <v>548</v>
      </c>
      <c r="AD613" t="str">
        <f>_xlfn.IFS(Table1[[#This Row],[Absence 
Days]]&lt;3,"Excellent",Table1[[#This Row],[Absence 
Days]]&lt;=6,"Good",Table1[[#This Row],[Absence 
Days]]&gt;6,"Poor")</f>
        <v>Excellent</v>
      </c>
    </row>
    <row r="614" spans="1:30" x14ac:dyDescent="0.35">
      <c r="A614">
        <v>613</v>
      </c>
      <c r="B614" s="2" t="s">
        <v>51</v>
      </c>
      <c r="C614" t="s">
        <v>791</v>
      </c>
      <c r="D614" t="str">
        <f>_xlfn.TEXTJOIN(" ",TRUE,Table1[[#This Row],[First 
Name]:[Last 
Name]])</f>
        <v>Melissa Higgins</v>
      </c>
      <c r="E614" t="s">
        <v>1724</v>
      </c>
      <c r="F614" t="s">
        <v>3245</v>
      </c>
      <c r="G614" t="str">
        <f ca="1">PROPER(Table1[[#This Row],[Part Time 
Job]])</f>
        <v>False</v>
      </c>
      <c r="H614" s="3">
        <v>3</v>
      </c>
      <c r="I614" t="str">
        <f ca="1">PROPER(Table1[[#This Row],[Extracurricular 
Activities]])</f>
        <v>False</v>
      </c>
      <c r="J614">
        <v>21</v>
      </c>
      <c r="K614" t="s">
        <v>3117</v>
      </c>
      <c r="L614">
        <v>91</v>
      </c>
      <c r="M614" s="12" t="str" cm="1">
        <f t="array" ref="M61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614">
        <v>90</v>
      </c>
      <c r="O614" s="13" t="str" cm="1">
        <f t="array" ref="O61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614">
        <v>92</v>
      </c>
      <c r="Q614" s="13" t="str" cm="1">
        <f t="array" ref="Q61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614">
        <v>78</v>
      </c>
      <c r="S614" t="str" cm="1">
        <f t="array" ref="S61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614">
        <v>67</v>
      </c>
      <c r="U614" t="str" cm="1">
        <f t="array" ref="U61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614">
        <v>86</v>
      </c>
      <c r="W614" t="str" cm="1">
        <f t="array" ref="W61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614">
        <v>71</v>
      </c>
      <c r="Y614" t="str" cm="1">
        <f t="array" ref="Y61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614">
        <f>SUM(Table1[[#This Row],[Math 
Score]],Table1[[#This Row],[History 
Score]],Table1[[#This Row],[Physics 
Score]],Table1[[#This Row],[Chemistry 
Score]],Table1[[#This Row],[Biology 
Score]],Table1[[#This Row],[English 
Score]],Table1[[#This Row],[Geography 
Score]])</f>
        <v>575</v>
      </c>
      <c r="AA614" s="3">
        <f>AVERAGE(Table1[[#This Row],[Math 
Score]],Table1[[#This Row],[History 
Score]],Table1[[#This Row],[Physics 
Score]],Table1[[#This Row],[Chemistry 
Score]],Table1[[#This Row],[Biology 
Score]],Table1[[#This Row],[English 
Score]],Table1[[#This Row],[Geography 
Score]])</f>
        <v>82.142857142857139</v>
      </c>
      <c r="AB61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614">
        <f t="shared" si="9"/>
        <v>807</v>
      </c>
      <c r="AD614" t="str">
        <f>_xlfn.IFS(Table1[[#This Row],[Absence 
Days]]&lt;3,"Excellent",Table1[[#This Row],[Absence 
Days]]&lt;=6,"Good",Table1[[#This Row],[Absence 
Days]]&gt;6,"Poor")</f>
        <v>Good</v>
      </c>
    </row>
    <row r="615" spans="1:30" x14ac:dyDescent="0.35">
      <c r="A615">
        <v>614</v>
      </c>
      <c r="B615" s="2" t="s">
        <v>42</v>
      </c>
      <c r="C615" t="s">
        <v>474</v>
      </c>
      <c r="D615" t="str">
        <f>_xlfn.TEXTJOIN(" ",TRUE,Table1[[#This Row],[First 
Name]:[Last 
Name]])</f>
        <v>Elizabeth Chavez</v>
      </c>
      <c r="E615" t="s">
        <v>1725</v>
      </c>
      <c r="F615" t="s">
        <v>3245</v>
      </c>
      <c r="G615" t="str">
        <f ca="1">PROPER(Table1[[#This Row],[Part Time 
Job]])</f>
        <v>False</v>
      </c>
      <c r="H615" s="3">
        <v>7</v>
      </c>
      <c r="I615" t="str">
        <f ca="1">PROPER(Table1[[#This Row],[Extracurricular 
Activities]])</f>
        <v>False</v>
      </c>
      <c r="J615">
        <v>4</v>
      </c>
      <c r="K615" t="s">
        <v>3119</v>
      </c>
      <c r="L615">
        <v>72</v>
      </c>
      <c r="M615" s="12" t="str" cm="1">
        <f t="array" ref="M615">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615">
        <v>99</v>
      </c>
      <c r="O615" s="13" t="str" cm="1">
        <f t="array" ref="O61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615">
        <v>61</v>
      </c>
      <c r="Q615" s="13" t="str" cm="1">
        <f t="array" ref="Q61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615">
        <v>67</v>
      </c>
      <c r="S615" t="str" cm="1">
        <f t="array" ref="S61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615">
        <v>95</v>
      </c>
      <c r="U615" t="str" cm="1">
        <f t="array" ref="U61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615">
        <v>98</v>
      </c>
      <c r="W615" t="str" cm="1">
        <f t="array" ref="W61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615">
        <v>89</v>
      </c>
      <c r="Y615" t="str" cm="1">
        <f t="array" ref="Y61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615">
        <f>SUM(Table1[[#This Row],[Math 
Score]],Table1[[#This Row],[History 
Score]],Table1[[#This Row],[Physics 
Score]],Table1[[#This Row],[Chemistry 
Score]],Table1[[#This Row],[Biology 
Score]],Table1[[#This Row],[English 
Score]],Table1[[#This Row],[Geography 
Score]])</f>
        <v>581</v>
      </c>
      <c r="AA615" s="3">
        <f>AVERAGE(Table1[[#This Row],[Math 
Score]],Table1[[#This Row],[History 
Score]],Table1[[#This Row],[Physics 
Score]],Table1[[#This Row],[Chemistry 
Score]],Table1[[#This Row],[Biology 
Score]],Table1[[#This Row],[English 
Score]],Table1[[#This Row],[Geography 
Score]])</f>
        <v>83</v>
      </c>
      <c r="AB61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615">
        <f t="shared" si="9"/>
        <v>688</v>
      </c>
      <c r="AD615" t="str">
        <f>_xlfn.IFS(Table1[[#This Row],[Absence 
Days]]&lt;3,"Excellent",Table1[[#This Row],[Absence 
Days]]&lt;=6,"Good",Table1[[#This Row],[Absence 
Days]]&gt;6,"Poor")</f>
        <v>Poor</v>
      </c>
    </row>
    <row r="616" spans="1:30" x14ac:dyDescent="0.35">
      <c r="A616">
        <v>615</v>
      </c>
      <c r="B616" s="2" t="s">
        <v>270</v>
      </c>
      <c r="C616" t="s">
        <v>188</v>
      </c>
      <c r="D616" t="str">
        <f>_xlfn.TEXTJOIN(" ",TRUE,Table1[[#This Row],[First 
Name]:[Last 
Name]])</f>
        <v>Mary Taylor</v>
      </c>
      <c r="E616" t="s">
        <v>1726</v>
      </c>
      <c r="F616" t="s">
        <v>3245</v>
      </c>
      <c r="G616" t="str">
        <f ca="1">PROPER(Table1[[#This Row],[Part Time 
Job]])</f>
        <v>False</v>
      </c>
      <c r="H616" s="3">
        <v>3</v>
      </c>
      <c r="I616" t="str">
        <f ca="1">PROPER(Table1[[#This Row],[Extracurricular 
Activities]])</f>
        <v>False</v>
      </c>
      <c r="J616">
        <v>24</v>
      </c>
      <c r="K616" t="s">
        <v>3122</v>
      </c>
      <c r="L616">
        <v>80</v>
      </c>
      <c r="M616" s="12" t="str" cm="1">
        <f t="array" ref="M61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616">
        <v>70</v>
      </c>
      <c r="O616" s="13" t="str" cm="1">
        <f t="array" ref="O61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616">
        <v>80</v>
      </c>
      <c r="Q616" s="13" t="str" cm="1">
        <f t="array" ref="Q61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616">
        <v>96</v>
      </c>
      <c r="S616" t="str" cm="1">
        <f t="array" ref="S61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616">
        <v>72</v>
      </c>
      <c r="U616" t="str" cm="1">
        <f t="array" ref="U61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616">
        <v>99</v>
      </c>
      <c r="W616" t="str" cm="1">
        <f t="array" ref="W61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616">
        <v>65</v>
      </c>
      <c r="Y616" t="str" cm="1">
        <f t="array" ref="Y61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616">
        <f>SUM(Table1[[#This Row],[Math 
Score]],Table1[[#This Row],[History 
Score]],Table1[[#This Row],[Physics 
Score]],Table1[[#This Row],[Chemistry 
Score]],Table1[[#This Row],[Biology 
Score]],Table1[[#This Row],[English 
Score]],Table1[[#This Row],[Geography 
Score]])</f>
        <v>562</v>
      </c>
      <c r="AA616" s="3">
        <f>AVERAGE(Table1[[#This Row],[Math 
Score]],Table1[[#This Row],[History 
Score]],Table1[[#This Row],[Physics 
Score]],Table1[[#This Row],[Chemistry 
Score]],Table1[[#This Row],[Biology 
Score]],Table1[[#This Row],[English 
Score]],Table1[[#This Row],[Geography 
Score]])</f>
        <v>80.285714285714292</v>
      </c>
      <c r="AB61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616">
        <f t="shared" si="9"/>
        <v>1099</v>
      </c>
      <c r="AD616" t="str">
        <f>_xlfn.IFS(Table1[[#This Row],[Absence 
Days]]&lt;3,"Excellent",Table1[[#This Row],[Absence 
Days]]&lt;=6,"Good",Table1[[#This Row],[Absence 
Days]]&gt;6,"Poor")</f>
        <v>Good</v>
      </c>
    </row>
    <row r="617" spans="1:30" x14ac:dyDescent="0.35">
      <c r="A617">
        <v>616</v>
      </c>
      <c r="B617" s="2" t="s">
        <v>89</v>
      </c>
      <c r="C617" t="s">
        <v>528</v>
      </c>
      <c r="D617" t="str">
        <f>_xlfn.TEXTJOIN(" ",TRUE,Table1[[#This Row],[First 
Name]:[Last 
Name]])</f>
        <v>Joshua Parker</v>
      </c>
      <c r="E617" t="s">
        <v>1727</v>
      </c>
      <c r="F617" t="s">
        <v>3244</v>
      </c>
      <c r="G617" t="str">
        <f ca="1">PROPER(Table1[[#This Row],[Part Time 
Job]])</f>
        <v>False</v>
      </c>
      <c r="H617" s="3">
        <v>2</v>
      </c>
      <c r="I617" t="str">
        <f ca="1">PROPER(Table1[[#This Row],[Extracurricular 
Activities]])</f>
        <v>False</v>
      </c>
      <c r="J617">
        <v>16</v>
      </c>
      <c r="K617" t="s">
        <v>3116</v>
      </c>
      <c r="L617">
        <v>90</v>
      </c>
      <c r="M617" s="12" t="str" cm="1">
        <f t="array" ref="M61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617">
        <v>89</v>
      </c>
      <c r="O617" s="13" t="str" cm="1">
        <f t="array" ref="O61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617">
        <v>98</v>
      </c>
      <c r="Q617" s="13" t="str" cm="1">
        <f t="array" ref="Q61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617">
        <v>70</v>
      </c>
      <c r="S617" t="str" cm="1">
        <f t="array" ref="S61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617">
        <v>79</v>
      </c>
      <c r="U617" t="str" cm="1">
        <f t="array" ref="U61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617">
        <v>60</v>
      </c>
      <c r="W617" t="str" cm="1">
        <f t="array" ref="W61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617">
        <v>92</v>
      </c>
      <c r="Y617" t="str" cm="1">
        <f t="array" ref="Y61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617">
        <f>SUM(Table1[[#This Row],[Math 
Score]],Table1[[#This Row],[History 
Score]],Table1[[#This Row],[Physics 
Score]],Table1[[#This Row],[Chemistry 
Score]],Table1[[#This Row],[Biology 
Score]],Table1[[#This Row],[English 
Score]],Table1[[#This Row],[Geography 
Score]])</f>
        <v>578</v>
      </c>
      <c r="AA617" s="3">
        <f>AVERAGE(Table1[[#This Row],[Math 
Score]],Table1[[#This Row],[History 
Score]],Table1[[#This Row],[Physics 
Score]],Table1[[#This Row],[Chemistry 
Score]],Table1[[#This Row],[Biology 
Score]],Table1[[#This Row],[English 
Score]],Table1[[#This Row],[Geography 
Score]])</f>
        <v>82.571428571428569</v>
      </c>
      <c r="AB61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617">
        <f t="shared" si="9"/>
        <v>752</v>
      </c>
      <c r="AD617" t="str">
        <f>_xlfn.IFS(Table1[[#This Row],[Absence 
Days]]&lt;3,"Excellent",Table1[[#This Row],[Absence 
Days]]&lt;=6,"Good",Table1[[#This Row],[Absence 
Days]]&gt;6,"Poor")</f>
        <v>Excellent</v>
      </c>
    </row>
    <row r="618" spans="1:30" x14ac:dyDescent="0.35">
      <c r="A618">
        <v>617</v>
      </c>
      <c r="B618" s="2" t="s">
        <v>89</v>
      </c>
      <c r="C618" t="s">
        <v>5</v>
      </c>
      <c r="D618" t="str">
        <f>_xlfn.TEXTJOIN(" ",TRUE,Table1[[#This Row],[First 
Name]:[Last 
Name]])</f>
        <v>Joshua Kelly</v>
      </c>
      <c r="E618" t="s">
        <v>1728</v>
      </c>
      <c r="F618" t="s">
        <v>3244</v>
      </c>
      <c r="G618" t="str">
        <f ca="1">PROPER(Table1[[#This Row],[Part Time 
Job]])</f>
        <v>False</v>
      </c>
      <c r="H618" s="3">
        <v>10</v>
      </c>
      <c r="I618" t="str">
        <f ca="1">PROPER(Table1[[#This Row],[Extracurricular 
Activities]])</f>
        <v>False</v>
      </c>
      <c r="J618">
        <v>2</v>
      </c>
      <c r="K618" t="s">
        <v>3119</v>
      </c>
      <c r="L618">
        <v>72</v>
      </c>
      <c r="M618" s="12" t="str" cm="1">
        <f t="array" ref="M618">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618">
        <v>51</v>
      </c>
      <c r="O618" s="13" t="str" cm="1">
        <f t="array" ref="O61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C</v>
      </c>
      <c r="P618">
        <v>52</v>
      </c>
      <c r="Q618" s="13" t="str" cm="1">
        <f t="array" ref="Q61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C</v>
      </c>
      <c r="R618">
        <v>98</v>
      </c>
      <c r="S618" t="str" cm="1">
        <f t="array" ref="S61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618">
        <v>50</v>
      </c>
      <c r="U618" t="str" cm="1">
        <f t="array" ref="U61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C</v>
      </c>
      <c r="V618">
        <v>90</v>
      </c>
      <c r="W618" t="str" cm="1">
        <f t="array" ref="W61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618">
        <v>63</v>
      </c>
      <c r="Y618" t="str" cm="1">
        <f t="array" ref="Y61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618">
        <f>SUM(Table1[[#This Row],[Math 
Score]],Table1[[#This Row],[History 
Score]],Table1[[#This Row],[Physics 
Score]],Table1[[#This Row],[Chemistry 
Score]],Table1[[#This Row],[Biology 
Score]],Table1[[#This Row],[English 
Score]],Table1[[#This Row],[Geography 
Score]])</f>
        <v>476</v>
      </c>
      <c r="AA618" s="3">
        <f>AVERAGE(Table1[[#This Row],[Math 
Score]],Table1[[#This Row],[History 
Score]],Table1[[#This Row],[Physics 
Score]],Table1[[#This Row],[Chemistry 
Score]],Table1[[#This Row],[Biology 
Score]],Table1[[#This Row],[English 
Score]],Table1[[#This Row],[Geography 
Score]])</f>
        <v>68</v>
      </c>
      <c r="AB61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618">
        <f t="shared" si="9"/>
        <v>1944</v>
      </c>
      <c r="AD618" t="str">
        <f>_xlfn.IFS(Table1[[#This Row],[Absence 
Days]]&lt;3,"Excellent",Table1[[#This Row],[Absence 
Days]]&lt;=6,"Good",Table1[[#This Row],[Absence 
Days]]&gt;6,"Poor")</f>
        <v>Poor</v>
      </c>
    </row>
    <row r="619" spans="1:30" x14ac:dyDescent="0.35">
      <c r="A619">
        <v>618</v>
      </c>
      <c r="B619" s="2" t="s">
        <v>271</v>
      </c>
      <c r="C619" t="s">
        <v>293</v>
      </c>
      <c r="D619" t="str">
        <f>_xlfn.TEXTJOIN(" ",TRUE,Table1[[#This Row],[First 
Name]:[Last 
Name]])</f>
        <v>Travis Ross</v>
      </c>
      <c r="E619" t="s">
        <v>1729</v>
      </c>
      <c r="F619" t="s">
        <v>3244</v>
      </c>
      <c r="G619" t="str">
        <f ca="1">PROPER(Table1[[#This Row],[Part Time 
Job]])</f>
        <v>False</v>
      </c>
      <c r="H619" s="3">
        <v>3</v>
      </c>
      <c r="I619" t="str">
        <f ca="1">PROPER(Table1[[#This Row],[Extracurricular 
Activities]])</f>
        <v>False</v>
      </c>
      <c r="J619">
        <v>35</v>
      </c>
      <c r="K619" t="s">
        <v>3117</v>
      </c>
      <c r="L619">
        <v>93</v>
      </c>
      <c r="M619" s="12" t="str" cm="1">
        <f t="array" ref="M61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619">
        <v>85</v>
      </c>
      <c r="O619" s="13" t="str" cm="1">
        <f t="array" ref="O61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619">
        <v>89</v>
      </c>
      <c r="Q619" s="13" t="str" cm="1">
        <f t="array" ref="Q61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619">
        <v>93</v>
      </c>
      <c r="S619" t="str" cm="1">
        <f t="array" ref="S61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619">
        <v>90</v>
      </c>
      <c r="U619" t="str" cm="1">
        <f t="array" ref="U61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619">
        <v>91</v>
      </c>
      <c r="W619" t="str" cm="1">
        <f t="array" ref="W61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619">
        <v>88</v>
      </c>
      <c r="Y619" t="str" cm="1">
        <f t="array" ref="Y61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619">
        <f>SUM(Table1[[#This Row],[Math 
Score]],Table1[[#This Row],[History 
Score]],Table1[[#This Row],[Physics 
Score]],Table1[[#This Row],[Chemistry 
Score]],Table1[[#This Row],[Biology 
Score]],Table1[[#This Row],[English 
Score]],Table1[[#This Row],[Geography 
Score]])</f>
        <v>629</v>
      </c>
      <c r="AA619" s="3">
        <f>AVERAGE(Table1[[#This Row],[Math 
Score]],Table1[[#This Row],[History 
Score]],Table1[[#This Row],[Physics 
Score]],Table1[[#This Row],[Chemistry 
Score]],Table1[[#This Row],[Biology 
Score]],Table1[[#This Row],[English 
Score]],Table1[[#This Row],[Geography 
Score]])</f>
        <v>89.857142857142861</v>
      </c>
      <c r="AB61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619">
        <f t="shared" si="9"/>
        <v>162</v>
      </c>
      <c r="AD619" t="str">
        <f>_xlfn.IFS(Table1[[#This Row],[Absence 
Days]]&lt;3,"Excellent",Table1[[#This Row],[Absence 
Days]]&lt;=6,"Good",Table1[[#This Row],[Absence 
Days]]&gt;6,"Poor")</f>
        <v>Good</v>
      </c>
    </row>
    <row r="620" spans="1:30" x14ac:dyDescent="0.35">
      <c r="A620">
        <v>619</v>
      </c>
      <c r="B620" s="2" t="s">
        <v>41</v>
      </c>
      <c r="C620" t="s">
        <v>688</v>
      </c>
      <c r="D620" t="str">
        <f>_xlfn.TEXTJOIN(" ",TRUE,Table1[[#This Row],[First 
Name]:[Last 
Name]])</f>
        <v>Kenneth Buchanan</v>
      </c>
      <c r="E620" t="s">
        <v>1730</v>
      </c>
      <c r="F620" t="s">
        <v>3244</v>
      </c>
      <c r="G620" t="str">
        <f ca="1">PROPER(Table1[[#This Row],[Part Time 
Job]])</f>
        <v>False</v>
      </c>
      <c r="H620" s="3">
        <v>2</v>
      </c>
      <c r="I620" t="str">
        <f ca="1">PROPER(Table1[[#This Row],[Extracurricular 
Activities]])</f>
        <v>False</v>
      </c>
      <c r="J620">
        <v>24</v>
      </c>
      <c r="K620" t="s">
        <v>3113</v>
      </c>
      <c r="L620">
        <v>95</v>
      </c>
      <c r="M620" s="12" t="str" cm="1">
        <f t="array" ref="M62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620">
        <v>85</v>
      </c>
      <c r="O620" s="13" t="str" cm="1">
        <f t="array" ref="O62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620">
        <v>90</v>
      </c>
      <c r="Q620" s="13" t="str" cm="1">
        <f t="array" ref="Q62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620">
        <v>94</v>
      </c>
      <c r="S620" t="str" cm="1">
        <f t="array" ref="S62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620">
        <v>91</v>
      </c>
      <c r="U620" t="str" cm="1">
        <f t="array" ref="U62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620">
        <v>84</v>
      </c>
      <c r="W620" t="str" cm="1">
        <f t="array" ref="W62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620">
        <v>85</v>
      </c>
      <c r="Y620" t="str" cm="1">
        <f t="array" ref="Y62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620">
        <f>SUM(Table1[[#This Row],[Math 
Score]],Table1[[#This Row],[History 
Score]],Table1[[#This Row],[Physics 
Score]],Table1[[#This Row],[Chemistry 
Score]],Table1[[#This Row],[Biology 
Score]],Table1[[#This Row],[English 
Score]],Table1[[#This Row],[Geography 
Score]])</f>
        <v>624</v>
      </c>
      <c r="AA620" s="3">
        <f>AVERAGE(Table1[[#This Row],[Math 
Score]],Table1[[#This Row],[History 
Score]],Table1[[#This Row],[Physics 
Score]],Table1[[#This Row],[Chemistry 
Score]],Table1[[#This Row],[Biology 
Score]],Table1[[#This Row],[English 
Score]],Table1[[#This Row],[Geography 
Score]])</f>
        <v>89.142857142857139</v>
      </c>
      <c r="AB62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620">
        <f t="shared" si="9"/>
        <v>194</v>
      </c>
      <c r="AD620" t="str">
        <f>_xlfn.IFS(Table1[[#This Row],[Absence 
Days]]&lt;3,"Excellent",Table1[[#This Row],[Absence 
Days]]&lt;=6,"Good",Table1[[#This Row],[Absence 
Days]]&gt;6,"Poor")</f>
        <v>Excellent</v>
      </c>
    </row>
    <row r="621" spans="1:30" x14ac:dyDescent="0.35">
      <c r="A621">
        <v>620</v>
      </c>
      <c r="B621" s="2" t="s">
        <v>33</v>
      </c>
      <c r="C621" t="s">
        <v>792</v>
      </c>
      <c r="D621" t="str">
        <f>_xlfn.TEXTJOIN(" ",TRUE,Table1[[#This Row],[First 
Name]:[Last 
Name]])</f>
        <v>Ryan Clarke</v>
      </c>
      <c r="E621" t="s">
        <v>1731</v>
      </c>
      <c r="F621" t="s">
        <v>3244</v>
      </c>
      <c r="G621" t="str">
        <f ca="1">PROPER(Table1[[#This Row],[Part Time 
Job]])</f>
        <v>False</v>
      </c>
      <c r="H621" s="3">
        <v>2</v>
      </c>
      <c r="I621" t="str">
        <f ca="1">PROPER(Table1[[#This Row],[Extracurricular 
Activities]])</f>
        <v>True</v>
      </c>
      <c r="J621">
        <v>46</v>
      </c>
      <c r="K621" t="s">
        <v>3113</v>
      </c>
      <c r="L621">
        <v>86</v>
      </c>
      <c r="M621" s="12" t="str" cm="1">
        <f t="array" ref="M62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621">
        <v>93</v>
      </c>
      <c r="O621" s="13" t="str" cm="1">
        <f t="array" ref="O62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621">
        <v>89</v>
      </c>
      <c r="Q621" s="13" t="str" cm="1">
        <f t="array" ref="Q62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621">
        <v>90</v>
      </c>
      <c r="S621" t="str" cm="1">
        <f t="array" ref="S62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621">
        <v>100</v>
      </c>
      <c r="U621" t="str" cm="1">
        <f t="array" ref="U62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621">
        <v>86</v>
      </c>
      <c r="W621" t="str" cm="1">
        <f t="array" ref="W62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621">
        <v>93</v>
      </c>
      <c r="Y621" t="str" cm="1">
        <f t="array" ref="Y62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621">
        <f>SUM(Table1[[#This Row],[Math 
Score]],Table1[[#This Row],[History 
Score]],Table1[[#This Row],[Physics 
Score]],Table1[[#This Row],[Chemistry 
Score]],Table1[[#This Row],[Biology 
Score]],Table1[[#This Row],[English 
Score]],Table1[[#This Row],[Geography 
Score]])</f>
        <v>637</v>
      </c>
      <c r="AA621" s="3">
        <f>AVERAGE(Table1[[#This Row],[Math 
Score]],Table1[[#This Row],[History 
Score]],Table1[[#This Row],[Physics 
Score]],Table1[[#This Row],[Chemistry 
Score]],Table1[[#This Row],[Biology 
Score]],Table1[[#This Row],[English 
Score]],Table1[[#This Row],[Geography 
Score]])</f>
        <v>91</v>
      </c>
      <c r="AB62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621">
        <f t="shared" si="9"/>
        <v>115</v>
      </c>
      <c r="AD621" t="str">
        <f>_xlfn.IFS(Table1[[#This Row],[Absence 
Days]]&lt;3,"Excellent",Table1[[#This Row],[Absence 
Days]]&lt;=6,"Good",Table1[[#This Row],[Absence 
Days]]&gt;6,"Poor")</f>
        <v>Excellent</v>
      </c>
    </row>
    <row r="622" spans="1:30" x14ac:dyDescent="0.35">
      <c r="A622">
        <v>621</v>
      </c>
      <c r="B622" s="2" t="s">
        <v>180</v>
      </c>
      <c r="C622" t="s">
        <v>793</v>
      </c>
      <c r="D622" t="str">
        <f>_xlfn.TEXTJOIN(" ",TRUE,Table1[[#This Row],[First 
Name]:[Last 
Name]])</f>
        <v>Gina Solomon</v>
      </c>
      <c r="E622" t="s">
        <v>1732</v>
      </c>
      <c r="F622" t="s">
        <v>3245</v>
      </c>
      <c r="G622" t="str">
        <f ca="1">PROPER(Table1[[#This Row],[Part Time 
Job]])</f>
        <v>False</v>
      </c>
      <c r="H622" s="3">
        <v>6</v>
      </c>
      <c r="I622" t="str">
        <f ca="1">PROPER(Table1[[#This Row],[Extracurricular 
Activities]])</f>
        <v>False</v>
      </c>
      <c r="J622">
        <v>1</v>
      </c>
      <c r="K622" t="s">
        <v>3119</v>
      </c>
      <c r="L622">
        <v>89</v>
      </c>
      <c r="M622" s="12" t="str" cm="1">
        <f t="array" ref="M62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622">
        <v>55</v>
      </c>
      <c r="O622" s="13" t="str" cm="1">
        <f t="array" ref="O62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C</v>
      </c>
      <c r="P622">
        <v>89</v>
      </c>
      <c r="Q622" s="13" t="str" cm="1">
        <f t="array" ref="Q62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622">
        <v>67</v>
      </c>
      <c r="S622" t="str" cm="1">
        <f t="array" ref="S62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622">
        <v>55</v>
      </c>
      <c r="U622" t="str" cm="1">
        <f t="array" ref="U62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C</v>
      </c>
      <c r="V622">
        <v>64</v>
      </c>
      <c r="W622" t="str" cm="1">
        <f t="array" ref="W62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622">
        <v>70</v>
      </c>
      <c r="Y622" t="str" cm="1">
        <f t="array" ref="Y62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622">
        <f>SUM(Table1[[#This Row],[Math 
Score]],Table1[[#This Row],[History 
Score]],Table1[[#This Row],[Physics 
Score]],Table1[[#This Row],[Chemistry 
Score]],Table1[[#This Row],[Biology 
Score]],Table1[[#This Row],[English 
Score]],Table1[[#This Row],[Geography 
Score]])</f>
        <v>489</v>
      </c>
      <c r="AA622" s="3">
        <f>AVERAGE(Table1[[#This Row],[Math 
Score]],Table1[[#This Row],[History 
Score]],Table1[[#This Row],[Physics 
Score]],Table1[[#This Row],[Chemistry 
Score]],Table1[[#This Row],[Biology 
Score]],Table1[[#This Row],[English 
Score]],Table1[[#This Row],[Geography 
Score]])</f>
        <v>69.857142857142861</v>
      </c>
      <c r="AB62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622">
        <f t="shared" si="9"/>
        <v>1914</v>
      </c>
      <c r="AD622" t="str">
        <f>_xlfn.IFS(Table1[[#This Row],[Absence 
Days]]&lt;3,"Excellent",Table1[[#This Row],[Absence 
Days]]&lt;=6,"Good",Table1[[#This Row],[Absence 
Days]]&gt;6,"Poor")</f>
        <v>Good</v>
      </c>
    </row>
    <row r="623" spans="1:30" x14ac:dyDescent="0.35">
      <c r="A623">
        <v>622</v>
      </c>
      <c r="B623" s="2" t="s">
        <v>40</v>
      </c>
      <c r="C623" t="s">
        <v>794</v>
      </c>
      <c r="D623" t="str">
        <f>_xlfn.TEXTJOIN(" ",TRUE,Table1[[#This Row],[First 
Name]:[Last 
Name]])</f>
        <v>David Madden</v>
      </c>
      <c r="E623" t="s">
        <v>1733</v>
      </c>
      <c r="F623" t="s">
        <v>3244</v>
      </c>
      <c r="G623" t="str">
        <f ca="1">PROPER(Table1[[#This Row],[Part Time 
Job]])</f>
        <v>False</v>
      </c>
      <c r="H623" s="3">
        <v>5</v>
      </c>
      <c r="I623" t="str">
        <f ca="1">PROPER(Table1[[#This Row],[Extracurricular 
Activities]])</f>
        <v>False</v>
      </c>
      <c r="J623">
        <v>26</v>
      </c>
      <c r="K623" t="s">
        <v>3116</v>
      </c>
      <c r="L623">
        <v>90</v>
      </c>
      <c r="M623" s="12" t="str" cm="1">
        <f t="array" ref="M62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623">
        <v>75</v>
      </c>
      <c r="O623" s="13" t="str" cm="1">
        <f t="array" ref="O62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623">
        <v>67</v>
      </c>
      <c r="Q623" s="13" t="str" cm="1">
        <f t="array" ref="Q62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623">
        <v>85</v>
      </c>
      <c r="S623" t="str" cm="1">
        <f t="array" ref="S62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623">
        <v>64</v>
      </c>
      <c r="U623" t="str" cm="1">
        <f t="array" ref="U62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623">
        <v>95</v>
      </c>
      <c r="W623" t="str" cm="1">
        <f t="array" ref="W62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623">
        <v>96</v>
      </c>
      <c r="Y623" t="str" cm="1">
        <f t="array" ref="Y62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623">
        <f>SUM(Table1[[#This Row],[Math 
Score]],Table1[[#This Row],[History 
Score]],Table1[[#This Row],[Physics 
Score]],Table1[[#This Row],[Chemistry 
Score]],Table1[[#This Row],[Biology 
Score]],Table1[[#This Row],[English 
Score]],Table1[[#This Row],[Geography 
Score]])</f>
        <v>572</v>
      </c>
      <c r="AA623" s="3">
        <f>AVERAGE(Table1[[#This Row],[Math 
Score]],Table1[[#This Row],[History 
Score]],Table1[[#This Row],[Physics 
Score]],Table1[[#This Row],[Chemistry 
Score]],Table1[[#This Row],[Biology 
Score]],Table1[[#This Row],[English 
Score]],Table1[[#This Row],[Geography 
Score]])</f>
        <v>81.714285714285708</v>
      </c>
      <c r="AB62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623">
        <f t="shared" si="9"/>
        <v>890</v>
      </c>
      <c r="AD623" t="str">
        <f>_xlfn.IFS(Table1[[#This Row],[Absence 
Days]]&lt;3,"Excellent",Table1[[#This Row],[Absence 
Days]]&lt;=6,"Good",Table1[[#This Row],[Absence 
Days]]&gt;6,"Poor")</f>
        <v>Good</v>
      </c>
    </row>
    <row r="624" spans="1:30" x14ac:dyDescent="0.35">
      <c r="A624">
        <v>623</v>
      </c>
      <c r="B624" s="2" t="s">
        <v>75</v>
      </c>
      <c r="C624" t="s">
        <v>795</v>
      </c>
      <c r="D624" t="str">
        <f>_xlfn.TEXTJOIN(" ",TRUE,Table1[[#This Row],[First 
Name]:[Last 
Name]])</f>
        <v>William Brennan</v>
      </c>
      <c r="E624" t="s">
        <v>1734</v>
      </c>
      <c r="F624" t="s">
        <v>3244</v>
      </c>
      <c r="G624" t="str">
        <f ca="1">PROPER(Table1[[#This Row],[Part Time 
Job]])</f>
        <v>False</v>
      </c>
      <c r="H624" s="3">
        <v>1</v>
      </c>
      <c r="I624" t="str">
        <f ca="1">PROPER(Table1[[#This Row],[Extracurricular 
Activities]])</f>
        <v>False</v>
      </c>
      <c r="J624">
        <v>5</v>
      </c>
      <c r="K624" t="s">
        <v>3116</v>
      </c>
      <c r="L624">
        <v>79</v>
      </c>
      <c r="M624" s="12" t="str" cm="1">
        <f t="array" ref="M62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624">
        <v>95</v>
      </c>
      <c r="O624" s="13" t="str" cm="1">
        <f t="array" ref="O62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624">
        <v>81</v>
      </c>
      <c r="Q624" s="13" t="str" cm="1">
        <f t="array" ref="Q62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624">
        <v>67</v>
      </c>
      <c r="S624" t="str" cm="1">
        <f t="array" ref="S62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624">
        <v>66</v>
      </c>
      <c r="U624" t="str" cm="1">
        <f t="array" ref="U62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624">
        <v>71</v>
      </c>
      <c r="W624" t="str" cm="1">
        <f t="array" ref="W62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624">
        <v>66</v>
      </c>
      <c r="Y624" t="str" cm="1">
        <f t="array" ref="Y62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624">
        <f>SUM(Table1[[#This Row],[Math 
Score]],Table1[[#This Row],[History 
Score]],Table1[[#This Row],[Physics 
Score]],Table1[[#This Row],[Chemistry 
Score]],Table1[[#This Row],[Biology 
Score]],Table1[[#This Row],[English 
Score]],Table1[[#This Row],[Geography 
Score]])</f>
        <v>525</v>
      </c>
      <c r="AA624" s="3">
        <f>AVERAGE(Table1[[#This Row],[Math 
Score]],Table1[[#This Row],[History 
Score]],Table1[[#This Row],[Physics 
Score]],Table1[[#This Row],[Chemistry 
Score]],Table1[[#This Row],[Biology 
Score]],Table1[[#This Row],[English 
Score]],Table1[[#This Row],[Geography 
Score]])</f>
        <v>75</v>
      </c>
      <c r="AB62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624">
        <f t="shared" si="9"/>
        <v>1704</v>
      </c>
      <c r="AD624" t="str">
        <f>_xlfn.IFS(Table1[[#This Row],[Absence 
Days]]&lt;3,"Excellent",Table1[[#This Row],[Absence 
Days]]&lt;=6,"Good",Table1[[#This Row],[Absence 
Days]]&gt;6,"Poor")</f>
        <v>Excellent</v>
      </c>
    </row>
    <row r="625" spans="1:30" x14ac:dyDescent="0.35">
      <c r="A625">
        <v>624</v>
      </c>
      <c r="B625" s="2" t="s">
        <v>272</v>
      </c>
      <c r="C625" t="s">
        <v>796</v>
      </c>
      <c r="D625" t="str">
        <f>_xlfn.TEXTJOIN(" ",TRUE,Table1[[#This Row],[First 
Name]:[Last 
Name]])</f>
        <v>Judy Mckenzie</v>
      </c>
      <c r="E625" t="s">
        <v>1735</v>
      </c>
      <c r="F625" t="s">
        <v>3245</v>
      </c>
      <c r="G625" t="str">
        <f ca="1">PROPER(Table1[[#This Row],[Part Time 
Job]])</f>
        <v>True</v>
      </c>
      <c r="H625" s="3">
        <v>5</v>
      </c>
      <c r="I625" t="str">
        <f ca="1">PROPER(Table1[[#This Row],[Extracurricular 
Activities]])</f>
        <v>False</v>
      </c>
      <c r="J625">
        <v>17</v>
      </c>
      <c r="K625" t="s">
        <v>3118</v>
      </c>
      <c r="L625">
        <v>86</v>
      </c>
      <c r="M625" s="12" t="str" cm="1">
        <f t="array" ref="M62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625">
        <v>88</v>
      </c>
      <c r="O625" s="13" t="str" cm="1">
        <f t="array" ref="O62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625">
        <v>98</v>
      </c>
      <c r="Q625" s="13" t="str" cm="1">
        <f t="array" ref="Q62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625">
        <v>66</v>
      </c>
      <c r="S625" t="str" cm="1">
        <f t="array" ref="S62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625">
        <v>62</v>
      </c>
      <c r="U625" t="str" cm="1">
        <f t="array" ref="U62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625">
        <v>95</v>
      </c>
      <c r="W625" t="str" cm="1">
        <f t="array" ref="W62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625">
        <v>90</v>
      </c>
      <c r="Y625" t="str" cm="1">
        <f t="array" ref="Y62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625">
        <f>SUM(Table1[[#This Row],[Math 
Score]],Table1[[#This Row],[History 
Score]],Table1[[#This Row],[Physics 
Score]],Table1[[#This Row],[Chemistry 
Score]],Table1[[#This Row],[Biology 
Score]],Table1[[#This Row],[English 
Score]],Table1[[#This Row],[Geography 
Score]])</f>
        <v>585</v>
      </c>
      <c r="AA625" s="3">
        <f>AVERAGE(Table1[[#This Row],[Math 
Score]],Table1[[#This Row],[History 
Score]],Table1[[#This Row],[Physics 
Score]],Table1[[#This Row],[Chemistry 
Score]],Table1[[#This Row],[Biology 
Score]],Table1[[#This Row],[English 
Score]],Table1[[#This Row],[Geography 
Score]])</f>
        <v>83.571428571428569</v>
      </c>
      <c r="AB62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625">
        <f t="shared" si="9"/>
        <v>615</v>
      </c>
      <c r="AD625" t="str">
        <f>_xlfn.IFS(Table1[[#This Row],[Absence 
Days]]&lt;3,"Excellent",Table1[[#This Row],[Absence 
Days]]&lt;=6,"Good",Table1[[#This Row],[Absence 
Days]]&gt;6,"Poor")</f>
        <v>Good</v>
      </c>
    </row>
    <row r="626" spans="1:30" x14ac:dyDescent="0.35">
      <c r="A626">
        <v>625</v>
      </c>
      <c r="B626" s="2" t="s">
        <v>128</v>
      </c>
      <c r="C626" t="s">
        <v>275</v>
      </c>
      <c r="D626" t="str">
        <f>_xlfn.TEXTJOIN(" ",TRUE,Table1[[#This Row],[First 
Name]:[Last 
Name]])</f>
        <v>Logan Lindsey</v>
      </c>
      <c r="E626" t="s">
        <v>1736</v>
      </c>
      <c r="F626" t="s">
        <v>3244</v>
      </c>
      <c r="G626" t="str">
        <f ca="1">PROPER(Table1[[#This Row],[Part Time 
Job]])</f>
        <v>False</v>
      </c>
      <c r="H626" s="3">
        <v>3</v>
      </c>
      <c r="I626" t="str">
        <f ca="1">PROPER(Table1[[#This Row],[Extracurricular 
Activities]])</f>
        <v>False</v>
      </c>
      <c r="J626">
        <v>4</v>
      </c>
      <c r="K626" t="s">
        <v>3115</v>
      </c>
      <c r="L626">
        <v>83</v>
      </c>
      <c r="M626" s="12" t="str" cm="1">
        <f t="array" ref="M62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626">
        <v>78</v>
      </c>
      <c r="O626" s="13" t="str" cm="1">
        <f t="array" ref="O62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626">
        <v>68</v>
      </c>
      <c r="Q626" s="13" t="str" cm="1">
        <f t="array" ref="Q62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626">
        <v>72</v>
      </c>
      <c r="S626" t="str" cm="1">
        <f t="array" ref="S62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626">
        <v>77</v>
      </c>
      <c r="U626" t="str" cm="1">
        <f t="array" ref="U62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626">
        <v>89</v>
      </c>
      <c r="W626" t="str" cm="1">
        <f t="array" ref="W62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626">
        <v>70</v>
      </c>
      <c r="Y626" t="str" cm="1">
        <f t="array" ref="Y62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626">
        <f>SUM(Table1[[#This Row],[Math 
Score]],Table1[[#This Row],[History 
Score]],Table1[[#This Row],[Physics 
Score]],Table1[[#This Row],[Chemistry 
Score]],Table1[[#This Row],[Biology 
Score]],Table1[[#This Row],[English 
Score]],Table1[[#This Row],[Geography 
Score]])</f>
        <v>537</v>
      </c>
      <c r="AA626" s="3">
        <f>AVERAGE(Table1[[#This Row],[Math 
Score]],Table1[[#This Row],[History 
Score]],Table1[[#This Row],[Physics 
Score]],Table1[[#This Row],[Chemistry 
Score]],Table1[[#This Row],[Biology 
Score]],Table1[[#This Row],[English 
Score]],Table1[[#This Row],[Geography 
Score]])</f>
        <v>76.714285714285708</v>
      </c>
      <c r="AB62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626">
        <f t="shared" si="9"/>
        <v>1553</v>
      </c>
      <c r="AD626" t="str">
        <f>_xlfn.IFS(Table1[[#This Row],[Absence 
Days]]&lt;3,"Excellent",Table1[[#This Row],[Absence 
Days]]&lt;=6,"Good",Table1[[#This Row],[Absence 
Days]]&gt;6,"Poor")</f>
        <v>Good</v>
      </c>
    </row>
    <row r="627" spans="1:30" x14ac:dyDescent="0.35">
      <c r="A627">
        <v>626</v>
      </c>
      <c r="B627" s="2" t="s">
        <v>20</v>
      </c>
      <c r="C627" t="s">
        <v>475</v>
      </c>
      <c r="D627" t="str">
        <f>_xlfn.TEXTJOIN(" ",TRUE,Table1[[#This Row],[First 
Name]:[Last 
Name]])</f>
        <v>Kyle Williams</v>
      </c>
      <c r="E627" t="s">
        <v>1737</v>
      </c>
      <c r="F627" t="s">
        <v>3244</v>
      </c>
      <c r="G627" t="str">
        <f ca="1">PROPER(Table1[[#This Row],[Part Time 
Job]])</f>
        <v>False</v>
      </c>
      <c r="H627" s="3">
        <v>6</v>
      </c>
      <c r="I627" t="str">
        <f ca="1">PROPER(Table1[[#This Row],[Extracurricular 
Activities]])</f>
        <v>False</v>
      </c>
      <c r="J627">
        <v>27</v>
      </c>
      <c r="K627" t="s">
        <v>3112</v>
      </c>
      <c r="L627">
        <v>85</v>
      </c>
      <c r="M627" s="12" t="str" cm="1">
        <f t="array" ref="M62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627">
        <v>92</v>
      </c>
      <c r="O627" s="13" t="str" cm="1">
        <f t="array" ref="O62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627">
        <v>62</v>
      </c>
      <c r="Q627" s="13" t="str" cm="1">
        <f t="array" ref="Q62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627">
        <v>95</v>
      </c>
      <c r="S627" t="str" cm="1">
        <f t="array" ref="S62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627">
        <v>65</v>
      </c>
      <c r="U627" t="str" cm="1">
        <f t="array" ref="U62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627">
        <v>89</v>
      </c>
      <c r="W627" t="str" cm="1">
        <f t="array" ref="W62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627">
        <v>95</v>
      </c>
      <c r="Y627" t="str" cm="1">
        <f t="array" ref="Y62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627">
        <f>SUM(Table1[[#This Row],[Math 
Score]],Table1[[#This Row],[History 
Score]],Table1[[#This Row],[Physics 
Score]],Table1[[#This Row],[Chemistry 
Score]],Table1[[#This Row],[Biology 
Score]],Table1[[#This Row],[English 
Score]],Table1[[#This Row],[Geography 
Score]])</f>
        <v>583</v>
      </c>
      <c r="AA627" s="3">
        <f>AVERAGE(Table1[[#This Row],[Math 
Score]],Table1[[#This Row],[History 
Score]],Table1[[#This Row],[Physics 
Score]],Table1[[#This Row],[Chemistry 
Score]],Table1[[#This Row],[Biology 
Score]],Table1[[#This Row],[English 
Score]],Table1[[#This Row],[Geography 
Score]])</f>
        <v>83.285714285714292</v>
      </c>
      <c r="AB62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627">
        <f t="shared" si="9"/>
        <v>655</v>
      </c>
      <c r="AD627" t="str">
        <f>_xlfn.IFS(Table1[[#This Row],[Absence 
Days]]&lt;3,"Excellent",Table1[[#This Row],[Absence 
Days]]&lt;=6,"Good",Table1[[#This Row],[Absence 
Days]]&gt;6,"Poor")</f>
        <v>Good</v>
      </c>
    </row>
    <row r="628" spans="1:30" x14ac:dyDescent="0.35">
      <c r="A628">
        <v>627</v>
      </c>
      <c r="B628" s="2" t="s">
        <v>109</v>
      </c>
      <c r="C628" t="s">
        <v>635</v>
      </c>
      <c r="D628" t="str">
        <f>_xlfn.TEXTJOIN(" ",TRUE,Table1[[#This Row],[First 
Name]:[Last 
Name]])</f>
        <v>Mark Padilla</v>
      </c>
      <c r="E628" t="s">
        <v>1738</v>
      </c>
      <c r="F628" t="s">
        <v>3244</v>
      </c>
      <c r="G628" t="str">
        <f ca="1">PROPER(Table1[[#This Row],[Part Time 
Job]])</f>
        <v>False</v>
      </c>
      <c r="H628" s="3">
        <v>3</v>
      </c>
      <c r="I628" t="str">
        <f ca="1">PROPER(Table1[[#This Row],[Extracurricular 
Activities]])</f>
        <v>False</v>
      </c>
      <c r="J628">
        <v>0</v>
      </c>
      <c r="K628" t="s">
        <v>3115</v>
      </c>
      <c r="L628">
        <v>66</v>
      </c>
      <c r="M628" s="12" t="str" cm="1">
        <f t="array" ref="M628">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628">
        <v>78</v>
      </c>
      <c r="O628" s="13" t="str" cm="1">
        <f t="array" ref="O62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628">
        <v>86</v>
      </c>
      <c r="Q628" s="13" t="str" cm="1">
        <f t="array" ref="Q62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628">
        <v>87</v>
      </c>
      <c r="S628" t="str" cm="1">
        <f t="array" ref="S62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628">
        <v>64</v>
      </c>
      <c r="U628" t="str" cm="1">
        <f t="array" ref="U62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628">
        <v>65</v>
      </c>
      <c r="W628" t="str" cm="1">
        <f t="array" ref="W62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628">
        <v>64</v>
      </c>
      <c r="Y628" t="str" cm="1">
        <f t="array" ref="Y62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628">
        <f>SUM(Table1[[#This Row],[Math 
Score]],Table1[[#This Row],[History 
Score]],Table1[[#This Row],[Physics 
Score]],Table1[[#This Row],[Chemistry 
Score]],Table1[[#This Row],[Biology 
Score]],Table1[[#This Row],[English 
Score]],Table1[[#This Row],[Geography 
Score]])</f>
        <v>510</v>
      </c>
      <c r="AA628" s="3">
        <f>AVERAGE(Table1[[#This Row],[Math 
Score]],Table1[[#This Row],[History 
Score]],Table1[[#This Row],[Physics 
Score]],Table1[[#This Row],[Chemistry 
Score]],Table1[[#This Row],[Biology 
Score]],Table1[[#This Row],[English 
Score]],Table1[[#This Row],[Geography 
Score]])</f>
        <v>72.857142857142861</v>
      </c>
      <c r="AB62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628">
        <f t="shared" si="9"/>
        <v>1828</v>
      </c>
      <c r="AD628" t="str">
        <f>_xlfn.IFS(Table1[[#This Row],[Absence 
Days]]&lt;3,"Excellent",Table1[[#This Row],[Absence 
Days]]&lt;=6,"Good",Table1[[#This Row],[Absence 
Days]]&gt;6,"Poor")</f>
        <v>Good</v>
      </c>
    </row>
    <row r="629" spans="1:30" x14ac:dyDescent="0.35">
      <c r="A629">
        <v>628</v>
      </c>
      <c r="B629" s="2" t="s">
        <v>273</v>
      </c>
      <c r="C629" t="s">
        <v>455</v>
      </c>
      <c r="D629" t="str">
        <f>_xlfn.TEXTJOIN(" ",TRUE,Table1[[#This Row],[First 
Name]:[Last 
Name]])</f>
        <v>Eugene Clark</v>
      </c>
      <c r="E629" t="s">
        <v>1739</v>
      </c>
      <c r="F629" t="s">
        <v>3244</v>
      </c>
      <c r="G629" t="str">
        <f ca="1">PROPER(Table1[[#This Row],[Part Time 
Job]])</f>
        <v>False</v>
      </c>
      <c r="H629" s="3">
        <v>6</v>
      </c>
      <c r="I629" t="str">
        <f ca="1">PROPER(Table1[[#This Row],[Extracurricular 
Activities]])</f>
        <v>True</v>
      </c>
      <c r="J629">
        <v>16</v>
      </c>
      <c r="K629" t="s">
        <v>3123</v>
      </c>
      <c r="L629">
        <v>93</v>
      </c>
      <c r="M629" s="12" t="str" cm="1">
        <f t="array" ref="M62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629">
        <v>80</v>
      </c>
      <c r="O629" s="13" t="str" cm="1">
        <f t="array" ref="O62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629">
        <v>60</v>
      </c>
      <c r="Q629" s="13" t="str" cm="1">
        <f t="array" ref="Q62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629">
        <v>62</v>
      </c>
      <c r="S629" t="str" cm="1">
        <f t="array" ref="S62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629">
        <v>43</v>
      </c>
      <c r="U629" t="str" cm="1">
        <f t="array" ref="U62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D</v>
      </c>
      <c r="V629">
        <v>68</v>
      </c>
      <c r="W629" t="str" cm="1">
        <f t="array" ref="W62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629">
        <v>67</v>
      </c>
      <c r="Y629" t="str" cm="1">
        <f t="array" ref="Y62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629">
        <f>SUM(Table1[[#This Row],[Math 
Score]],Table1[[#This Row],[History 
Score]],Table1[[#This Row],[Physics 
Score]],Table1[[#This Row],[Chemistry 
Score]],Table1[[#This Row],[Biology 
Score]],Table1[[#This Row],[English 
Score]],Table1[[#This Row],[Geography 
Score]])</f>
        <v>473</v>
      </c>
      <c r="AA629" s="3">
        <f>AVERAGE(Table1[[#This Row],[Math 
Score]],Table1[[#This Row],[History 
Score]],Table1[[#This Row],[Physics 
Score]],Table1[[#This Row],[Chemistry 
Score]],Table1[[#This Row],[Biology 
Score]],Table1[[#This Row],[English 
Score]],Table1[[#This Row],[Geography 
Score]])</f>
        <v>67.571428571428569</v>
      </c>
      <c r="AB62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629">
        <f t="shared" si="9"/>
        <v>1952</v>
      </c>
      <c r="AD629" t="str">
        <f>_xlfn.IFS(Table1[[#This Row],[Absence 
Days]]&lt;3,"Excellent",Table1[[#This Row],[Absence 
Days]]&lt;=6,"Good",Table1[[#This Row],[Absence 
Days]]&gt;6,"Poor")</f>
        <v>Good</v>
      </c>
    </row>
    <row r="630" spans="1:30" x14ac:dyDescent="0.35">
      <c r="A630">
        <v>629</v>
      </c>
      <c r="B630" s="2" t="s">
        <v>22</v>
      </c>
      <c r="C630" t="s">
        <v>797</v>
      </c>
      <c r="D630" t="str">
        <f>_xlfn.TEXTJOIN(" ",TRUE,Table1[[#This Row],[First 
Name]:[Last 
Name]])</f>
        <v>Sean Wagner</v>
      </c>
      <c r="E630" t="s">
        <v>1740</v>
      </c>
      <c r="F630" t="s">
        <v>3244</v>
      </c>
      <c r="G630" t="str">
        <f ca="1">PROPER(Table1[[#This Row],[Part Time 
Job]])</f>
        <v>False</v>
      </c>
      <c r="H630" s="3">
        <v>6</v>
      </c>
      <c r="I630" t="str">
        <f ca="1">PROPER(Table1[[#This Row],[Extracurricular 
Activities]])</f>
        <v>True</v>
      </c>
      <c r="J630">
        <v>14</v>
      </c>
      <c r="K630" t="s">
        <v>3116</v>
      </c>
      <c r="L630">
        <v>65</v>
      </c>
      <c r="M630" s="12" t="str" cm="1">
        <f t="array" ref="M630">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630">
        <v>89</v>
      </c>
      <c r="O630" s="13" t="str" cm="1">
        <f t="array" ref="O63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630">
        <v>79</v>
      </c>
      <c r="Q630" s="13" t="str" cm="1">
        <f t="array" ref="Q63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630">
        <v>95</v>
      </c>
      <c r="S630" t="str" cm="1">
        <f t="array" ref="S63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630">
        <v>71</v>
      </c>
      <c r="U630" t="str" cm="1">
        <f t="array" ref="U63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630">
        <v>61</v>
      </c>
      <c r="W630" t="str" cm="1">
        <f t="array" ref="W63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630">
        <v>62</v>
      </c>
      <c r="Y630" t="str" cm="1">
        <f t="array" ref="Y63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630">
        <f>SUM(Table1[[#This Row],[Math 
Score]],Table1[[#This Row],[History 
Score]],Table1[[#This Row],[Physics 
Score]],Table1[[#This Row],[Chemistry 
Score]],Table1[[#This Row],[Biology 
Score]],Table1[[#This Row],[English 
Score]],Table1[[#This Row],[Geography 
Score]])</f>
        <v>522</v>
      </c>
      <c r="AA630" s="3">
        <f>AVERAGE(Table1[[#This Row],[Math 
Score]],Table1[[#This Row],[History 
Score]],Table1[[#This Row],[Physics 
Score]],Table1[[#This Row],[Chemistry 
Score]],Table1[[#This Row],[Biology 
Score]],Table1[[#This Row],[English 
Score]],Table1[[#This Row],[Geography 
Score]])</f>
        <v>74.571428571428569</v>
      </c>
      <c r="AB63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630">
        <f t="shared" si="9"/>
        <v>1739</v>
      </c>
      <c r="AD630" t="str">
        <f>_xlfn.IFS(Table1[[#This Row],[Absence 
Days]]&lt;3,"Excellent",Table1[[#This Row],[Absence 
Days]]&lt;=6,"Good",Table1[[#This Row],[Absence 
Days]]&gt;6,"Poor")</f>
        <v>Good</v>
      </c>
    </row>
    <row r="631" spans="1:30" x14ac:dyDescent="0.35">
      <c r="A631">
        <v>630</v>
      </c>
      <c r="B631" s="2" t="s">
        <v>206</v>
      </c>
      <c r="C631" t="s">
        <v>798</v>
      </c>
      <c r="D631" t="str">
        <f>_xlfn.TEXTJOIN(" ",TRUE,Table1[[#This Row],[First 
Name]:[Last 
Name]])</f>
        <v>Christine Larson</v>
      </c>
      <c r="E631" t="s">
        <v>1741</v>
      </c>
      <c r="F631" t="s">
        <v>3245</v>
      </c>
      <c r="G631" t="str">
        <f ca="1">PROPER(Table1[[#This Row],[Part Time 
Job]])</f>
        <v>True</v>
      </c>
      <c r="H631" s="3">
        <v>2</v>
      </c>
      <c r="I631" t="str">
        <f ca="1">PROPER(Table1[[#This Row],[Extracurricular 
Activities]])</f>
        <v>False</v>
      </c>
      <c r="J631">
        <v>5</v>
      </c>
      <c r="K631" t="s">
        <v>3128</v>
      </c>
      <c r="L631">
        <v>52</v>
      </c>
      <c r="M631" s="12" t="str" cm="1">
        <f t="array" ref="M631">_xlfn.IFS(Table1[[#This Row],[Math 
Score]]&gt;=90,"A+",Table1[[#This Row],[Math 
Score]]&gt;=80,"A", Table1[[#This Row],[Math 
Score]]&gt;=75,"A-",Table1[[#This Row],[Math 
Score]]&gt;=70,"B+",Table1[[#This Row],[Math 
Score]]&gt;=65,"B",Table1[[#This Row],[Math 
Score]]&gt;=60,"B-",Table1[[#This Row],[Math 
Score]]&gt;=50,"C",Table1[[#This Row],[Math 
Score]]&gt;=40,"D",Table1[[#This Row],[Math 
Score]]&lt;40,"F")</f>
        <v>C</v>
      </c>
      <c r="N631">
        <v>66</v>
      </c>
      <c r="O631" s="13" t="str" cm="1">
        <f t="array" ref="O63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631">
        <v>98</v>
      </c>
      <c r="Q631" s="13" t="str" cm="1">
        <f t="array" ref="Q63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631">
        <v>83</v>
      </c>
      <c r="S631" t="str" cm="1">
        <f t="array" ref="S63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631">
        <v>92</v>
      </c>
      <c r="U631" t="str" cm="1">
        <f t="array" ref="U63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631">
        <v>82</v>
      </c>
      <c r="W631" t="str" cm="1">
        <f t="array" ref="W63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631">
        <v>91</v>
      </c>
      <c r="Y631" t="str" cm="1">
        <f t="array" ref="Y63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631">
        <f>SUM(Table1[[#This Row],[Math 
Score]],Table1[[#This Row],[History 
Score]],Table1[[#This Row],[Physics 
Score]],Table1[[#This Row],[Chemistry 
Score]],Table1[[#This Row],[Biology 
Score]],Table1[[#This Row],[English 
Score]],Table1[[#This Row],[Geography 
Score]])</f>
        <v>564</v>
      </c>
      <c r="AA631" s="3">
        <f>AVERAGE(Table1[[#This Row],[Math 
Score]],Table1[[#This Row],[History 
Score]],Table1[[#This Row],[Physics 
Score]],Table1[[#This Row],[Chemistry 
Score]],Table1[[#This Row],[Biology 
Score]],Table1[[#This Row],[English 
Score]],Table1[[#This Row],[Geography 
Score]])</f>
        <v>80.571428571428569</v>
      </c>
      <c r="AB63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631">
        <f t="shared" si="9"/>
        <v>1056</v>
      </c>
      <c r="AD631" t="str">
        <f>_xlfn.IFS(Table1[[#This Row],[Absence 
Days]]&lt;3,"Excellent",Table1[[#This Row],[Absence 
Days]]&lt;=6,"Good",Table1[[#This Row],[Absence 
Days]]&gt;6,"Poor")</f>
        <v>Excellent</v>
      </c>
    </row>
    <row r="632" spans="1:30" x14ac:dyDescent="0.35">
      <c r="A632">
        <v>631</v>
      </c>
      <c r="B632" s="2" t="s">
        <v>254</v>
      </c>
      <c r="C632" t="s">
        <v>799</v>
      </c>
      <c r="D632" t="str">
        <f>_xlfn.TEXTJOIN(" ",TRUE,Table1[[#This Row],[First 
Name]:[Last 
Name]])</f>
        <v>Melinda Freeman</v>
      </c>
      <c r="E632" t="s">
        <v>1742</v>
      </c>
      <c r="F632" t="s">
        <v>3245</v>
      </c>
      <c r="G632" t="str">
        <f ca="1">PROPER(Table1[[#This Row],[Part Time 
Job]])</f>
        <v>False</v>
      </c>
      <c r="H632" s="3">
        <v>3</v>
      </c>
      <c r="I632" t="str">
        <f ca="1">PROPER(Table1[[#This Row],[Extracurricular 
Activities]])</f>
        <v>True</v>
      </c>
      <c r="J632">
        <v>31</v>
      </c>
      <c r="K632" t="s">
        <v>3121</v>
      </c>
      <c r="L632">
        <v>90</v>
      </c>
      <c r="M632" s="12" t="str" cm="1">
        <f t="array" ref="M63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632">
        <v>80</v>
      </c>
      <c r="O632" s="13" t="str" cm="1">
        <f t="array" ref="O63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632">
        <v>84</v>
      </c>
      <c r="Q632" s="13" t="str" cm="1">
        <f t="array" ref="Q63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632">
        <v>70</v>
      </c>
      <c r="S632" t="str" cm="1">
        <f t="array" ref="S63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632">
        <v>65</v>
      </c>
      <c r="U632" t="str" cm="1">
        <f t="array" ref="U63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632">
        <v>89</v>
      </c>
      <c r="W632" t="str" cm="1">
        <f t="array" ref="W63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632">
        <v>64</v>
      </c>
      <c r="Y632" t="str" cm="1">
        <f t="array" ref="Y63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632">
        <f>SUM(Table1[[#This Row],[Math 
Score]],Table1[[#This Row],[History 
Score]],Table1[[#This Row],[Physics 
Score]],Table1[[#This Row],[Chemistry 
Score]],Table1[[#This Row],[Biology 
Score]],Table1[[#This Row],[English 
Score]],Table1[[#This Row],[Geography 
Score]])</f>
        <v>542</v>
      </c>
      <c r="AA632" s="3">
        <f>AVERAGE(Table1[[#This Row],[Math 
Score]],Table1[[#This Row],[History 
Score]],Table1[[#This Row],[Physics 
Score]],Table1[[#This Row],[Chemistry 
Score]],Table1[[#This Row],[Biology 
Score]],Table1[[#This Row],[English 
Score]],Table1[[#This Row],[Geography 
Score]])</f>
        <v>77.428571428571431</v>
      </c>
      <c r="AB63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632">
        <f t="shared" si="9"/>
        <v>1478</v>
      </c>
      <c r="AD632" t="str">
        <f>_xlfn.IFS(Table1[[#This Row],[Absence 
Days]]&lt;3,"Excellent",Table1[[#This Row],[Absence 
Days]]&lt;=6,"Good",Table1[[#This Row],[Absence 
Days]]&gt;6,"Poor")</f>
        <v>Good</v>
      </c>
    </row>
    <row r="633" spans="1:30" x14ac:dyDescent="0.35">
      <c r="A633">
        <v>632</v>
      </c>
      <c r="B633" s="2" t="s">
        <v>42</v>
      </c>
      <c r="C633" t="s">
        <v>458</v>
      </c>
      <c r="D633" t="str">
        <f>_xlfn.TEXTJOIN(" ",TRUE,Table1[[#This Row],[First 
Name]:[Last 
Name]])</f>
        <v>Elizabeth Smith</v>
      </c>
      <c r="E633" t="s">
        <v>1743</v>
      </c>
      <c r="F633" t="s">
        <v>3245</v>
      </c>
      <c r="G633" t="str">
        <f ca="1">PROPER(Table1[[#This Row],[Part Time 
Job]])</f>
        <v>False</v>
      </c>
      <c r="H633" s="3">
        <v>2</v>
      </c>
      <c r="I633" t="str">
        <f ca="1">PROPER(Table1[[#This Row],[Extracurricular 
Activities]])</f>
        <v>True</v>
      </c>
      <c r="J633">
        <v>4</v>
      </c>
      <c r="K633" t="s">
        <v>3115</v>
      </c>
      <c r="L633">
        <v>83</v>
      </c>
      <c r="M633" s="12" t="str" cm="1">
        <f t="array" ref="M63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633">
        <v>89</v>
      </c>
      <c r="O633" s="13" t="str" cm="1">
        <f t="array" ref="O63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633">
        <v>99</v>
      </c>
      <c r="Q633" s="13" t="str" cm="1">
        <f t="array" ref="Q63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633">
        <v>100</v>
      </c>
      <c r="S633" t="str" cm="1">
        <f t="array" ref="S63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633">
        <v>73</v>
      </c>
      <c r="U633" t="str" cm="1">
        <f t="array" ref="U63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633">
        <v>86</v>
      </c>
      <c r="W633" t="str" cm="1">
        <f t="array" ref="W63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633">
        <v>88</v>
      </c>
      <c r="Y633" t="str" cm="1">
        <f t="array" ref="Y63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633">
        <f>SUM(Table1[[#This Row],[Math 
Score]],Table1[[#This Row],[History 
Score]],Table1[[#This Row],[Physics 
Score]],Table1[[#This Row],[Chemistry 
Score]],Table1[[#This Row],[Biology 
Score]],Table1[[#This Row],[English 
Score]],Table1[[#This Row],[Geography 
Score]])</f>
        <v>618</v>
      </c>
      <c r="AA633" s="3">
        <f>AVERAGE(Table1[[#This Row],[Math 
Score]],Table1[[#This Row],[History 
Score]],Table1[[#This Row],[Physics 
Score]],Table1[[#This Row],[Chemistry 
Score]],Table1[[#This Row],[Biology 
Score]],Table1[[#This Row],[English 
Score]],Table1[[#This Row],[Geography 
Score]])</f>
        <v>88.285714285714292</v>
      </c>
      <c r="AB63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633">
        <f t="shared" si="9"/>
        <v>229</v>
      </c>
      <c r="AD633" t="str">
        <f>_xlfn.IFS(Table1[[#This Row],[Absence 
Days]]&lt;3,"Excellent",Table1[[#This Row],[Absence 
Days]]&lt;=6,"Good",Table1[[#This Row],[Absence 
Days]]&gt;6,"Poor")</f>
        <v>Excellent</v>
      </c>
    </row>
    <row r="634" spans="1:30" x14ac:dyDescent="0.35">
      <c r="A634">
        <v>633</v>
      </c>
      <c r="B634" s="2" t="s">
        <v>274</v>
      </c>
      <c r="C634" t="s">
        <v>800</v>
      </c>
      <c r="D634" t="str">
        <f>_xlfn.TEXTJOIN(" ",TRUE,Table1[[#This Row],[First 
Name]:[Last 
Name]])</f>
        <v>Walter King</v>
      </c>
      <c r="E634" t="s">
        <v>1744</v>
      </c>
      <c r="F634" t="s">
        <v>3244</v>
      </c>
      <c r="G634" t="str">
        <f ca="1">PROPER(Table1[[#This Row],[Part Time 
Job]])</f>
        <v>False</v>
      </c>
      <c r="H634" s="3">
        <v>1</v>
      </c>
      <c r="I634" t="str">
        <f ca="1">PROPER(Table1[[#This Row],[Extracurricular 
Activities]])</f>
        <v>False</v>
      </c>
      <c r="J634">
        <v>5</v>
      </c>
      <c r="K634" t="s">
        <v>3115</v>
      </c>
      <c r="L634">
        <v>62</v>
      </c>
      <c r="M634" s="12" t="str" cm="1">
        <f t="array" ref="M634">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634">
        <v>89</v>
      </c>
      <c r="O634" s="13" t="str" cm="1">
        <f t="array" ref="O63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634">
        <v>72</v>
      </c>
      <c r="Q634" s="13" t="str" cm="1">
        <f t="array" ref="Q63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634">
        <v>68</v>
      </c>
      <c r="S634" t="str" cm="1">
        <f t="array" ref="S63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634">
        <v>85</v>
      </c>
      <c r="U634" t="str" cm="1">
        <f t="array" ref="U63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634">
        <v>80</v>
      </c>
      <c r="W634" t="str" cm="1">
        <f t="array" ref="W63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634">
        <v>75</v>
      </c>
      <c r="Y634" t="str" cm="1">
        <f t="array" ref="Y63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634">
        <f>SUM(Table1[[#This Row],[Math 
Score]],Table1[[#This Row],[History 
Score]],Table1[[#This Row],[Physics 
Score]],Table1[[#This Row],[Chemistry 
Score]],Table1[[#This Row],[Biology 
Score]],Table1[[#This Row],[English 
Score]],Table1[[#This Row],[Geography 
Score]])</f>
        <v>531</v>
      </c>
      <c r="AA634" s="3">
        <f>AVERAGE(Table1[[#This Row],[Math 
Score]],Table1[[#This Row],[History 
Score]],Table1[[#This Row],[Physics 
Score]],Table1[[#This Row],[Chemistry 
Score]],Table1[[#This Row],[Biology 
Score]],Table1[[#This Row],[English 
Score]],Table1[[#This Row],[Geography 
Score]])</f>
        <v>75.857142857142861</v>
      </c>
      <c r="AB63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634">
        <f t="shared" si="9"/>
        <v>1637</v>
      </c>
      <c r="AD634" t="str">
        <f>_xlfn.IFS(Table1[[#This Row],[Absence 
Days]]&lt;3,"Excellent",Table1[[#This Row],[Absence 
Days]]&lt;=6,"Good",Table1[[#This Row],[Absence 
Days]]&gt;6,"Poor")</f>
        <v>Excellent</v>
      </c>
    </row>
    <row r="635" spans="1:30" x14ac:dyDescent="0.35">
      <c r="A635">
        <v>634</v>
      </c>
      <c r="B635" s="2" t="s">
        <v>32</v>
      </c>
      <c r="C635" t="s">
        <v>801</v>
      </c>
      <c r="D635" t="str">
        <f>_xlfn.TEXTJOIN(" ",TRUE,Table1[[#This Row],[First 
Name]:[Last 
Name]])</f>
        <v>Lisa Bean</v>
      </c>
      <c r="E635" t="s">
        <v>1745</v>
      </c>
      <c r="F635" t="s">
        <v>3245</v>
      </c>
      <c r="G635" t="str">
        <f ca="1">PROPER(Table1[[#This Row],[Part Time 
Job]])</f>
        <v>False</v>
      </c>
      <c r="H635" s="3">
        <v>1</v>
      </c>
      <c r="I635" t="str">
        <f ca="1">PROPER(Table1[[#This Row],[Extracurricular 
Activities]])</f>
        <v>False</v>
      </c>
      <c r="J635">
        <v>11</v>
      </c>
      <c r="K635" t="s">
        <v>3122</v>
      </c>
      <c r="L635">
        <v>98</v>
      </c>
      <c r="M635" s="12" t="str" cm="1">
        <f t="array" ref="M63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635">
        <v>72</v>
      </c>
      <c r="O635" s="13" t="str" cm="1">
        <f t="array" ref="O63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635">
        <v>99</v>
      </c>
      <c r="Q635" s="13" t="str" cm="1">
        <f t="array" ref="Q63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635">
        <v>84</v>
      </c>
      <c r="S635" t="str" cm="1">
        <f t="array" ref="S63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635">
        <v>60</v>
      </c>
      <c r="U635" t="str" cm="1">
        <f t="array" ref="U63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635">
        <v>95</v>
      </c>
      <c r="W635" t="str" cm="1">
        <f t="array" ref="W63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635">
        <v>93</v>
      </c>
      <c r="Y635" t="str" cm="1">
        <f t="array" ref="Y63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635">
        <f>SUM(Table1[[#This Row],[Math 
Score]],Table1[[#This Row],[History 
Score]],Table1[[#This Row],[Physics 
Score]],Table1[[#This Row],[Chemistry 
Score]],Table1[[#This Row],[Biology 
Score]],Table1[[#This Row],[English 
Score]],Table1[[#This Row],[Geography 
Score]])</f>
        <v>601</v>
      </c>
      <c r="AA635" s="3">
        <f>AVERAGE(Table1[[#This Row],[Math 
Score]],Table1[[#This Row],[History 
Score]],Table1[[#This Row],[Physics 
Score]],Table1[[#This Row],[Chemistry 
Score]],Table1[[#This Row],[Biology 
Score]],Table1[[#This Row],[English 
Score]],Table1[[#This Row],[Geography 
Score]])</f>
        <v>85.857142857142861</v>
      </c>
      <c r="AB63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635">
        <f t="shared" si="9"/>
        <v>394</v>
      </c>
      <c r="AD635" t="str">
        <f>_xlfn.IFS(Table1[[#This Row],[Absence 
Days]]&lt;3,"Excellent",Table1[[#This Row],[Absence 
Days]]&lt;=6,"Good",Table1[[#This Row],[Absence 
Days]]&gt;6,"Poor")</f>
        <v>Excellent</v>
      </c>
    </row>
    <row r="636" spans="1:30" x14ac:dyDescent="0.35">
      <c r="A636">
        <v>635</v>
      </c>
      <c r="B636" s="2" t="s">
        <v>154</v>
      </c>
      <c r="C636" t="s">
        <v>543</v>
      </c>
      <c r="D636" t="str">
        <f>_xlfn.TEXTJOIN(" ",TRUE,Table1[[#This Row],[First 
Name]:[Last 
Name]])</f>
        <v>Douglas Hayes</v>
      </c>
      <c r="E636" t="s">
        <v>1746</v>
      </c>
      <c r="F636" t="s">
        <v>3244</v>
      </c>
      <c r="G636" t="str">
        <f ca="1">PROPER(Table1[[#This Row],[Part Time 
Job]])</f>
        <v>False</v>
      </c>
      <c r="H636" s="3">
        <v>8</v>
      </c>
      <c r="I636" t="str">
        <f ca="1">PROPER(Table1[[#This Row],[Extracurricular 
Activities]])</f>
        <v>True</v>
      </c>
      <c r="J636">
        <v>12</v>
      </c>
      <c r="K636" t="s">
        <v>3116</v>
      </c>
      <c r="L636">
        <v>76</v>
      </c>
      <c r="M636" s="12" t="str" cm="1">
        <f t="array" ref="M63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636">
        <v>75</v>
      </c>
      <c r="O636" s="13" t="str" cm="1">
        <f t="array" ref="O63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636">
        <v>74</v>
      </c>
      <c r="Q636" s="13" t="str" cm="1">
        <f t="array" ref="Q63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636">
        <v>67</v>
      </c>
      <c r="S636" t="str" cm="1">
        <f t="array" ref="S63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636">
        <v>76</v>
      </c>
      <c r="U636" t="str" cm="1">
        <f t="array" ref="U63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636">
        <v>82</v>
      </c>
      <c r="W636" t="str" cm="1">
        <f t="array" ref="W63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636">
        <v>79</v>
      </c>
      <c r="Y636" t="str" cm="1">
        <f t="array" ref="Y63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636">
        <f>SUM(Table1[[#This Row],[Math 
Score]],Table1[[#This Row],[History 
Score]],Table1[[#This Row],[Physics 
Score]],Table1[[#This Row],[Chemistry 
Score]],Table1[[#This Row],[Biology 
Score]],Table1[[#This Row],[English 
Score]],Table1[[#This Row],[Geography 
Score]])</f>
        <v>529</v>
      </c>
      <c r="AA636" s="3">
        <f>AVERAGE(Table1[[#This Row],[Math 
Score]],Table1[[#This Row],[History 
Score]],Table1[[#This Row],[Physics 
Score]],Table1[[#This Row],[Chemistry 
Score]],Table1[[#This Row],[Biology 
Score]],Table1[[#This Row],[English 
Score]],Table1[[#This Row],[Geography 
Score]])</f>
        <v>75.571428571428569</v>
      </c>
      <c r="AB63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636">
        <f t="shared" si="9"/>
        <v>1664</v>
      </c>
      <c r="AD636" t="str">
        <f>_xlfn.IFS(Table1[[#This Row],[Absence 
Days]]&lt;3,"Excellent",Table1[[#This Row],[Absence 
Days]]&lt;=6,"Good",Table1[[#This Row],[Absence 
Days]]&gt;6,"Poor")</f>
        <v>Poor</v>
      </c>
    </row>
    <row r="637" spans="1:30" x14ac:dyDescent="0.35">
      <c r="A637">
        <v>636</v>
      </c>
      <c r="B637" s="2" t="s">
        <v>178</v>
      </c>
      <c r="C637" t="s">
        <v>802</v>
      </c>
      <c r="D637" t="str">
        <f>_xlfn.TEXTJOIN(" ",TRUE,Table1[[#This Row],[First 
Name]:[Last 
Name]])</f>
        <v>Heather Jefferson</v>
      </c>
      <c r="E637" t="s">
        <v>1747</v>
      </c>
      <c r="F637" t="s">
        <v>3245</v>
      </c>
      <c r="G637" t="str">
        <f ca="1">PROPER(Table1[[#This Row],[Part Time 
Job]])</f>
        <v>False</v>
      </c>
      <c r="H637" s="3">
        <v>0</v>
      </c>
      <c r="I637" t="str">
        <f ca="1">PROPER(Table1[[#This Row],[Extracurricular 
Activities]])</f>
        <v>False</v>
      </c>
      <c r="J637">
        <v>5</v>
      </c>
      <c r="K637" t="s">
        <v>3126</v>
      </c>
      <c r="L637">
        <v>97</v>
      </c>
      <c r="M637" s="12" t="str" cm="1">
        <f t="array" ref="M63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637">
        <v>62</v>
      </c>
      <c r="O637" s="13" t="str" cm="1">
        <f t="array" ref="O63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637">
        <v>98</v>
      </c>
      <c r="Q637" s="13" t="str" cm="1">
        <f t="array" ref="Q63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637">
        <v>70</v>
      </c>
      <c r="S637" t="str" cm="1">
        <f t="array" ref="S63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637">
        <v>67</v>
      </c>
      <c r="U637" t="str" cm="1">
        <f t="array" ref="U63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637">
        <v>71</v>
      </c>
      <c r="W637" t="str" cm="1">
        <f t="array" ref="W63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637">
        <v>70</v>
      </c>
      <c r="Y637" t="str" cm="1">
        <f t="array" ref="Y63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637">
        <f>SUM(Table1[[#This Row],[Math 
Score]],Table1[[#This Row],[History 
Score]],Table1[[#This Row],[Physics 
Score]],Table1[[#This Row],[Chemistry 
Score]],Table1[[#This Row],[Biology 
Score]],Table1[[#This Row],[English 
Score]],Table1[[#This Row],[Geography 
Score]])</f>
        <v>535</v>
      </c>
      <c r="AA637" s="3">
        <f>AVERAGE(Table1[[#This Row],[Math 
Score]],Table1[[#This Row],[History 
Score]],Table1[[#This Row],[Physics 
Score]],Table1[[#This Row],[Chemistry 
Score]],Table1[[#This Row],[Biology 
Score]],Table1[[#This Row],[English 
Score]],Table1[[#This Row],[Geography 
Score]])</f>
        <v>76.428571428571431</v>
      </c>
      <c r="AB63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637">
        <f t="shared" si="9"/>
        <v>1578</v>
      </c>
      <c r="AD637" t="str">
        <f>_xlfn.IFS(Table1[[#This Row],[Absence 
Days]]&lt;3,"Excellent",Table1[[#This Row],[Absence 
Days]]&lt;=6,"Good",Table1[[#This Row],[Absence 
Days]]&gt;6,"Poor")</f>
        <v>Excellent</v>
      </c>
    </row>
    <row r="638" spans="1:30" x14ac:dyDescent="0.35">
      <c r="A638">
        <v>637</v>
      </c>
      <c r="B638" s="2" t="s">
        <v>254</v>
      </c>
      <c r="C638" t="s">
        <v>803</v>
      </c>
      <c r="D638" t="str">
        <f>_xlfn.TEXTJOIN(" ",TRUE,Table1[[#This Row],[First 
Name]:[Last 
Name]])</f>
        <v>Melinda Byrd</v>
      </c>
      <c r="E638" t="s">
        <v>1748</v>
      </c>
      <c r="F638" t="s">
        <v>3245</v>
      </c>
      <c r="G638" t="str">
        <f ca="1">PROPER(Table1[[#This Row],[Part Time 
Job]])</f>
        <v>True</v>
      </c>
      <c r="H638" s="3">
        <v>6</v>
      </c>
      <c r="I638" t="str">
        <f ca="1">PROPER(Table1[[#This Row],[Extracurricular 
Activities]])</f>
        <v>False</v>
      </c>
      <c r="J638">
        <v>1</v>
      </c>
      <c r="K638" t="s">
        <v>3119</v>
      </c>
      <c r="L638">
        <v>63</v>
      </c>
      <c r="M638" s="12" t="str" cm="1">
        <f t="array" ref="M638">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638">
        <v>60</v>
      </c>
      <c r="O638" s="13" t="str" cm="1">
        <f t="array" ref="O63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638">
        <v>95</v>
      </c>
      <c r="Q638" s="13" t="str" cm="1">
        <f t="array" ref="Q63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638">
        <v>99</v>
      </c>
      <c r="S638" t="str" cm="1">
        <f t="array" ref="S63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638">
        <v>87</v>
      </c>
      <c r="U638" t="str" cm="1">
        <f t="array" ref="U63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638">
        <v>58</v>
      </c>
      <c r="W638" t="str" cm="1">
        <f t="array" ref="W63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C</v>
      </c>
      <c r="X638">
        <v>66</v>
      </c>
      <c r="Y638" t="str" cm="1">
        <f t="array" ref="Y63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638">
        <f>SUM(Table1[[#This Row],[Math 
Score]],Table1[[#This Row],[History 
Score]],Table1[[#This Row],[Physics 
Score]],Table1[[#This Row],[Chemistry 
Score]],Table1[[#This Row],[Biology 
Score]],Table1[[#This Row],[English 
Score]],Table1[[#This Row],[Geography 
Score]])</f>
        <v>528</v>
      </c>
      <c r="AA638" s="3">
        <f>AVERAGE(Table1[[#This Row],[Math 
Score]],Table1[[#This Row],[History 
Score]],Table1[[#This Row],[Physics 
Score]],Table1[[#This Row],[Chemistry 
Score]],Table1[[#This Row],[Biology 
Score]],Table1[[#This Row],[English 
Score]],Table1[[#This Row],[Geography 
Score]])</f>
        <v>75.428571428571431</v>
      </c>
      <c r="AB63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638">
        <f t="shared" si="9"/>
        <v>1678</v>
      </c>
      <c r="AD638" t="str">
        <f>_xlfn.IFS(Table1[[#This Row],[Absence 
Days]]&lt;3,"Excellent",Table1[[#This Row],[Absence 
Days]]&lt;=6,"Good",Table1[[#This Row],[Absence 
Days]]&gt;6,"Poor")</f>
        <v>Good</v>
      </c>
    </row>
    <row r="639" spans="1:30" x14ac:dyDescent="0.35">
      <c r="A639">
        <v>638</v>
      </c>
      <c r="B639" s="2" t="s">
        <v>261</v>
      </c>
      <c r="C639" t="s">
        <v>804</v>
      </c>
      <c r="D639" t="str">
        <f>_xlfn.TEXTJOIN(" ",TRUE,Table1[[#This Row],[First 
Name]:[Last 
Name]])</f>
        <v>Alexander Burnett</v>
      </c>
      <c r="E639" t="s">
        <v>1749</v>
      </c>
      <c r="F639" t="s">
        <v>3244</v>
      </c>
      <c r="G639" t="str">
        <f ca="1">PROPER(Table1[[#This Row],[Part Time 
Job]])</f>
        <v>False</v>
      </c>
      <c r="H639" s="3">
        <v>5</v>
      </c>
      <c r="I639" t="str">
        <f ca="1">PROPER(Table1[[#This Row],[Extracurricular 
Activities]])</f>
        <v>False</v>
      </c>
      <c r="J639">
        <v>2</v>
      </c>
      <c r="K639" t="s">
        <v>3115</v>
      </c>
      <c r="L639">
        <v>98</v>
      </c>
      <c r="M639" s="12" t="str" cm="1">
        <f t="array" ref="M63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639">
        <v>99</v>
      </c>
      <c r="O639" s="13" t="str" cm="1">
        <f t="array" ref="O63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639">
        <v>64</v>
      </c>
      <c r="Q639" s="13" t="str" cm="1">
        <f t="array" ref="Q63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639">
        <v>88</v>
      </c>
      <c r="S639" t="str" cm="1">
        <f t="array" ref="S63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639">
        <v>72</v>
      </c>
      <c r="U639" t="str" cm="1">
        <f t="array" ref="U63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639">
        <v>87</v>
      </c>
      <c r="W639" t="str" cm="1">
        <f t="array" ref="W63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639">
        <v>99</v>
      </c>
      <c r="Y639" t="str" cm="1">
        <f t="array" ref="Y63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639">
        <f>SUM(Table1[[#This Row],[Math 
Score]],Table1[[#This Row],[History 
Score]],Table1[[#This Row],[Physics 
Score]],Table1[[#This Row],[Chemistry 
Score]],Table1[[#This Row],[Biology 
Score]],Table1[[#This Row],[English 
Score]],Table1[[#This Row],[Geography 
Score]])</f>
        <v>607</v>
      </c>
      <c r="AA639" s="3">
        <f>AVERAGE(Table1[[#This Row],[Math 
Score]],Table1[[#This Row],[History 
Score]],Table1[[#This Row],[Physics 
Score]],Table1[[#This Row],[Chemistry 
Score]],Table1[[#This Row],[Biology 
Score]],Table1[[#This Row],[English 
Score]],Table1[[#This Row],[Geography 
Score]])</f>
        <v>86.714285714285708</v>
      </c>
      <c r="AB63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639">
        <f t="shared" si="9"/>
        <v>325</v>
      </c>
      <c r="AD639" t="str">
        <f>_xlfn.IFS(Table1[[#This Row],[Absence 
Days]]&lt;3,"Excellent",Table1[[#This Row],[Absence 
Days]]&lt;=6,"Good",Table1[[#This Row],[Absence 
Days]]&gt;6,"Poor")</f>
        <v>Good</v>
      </c>
    </row>
    <row r="640" spans="1:30" x14ac:dyDescent="0.35">
      <c r="A640">
        <v>639</v>
      </c>
      <c r="B640" s="2" t="s">
        <v>244</v>
      </c>
      <c r="C640" t="s">
        <v>456</v>
      </c>
      <c r="D640" t="str">
        <f>_xlfn.TEXTJOIN(" ",TRUE,Table1[[#This Row],[First 
Name]:[Last 
Name]])</f>
        <v>Maria Campos</v>
      </c>
      <c r="E640" t="s">
        <v>1750</v>
      </c>
      <c r="F640" t="s">
        <v>3245</v>
      </c>
      <c r="G640" t="str">
        <f ca="1">PROPER(Table1[[#This Row],[Part Time 
Job]])</f>
        <v>True</v>
      </c>
      <c r="H640" s="3">
        <v>10</v>
      </c>
      <c r="I640" t="str">
        <f ca="1">PROPER(Table1[[#This Row],[Extracurricular 
Activities]])</f>
        <v>False</v>
      </c>
      <c r="J640">
        <v>1</v>
      </c>
      <c r="K640" t="s">
        <v>3119</v>
      </c>
      <c r="L640">
        <v>78</v>
      </c>
      <c r="M640" s="12" t="str" cm="1">
        <f t="array" ref="M64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640">
        <v>84</v>
      </c>
      <c r="O640" s="13" t="str" cm="1">
        <f t="array" ref="O64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640">
        <v>84</v>
      </c>
      <c r="Q640" s="13" t="str" cm="1">
        <f t="array" ref="Q64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640">
        <v>61</v>
      </c>
      <c r="S640" t="str" cm="1">
        <f t="array" ref="S64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640">
        <v>88</v>
      </c>
      <c r="U640" t="str" cm="1">
        <f t="array" ref="U64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640">
        <v>67</v>
      </c>
      <c r="W640" t="str" cm="1">
        <f t="array" ref="W64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640">
        <v>92</v>
      </c>
      <c r="Y640" t="str" cm="1">
        <f t="array" ref="Y64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640">
        <f>SUM(Table1[[#This Row],[Math 
Score]],Table1[[#This Row],[History 
Score]],Table1[[#This Row],[Physics 
Score]],Table1[[#This Row],[Chemistry 
Score]],Table1[[#This Row],[Biology 
Score]],Table1[[#This Row],[English 
Score]],Table1[[#This Row],[Geography 
Score]])</f>
        <v>554</v>
      </c>
      <c r="AA640" s="3">
        <f>AVERAGE(Table1[[#This Row],[Math 
Score]],Table1[[#This Row],[History 
Score]],Table1[[#This Row],[Physics 
Score]],Table1[[#This Row],[Chemistry 
Score]],Table1[[#This Row],[Biology 
Score]],Table1[[#This Row],[English 
Score]],Table1[[#This Row],[Geography 
Score]])</f>
        <v>79.142857142857139</v>
      </c>
      <c r="AB64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640">
        <f t="shared" si="9"/>
        <v>1264</v>
      </c>
      <c r="AD640" t="str">
        <f>_xlfn.IFS(Table1[[#This Row],[Absence 
Days]]&lt;3,"Excellent",Table1[[#This Row],[Absence 
Days]]&lt;=6,"Good",Table1[[#This Row],[Absence 
Days]]&gt;6,"Poor")</f>
        <v>Poor</v>
      </c>
    </row>
    <row r="641" spans="1:30" x14ac:dyDescent="0.35">
      <c r="A641">
        <v>640</v>
      </c>
      <c r="B641" s="2" t="s">
        <v>275</v>
      </c>
      <c r="C641" t="s">
        <v>4</v>
      </c>
      <c r="D641" t="str">
        <f>_xlfn.TEXTJOIN(" ",TRUE,Table1[[#This Row],[First 
Name]:[Last 
Name]])</f>
        <v>Lindsey Anthony</v>
      </c>
      <c r="E641" t="s">
        <v>1751</v>
      </c>
      <c r="F641" t="s">
        <v>3245</v>
      </c>
      <c r="G641" t="str">
        <f ca="1">PROPER(Table1[[#This Row],[Part Time 
Job]])</f>
        <v>False</v>
      </c>
      <c r="H641" s="3">
        <v>2</v>
      </c>
      <c r="I641" t="str">
        <f ca="1">PROPER(Table1[[#This Row],[Extracurricular 
Activities]])</f>
        <v>True</v>
      </c>
      <c r="J641">
        <v>30</v>
      </c>
      <c r="K641" t="s">
        <v>3127</v>
      </c>
      <c r="L641">
        <v>85</v>
      </c>
      <c r="M641" s="12" t="str" cm="1">
        <f t="array" ref="M64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641">
        <v>77</v>
      </c>
      <c r="O641" s="13" t="str" cm="1">
        <f t="array" ref="O64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641">
        <v>89</v>
      </c>
      <c r="Q641" s="13" t="str" cm="1">
        <f t="array" ref="Q64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641">
        <v>77</v>
      </c>
      <c r="S641" t="str" cm="1">
        <f t="array" ref="S64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641">
        <v>84</v>
      </c>
      <c r="U641" t="str" cm="1">
        <f t="array" ref="U64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641">
        <v>71</v>
      </c>
      <c r="W641" t="str" cm="1">
        <f t="array" ref="W64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641">
        <v>71</v>
      </c>
      <c r="Y641" t="str" cm="1">
        <f t="array" ref="Y64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641">
        <f>SUM(Table1[[#This Row],[Math 
Score]],Table1[[#This Row],[History 
Score]],Table1[[#This Row],[Physics 
Score]],Table1[[#This Row],[Chemistry 
Score]],Table1[[#This Row],[Biology 
Score]],Table1[[#This Row],[English 
Score]],Table1[[#This Row],[Geography 
Score]])</f>
        <v>554</v>
      </c>
      <c r="AA641" s="3">
        <f>AVERAGE(Table1[[#This Row],[Math 
Score]],Table1[[#This Row],[History 
Score]],Table1[[#This Row],[Physics 
Score]],Table1[[#This Row],[Chemistry 
Score]],Table1[[#This Row],[Biology 
Score]],Table1[[#This Row],[English 
Score]],Table1[[#This Row],[Geography 
Score]])</f>
        <v>79.142857142857139</v>
      </c>
      <c r="AB64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641">
        <f t="shared" si="9"/>
        <v>1264</v>
      </c>
      <c r="AD641" t="str">
        <f>_xlfn.IFS(Table1[[#This Row],[Absence 
Days]]&lt;3,"Excellent",Table1[[#This Row],[Absence 
Days]]&lt;=6,"Good",Table1[[#This Row],[Absence 
Days]]&gt;6,"Poor")</f>
        <v>Excellent</v>
      </c>
    </row>
    <row r="642" spans="1:30" x14ac:dyDescent="0.35">
      <c r="A642">
        <v>641</v>
      </c>
      <c r="B642" s="2" t="s">
        <v>276</v>
      </c>
      <c r="C642" t="s">
        <v>805</v>
      </c>
      <c r="D642" t="str">
        <f>_xlfn.TEXTJOIN(" ",TRUE,Table1[[#This Row],[First 
Name]:[Last 
Name]])</f>
        <v>Darryl Schultz</v>
      </c>
      <c r="E642" t="s">
        <v>1752</v>
      </c>
      <c r="F642" t="s">
        <v>3244</v>
      </c>
      <c r="G642" t="str">
        <f ca="1">PROPER(Table1[[#This Row],[Part Time 
Job]])</f>
        <v>False</v>
      </c>
      <c r="H642" s="3">
        <v>6</v>
      </c>
      <c r="I642" t="str">
        <f ca="1">PROPER(Table1[[#This Row],[Extracurricular 
Activities]])</f>
        <v>False</v>
      </c>
      <c r="J642">
        <v>0</v>
      </c>
      <c r="K642" t="s">
        <v>3119</v>
      </c>
      <c r="L642">
        <v>59</v>
      </c>
      <c r="M642" s="12" t="str" cm="1">
        <f t="array" ref="M642">_xlfn.IFS(Table1[[#This Row],[Math 
Score]]&gt;=90,"A+",Table1[[#This Row],[Math 
Score]]&gt;=80,"A", Table1[[#This Row],[Math 
Score]]&gt;=75,"A-",Table1[[#This Row],[Math 
Score]]&gt;=70,"B+",Table1[[#This Row],[Math 
Score]]&gt;=65,"B",Table1[[#This Row],[Math 
Score]]&gt;=60,"B-",Table1[[#This Row],[Math 
Score]]&gt;=50,"C",Table1[[#This Row],[Math 
Score]]&gt;=40,"D",Table1[[#This Row],[Math 
Score]]&lt;40,"F")</f>
        <v>C</v>
      </c>
      <c r="N642">
        <v>100</v>
      </c>
      <c r="O642" s="13" t="str" cm="1">
        <f t="array" ref="O64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642">
        <v>84</v>
      </c>
      <c r="Q642" s="13" t="str" cm="1">
        <f t="array" ref="Q64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642">
        <v>93</v>
      </c>
      <c r="S642" t="str" cm="1">
        <f t="array" ref="S64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642">
        <v>70</v>
      </c>
      <c r="U642" t="str" cm="1">
        <f t="array" ref="U64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642">
        <v>56</v>
      </c>
      <c r="W642" t="str" cm="1">
        <f t="array" ref="W64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C</v>
      </c>
      <c r="X642">
        <v>74</v>
      </c>
      <c r="Y642" t="str" cm="1">
        <f t="array" ref="Y64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642">
        <f>SUM(Table1[[#This Row],[Math 
Score]],Table1[[#This Row],[History 
Score]],Table1[[#This Row],[Physics 
Score]],Table1[[#This Row],[Chemistry 
Score]],Table1[[#This Row],[Biology 
Score]],Table1[[#This Row],[English 
Score]],Table1[[#This Row],[Geography 
Score]])</f>
        <v>536</v>
      </c>
      <c r="AA642" s="3">
        <f>AVERAGE(Table1[[#This Row],[Math 
Score]],Table1[[#This Row],[History 
Score]],Table1[[#This Row],[Physics 
Score]],Table1[[#This Row],[Chemistry 
Score]],Table1[[#This Row],[Biology 
Score]],Table1[[#This Row],[English 
Score]],Table1[[#This Row],[Geography 
Score]])</f>
        <v>76.571428571428569</v>
      </c>
      <c r="AB64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642">
        <f t="shared" ref="AC642:AC705" si="10">RANK(AA642,$AA$2:$AA$2001,0)</f>
        <v>1567</v>
      </c>
      <c r="AD642" t="str">
        <f>_xlfn.IFS(Table1[[#This Row],[Absence 
Days]]&lt;3,"Excellent",Table1[[#This Row],[Absence 
Days]]&lt;=6,"Good",Table1[[#This Row],[Absence 
Days]]&gt;6,"Poor")</f>
        <v>Good</v>
      </c>
    </row>
    <row r="643" spans="1:30" x14ac:dyDescent="0.35">
      <c r="A643">
        <v>642</v>
      </c>
      <c r="B643" s="2" t="s">
        <v>277</v>
      </c>
      <c r="C643" t="s">
        <v>806</v>
      </c>
      <c r="D643" t="str">
        <f>_xlfn.TEXTJOIN(" ",TRUE,Table1[[#This Row],[First 
Name]:[Last 
Name]])</f>
        <v>Bethany French</v>
      </c>
      <c r="E643" t="s">
        <v>1753</v>
      </c>
      <c r="F643" t="s">
        <v>3245</v>
      </c>
      <c r="G643" t="str">
        <f ca="1">PROPER(Table1[[#This Row],[Part Time 
Job]])</f>
        <v>False</v>
      </c>
      <c r="H643" s="3">
        <v>2</v>
      </c>
      <c r="I643" t="str">
        <f ca="1">PROPER(Table1[[#This Row],[Extracurricular 
Activities]])</f>
        <v>True</v>
      </c>
      <c r="J643">
        <v>6</v>
      </c>
      <c r="K643" t="s">
        <v>3116</v>
      </c>
      <c r="L643">
        <v>99</v>
      </c>
      <c r="M643" s="12" t="str" cm="1">
        <f t="array" ref="M64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643">
        <v>77</v>
      </c>
      <c r="O643" s="13" t="str" cm="1">
        <f t="array" ref="O64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643">
        <v>88</v>
      </c>
      <c r="Q643" s="13" t="str" cm="1">
        <f t="array" ref="Q64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643">
        <v>60</v>
      </c>
      <c r="S643" t="str" cm="1">
        <f t="array" ref="S64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643">
        <v>93</v>
      </c>
      <c r="U643" t="str" cm="1">
        <f t="array" ref="U64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643">
        <v>61</v>
      </c>
      <c r="W643" t="str" cm="1">
        <f t="array" ref="W64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643">
        <v>96</v>
      </c>
      <c r="Y643" t="str" cm="1">
        <f t="array" ref="Y64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643">
        <f>SUM(Table1[[#This Row],[Math 
Score]],Table1[[#This Row],[History 
Score]],Table1[[#This Row],[Physics 
Score]],Table1[[#This Row],[Chemistry 
Score]],Table1[[#This Row],[Biology 
Score]],Table1[[#This Row],[English 
Score]],Table1[[#This Row],[Geography 
Score]])</f>
        <v>574</v>
      </c>
      <c r="AA643" s="3">
        <f>AVERAGE(Table1[[#This Row],[Math 
Score]],Table1[[#This Row],[History 
Score]],Table1[[#This Row],[Physics 
Score]],Table1[[#This Row],[Chemistry 
Score]],Table1[[#This Row],[Biology 
Score]],Table1[[#This Row],[English 
Score]],Table1[[#This Row],[Geography 
Score]])</f>
        <v>82</v>
      </c>
      <c r="AB64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643">
        <f t="shared" si="10"/>
        <v>832</v>
      </c>
      <c r="AD643" t="str">
        <f>_xlfn.IFS(Table1[[#This Row],[Absence 
Days]]&lt;3,"Excellent",Table1[[#This Row],[Absence 
Days]]&lt;=6,"Good",Table1[[#This Row],[Absence 
Days]]&gt;6,"Poor")</f>
        <v>Excellent</v>
      </c>
    </row>
    <row r="644" spans="1:30" x14ac:dyDescent="0.35">
      <c r="A644">
        <v>643</v>
      </c>
      <c r="B644" s="2" t="s">
        <v>267</v>
      </c>
      <c r="C644" t="s">
        <v>192</v>
      </c>
      <c r="D644" t="str">
        <f>_xlfn.TEXTJOIN(" ",TRUE,Table1[[#This Row],[First 
Name]:[Last 
Name]])</f>
        <v>Tyler Scott</v>
      </c>
      <c r="E644" t="s">
        <v>1754</v>
      </c>
      <c r="F644" t="s">
        <v>3244</v>
      </c>
      <c r="G644" t="str">
        <f ca="1">PROPER(Table1[[#This Row],[Part Time 
Job]])</f>
        <v>False</v>
      </c>
      <c r="H644" s="3">
        <v>6</v>
      </c>
      <c r="I644" t="str">
        <f ca="1">PROPER(Table1[[#This Row],[Extracurricular 
Activities]])</f>
        <v>True</v>
      </c>
      <c r="J644">
        <v>24</v>
      </c>
      <c r="K644" t="s">
        <v>3123</v>
      </c>
      <c r="L644">
        <v>76</v>
      </c>
      <c r="M644" s="12" t="str" cm="1">
        <f t="array" ref="M64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644">
        <v>62</v>
      </c>
      <c r="O644" s="13" t="str" cm="1">
        <f t="array" ref="O64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644">
        <v>86</v>
      </c>
      <c r="Q644" s="13" t="str" cm="1">
        <f t="array" ref="Q64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644">
        <v>80</v>
      </c>
      <c r="S644" t="str" cm="1">
        <f t="array" ref="S64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644">
        <v>47</v>
      </c>
      <c r="U644" t="str" cm="1">
        <f t="array" ref="U64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D</v>
      </c>
      <c r="V644">
        <v>85</v>
      </c>
      <c r="W644" t="str" cm="1">
        <f t="array" ref="W64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644">
        <v>71</v>
      </c>
      <c r="Y644" t="str" cm="1">
        <f t="array" ref="Y64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644">
        <f>SUM(Table1[[#This Row],[Math 
Score]],Table1[[#This Row],[History 
Score]],Table1[[#This Row],[Physics 
Score]],Table1[[#This Row],[Chemistry 
Score]],Table1[[#This Row],[Biology 
Score]],Table1[[#This Row],[English 
Score]],Table1[[#This Row],[Geography 
Score]])</f>
        <v>507</v>
      </c>
      <c r="AA644" s="3">
        <f>AVERAGE(Table1[[#This Row],[Math 
Score]],Table1[[#This Row],[History 
Score]],Table1[[#This Row],[Physics 
Score]],Table1[[#This Row],[Chemistry 
Score]],Table1[[#This Row],[Biology 
Score]],Table1[[#This Row],[English 
Score]],Table1[[#This Row],[Geography 
Score]])</f>
        <v>72.428571428571431</v>
      </c>
      <c r="AB64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644">
        <f t="shared" si="10"/>
        <v>1844</v>
      </c>
      <c r="AD644" t="str">
        <f>_xlfn.IFS(Table1[[#This Row],[Absence 
Days]]&lt;3,"Excellent",Table1[[#This Row],[Absence 
Days]]&lt;=6,"Good",Table1[[#This Row],[Absence 
Days]]&gt;6,"Poor")</f>
        <v>Good</v>
      </c>
    </row>
    <row r="645" spans="1:30" x14ac:dyDescent="0.35">
      <c r="A645">
        <v>644</v>
      </c>
      <c r="B645" s="2" t="s">
        <v>11</v>
      </c>
      <c r="C645" t="s">
        <v>662</v>
      </c>
      <c r="D645" t="str">
        <f>_xlfn.TEXTJOIN(" ",TRUE,Table1[[#This Row],[First 
Name]:[Last 
Name]])</f>
        <v>Patricia Hall</v>
      </c>
      <c r="E645" t="s">
        <v>1755</v>
      </c>
      <c r="F645" t="s">
        <v>3245</v>
      </c>
      <c r="G645" t="str">
        <f ca="1">PROPER(Table1[[#This Row],[Part Time 
Job]])</f>
        <v>False</v>
      </c>
      <c r="H645" s="3">
        <v>7</v>
      </c>
      <c r="I645" t="str">
        <f ca="1">PROPER(Table1[[#This Row],[Extracurricular 
Activities]])</f>
        <v>False</v>
      </c>
      <c r="J645">
        <v>26</v>
      </c>
      <c r="K645" t="s">
        <v>3112</v>
      </c>
      <c r="L645">
        <v>80</v>
      </c>
      <c r="M645" s="12" t="str" cm="1">
        <f t="array" ref="M64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645">
        <v>90</v>
      </c>
      <c r="O645" s="13" t="str" cm="1">
        <f t="array" ref="O64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645">
        <v>85</v>
      </c>
      <c r="Q645" s="13" t="str" cm="1">
        <f t="array" ref="Q64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645">
        <v>89</v>
      </c>
      <c r="S645" t="str" cm="1">
        <f t="array" ref="S64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645">
        <v>85</v>
      </c>
      <c r="U645" t="str" cm="1">
        <f t="array" ref="U64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645">
        <v>80</v>
      </c>
      <c r="W645" t="str" cm="1">
        <f t="array" ref="W64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645">
        <v>68</v>
      </c>
      <c r="Y645" t="str" cm="1">
        <f t="array" ref="Y64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645">
        <f>SUM(Table1[[#This Row],[Math 
Score]],Table1[[#This Row],[History 
Score]],Table1[[#This Row],[Physics 
Score]],Table1[[#This Row],[Chemistry 
Score]],Table1[[#This Row],[Biology 
Score]],Table1[[#This Row],[English 
Score]],Table1[[#This Row],[Geography 
Score]])</f>
        <v>577</v>
      </c>
      <c r="AA645" s="3">
        <f>AVERAGE(Table1[[#This Row],[Math 
Score]],Table1[[#This Row],[History 
Score]],Table1[[#This Row],[Physics 
Score]],Table1[[#This Row],[Chemistry 
Score]],Table1[[#This Row],[Biology 
Score]],Table1[[#This Row],[English 
Score]],Table1[[#This Row],[Geography 
Score]])</f>
        <v>82.428571428571431</v>
      </c>
      <c r="AB64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645">
        <f t="shared" si="10"/>
        <v>769</v>
      </c>
      <c r="AD645" t="str">
        <f>_xlfn.IFS(Table1[[#This Row],[Absence 
Days]]&lt;3,"Excellent",Table1[[#This Row],[Absence 
Days]]&lt;=6,"Good",Table1[[#This Row],[Absence 
Days]]&gt;6,"Poor")</f>
        <v>Poor</v>
      </c>
    </row>
    <row r="646" spans="1:30" x14ac:dyDescent="0.35">
      <c r="A646">
        <v>645</v>
      </c>
      <c r="B646" s="2" t="s">
        <v>33</v>
      </c>
      <c r="C646" t="s">
        <v>475</v>
      </c>
      <c r="D646" t="str">
        <f>_xlfn.TEXTJOIN(" ",TRUE,Table1[[#This Row],[First 
Name]:[Last 
Name]])</f>
        <v>Ryan Williams</v>
      </c>
      <c r="E646" t="s">
        <v>1756</v>
      </c>
      <c r="F646" t="s">
        <v>3244</v>
      </c>
      <c r="G646" t="str">
        <f ca="1">PROPER(Table1[[#This Row],[Part Time 
Job]])</f>
        <v>False</v>
      </c>
      <c r="H646" s="3">
        <v>7</v>
      </c>
      <c r="I646" t="str">
        <f ca="1">PROPER(Table1[[#This Row],[Extracurricular 
Activities]])</f>
        <v>False</v>
      </c>
      <c r="J646">
        <v>0</v>
      </c>
      <c r="K646" t="s">
        <v>3119</v>
      </c>
      <c r="L646">
        <v>82</v>
      </c>
      <c r="M646" s="12" t="str" cm="1">
        <f t="array" ref="M64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646">
        <v>74</v>
      </c>
      <c r="O646" s="13" t="str" cm="1">
        <f t="array" ref="O64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646">
        <v>92</v>
      </c>
      <c r="Q646" s="13" t="str" cm="1">
        <f t="array" ref="Q64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646">
        <v>50</v>
      </c>
      <c r="S646" t="str" cm="1">
        <f t="array" ref="S64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C</v>
      </c>
      <c r="T646">
        <v>77</v>
      </c>
      <c r="U646" t="str" cm="1">
        <f t="array" ref="U64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646">
        <v>98</v>
      </c>
      <c r="W646" t="str" cm="1">
        <f t="array" ref="W64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646">
        <v>100</v>
      </c>
      <c r="Y646" t="str" cm="1">
        <f t="array" ref="Y64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646">
        <f>SUM(Table1[[#This Row],[Math 
Score]],Table1[[#This Row],[History 
Score]],Table1[[#This Row],[Physics 
Score]],Table1[[#This Row],[Chemistry 
Score]],Table1[[#This Row],[Biology 
Score]],Table1[[#This Row],[English 
Score]],Table1[[#This Row],[Geography 
Score]])</f>
        <v>573</v>
      </c>
      <c r="AA646" s="3">
        <f>AVERAGE(Table1[[#This Row],[Math 
Score]],Table1[[#This Row],[History 
Score]],Table1[[#This Row],[Physics 
Score]],Table1[[#This Row],[Chemistry 
Score]],Table1[[#This Row],[Biology 
Score]],Table1[[#This Row],[English 
Score]],Table1[[#This Row],[Geography 
Score]])</f>
        <v>81.857142857142861</v>
      </c>
      <c r="AB64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646">
        <f t="shared" si="10"/>
        <v>864</v>
      </c>
      <c r="AD646" t="str">
        <f>_xlfn.IFS(Table1[[#This Row],[Absence 
Days]]&lt;3,"Excellent",Table1[[#This Row],[Absence 
Days]]&lt;=6,"Good",Table1[[#This Row],[Absence 
Days]]&gt;6,"Poor")</f>
        <v>Poor</v>
      </c>
    </row>
    <row r="647" spans="1:30" x14ac:dyDescent="0.35">
      <c r="A647">
        <v>646</v>
      </c>
      <c r="B647" s="2" t="s">
        <v>278</v>
      </c>
      <c r="C647" t="s">
        <v>807</v>
      </c>
      <c r="D647" t="str">
        <f>_xlfn.TEXTJOIN(" ",TRUE,Table1[[#This Row],[First 
Name]:[Last 
Name]])</f>
        <v>Levi Mason</v>
      </c>
      <c r="E647" t="s">
        <v>1757</v>
      </c>
      <c r="F647" t="s">
        <v>3244</v>
      </c>
      <c r="G647" t="str">
        <f ca="1">PROPER(Table1[[#This Row],[Part Time 
Job]])</f>
        <v>False</v>
      </c>
      <c r="H647" s="3">
        <v>1</v>
      </c>
      <c r="I647" t="str">
        <f ca="1">PROPER(Table1[[#This Row],[Extracurricular 
Activities]])</f>
        <v>False</v>
      </c>
      <c r="J647">
        <v>18</v>
      </c>
      <c r="K647" t="s">
        <v>3117</v>
      </c>
      <c r="L647">
        <v>89</v>
      </c>
      <c r="M647" s="12" t="str" cm="1">
        <f t="array" ref="M64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647">
        <v>64</v>
      </c>
      <c r="O647" s="13" t="str" cm="1">
        <f t="array" ref="O64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647">
        <v>72</v>
      </c>
      <c r="Q647" s="13" t="str" cm="1">
        <f t="array" ref="Q64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647">
        <v>61</v>
      </c>
      <c r="S647" t="str" cm="1">
        <f t="array" ref="S64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647">
        <v>75</v>
      </c>
      <c r="U647" t="str" cm="1">
        <f t="array" ref="U64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647">
        <v>68</v>
      </c>
      <c r="W647" t="str" cm="1">
        <f t="array" ref="W64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647">
        <v>83</v>
      </c>
      <c r="Y647" t="str" cm="1">
        <f t="array" ref="Y64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647">
        <f>SUM(Table1[[#This Row],[Math 
Score]],Table1[[#This Row],[History 
Score]],Table1[[#This Row],[Physics 
Score]],Table1[[#This Row],[Chemistry 
Score]],Table1[[#This Row],[Biology 
Score]],Table1[[#This Row],[English 
Score]],Table1[[#This Row],[Geography 
Score]])</f>
        <v>512</v>
      </c>
      <c r="AA647" s="3">
        <f>AVERAGE(Table1[[#This Row],[Math 
Score]],Table1[[#This Row],[History 
Score]],Table1[[#This Row],[Physics 
Score]],Table1[[#This Row],[Chemistry 
Score]],Table1[[#This Row],[Biology 
Score]],Table1[[#This Row],[English 
Score]],Table1[[#This Row],[Geography 
Score]])</f>
        <v>73.142857142857139</v>
      </c>
      <c r="AB64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647">
        <f t="shared" si="10"/>
        <v>1815</v>
      </c>
      <c r="AD647" t="str">
        <f>_xlfn.IFS(Table1[[#This Row],[Absence 
Days]]&lt;3,"Excellent",Table1[[#This Row],[Absence 
Days]]&lt;=6,"Good",Table1[[#This Row],[Absence 
Days]]&gt;6,"Poor")</f>
        <v>Excellent</v>
      </c>
    </row>
    <row r="648" spans="1:30" x14ac:dyDescent="0.35">
      <c r="A648">
        <v>647</v>
      </c>
      <c r="B648" s="2" t="s">
        <v>34</v>
      </c>
      <c r="C648" t="s">
        <v>808</v>
      </c>
      <c r="D648" t="str">
        <f>_xlfn.TEXTJOIN(" ",TRUE,Table1[[#This Row],[First 
Name]:[Last 
Name]])</f>
        <v>Michael Vang</v>
      </c>
      <c r="E648" t="s">
        <v>1758</v>
      </c>
      <c r="F648" t="s">
        <v>3244</v>
      </c>
      <c r="G648" t="str">
        <f ca="1">PROPER(Table1[[#This Row],[Part Time 
Job]])</f>
        <v>False</v>
      </c>
      <c r="H648" s="3">
        <v>4</v>
      </c>
      <c r="I648" t="str">
        <f ca="1">PROPER(Table1[[#This Row],[Extracurricular 
Activities]])</f>
        <v>False</v>
      </c>
      <c r="J648">
        <v>20</v>
      </c>
      <c r="K648" t="s">
        <v>3117</v>
      </c>
      <c r="L648">
        <v>89</v>
      </c>
      <c r="M648" s="12" t="str" cm="1">
        <f t="array" ref="M64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648">
        <v>79</v>
      </c>
      <c r="O648" s="13" t="str" cm="1">
        <f t="array" ref="O64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648">
        <v>75</v>
      </c>
      <c r="Q648" s="13" t="str" cm="1">
        <f t="array" ref="Q64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648">
        <v>80</v>
      </c>
      <c r="S648" t="str" cm="1">
        <f t="array" ref="S64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648">
        <v>97</v>
      </c>
      <c r="U648" t="str" cm="1">
        <f t="array" ref="U64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648">
        <v>94</v>
      </c>
      <c r="W648" t="str" cm="1">
        <f t="array" ref="W64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648">
        <v>68</v>
      </c>
      <c r="Y648" t="str" cm="1">
        <f t="array" ref="Y64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648">
        <f>SUM(Table1[[#This Row],[Math 
Score]],Table1[[#This Row],[History 
Score]],Table1[[#This Row],[Physics 
Score]],Table1[[#This Row],[Chemistry 
Score]],Table1[[#This Row],[Biology 
Score]],Table1[[#This Row],[English 
Score]],Table1[[#This Row],[Geography 
Score]])</f>
        <v>582</v>
      </c>
      <c r="AA648" s="3">
        <f>AVERAGE(Table1[[#This Row],[Math 
Score]],Table1[[#This Row],[History 
Score]],Table1[[#This Row],[Physics 
Score]],Table1[[#This Row],[Chemistry 
Score]],Table1[[#This Row],[Biology 
Score]],Table1[[#This Row],[English 
Score]],Table1[[#This Row],[Geography 
Score]])</f>
        <v>83.142857142857139</v>
      </c>
      <c r="AB64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648">
        <f t="shared" si="10"/>
        <v>670</v>
      </c>
      <c r="AD648" t="str">
        <f>_xlfn.IFS(Table1[[#This Row],[Absence 
Days]]&lt;3,"Excellent",Table1[[#This Row],[Absence 
Days]]&lt;=6,"Good",Table1[[#This Row],[Absence 
Days]]&gt;6,"Poor")</f>
        <v>Good</v>
      </c>
    </row>
    <row r="649" spans="1:30" x14ac:dyDescent="0.35">
      <c r="A649">
        <v>648</v>
      </c>
      <c r="B649" s="2" t="s">
        <v>140</v>
      </c>
      <c r="C649" t="s">
        <v>809</v>
      </c>
      <c r="D649" t="str">
        <f>_xlfn.TEXTJOIN(" ",TRUE,Table1[[#This Row],[First 
Name]:[Last 
Name]])</f>
        <v>April Humphrey</v>
      </c>
      <c r="E649" t="s">
        <v>1759</v>
      </c>
      <c r="F649" t="s">
        <v>3245</v>
      </c>
      <c r="G649" t="str">
        <f ca="1">PROPER(Table1[[#This Row],[Part Time 
Job]])</f>
        <v>False</v>
      </c>
      <c r="H649" s="3">
        <v>0</v>
      </c>
      <c r="I649" t="str">
        <f ca="1">PROPER(Table1[[#This Row],[Extracurricular 
Activities]])</f>
        <v>False</v>
      </c>
      <c r="J649">
        <v>23</v>
      </c>
      <c r="K649" t="s">
        <v>3117</v>
      </c>
      <c r="L649">
        <v>86</v>
      </c>
      <c r="M649" s="12" t="str" cm="1">
        <f t="array" ref="M64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649">
        <v>89</v>
      </c>
      <c r="O649" s="13" t="str" cm="1">
        <f t="array" ref="O64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649">
        <v>94</v>
      </c>
      <c r="Q649" s="13" t="str" cm="1">
        <f t="array" ref="Q64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649">
        <v>95</v>
      </c>
      <c r="S649" t="str" cm="1">
        <f t="array" ref="S64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649">
        <v>60</v>
      </c>
      <c r="U649" t="str" cm="1">
        <f t="array" ref="U64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649">
        <v>90</v>
      </c>
      <c r="W649" t="str" cm="1">
        <f t="array" ref="W64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649">
        <v>90</v>
      </c>
      <c r="Y649" t="str" cm="1">
        <f t="array" ref="Y64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649">
        <f>SUM(Table1[[#This Row],[Math 
Score]],Table1[[#This Row],[History 
Score]],Table1[[#This Row],[Physics 
Score]],Table1[[#This Row],[Chemistry 
Score]],Table1[[#This Row],[Biology 
Score]],Table1[[#This Row],[English 
Score]],Table1[[#This Row],[Geography 
Score]])</f>
        <v>604</v>
      </c>
      <c r="AA649" s="3">
        <f>AVERAGE(Table1[[#This Row],[Math 
Score]],Table1[[#This Row],[History 
Score]],Table1[[#This Row],[Physics 
Score]],Table1[[#This Row],[Chemistry 
Score]],Table1[[#This Row],[Biology 
Score]],Table1[[#This Row],[English 
Score]],Table1[[#This Row],[Geography 
Score]])</f>
        <v>86.285714285714292</v>
      </c>
      <c r="AB64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649">
        <f t="shared" si="10"/>
        <v>353</v>
      </c>
      <c r="AD649" t="str">
        <f>_xlfn.IFS(Table1[[#This Row],[Absence 
Days]]&lt;3,"Excellent",Table1[[#This Row],[Absence 
Days]]&lt;=6,"Good",Table1[[#This Row],[Absence 
Days]]&gt;6,"Poor")</f>
        <v>Excellent</v>
      </c>
    </row>
    <row r="650" spans="1:30" x14ac:dyDescent="0.35">
      <c r="A650">
        <v>649</v>
      </c>
      <c r="B650" s="2" t="s">
        <v>60</v>
      </c>
      <c r="C650" t="s">
        <v>810</v>
      </c>
      <c r="D650" t="str">
        <f>_xlfn.TEXTJOIN(" ",TRUE,Table1[[#This Row],[First 
Name]:[Last 
Name]])</f>
        <v>Steven Hancock</v>
      </c>
      <c r="E650" t="s">
        <v>1760</v>
      </c>
      <c r="F650" t="s">
        <v>3244</v>
      </c>
      <c r="G650" t="str">
        <f ca="1">PROPER(Table1[[#This Row],[Part Time 
Job]])</f>
        <v>True</v>
      </c>
      <c r="H650" s="3">
        <v>4</v>
      </c>
      <c r="I650" t="str">
        <f ca="1">PROPER(Table1[[#This Row],[Extracurricular 
Activities]])</f>
        <v>False</v>
      </c>
      <c r="J650">
        <v>4</v>
      </c>
      <c r="K650" t="s">
        <v>3119</v>
      </c>
      <c r="L650">
        <v>65</v>
      </c>
      <c r="M650" s="12" t="str" cm="1">
        <f t="array" ref="M650">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650">
        <v>76</v>
      </c>
      <c r="O650" s="13" t="str" cm="1">
        <f t="array" ref="O65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650">
        <v>92</v>
      </c>
      <c r="Q650" s="13" t="str" cm="1">
        <f t="array" ref="Q65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650">
        <v>86</v>
      </c>
      <c r="S650" t="str" cm="1">
        <f t="array" ref="S65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650">
        <v>93</v>
      </c>
      <c r="U650" t="str" cm="1">
        <f t="array" ref="U65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650">
        <v>61</v>
      </c>
      <c r="W650" t="str" cm="1">
        <f t="array" ref="W65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650">
        <v>97</v>
      </c>
      <c r="Y650" t="str" cm="1">
        <f t="array" ref="Y65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650">
        <f>SUM(Table1[[#This Row],[Math 
Score]],Table1[[#This Row],[History 
Score]],Table1[[#This Row],[Physics 
Score]],Table1[[#This Row],[Chemistry 
Score]],Table1[[#This Row],[Biology 
Score]],Table1[[#This Row],[English 
Score]],Table1[[#This Row],[Geography 
Score]])</f>
        <v>570</v>
      </c>
      <c r="AA650" s="3">
        <f>AVERAGE(Table1[[#This Row],[Math 
Score]],Table1[[#This Row],[History 
Score]],Table1[[#This Row],[Physics 
Score]],Table1[[#This Row],[Chemistry 
Score]],Table1[[#This Row],[Biology 
Score]],Table1[[#This Row],[English 
Score]],Table1[[#This Row],[Geography 
Score]])</f>
        <v>81.428571428571431</v>
      </c>
      <c r="AB65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650">
        <f t="shared" si="10"/>
        <v>937</v>
      </c>
      <c r="AD650" t="str">
        <f>_xlfn.IFS(Table1[[#This Row],[Absence 
Days]]&lt;3,"Excellent",Table1[[#This Row],[Absence 
Days]]&lt;=6,"Good",Table1[[#This Row],[Absence 
Days]]&gt;6,"Poor")</f>
        <v>Good</v>
      </c>
    </row>
    <row r="651" spans="1:30" x14ac:dyDescent="0.35">
      <c r="A651">
        <v>650</v>
      </c>
      <c r="B651" s="2" t="s">
        <v>68</v>
      </c>
      <c r="C651" t="s">
        <v>744</v>
      </c>
      <c r="D651" t="str">
        <f>_xlfn.TEXTJOIN(" ",TRUE,Table1[[#This Row],[First 
Name]:[Last 
Name]])</f>
        <v>Chelsea Olson</v>
      </c>
      <c r="E651" t="s">
        <v>1761</v>
      </c>
      <c r="F651" t="s">
        <v>3245</v>
      </c>
      <c r="G651" t="str">
        <f ca="1">PROPER(Table1[[#This Row],[Part Time 
Job]])</f>
        <v>False</v>
      </c>
      <c r="H651" s="3">
        <v>4</v>
      </c>
      <c r="I651" t="str">
        <f ca="1">PROPER(Table1[[#This Row],[Extracurricular 
Activities]])</f>
        <v>False</v>
      </c>
      <c r="J651">
        <v>30</v>
      </c>
      <c r="K651" t="s">
        <v>3121</v>
      </c>
      <c r="L651">
        <v>77</v>
      </c>
      <c r="M651" s="12" t="str" cm="1">
        <f t="array" ref="M65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651">
        <v>95</v>
      </c>
      <c r="O651" s="13" t="str" cm="1">
        <f t="array" ref="O65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651">
        <v>77</v>
      </c>
      <c r="Q651" s="13" t="str" cm="1">
        <f t="array" ref="Q65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651">
        <v>84</v>
      </c>
      <c r="S651" t="str" cm="1">
        <f t="array" ref="S65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651">
        <v>60</v>
      </c>
      <c r="U651" t="str" cm="1">
        <f t="array" ref="U65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651">
        <v>90</v>
      </c>
      <c r="W651" t="str" cm="1">
        <f t="array" ref="W65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651">
        <v>89</v>
      </c>
      <c r="Y651" t="str" cm="1">
        <f t="array" ref="Y65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651">
        <f>SUM(Table1[[#This Row],[Math 
Score]],Table1[[#This Row],[History 
Score]],Table1[[#This Row],[Physics 
Score]],Table1[[#This Row],[Chemistry 
Score]],Table1[[#This Row],[Biology 
Score]],Table1[[#This Row],[English 
Score]],Table1[[#This Row],[Geography 
Score]])</f>
        <v>572</v>
      </c>
      <c r="AA651" s="3">
        <f>AVERAGE(Table1[[#This Row],[Math 
Score]],Table1[[#This Row],[History 
Score]],Table1[[#This Row],[Physics 
Score]],Table1[[#This Row],[Chemistry 
Score]],Table1[[#This Row],[Biology 
Score]],Table1[[#This Row],[English 
Score]],Table1[[#This Row],[Geography 
Score]])</f>
        <v>81.714285714285708</v>
      </c>
      <c r="AB65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651">
        <f t="shared" si="10"/>
        <v>890</v>
      </c>
      <c r="AD651" t="str">
        <f>_xlfn.IFS(Table1[[#This Row],[Absence 
Days]]&lt;3,"Excellent",Table1[[#This Row],[Absence 
Days]]&lt;=6,"Good",Table1[[#This Row],[Absence 
Days]]&gt;6,"Poor")</f>
        <v>Good</v>
      </c>
    </row>
    <row r="652" spans="1:30" x14ac:dyDescent="0.35">
      <c r="A652">
        <v>651</v>
      </c>
      <c r="B652" s="2" t="s">
        <v>37</v>
      </c>
      <c r="C652" t="s">
        <v>811</v>
      </c>
      <c r="D652" t="str">
        <f>_xlfn.TEXTJOIN(" ",TRUE,Table1[[#This Row],[First 
Name]:[Last 
Name]])</f>
        <v>Emily Huang</v>
      </c>
      <c r="E652" t="s">
        <v>1762</v>
      </c>
      <c r="F652" t="s">
        <v>3245</v>
      </c>
      <c r="G652" t="str">
        <f ca="1">PROPER(Table1[[#This Row],[Part Time 
Job]])</f>
        <v>False</v>
      </c>
      <c r="H652" s="3">
        <v>4</v>
      </c>
      <c r="I652" t="str">
        <f ca="1">PROPER(Table1[[#This Row],[Extracurricular 
Activities]])</f>
        <v>False</v>
      </c>
      <c r="J652">
        <v>34</v>
      </c>
      <c r="K652" t="s">
        <v>3121</v>
      </c>
      <c r="L652">
        <v>88</v>
      </c>
      <c r="M652" s="12" t="str" cm="1">
        <f t="array" ref="M65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652">
        <v>85</v>
      </c>
      <c r="O652" s="13" t="str" cm="1">
        <f t="array" ref="O65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652">
        <v>68</v>
      </c>
      <c r="Q652" s="13" t="str" cm="1">
        <f t="array" ref="Q65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652">
        <v>62</v>
      </c>
      <c r="S652" t="str" cm="1">
        <f t="array" ref="S65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652">
        <v>64</v>
      </c>
      <c r="U652" t="str" cm="1">
        <f t="array" ref="U65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652">
        <v>99</v>
      </c>
      <c r="W652" t="str" cm="1">
        <f t="array" ref="W65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652">
        <v>66</v>
      </c>
      <c r="Y652" t="str" cm="1">
        <f t="array" ref="Y65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652">
        <f>SUM(Table1[[#This Row],[Math 
Score]],Table1[[#This Row],[History 
Score]],Table1[[#This Row],[Physics 
Score]],Table1[[#This Row],[Chemistry 
Score]],Table1[[#This Row],[Biology 
Score]],Table1[[#This Row],[English 
Score]],Table1[[#This Row],[Geography 
Score]])</f>
        <v>532</v>
      </c>
      <c r="AA652" s="3">
        <f>AVERAGE(Table1[[#This Row],[Math 
Score]],Table1[[#This Row],[History 
Score]],Table1[[#This Row],[Physics 
Score]],Table1[[#This Row],[Chemistry 
Score]],Table1[[#This Row],[Biology 
Score]],Table1[[#This Row],[English 
Score]],Table1[[#This Row],[Geography 
Score]])</f>
        <v>76</v>
      </c>
      <c r="AB65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652">
        <f t="shared" si="10"/>
        <v>1622</v>
      </c>
      <c r="AD652" t="str">
        <f>_xlfn.IFS(Table1[[#This Row],[Absence 
Days]]&lt;3,"Excellent",Table1[[#This Row],[Absence 
Days]]&lt;=6,"Good",Table1[[#This Row],[Absence 
Days]]&gt;6,"Poor")</f>
        <v>Good</v>
      </c>
    </row>
    <row r="653" spans="1:30" x14ac:dyDescent="0.35">
      <c r="A653">
        <v>652</v>
      </c>
      <c r="B653" s="2" t="s">
        <v>129</v>
      </c>
      <c r="C653" t="s">
        <v>532</v>
      </c>
      <c r="D653" t="str">
        <f>_xlfn.TEXTJOIN(" ",TRUE,Table1[[#This Row],[First 
Name]:[Last 
Name]])</f>
        <v>Rachel Jones</v>
      </c>
      <c r="E653" t="s">
        <v>1763</v>
      </c>
      <c r="F653" t="s">
        <v>3245</v>
      </c>
      <c r="G653" t="str">
        <f ca="1">PROPER(Table1[[#This Row],[Part Time 
Job]])</f>
        <v>False</v>
      </c>
      <c r="H653" s="3">
        <v>1</v>
      </c>
      <c r="I653" t="str">
        <f ca="1">PROPER(Table1[[#This Row],[Extracurricular 
Activities]])</f>
        <v>False</v>
      </c>
      <c r="J653">
        <v>26</v>
      </c>
      <c r="K653" t="s">
        <v>3123</v>
      </c>
      <c r="L653">
        <v>98</v>
      </c>
      <c r="M653" s="12" t="str" cm="1">
        <f t="array" ref="M65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653">
        <v>77</v>
      </c>
      <c r="O653" s="13" t="str" cm="1">
        <f t="array" ref="O65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653">
        <v>94</v>
      </c>
      <c r="Q653" s="13" t="str" cm="1">
        <f t="array" ref="Q65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653">
        <v>87</v>
      </c>
      <c r="S653" t="str" cm="1">
        <f t="array" ref="S65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653">
        <v>44</v>
      </c>
      <c r="U653" t="str" cm="1">
        <f t="array" ref="U65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D</v>
      </c>
      <c r="V653">
        <v>85</v>
      </c>
      <c r="W653" t="str" cm="1">
        <f t="array" ref="W65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653">
        <v>61</v>
      </c>
      <c r="Y653" t="str" cm="1">
        <f t="array" ref="Y65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653">
        <f>SUM(Table1[[#This Row],[Math 
Score]],Table1[[#This Row],[History 
Score]],Table1[[#This Row],[Physics 
Score]],Table1[[#This Row],[Chemistry 
Score]],Table1[[#This Row],[Biology 
Score]],Table1[[#This Row],[English 
Score]],Table1[[#This Row],[Geography 
Score]])</f>
        <v>546</v>
      </c>
      <c r="AA653" s="3">
        <f>AVERAGE(Table1[[#This Row],[Math 
Score]],Table1[[#This Row],[History 
Score]],Table1[[#This Row],[Physics 
Score]],Table1[[#This Row],[Chemistry 
Score]],Table1[[#This Row],[Biology 
Score]],Table1[[#This Row],[English 
Score]],Table1[[#This Row],[Geography 
Score]])</f>
        <v>78</v>
      </c>
      <c r="AB65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653">
        <f t="shared" si="10"/>
        <v>1411</v>
      </c>
      <c r="AD653" t="str">
        <f>_xlfn.IFS(Table1[[#This Row],[Absence 
Days]]&lt;3,"Excellent",Table1[[#This Row],[Absence 
Days]]&lt;=6,"Good",Table1[[#This Row],[Absence 
Days]]&gt;6,"Poor")</f>
        <v>Excellent</v>
      </c>
    </row>
    <row r="654" spans="1:30" x14ac:dyDescent="0.35">
      <c r="A654">
        <v>653</v>
      </c>
      <c r="B654" s="2" t="s">
        <v>279</v>
      </c>
      <c r="C654" t="s">
        <v>548</v>
      </c>
      <c r="D654" t="str">
        <f>_xlfn.TEXTJOIN(" ",TRUE,Table1[[#This Row],[First 
Name]:[Last 
Name]])</f>
        <v>Philip Walker</v>
      </c>
      <c r="E654" t="s">
        <v>1764</v>
      </c>
      <c r="F654" t="s">
        <v>3244</v>
      </c>
      <c r="G654" t="str">
        <f ca="1">PROPER(Table1[[#This Row],[Part Time 
Job]])</f>
        <v>False</v>
      </c>
      <c r="H654" s="3">
        <v>5</v>
      </c>
      <c r="I654" t="str">
        <f ca="1">PROPER(Table1[[#This Row],[Extracurricular 
Activities]])</f>
        <v>False</v>
      </c>
      <c r="J654">
        <v>27</v>
      </c>
      <c r="K654" t="s">
        <v>3112</v>
      </c>
      <c r="L654">
        <v>84</v>
      </c>
      <c r="M654" s="12" t="str" cm="1">
        <f t="array" ref="M65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654">
        <v>86</v>
      </c>
      <c r="O654" s="13" t="str" cm="1">
        <f t="array" ref="O65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654">
        <v>90</v>
      </c>
      <c r="Q654" s="13" t="str" cm="1">
        <f t="array" ref="Q65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654">
        <v>80</v>
      </c>
      <c r="S654" t="str" cm="1">
        <f t="array" ref="S65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654">
        <v>72</v>
      </c>
      <c r="U654" t="str" cm="1">
        <f t="array" ref="U65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654">
        <v>99</v>
      </c>
      <c r="W654" t="str" cm="1">
        <f t="array" ref="W65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654">
        <v>85</v>
      </c>
      <c r="Y654" t="str" cm="1">
        <f t="array" ref="Y65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654">
        <f>SUM(Table1[[#This Row],[Math 
Score]],Table1[[#This Row],[History 
Score]],Table1[[#This Row],[Physics 
Score]],Table1[[#This Row],[Chemistry 
Score]],Table1[[#This Row],[Biology 
Score]],Table1[[#This Row],[English 
Score]],Table1[[#This Row],[Geography 
Score]])</f>
        <v>596</v>
      </c>
      <c r="AA654" s="3">
        <f>AVERAGE(Table1[[#This Row],[Math 
Score]],Table1[[#This Row],[History 
Score]],Table1[[#This Row],[Physics 
Score]],Table1[[#This Row],[Chemistry 
Score]],Table1[[#This Row],[Biology 
Score]],Table1[[#This Row],[English 
Score]],Table1[[#This Row],[Geography 
Score]])</f>
        <v>85.142857142857139</v>
      </c>
      <c r="AB65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654">
        <f t="shared" si="10"/>
        <v>458</v>
      </c>
      <c r="AD654" t="str">
        <f>_xlfn.IFS(Table1[[#This Row],[Absence 
Days]]&lt;3,"Excellent",Table1[[#This Row],[Absence 
Days]]&lt;=6,"Good",Table1[[#This Row],[Absence 
Days]]&gt;6,"Poor")</f>
        <v>Good</v>
      </c>
    </row>
    <row r="655" spans="1:30" x14ac:dyDescent="0.35">
      <c r="A655">
        <v>654</v>
      </c>
      <c r="B655" s="2" t="s">
        <v>13</v>
      </c>
      <c r="C655" t="s">
        <v>780</v>
      </c>
      <c r="D655" t="str">
        <f>_xlfn.TEXTJOIN(" ",TRUE,Table1[[#This Row],[First 
Name]:[Last 
Name]])</f>
        <v>Laura Rivera</v>
      </c>
      <c r="E655" t="s">
        <v>1765</v>
      </c>
      <c r="F655" t="s">
        <v>3245</v>
      </c>
      <c r="G655" t="str">
        <f ca="1">PROPER(Table1[[#This Row],[Part Time 
Job]])</f>
        <v>False</v>
      </c>
      <c r="H655" s="3">
        <v>1</v>
      </c>
      <c r="I655" t="str">
        <f ca="1">PROPER(Table1[[#This Row],[Extracurricular 
Activities]])</f>
        <v>True</v>
      </c>
      <c r="J655">
        <v>18</v>
      </c>
      <c r="K655" t="s">
        <v>3117</v>
      </c>
      <c r="L655">
        <v>91</v>
      </c>
      <c r="M655" s="12" t="str" cm="1">
        <f t="array" ref="M65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655">
        <v>85</v>
      </c>
      <c r="O655" s="13" t="str" cm="1">
        <f t="array" ref="O65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655">
        <v>66</v>
      </c>
      <c r="Q655" s="13" t="str" cm="1">
        <f t="array" ref="Q65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655">
        <v>83</v>
      </c>
      <c r="S655" t="str" cm="1">
        <f t="array" ref="S65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655">
        <v>70</v>
      </c>
      <c r="U655" t="str" cm="1">
        <f t="array" ref="U65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655">
        <v>71</v>
      </c>
      <c r="W655" t="str" cm="1">
        <f t="array" ref="W65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655">
        <v>80</v>
      </c>
      <c r="Y655" t="str" cm="1">
        <f t="array" ref="Y65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655">
        <f>SUM(Table1[[#This Row],[Math 
Score]],Table1[[#This Row],[History 
Score]],Table1[[#This Row],[Physics 
Score]],Table1[[#This Row],[Chemistry 
Score]],Table1[[#This Row],[Biology 
Score]],Table1[[#This Row],[English 
Score]],Table1[[#This Row],[Geography 
Score]])</f>
        <v>546</v>
      </c>
      <c r="AA655" s="3">
        <f>AVERAGE(Table1[[#This Row],[Math 
Score]],Table1[[#This Row],[History 
Score]],Table1[[#This Row],[Physics 
Score]],Table1[[#This Row],[Chemistry 
Score]],Table1[[#This Row],[Biology 
Score]],Table1[[#This Row],[English 
Score]],Table1[[#This Row],[Geography 
Score]])</f>
        <v>78</v>
      </c>
      <c r="AB65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655">
        <f t="shared" si="10"/>
        <v>1411</v>
      </c>
      <c r="AD655" t="str">
        <f>_xlfn.IFS(Table1[[#This Row],[Absence 
Days]]&lt;3,"Excellent",Table1[[#This Row],[Absence 
Days]]&lt;=6,"Good",Table1[[#This Row],[Absence 
Days]]&gt;6,"Poor")</f>
        <v>Excellent</v>
      </c>
    </row>
    <row r="656" spans="1:30" x14ac:dyDescent="0.35">
      <c r="A656">
        <v>655</v>
      </c>
      <c r="B656" s="2" t="s">
        <v>12</v>
      </c>
      <c r="C656" t="s">
        <v>61</v>
      </c>
      <c r="D656" t="str">
        <f>_xlfn.TEXTJOIN(" ",TRUE,Table1[[#This Row],[First 
Name]:[Last 
Name]])</f>
        <v>Pamela Henry</v>
      </c>
      <c r="E656" t="s">
        <v>1766</v>
      </c>
      <c r="F656" t="s">
        <v>3245</v>
      </c>
      <c r="G656" t="str">
        <f ca="1">PROPER(Table1[[#This Row],[Part Time 
Job]])</f>
        <v>False</v>
      </c>
      <c r="H656" s="3">
        <v>4</v>
      </c>
      <c r="I656" t="str">
        <f ca="1">PROPER(Table1[[#This Row],[Extracurricular 
Activities]])</f>
        <v>False</v>
      </c>
      <c r="J656">
        <v>39</v>
      </c>
      <c r="K656" t="s">
        <v>3113</v>
      </c>
      <c r="L656">
        <v>97</v>
      </c>
      <c r="M656" s="12" t="str" cm="1">
        <f t="array" ref="M65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656">
        <v>95</v>
      </c>
      <c r="O656" s="13" t="str" cm="1">
        <f t="array" ref="O65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656">
        <v>94</v>
      </c>
      <c r="Q656" s="13" t="str" cm="1">
        <f t="array" ref="Q65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656">
        <v>90</v>
      </c>
      <c r="S656" t="str" cm="1">
        <f t="array" ref="S65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656">
        <v>86</v>
      </c>
      <c r="U656" t="str" cm="1">
        <f t="array" ref="U65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656">
        <v>85</v>
      </c>
      <c r="W656" t="str" cm="1">
        <f t="array" ref="W65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656">
        <v>95</v>
      </c>
      <c r="Y656" t="str" cm="1">
        <f t="array" ref="Y65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656">
        <f>SUM(Table1[[#This Row],[Math 
Score]],Table1[[#This Row],[History 
Score]],Table1[[#This Row],[Physics 
Score]],Table1[[#This Row],[Chemistry 
Score]],Table1[[#This Row],[Biology 
Score]],Table1[[#This Row],[English 
Score]],Table1[[#This Row],[Geography 
Score]])</f>
        <v>642</v>
      </c>
      <c r="AA656" s="3">
        <f>AVERAGE(Table1[[#This Row],[Math 
Score]],Table1[[#This Row],[History 
Score]],Table1[[#This Row],[Physics 
Score]],Table1[[#This Row],[Chemistry 
Score]],Table1[[#This Row],[Biology 
Score]],Table1[[#This Row],[English 
Score]],Table1[[#This Row],[Geography 
Score]])</f>
        <v>91.714285714285708</v>
      </c>
      <c r="AB65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656">
        <f t="shared" si="10"/>
        <v>90</v>
      </c>
      <c r="AD656" t="str">
        <f>_xlfn.IFS(Table1[[#This Row],[Absence 
Days]]&lt;3,"Excellent",Table1[[#This Row],[Absence 
Days]]&lt;=6,"Good",Table1[[#This Row],[Absence 
Days]]&gt;6,"Poor")</f>
        <v>Good</v>
      </c>
    </row>
    <row r="657" spans="1:30" x14ac:dyDescent="0.35">
      <c r="A657">
        <v>656</v>
      </c>
      <c r="B657" s="2" t="s">
        <v>203</v>
      </c>
      <c r="C657" t="s">
        <v>467</v>
      </c>
      <c r="D657" t="str">
        <f>_xlfn.TEXTJOIN(" ",TRUE,Table1[[#This Row],[First 
Name]:[Last 
Name]])</f>
        <v>Nicole Davidson</v>
      </c>
      <c r="E657" t="s">
        <v>1767</v>
      </c>
      <c r="F657" t="s">
        <v>3245</v>
      </c>
      <c r="G657" t="str">
        <f ca="1">PROPER(Table1[[#This Row],[Part Time 
Job]])</f>
        <v>False</v>
      </c>
      <c r="H657" s="3">
        <v>7</v>
      </c>
      <c r="I657" t="str">
        <f ca="1">PROPER(Table1[[#This Row],[Extracurricular 
Activities]])</f>
        <v>True</v>
      </c>
      <c r="J657">
        <v>29</v>
      </c>
      <c r="K657" t="s">
        <v>3121</v>
      </c>
      <c r="L657">
        <v>77</v>
      </c>
      <c r="M657" s="12" t="str" cm="1">
        <f t="array" ref="M65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657">
        <v>88</v>
      </c>
      <c r="O657" s="13" t="str" cm="1">
        <f t="array" ref="O65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657">
        <v>63</v>
      </c>
      <c r="Q657" s="13" t="str" cm="1">
        <f t="array" ref="Q65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657">
        <v>87</v>
      </c>
      <c r="S657" t="str" cm="1">
        <f t="array" ref="S65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657">
        <v>71</v>
      </c>
      <c r="U657" t="str" cm="1">
        <f t="array" ref="U65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657">
        <v>93</v>
      </c>
      <c r="W657" t="str" cm="1">
        <f t="array" ref="W65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657">
        <v>84</v>
      </c>
      <c r="Y657" t="str" cm="1">
        <f t="array" ref="Y65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657">
        <f>SUM(Table1[[#This Row],[Math 
Score]],Table1[[#This Row],[History 
Score]],Table1[[#This Row],[Physics 
Score]],Table1[[#This Row],[Chemistry 
Score]],Table1[[#This Row],[Biology 
Score]],Table1[[#This Row],[English 
Score]],Table1[[#This Row],[Geography 
Score]])</f>
        <v>563</v>
      </c>
      <c r="AA657" s="3">
        <f>AVERAGE(Table1[[#This Row],[Math 
Score]],Table1[[#This Row],[History 
Score]],Table1[[#This Row],[Physics 
Score]],Table1[[#This Row],[Chemistry 
Score]],Table1[[#This Row],[Biology 
Score]],Table1[[#This Row],[English 
Score]],Table1[[#This Row],[Geography 
Score]])</f>
        <v>80.428571428571431</v>
      </c>
      <c r="AB65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657">
        <f t="shared" si="10"/>
        <v>1077</v>
      </c>
      <c r="AD657" t="str">
        <f>_xlfn.IFS(Table1[[#This Row],[Absence 
Days]]&lt;3,"Excellent",Table1[[#This Row],[Absence 
Days]]&lt;=6,"Good",Table1[[#This Row],[Absence 
Days]]&gt;6,"Poor")</f>
        <v>Poor</v>
      </c>
    </row>
    <row r="658" spans="1:30" x14ac:dyDescent="0.35">
      <c r="A658">
        <v>657</v>
      </c>
      <c r="B658" s="2" t="s">
        <v>280</v>
      </c>
      <c r="C658" t="s">
        <v>528</v>
      </c>
      <c r="D658" t="str">
        <f>_xlfn.TEXTJOIN(" ",TRUE,Table1[[#This Row],[First 
Name]:[Last 
Name]])</f>
        <v>Jeffery Parker</v>
      </c>
      <c r="E658" t="s">
        <v>1768</v>
      </c>
      <c r="F658" t="s">
        <v>3244</v>
      </c>
      <c r="G658" t="str">
        <f ca="1">PROPER(Table1[[#This Row],[Part Time 
Job]])</f>
        <v>False</v>
      </c>
      <c r="H658" s="3">
        <v>0</v>
      </c>
      <c r="I658" t="str">
        <f ca="1">PROPER(Table1[[#This Row],[Extracurricular 
Activities]])</f>
        <v>True</v>
      </c>
      <c r="J658">
        <v>27</v>
      </c>
      <c r="K658" t="s">
        <v>3113</v>
      </c>
      <c r="L658">
        <v>100</v>
      </c>
      <c r="M658" s="12" t="str" cm="1">
        <f t="array" ref="M65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658">
        <v>84</v>
      </c>
      <c r="O658" s="13" t="str" cm="1">
        <f t="array" ref="O65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658">
        <v>93</v>
      </c>
      <c r="Q658" s="13" t="str" cm="1">
        <f t="array" ref="Q65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658">
        <v>96</v>
      </c>
      <c r="S658" t="str" cm="1">
        <f t="array" ref="S65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658">
        <v>97</v>
      </c>
      <c r="U658" t="str" cm="1">
        <f t="array" ref="U65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658">
        <v>70</v>
      </c>
      <c r="W658" t="str" cm="1">
        <f t="array" ref="W65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658">
        <v>95</v>
      </c>
      <c r="Y658" t="str" cm="1">
        <f t="array" ref="Y65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658">
        <f>SUM(Table1[[#This Row],[Math 
Score]],Table1[[#This Row],[History 
Score]],Table1[[#This Row],[Physics 
Score]],Table1[[#This Row],[Chemistry 
Score]],Table1[[#This Row],[Biology 
Score]],Table1[[#This Row],[English 
Score]],Table1[[#This Row],[Geography 
Score]])</f>
        <v>635</v>
      </c>
      <c r="AA658" s="3">
        <f>AVERAGE(Table1[[#This Row],[Math 
Score]],Table1[[#This Row],[History 
Score]],Table1[[#This Row],[Physics 
Score]],Table1[[#This Row],[Chemistry 
Score]],Table1[[#This Row],[Biology 
Score]],Table1[[#This Row],[English 
Score]],Table1[[#This Row],[Geography 
Score]])</f>
        <v>90.714285714285708</v>
      </c>
      <c r="AB65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658">
        <f t="shared" si="10"/>
        <v>128</v>
      </c>
      <c r="AD658" t="str">
        <f>_xlfn.IFS(Table1[[#This Row],[Absence 
Days]]&lt;3,"Excellent",Table1[[#This Row],[Absence 
Days]]&lt;=6,"Good",Table1[[#This Row],[Absence 
Days]]&gt;6,"Poor")</f>
        <v>Excellent</v>
      </c>
    </row>
    <row r="659" spans="1:30" x14ac:dyDescent="0.35">
      <c r="A659">
        <v>658</v>
      </c>
      <c r="B659" s="2" t="s">
        <v>36</v>
      </c>
      <c r="C659" t="s">
        <v>812</v>
      </c>
      <c r="D659" t="str">
        <f>_xlfn.TEXTJOIN(" ",TRUE,Table1[[#This Row],[First 
Name]:[Last 
Name]])</f>
        <v>Christopher Banks</v>
      </c>
      <c r="E659" t="s">
        <v>1769</v>
      </c>
      <c r="F659" t="s">
        <v>3244</v>
      </c>
      <c r="G659" t="str">
        <f ca="1">PROPER(Table1[[#This Row],[Part Time 
Job]])</f>
        <v>True</v>
      </c>
      <c r="H659" s="3">
        <v>3</v>
      </c>
      <c r="I659" t="str">
        <f ca="1">PROPER(Table1[[#This Row],[Extracurricular 
Activities]])</f>
        <v>True</v>
      </c>
      <c r="J659">
        <v>17</v>
      </c>
      <c r="K659" t="s">
        <v>3117</v>
      </c>
      <c r="L659">
        <v>93</v>
      </c>
      <c r="M659" s="12" t="str" cm="1">
        <f t="array" ref="M65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659">
        <v>70</v>
      </c>
      <c r="O659" s="13" t="str" cm="1">
        <f t="array" ref="O65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659">
        <v>62</v>
      </c>
      <c r="Q659" s="13" t="str" cm="1">
        <f t="array" ref="Q65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659">
        <v>99</v>
      </c>
      <c r="S659" t="str" cm="1">
        <f t="array" ref="S65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659">
        <v>63</v>
      </c>
      <c r="U659" t="str" cm="1">
        <f t="array" ref="U65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659">
        <v>83</v>
      </c>
      <c r="W659" t="str" cm="1">
        <f t="array" ref="W65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659">
        <v>60</v>
      </c>
      <c r="Y659" t="str" cm="1">
        <f t="array" ref="Y65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659">
        <f>SUM(Table1[[#This Row],[Math 
Score]],Table1[[#This Row],[History 
Score]],Table1[[#This Row],[Physics 
Score]],Table1[[#This Row],[Chemistry 
Score]],Table1[[#This Row],[Biology 
Score]],Table1[[#This Row],[English 
Score]],Table1[[#This Row],[Geography 
Score]])</f>
        <v>530</v>
      </c>
      <c r="AA659" s="3">
        <f>AVERAGE(Table1[[#This Row],[Math 
Score]],Table1[[#This Row],[History 
Score]],Table1[[#This Row],[Physics 
Score]],Table1[[#This Row],[Chemistry 
Score]],Table1[[#This Row],[Biology 
Score]],Table1[[#This Row],[English 
Score]],Table1[[#This Row],[Geography 
Score]])</f>
        <v>75.714285714285708</v>
      </c>
      <c r="AB65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659">
        <f t="shared" si="10"/>
        <v>1646</v>
      </c>
      <c r="AD659" t="str">
        <f>_xlfn.IFS(Table1[[#This Row],[Absence 
Days]]&lt;3,"Excellent",Table1[[#This Row],[Absence 
Days]]&lt;=6,"Good",Table1[[#This Row],[Absence 
Days]]&gt;6,"Poor")</f>
        <v>Good</v>
      </c>
    </row>
    <row r="660" spans="1:30" x14ac:dyDescent="0.35">
      <c r="A660">
        <v>659</v>
      </c>
      <c r="B660" s="2" t="s">
        <v>3</v>
      </c>
      <c r="C660" t="s">
        <v>472</v>
      </c>
      <c r="D660" t="str">
        <f>_xlfn.TEXTJOIN(" ",TRUE,Table1[[#This Row],[First 
Name]:[Last 
Name]])</f>
        <v>Tara Griffin</v>
      </c>
      <c r="E660" t="s">
        <v>1770</v>
      </c>
      <c r="F660" t="s">
        <v>3245</v>
      </c>
      <c r="G660" t="str">
        <f ca="1">PROPER(Table1[[#This Row],[Part Time 
Job]])</f>
        <v>True</v>
      </c>
      <c r="H660" s="3">
        <v>5</v>
      </c>
      <c r="I660" t="str">
        <f ca="1">PROPER(Table1[[#This Row],[Extracurricular 
Activities]])</f>
        <v>True</v>
      </c>
      <c r="J660">
        <v>31</v>
      </c>
      <c r="K660" t="s">
        <v>3121</v>
      </c>
      <c r="L660">
        <v>93</v>
      </c>
      <c r="M660" s="12" t="str" cm="1">
        <f t="array" ref="M66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660">
        <v>99</v>
      </c>
      <c r="O660" s="13" t="str" cm="1">
        <f t="array" ref="O66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660">
        <v>79</v>
      </c>
      <c r="Q660" s="13" t="str" cm="1">
        <f t="array" ref="Q66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660">
        <v>78</v>
      </c>
      <c r="S660" t="str" cm="1">
        <f t="array" ref="S66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660">
        <v>64</v>
      </c>
      <c r="U660" t="str" cm="1">
        <f t="array" ref="U66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660">
        <v>87</v>
      </c>
      <c r="W660" t="str" cm="1">
        <f t="array" ref="W66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660">
        <v>76</v>
      </c>
      <c r="Y660" t="str" cm="1">
        <f t="array" ref="Y66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660">
        <f>SUM(Table1[[#This Row],[Math 
Score]],Table1[[#This Row],[History 
Score]],Table1[[#This Row],[Physics 
Score]],Table1[[#This Row],[Chemistry 
Score]],Table1[[#This Row],[Biology 
Score]],Table1[[#This Row],[English 
Score]],Table1[[#This Row],[Geography 
Score]])</f>
        <v>576</v>
      </c>
      <c r="AA660" s="3">
        <f>AVERAGE(Table1[[#This Row],[Math 
Score]],Table1[[#This Row],[History 
Score]],Table1[[#This Row],[Physics 
Score]],Table1[[#This Row],[Chemistry 
Score]],Table1[[#This Row],[Biology 
Score]],Table1[[#This Row],[English 
Score]],Table1[[#This Row],[Geography 
Score]])</f>
        <v>82.285714285714292</v>
      </c>
      <c r="AB66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660">
        <f t="shared" si="10"/>
        <v>789</v>
      </c>
      <c r="AD660" t="str">
        <f>_xlfn.IFS(Table1[[#This Row],[Absence 
Days]]&lt;3,"Excellent",Table1[[#This Row],[Absence 
Days]]&lt;=6,"Good",Table1[[#This Row],[Absence 
Days]]&gt;6,"Poor")</f>
        <v>Good</v>
      </c>
    </row>
    <row r="661" spans="1:30" x14ac:dyDescent="0.35">
      <c r="A661">
        <v>660</v>
      </c>
      <c r="B661" s="2" t="s">
        <v>32</v>
      </c>
      <c r="C661" t="s">
        <v>587</v>
      </c>
      <c r="D661" t="str">
        <f>_xlfn.TEXTJOIN(" ",TRUE,Table1[[#This Row],[First 
Name]:[Last 
Name]])</f>
        <v>Lisa Lloyd</v>
      </c>
      <c r="E661" t="s">
        <v>1771</v>
      </c>
      <c r="F661" t="s">
        <v>3245</v>
      </c>
      <c r="G661" t="str">
        <f ca="1">PROPER(Table1[[#This Row],[Part Time 
Job]])</f>
        <v>True</v>
      </c>
      <c r="H661" s="3">
        <v>4</v>
      </c>
      <c r="I661" t="str">
        <f ca="1">PROPER(Table1[[#This Row],[Extracurricular 
Activities]])</f>
        <v>False</v>
      </c>
      <c r="J661">
        <v>13</v>
      </c>
      <c r="K661" t="s">
        <v>3121</v>
      </c>
      <c r="L661">
        <v>94</v>
      </c>
      <c r="M661" s="12" t="str" cm="1">
        <f t="array" ref="M66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661">
        <v>89</v>
      </c>
      <c r="O661" s="13" t="str" cm="1">
        <f t="array" ref="O66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661">
        <v>74</v>
      </c>
      <c r="Q661" s="13" t="str" cm="1">
        <f t="array" ref="Q66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661">
        <v>75</v>
      </c>
      <c r="S661" t="str" cm="1">
        <f t="array" ref="S66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661">
        <v>73</v>
      </c>
      <c r="U661" t="str" cm="1">
        <f t="array" ref="U66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661">
        <v>78</v>
      </c>
      <c r="W661" t="str" cm="1">
        <f t="array" ref="W66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661">
        <v>61</v>
      </c>
      <c r="Y661" t="str" cm="1">
        <f t="array" ref="Y66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661">
        <f>SUM(Table1[[#This Row],[Math 
Score]],Table1[[#This Row],[History 
Score]],Table1[[#This Row],[Physics 
Score]],Table1[[#This Row],[Chemistry 
Score]],Table1[[#This Row],[Biology 
Score]],Table1[[#This Row],[English 
Score]],Table1[[#This Row],[Geography 
Score]])</f>
        <v>544</v>
      </c>
      <c r="AA661" s="3">
        <f>AVERAGE(Table1[[#This Row],[Math 
Score]],Table1[[#This Row],[History 
Score]],Table1[[#This Row],[Physics 
Score]],Table1[[#This Row],[Chemistry 
Score]],Table1[[#This Row],[Biology 
Score]],Table1[[#This Row],[English 
Score]],Table1[[#This Row],[Geography 
Score]])</f>
        <v>77.714285714285708</v>
      </c>
      <c r="AB66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661">
        <f t="shared" si="10"/>
        <v>1446</v>
      </c>
      <c r="AD661" t="str">
        <f>_xlfn.IFS(Table1[[#This Row],[Absence 
Days]]&lt;3,"Excellent",Table1[[#This Row],[Absence 
Days]]&lt;=6,"Good",Table1[[#This Row],[Absence 
Days]]&gt;6,"Poor")</f>
        <v>Good</v>
      </c>
    </row>
    <row r="662" spans="1:30" x14ac:dyDescent="0.35">
      <c r="A662">
        <v>661</v>
      </c>
      <c r="B662" s="2" t="s">
        <v>42</v>
      </c>
      <c r="C662" t="s">
        <v>604</v>
      </c>
      <c r="D662" t="str">
        <f>_xlfn.TEXTJOIN(" ",TRUE,Table1[[#This Row],[First 
Name]:[Last 
Name]])</f>
        <v>Elizabeth Maldonado</v>
      </c>
      <c r="E662" t="s">
        <v>1772</v>
      </c>
      <c r="F662" t="s">
        <v>3245</v>
      </c>
      <c r="G662" t="str">
        <f ca="1">PROPER(Table1[[#This Row],[Part Time 
Job]])</f>
        <v>False</v>
      </c>
      <c r="H662" s="3">
        <v>4</v>
      </c>
      <c r="I662" t="str">
        <f ca="1">PROPER(Table1[[#This Row],[Extracurricular 
Activities]])</f>
        <v>True</v>
      </c>
      <c r="J662">
        <v>12</v>
      </c>
      <c r="K662" t="s">
        <v>3121</v>
      </c>
      <c r="L662">
        <v>88</v>
      </c>
      <c r="M662" s="12" t="str" cm="1">
        <f t="array" ref="M66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662">
        <v>86</v>
      </c>
      <c r="O662" s="13" t="str" cm="1">
        <f t="array" ref="O66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662">
        <v>79</v>
      </c>
      <c r="Q662" s="13" t="str" cm="1">
        <f t="array" ref="Q66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662">
        <v>93</v>
      </c>
      <c r="S662" t="str" cm="1">
        <f t="array" ref="S66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662">
        <v>68</v>
      </c>
      <c r="U662" t="str" cm="1">
        <f t="array" ref="U66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662">
        <v>92</v>
      </c>
      <c r="W662" t="str" cm="1">
        <f t="array" ref="W66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662">
        <v>99</v>
      </c>
      <c r="Y662" t="str" cm="1">
        <f t="array" ref="Y66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662">
        <f>SUM(Table1[[#This Row],[Math 
Score]],Table1[[#This Row],[History 
Score]],Table1[[#This Row],[Physics 
Score]],Table1[[#This Row],[Chemistry 
Score]],Table1[[#This Row],[Biology 
Score]],Table1[[#This Row],[English 
Score]],Table1[[#This Row],[Geography 
Score]])</f>
        <v>605</v>
      </c>
      <c r="AA662" s="3">
        <f>AVERAGE(Table1[[#This Row],[Math 
Score]],Table1[[#This Row],[History 
Score]],Table1[[#This Row],[Physics 
Score]],Table1[[#This Row],[Chemistry 
Score]],Table1[[#This Row],[Biology 
Score]],Table1[[#This Row],[English 
Score]],Table1[[#This Row],[Geography 
Score]])</f>
        <v>86.428571428571431</v>
      </c>
      <c r="AB66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662">
        <f t="shared" si="10"/>
        <v>344</v>
      </c>
      <c r="AD662" t="str">
        <f>_xlfn.IFS(Table1[[#This Row],[Absence 
Days]]&lt;3,"Excellent",Table1[[#This Row],[Absence 
Days]]&lt;=6,"Good",Table1[[#This Row],[Absence 
Days]]&gt;6,"Poor")</f>
        <v>Good</v>
      </c>
    </row>
    <row r="663" spans="1:30" x14ac:dyDescent="0.35">
      <c r="A663">
        <v>662</v>
      </c>
      <c r="B663" s="2" t="s">
        <v>200</v>
      </c>
      <c r="C663" t="s">
        <v>673</v>
      </c>
      <c r="D663" t="str">
        <f>_xlfn.TEXTJOIN(" ",TRUE,Table1[[#This Row],[First 
Name]:[Last 
Name]])</f>
        <v>Samuel Anderson</v>
      </c>
      <c r="E663" t="s">
        <v>1773</v>
      </c>
      <c r="F663" t="s">
        <v>3244</v>
      </c>
      <c r="G663" t="str">
        <f ca="1">PROPER(Table1[[#This Row],[Part Time 
Job]])</f>
        <v>True</v>
      </c>
      <c r="H663" s="3">
        <v>10</v>
      </c>
      <c r="I663" t="str">
        <f ca="1">PROPER(Table1[[#This Row],[Extracurricular 
Activities]])</f>
        <v>False</v>
      </c>
      <c r="J663">
        <v>0</v>
      </c>
      <c r="K663" t="s">
        <v>3119</v>
      </c>
      <c r="L663">
        <v>93</v>
      </c>
      <c r="M663" s="12" t="str" cm="1">
        <f t="array" ref="M66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663">
        <v>95</v>
      </c>
      <c r="O663" s="13" t="str" cm="1">
        <f t="array" ref="O66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663">
        <v>94</v>
      </c>
      <c r="Q663" s="13" t="str" cm="1">
        <f t="array" ref="Q66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663">
        <v>70</v>
      </c>
      <c r="S663" t="str" cm="1">
        <f t="array" ref="S66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663">
        <v>83</v>
      </c>
      <c r="U663" t="str" cm="1">
        <f t="array" ref="U66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663">
        <v>86</v>
      </c>
      <c r="W663" t="str" cm="1">
        <f t="array" ref="W66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663">
        <v>94</v>
      </c>
      <c r="Y663" t="str" cm="1">
        <f t="array" ref="Y66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663">
        <f>SUM(Table1[[#This Row],[Math 
Score]],Table1[[#This Row],[History 
Score]],Table1[[#This Row],[Physics 
Score]],Table1[[#This Row],[Chemistry 
Score]],Table1[[#This Row],[Biology 
Score]],Table1[[#This Row],[English 
Score]],Table1[[#This Row],[Geography 
Score]])</f>
        <v>615</v>
      </c>
      <c r="AA663" s="3">
        <f>AVERAGE(Table1[[#This Row],[Math 
Score]],Table1[[#This Row],[History 
Score]],Table1[[#This Row],[Physics 
Score]],Table1[[#This Row],[Chemistry 
Score]],Table1[[#This Row],[Biology 
Score]],Table1[[#This Row],[English 
Score]],Table1[[#This Row],[Geography 
Score]])</f>
        <v>87.857142857142861</v>
      </c>
      <c r="AB66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663">
        <f t="shared" si="10"/>
        <v>251</v>
      </c>
      <c r="AD663" t="str">
        <f>_xlfn.IFS(Table1[[#This Row],[Absence 
Days]]&lt;3,"Excellent",Table1[[#This Row],[Absence 
Days]]&lt;=6,"Good",Table1[[#This Row],[Absence 
Days]]&gt;6,"Poor")</f>
        <v>Poor</v>
      </c>
    </row>
    <row r="664" spans="1:30" x14ac:dyDescent="0.35">
      <c r="A664">
        <v>663</v>
      </c>
      <c r="B664" s="2" t="s">
        <v>281</v>
      </c>
      <c r="C664" t="s">
        <v>592</v>
      </c>
      <c r="D664" t="str">
        <f>_xlfn.TEXTJOIN(" ",TRUE,Table1[[#This Row],[First 
Name]:[Last 
Name]])</f>
        <v>Xavier Johnson</v>
      </c>
      <c r="E664" t="s">
        <v>1774</v>
      </c>
      <c r="F664" t="s">
        <v>3244</v>
      </c>
      <c r="G664" t="str">
        <f ca="1">PROPER(Table1[[#This Row],[Part Time 
Job]])</f>
        <v>False</v>
      </c>
      <c r="H664" s="3">
        <v>2</v>
      </c>
      <c r="I664" t="str">
        <f ca="1">PROPER(Table1[[#This Row],[Extracurricular 
Activities]])</f>
        <v>True</v>
      </c>
      <c r="J664">
        <v>21</v>
      </c>
      <c r="K664" t="s">
        <v>3125</v>
      </c>
      <c r="L664">
        <v>83</v>
      </c>
      <c r="M664" s="12" t="str" cm="1">
        <f t="array" ref="M66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664">
        <v>75</v>
      </c>
      <c r="O664" s="13" t="str" cm="1">
        <f t="array" ref="O66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664">
        <v>84</v>
      </c>
      <c r="Q664" s="13" t="str" cm="1">
        <f t="array" ref="Q66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664">
        <v>68</v>
      </c>
      <c r="S664" t="str" cm="1">
        <f t="array" ref="S66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664">
        <v>95</v>
      </c>
      <c r="U664" t="str" cm="1">
        <f t="array" ref="U66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664">
        <v>80</v>
      </c>
      <c r="W664" t="str" cm="1">
        <f t="array" ref="W66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664">
        <v>88</v>
      </c>
      <c r="Y664" t="str" cm="1">
        <f t="array" ref="Y66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664">
        <f>SUM(Table1[[#This Row],[Math 
Score]],Table1[[#This Row],[History 
Score]],Table1[[#This Row],[Physics 
Score]],Table1[[#This Row],[Chemistry 
Score]],Table1[[#This Row],[Biology 
Score]],Table1[[#This Row],[English 
Score]],Table1[[#This Row],[Geography 
Score]])</f>
        <v>573</v>
      </c>
      <c r="AA664" s="3">
        <f>AVERAGE(Table1[[#This Row],[Math 
Score]],Table1[[#This Row],[History 
Score]],Table1[[#This Row],[Physics 
Score]],Table1[[#This Row],[Chemistry 
Score]],Table1[[#This Row],[Biology 
Score]],Table1[[#This Row],[English 
Score]],Table1[[#This Row],[Geography 
Score]])</f>
        <v>81.857142857142861</v>
      </c>
      <c r="AB66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664">
        <f t="shared" si="10"/>
        <v>864</v>
      </c>
      <c r="AD664" t="str">
        <f>_xlfn.IFS(Table1[[#This Row],[Absence 
Days]]&lt;3,"Excellent",Table1[[#This Row],[Absence 
Days]]&lt;=6,"Good",Table1[[#This Row],[Absence 
Days]]&gt;6,"Poor")</f>
        <v>Excellent</v>
      </c>
    </row>
    <row r="665" spans="1:30" x14ac:dyDescent="0.35">
      <c r="A665">
        <v>664</v>
      </c>
      <c r="B665" s="2" t="s">
        <v>39</v>
      </c>
      <c r="C665" t="s">
        <v>813</v>
      </c>
      <c r="D665" t="str">
        <f>_xlfn.TEXTJOIN(" ",TRUE,Table1[[#This Row],[First 
Name]:[Last 
Name]])</f>
        <v>Lauren Cordova</v>
      </c>
      <c r="E665" t="s">
        <v>1775</v>
      </c>
      <c r="F665" t="s">
        <v>3245</v>
      </c>
      <c r="G665" t="str">
        <f ca="1">PROPER(Table1[[#This Row],[Part Time 
Job]])</f>
        <v>True</v>
      </c>
      <c r="H665" s="3">
        <v>3</v>
      </c>
      <c r="I665" t="str">
        <f ca="1">PROPER(Table1[[#This Row],[Extracurricular 
Activities]])</f>
        <v>False</v>
      </c>
      <c r="J665">
        <v>28</v>
      </c>
      <c r="K665" t="s">
        <v>3112</v>
      </c>
      <c r="L665">
        <v>96</v>
      </c>
      <c r="M665" s="12" t="str" cm="1">
        <f t="array" ref="M66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665">
        <v>93</v>
      </c>
      <c r="O665" s="13" t="str" cm="1">
        <f t="array" ref="O66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665">
        <v>100</v>
      </c>
      <c r="Q665" s="13" t="str" cm="1">
        <f t="array" ref="Q66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665">
        <v>96</v>
      </c>
      <c r="S665" t="str" cm="1">
        <f t="array" ref="S66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665">
        <v>97</v>
      </c>
      <c r="U665" t="str" cm="1">
        <f t="array" ref="U66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665">
        <v>81</v>
      </c>
      <c r="W665" t="str" cm="1">
        <f t="array" ref="W66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665">
        <v>72</v>
      </c>
      <c r="Y665" t="str" cm="1">
        <f t="array" ref="Y66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665">
        <f>SUM(Table1[[#This Row],[Math 
Score]],Table1[[#This Row],[History 
Score]],Table1[[#This Row],[Physics 
Score]],Table1[[#This Row],[Chemistry 
Score]],Table1[[#This Row],[Biology 
Score]],Table1[[#This Row],[English 
Score]],Table1[[#This Row],[Geography 
Score]])</f>
        <v>635</v>
      </c>
      <c r="AA665" s="3">
        <f>AVERAGE(Table1[[#This Row],[Math 
Score]],Table1[[#This Row],[History 
Score]],Table1[[#This Row],[Physics 
Score]],Table1[[#This Row],[Chemistry 
Score]],Table1[[#This Row],[Biology 
Score]],Table1[[#This Row],[English 
Score]],Table1[[#This Row],[Geography 
Score]])</f>
        <v>90.714285714285708</v>
      </c>
      <c r="AB66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665">
        <f t="shared" si="10"/>
        <v>128</v>
      </c>
      <c r="AD665" t="str">
        <f>_xlfn.IFS(Table1[[#This Row],[Absence 
Days]]&lt;3,"Excellent",Table1[[#This Row],[Absence 
Days]]&lt;=6,"Good",Table1[[#This Row],[Absence 
Days]]&gt;6,"Poor")</f>
        <v>Good</v>
      </c>
    </row>
    <row r="666" spans="1:30" x14ac:dyDescent="0.35">
      <c r="A666">
        <v>665</v>
      </c>
      <c r="B666" s="2" t="s">
        <v>99</v>
      </c>
      <c r="C666" t="s">
        <v>626</v>
      </c>
      <c r="D666" t="str">
        <f>_xlfn.TEXTJOIN(" ",TRUE,Table1[[#This Row],[First 
Name]:[Last 
Name]])</f>
        <v>Amanda Hawkins</v>
      </c>
      <c r="E666" t="s">
        <v>1776</v>
      </c>
      <c r="F666" t="s">
        <v>3245</v>
      </c>
      <c r="G666" t="str">
        <f ca="1">PROPER(Table1[[#This Row],[Part Time 
Job]])</f>
        <v>True</v>
      </c>
      <c r="H666" s="3">
        <v>8</v>
      </c>
      <c r="I666" t="str">
        <f ca="1">PROPER(Table1[[#This Row],[Extracurricular 
Activities]])</f>
        <v>False</v>
      </c>
      <c r="J666">
        <v>35</v>
      </c>
      <c r="K666" t="s">
        <v>3123</v>
      </c>
      <c r="L666">
        <v>87</v>
      </c>
      <c r="M666" s="12" t="str" cm="1">
        <f t="array" ref="M66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666">
        <v>88</v>
      </c>
      <c r="O666" s="13" t="str" cm="1">
        <f t="array" ref="O66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666">
        <v>93</v>
      </c>
      <c r="Q666" s="13" t="str" cm="1">
        <f t="array" ref="Q66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666">
        <v>88</v>
      </c>
      <c r="S666" t="str" cm="1">
        <f t="array" ref="S66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666">
        <v>96</v>
      </c>
      <c r="U666" t="str" cm="1">
        <f t="array" ref="U66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666">
        <v>85</v>
      </c>
      <c r="W666" t="str" cm="1">
        <f t="array" ref="W66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666">
        <v>94</v>
      </c>
      <c r="Y666" t="str" cm="1">
        <f t="array" ref="Y66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666">
        <f>SUM(Table1[[#This Row],[Math 
Score]],Table1[[#This Row],[History 
Score]],Table1[[#This Row],[Physics 
Score]],Table1[[#This Row],[Chemistry 
Score]],Table1[[#This Row],[Biology 
Score]],Table1[[#This Row],[English 
Score]],Table1[[#This Row],[Geography 
Score]])</f>
        <v>631</v>
      </c>
      <c r="AA666" s="3">
        <f>AVERAGE(Table1[[#This Row],[Math 
Score]],Table1[[#This Row],[History 
Score]],Table1[[#This Row],[Physics 
Score]],Table1[[#This Row],[Chemistry 
Score]],Table1[[#This Row],[Biology 
Score]],Table1[[#This Row],[English 
Score]],Table1[[#This Row],[Geography 
Score]])</f>
        <v>90.142857142857139</v>
      </c>
      <c r="AB66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666">
        <f t="shared" si="10"/>
        <v>151</v>
      </c>
      <c r="AD666" t="str">
        <f>_xlfn.IFS(Table1[[#This Row],[Absence 
Days]]&lt;3,"Excellent",Table1[[#This Row],[Absence 
Days]]&lt;=6,"Good",Table1[[#This Row],[Absence 
Days]]&gt;6,"Poor")</f>
        <v>Poor</v>
      </c>
    </row>
    <row r="667" spans="1:30" x14ac:dyDescent="0.35">
      <c r="A667">
        <v>666</v>
      </c>
      <c r="B667" s="2" t="s">
        <v>195</v>
      </c>
      <c r="C667" t="s">
        <v>814</v>
      </c>
      <c r="D667" t="str">
        <f>_xlfn.TEXTJOIN(" ",TRUE,Table1[[#This Row],[First 
Name]:[Last 
Name]])</f>
        <v>Donald Coleman</v>
      </c>
      <c r="E667" t="s">
        <v>1777</v>
      </c>
      <c r="F667" t="s">
        <v>3244</v>
      </c>
      <c r="G667" t="str">
        <f ca="1">PROPER(Table1[[#This Row],[Part Time 
Job]])</f>
        <v>False</v>
      </c>
      <c r="H667" s="3">
        <v>9</v>
      </c>
      <c r="I667" t="str">
        <f ca="1">PROPER(Table1[[#This Row],[Extracurricular 
Activities]])</f>
        <v>True</v>
      </c>
      <c r="J667">
        <v>24</v>
      </c>
      <c r="K667" t="s">
        <v>3112</v>
      </c>
      <c r="L667">
        <v>95</v>
      </c>
      <c r="M667" s="12" t="str" cm="1">
        <f t="array" ref="M66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667">
        <v>82</v>
      </c>
      <c r="O667" s="13" t="str" cm="1">
        <f t="array" ref="O66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667">
        <v>84</v>
      </c>
      <c r="Q667" s="13" t="str" cm="1">
        <f t="array" ref="Q66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667">
        <v>69</v>
      </c>
      <c r="S667" t="str" cm="1">
        <f t="array" ref="S66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667">
        <v>63</v>
      </c>
      <c r="U667" t="str" cm="1">
        <f t="array" ref="U66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667">
        <v>85</v>
      </c>
      <c r="W667" t="str" cm="1">
        <f t="array" ref="W66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667">
        <v>69</v>
      </c>
      <c r="Y667" t="str" cm="1">
        <f t="array" ref="Y66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667">
        <f>SUM(Table1[[#This Row],[Math 
Score]],Table1[[#This Row],[History 
Score]],Table1[[#This Row],[Physics 
Score]],Table1[[#This Row],[Chemistry 
Score]],Table1[[#This Row],[Biology 
Score]],Table1[[#This Row],[English 
Score]],Table1[[#This Row],[Geography 
Score]])</f>
        <v>547</v>
      </c>
      <c r="AA667" s="3">
        <f>AVERAGE(Table1[[#This Row],[Math 
Score]],Table1[[#This Row],[History 
Score]],Table1[[#This Row],[Physics 
Score]],Table1[[#This Row],[Chemistry 
Score]],Table1[[#This Row],[Biology 
Score]],Table1[[#This Row],[English 
Score]],Table1[[#This Row],[Geography 
Score]])</f>
        <v>78.142857142857139</v>
      </c>
      <c r="AB66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667">
        <f t="shared" si="10"/>
        <v>1388</v>
      </c>
      <c r="AD667" t="str">
        <f>_xlfn.IFS(Table1[[#This Row],[Absence 
Days]]&lt;3,"Excellent",Table1[[#This Row],[Absence 
Days]]&lt;=6,"Good",Table1[[#This Row],[Absence 
Days]]&gt;6,"Poor")</f>
        <v>Poor</v>
      </c>
    </row>
    <row r="668" spans="1:30" x14ac:dyDescent="0.35">
      <c r="A668">
        <v>667</v>
      </c>
      <c r="B668" s="2" t="s">
        <v>88</v>
      </c>
      <c r="C668" t="s">
        <v>549</v>
      </c>
      <c r="D668" t="str">
        <f>_xlfn.TEXTJOIN(" ",TRUE,Table1[[#This Row],[First 
Name]:[Last 
Name]])</f>
        <v>Phillip Bennett</v>
      </c>
      <c r="E668" t="s">
        <v>1778</v>
      </c>
      <c r="F668" t="s">
        <v>3244</v>
      </c>
      <c r="G668" t="str">
        <f ca="1">PROPER(Table1[[#This Row],[Part Time 
Job]])</f>
        <v>False</v>
      </c>
      <c r="H668" s="3">
        <v>1</v>
      </c>
      <c r="I668" t="str">
        <f ca="1">PROPER(Table1[[#This Row],[Extracurricular 
Activities]])</f>
        <v>False</v>
      </c>
      <c r="J668">
        <v>28</v>
      </c>
      <c r="K668" t="s">
        <v>3123</v>
      </c>
      <c r="L668">
        <v>87</v>
      </c>
      <c r="M668" s="12" t="str" cm="1">
        <f t="array" ref="M66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668">
        <v>87</v>
      </c>
      <c r="O668" s="13" t="str" cm="1">
        <f t="array" ref="O66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668">
        <v>86</v>
      </c>
      <c r="Q668" s="13" t="str" cm="1">
        <f t="array" ref="Q66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668">
        <v>84</v>
      </c>
      <c r="S668" t="str" cm="1">
        <f t="array" ref="S66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668">
        <v>66</v>
      </c>
      <c r="U668" t="str" cm="1">
        <f t="array" ref="U66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668">
        <v>83</v>
      </c>
      <c r="W668" t="str" cm="1">
        <f t="array" ref="W66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668">
        <v>81</v>
      </c>
      <c r="Y668" t="str" cm="1">
        <f t="array" ref="Y66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668">
        <f>SUM(Table1[[#This Row],[Math 
Score]],Table1[[#This Row],[History 
Score]],Table1[[#This Row],[Physics 
Score]],Table1[[#This Row],[Chemistry 
Score]],Table1[[#This Row],[Biology 
Score]],Table1[[#This Row],[English 
Score]],Table1[[#This Row],[Geography 
Score]])</f>
        <v>574</v>
      </c>
      <c r="AA668" s="3">
        <f>AVERAGE(Table1[[#This Row],[Math 
Score]],Table1[[#This Row],[History 
Score]],Table1[[#This Row],[Physics 
Score]],Table1[[#This Row],[Chemistry 
Score]],Table1[[#This Row],[Biology 
Score]],Table1[[#This Row],[English 
Score]],Table1[[#This Row],[Geography 
Score]])</f>
        <v>82</v>
      </c>
      <c r="AB66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668">
        <f t="shared" si="10"/>
        <v>832</v>
      </c>
      <c r="AD668" t="str">
        <f>_xlfn.IFS(Table1[[#This Row],[Absence 
Days]]&lt;3,"Excellent",Table1[[#This Row],[Absence 
Days]]&lt;=6,"Good",Table1[[#This Row],[Absence 
Days]]&gt;6,"Poor")</f>
        <v>Excellent</v>
      </c>
    </row>
    <row r="669" spans="1:30" x14ac:dyDescent="0.35">
      <c r="A669">
        <v>668</v>
      </c>
      <c r="B669" s="2" t="s">
        <v>124</v>
      </c>
      <c r="C669" t="s">
        <v>6</v>
      </c>
      <c r="D669" t="str">
        <f>_xlfn.TEXTJOIN(" ",TRUE,Table1[[#This Row],[First 
Name]:[Last 
Name]])</f>
        <v>John George</v>
      </c>
      <c r="E669" t="s">
        <v>1779</v>
      </c>
      <c r="F669" t="s">
        <v>3244</v>
      </c>
      <c r="G669" t="str">
        <f ca="1">PROPER(Table1[[#This Row],[Part Time 
Job]])</f>
        <v>False</v>
      </c>
      <c r="H669" s="3">
        <v>9</v>
      </c>
      <c r="I669" t="str">
        <f ca="1">PROPER(Table1[[#This Row],[Extracurricular 
Activities]])</f>
        <v>False</v>
      </c>
      <c r="J669">
        <v>0</v>
      </c>
      <c r="K669" t="s">
        <v>3119</v>
      </c>
      <c r="L669">
        <v>43</v>
      </c>
      <c r="M669" s="12" t="str" cm="1">
        <f t="array" ref="M669">_xlfn.IFS(Table1[[#This Row],[Math 
Score]]&gt;=90,"A+",Table1[[#This Row],[Math 
Score]]&gt;=80,"A", Table1[[#This Row],[Math 
Score]]&gt;=75,"A-",Table1[[#This Row],[Math 
Score]]&gt;=70,"B+",Table1[[#This Row],[Math 
Score]]&gt;=65,"B",Table1[[#This Row],[Math 
Score]]&gt;=60,"B-",Table1[[#This Row],[Math 
Score]]&gt;=50,"C",Table1[[#This Row],[Math 
Score]]&gt;=40,"D",Table1[[#This Row],[Math 
Score]]&lt;40,"F")</f>
        <v>D</v>
      </c>
      <c r="N669">
        <v>95</v>
      </c>
      <c r="O669" s="13" t="str" cm="1">
        <f t="array" ref="O66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669">
        <v>64</v>
      </c>
      <c r="Q669" s="13" t="str" cm="1">
        <f t="array" ref="Q66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669">
        <v>95</v>
      </c>
      <c r="S669" t="str" cm="1">
        <f t="array" ref="S66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669">
        <v>66</v>
      </c>
      <c r="U669" t="str" cm="1">
        <f t="array" ref="U66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669">
        <v>67</v>
      </c>
      <c r="W669" t="str" cm="1">
        <f t="array" ref="W66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669">
        <v>74</v>
      </c>
      <c r="Y669" t="str" cm="1">
        <f t="array" ref="Y66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669">
        <f>SUM(Table1[[#This Row],[Math 
Score]],Table1[[#This Row],[History 
Score]],Table1[[#This Row],[Physics 
Score]],Table1[[#This Row],[Chemistry 
Score]],Table1[[#This Row],[Biology 
Score]],Table1[[#This Row],[English 
Score]],Table1[[#This Row],[Geography 
Score]])</f>
        <v>504</v>
      </c>
      <c r="AA669" s="3">
        <f>AVERAGE(Table1[[#This Row],[Math 
Score]],Table1[[#This Row],[History 
Score]],Table1[[#This Row],[Physics 
Score]],Table1[[#This Row],[Chemistry 
Score]],Table1[[#This Row],[Biology 
Score]],Table1[[#This Row],[English 
Score]],Table1[[#This Row],[Geography 
Score]])</f>
        <v>72</v>
      </c>
      <c r="AB66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669">
        <f t="shared" si="10"/>
        <v>1858</v>
      </c>
      <c r="AD669" t="str">
        <f>_xlfn.IFS(Table1[[#This Row],[Absence 
Days]]&lt;3,"Excellent",Table1[[#This Row],[Absence 
Days]]&lt;=6,"Good",Table1[[#This Row],[Absence 
Days]]&gt;6,"Poor")</f>
        <v>Poor</v>
      </c>
    </row>
    <row r="670" spans="1:30" x14ac:dyDescent="0.35">
      <c r="A670">
        <v>669</v>
      </c>
      <c r="B670" s="2" t="s">
        <v>282</v>
      </c>
      <c r="C670" t="s">
        <v>569</v>
      </c>
      <c r="D670" t="str">
        <f>_xlfn.TEXTJOIN(" ",TRUE,Table1[[#This Row],[First 
Name]:[Last 
Name]])</f>
        <v>Katherine Moore</v>
      </c>
      <c r="E670" t="s">
        <v>1780</v>
      </c>
      <c r="F670" t="s">
        <v>3245</v>
      </c>
      <c r="G670" t="str">
        <f ca="1">PROPER(Table1[[#This Row],[Part Time 
Job]])</f>
        <v>True</v>
      </c>
      <c r="H670" s="3">
        <v>6</v>
      </c>
      <c r="I670" t="str">
        <f ca="1">PROPER(Table1[[#This Row],[Extracurricular 
Activities]])</f>
        <v>False</v>
      </c>
      <c r="J670">
        <v>0</v>
      </c>
      <c r="K670" t="s">
        <v>3119</v>
      </c>
      <c r="L670">
        <v>40</v>
      </c>
      <c r="M670" s="12" t="str" cm="1">
        <f t="array" ref="M670">_xlfn.IFS(Table1[[#This Row],[Math 
Score]]&gt;=90,"A+",Table1[[#This Row],[Math 
Score]]&gt;=80,"A", Table1[[#This Row],[Math 
Score]]&gt;=75,"A-",Table1[[#This Row],[Math 
Score]]&gt;=70,"B+",Table1[[#This Row],[Math 
Score]]&gt;=65,"B",Table1[[#This Row],[Math 
Score]]&gt;=60,"B-",Table1[[#This Row],[Math 
Score]]&gt;=50,"C",Table1[[#This Row],[Math 
Score]]&gt;=40,"D",Table1[[#This Row],[Math 
Score]]&lt;40,"F")</f>
        <v>D</v>
      </c>
      <c r="N670">
        <v>100</v>
      </c>
      <c r="O670" s="13" t="str" cm="1">
        <f t="array" ref="O67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670">
        <v>88</v>
      </c>
      <c r="Q670" s="13" t="str" cm="1">
        <f t="array" ref="Q67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670">
        <v>79</v>
      </c>
      <c r="S670" t="str" cm="1">
        <f t="array" ref="S67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670">
        <v>71</v>
      </c>
      <c r="U670" t="str" cm="1">
        <f t="array" ref="U67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670">
        <v>86</v>
      </c>
      <c r="W670" t="str" cm="1">
        <f t="array" ref="W67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670">
        <v>89</v>
      </c>
      <c r="Y670" t="str" cm="1">
        <f t="array" ref="Y67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670">
        <f>SUM(Table1[[#This Row],[Math 
Score]],Table1[[#This Row],[History 
Score]],Table1[[#This Row],[Physics 
Score]],Table1[[#This Row],[Chemistry 
Score]],Table1[[#This Row],[Biology 
Score]],Table1[[#This Row],[English 
Score]],Table1[[#This Row],[Geography 
Score]])</f>
        <v>553</v>
      </c>
      <c r="AA670" s="3">
        <f>AVERAGE(Table1[[#This Row],[Math 
Score]],Table1[[#This Row],[History 
Score]],Table1[[#This Row],[Physics 
Score]],Table1[[#This Row],[Chemistry 
Score]],Table1[[#This Row],[Biology 
Score]],Table1[[#This Row],[English 
Score]],Table1[[#This Row],[Geography 
Score]])</f>
        <v>79</v>
      </c>
      <c r="AB67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670">
        <f t="shared" si="10"/>
        <v>1284</v>
      </c>
      <c r="AD670" t="str">
        <f>_xlfn.IFS(Table1[[#This Row],[Absence 
Days]]&lt;3,"Excellent",Table1[[#This Row],[Absence 
Days]]&lt;=6,"Good",Table1[[#This Row],[Absence 
Days]]&gt;6,"Poor")</f>
        <v>Good</v>
      </c>
    </row>
    <row r="671" spans="1:30" x14ac:dyDescent="0.35">
      <c r="A671">
        <v>670</v>
      </c>
      <c r="B671" s="2" t="s">
        <v>283</v>
      </c>
      <c r="C671" t="s">
        <v>815</v>
      </c>
      <c r="D671" t="str">
        <f>_xlfn.TEXTJOIN(" ",TRUE,Table1[[#This Row],[First 
Name]:[Last 
Name]])</f>
        <v>Jose Dominguez</v>
      </c>
      <c r="E671" t="s">
        <v>1781</v>
      </c>
      <c r="F671" t="s">
        <v>3244</v>
      </c>
      <c r="G671" t="str">
        <f ca="1">PROPER(Table1[[#This Row],[Part Time 
Job]])</f>
        <v>False</v>
      </c>
      <c r="H671" s="3">
        <v>2</v>
      </c>
      <c r="I671" t="str">
        <f ca="1">PROPER(Table1[[#This Row],[Extracurricular 
Activities]])</f>
        <v>False</v>
      </c>
      <c r="J671">
        <v>3</v>
      </c>
      <c r="K671" t="s">
        <v>3128</v>
      </c>
      <c r="L671">
        <v>64</v>
      </c>
      <c r="M671" s="12" t="str" cm="1">
        <f t="array" ref="M671">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671">
        <v>70</v>
      </c>
      <c r="O671" s="13" t="str" cm="1">
        <f t="array" ref="O67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671">
        <v>98</v>
      </c>
      <c r="Q671" s="13" t="str" cm="1">
        <f t="array" ref="Q67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671">
        <v>82</v>
      </c>
      <c r="S671" t="str" cm="1">
        <f t="array" ref="S67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671">
        <v>100</v>
      </c>
      <c r="U671" t="str" cm="1">
        <f t="array" ref="U67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671">
        <v>72</v>
      </c>
      <c r="W671" t="str" cm="1">
        <f t="array" ref="W67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671">
        <v>78</v>
      </c>
      <c r="Y671" t="str" cm="1">
        <f t="array" ref="Y67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671">
        <f>SUM(Table1[[#This Row],[Math 
Score]],Table1[[#This Row],[History 
Score]],Table1[[#This Row],[Physics 
Score]],Table1[[#This Row],[Chemistry 
Score]],Table1[[#This Row],[Biology 
Score]],Table1[[#This Row],[English 
Score]],Table1[[#This Row],[Geography 
Score]])</f>
        <v>564</v>
      </c>
      <c r="AA671" s="3">
        <f>AVERAGE(Table1[[#This Row],[Math 
Score]],Table1[[#This Row],[History 
Score]],Table1[[#This Row],[Physics 
Score]],Table1[[#This Row],[Chemistry 
Score]],Table1[[#This Row],[Biology 
Score]],Table1[[#This Row],[English 
Score]],Table1[[#This Row],[Geography 
Score]])</f>
        <v>80.571428571428569</v>
      </c>
      <c r="AB67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671">
        <f t="shared" si="10"/>
        <v>1056</v>
      </c>
      <c r="AD671" t="str">
        <f>_xlfn.IFS(Table1[[#This Row],[Absence 
Days]]&lt;3,"Excellent",Table1[[#This Row],[Absence 
Days]]&lt;=6,"Good",Table1[[#This Row],[Absence 
Days]]&gt;6,"Poor")</f>
        <v>Excellent</v>
      </c>
    </row>
    <row r="672" spans="1:30" x14ac:dyDescent="0.35">
      <c r="A672">
        <v>671</v>
      </c>
      <c r="B672" s="2" t="s">
        <v>39</v>
      </c>
      <c r="C672" t="s">
        <v>816</v>
      </c>
      <c r="D672" t="str">
        <f>_xlfn.TEXTJOIN(" ",TRUE,Table1[[#This Row],[First 
Name]:[Last 
Name]])</f>
        <v>Lauren Morrow</v>
      </c>
      <c r="E672" t="s">
        <v>1782</v>
      </c>
      <c r="F672" t="s">
        <v>3245</v>
      </c>
      <c r="G672" t="str">
        <f ca="1">PROPER(Table1[[#This Row],[Part Time 
Job]])</f>
        <v>False</v>
      </c>
      <c r="H672" s="3">
        <v>3</v>
      </c>
      <c r="I672" t="str">
        <f ca="1">PROPER(Table1[[#This Row],[Extracurricular 
Activities]])</f>
        <v>False</v>
      </c>
      <c r="J672">
        <v>16</v>
      </c>
      <c r="K672" t="s">
        <v>3116</v>
      </c>
      <c r="L672">
        <v>72</v>
      </c>
      <c r="M672" s="12" t="str" cm="1">
        <f t="array" ref="M672">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672">
        <v>79</v>
      </c>
      <c r="O672" s="13" t="str" cm="1">
        <f t="array" ref="O67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672">
        <v>95</v>
      </c>
      <c r="Q672" s="13" t="str" cm="1">
        <f t="array" ref="Q67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672">
        <v>68</v>
      </c>
      <c r="S672" t="str" cm="1">
        <f t="array" ref="S67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672">
        <v>75</v>
      </c>
      <c r="U672" t="str" cm="1">
        <f t="array" ref="U67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672">
        <v>70</v>
      </c>
      <c r="W672" t="str" cm="1">
        <f t="array" ref="W67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672">
        <v>88</v>
      </c>
      <c r="Y672" t="str" cm="1">
        <f t="array" ref="Y67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672">
        <f>SUM(Table1[[#This Row],[Math 
Score]],Table1[[#This Row],[History 
Score]],Table1[[#This Row],[Physics 
Score]],Table1[[#This Row],[Chemistry 
Score]],Table1[[#This Row],[Biology 
Score]],Table1[[#This Row],[English 
Score]],Table1[[#This Row],[Geography 
Score]])</f>
        <v>547</v>
      </c>
      <c r="AA672" s="3">
        <f>AVERAGE(Table1[[#This Row],[Math 
Score]],Table1[[#This Row],[History 
Score]],Table1[[#This Row],[Physics 
Score]],Table1[[#This Row],[Chemistry 
Score]],Table1[[#This Row],[Biology 
Score]],Table1[[#This Row],[English 
Score]],Table1[[#This Row],[Geography 
Score]])</f>
        <v>78.142857142857139</v>
      </c>
      <c r="AB67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672">
        <f t="shared" si="10"/>
        <v>1388</v>
      </c>
      <c r="AD672" t="str">
        <f>_xlfn.IFS(Table1[[#This Row],[Absence 
Days]]&lt;3,"Excellent",Table1[[#This Row],[Absence 
Days]]&lt;=6,"Good",Table1[[#This Row],[Absence 
Days]]&gt;6,"Poor")</f>
        <v>Good</v>
      </c>
    </row>
    <row r="673" spans="1:30" x14ac:dyDescent="0.35">
      <c r="A673">
        <v>672</v>
      </c>
      <c r="B673" s="2" t="s">
        <v>284</v>
      </c>
      <c r="C673" t="s">
        <v>517</v>
      </c>
      <c r="D673" t="str">
        <f>_xlfn.TEXTJOIN(" ",TRUE,Table1[[#This Row],[First 
Name]:[Last 
Name]])</f>
        <v>Katie Davenport</v>
      </c>
      <c r="E673" t="s">
        <v>1783</v>
      </c>
      <c r="F673" t="s">
        <v>3245</v>
      </c>
      <c r="G673" t="str">
        <f ca="1">PROPER(Table1[[#This Row],[Part Time 
Job]])</f>
        <v>False</v>
      </c>
      <c r="H673" s="3">
        <v>2</v>
      </c>
      <c r="I673" t="str">
        <f ca="1">PROPER(Table1[[#This Row],[Extracurricular 
Activities]])</f>
        <v>False</v>
      </c>
      <c r="J673">
        <v>26</v>
      </c>
      <c r="K673" t="s">
        <v>3112</v>
      </c>
      <c r="L673">
        <v>77</v>
      </c>
      <c r="M673" s="12" t="str" cm="1">
        <f t="array" ref="M67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673">
        <v>96</v>
      </c>
      <c r="O673" s="13" t="str" cm="1">
        <f t="array" ref="O67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673">
        <v>86</v>
      </c>
      <c r="Q673" s="13" t="str" cm="1">
        <f t="array" ref="Q67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673">
        <v>84</v>
      </c>
      <c r="S673" t="str" cm="1">
        <f t="array" ref="S67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673">
        <v>90</v>
      </c>
      <c r="U673" t="str" cm="1">
        <f t="array" ref="U67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673">
        <v>85</v>
      </c>
      <c r="W673" t="str" cm="1">
        <f t="array" ref="W67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673">
        <v>91</v>
      </c>
      <c r="Y673" t="str" cm="1">
        <f t="array" ref="Y67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673">
        <f>SUM(Table1[[#This Row],[Math 
Score]],Table1[[#This Row],[History 
Score]],Table1[[#This Row],[Physics 
Score]],Table1[[#This Row],[Chemistry 
Score]],Table1[[#This Row],[Biology 
Score]],Table1[[#This Row],[English 
Score]],Table1[[#This Row],[Geography 
Score]])</f>
        <v>609</v>
      </c>
      <c r="AA673" s="3">
        <f>AVERAGE(Table1[[#This Row],[Math 
Score]],Table1[[#This Row],[History 
Score]],Table1[[#This Row],[Physics 
Score]],Table1[[#This Row],[Chemistry 
Score]],Table1[[#This Row],[Biology 
Score]],Table1[[#This Row],[English 
Score]],Table1[[#This Row],[Geography 
Score]])</f>
        <v>87</v>
      </c>
      <c r="AB67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673">
        <f t="shared" si="10"/>
        <v>309</v>
      </c>
      <c r="AD673" t="str">
        <f>_xlfn.IFS(Table1[[#This Row],[Absence 
Days]]&lt;3,"Excellent",Table1[[#This Row],[Absence 
Days]]&lt;=6,"Good",Table1[[#This Row],[Absence 
Days]]&gt;6,"Poor")</f>
        <v>Excellent</v>
      </c>
    </row>
    <row r="674" spans="1:30" x14ac:dyDescent="0.35">
      <c r="A674">
        <v>673</v>
      </c>
      <c r="B674" s="2" t="s">
        <v>54</v>
      </c>
      <c r="C674" t="s">
        <v>486</v>
      </c>
      <c r="D674" t="str">
        <f>_xlfn.TEXTJOIN(" ",TRUE,Table1[[#This Row],[First 
Name]:[Last 
Name]])</f>
        <v>Michelle Martinez</v>
      </c>
      <c r="E674" t="s">
        <v>1784</v>
      </c>
      <c r="F674" t="s">
        <v>3245</v>
      </c>
      <c r="G674" t="str">
        <f ca="1">PROPER(Table1[[#This Row],[Part Time 
Job]])</f>
        <v>True</v>
      </c>
      <c r="H674" s="3">
        <v>10</v>
      </c>
      <c r="I674" t="str">
        <f ca="1">PROPER(Table1[[#This Row],[Extracurricular 
Activities]])</f>
        <v>True</v>
      </c>
      <c r="J674">
        <v>4</v>
      </c>
      <c r="K674" t="s">
        <v>3119</v>
      </c>
      <c r="L674">
        <v>40</v>
      </c>
      <c r="M674" s="12" t="str" cm="1">
        <f t="array" ref="M674">_xlfn.IFS(Table1[[#This Row],[Math 
Score]]&gt;=90,"A+",Table1[[#This Row],[Math 
Score]]&gt;=80,"A", Table1[[#This Row],[Math 
Score]]&gt;=75,"A-",Table1[[#This Row],[Math 
Score]]&gt;=70,"B+",Table1[[#This Row],[Math 
Score]]&gt;=65,"B",Table1[[#This Row],[Math 
Score]]&gt;=60,"B-",Table1[[#This Row],[Math 
Score]]&gt;=50,"C",Table1[[#This Row],[Math 
Score]]&gt;=40,"D",Table1[[#This Row],[Math 
Score]]&lt;40,"F")</f>
        <v>D</v>
      </c>
      <c r="N674">
        <v>86</v>
      </c>
      <c r="O674" s="13" t="str" cm="1">
        <f t="array" ref="O67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674">
        <v>53</v>
      </c>
      <c r="Q674" s="13" t="str" cm="1">
        <f t="array" ref="Q67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C</v>
      </c>
      <c r="R674">
        <v>63</v>
      </c>
      <c r="S674" t="str" cm="1">
        <f t="array" ref="S67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674">
        <v>50</v>
      </c>
      <c r="U674" t="str" cm="1">
        <f t="array" ref="U67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C</v>
      </c>
      <c r="V674">
        <v>87</v>
      </c>
      <c r="W674" t="str" cm="1">
        <f t="array" ref="W67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674">
        <v>77</v>
      </c>
      <c r="Y674" t="str" cm="1">
        <f t="array" ref="Y67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674">
        <f>SUM(Table1[[#This Row],[Math 
Score]],Table1[[#This Row],[History 
Score]],Table1[[#This Row],[Physics 
Score]],Table1[[#This Row],[Chemistry 
Score]],Table1[[#This Row],[Biology 
Score]],Table1[[#This Row],[English 
Score]],Table1[[#This Row],[Geography 
Score]])</f>
        <v>456</v>
      </c>
      <c r="AA674" s="3">
        <f>AVERAGE(Table1[[#This Row],[Math 
Score]],Table1[[#This Row],[History 
Score]],Table1[[#This Row],[Physics 
Score]],Table1[[#This Row],[Chemistry 
Score]],Table1[[#This Row],[Biology 
Score]],Table1[[#This Row],[English 
Score]],Table1[[#This Row],[Geography 
Score]])</f>
        <v>65.142857142857139</v>
      </c>
      <c r="AB67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674">
        <f t="shared" si="10"/>
        <v>1987</v>
      </c>
      <c r="AD674" t="str">
        <f>_xlfn.IFS(Table1[[#This Row],[Absence 
Days]]&lt;3,"Excellent",Table1[[#This Row],[Absence 
Days]]&lt;=6,"Good",Table1[[#This Row],[Absence 
Days]]&gt;6,"Poor")</f>
        <v>Poor</v>
      </c>
    </row>
    <row r="675" spans="1:30" x14ac:dyDescent="0.35">
      <c r="A675">
        <v>674</v>
      </c>
      <c r="B675" s="2" t="s">
        <v>285</v>
      </c>
      <c r="C675" t="s">
        <v>7</v>
      </c>
      <c r="D675" t="str">
        <f>_xlfn.TEXTJOIN(" ",TRUE,Table1[[#This Row],[First 
Name]:[Last 
Name]])</f>
        <v>Jeremiah Stanley</v>
      </c>
      <c r="E675" t="s">
        <v>1785</v>
      </c>
      <c r="F675" t="s">
        <v>3244</v>
      </c>
      <c r="G675" t="str">
        <f ca="1">PROPER(Table1[[#This Row],[Part Time 
Job]])</f>
        <v>False</v>
      </c>
      <c r="H675" s="3">
        <v>2</v>
      </c>
      <c r="I675" t="str">
        <f ca="1">PROPER(Table1[[#This Row],[Extracurricular 
Activities]])</f>
        <v>False</v>
      </c>
      <c r="J675">
        <v>24</v>
      </c>
      <c r="K675" t="s">
        <v>3125</v>
      </c>
      <c r="L675">
        <v>100</v>
      </c>
      <c r="M675" s="12" t="str" cm="1">
        <f t="array" ref="M67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675">
        <v>89</v>
      </c>
      <c r="O675" s="13" t="str" cm="1">
        <f t="array" ref="O67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675">
        <v>90</v>
      </c>
      <c r="Q675" s="13" t="str" cm="1">
        <f t="array" ref="Q67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675">
        <v>96</v>
      </c>
      <c r="S675" t="str" cm="1">
        <f t="array" ref="S67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675">
        <v>72</v>
      </c>
      <c r="U675" t="str" cm="1">
        <f t="array" ref="U67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675">
        <v>90</v>
      </c>
      <c r="W675" t="str" cm="1">
        <f t="array" ref="W67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675">
        <v>86</v>
      </c>
      <c r="Y675" t="str" cm="1">
        <f t="array" ref="Y67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675">
        <f>SUM(Table1[[#This Row],[Math 
Score]],Table1[[#This Row],[History 
Score]],Table1[[#This Row],[Physics 
Score]],Table1[[#This Row],[Chemistry 
Score]],Table1[[#This Row],[Biology 
Score]],Table1[[#This Row],[English 
Score]],Table1[[#This Row],[Geography 
Score]])</f>
        <v>623</v>
      </c>
      <c r="AA675" s="3">
        <f>AVERAGE(Table1[[#This Row],[Math 
Score]],Table1[[#This Row],[History 
Score]],Table1[[#This Row],[Physics 
Score]],Table1[[#This Row],[Chemistry 
Score]],Table1[[#This Row],[Biology 
Score]],Table1[[#This Row],[English 
Score]],Table1[[#This Row],[Geography 
Score]])</f>
        <v>89</v>
      </c>
      <c r="AB67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675">
        <f t="shared" si="10"/>
        <v>201</v>
      </c>
      <c r="AD675" t="str">
        <f>_xlfn.IFS(Table1[[#This Row],[Absence 
Days]]&lt;3,"Excellent",Table1[[#This Row],[Absence 
Days]]&lt;=6,"Good",Table1[[#This Row],[Absence 
Days]]&gt;6,"Poor")</f>
        <v>Excellent</v>
      </c>
    </row>
    <row r="676" spans="1:30" x14ac:dyDescent="0.35">
      <c r="A676">
        <v>675</v>
      </c>
      <c r="B676" s="2" t="s">
        <v>286</v>
      </c>
      <c r="C676" t="s">
        <v>605</v>
      </c>
      <c r="D676" t="str">
        <f>_xlfn.TEXTJOIN(" ",TRUE,Table1[[#This Row],[First 
Name]:[Last 
Name]])</f>
        <v>Isaac Tucker</v>
      </c>
      <c r="E676" t="s">
        <v>1786</v>
      </c>
      <c r="F676" t="s">
        <v>3244</v>
      </c>
      <c r="G676" t="str">
        <f ca="1">PROPER(Table1[[#This Row],[Part Time 
Job]])</f>
        <v>False</v>
      </c>
      <c r="H676" s="3">
        <v>5</v>
      </c>
      <c r="I676" t="str">
        <f ca="1">PROPER(Table1[[#This Row],[Extracurricular 
Activities]])</f>
        <v>True</v>
      </c>
      <c r="J676">
        <v>22</v>
      </c>
      <c r="K676" t="s">
        <v>3117</v>
      </c>
      <c r="L676">
        <v>89</v>
      </c>
      <c r="M676" s="12" t="str" cm="1">
        <f t="array" ref="M67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676">
        <v>93</v>
      </c>
      <c r="O676" s="13" t="str" cm="1">
        <f t="array" ref="O67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676">
        <v>95</v>
      </c>
      <c r="Q676" s="13" t="str" cm="1">
        <f t="array" ref="Q67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676">
        <v>88</v>
      </c>
      <c r="S676" t="str" cm="1">
        <f t="array" ref="S67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676">
        <v>72</v>
      </c>
      <c r="U676" t="str" cm="1">
        <f t="array" ref="U67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676">
        <v>76</v>
      </c>
      <c r="W676" t="str" cm="1">
        <f t="array" ref="W67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676">
        <v>71</v>
      </c>
      <c r="Y676" t="str" cm="1">
        <f t="array" ref="Y67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676">
        <f>SUM(Table1[[#This Row],[Math 
Score]],Table1[[#This Row],[History 
Score]],Table1[[#This Row],[Physics 
Score]],Table1[[#This Row],[Chemistry 
Score]],Table1[[#This Row],[Biology 
Score]],Table1[[#This Row],[English 
Score]],Table1[[#This Row],[Geography 
Score]])</f>
        <v>584</v>
      </c>
      <c r="AA676" s="3">
        <f>AVERAGE(Table1[[#This Row],[Math 
Score]],Table1[[#This Row],[History 
Score]],Table1[[#This Row],[Physics 
Score]],Table1[[#This Row],[Chemistry 
Score]],Table1[[#This Row],[Biology 
Score]],Table1[[#This Row],[English 
Score]],Table1[[#This Row],[Geography 
Score]])</f>
        <v>83.428571428571431</v>
      </c>
      <c r="AB67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676">
        <f t="shared" si="10"/>
        <v>635</v>
      </c>
      <c r="AD676" t="str">
        <f>_xlfn.IFS(Table1[[#This Row],[Absence 
Days]]&lt;3,"Excellent",Table1[[#This Row],[Absence 
Days]]&lt;=6,"Good",Table1[[#This Row],[Absence 
Days]]&gt;6,"Poor")</f>
        <v>Good</v>
      </c>
    </row>
    <row r="677" spans="1:30" x14ac:dyDescent="0.35">
      <c r="A677">
        <v>676</v>
      </c>
      <c r="B677" s="2" t="s">
        <v>287</v>
      </c>
      <c r="C677" t="s">
        <v>516</v>
      </c>
      <c r="D677" t="str">
        <f>_xlfn.TEXTJOIN(" ",TRUE,Table1[[#This Row],[First 
Name]:[Last 
Name]])</f>
        <v>Hannah Garcia</v>
      </c>
      <c r="E677" t="s">
        <v>1787</v>
      </c>
      <c r="F677" t="s">
        <v>3245</v>
      </c>
      <c r="G677" t="str">
        <f ca="1">PROPER(Table1[[#This Row],[Part Time 
Job]])</f>
        <v>True</v>
      </c>
      <c r="H677" s="3">
        <v>2</v>
      </c>
      <c r="I677" t="str">
        <f ca="1">PROPER(Table1[[#This Row],[Extracurricular 
Activities]])</f>
        <v>False</v>
      </c>
      <c r="J677">
        <v>14</v>
      </c>
      <c r="K677" t="s">
        <v>3117</v>
      </c>
      <c r="L677">
        <v>97</v>
      </c>
      <c r="M677" s="12" t="str" cm="1">
        <f t="array" ref="M67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677">
        <v>74</v>
      </c>
      <c r="O677" s="13" t="str" cm="1">
        <f t="array" ref="O67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677">
        <v>76</v>
      </c>
      <c r="Q677" s="13" t="str" cm="1">
        <f t="array" ref="Q67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677">
        <v>72</v>
      </c>
      <c r="S677" t="str" cm="1">
        <f t="array" ref="S67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677">
        <v>62</v>
      </c>
      <c r="U677" t="str" cm="1">
        <f t="array" ref="U67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677">
        <v>69</v>
      </c>
      <c r="W677" t="str" cm="1">
        <f t="array" ref="W67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677">
        <v>90</v>
      </c>
      <c r="Y677" t="str" cm="1">
        <f t="array" ref="Y67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677">
        <f>SUM(Table1[[#This Row],[Math 
Score]],Table1[[#This Row],[History 
Score]],Table1[[#This Row],[Physics 
Score]],Table1[[#This Row],[Chemistry 
Score]],Table1[[#This Row],[Biology 
Score]],Table1[[#This Row],[English 
Score]],Table1[[#This Row],[Geography 
Score]])</f>
        <v>540</v>
      </c>
      <c r="AA677" s="3">
        <f>AVERAGE(Table1[[#This Row],[Math 
Score]],Table1[[#This Row],[History 
Score]],Table1[[#This Row],[Physics 
Score]],Table1[[#This Row],[Chemistry 
Score]],Table1[[#This Row],[Biology 
Score]],Table1[[#This Row],[English 
Score]],Table1[[#This Row],[Geography 
Score]])</f>
        <v>77.142857142857139</v>
      </c>
      <c r="AB67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677">
        <f t="shared" si="10"/>
        <v>1513</v>
      </c>
      <c r="AD677" t="str">
        <f>_xlfn.IFS(Table1[[#This Row],[Absence 
Days]]&lt;3,"Excellent",Table1[[#This Row],[Absence 
Days]]&lt;=6,"Good",Table1[[#This Row],[Absence 
Days]]&gt;6,"Poor")</f>
        <v>Excellent</v>
      </c>
    </row>
    <row r="678" spans="1:30" x14ac:dyDescent="0.35">
      <c r="A678">
        <v>677</v>
      </c>
      <c r="B678" s="2" t="s">
        <v>80</v>
      </c>
      <c r="C678" t="s">
        <v>653</v>
      </c>
      <c r="D678" t="str">
        <f>_xlfn.TEXTJOIN(" ",TRUE,Table1[[#This Row],[First 
Name]:[Last 
Name]])</f>
        <v>Thomas Nelson</v>
      </c>
      <c r="E678" t="s">
        <v>1788</v>
      </c>
      <c r="F678" t="s">
        <v>3244</v>
      </c>
      <c r="G678" t="str">
        <f ca="1">PROPER(Table1[[#This Row],[Part Time 
Job]])</f>
        <v>False</v>
      </c>
      <c r="H678" s="3">
        <v>2</v>
      </c>
      <c r="I678" t="str">
        <f ca="1">PROPER(Table1[[#This Row],[Extracurricular 
Activities]])</f>
        <v>False</v>
      </c>
      <c r="J678">
        <v>21</v>
      </c>
      <c r="K678" t="s">
        <v>3116</v>
      </c>
      <c r="L678">
        <v>100</v>
      </c>
      <c r="M678" s="12" t="str" cm="1">
        <f t="array" ref="M67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678">
        <v>77</v>
      </c>
      <c r="O678" s="13" t="str" cm="1">
        <f t="array" ref="O67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678">
        <v>74</v>
      </c>
      <c r="Q678" s="13" t="str" cm="1">
        <f t="array" ref="Q67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678">
        <v>61</v>
      </c>
      <c r="S678" t="str" cm="1">
        <f t="array" ref="S67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678">
        <v>81</v>
      </c>
      <c r="U678" t="str" cm="1">
        <f t="array" ref="U67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678">
        <v>96</v>
      </c>
      <c r="W678" t="str" cm="1">
        <f t="array" ref="W67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678">
        <v>96</v>
      </c>
      <c r="Y678" t="str" cm="1">
        <f t="array" ref="Y67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678">
        <f>SUM(Table1[[#This Row],[Math 
Score]],Table1[[#This Row],[History 
Score]],Table1[[#This Row],[Physics 
Score]],Table1[[#This Row],[Chemistry 
Score]],Table1[[#This Row],[Biology 
Score]],Table1[[#This Row],[English 
Score]],Table1[[#This Row],[Geography 
Score]])</f>
        <v>585</v>
      </c>
      <c r="AA678" s="3">
        <f>AVERAGE(Table1[[#This Row],[Math 
Score]],Table1[[#This Row],[History 
Score]],Table1[[#This Row],[Physics 
Score]],Table1[[#This Row],[Chemistry 
Score]],Table1[[#This Row],[Biology 
Score]],Table1[[#This Row],[English 
Score]],Table1[[#This Row],[Geography 
Score]])</f>
        <v>83.571428571428569</v>
      </c>
      <c r="AB67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678">
        <f t="shared" si="10"/>
        <v>615</v>
      </c>
      <c r="AD678" t="str">
        <f>_xlfn.IFS(Table1[[#This Row],[Absence 
Days]]&lt;3,"Excellent",Table1[[#This Row],[Absence 
Days]]&lt;=6,"Good",Table1[[#This Row],[Absence 
Days]]&gt;6,"Poor")</f>
        <v>Excellent</v>
      </c>
    </row>
    <row r="679" spans="1:30" x14ac:dyDescent="0.35">
      <c r="A679">
        <v>678</v>
      </c>
      <c r="B679" s="2" t="s">
        <v>75</v>
      </c>
      <c r="C679" t="s">
        <v>817</v>
      </c>
      <c r="D679" t="str">
        <f>_xlfn.TEXTJOIN(" ",TRUE,Table1[[#This Row],[First 
Name]:[Last 
Name]])</f>
        <v>William Kennedy</v>
      </c>
      <c r="E679" t="s">
        <v>1789</v>
      </c>
      <c r="F679" t="s">
        <v>3244</v>
      </c>
      <c r="G679" t="str">
        <f ca="1">PROPER(Table1[[#This Row],[Part Time 
Job]])</f>
        <v>False</v>
      </c>
      <c r="H679" s="3">
        <v>4</v>
      </c>
      <c r="I679" t="str">
        <f ca="1">PROPER(Table1[[#This Row],[Extracurricular 
Activities]])</f>
        <v>False</v>
      </c>
      <c r="J679">
        <v>29</v>
      </c>
      <c r="K679" t="s">
        <v>3112</v>
      </c>
      <c r="L679">
        <v>81</v>
      </c>
      <c r="M679" s="12" t="str" cm="1">
        <f t="array" ref="M67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679">
        <v>88</v>
      </c>
      <c r="O679" s="13" t="str" cm="1">
        <f t="array" ref="O67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679">
        <v>85</v>
      </c>
      <c r="Q679" s="13" t="str" cm="1">
        <f t="array" ref="Q67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679">
        <v>89</v>
      </c>
      <c r="S679" t="str" cm="1">
        <f t="array" ref="S67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679">
        <v>81</v>
      </c>
      <c r="U679" t="str" cm="1">
        <f t="array" ref="U67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679">
        <v>91</v>
      </c>
      <c r="W679" t="str" cm="1">
        <f t="array" ref="W67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679">
        <v>98</v>
      </c>
      <c r="Y679" t="str" cm="1">
        <f t="array" ref="Y67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679">
        <f>SUM(Table1[[#This Row],[Math 
Score]],Table1[[#This Row],[History 
Score]],Table1[[#This Row],[Physics 
Score]],Table1[[#This Row],[Chemistry 
Score]],Table1[[#This Row],[Biology 
Score]],Table1[[#This Row],[English 
Score]],Table1[[#This Row],[Geography 
Score]])</f>
        <v>613</v>
      </c>
      <c r="AA679" s="3">
        <f>AVERAGE(Table1[[#This Row],[Math 
Score]],Table1[[#This Row],[History 
Score]],Table1[[#This Row],[Physics 
Score]],Table1[[#This Row],[Chemistry 
Score]],Table1[[#This Row],[Biology 
Score]],Table1[[#This Row],[English 
Score]],Table1[[#This Row],[Geography 
Score]])</f>
        <v>87.571428571428569</v>
      </c>
      <c r="AB67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679">
        <f t="shared" si="10"/>
        <v>271</v>
      </c>
      <c r="AD679" t="str">
        <f>_xlfn.IFS(Table1[[#This Row],[Absence 
Days]]&lt;3,"Excellent",Table1[[#This Row],[Absence 
Days]]&lt;=6,"Good",Table1[[#This Row],[Absence 
Days]]&gt;6,"Poor")</f>
        <v>Good</v>
      </c>
    </row>
    <row r="680" spans="1:30" x14ac:dyDescent="0.35">
      <c r="A680">
        <v>679</v>
      </c>
      <c r="B680" s="2" t="s">
        <v>50</v>
      </c>
      <c r="C680" t="s">
        <v>475</v>
      </c>
      <c r="D680" t="str">
        <f>_xlfn.TEXTJOIN(" ",TRUE,Table1[[#This Row],[First 
Name]:[Last 
Name]])</f>
        <v>Jennifer Williams</v>
      </c>
      <c r="E680" t="s">
        <v>1790</v>
      </c>
      <c r="F680" t="s">
        <v>3245</v>
      </c>
      <c r="G680" t="str">
        <f ca="1">PROPER(Table1[[#This Row],[Part Time 
Job]])</f>
        <v>False</v>
      </c>
      <c r="H680" s="3">
        <v>6</v>
      </c>
      <c r="I680" t="str">
        <f ca="1">PROPER(Table1[[#This Row],[Extracurricular 
Activities]])</f>
        <v>False</v>
      </c>
      <c r="J680">
        <v>3</v>
      </c>
      <c r="K680" t="s">
        <v>3119</v>
      </c>
      <c r="L680">
        <v>100</v>
      </c>
      <c r="M680" s="12" t="str" cm="1">
        <f t="array" ref="M68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680">
        <v>91</v>
      </c>
      <c r="O680" s="13" t="str" cm="1">
        <f t="array" ref="O68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680">
        <v>53</v>
      </c>
      <c r="Q680" s="13" t="str" cm="1">
        <f t="array" ref="Q68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C</v>
      </c>
      <c r="R680">
        <v>78</v>
      </c>
      <c r="S680" t="str" cm="1">
        <f t="array" ref="S68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680">
        <v>55</v>
      </c>
      <c r="U680" t="str" cm="1">
        <f t="array" ref="U68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C</v>
      </c>
      <c r="V680">
        <v>91</v>
      </c>
      <c r="W680" t="str" cm="1">
        <f t="array" ref="W68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680">
        <v>74</v>
      </c>
      <c r="Y680" t="str" cm="1">
        <f t="array" ref="Y68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680">
        <f>SUM(Table1[[#This Row],[Math 
Score]],Table1[[#This Row],[History 
Score]],Table1[[#This Row],[Physics 
Score]],Table1[[#This Row],[Chemistry 
Score]],Table1[[#This Row],[Biology 
Score]],Table1[[#This Row],[English 
Score]],Table1[[#This Row],[Geography 
Score]])</f>
        <v>542</v>
      </c>
      <c r="AA680" s="3">
        <f>AVERAGE(Table1[[#This Row],[Math 
Score]],Table1[[#This Row],[History 
Score]],Table1[[#This Row],[Physics 
Score]],Table1[[#This Row],[Chemistry 
Score]],Table1[[#This Row],[Biology 
Score]],Table1[[#This Row],[English 
Score]],Table1[[#This Row],[Geography 
Score]])</f>
        <v>77.428571428571431</v>
      </c>
      <c r="AB68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680">
        <f t="shared" si="10"/>
        <v>1478</v>
      </c>
      <c r="AD680" t="str">
        <f>_xlfn.IFS(Table1[[#This Row],[Absence 
Days]]&lt;3,"Excellent",Table1[[#This Row],[Absence 
Days]]&lt;=6,"Good",Table1[[#This Row],[Absence 
Days]]&gt;6,"Poor")</f>
        <v>Good</v>
      </c>
    </row>
    <row r="681" spans="1:30" x14ac:dyDescent="0.35">
      <c r="A681">
        <v>680</v>
      </c>
      <c r="B681" s="2" t="s">
        <v>26</v>
      </c>
      <c r="C681" t="s">
        <v>683</v>
      </c>
      <c r="D681" t="str">
        <f>_xlfn.TEXTJOIN(" ",TRUE,Table1[[#This Row],[First 
Name]:[Last 
Name]])</f>
        <v>Jeffrey Price</v>
      </c>
      <c r="E681" t="s">
        <v>1791</v>
      </c>
      <c r="F681" t="s">
        <v>3244</v>
      </c>
      <c r="G681" t="str">
        <f ca="1">PROPER(Table1[[#This Row],[Part Time 
Job]])</f>
        <v>False</v>
      </c>
      <c r="H681" s="3">
        <v>2</v>
      </c>
      <c r="I681" t="str">
        <f ca="1">PROPER(Table1[[#This Row],[Extracurricular 
Activities]])</f>
        <v>False</v>
      </c>
      <c r="J681">
        <v>4</v>
      </c>
      <c r="K681" t="s">
        <v>3124</v>
      </c>
      <c r="L681">
        <v>80</v>
      </c>
      <c r="M681" s="12" t="str" cm="1">
        <f t="array" ref="M68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681">
        <v>65</v>
      </c>
      <c r="O681" s="13" t="str" cm="1">
        <f t="array" ref="O68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681">
        <v>96</v>
      </c>
      <c r="Q681" s="13" t="str" cm="1">
        <f t="array" ref="Q68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681">
        <v>73</v>
      </c>
      <c r="S681" t="str" cm="1">
        <f t="array" ref="S68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681">
        <v>84</v>
      </c>
      <c r="U681" t="str" cm="1">
        <f t="array" ref="U68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681">
        <v>92</v>
      </c>
      <c r="W681" t="str" cm="1">
        <f t="array" ref="W68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681">
        <v>73</v>
      </c>
      <c r="Y681" t="str" cm="1">
        <f t="array" ref="Y68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681">
        <f>SUM(Table1[[#This Row],[Math 
Score]],Table1[[#This Row],[History 
Score]],Table1[[#This Row],[Physics 
Score]],Table1[[#This Row],[Chemistry 
Score]],Table1[[#This Row],[Biology 
Score]],Table1[[#This Row],[English 
Score]],Table1[[#This Row],[Geography 
Score]])</f>
        <v>563</v>
      </c>
      <c r="AA681" s="3">
        <f>AVERAGE(Table1[[#This Row],[Math 
Score]],Table1[[#This Row],[History 
Score]],Table1[[#This Row],[Physics 
Score]],Table1[[#This Row],[Chemistry 
Score]],Table1[[#This Row],[Biology 
Score]],Table1[[#This Row],[English 
Score]],Table1[[#This Row],[Geography 
Score]])</f>
        <v>80.428571428571431</v>
      </c>
      <c r="AB68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681">
        <f t="shared" si="10"/>
        <v>1077</v>
      </c>
      <c r="AD681" t="str">
        <f>_xlfn.IFS(Table1[[#This Row],[Absence 
Days]]&lt;3,"Excellent",Table1[[#This Row],[Absence 
Days]]&lt;=6,"Good",Table1[[#This Row],[Absence 
Days]]&gt;6,"Poor")</f>
        <v>Excellent</v>
      </c>
    </row>
    <row r="682" spans="1:30" x14ac:dyDescent="0.35">
      <c r="A682">
        <v>681</v>
      </c>
      <c r="B682" s="2" t="s">
        <v>288</v>
      </c>
      <c r="C682" t="s">
        <v>483</v>
      </c>
      <c r="D682" t="str">
        <f>_xlfn.TEXTJOIN(" ",TRUE,Table1[[#This Row],[First 
Name]:[Last 
Name]])</f>
        <v>Zachary Burns</v>
      </c>
      <c r="E682" t="s">
        <v>1792</v>
      </c>
      <c r="F682" t="s">
        <v>3244</v>
      </c>
      <c r="G682" t="str">
        <f ca="1">PROPER(Table1[[#This Row],[Part Time 
Job]])</f>
        <v>False</v>
      </c>
      <c r="H682" s="3">
        <v>5</v>
      </c>
      <c r="I682" t="str">
        <f ca="1">PROPER(Table1[[#This Row],[Extracurricular 
Activities]])</f>
        <v>False</v>
      </c>
      <c r="J682">
        <v>19</v>
      </c>
      <c r="K682" t="s">
        <v>3123</v>
      </c>
      <c r="L682">
        <v>79</v>
      </c>
      <c r="M682" s="12" t="str" cm="1">
        <f t="array" ref="M68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682">
        <v>88</v>
      </c>
      <c r="O682" s="13" t="str" cm="1">
        <f t="array" ref="O68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682">
        <v>83</v>
      </c>
      <c r="Q682" s="13" t="str" cm="1">
        <f t="array" ref="Q68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682">
        <v>84</v>
      </c>
      <c r="S682" t="str" cm="1">
        <f t="array" ref="S68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682">
        <v>78</v>
      </c>
      <c r="U682" t="str" cm="1">
        <f t="array" ref="U68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682">
        <v>72</v>
      </c>
      <c r="W682" t="str" cm="1">
        <f t="array" ref="W68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682">
        <v>79</v>
      </c>
      <c r="Y682" t="str" cm="1">
        <f t="array" ref="Y68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682">
        <f>SUM(Table1[[#This Row],[Math 
Score]],Table1[[#This Row],[History 
Score]],Table1[[#This Row],[Physics 
Score]],Table1[[#This Row],[Chemistry 
Score]],Table1[[#This Row],[Biology 
Score]],Table1[[#This Row],[English 
Score]],Table1[[#This Row],[Geography 
Score]])</f>
        <v>563</v>
      </c>
      <c r="AA682" s="3">
        <f>AVERAGE(Table1[[#This Row],[Math 
Score]],Table1[[#This Row],[History 
Score]],Table1[[#This Row],[Physics 
Score]],Table1[[#This Row],[Chemistry 
Score]],Table1[[#This Row],[Biology 
Score]],Table1[[#This Row],[English 
Score]],Table1[[#This Row],[Geography 
Score]])</f>
        <v>80.428571428571431</v>
      </c>
      <c r="AB68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682">
        <f t="shared" si="10"/>
        <v>1077</v>
      </c>
      <c r="AD682" t="str">
        <f>_xlfn.IFS(Table1[[#This Row],[Absence 
Days]]&lt;3,"Excellent",Table1[[#This Row],[Absence 
Days]]&lt;=6,"Good",Table1[[#This Row],[Absence 
Days]]&gt;6,"Poor")</f>
        <v>Good</v>
      </c>
    </row>
    <row r="683" spans="1:30" x14ac:dyDescent="0.35">
      <c r="A683">
        <v>682</v>
      </c>
      <c r="B683" s="2" t="s">
        <v>289</v>
      </c>
      <c r="C683" t="s">
        <v>818</v>
      </c>
      <c r="D683" t="str">
        <f>_xlfn.TEXTJOIN(" ",TRUE,Table1[[#This Row],[First 
Name]:[Last 
Name]])</f>
        <v>Curtis Duffy</v>
      </c>
      <c r="E683" t="s">
        <v>1793</v>
      </c>
      <c r="F683" t="s">
        <v>3244</v>
      </c>
      <c r="G683" t="str">
        <f ca="1">PROPER(Table1[[#This Row],[Part Time 
Job]])</f>
        <v>False</v>
      </c>
      <c r="H683" s="3">
        <v>3</v>
      </c>
      <c r="I683" t="str">
        <f ca="1">PROPER(Table1[[#This Row],[Extracurricular 
Activities]])</f>
        <v>False</v>
      </c>
      <c r="J683">
        <v>33</v>
      </c>
      <c r="K683" t="s">
        <v>3117</v>
      </c>
      <c r="L683">
        <v>96</v>
      </c>
      <c r="M683" s="12" t="str" cm="1">
        <f t="array" ref="M68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683">
        <v>64</v>
      </c>
      <c r="O683" s="13" t="str" cm="1">
        <f t="array" ref="O68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683">
        <v>100</v>
      </c>
      <c r="Q683" s="13" t="str" cm="1">
        <f t="array" ref="Q68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683">
        <v>87</v>
      </c>
      <c r="S683" t="str" cm="1">
        <f t="array" ref="S68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683">
        <v>88</v>
      </c>
      <c r="U683" t="str" cm="1">
        <f t="array" ref="U68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683">
        <v>60</v>
      </c>
      <c r="W683" t="str" cm="1">
        <f t="array" ref="W68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683">
        <v>62</v>
      </c>
      <c r="Y683" t="str" cm="1">
        <f t="array" ref="Y68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683">
        <f>SUM(Table1[[#This Row],[Math 
Score]],Table1[[#This Row],[History 
Score]],Table1[[#This Row],[Physics 
Score]],Table1[[#This Row],[Chemistry 
Score]],Table1[[#This Row],[Biology 
Score]],Table1[[#This Row],[English 
Score]],Table1[[#This Row],[Geography 
Score]])</f>
        <v>557</v>
      </c>
      <c r="AA683" s="3">
        <f>AVERAGE(Table1[[#This Row],[Math 
Score]],Table1[[#This Row],[History 
Score]],Table1[[#This Row],[Physics 
Score]],Table1[[#This Row],[Chemistry 
Score]],Table1[[#This Row],[Biology 
Score]],Table1[[#This Row],[English 
Score]],Table1[[#This Row],[Geography 
Score]])</f>
        <v>79.571428571428569</v>
      </c>
      <c r="AB68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683">
        <f t="shared" si="10"/>
        <v>1200</v>
      </c>
      <c r="AD683" t="str">
        <f>_xlfn.IFS(Table1[[#This Row],[Absence 
Days]]&lt;3,"Excellent",Table1[[#This Row],[Absence 
Days]]&lt;=6,"Good",Table1[[#This Row],[Absence 
Days]]&gt;6,"Poor")</f>
        <v>Good</v>
      </c>
    </row>
    <row r="684" spans="1:30" x14ac:dyDescent="0.35">
      <c r="A684">
        <v>683</v>
      </c>
      <c r="B684" s="2" t="s">
        <v>290</v>
      </c>
      <c r="C684" t="s">
        <v>754</v>
      </c>
      <c r="D684" t="str">
        <f>_xlfn.TEXTJOIN(" ",TRUE,Table1[[#This Row],[First 
Name]:[Last 
Name]])</f>
        <v>Allison Alvarado</v>
      </c>
      <c r="E684" t="s">
        <v>1794</v>
      </c>
      <c r="F684" t="s">
        <v>3245</v>
      </c>
      <c r="G684" t="str">
        <f ca="1">PROPER(Table1[[#This Row],[Part Time 
Job]])</f>
        <v>False</v>
      </c>
      <c r="H684" s="3">
        <v>1</v>
      </c>
      <c r="I684" t="str">
        <f ca="1">PROPER(Table1[[#This Row],[Extracurricular 
Activities]])</f>
        <v>False</v>
      </c>
      <c r="J684">
        <v>24</v>
      </c>
      <c r="K684" t="s">
        <v>3123</v>
      </c>
      <c r="L684">
        <v>95</v>
      </c>
      <c r="M684" s="12" t="str" cm="1">
        <f t="array" ref="M68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684">
        <v>81</v>
      </c>
      <c r="O684" s="13" t="str" cm="1">
        <f t="array" ref="O68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684">
        <v>91</v>
      </c>
      <c r="Q684" s="13" t="str" cm="1">
        <f t="array" ref="Q68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684">
        <v>62</v>
      </c>
      <c r="S684" t="str" cm="1">
        <f t="array" ref="S68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684">
        <v>36</v>
      </c>
      <c r="U684" t="str" cm="1">
        <f t="array" ref="U68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F</v>
      </c>
      <c r="V684">
        <v>79</v>
      </c>
      <c r="W684" t="str" cm="1">
        <f t="array" ref="W68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684">
        <v>69</v>
      </c>
      <c r="Y684" t="str" cm="1">
        <f t="array" ref="Y68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684">
        <f>SUM(Table1[[#This Row],[Math 
Score]],Table1[[#This Row],[History 
Score]],Table1[[#This Row],[Physics 
Score]],Table1[[#This Row],[Chemistry 
Score]],Table1[[#This Row],[Biology 
Score]],Table1[[#This Row],[English 
Score]],Table1[[#This Row],[Geography 
Score]])</f>
        <v>513</v>
      </c>
      <c r="AA684" s="3">
        <f>AVERAGE(Table1[[#This Row],[Math 
Score]],Table1[[#This Row],[History 
Score]],Table1[[#This Row],[Physics 
Score]],Table1[[#This Row],[Chemistry 
Score]],Table1[[#This Row],[Biology 
Score]],Table1[[#This Row],[English 
Score]],Table1[[#This Row],[Geography 
Score]])</f>
        <v>73.285714285714292</v>
      </c>
      <c r="AB68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684">
        <f t="shared" si="10"/>
        <v>1810</v>
      </c>
      <c r="AD684" t="str">
        <f>_xlfn.IFS(Table1[[#This Row],[Absence 
Days]]&lt;3,"Excellent",Table1[[#This Row],[Absence 
Days]]&lt;=6,"Good",Table1[[#This Row],[Absence 
Days]]&gt;6,"Poor")</f>
        <v>Excellent</v>
      </c>
    </row>
    <row r="685" spans="1:30" x14ac:dyDescent="0.35">
      <c r="A685">
        <v>684</v>
      </c>
      <c r="B685" s="2" t="s">
        <v>280</v>
      </c>
      <c r="C685" t="s">
        <v>539</v>
      </c>
      <c r="D685" t="str">
        <f>_xlfn.TEXTJOIN(" ",TRUE,Table1[[#This Row],[First 
Name]:[Last 
Name]])</f>
        <v>Jeffery Kelley</v>
      </c>
      <c r="E685" t="s">
        <v>1795</v>
      </c>
      <c r="F685" t="s">
        <v>3244</v>
      </c>
      <c r="G685" t="str">
        <f ca="1">PROPER(Table1[[#This Row],[Part Time 
Job]])</f>
        <v>False</v>
      </c>
      <c r="H685" s="3">
        <v>4</v>
      </c>
      <c r="I685" t="str">
        <f ca="1">PROPER(Table1[[#This Row],[Extracurricular 
Activities]])</f>
        <v>False</v>
      </c>
      <c r="J685">
        <v>29</v>
      </c>
      <c r="K685" t="s">
        <v>3116</v>
      </c>
      <c r="L685">
        <v>86</v>
      </c>
      <c r="M685" s="12" t="str" cm="1">
        <f t="array" ref="M68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685">
        <v>68</v>
      </c>
      <c r="O685" s="13" t="str" cm="1">
        <f t="array" ref="O68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685">
        <v>65</v>
      </c>
      <c r="Q685" s="13" t="str" cm="1">
        <f t="array" ref="Q68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685">
        <v>64</v>
      </c>
      <c r="S685" t="str" cm="1">
        <f t="array" ref="S68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685">
        <v>95</v>
      </c>
      <c r="U685" t="str" cm="1">
        <f t="array" ref="U68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685">
        <v>82</v>
      </c>
      <c r="W685" t="str" cm="1">
        <f t="array" ref="W68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685">
        <v>87</v>
      </c>
      <c r="Y685" t="str" cm="1">
        <f t="array" ref="Y68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685">
        <f>SUM(Table1[[#This Row],[Math 
Score]],Table1[[#This Row],[History 
Score]],Table1[[#This Row],[Physics 
Score]],Table1[[#This Row],[Chemistry 
Score]],Table1[[#This Row],[Biology 
Score]],Table1[[#This Row],[English 
Score]],Table1[[#This Row],[Geography 
Score]])</f>
        <v>547</v>
      </c>
      <c r="AA685" s="3">
        <f>AVERAGE(Table1[[#This Row],[Math 
Score]],Table1[[#This Row],[History 
Score]],Table1[[#This Row],[Physics 
Score]],Table1[[#This Row],[Chemistry 
Score]],Table1[[#This Row],[Biology 
Score]],Table1[[#This Row],[English 
Score]],Table1[[#This Row],[Geography 
Score]])</f>
        <v>78.142857142857139</v>
      </c>
      <c r="AB68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685">
        <f t="shared" si="10"/>
        <v>1388</v>
      </c>
      <c r="AD685" t="str">
        <f>_xlfn.IFS(Table1[[#This Row],[Absence 
Days]]&lt;3,"Excellent",Table1[[#This Row],[Absence 
Days]]&lt;=6,"Good",Table1[[#This Row],[Absence 
Days]]&gt;6,"Poor")</f>
        <v>Good</v>
      </c>
    </row>
    <row r="686" spans="1:30" x14ac:dyDescent="0.35">
      <c r="A686">
        <v>685</v>
      </c>
      <c r="B686" s="2" t="s">
        <v>41</v>
      </c>
      <c r="C686" t="s">
        <v>455</v>
      </c>
      <c r="D686" t="str">
        <f>_xlfn.TEXTJOIN(" ",TRUE,Table1[[#This Row],[First 
Name]:[Last 
Name]])</f>
        <v>Kenneth Clark</v>
      </c>
      <c r="E686" t="s">
        <v>1796</v>
      </c>
      <c r="F686" t="s">
        <v>3244</v>
      </c>
      <c r="G686" t="str">
        <f ca="1">PROPER(Table1[[#This Row],[Part Time 
Job]])</f>
        <v>False</v>
      </c>
      <c r="H686" s="3">
        <v>1</v>
      </c>
      <c r="I686" t="str">
        <f ca="1">PROPER(Table1[[#This Row],[Extracurricular 
Activities]])</f>
        <v>True</v>
      </c>
      <c r="J686">
        <v>27</v>
      </c>
      <c r="K686" t="s">
        <v>3112</v>
      </c>
      <c r="L686">
        <v>86</v>
      </c>
      <c r="M686" s="12" t="str" cm="1">
        <f t="array" ref="M68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686">
        <v>97</v>
      </c>
      <c r="O686" s="13" t="str" cm="1">
        <f t="array" ref="O68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686">
        <v>72</v>
      </c>
      <c r="Q686" s="13" t="str" cm="1">
        <f t="array" ref="Q68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686">
        <v>90</v>
      </c>
      <c r="S686" t="str" cm="1">
        <f t="array" ref="S68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686">
        <v>95</v>
      </c>
      <c r="U686" t="str" cm="1">
        <f t="array" ref="U68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686">
        <v>99</v>
      </c>
      <c r="W686" t="str" cm="1">
        <f t="array" ref="W68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686">
        <v>76</v>
      </c>
      <c r="Y686" t="str" cm="1">
        <f t="array" ref="Y68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686">
        <f>SUM(Table1[[#This Row],[Math 
Score]],Table1[[#This Row],[History 
Score]],Table1[[#This Row],[Physics 
Score]],Table1[[#This Row],[Chemistry 
Score]],Table1[[#This Row],[Biology 
Score]],Table1[[#This Row],[English 
Score]],Table1[[#This Row],[Geography 
Score]])</f>
        <v>615</v>
      </c>
      <c r="AA686" s="3">
        <f>AVERAGE(Table1[[#This Row],[Math 
Score]],Table1[[#This Row],[History 
Score]],Table1[[#This Row],[Physics 
Score]],Table1[[#This Row],[Chemistry 
Score]],Table1[[#This Row],[Biology 
Score]],Table1[[#This Row],[English 
Score]],Table1[[#This Row],[Geography 
Score]])</f>
        <v>87.857142857142861</v>
      </c>
      <c r="AB68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686">
        <f t="shared" si="10"/>
        <v>251</v>
      </c>
      <c r="AD686" t="str">
        <f>_xlfn.IFS(Table1[[#This Row],[Absence 
Days]]&lt;3,"Excellent",Table1[[#This Row],[Absence 
Days]]&lt;=6,"Good",Table1[[#This Row],[Absence 
Days]]&gt;6,"Poor")</f>
        <v>Excellent</v>
      </c>
    </row>
    <row r="687" spans="1:30" x14ac:dyDescent="0.35">
      <c r="A687">
        <v>686</v>
      </c>
      <c r="B687" s="2" t="s">
        <v>291</v>
      </c>
      <c r="C687" t="s">
        <v>515</v>
      </c>
      <c r="D687" t="str">
        <f>_xlfn.TEXTJOIN(" ",TRUE,Table1[[#This Row],[First 
Name]:[Last 
Name]])</f>
        <v>Hayley Case</v>
      </c>
      <c r="E687" t="s">
        <v>1797</v>
      </c>
      <c r="F687" t="s">
        <v>3245</v>
      </c>
      <c r="G687" t="str">
        <f ca="1">PROPER(Table1[[#This Row],[Part Time 
Job]])</f>
        <v>False</v>
      </c>
      <c r="H687" s="3">
        <v>2</v>
      </c>
      <c r="I687" t="str">
        <f ca="1">PROPER(Table1[[#This Row],[Extracurricular 
Activities]])</f>
        <v>False</v>
      </c>
      <c r="J687">
        <v>20</v>
      </c>
      <c r="K687" t="s">
        <v>3116</v>
      </c>
      <c r="L687">
        <v>87</v>
      </c>
      <c r="M687" s="12" t="str" cm="1">
        <f t="array" ref="M68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687">
        <v>68</v>
      </c>
      <c r="O687" s="13" t="str" cm="1">
        <f t="array" ref="O68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687">
        <v>66</v>
      </c>
      <c r="Q687" s="13" t="str" cm="1">
        <f t="array" ref="Q68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687">
        <v>83</v>
      </c>
      <c r="S687" t="str" cm="1">
        <f t="array" ref="S68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687">
        <v>92</v>
      </c>
      <c r="U687" t="str" cm="1">
        <f t="array" ref="U68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687">
        <v>81</v>
      </c>
      <c r="W687" t="str" cm="1">
        <f t="array" ref="W68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687">
        <v>80</v>
      </c>
      <c r="Y687" t="str" cm="1">
        <f t="array" ref="Y68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687">
        <f>SUM(Table1[[#This Row],[Math 
Score]],Table1[[#This Row],[History 
Score]],Table1[[#This Row],[Physics 
Score]],Table1[[#This Row],[Chemistry 
Score]],Table1[[#This Row],[Biology 
Score]],Table1[[#This Row],[English 
Score]],Table1[[#This Row],[Geography 
Score]])</f>
        <v>557</v>
      </c>
      <c r="AA687" s="3">
        <f>AVERAGE(Table1[[#This Row],[Math 
Score]],Table1[[#This Row],[History 
Score]],Table1[[#This Row],[Physics 
Score]],Table1[[#This Row],[Chemistry 
Score]],Table1[[#This Row],[Biology 
Score]],Table1[[#This Row],[English 
Score]],Table1[[#This Row],[Geography 
Score]])</f>
        <v>79.571428571428569</v>
      </c>
      <c r="AB68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687">
        <f t="shared" si="10"/>
        <v>1200</v>
      </c>
      <c r="AD687" t="str">
        <f>_xlfn.IFS(Table1[[#This Row],[Absence 
Days]]&lt;3,"Excellent",Table1[[#This Row],[Absence 
Days]]&lt;=6,"Good",Table1[[#This Row],[Absence 
Days]]&gt;6,"Poor")</f>
        <v>Excellent</v>
      </c>
    </row>
    <row r="688" spans="1:30" x14ac:dyDescent="0.35">
      <c r="A688">
        <v>687</v>
      </c>
      <c r="B688" s="2" t="s">
        <v>134</v>
      </c>
      <c r="C688" t="s">
        <v>486</v>
      </c>
      <c r="D688" t="str">
        <f>_xlfn.TEXTJOIN(" ",TRUE,Table1[[#This Row],[First 
Name]:[Last 
Name]])</f>
        <v>Vanessa Martinez</v>
      </c>
      <c r="E688" t="s">
        <v>1798</v>
      </c>
      <c r="F688" t="s">
        <v>3245</v>
      </c>
      <c r="G688" t="str">
        <f ca="1">PROPER(Table1[[#This Row],[Part Time 
Job]])</f>
        <v>False</v>
      </c>
      <c r="H688" s="3">
        <v>0</v>
      </c>
      <c r="I688" t="str">
        <f ca="1">PROPER(Table1[[#This Row],[Extracurricular 
Activities]])</f>
        <v>False</v>
      </c>
      <c r="J688">
        <v>35</v>
      </c>
      <c r="K688" t="s">
        <v>3123</v>
      </c>
      <c r="L688">
        <v>94</v>
      </c>
      <c r="M688" s="12" t="str" cm="1">
        <f t="array" ref="M68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688">
        <v>87</v>
      </c>
      <c r="O688" s="13" t="str" cm="1">
        <f t="array" ref="O68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688">
        <v>100</v>
      </c>
      <c r="Q688" s="13" t="str" cm="1">
        <f t="array" ref="Q68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688">
        <v>90</v>
      </c>
      <c r="S688" t="str" cm="1">
        <f t="array" ref="S68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688">
        <v>86</v>
      </c>
      <c r="U688" t="str" cm="1">
        <f t="array" ref="U68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688">
        <v>86</v>
      </c>
      <c r="W688" t="str" cm="1">
        <f t="array" ref="W68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688">
        <v>90</v>
      </c>
      <c r="Y688" t="str" cm="1">
        <f t="array" ref="Y68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688">
        <f>SUM(Table1[[#This Row],[Math 
Score]],Table1[[#This Row],[History 
Score]],Table1[[#This Row],[Physics 
Score]],Table1[[#This Row],[Chemistry 
Score]],Table1[[#This Row],[Biology 
Score]],Table1[[#This Row],[English 
Score]],Table1[[#This Row],[Geography 
Score]])</f>
        <v>633</v>
      </c>
      <c r="AA688" s="3">
        <f>AVERAGE(Table1[[#This Row],[Math 
Score]],Table1[[#This Row],[History 
Score]],Table1[[#This Row],[Physics 
Score]],Table1[[#This Row],[Chemistry 
Score]],Table1[[#This Row],[Biology 
Score]],Table1[[#This Row],[English 
Score]],Table1[[#This Row],[Geography 
Score]])</f>
        <v>90.428571428571431</v>
      </c>
      <c r="AB68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688">
        <f t="shared" si="10"/>
        <v>137</v>
      </c>
      <c r="AD688" t="str">
        <f>_xlfn.IFS(Table1[[#This Row],[Absence 
Days]]&lt;3,"Excellent",Table1[[#This Row],[Absence 
Days]]&lt;=6,"Good",Table1[[#This Row],[Absence 
Days]]&gt;6,"Poor")</f>
        <v>Excellent</v>
      </c>
    </row>
    <row r="689" spans="1:30" x14ac:dyDescent="0.35">
      <c r="A689">
        <v>688</v>
      </c>
      <c r="B689" s="2" t="s">
        <v>3</v>
      </c>
      <c r="C689" t="s">
        <v>80</v>
      </c>
      <c r="D689" t="str">
        <f>_xlfn.TEXTJOIN(" ",TRUE,Table1[[#This Row],[First 
Name]:[Last 
Name]])</f>
        <v>Tara Thomas</v>
      </c>
      <c r="E689" t="s">
        <v>1799</v>
      </c>
      <c r="F689" t="s">
        <v>3245</v>
      </c>
      <c r="G689" t="str">
        <f ca="1">PROPER(Table1[[#This Row],[Part Time 
Job]])</f>
        <v>False</v>
      </c>
      <c r="H689" s="3">
        <v>0</v>
      </c>
      <c r="I689" t="str">
        <f ca="1">PROPER(Table1[[#This Row],[Extracurricular 
Activities]])</f>
        <v>False</v>
      </c>
      <c r="J689">
        <v>29</v>
      </c>
      <c r="K689" t="s">
        <v>3113</v>
      </c>
      <c r="L689">
        <v>88</v>
      </c>
      <c r="M689" s="12" t="str" cm="1">
        <f t="array" ref="M68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689">
        <v>71</v>
      </c>
      <c r="O689" s="13" t="str" cm="1">
        <f t="array" ref="O68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689">
        <v>87</v>
      </c>
      <c r="Q689" s="13" t="str" cm="1">
        <f t="array" ref="Q68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689">
        <v>85</v>
      </c>
      <c r="S689" t="str" cm="1">
        <f t="array" ref="S68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689">
        <v>100</v>
      </c>
      <c r="U689" t="str" cm="1">
        <f t="array" ref="U68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689">
        <v>78</v>
      </c>
      <c r="W689" t="str" cm="1">
        <f t="array" ref="W68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689">
        <v>78</v>
      </c>
      <c r="Y689" t="str" cm="1">
        <f t="array" ref="Y68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689">
        <f>SUM(Table1[[#This Row],[Math 
Score]],Table1[[#This Row],[History 
Score]],Table1[[#This Row],[Physics 
Score]],Table1[[#This Row],[Chemistry 
Score]],Table1[[#This Row],[Biology 
Score]],Table1[[#This Row],[English 
Score]],Table1[[#This Row],[Geography 
Score]])</f>
        <v>587</v>
      </c>
      <c r="AA689" s="3">
        <f>AVERAGE(Table1[[#This Row],[Math 
Score]],Table1[[#This Row],[History 
Score]],Table1[[#This Row],[Physics 
Score]],Table1[[#This Row],[Chemistry 
Score]],Table1[[#This Row],[Biology 
Score]],Table1[[#This Row],[English 
Score]],Table1[[#This Row],[Geography 
Score]])</f>
        <v>83.857142857142861</v>
      </c>
      <c r="AB68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689">
        <f t="shared" si="10"/>
        <v>583</v>
      </c>
      <c r="AD689" t="str">
        <f>_xlfn.IFS(Table1[[#This Row],[Absence 
Days]]&lt;3,"Excellent",Table1[[#This Row],[Absence 
Days]]&lt;=6,"Good",Table1[[#This Row],[Absence 
Days]]&gt;6,"Poor")</f>
        <v>Excellent</v>
      </c>
    </row>
    <row r="690" spans="1:30" x14ac:dyDescent="0.35">
      <c r="A690">
        <v>689</v>
      </c>
      <c r="B690" s="2" t="s">
        <v>292</v>
      </c>
      <c r="C690" t="s">
        <v>552</v>
      </c>
      <c r="D690" t="str">
        <f>_xlfn.TEXTJOIN(" ",TRUE,Table1[[#This Row],[First 
Name]:[Last 
Name]])</f>
        <v>Aaron Williamson</v>
      </c>
      <c r="E690" t="s">
        <v>1800</v>
      </c>
      <c r="F690" t="s">
        <v>3244</v>
      </c>
      <c r="G690" t="str">
        <f ca="1">PROPER(Table1[[#This Row],[Part Time 
Job]])</f>
        <v>False</v>
      </c>
      <c r="H690" s="3">
        <v>2</v>
      </c>
      <c r="I690" t="str">
        <f ca="1">PROPER(Table1[[#This Row],[Extracurricular 
Activities]])</f>
        <v>True</v>
      </c>
      <c r="J690">
        <v>0</v>
      </c>
      <c r="K690" t="s">
        <v>3115</v>
      </c>
      <c r="L690">
        <v>88</v>
      </c>
      <c r="M690" s="12" t="str" cm="1">
        <f t="array" ref="M69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690">
        <v>69</v>
      </c>
      <c r="O690" s="13" t="str" cm="1">
        <f t="array" ref="O69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690">
        <v>76</v>
      </c>
      <c r="Q690" s="13" t="str" cm="1">
        <f t="array" ref="Q69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690">
        <v>64</v>
      </c>
      <c r="S690" t="str" cm="1">
        <f t="array" ref="S69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690">
        <v>90</v>
      </c>
      <c r="U690" t="str" cm="1">
        <f t="array" ref="U69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690">
        <v>78</v>
      </c>
      <c r="W690" t="str" cm="1">
        <f t="array" ref="W69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690">
        <v>80</v>
      </c>
      <c r="Y690" t="str" cm="1">
        <f t="array" ref="Y69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690">
        <f>SUM(Table1[[#This Row],[Math 
Score]],Table1[[#This Row],[History 
Score]],Table1[[#This Row],[Physics 
Score]],Table1[[#This Row],[Chemistry 
Score]],Table1[[#This Row],[Biology 
Score]],Table1[[#This Row],[English 
Score]],Table1[[#This Row],[Geography 
Score]])</f>
        <v>545</v>
      </c>
      <c r="AA690" s="3">
        <f>AVERAGE(Table1[[#This Row],[Math 
Score]],Table1[[#This Row],[History 
Score]],Table1[[#This Row],[Physics 
Score]],Table1[[#This Row],[Chemistry 
Score]],Table1[[#This Row],[Biology 
Score]],Table1[[#This Row],[English 
Score]],Table1[[#This Row],[Geography 
Score]])</f>
        <v>77.857142857142861</v>
      </c>
      <c r="AB69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690">
        <f t="shared" si="10"/>
        <v>1432</v>
      </c>
      <c r="AD690" t="str">
        <f>_xlfn.IFS(Table1[[#This Row],[Absence 
Days]]&lt;3,"Excellent",Table1[[#This Row],[Absence 
Days]]&lt;=6,"Good",Table1[[#This Row],[Absence 
Days]]&gt;6,"Poor")</f>
        <v>Excellent</v>
      </c>
    </row>
    <row r="691" spans="1:30" x14ac:dyDescent="0.35">
      <c r="A691">
        <v>690</v>
      </c>
      <c r="B691" s="2" t="s">
        <v>88</v>
      </c>
      <c r="C691" t="s">
        <v>653</v>
      </c>
      <c r="D691" t="str">
        <f>_xlfn.TEXTJOIN(" ",TRUE,Table1[[#This Row],[First 
Name]:[Last 
Name]])</f>
        <v>Phillip Nelson</v>
      </c>
      <c r="E691" t="s">
        <v>1801</v>
      </c>
      <c r="F691" t="s">
        <v>3244</v>
      </c>
      <c r="G691" t="str">
        <f ca="1">PROPER(Table1[[#This Row],[Part Time 
Job]])</f>
        <v>False</v>
      </c>
      <c r="H691" s="3">
        <v>3</v>
      </c>
      <c r="I691" t="str">
        <f ca="1">PROPER(Table1[[#This Row],[Extracurricular 
Activities]])</f>
        <v>False</v>
      </c>
      <c r="J691">
        <v>10</v>
      </c>
      <c r="K691" t="s">
        <v>3116</v>
      </c>
      <c r="L691">
        <v>76</v>
      </c>
      <c r="M691" s="12" t="str" cm="1">
        <f t="array" ref="M69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691">
        <v>61</v>
      </c>
      <c r="O691" s="13" t="str" cm="1">
        <f t="array" ref="O69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691">
        <v>68</v>
      </c>
      <c r="Q691" s="13" t="str" cm="1">
        <f t="array" ref="Q69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691">
        <v>88</v>
      </c>
      <c r="S691" t="str" cm="1">
        <f t="array" ref="S69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691">
        <v>86</v>
      </c>
      <c r="U691" t="str" cm="1">
        <f t="array" ref="U69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691">
        <v>87</v>
      </c>
      <c r="W691" t="str" cm="1">
        <f t="array" ref="W69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691">
        <v>66</v>
      </c>
      <c r="Y691" t="str" cm="1">
        <f t="array" ref="Y69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691">
        <f>SUM(Table1[[#This Row],[Math 
Score]],Table1[[#This Row],[History 
Score]],Table1[[#This Row],[Physics 
Score]],Table1[[#This Row],[Chemistry 
Score]],Table1[[#This Row],[Biology 
Score]],Table1[[#This Row],[English 
Score]],Table1[[#This Row],[Geography 
Score]])</f>
        <v>532</v>
      </c>
      <c r="AA691" s="3">
        <f>AVERAGE(Table1[[#This Row],[Math 
Score]],Table1[[#This Row],[History 
Score]],Table1[[#This Row],[Physics 
Score]],Table1[[#This Row],[Chemistry 
Score]],Table1[[#This Row],[Biology 
Score]],Table1[[#This Row],[English 
Score]],Table1[[#This Row],[Geography 
Score]])</f>
        <v>76</v>
      </c>
      <c r="AB69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691">
        <f t="shared" si="10"/>
        <v>1622</v>
      </c>
      <c r="AD691" t="str">
        <f>_xlfn.IFS(Table1[[#This Row],[Absence 
Days]]&lt;3,"Excellent",Table1[[#This Row],[Absence 
Days]]&lt;=6,"Good",Table1[[#This Row],[Absence 
Days]]&gt;6,"Poor")</f>
        <v>Good</v>
      </c>
    </row>
    <row r="692" spans="1:30" x14ac:dyDescent="0.35">
      <c r="A692">
        <v>691</v>
      </c>
      <c r="B692" s="2" t="s">
        <v>34</v>
      </c>
      <c r="C692" t="s">
        <v>819</v>
      </c>
      <c r="D692" t="str">
        <f>_xlfn.TEXTJOIN(" ",TRUE,Table1[[#This Row],[First 
Name]:[Last 
Name]])</f>
        <v>Michael Hinton</v>
      </c>
      <c r="E692" t="s">
        <v>1802</v>
      </c>
      <c r="F692" t="s">
        <v>3244</v>
      </c>
      <c r="G692" t="str">
        <f ca="1">PROPER(Table1[[#This Row],[Part Time 
Job]])</f>
        <v>False</v>
      </c>
      <c r="H692" s="3">
        <v>1</v>
      </c>
      <c r="I692" t="str">
        <f ca="1">PROPER(Table1[[#This Row],[Extracurricular 
Activities]])</f>
        <v>True</v>
      </c>
      <c r="J692">
        <v>29</v>
      </c>
      <c r="K692" t="s">
        <v>3125</v>
      </c>
      <c r="L692">
        <v>84</v>
      </c>
      <c r="M692" s="12" t="str" cm="1">
        <f t="array" ref="M69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692">
        <v>66</v>
      </c>
      <c r="O692" s="13" t="str" cm="1">
        <f t="array" ref="O69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692">
        <v>99</v>
      </c>
      <c r="Q692" s="13" t="str" cm="1">
        <f t="array" ref="Q69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692">
        <v>80</v>
      </c>
      <c r="S692" t="str" cm="1">
        <f t="array" ref="S69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692">
        <v>71</v>
      </c>
      <c r="U692" t="str" cm="1">
        <f t="array" ref="U69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692">
        <v>88</v>
      </c>
      <c r="W692" t="str" cm="1">
        <f t="array" ref="W69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692">
        <v>89</v>
      </c>
      <c r="Y692" t="str" cm="1">
        <f t="array" ref="Y69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692">
        <f>SUM(Table1[[#This Row],[Math 
Score]],Table1[[#This Row],[History 
Score]],Table1[[#This Row],[Physics 
Score]],Table1[[#This Row],[Chemistry 
Score]],Table1[[#This Row],[Biology 
Score]],Table1[[#This Row],[English 
Score]],Table1[[#This Row],[Geography 
Score]])</f>
        <v>577</v>
      </c>
      <c r="AA692" s="3">
        <f>AVERAGE(Table1[[#This Row],[Math 
Score]],Table1[[#This Row],[History 
Score]],Table1[[#This Row],[Physics 
Score]],Table1[[#This Row],[Chemistry 
Score]],Table1[[#This Row],[Biology 
Score]],Table1[[#This Row],[English 
Score]],Table1[[#This Row],[Geography 
Score]])</f>
        <v>82.428571428571431</v>
      </c>
      <c r="AB69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692">
        <f t="shared" si="10"/>
        <v>769</v>
      </c>
      <c r="AD692" t="str">
        <f>_xlfn.IFS(Table1[[#This Row],[Absence 
Days]]&lt;3,"Excellent",Table1[[#This Row],[Absence 
Days]]&lt;=6,"Good",Table1[[#This Row],[Absence 
Days]]&gt;6,"Poor")</f>
        <v>Excellent</v>
      </c>
    </row>
    <row r="693" spans="1:30" x14ac:dyDescent="0.35">
      <c r="A693">
        <v>692</v>
      </c>
      <c r="B693" s="2" t="s">
        <v>127</v>
      </c>
      <c r="C693" t="s">
        <v>820</v>
      </c>
      <c r="D693" t="str">
        <f>_xlfn.TEXTJOIN(" ",TRUE,Table1[[#This Row],[First 
Name]:[Last 
Name]])</f>
        <v>Alex Shelton</v>
      </c>
      <c r="E693" t="s">
        <v>1803</v>
      </c>
      <c r="F693" t="s">
        <v>3244</v>
      </c>
      <c r="G693" t="str">
        <f ca="1">PROPER(Table1[[#This Row],[Part Time 
Job]])</f>
        <v>False</v>
      </c>
      <c r="H693" s="3">
        <v>0</v>
      </c>
      <c r="I693" t="str">
        <f ca="1">PROPER(Table1[[#This Row],[Extracurricular 
Activities]])</f>
        <v>True</v>
      </c>
      <c r="J693">
        <v>17</v>
      </c>
      <c r="K693" t="s">
        <v>3117</v>
      </c>
      <c r="L693">
        <v>96</v>
      </c>
      <c r="M693" s="12" t="str" cm="1">
        <f t="array" ref="M69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693">
        <v>77</v>
      </c>
      <c r="O693" s="13" t="str" cm="1">
        <f t="array" ref="O69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693">
        <v>91</v>
      </c>
      <c r="Q693" s="13" t="str" cm="1">
        <f t="array" ref="Q69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693">
        <v>85</v>
      </c>
      <c r="S693" t="str" cm="1">
        <f t="array" ref="S69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693">
        <v>69</v>
      </c>
      <c r="U693" t="str" cm="1">
        <f t="array" ref="U69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693">
        <v>91</v>
      </c>
      <c r="W693" t="str" cm="1">
        <f t="array" ref="W69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693">
        <v>91</v>
      </c>
      <c r="Y693" t="str" cm="1">
        <f t="array" ref="Y69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693">
        <f>SUM(Table1[[#This Row],[Math 
Score]],Table1[[#This Row],[History 
Score]],Table1[[#This Row],[Physics 
Score]],Table1[[#This Row],[Chemistry 
Score]],Table1[[#This Row],[Biology 
Score]],Table1[[#This Row],[English 
Score]],Table1[[#This Row],[Geography 
Score]])</f>
        <v>600</v>
      </c>
      <c r="AA693" s="3">
        <f>AVERAGE(Table1[[#This Row],[Math 
Score]],Table1[[#This Row],[History 
Score]],Table1[[#This Row],[Physics 
Score]],Table1[[#This Row],[Chemistry 
Score]],Table1[[#This Row],[Biology 
Score]],Table1[[#This Row],[English 
Score]],Table1[[#This Row],[Geography 
Score]])</f>
        <v>85.714285714285708</v>
      </c>
      <c r="AB69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693">
        <f t="shared" si="10"/>
        <v>406</v>
      </c>
      <c r="AD693" t="str">
        <f>_xlfn.IFS(Table1[[#This Row],[Absence 
Days]]&lt;3,"Excellent",Table1[[#This Row],[Absence 
Days]]&lt;=6,"Good",Table1[[#This Row],[Absence 
Days]]&gt;6,"Poor")</f>
        <v>Excellent</v>
      </c>
    </row>
    <row r="694" spans="1:30" x14ac:dyDescent="0.35">
      <c r="A694">
        <v>693</v>
      </c>
      <c r="B694" s="2" t="s">
        <v>293</v>
      </c>
      <c r="C694" t="s">
        <v>821</v>
      </c>
      <c r="D694" t="str">
        <f>_xlfn.TEXTJOIN(" ",TRUE,Table1[[#This Row],[First 
Name]:[Last 
Name]])</f>
        <v>Ross Esparza</v>
      </c>
      <c r="E694" t="s">
        <v>1804</v>
      </c>
      <c r="F694" t="s">
        <v>3244</v>
      </c>
      <c r="G694" t="str">
        <f ca="1">PROPER(Table1[[#This Row],[Part Time 
Job]])</f>
        <v>True</v>
      </c>
      <c r="H694" s="3">
        <v>10</v>
      </c>
      <c r="I694" t="str">
        <f ca="1">PROPER(Table1[[#This Row],[Extracurricular 
Activities]])</f>
        <v>False</v>
      </c>
      <c r="J694">
        <v>1</v>
      </c>
      <c r="K694" t="s">
        <v>3119</v>
      </c>
      <c r="L694">
        <v>57</v>
      </c>
      <c r="M694" s="12" t="str" cm="1">
        <f t="array" ref="M694">_xlfn.IFS(Table1[[#This Row],[Math 
Score]]&gt;=90,"A+",Table1[[#This Row],[Math 
Score]]&gt;=80,"A", Table1[[#This Row],[Math 
Score]]&gt;=75,"A-",Table1[[#This Row],[Math 
Score]]&gt;=70,"B+",Table1[[#This Row],[Math 
Score]]&gt;=65,"B",Table1[[#This Row],[Math 
Score]]&gt;=60,"B-",Table1[[#This Row],[Math 
Score]]&gt;=50,"C",Table1[[#This Row],[Math 
Score]]&gt;=40,"D",Table1[[#This Row],[Math 
Score]]&lt;40,"F")</f>
        <v>C</v>
      </c>
      <c r="N694">
        <v>75</v>
      </c>
      <c r="O694" s="13" t="str" cm="1">
        <f t="array" ref="O69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694">
        <v>64</v>
      </c>
      <c r="Q694" s="13" t="str" cm="1">
        <f t="array" ref="Q69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694">
        <v>85</v>
      </c>
      <c r="S694" t="str" cm="1">
        <f t="array" ref="S69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694">
        <v>53</v>
      </c>
      <c r="U694" t="str" cm="1">
        <f t="array" ref="U69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C</v>
      </c>
      <c r="V694">
        <v>95</v>
      </c>
      <c r="W694" t="str" cm="1">
        <f t="array" ref="W69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694">
        <v>81</v>
      </c>
      <c r="Y694" t="str" cm="1">
        <f t="array" ref="Y69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694">
        <f>SUM(Table1[[#This Row],[Math 
Score]],Table1[[#This Row],[History 
Score]],Table1[[#This Row],[Physics 
Score]],Table1[[#This Row],[Chemistry 
Score]],Table1[[#This Row],[Biology 
Score]],Table1[[#This Row],[English 
Score]],Table1[[#This Row],[Geography 
Score]])</f>
        <v>510</v>
      </c>
      <c r="AA694" s="3">
        <f>AVERAGE(Table1[[#This Row],[Math 
Score]],Table1[[#This Row],[History 
Score]],Table1[[#This Row],[Physics 
Score]],Table1[[#This Row],[Chemistry 
Score]],Table1[[#This Row],[Biology 
Score]],Table1[[#This Row],[English 
Score]],Table1[[#This Row],[Geography 
Score]])</f>
        <v>72.857142857142861</v>
      </c>
      <c r="AB69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694">
        <f t="shared" si="10"/>
        <v>1828</v>
      </c>
      <c r="AD694" t="str">
        <f>_xlfn.IFS(Table1[[#This Row],[Absence 
Days]]&lt;3,"Excellent",Table1[[#This Row],[Absence 
Days]]&lt;=6,"Good",Table1[[#This Row],[Absence 
Days]]&gt;6,"Poor")</f>
        <v>Poor</v>
      </c>
    </row>
    <row r="695" spans="1:30" x14ac:dyDescent="0.35">
      <c r="A695">
        <v>694</v>
      </c>
      <c r="B695" s="2" t="s">
        <v>32</v>
      </c>
      <c r="C695" t="s">
        <v>498</v>
      </c>
      <c r="D695" t="str">
        <f>_xlfn.TEXTJOIN(" ",TRUE,Table1[[#This Row],[First 
Name]:[Last 
Name]])</f>
        <v>Lisa Murphy</v>
      </c>
      <c r="E695" t="s">
        <v>1805</v>
      </c>
      <c r="F695" t="s">
        <v>3245</v>
      </c>
      <c r="G695" t="str">
        <f ca="1">PROPER(Table1[[#This Row],[Part Time 
Job]])</f>
        <v>False</v>
      </c>
      <c r="H695" s="3">
        <v>1</v>
      </c>
      <c r="I695" t="str">
        <f ca="1">PROPER(Table1[[#This Row],[Extracurricular 
Activities]])</f>
        <v>False</v>
      </c>
      <c r="J695">
        <v>14</v>
      </c>
      <c r="K695" t="s">
        <v>3118</v>
      </c>
      <c r="L695">
        <v>93</v>
      </c>
      <c r="M695" s="12" t="str" cm="1">
        <f t="array" ref="M69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695">
        <v>79</v>
      </c>
      <c r="O695" s="13" t="str" cm="1">
        <f t="array" ref="O69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695">
        <v>82</v>
      </c>
      <c r="Q695" s="13" t="str" cm="1">
        <f t="array" ref="Q69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695">
        <v>67</v>
      </c>
      <c r="S695" t="str" cm="1">
        <f t="array" ref="S69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695">
        <v>64</v>
      </c>
      <c r="U695" t="str" cm="1">
        <f t="array" ref="U69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695">
        <v>90</v>
      </c>
      <c r="W695" t="str" cm="1">
        <f t="array" ref="W69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695">
        <v>65</v>
      </c>
      <c r="Y695" t="str" cm="1">
        <f t="array" ref="Y69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695">
        <f>SUM(Table1[[#This Row],[Math 
Score]],Table1[[#This Row],[History 
Score]],Table1[[#This Row],[Physics 
Score]],Table1[[#This Row],[Chemistry 
Score]],Table1[[#This Row],[Biology 
Score]],Table1[[#This Row],[English 
Score]],Table1[[#This Row],[Geography 
Score]])</f>
        <v>540</v>
      </c>
      <c r="AA695" s="3">
        <f>AVERAGE(Table1[[#This Row],[Math 
Score]],Table1[[#This Row],[History 
Score]],Table1[[#This Row],[Physics 
Score]],Table1[[#This Row],[Chemistry 
Score]],Table1[[#This Row],[Biology 
Score]],Table1[[#This Row],[English 
Score]],Table1[[#This Row],[Geography 
Score]])</f>
        <v>77.142857142857139</v>
      </c>
      <c r="AB69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695">
        <f t="shared" si="10"/>
        <v>1513</v>
      </c>
      <c r="AD695" t="str">
        <f>_xlfn.IFS(Table1[[#This Row],[Absence 
Days]]&lt;3,"Excellent",Table1[[#This Row],[Absence 
Days]]&lt;=6,"Good",Table1[[#This Row],[Absence 
Days]]&gt;6,"Poor")</f>
        <v>Excellent</v>
      </c>
    </row>
    <row r="696" spans="1:30" x14ac:dyDescent="0.35">
      <c r="A696">
        <v>695</v>
      </c>
      <c r="B696" s="2" t="s">
        <v>235</v>
      </c>
      <c r="C696" t="s">
        <v>541</v>
      </c>
      <c r="D696" t="str">
        <f>_xlfn.TEXTJOIN(" ",TRUE,Table1[[#This Row],[First 
Name]:[Last 
Name]])</f>
        <v>Richard Gibson</v>
      </c>
      <c r="E696" t="s">
        <v>1806</v>
      </c>
      <c r="F696" t="s">
        <v>3244</v>
      </c>
      <c r="G696" t="str">
        <f ca="1">PROPER(Table1[[#This Row],[Part Time 
Job]])</f>
        <v>False</v>
      </c>
      <c r="H696" s="3">
        <v>1</v>
      </c>
      <c r="I696" t="str">
        <f ca="1">PROPER(Table1[[#This Row],[Extracurricular 
Activities]])</f>
        <v>False</v>
      </c>
      <c r="J696">
        <v>24</v>
      </c>
      <c r="K696" t="s">
        <v>3116</v>
      </c>
      <c r="L696">
        <v>88</v>
      </c>
      <c r="M696" s="12" t="str" cm="1">
        <f t="array" ref="M69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696">
        <v>84</v>
      </c>
      <c r="O696" s="13" t="str" cm="1">
        <f t="array" ref="O69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696">
        <v>61</v>
      </c>
      <c r="Q696" s="13" t="str" cm="1">
        <f t="array" ref="Q69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696">
        <v>61</v>
      </c>
      <c r="S696" t="str" cm="1">
        <f t="array" ref="S69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696">
        <v>79</v>
      </c>
      <c r="U696" t="str" cm="1">
        <f t="array" ref="U69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696">
        <v>62</v>
      </c>
      <c r="W696" t="str" cm="1">
        <f t="array" ref="W69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696">
        <v>99</v>
      </c>
      <c r="Y696" t="str" cm="1">
        <f t="array" ref="Y69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696">
        <f>SUM(Table1[[#This Row],[Math 
Score]],Table1[[#This Row],[History 
Score]],Table1[[#This Row],[Physics 
Score]],Table1[[#This Row],[Chemistry 
Score]],Table1[[#This Row],[Biology 
Score]],Table1[[#This Row],[English 
Score]],Table1[[#This Row],[Geography 
Score]])</f>
        <v>534</v>
      </c>
      <c r="AA696" s="3">
        <f>AVERAGE(Table1[[#This Row],[Math 
Score]],Table1[[#This Row],[History 
Score]],Table1[[#This Row],[Physics 
Score]],Table1[[#This Row],[Chemistry 
Score]],Table1[[#This Row],[Biology 
Score]],Table1[[#This Row],[English 
Score]],Table1[[#This Row],[Geography 
Score]])</f>
        <v>76.285714285714292</v>
      </c>
      <c r="AB69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696">
        <f t="shared" si="10"/>
        <v>1595</v>
      </c>
      <c r="AD696" t="str">
        <f>_xlfn.IFS(Table1[[#This Row],[Absence 
Days]]&lt;3,"Excellent",Table1[[#This Row],[Absence 
Days]]&lt;=6,"Good",Table1[[#This Row],[Absence 
Days]]&gt;6,"Poor")</f>
        <v>Excellent</v>
      </c>
    </row>
    <row r="697" spans="1:30" x14ac:dyDescent="0.35">
      <c r="A697">
        <v>696</v>
      </c>
      <c r="B697" s="2" t="s">
        <v>294</v>
      </c>
      <c r="C697" t="s">
        <v>744</v>
      </c>
      <c r="D697" t="str">
        <f>_xlfn.TEXTJOIN(" ",TRUE,Table1[[#This Row],[First 
Name]:[Last 
Name]])</f>
        <v>Jackson Olson</v>
      </c>
      <c r="E697" t="s">
        <v>1807</v>
      </c>
      <c r="F697" t="s">
        <v>3244</v>
      </c>
      <c r="G697" t="str">
        <f ca="1">PROPER(Table1[[#This Row],[Part Time 
Job]])</f>
        <v>False</v>
      </c>
      <c r="H697" s="3">
        <v>2</v>
      </c>
      <c r="I697" t="str">
        <f ca="1">PROPER(Table1[[#This Row],[Extracurricular 
Activities]])</f>
        <v>False</v>
      </c>
      <c r="J697">
        <v>35</v>
      </c>
      <c r="K697" t="s">
        <v>3125</v>
      </c>
      <c r="L697">
        <v>89</v>
      </c>
      <c r="M697" s="12" t="str" cm="1">
        <f t="array" ref="M69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697">
        <v>99</v>
      </c>
      <c r="O697" s="13" t="str" cm="1">
        <f t="array" ref="O69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697">
        <v>86</v>
      </c>
      <c r="Q697" s="13" t="str" cm="1">
        <f t="array" ref="Q69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697">
        <v>97</v>
      </c>
      <c r="S697" t="str" cm="1">
        <f t="array" ref="S69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697">
        <v>98</v>
      </c>
      <c r="U697" t="str" cm="1">
        <f t="array" ref="U69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697">
        <v>97</v>
      </c>
      <c r="W697" t="str" cm="1">
        <f t="array" ref="W69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697">
        <v>93</v>
      </c>
      <c r="Y697" t="str" cm="1">
        <f t="array" ref="Y69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697">
        <f>SUM(Table1[[#This Row],[Math 
Score]],Table1[[#This Row],[History 
Score]],Table1[[#This Row],[Physics 
Score]],Table1[[#This Row],[Chemistry 
Score]],Table1[[#This Row],[Biology 
Score]],Table1[[#This Row],[English 
Score]],Table1[[#This Row],[Geography 
Score]])</f>
        <v>659</v>
      </c>
      <c r="AA697" s="3">
        <f>AVERAGE(Table1[[#This Row],[Math 
Score]],Table1[[#This Row],[History 
Score]],Table1[[#This Row],[Physics 
Score]],Table1[[#This Row],[Chemistry 
Score]],Table1[[#This Row],[Biology 
Score]],Table1[[#This Row],[English 
Score]],Table1[[#This Row],[Geography 
Score]])</f>
        <v>94.142857142857139</v>
      </c>
      <c r="AB69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697">
        <f t="shared" si="10"/>
        <v>21</v>
      </c>
      <c r="AD697" t="str">
        <f>_xlfn.IFS(Table1[[#This Row],[Absence 
Days]]&lt;3,"Excellent",Table1[[#This Row],[Absence 
Days]]&lt;=6,"Good",Table1[[#This Row],[Absence 
Days]]&gt;6,"Poor")</f>
        <v>Excellent</v>
      </c>
    </row>
    <row r="698" spans="1:30" x14ac:dyDescent="0.35">
      <c r="A698">
        <v>697</v>
      </c>
      <c r="B698" s="2" t="s">
        <v>34</v>
      </c>
      <c r="C698" t="s">
        <v>637</v>
      </c>
      <c r="D698" t="str">
        <f>_xlfn.TEXTJOIN(" ",TRUE,Table1[[#This Row],[First 
Name]:[Last 
Name]])</f>
        <v>Michael Waters</v>
      </c>
      <c r="E698" t="s">
        <v>1808</v>
      </c>
      <c r="F698" t="s">
        <v>3244</v>
      </c>
      <c r="G698" t="str">
        <f ca="1">PROPER(Table1[[#This Row],[Part Time 
Job]])</f>
        <v>False</v>
      </c>
      <c r="H698" s="3">
        <v>3</v>
      </c>
      <c r="I698" t="str">
        <f ca="1">PROPER(Table1[[#This Row],[Extracurricular 
Activities]])</f>
        <v>False</v>
      </c>
      <c r="J698">
        <v>19</v>
      </c>
      <c r="K698" t="s">
        <v>3125</v>
      </c>
      <c r="L698">
        <v>80</v>
      </c>
      <c r="M698" s="12" t="str" cm="1">
        <f t="array" ref="M69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698">
        <v>88</v>
      </c>
      <c r="O698" s="13" t="str" cm="1">
        <f t="array" ref="O69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698">
        <v>94</v>
      </c>
      <c r="Q698" s="13" t="str" cm="1">
        <f t="array" ref="Q69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698">
        <v>94</v>
      </c>
      <c r="S698" t="str" cm="1">
        <f t="array" ref="S69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698">
        <v>100</v>
      </c>
      <c r="U698" t="str" cm="1">
        <f t="array" ref="U69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698">
        <v>99</v>
      </c>
      <c r="W698" t="str" cm="1">
        <f t="array" ref="W69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698">
        <v>99</v>
      </c>
      <c r="Y698" t="str" cm="1">
        <f t="array" ref="Y69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698">
        <f>SUM(Table1[[#This Row],[Math 
Score]],Table1[[#This Row],[History 
Score]],Table1[[#This Row],[Physics 
Score]],Table1[[#This Row],[Chemistry 
Score]],Table1[[#This Row],[Biology 
Score]],Table1[[#This Row],[English 
Score]],Table1[[#This Row],[Geography 
Score]])</f>
        <v>654</v>
      </c>
      <c r="AA698" s="3">
        <f>AVERAGE(Table1[[#This Row],[Math 
Score]],Table1[[#This Row],[History 
Score]],Table1[[#This Row],[Physics 
Score]],Table1[[#This Row],[Chemistry 
Score]],Table1[[#This Row],[Biology 
Score]],Table1[[#This Row],[English 
Score]],Table1[[#This Row],[Geography 
Score]])</f>
        <v>93.428571428571431</v>
      </c>
      <c r="AB69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698">
        <f t="shared" si="10"/>
        <v>37</v>
      </c>
      <c r="AD698" t="str">
        <f>_xlfn.IFS(Table1[[#This Row],[Absence 
Days]]&lt;3,"Excellent",Table1[[#This Row],[Absence 
Days]]&lt;=6,"Good",Table1[[#This Row],[Absence 
Days]]&gt;6,"Poor")</f>
        <v>Good</v>
      </c>
    </row>
    <row r="699" spans="1:30" x14ac:dyDescent="0.35">
      <c r="A699">
        <v>698</v>
      </c>
      <c r="B699" s="2" t="s">
        <v>231</v>
      </c>
      <c r="C699" t="s">
        <v>822</v>
      </c>
      <c r="D699" t="str">
        <f>_xlfn.TEXTJOIN(" ",TRUE,Table1[[#This Row],[First 
Name]:[Last 
Name]])</f>
        <v>Daniel Mcneil</v>
      </c>
      <c r="E699" t="s">
        <v>1809</v>
      </c>
      <c r="F699" t="s">
        <v>3244</v>
      </c>
      <c r="G699" t="str">
        <f ca="1">PROPER(Table1[[#This Row],[Part Time 
Job]])</f>
        <v>False</v>
      </c>
      <c r="H699" s="3">
        <v>6</v>
      </c>
      <c r="I699" t="str">
        <f ca="1">PROPER(Table1[[#This Row],[Extracurricular 
Activities]])</f>
        <v>False</v>
      </c>
      <c r="J699">
        <v>23</v>
      </c>
      <c r="K699" t="s">
        <v>3121</v>
      </c>
      <c r="L699">
        <v>94</v>
      </c>
      <c r="M699" s="12" t="str" cm="1">
        <f t="array" ref="M69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699">
        <v>92</v>
      </c>
      <c r="O699" s="13" t="str" cm="1">
        <f t="array" ref="O69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699">
        <v>61</v>
      </c>
      <c r="Q699" s="13" t="str" cm="1">
        <f t="array" ref="Q69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699">
        <v>87</v>
      </c>
      <c r="S699" t="str" cm="1">
        <f t="array" ref="S69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699">
        <v>61</v>
      </c>
      <c r="U699" t="str" cm="1">
        <f t="array" ref="U69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699">
        <v>94</v>
      </c>
      <c r="W699" t="str" cm="1">
        <f t="array" ref="W69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699">
        <v>69</v>
      </c>
      <c r="Y699" t="str" cm="1">
        <f t="array" ref="Y69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699">
        <f>SUM(Table1[[#This Row],[Math 
Score]],Table1[[#This Row],[History 
Score]],Table1[[#This Row],[Physics 
Score]],Table1[[#This Row],[Chemistry 
Score]],Table1[[#This Row],[Biology 
Score]],Table1[[#This Row],[English 
Score]],Table1[[#This Row],[Geography 
Score]])</f>
        <v>558</v>
      </c>
      <c r="AA699" s="3">
        <f>AVERAGE(Table1[[#This Row],[Math 
Score]],Table1[[#This Row],[History 
Score]],Table1[[#This Row],[Physics 
Score]],Table1[[#This Row],[Chemistry 
Score]],Table1[[#This Row],[Biology 
Score]],Table1[[#This Row],[English 
Score]],Table1[[#This Row],[Geography 
Score]])</f>
        <v>79.714285714285708</v>
      </c>
      <c r="AB69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699">
        <f t="shared" si="10"/>
        <v>1178</v>
      </c>
      <c r="AD699" t="str">
        <f>_xlfn.IFS(Table1[[#This Row],[Absence 
Days]]&lt;3,"Excellent",Table1[[#This Row],[Absence 
Days]]&lt;=6,"Good",Table1[[#This Row],[Absence 
Days]]&gt;6,"Poor")</f>
        <v>Good</v>
      </c>
    </row>
    <row r="700" spans="1:30" x14ac:dyDescent="0.35">
      <c r="A700">
        <v>699</v>
      </c>
      <c r="B700" s="2" t="s">
        <v>71</v>
      </c>
      <c r="C700" t="s">
        <v>823</v>
      </c>
      <c r="D700" t="str">
        <f>_xlfn.TEXTJOIN(" ",TRUE,Table1[[#This Row],[First 
Name]:[Last 
Name]])</f>
        <v>James Mcgee</v>
      </c>
      <c r="E700" t="s">
        <v>1810</v>
      </c>
      <c r="F700" t="s">
        <v>3244</v>
      </c>
      <c r="G700" t="str">
        <f ca="1">PROPER(Table1[[#This Row],[Part Time 
Job]])</f>
        <v>False</v>
      </c>
      <c r="H700" s="3">
        <v>9</v>
      </c>
      <c r="I700" t="str">
        <f ca="1">PROPER(Table1[[#This Row],[Extracurricular 
Activities]])</f>
        <v>False</v>
      </c>
      <c r="J700">
        <v>14</v>
      </c>
      <c r="K700" t="s">
        <v>3125</v>
      </c>
      <c r="L700">
        <v>99</v>
      </c>
      <c r="M700" s="12" t="str" cm="1">
        <f t="array" ref="M70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700">
        <v>74</v>
      </c>
      <c r="O700" s="13" t="str" cm="1">
        <f t="array" ref="O70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700">
        <v>98</v>
      </c>
      <c r="Q700" s="13" t="str" cm="1">
        <f t="array" ref="Q70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700">
        <v>69</v>
      </c>
      <c r="S700" t="str" cm="1">
        <f t="array" ref="S70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700">
        <v>69</v>
      </c>
      <c r="U700" t="str" cm="1">
        <f t="array" ref="U70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700">
        <v>64</v>
      </c>
      <c r="W700" t="str" cm="1">
        <f t="array" ref="W70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700">
        <v>96</v>
      </c>
      <c r="Y700" t="str" cm="1">
        <f t="array" ref="Y70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700">
        <f>SUM(Table1[[#This Row],[Math 
Score]],Table1[[#This Row],[History 
Score]],Table1[[#This Row],[Physics 
Score]],Table1[[#This Row],[Chemistry 
Score]],Table1[[#This Row],[Biology 
Score]],Table1[[#This Row],[English 
Score]],Table1[[#This Row],[Geography 
Score]])</f>
        <v>569</v>
      </c>
      <c r="AA700" s="3">
        <f>AVERAGE(Table1[[#This Row],[Math 
Score]],Table1[[#This Row],[History 
Score]],Table1[[#This Row],[Physics 
Score]],Table1[[#This Row],[Chemistry 
Score]],Table1[[#This Row],[Biology 
Score]],Table1[[#This Row],[English 
Score]],Table1[[#This Row],[Geography 
Score]])</f>
        <v>81.285714285714292</v>
      </c>
      <c r="AB70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700">
        <f t="shared" si="10"/>
        <v>957</v>
      </c>
      <c r="AD700" t="str">
        <f>_xlfn.IFS(Table1[[#This Row],[Absence 
Days]]&lt;3,"Excellent",Table1[[#This Row],[Absence 
Days]]&lt;=6,"Good",Table1[[#This Row],[Absence 
Days]]&gt;6,"Poor")</f>
        <v>Poor</v>
      </c>
    </row>
    <row r="701" spans="1:30" x14ac:dyDescent="0.35">
      <c r="A701">
        <v>700</v>
      </c>
      <c r="B701" s="2" t="s">
        <v>72</v>
      </c>
      <c r="C701" t="s">
        <v>674</v>
      </c>
      <c r="D701" t="str">
        <f>_xlfn.TEXTJOIN(" ",TRUE,Table1[[#This Row],[First 
Name]:[Last 
Name]])</f>
        <v>Dennis Park</v>
      </c>
      <c r="E701" t="s">
        <v>1811</v>
      </c>
      <c r="F701" t="s">
        <v>3244</v>
      </c>
      <c r="G701" t="str">
        <f ca="1">PROPER(Table1[[#This Row],[Part Time 
Job]])</f>
        <v>False</v>
      </c>
      <c r="H701" s="3">
        <v>2</v>
      </c>
      <c r="I701" t="str">
        <f ca="1">PROPER(Table1[[#This Row],[Extracurricular 
Activities]])</f>
        <v>False</v>
      </c>
      <c r="J701">
        <v>21</v>
      </c>
      <c r="K701" t="s">
        <v>3121</v>
      </c>
      <c r="L701">
        <v>81</v>
      </c>
      <c r="M701" s="12" t="str" cm="1">
        <f t="array" ref="M70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701">
        <v>72</v>
      </c>
      <c r="O701" s="13" t="str" cm="1">
        <f t="array" ref="O70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701">
        <v>87</v>
      </c>
      <c r="Q701" s="13" t="str" cm="1">
        <f t="array" ref="Q70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701">
        <v>62</v>
      </c>
      <c r="S701" t="str" cm="1">
        <f t="array" ref="S70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701">
        <v>69</v>
      </c>
      <c r="U701" t="str" cm="1">
        <f t="array" ref="U70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701">
        <v>93</v>
      </c>
      <c r="W701" t="str" cm="1">
        <f t="array" ref="W70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701">
        <v>72</v>
      </c>
      <c r="Y701" t="str" cm="1">
        <f t="array" ref="Y70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701">
        <f>SUM(Table1[[#This Row],[Math 
Score]],Table1[[#This Row],[History 
Score]],Table1[[#This Row],[Physics 
Score]],Table1[[#This Row],[Chemistry 
Score]],Table1[[#This Row],[Biology 
Score]],Table1[[#This Row],[English 
Score]],Table1[[#This Row],[Geography 
Score]])</f>
        <v>536</v>
      </c>
      <c r="AA701" s="3">
        <f>AVERAGE(Table1[[#This Row],[Math 
Score]],Table1[[#This Row],[History 
Score]],Table1[[#This Row],[Physics 
Score]],Table1[[#This Row],[Chemistry 
Score]],Table1[[#This Row],[Biology 
Score]],Table1[[#This Row],[English 
Score]],Table1[[#This Row],[Geography 
Score]])</f>
        <v>76.571428571428569</v>
      </c>
      <c r="AB70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701">
        <f t="shared" si="10"/>
        <v>1567</v>
      </c>
      <c r="AD701" t="str">
        <f>_xlfn.IFS(Table1[[#This Row],[Absence 
Days]]&lt;3,"Excellent",Table1[[#This Row],[Absence 
Days]]&lt;=6,"Good",Table1[[#This Row],[Absence 
Days]]&gt;6,"Poor")</f>
        <v>Excellent</v>
      </c>
    </row>
    <row r="702" spans="1:30" x14ac:dyDescent="0.35">
      <c r="A702">
        <v>701</v>
      </c>
      <c r="B702" s="2" t="s">
        <v>257</v>
      </c>
      <c r="C702" t="s">
        <v>532</v>
      </c>
      <c r="D702" t="str">
        <f>_xlfn.TEXTJOIN(" ",TRUE,Table1[[#This Row],[First 
Name]:[Last 
Name]])</f>
        <v>Gregory Jones</v>
      </c>
      <c r="E702" t="s">
        <v>1812</v>
      </c>
      <c r="F702" t="s">
        <v>3244</v>
      </c>
      <c r="G702" t="str">
        <f ca="1">PROPER(Table1[[#This Row],[Part Time 
Job]])</f>
        <v>False</v>
      </c>
      <c r="H702" s="3">
        <v>6</v>
      </c>
      <c r="I702" t="str">
        <f ca="1">PROPER(Table1[[#This Row],[Extracurricular 
Activities]])</f>
        <v>False</v>
      </c>
      <c r="J702">
        <v>18</v>
      </c>
      <c r="K702" t="s">
        <v>3116</v>
      </c>
      <c r="L702">
        <v>91</v>
      </c>
      <c r="M702" s="12" t="str" cm="1">
        <f t="array" ref="M70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702">
        <v>61</v>
      </c>
      <c r="O702" s="13" t="str" cm="1">
        <f t="array" ref="O70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702">
        <v>95</v>
      </c>
      <c r="Q702" s="13" t="str" cm="1">
        <f t="array" ref="Q70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702">
        <v>82</v>
      </c>
      <c r="S702" t="str" cm="1">
        <f t="array" ref="S70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702">
        <v>77</v>
      </c>
      <c r="U702" t="str" cm="1">
        <f t="array" ref="U70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702">
        <v>87</v>
      </c>
      <c r="W702" t="str" cm="1">
        <f t="array" ref="W70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702">
        <v>95</v>
      </c>
      <c r="Y702" t="str" cm="1">
        <f t="array" ref="Y70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702">
        <f>SUM(Table1[[#This Row],[Math 
Score]],Table1[[#This Row],[History 
Score]],Table1[[#This Row],[Physics 
Score]],Table1[[#This Row],[Chemistry 
Score]],Table1[[#This Row],[Biology 
Score]],Table1[[#This Row],[English 
Score]],Table1[[#This Row],[Geography 
Score]])</f>
        <v>588</v>
      </c>
      <c r="AA702" s="3">
        <f>AVERAGE(Table1[[#This Row],[Math 
Score]],Table1[[#This Row],[History 
Score]],Table1[[#This Row],[Physics 
Score]],Table1[[#This Row],[Chemistry 
Score]],Table1[[#This Row],[Biology 
Score]],Table1[[#This Row],[English 
Score]],Table1[[#This Row],[Geography 
Score]])</f>
        <v>84</v>
      </c>
      <c r="AB70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702">
        <f t="shared" si="10"/>
        <v>565</v>
      </c>
      <c r="AD702" t="str">
        <f>_xlfn.IFS(Table1[[#This Row],[Absence 
Days]]&lt;3,"Excellent",Table1[[#This Row],[Absence 
Days]]&lt;=6,"Good",Table1[[#This Row],[Absence 
Days]]&gt;6,"Poor")</f>
        <v>Good</v>
      </c>
    </row>
    <row r="703" spans="1:30" x14ac:dyDescent="0.35">
      <c r="A703">
        <v>702</v>
      </c>
      <c r="B703" s="2" t="s">
        <v>175</v>
      </c>
      <c r="C703" t="s">
        <v>824</v>
      </c>
      <c r="D703" t="str">
        <f>_xlfn.TEXTJOIN(" ",TRUE,Table1[[#This Row],[First 
Name]:[Last 
Name]])</f>
        <v>Barbara Petersen</v>
      </c>
      <c r="E703" t="s">
        <v>1813</v>
      </c>
      <c r="F703" t="s">
        <v>3245</v>
      </c>
      <c r="G703" t="str">
        <f ca="1">PROPER(Table1[[#This Row],[Part Time 
Job]])</f>
        <v>False</v>
      </c>
      <c r="H703" s="3">
        <v>2</v>
      </c>
      <c r="I703" t="str">
        <f ca="1">PROPER(Table1[[#This Row],[Extracurricular 
Activities]])</f>
        <v>True</v>
      </c>
      <c r="J703">
        <v>16</v>
      </c>
      <c r="K703" t="s">
        <v>3122</v>
      </c>
      <c r="L703">
        <v>71</v>
      </c>
      <c r="M703" s="12" t="str" cm="1">
        <f t="array" ref="M703">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703">
        <v>100</v>
      </c>
      <c r="O703" s="13" t="str" cm="1">
        <f t="array" ref="O70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703">
        <v>99</v>
      </c>
      <c r="Q703" s="13" t="str" cm="1">
        <f t="array" ref="Q70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703">
        <v>95</v>
      </c>
      <c r="S703" t="str" cm="1">
        <f t="array" ref="S70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703">
        <v>91</v>
      </c>
      <c r="U703" t="str" cm="1">
        <f t="array" ref="U70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703">
        <v>96</v>
      </c>
      <c r="W703" t="str" cm="1">
        <f t="array" ref="W70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703">
        <v>96</v>
      </c>
      <c r="Y703" t="str" cm="1">
        <f t="array" ref="Y70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703">
        <f>SUM(Table1[[#This Row],[Math 
Score]],Table1[[#This Row],[History 
Score]],Table1[[#This Row],[Physics 
Score]],Table1[[#This Row],[Chemistry 
Score]],Table1[[#This Row],[Biology 
Score]],Table1[[#This Row],[English 
Score]],Table1[[#This Row],[Geography 
Score]])</f>
        <v>648</v>
      </c>
      <c r="AA703" s="3">
        <f>AVERAGE(Table1[[#This Row],[Math 
Score]],Table1[[#This Row],[History 
Score]],Table1[[#This Row],[Physics 
Score]],Table1[[#This Row],[Chemistry 
Score]],Table1[[#This Row],[Biology 
Score]],Table1[[#This Row],[English 
Score]],Table1[[#This Row],[Geography 
Score]])</f>
        <v>92.571428571428569</v>
      </c>
      <c r="AB70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703">
        <f t="shared" si="10"/>
        <v>65</v>
      </c>
      <c r="AD703" t="str">
        <f>_xlfn.IFS(Table1[[#This Row],[Absence 
Days]]&lt;3,"Excellent",Table1[[#This Row],[Absence 
Days]]&lt;=6,"Good",Table1[[#This Row],[Absence 
Days]]&gt;6,"Poor")</f>
        <v>Excellent</v>
      </c>
    </row>
    <row r="704" spans="1:30" x14ac:dyDescent="0.35">
      <c r="A704">
        <v>703</v>
      </c>
      <c r="B704" s="2" t="s">
        <v>66</v>
      </c>
      <c r="C704" t="s">
        <v>708</v>
      </c>
      <c r="D704" t="str">
        <f>_xlfn.TEXTJOIN(" ",TRUE,Table1[[#This Row],[First 
Name]:[Last 
Name]])</f>
        <v>Andrea Baker</v>
      </c>
      <c r="E704" t="s">
        <v>1814</v>
      </c>
      <c r="F704" t="s">
        <v>3245</v>
      </c>
      <c r="G704" t="str">
        <f ca="1">PROPER(Table1[[#This Row],[Part Time 
Job]])</f>
        <v>False</v>
      </c>
      <c r="H704" s="3">
        <v>4</v>
      </c>
      <c r="I704" t="str">
        <f ca="1">PROPER(Table1[[#This Row],[Extracurricular 
Activities]])</f>
        <v>False</v>
      </c>
      <c r="J704">
        <v>2</v>
      </c>
      <c r="K704" t="s">
        <v>3116</v>
      </c>
      <c r="L704">
        <v>61</v>
      </c>
      <c r="M704" s="12" t="str" cm="1">
        <f t="array" ref="M704">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704">
        <v>66</v>
      </c>
      <c r="O704" s="13" t="str" cm="1">
        <f t="array" ref="O70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704">
        <v>78</v>
      </c>
      <c r="Q704" s="13" t="str" cm="1">
        <f t="array" ref="Q70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704">
        <v>79</v>
      </c>
      <c r="S704" t="str" cm="1">
        <f t="array" ref="S70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704">
        <v>79</v>
      </c>
      <c r="U704" t="str" cm="1">
        <f t="array" ref="U70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704">
        <v>96</v>
      </c>
      <c r="W704" t="str" cm="1">
        <f t="array" ref="W70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704">
        <v>81</v>
      </c>
      <c r="Y704" t="str" cm="1">
        <f t="array" ref="Y70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704">
        <f>SUM(Table1[[#This Row],[Math 
Score]],Table1[[#This Row],[History 
Score]],Table1[[#This Row],[Physics 
Score]],Table1[[#This Row],[Chemistry 
Score]],Table1[[#This Row],[Biology 
Score]],Table1[[#This Row],[English 
Score]],Table1[[#This Row],[Geography 
Score]])</f>
        <v>540</v>
      </c>
      <c r="AA704" s="3">
        <f>AVERAGE(Table1[[#This Row],[Math 
Score]],Table1[[#This Row],[History 
Score]],Table1[[#This Row],[Physics 
Score]],Table1[[#This Row],[Chemistry 
Score]],Table1[[#This Row],[Biology 
Score]],Table1[[#This Row],[English 
Score]],Table1[[#This Row],[Geography 
Score]])</f>
        <v>77.142857142857139</v>
      </c>
      <c r="AB70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704">
        <f t="shared" si="10"/>
        <v>1513</v>
      </c>
      <c r="AD704" t="str">
        <f>_xlfn.IFS(Table1[[#This Row],[Absence 
Days]]&lt;3,"Excellent",Table1[[#This Row],[Absence 
Days]]&lt;=6,"Good",Table1[[#This Row],[Absence 
Days]]&gt;6,"Poor")</f>
        <v>Good</v>
      </c>
    </row>
    <row r="705" spans="1:30" x14ac:dyDescent="0.35">
      <c r="A705">
        <v>704</v>
      </c>
      <c r="B705" s="2" t="s">
        <v>74</v>
      </c>
      <c r="C705" t="s">
        <v>639</v>
      </c>
      <c r="D705" t="str">
        <f>_xlfn.TEXTJOIN(" ",TRUE,Table1[[#This Row],[First 
Name]:[Last 
Name]])</f>
        <v>Robert Holmes</v>
      </c>
      <c r="E705" t="s">
        <v>1815</v>
      </c>
      <c r="F705" t="s">
        <v>3244</v>
      </c>
      <c r="G705" t="str">
        <f ca="1">PROPER(Table1[[#This Row],[Part Time 
Job]])</f>
        <v>False</v>
      </c>
      <c r="H705" s="3">
        <v>5</v>
      </c>
      <c r="I705" t="str">
        <f ca="1">PROPER(Table1[[#This Row],[Extracurricular 
Activities]])</f>
        <v>True</v>
      </c>
      <c r="J705">
        <v>16</v>
      </c>
      <c r="K705" t="s">
        <v>3116</v>
      </c>
      <c r="L705">
        <v>87</v>
      </c>
      <c r="M705" s="12" t="str" cm="1">
        <f t="array" ref="M70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705">
        <v>89</v>
      </c>
      <c r="O705" s="13" t="str" cm="1">
        <f t="array" ref="O70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705">
        <v>60</v>
      </c>
      <c r="Q705" s="13" t="str" cm="1">
        <f t="array" ref="Q70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705">
        <v>66</v>
      </c>
      <c r="S705" t="str" cm="1">
        <f t="array" ref="S70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705">
        <v>79</v>
      </c>
      <c r="U705" t="str" cm="1">
        <f t="array" ref="U70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705">
        <v>81</v>
      </c>
      <c r="W705" t="str" cm="1">
        <f t="array" ref="W70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705">
        <v>65</v>
      </c>
      <c r="Y705" t="str" cm="1">
        <f t="array" ref="Y70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705">
        <f>SUM(Table1[[#This Row],[Math 
Score]],Table1[[#This Row],[History 
Score]],Table1[[#This Row],[Physics 
Score]],Table1[[#This Row],[Chemistry 
Score]],Table1[[#This Row],[Biology 
Score]],Table1[[#This Row],[English 
Score]],Table1[[#This Row],[Geography 
Score]])</f>
        <v>527</v>
      </c>
      <c r="AA705" s="3">
        <f>AVERAGE(Table1[[#This Row],[Math 
Score]],Table1[[#This Row],[History 
Score]],Table1[[#This Row],[Physics 
Score]],Table1[[#This Row],[Chemistry 
Score]],Table1[[#This Row],[Biology 
Score]],Table1[[#This Row],[English 
Score]],Table1[[#This Row],[Geography 
Score]])</f>
        <v>75.285714285714292</v>
      </c>
      <c r="AB70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705">
        <f t="shared" si="10"/>
        <v>1683</v>
      </c>
      <c r="AD705" t="str">
        <f>_xlfn.IFS(Table1[[#This Row],[Absence 
Days]]&lt;3,"Excellent",Table1[[#This Row],[Absence 
Days]]&lt;=6,"Good",Table1[[#This Row],[Absence 
Days]]&gt;6,"Poor")</f>
        <v>Good</v>
      </c>
    </row>
    <row r="706" spans="1:30" x14ac:dyDescent="0.35">
      <c r="A706">
        <v>705</v>
      </c>
      <c r="B706" s="2" t="s">
        <v>217</v>
      </c>
      <c r="C706" t="s">
        <v>532</v>
      </c>
      <c r="D706" t="str">
        <f>_xlfn.TEXTJOIN(" ",TRUE,Table1[[#This Row],[First 
Name]:[Last 
Name]])</f>
        <v>Autumn Jones</v>
      </c>
      <c r="E706" t="s">
        <v>1816</v>
      </c>
      <c r="F706" t="s">
        <v>3245</v>
      </c>
      <c r="G706" t="str">
        <f ca="1">PROPER(Table1[[#This Row],[Part Time 
Job]])</f>
        <v>False</v>
      </c>
      <c r="H706" s="3">
        <v>0</v>
      </c>
      <c r="I706" t="str">
        <f ca="1">PROPER(Table1[[#This Row],[Extracurricular 
Activities]])</f>
        <v>False</v>
      </c>
      <c r="J706">
        <v>29</v>
      </c>
      <c r="K706" t="s">
        <v>3117</v>
      </c>
      <c r="L706">
        <v>93</v>
      </c>
      <c r="M706" s="12" t="str" cm="1">
        <f t="array" ref="M70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706">
        <v>69</v>
      </c>
      <c r="O706" s="13" t="str" cm="1">
        <f t="array" ref="O70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706">
        <v>79</v>
      </c>
      <c r="Q706" s="13" t="str" cm="1">
        <f t="array" ref="Q70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706">
        <v>78</v>
      </c>
      <c r="S706" t="str" cm="1">
        <f t="array" ref="S70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706">
        <v>77</v>
      </c>
      <c r="U706" t="str" cm="1">
        <f t="array" ref="U70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706">
        <v>73</v>
      </c>
      <c r="W706" t="str" cm="1">
        <f t="array" ref="W70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706">
        <v>77</v>
      </c>
      <c r="Y706" t="str" cm="1">
        <f t="array" ref="Y70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706">
        <f>SUM(Table1[[#This Row],[Math 
Score]],Table1[[#This Row],[History 
Score]],Table1[[#This Row],[Physics 
Score]],Table1[[#This Row],[Chemistry 
Score]],Table1[[#This Row],[Biology 
Score]],Table1[[#This Row],[English 
Score]],Table1[[#This Row],[Geography 
Score]])</f>
        <v>546</v>
      </c>
      <c r="AA706" s="3">
        <f>AVERAGE(Table1[[#This Row],[Math 
Score]],Table1[[#This Row],[History 
Score]],Table1[[#This Row],[Physics 
Score]],Table1[[#This Row],[Chemistry 
Score]],Table1[[#This Row],[Biology 
Score]],Table1[[#This Row],[English 
Score]],Table1[[#This Row],[Geography 
Score]])</f>
        <v>78</v>
      </c>
      <c r="AB70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706">
        <f t="shared" ref="AC706:AC769" si="11">RANK(AA706,$AA$2:$AA$2001,0)</f>
        <v>1411</v>
      </c>
      <c r="AD706" t="str">
        <f>_xlfn.IFS(Table1[[#This Row],[Absence 
Days]]&lt;3,"Excellent",Table1[[#This Row],[Absence 
Days]]&lt;=6,"Good",Table1[[#This Row],[Absence 
Days]]&gt;6,"Poor")</f>
        <v>Excellent</v>
      </c>
    </row>
    <row r="707" spans="1:30" x14ac:dyDescent="0.35">
      <c r="A707">
        <v>706</v>
      </c>
      <c r="B707" s="2" t="s">
        <v>235</v>
      </c>
      <c r="C707" t="s">
        <v>492</v>
      </c>
      <c r="D707" t="str">
        <f>_xlfn.TEXTJOIN(" ",TRUE,Table1[[#This Row],[First 
Name]:[Last 
Name]])</f>
        <v>Richard Davis</v>
      </c>
      <c r="E707" t="s">
        <v>1817</v>
      </c>
      <c r="F707" t="s">
        <v>3244</v>
      </c>
      <c r="G707" t="str">
        <f ca="1">PROPER(Table1[[#This Row],[Part Time 
Job]])</f>
        <v>False</v>
      </c>
      <c r="H707" s="3">
        <v>5</v>
      </c>
      <c r="I707" t="str">
        <f ca="1">PROPER(Table1[[#This Row],[Extracurricular 
Activities]])</f>
        <v>False</v>
      </c>
      <c r="J707">
        <v>35</v>
      </c>
      <c r="K707" t="s">
        <v>3123</v>
      </c>
      <c r="L707">
        <v>92</v>
      </c>
      <c r="M707" s="12" t="str" cm="1">
        <f t="array" ref="M70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707">
        <v>88</v>
      </c>
      <c r="O707" s="13" t="str" cm="1">
        <f t="array" ref="O70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707">
        <v>87</v>
      </c>
      <c r="Q707" s="13" t="str" cm="1">
        <f t="array" ref="Q70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707">
        <v>98</v>
      </c>
      <c r="S707" t="str" cm="1">
        <f t="array" ref="S70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707">
        <v>96</v>
      </c>
      <c r="U707" t="str" cm="1">
        <f t="array" ref="U70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707">
        <v>85</v>
      </c>
      <c r="W707" t="str" cm="1">
        <f t="array" ref="W70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707">
        <v>96</v>
      </c>
      <c r="Y707" t="str" cm="1">
        <f t="array" ref="Y70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707">
        <f>SUM(Table1[[#This Row],[Math 
Score]],Table1[[#This Row],[History 
Score]],Table1[[#This Row],[Physics 
Score]],Table1[[#This Row],[Chemistry 
Score]],Table1[[#This Row],[Biology 
Score]],Table1[[#This Row],[English 
Score]],Table1[[#This Row],[Geography 
Score]])</f>
        <v>642</v>
      </c>
      <c r="AA707" s="3">
        <f>AVERAGE(Table1[[#This Row],[Math 
Score]],Table1[[#This Row],[History 
Score]],Table1[[#This Row],[Physics 
Score]],Table1[[#This Row],[Chemistry 
Score]],Table1[[#This Row],[Biology 
Score]],Table1[[#This Row],[English 
Score]],Table1[[#This Row],[Geography 
Score]])</f>
        <v>91.714285714285708</v>
      </c>
      <c r="AB70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707">
        <f t="shared" si="11"/>
        <v>90</v>
      </c>
      <c r="AD707" t="str">
        <f>_xlfn.IFS(Table1[[#This Row],[Absence 
Days]]&lt;3,"Excellent",Table1[[#This Row],[Absence 
Days]]&lt;=6,"Good",Table1[[#This Row],[Absence 
Days]]&gt;6,"Poor")</f>
        <v>Good</v>
      </c>
    </row>
    <row r="708" spans="1:30" x14ac:dyDescent="0.35">
      <c r="A708">
        <v>707</v>
      </c>
      <c r="B708" s="2" t="s">
        <v>4</v>
      </c>
      <c r="C708" t="s">
        <v>718</v>
      </c>
      <c r="D708" t="str">
        <f>_xlfn.TEXTJOIN(" ",TRUE,Table1[[#This Row],[First 
Name]:[Last 
Name]])</f>
        <v>Anthony Armstrong</v>
      </c>
      <c r="E708" t="s">
        <v>1818</v>
      </c>
      <c r="F708" t="s">
        <v>3244</v>
      </c>
      <c r="G708" t="str">
        <f ca="1">PROPER(Table1[[#This Row],[Part Time 
Job]])</f>
        <v>False</v>
      </c>
      <c r="H708" s="3">
        <v>2</v>
      </c>
      <c r="I708" t="str">
        <f ca="1">PROPER(Table1[[#This Row],[Extracurricular 
Activities]])</f>
        <v>False</v>
      </c>
      <c r="J708">
        <v>11</v>
      </c>
      <c r="K708" t="s">
        <v>3121</v>
      </c>
      <c r="L708">
        <v>96</v>
      </c>
      <c r="M708" s="12" t="str" cm="1">
        <f t="array" ref="M70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708">
        <v>87</v>
      </c>
      <c r="O708" s="13" t="str" cm="1">
        <f t="array" ref="O70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708">
        <v>99</v>
      </c>
      <c r="Q708" s="13" t="str" cm="1">
        <f t="array" ref="Q70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708">
        <v>65</v>
      </c>
      <c r="S708" t="str" cm="1">
        <f t="array" ref="S70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708">
        <v>98</v>
      </c>
      <c r="U708" t="str" cm="1">
        <f t="array" ref="U70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708">
        <v>79</v>
      </c>
      <c r="W708" t="str" cm="1">
        <f t="array" ref="W70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708">
        <v>93</v>
      </c>
      <c r="Y708" t="str" cm="1">
        <f t="array" ref="Y70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708">
        <f>SUM(Table1[[#This Row],[Math 
Score]],Table1[[#This Row],[History 
Score]],Table1[[#This Row],[Physics 
Score]],Table1[[#This Row],[Chemistry 
Score]],Table1[[#This Row],[Biology 
Score]],Table1[[#This Row],[English 
Score]],Table1[[#This Row],[Geography 
Score]])</f>
        <v>617</v>
      </c>
      <c r="AA708" s="3">
        <f>AVERAGE(Table1[[#This Row],[Math 
Score]],Table1[[#This Row],[History 
Score]],Table1[[#This Row],[Physics 
Score]],Table1[[#This Row],[Chemistry 
Score]],Table1[[#This Row],[Biology 
Score]],Table1[[#This Row],[English 
Score]],Table1[[#This Row],[Geography 
Score]])</f>
        <v>88.142857142857139</v>
      </c>
      <c r="AB70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708">
        <f t="shared" si="11"/>
        <v>235</v>
      </c>
      <c r="AD708" t="str">
        <f>_xlfn.IFS(Table1[[#This Row],[Absence 
Days]]&lt;3,"Excellent",Table1[[#This Row],[Absence 
Days]]&lt;=6,"Good",Table1[[#This Row],[Absence 
Days]]&gt;6,"Poor")</f>
        <v>Excellent</v>
      </c>
    </row>
    <row r="709" spans="1:30" x14ac:dyDescent="0.35">
      <c r="A709">
        <v>708</v>
      </c>
      <c r="B709" s="2" t="s">
        <v>295</v>
      </c>
      <c r="C709" t="s">
        <v>785</v>
      </c>
      <c r="D709" t="str">
        <f>_xlfn.TEXTJOIN(" ",TRUE,Table1[[#This Row],[First 
Name]:[Last 
Name]])</f>
        <v>Julian Ortiz</v>
      </c>
      <c r="E709" t="s">
        <v>1819</v>
      </c>
      <c r="F709" t="s">
        <v>3244</v>
      </c>
      <c r="G709" t="str">
        <f ca="1">PROPER(Table1[[#This Row],[Part Time 
Job]])</f>
        <v>False</v>
      </c>
      <c r="H709" s="3">
        <v>3</v>
      </c>
      <c r="I709" t="str">
        <f ca="1">PROPER(Table1[[#This Row],[Extracurricular 
Activities]])</f>
        <v>False</v>
      </c>
      <c r="J709">
        <v>4</v>
      </c>
      <c r="K709" t="s">
        <v>3115</v>
      </c>
      <c r="L709">
        <v>83</v>
      </c>
      <c r="M709" s="12" t="str" cm="1">
        <f t="array" ref="M70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709">
        <v>75</v>
      </c>
      <c r="O709" s="13" t="str" cm="1">
        <f t="array" ref="O70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709">
        <v>77</v>
      </c>
      <c r="Q709" s="13" t="str" cm="1">
        <f t="array" ref="Q70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709">
        <v>61</v>
      </c>
      <c r="S709" t="str" cm="1">
        <f t="array" ref="S70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709">
        <v>93</v>
      </c>
      <c r="U709" t="str" cm="1">
        <f t="array" ref="U70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709">
        <v>61</v>
      </c>
      <c r="W709" t="str" cm="1">
        <f t="array" ref="W70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709">
        <v>75</v>
      </c>
      <c r="Y709" t="str" cm="1">
        <f t="array" ref="Y70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709">
        <f>SUM(Table1[[#This Row],[Math 
Score]],Table1[[#This Row],[History 
Score]],Table1[[#This Row],[Physics 
Score]],Table1[[#This Row],[Chemistry 
Score]],Table1[[#This Row],[Biology 
Score]],Table1[[#This Row],[English 
Score]],Table1[[#This Row],[Geography 
Score]])</f>
        <v>525</v>
      </c>
      <c r="AA709" s="3">
        <f>AVERAGE(Table1[[#This Row],[Math 
Score]],Table1[[#This Row],[History 
Score]],Table1[[#This Row],[Physics 
Score]],Table1[[#This Row],[Chemistry 
Score]],Table1[[#This Row],[Biology 
Score]],Table1[[#This Row],[English 
Score]],Table1[[#This Row],[Geography 
Score]])</f>
        <v>75</v>
      </c>
      <c r="AB70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709">
        <f t="shared" si="11"/>
        <v>1704</v>
      </c>
      <c r="AD709" t="str">
        <f>_xlfn.IFS(Table1[[#This Row],[Absence 
Days]]&lt;3,"Excellent",Table1[[#This Row],[Absence 
Days]]&lt;=6,"Good",Table1[[#This Row],[Absence 
Days]]&gt;6,"Poor")</f>
        <v>Good</v>
      </c>
    </row>
    <row r="710" spans="1:30" x14ac:dyDescent="0.35">
      <c r="A710">
        <v>709</v>
      </c>
      <c r="B710" s="2" t="s">
        <v>254</v>
      </c>
      <c r="C710" t="s">
        <v>571</v>
      </c>
      <c r="D710" t="str">
        <f>_xlfn.TEXTJOIN(" ",TRUE,Table1[[#This Row],[First 
Name]:[Last 
Name]])</f>
        <v>Melinda Sanchez</v>
      </c>
      <c r="E710" t="s">
        <v>1820</v>
      </c>
      <c r="F710" t="s">
        <v>3245</v>
      </c>
      <c r="G710" t="str">
        <f ca="1">PROPER(Table1[[#This Row],[Part Time 
Job]])</f>
        <v>False</v>
      </c>
      <c r="H710" s="3">
        <v>0</v>
      </c>
      <c r="I710" t="str">
        <f ca="1">PROPER(Table1[[#This Row],[Extracurricular 
Activities]])</f>
        <v>False</v>
      </c>
      <c r="J710">
        <v>15</v>
      </c>
      <c r="K710" t="s">
        <v>3118</v>
      </c>
      <c r="L710">
        <v>78</v>
      </c>
      <c r="M710" s="12" t="str" cm="1">
        <f t="array" ref="M71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710">
        <v>84</v>
      </c>
      <c r="O710" s="13" t="str" cm="1">
        <f t="array" ref="O71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710">
        <v>79</v>
      </c>
      <c r="Q710" s="13" t="str" cm="1">
        <f t="array" ref="Q71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710">
        <v>96</v>
      </c>
      <c r="S710" t="str" cm="1">
        <f t="array" ref="S71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710">
        <v>76</v>
      </c>
      <c r="U710" t="str" cm="1">
        <f t="array" ref="U71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710">
        <v>71</v>
      </c>
      <c r="W710" t="str" cm="1">
        <f t="array" ref="W71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710">
        <v>71</v>
      </c>
      <c r="Y710" t="str" cm="1">
        <f t="array" ref="Y71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710">
        <f>SUM(Table1[[#This Row],[Math 
Score]],Table1[[#This Row],[History 
Score]],Table1[[#This Row],[Physics 
Score]],Table1[[#This Row],[Chemistry 
Score]],Table1[[#This Row],[Biology 
Score]],Table1[[#This Row],[English 
Score]],Table1[[#This Row],[Geography 
Score]])</f>
        <v>555</v>
      </c>
      <c r="AA710" s="3">
        <f>AVERAGE(Table1[[#This Row],[Math 
Score]],Table1[[#This Row],[History 
Score]],Table1[[#This Row],[Physics 
Score]],Table1[[#This Row],[Chemistry 
Score]],Table1[[#This Row],[Biology 
Score]],Table1[[#This Row],[English 
Score]],Table1[[#This Row],[Geography 
Score]])</f>
        <v>79.285714285714292</v>
      </c>
      <c r="AB71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710">
        <f t="shared" si="11"/>
        <v>1245</v>
      </c>
      <c r="AD710" t="str">
        <f>_xlfn.IFS(Table1[[#This Row],[Absence 
Days]]&lt;3,"Excellent",Table1[[#This Row],[Absence 
Days]]&lt;=6,"Good",Table1[[#This Row],[Absence 
Days]]&gt;6,"Poor")</f>
        <v>Excellent</v>
      </c>
    </row>
    <row r="711" spans="1:30" x14ac:dyDescent="0.35">
      <c r="A711">
        <v>710</v>
      </c>
      <c r="B711" s="2" t="s">
        <v>71</v>
      </c>
      <c r="C711" t="s">
        <v>825</v>
      </c>
      <c r="D711" t="str">
        <f>_xlfn.TEXTJOIN(" ",TRUE,Table1[[#This Row],[First 
Name]:[Last 
Name]])</f>
        <v>James Carter</v>
      </c>
      <c r="E711" t="s">
        <v>1821</v>
      </c>
      <c r="F711" t="s">
        <v>3244</v>
      </c>
      <c r="G711" t="str">
        <f ca="1">PROPER(Table1[[#This Row],[Part Time 
Job]])</f>
        <v>True</v>
      </c>
      <c r="H711" s="3">
        <v>10</v>
      </c>
      <c r="I711" t="str">
        <f ca="1">PROPER(Table1[[#This Row],[Extracurricular 
Activities]])</f>
        <v>False</v>
      </c>
      <c r="J711">
        <v>25</v>
      </c>
      <c r="K711" t="s">
        <v>3121</v>
      </c>
      <c r="L711">
        <v>82</v>
      </c>
      <c r="M711" s="12" t="str" cm="1">
        <f t="array" ref="M71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711">
        <v>74</v>
      </c>
      <c r="O711" s="13" t="str" cm="1">
        <f t="array" ref="O71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711">
        <v>84</v>
      </c>
      <c r="Q711" s="13" t="str" cm="1">
        <f t="array" ref="Q71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711">
        <v>74</v>
      </c>
      <c r="S711" t="str" cm="1">
        <f t="array" ref="S71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711">
        <v>86</v>
      </c>
      <c r="U711" t="str" cm="1">
        <f t="array" ref="U71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711">
        <v>81</v>
      </c>
      <c r="W711" t="str" cm="1">
        <f t="array" ref="W71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711">
        <v>100</v>
      </c>
      <c r="Y711" t="str" cm="1">
        <f t="array" ref="Y71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711">
        <f>SUM(Table1[[#This Row],[Math 
Score]],Table1[[#This Row],[History 
Score]],Table1[[#This Row],[Physics 
Score]],Table1[[#This Row],[Chemistry 
Score]],Table1[[#This Row],[Biology 
Score]],Table1[[#This Row],[English 
Score]],Table1[[#This Row],[Geography 
Score]])</f>
        <v>581</v>
      </c>
      <c r="AA711" s="3">
        <f>AVERAGE(Table1[[#This Row],[Math 
Score]],Table1[[#This Row],[History 
Score]],Table1[[#This Row],[Physics 
Score]],Table1[[#This Row],[Chemistry 
Score]],Table1[[#This Row],[Biology 
Score]],Table1[[#This Row],[English 
Score]],Table1[[#This Row],[Geography 
Score]])</f>
        <v>83</v>
      </c>
      <c r="AB71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711">
        <f t="shared" si="11"/>
        <v>688</v>
      </c>
      <c r="AD711" t="str">
        <f>_xlfn.IFS(Table1[[#This Row],[Absence 
Days]]&lt;3,"Excellent",Table1[[#This Row],[Absence 
Days]]&lt;=6,"Good",Table1[[#This Row],[Absence 
Days]]&gt;6,"Poor")</f>
        <v>Poor</v>
      </c>
    </row>
    <row r="712" spans="1:30" x14ac:dyDescent="0.35">
      <c r="A712">
        <v>711</v>
      </c>
      <c r="B712" s="2" t="s">
        <v>296</v>
      </c>
      <c r="C712" t="s">
        <v>782</v>
      </c>
      <c r="D712" t="str">
        <f>_xlfn.TEXTJOIN(" ",TRUE,Table1[[#This Row],[First 
Name]:[Last 
Name]])</f>
        <v>Alejandra Johns</v>
      </c>
      <c r="E712" t="s">
        <v>1822</v>
      </c>
      <c r="F712" t="s">
        <v>3245</v>
      </c>
      <c r="G712" t="str">
        <f ca="1">PROPER(Table1[[#This Row],[Part Time 
Job]])</f>
        <v>False</v>
      </c>
      <c r="H712" s="3">
        <v>1</v>
      </c>
      <c r="I712" t="str">
        <f ca="1">PROPER(Table1[[#This Row],[Extracurricular 
Activities]])</f>
        <v>False</v>
      </c>
      <c r="J712">
        <v>31</v>
      </c>
      <c r="K712" t="s">
        <v>3123</v>
      </c>
      <c r="L712">
        <v>94</v>
      </c>
      <c r="M712" s="12" t="str" cm="1">
        <f t="array" ref="M71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712">
        <v>91</v>
      </c>
      <c r="O712" s="13" t="str" cm="1">
        <f t="array" ref="O71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712">
        <v>68</v>
      </c>
      <c r="Q712" s="13" t="str" cm="1">
        <f t="array" ref="Q71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712">
        <v>61</v>
      </c>
      <c r="S712" t="str" cm="1">
        <f t="array" ref="S71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712">
        <v>34</v>
      </c>
      <c r="U712" t="str" cm="1">
        <f t="array" ref="U71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F</v>
      </c>
      <c r="V712">
        <v>60</v>
      </c>
      <c r="W712" t="str" cm="1">
        <f t="array" ref="W71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712">
        <v>63</v>
      </c>
      <c r="Y712" t="str" cm="1">
        <f t="array" ref="Y71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712">
        <f>SUM(Table1[[#This Row],[Math 
Score]],Table1[[#This Row],[History 
Score]],Table1[[#This Row],[Physics 
Score]],Table1[[#This Row],[Chemistry 
Score]],Table1[[#This Row],[Biology 
Score]],Table1[[#This Row],[English 
Score]],Table1[[#This Row],[Geography 
Score]])</f>
        <v>471</v>
      </c>
      <c r="AA712" s="3">
        <f>AVERAGE(Table1[[#This Row],[Math 
Score]],Table1[[#This Row],[History 
Score]],Table1[[#This Row],[Physics 
Score]],Table1[[#This Row],[Chemistry 
Score]],Table1[[#This Row],[Biology 
Score]],Table1[[#This Row],[English 
Score]],Table1[[#This Row],[Geography 
Score]])</f>
        <v>67.285714285714292</v>
      </c>
      <c r="AB71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712">
        <f t="shared" si="11"/>
        <v>1957</v>
      </c>
      <c r="AD712" t="str">
        <f>_xlfn.IFS(Table1[[#This Row],[Absence 
Days]]&lt;3,"Excellent",Table1[[#This Row],[Absence 
Days]]&lt;=6,"Good",Table1[[#This Row],[Absence 
Days]]&gt;6,"Poor")</f>
        <v>Excellent</v>
      </c>
    </row>
    <row r="713" spans="1:30" x14ac:dyDescent="0.35">
      <c r="A713">
        <v>712</v>
      </c>
      <c r="B713" s="2" t="s">
        <v>229</v>
      </c>
      <c r="C713" t="s">
        <v>826</v>
      </c>
      <c r="D713" t="str">
        <f>_xlfn.TEXTJOIN(" ",TRUE,Table1[[#This Row],[First 
Name]:[Last 
Name]])</f>
        <v>Susan Long</v>
      </c>
      <c r="E713" t="s">
        <v>1823</v>
      </c>
      <c r="F713" t="s">
        <v>3245</v>
      </c>
      <c r="G713" t="str">
        <f ca="1">PROPER(Table1[[#This Row],[Part Time 
Job]])</f>
        <v>False</v>
      </c>
      <c r="H713" s="3">
        <v>7</v>
      </c>
      <c r="I713" t="str">
        <f ca="1">PROPER(Table1[[#This Row],[Extracurricular 
Activities]])</f>
        <v>False</v>
      </c>
      <c r="J713">
        <v>30</v>
      </c>
      <c r="K713" t="s">
        <v>3113</v>
      </c>
      <c r="L713">
        <v>93</v>
      </c>
      <c r="M713" s="12" t="str" cm="1">
        <f t="array" ref="M71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713">
        <v>73</v>
      </c>
      <c r="O713" s="13" t="str" cm="1">
        <f t="array" ref="O71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713">
        <v>97</v>
      </c>
      <c r="Q713" s="13" t="str" cm="1">
        <f t="array" ref="Q71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713">
        <v>89</v>
      </c>
      <c r="S713" t="str" cm="1">
        <f t="array" ref="S71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713">
        <v>88</v>
      </c>
      <c r="U713" t="str" cm="1">
        <f t="array" ref="U71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713">
        <v>63</v>
      </c>
      <c r="W713" t="str" cm="1">
        <f t="array" ref="W71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713">
        <v>70</v>
      </c>
      <c r="Y713" t="str" cm="1">
        <f t="array" ref="Y71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713">
        <f>SUM(Table1[[#This Row],[Math 
Score]],Table1[[#This Row],[History 
Score]],Table1[[#This Row],[Physics 
Score]],Table1[[#This Row],[Chemistry 
Score]],Table1[[#This Row],[Biology 
Score]],Table1[[#This Row],[English 
Score]],Table1[[#This Row],[Geography 
Score]])</f>
        <v>573</v>
      </c>
      <c r="AA713" s="3">
        <f>AVERAGE(Table1[[#This Row],[Math 
Score]],Table1[[#This Row],[History 
Score]],Table1[[#This Row],[Physics 
Score]],Table1[[#This Row],[Chemistry 
Score]],Table1[[#This Row],[Biology 
Score]],Table1[[#This Row],[English 
Score]],Table1[[#This Row],[Geography 
Score]])</f>
        <v>81.857142857142861</v>
      </c>
      <c r="AB71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713">
        <f t="shared" si="11"/>
        <v>864</v>
      </c>
      <c r="AD713" t="str">
        <f>_xlfn.IFS(Table1[[#This Row],[Absence 
Days]]&lt;3,"Excellent",Table1[[#This Row],[Absence 
Days]]&lt;=6,"Good",Table1[[#This Row],[Absence 
Days]]&gt;6,"Poor")</f>
        <v>Poor</v>
      </c>
    </row>
    <row r="714" spans="1:30" x14ac:dyDescent="0.35">
      <c r="A714">
        <v>713</v>
      </c>
      <c r="B714" s="2" t="s">
        <v>238</v>
      </c>
      <c r="C714" t="s">
        <v>194</v>
      </c>
      <c r="D714" t="str">
        <f>_xlfn.TEXTJOIN(" ",TRUE,Table1[[#This Row],[First 
Name]:[Last 
Name]])</f>
        <v>Sharon Allen</v>
      </c>
      <c r="E714" t="s">
        <v>1824</v>
      </c>
      <c r="F714" t="s">
        <v>3245</v>
      </c>
      <c r="G714" t="str">
        <f ca="1">PROPER(Table1[[#This Row],[Part Time 
Job]])</f>
        <v>False</v>
      </c>
      <c r="H714" s="3">
        <v>3</v>
      </c>
      <c r="I714" t="str">
        <f ca="1">PROPER(Table1[[#This Row],[Extracurricular 
Activities]])</f>
        <v>False</v>
      </c>
      <c r="J714">
        <v>17</v>
      </c>
      <c r="K714" t="s">
        <v>3118</v>
      </c>
      <c r="L714">
        <v>80</v>
      </c>
      <c r="M714" s="12" t="str" cm="1">
        <f t="array" ref="M71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714">
        <v>95</v>
      </c>
      <c r="O714" s="13" t="str" cm="1">
        <f t="array" ref="O71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714">
        <v>98</v>
      </c>
      <c r="Q714" s="13" t="str" cm="1">
        <f t="array" ref="Q71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714">
        <v>95</v>
      </c>
      <c r="S714" t="str" cm="1">
        <f t="array" ref="S71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714">
        <v>96</v>
      </c>
      <c r="U714" t="str" cm="1">
        <f t="array" ref="U71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714">
        <v>97</v>
      </c>
      <c r="W714" t="str" cm="1">
        <f t="array" ref="W71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714">
        <v>85</v>
      </c>
      <c r="Y714" t="str" cm="1">
        <f t="array" ref="Y71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714">
        <f>SUM(Table1[[#This Row],[Math 
Score]],Table1[[#This Row],[History 
Score]],Table1[[#This Row],[Physics 
Score]],Table1[[#This Row],[Chemistry 
Score]],Table1[[#This Row],[Biology 
Score]],Table1[[#This Row],[English 
Score]],Table1[[#This Row],[Geography 
Score]])</f>
        <v>646</v>
      </c>
      <c r="AA714" s="3">
        <f>AVERAGE(Table1[[#This Row],[Math 
Score]],Table1[[#This Row],[History 
Score]],Table1[[#This Row],[Physics 
Score]],Table1[[#This Row],[Chemistry 
Score]],Table1[[#This Row],[Biology 
Score]],Table1[[#This Row],[English 
Score]],Table1[[#This Row],[Geography 
Score]])</f>
        <v>92.285714285714292</v>
      </c>
      <c r="AB71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714">
        <f t="shared" si="11"/>
        <v>73</v>
      </c>
      <c r="AD714" t="str">
        <f>_xlfn.IFS(Table1[[#This Row],[Absence 
Days]]&lt;3,"Excellent",Table1[[#This Row],[Absence 
Days]]&lt;=6,"Good",Table1[[#This Row],[Absence 
Days]]&gt;6,"Poor")</f>
        <v>Good</v>
      </c>
    </row>
    <row r="715" spans="1:30" x14ac:dyDescent="0.35">
      <c r="A715">
        <v>714</v>
      </c>
      <c r="B715" s="2" t="s">
        <v>297</v>
      </c>
      <c r="C715" t="s">
        <v>527</v>
      </c>
      <c r="D715" t="str">
        <f>_xlfn.TEXTJOIN(" ",TRUE,Table1[[#This Row],[First 
Name]:[Last 
Name]])</f>
        <v>Leah Brown</v>
      </c>
      <c r="E715" t="s">
        <v>1825</v>
      </c>
      <c r="F715" t="s">
        <v>3245</v>
      </c>
      <c r="G715" t="str">
        <f ca="1">PROPER(Table1[[#This Row],[Part Time 
Job]])</f>
        <v>False</v>
      </c>
      <c r="H715" s="3">
        <v>10</v>
      </c>
      <c r="I715" t="str">
        <f ca="1">PROPER(Table1[[#This Row],[Extracurricular 
Activities]])</f>
        <v>False</v>
      </c>
      <c r="J715">
        <v>0</v>
      </c>
      <c r="K715" t="s">
        <v>3119</v>
      </c>
      <c r="L715">
        <v>55</v>
      </c>
      <c r="M715" s="12" t="str" cm="1">
        <f t="array" ref="M715">_xlfn.IFS(Table1[[#This Row],[Math 
Score]]&gt;=90,"A+",Table1[[#This Row],[Math 
Score]]&gt;=80,"A", Table1[[#This Row],[Math 
Score]]&gt;=75,"A-",Table1[[#This Row],[Math 
Score]]&gt;=70,"B+",Table1[[#This Row],[Math 
Score]]&gt;=65,"B",Table1[[#This Row],[Math 
Score]]&gt;=60,"B-",Table1[[#This Row],[Math 
Score]]&gt;=50,"C",Table1[[#This Row],[Math 
Score]]&gt;=40,"D",Table1[[#This Row],[Math 
Score]]&lt;40,"F")</f>
        <v>C</v>
      </c>
      <c r="N715">
        <v>99</v>
      </c>
      <c r="O715" s="13" t="str" cm="1">
        <f t="array" ref="O71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715">
        <v>71</v>
      </c>
      <c r="Q715" s="13" t="str" cm="1">
        <f t="array" ref="Q71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715">
        <v>94</v>
      </c>
      <c r="S715" t="str" cm="1">
        <f t="array" ref="S71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715">
        <v>69</v>
      </c>
      <c r="U715" t="str" cm="1">
        <f t="array" ref="U71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715">
        <v>87</v>
      </c>
      <c r="W715" t="str" cm="1">
        <f t="array" ref="W71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715">
        <v>84</v>
      </c>
      <c r="Y715" t="str" cm="1">
        <f t="array" ref="Y71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715">
        <f>SUM(Table1[[#This Row],[Math 
Score]],Table1[[#This Row],[History 
Score]],Table1[[#This Row],[Physics 
Score]],Table1[[#This Row],[Chemistry 
Score]],Table1[[#This Row],[Biology 
Score]],Table1[[#This Row],[English 
Score]],Table1[[#This Row],[Geography 
Score]])</f>
        <v>559</v>
      </c>
      <c r="AA715" s="3">
        <f>AVERAGE(Table1[[#This Row],[Math 
Score]],Table1[[#This Row],[History 
Score]],Table1[[#This Row],[Physics 
Score]],Table1[[#This Row],[Chemistry 
Score]],Table1[[#This Row],[Biology 
Score]],Table1[[#This Row],[English 
Score]],Table1[[#This Row],[Geography 
Score]])</f>
        <v>79.857142857142861</v>
      </c>
      <c r="AB71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715">
        <f t="shared" si="11"/>
        <v>1155</v>
      </c>
      <c r="AD715" t="str">
        <f>_xlfn.IFS(Table1[[#This Row],[Absence 
Days]]&lt;3,"Excellent",Table1[[#This Row],[Absence 
Days]]&lt;=6,"Good",Table1[[#This Row],[Absence 
Days]]&gt;6,"Poor")</f>
        <v>Poor</v>
      </c>
    </row>
    <row r="716" spans="1:30" x14ac:dyDescent="0.35">
      <c r="A716">
        <v>715</v>
      </c>
      <c r="B716" s="2" t="s">
        <v>244</v>
      </c>
      <c r="C716" t="s">
        <v>827</v>
      </c>
      <c r="D716" t="str">
        <f>_xlfn.TEXTJOIN(" ",TRUE,Table1[[#This Row],[First 
Name]:[Last 
Name]])</f>
        <v>Maria Barker</v>
      </c>
      <c r="E716" t="s">
        <v>1826</v>
      </c>
      <c r="F716" t="s">
        <v>3245</v>
      </c>
      <c r="G716" t="str">
        <f ca="1">PROPER(Table1[[#This Row],[Part Time 
Job]])</f>
        <v>True</v>
      </c>
      <c r="H716" s="3">
        <v>2</v>
      </c>
      <c r="I716" t="str">
        <f ca="1">PROPER(Table1[[#This Row],[Extracurricular 
Activities]])</f>
        <v>False</v>
      </c>
      <c r="J716">
        <v>10</v>
      </c>
      <c r="K716" t="s">
        <v>3114</v>
      </c>
      <c r="L716">
        <v>94</v>
      </c>
      <c r="M716" s="12" t="str" cm="1">
        <f t="array" ref="M71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716">
        <v>71</v>
      </c>
      <c r="O716" s="13" t="str" cm="1">
        <f t="array" ref="O71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716">
        <v>83</v>
      </c>
      <c r="Q716" s="13" t="str" cm="1">
        <f t="array" ref="Q71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716">
        <v>76</v>
      </c>
      <c r="S716" t="str" cm="1">
        <f t="array" ref="S71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716">
        <v>99</v>
      </c>
      <c r="U716" t="str" cm="1">
        <f t="array" ref="U71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716">
        <v>95</v>
      </c>
      <c r="W716" t="str" cm="1">
        <f t="array" ref="W71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716">
        <v>94</v>
      </c>
      <c r="Y716" t="str" cm="1">
        <f t="array" ref="Y71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716">
        <f>SUM(Table1[[#This Row],[Math 
Score]],Table1[[#This Row],[History 
Score]],Table1[[#This Row],[Physics 
Score]],Table1[[#This Row],[Chemistry 
Score]],Table1[[#This Row],[Biology 
Score]],Table1[[#This Row],[English 
Score]],Table1[[#This Row],[Geography 
Score]])</f>
        <v>612</v>
      </c>
      <c r="AA716" s="3">
        <f>AVERAGE(Table1[[#This Row],[Math 
Score]],Table1[[#This Row],[History 
Score]],Table1[[#This Row],[Physics 
Score]],Table1[[#This Row],[Chemistry 
Score]],Table1[[#This Row],[Biology 
Score]],Table1[[#This Row],[English 
Score]],Table1[[#This Row],[Geography 
Score]])</f>
        <v>87.428571428571431</v>
      </c>
      <c r="AB71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716">
        <f t="shared" si="11"/>
        <v>283</v>
      </c>
      <c r="AD716" t="str">
        <f>_xlfn.IFS(Table1[[#This Row],[Absence 
Days]]&lt;3,"Excellent",Table1[[#This Row],[Absence 
Days]]&lt;=6,"Good",Table1[[#This Row],[Absence 
Days]]&gt;6,"Poor")</f>
        <v>Excellent</v>
      </c>
    </row>
    <row r="717" spans="1:30" x14ac:dyDescent="0.35">
      <c r="A717">
        <v>716</v>
      </c>
      <c r="B717" s="2" t="s">
        <v>5</v>
      </c>
      <c r="C717" t="s">
        <v>828</v>
      </c>
      <c r="D717" t="str">
        <f>_xlfn.TEXTJOIN(" ",TRUE,Table1[[#This Row],[First 
Name]:[Last 
Name]])</f>
        <v>Kelly Church</v>
      </c>
      <c r="E717" t="s">
        <v>1827</v>
      </c>
      <c r="F717" t="s">
        <v>3245</v>
      </c>
      <c r="G717" t="str">
        <f ca="1">PROPER(Table1[[#This Row],[Part Time 
Job]])</f>
        <v>False</v>
      </c>
      <c r="H717" s="3">
        <v>2</v>
      </c>
      <c r="I717" t="str">
        <f ca="1">PROPER(Table1[[#This Row],[Extracurricular 
Activities]])</f>
        <v>False</v>
      </c>
      <c r="J717">
        <v>22</v>
      </c>
      <c r="K717" t="s">
        <v>3122</v>
      </c>
      <c r="L717">
        <v>72</v>
      </c>
      <c r="M717" s="12" t="str" cm="1">
        <f t="array" ref="M717">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717">
        <v>72</v>
      </c>
      <c r="O717" s="13" t="str" cm="1">
        <f t="array" ref="O71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717">
        <v>85</v>
      </c>
      <c r="Q717" s="13" t="str" cm="1">
        <f t="array" ref="Q71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717">
        <v>90</v>
      </c>
      <c r="S717" t="str" cm="1">
        <f t="array" ref="S71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717">
        <v>75</v>
      </c>
      <c r="U717" t="str" cm="1">
        <f t="array" ref="U71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717">
        <v>94</v>
      </c>
      <c r="W717" t="str" cm="1">
        <f t="array" ref="W71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717">
        <v>65</v>
      </c>
      <c r="Y717" t="str" cm="1">
        <f t="array" ref="Y71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717">
        <f>SUM(Table1[[#This Row],[Math 
Score]],Table1[[#This Row],[History 
Score]],Table1[[#This Row],[Physics 
Score]],Table1[[#This Row],[Chemistry 
Score]],Table1[[#This Row],[Biology 
Score]],Table1[[#This Row],[English 
Score]],Table1[[#This Row],[Geography 
Score]])</f>
        <v>553</v>
      </c>
      <c r="AA717" s="3">
        <f>AVERAGE(Table1[[#This Row],[Math 
Score]],Table1[[#This Row],[History 
Score]],Table1[[#This Row],[Physics 
Score]],Table1[[#This Row],[Chemistry 
Score]],Table1[[#This Row],[Biology 
Score]],Table1[[#This Row],[English 
Score]],Table1[[#This Row],[Geography 
Score]])</f>
        <v>79</v>
      </c>
      <c r="AB71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717">
        <f t="shared" si="11"/>
        <v>1284</v>
      </c>
      <c r="AD717" t="str">
        <f>_xlfn.IFS(Table1[[#This Row],[Absence 
Days]]&lt;3,"Excellent",Table1[[#This Row],[Absence 
Days]]&lt;=6,"Good",Table1[[#This Row],[Absence 
Days]]&gt;6,"Poor")</f>
        <v>Excellent</v>
      </c>
    </row>
    <row r="718" spans="1:30" x14ac:dyDescent="0.35">
      <c r="A718">
        <v>717</v>
      </c>
      <c r="B718" s="2" t="s">
        <v>34</v>
      </c>
      <c r="C718" t="s">
        <v>829</v>
      </c>
      <c r="D718" t="str">
        <f>_xlfn.TEXTJOIN(" ",TRUE,Table1[[#This Row],[First 
Name]:[Last 
Name]])</f>
        <v>Michael Walsh</v>
      </c>
      <c r="E718" t="s">
        <v>1828</v>
      </c>
      <c r="F718" t="s">
        <v>3244</v>
      </c>
      <c r="G718" t="str">
        <f ca="1">PROPER(Table1[[#This Row],[Part Time 
Job]])</f>
        <v>False</v>
      </c>
      <c r="H718" s="3">
        <v>3</v>
      </c>
      <c r="I718" t="str">
        <f ca="1">PROPER(Table1[[#This Row],[Extracurricular 
Activities]])</f>
        <v>False</v>
      </c>
      <c r="J718">
        <v>16</v>
      </c>
      <c r="K718" t="s">
        <v>3117</v>
      </c>
      <c r="L718">
        <v>98</v>
      </c>
      <c r="M718" s="12" t="str" cm="1">
        <f t="array" ref="M71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718">
        <v>89</v>
      </c>
      <c r="O718" s="13" t="str" cm="1">
        <f t="array" ref="O71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718">
        <v>75</v>
      </c>
      <c r="Q718" s="13" t="str" cm="1">
        <f t="array" ref="Q71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718">
        <v>68</v>
      </c>
      <c r="S718" t="str" cm="1">
        <f t="array" ref="S71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718">
        <v>87</v>
      </c>
      <c r="U718" t="str" cm="1">
        <f t="array" ref="U71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718">
        <v>69</v>
      </c>
      <c r="W718" t="str" cm="1">
        <f t="array" ref="W71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718">
        <v>96</v>
      </c>
      <c r="Y718" t="str" cm="1">
        <f t="array" ref="Y71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718">
        <f>SUM(Table1[[#This Row],[Math 
Score]],Table1[[#This Row],[History 
Score]],Table1[[#This Row],[Physics 
Score]],Table1[[#This Row],[Chemistry 
Score]],Table1[[#This Row],[Biology 
Score]],Table1[[#This Row],[English 
Score]],Table1[[#This Row],[Geography 
Score]])</f>
        <v>582</v>
      </c>
      <c r="AA718" s="3">
        <f>AVERAGE(Table1[[#This Row],[Math 
Score]],Table1[[#This Row],[History 
Score]],Table1[[#This Row],[Physics 
Score]],Table1[[#This Row],[Chemistry 
Score]],Table1[[#This Row],[Biology 
Score]],Table1[[#This Row],[English 
Score]],Table1[[#This Row],[Geography 
Score]])</f>
        <v>83.142857142857139</v>
      </c>
      <c r="AB71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718">
        <f t="shared" si="11"/>
        <v>670</v>
      </c>
      <c r="AD718" t="str">
        <f>_xlfn.IFS(Table1[[#This Row],[Absence 
Days]]&lt;3,"Excellent",Table1[[#This Row],[Absence 
Days]]&lt;=6,"Good",Table1[[#This Row],[Absence 
Days]]&gt;6,"Poor")</f>
        <v>Good</v>
      </c>
    </row>
    <row r="719" spans="1:30" x14ac:dyDescent="0.35">
      <c r="A719">
        <v>718</v>
      </c>
      <c r="B719" s="2" t="s">
        <v>91</v>
      </c>
      <c r="C719" t="s">
        <v>741</v>
      </c>
      <c r="D719" t="str">
        <f>_xlfn.TEXTJOIN(" ",TRUE,Table1[[#This Row],[First 
Name]:[Last 
Name]])</f>
        <v>Alyssa Gallagher</v>
      </c>
      <c r="E719" t="s">
        <v>1829</v>
      </c>
      <c r="F719" t="s">
        <v>3245</v>
      </c>
      <c r="G719" t="str">
        <f ca="1">PROPER(Table1[[#This Row],[Part Time 
Job]])</f>
        <v>False</v>
      </c>
      <c r="H719" s="3">
        <v>2</v>
      </c>
      <c r="I719" t="str">
        <f ca="1">PROPER(Table1[[#This Row],[Extracurricular 
Activities]])</f>
        <v>False</v>
      </c>
      <c r="J719">
        <v>11</v>
      </c>
      <c r="K719" t="s">
        <v>3116</v>
      </c>
      <c r="L719">
        <v>71</v>
      </c>
      <c r="M719" s="12" t="str" cm="1">
        <f t="array" ref="M719">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719">
        <v>98</v>
      </c>
      <c r="O719" s="13" t="str" cm="1">
        <f t="array" ref="O71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719">
        <v>66</v>
      </c>
      <c r="Q719" s="13" t="str" cm="1">
        <f t="array" ref="Q71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719">
        <v>65</v>
      </c>
      <c r="S719" t="str" cm="1">
        <f t="array" ref="S71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719">
        <v>78</v>
      </c>
      <c r="U719" t="str" cm="1">
        <f t="array" ref="U71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719">
        <v>81</v>
      </c>
      <c r="W719" t="str" cm="1">
        <f t="array" ref="W71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719">
        <v>82</v>
      </c>
      <c r="Y719" t="str" cm="1">
        <f t="array" ref="Y71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719">
        <f>SUM(Table1[[#This Row],[Math 
Score]],Table1[[#This Row],[History 
Score]],Table1[[#This Row],[Physics 
Score]],Table1[[#This Row],[Chemistry 
Score]],Table1[[#This Row],[Biology 
Score]],Table1[[#This Row],[English 
Score]],Table1[[#This Row],[Geography 
Score]])</f>
        <v>541</v>
      </c>
      <c r="AA719" s="3">
        <f>AVERAGE(Table1[[#This Row],[Math 
Score]],Table1[[#This Row],[History 
Score]],Table1[[#This Row],[Physics 
Score]],Table1[[#This Row],[Chemistry 
Score]],Table1[[#This Row],[Biology 
Score]],Table1[[#This Row],[English 
Score]],Table1[[#This Row],[Geography 
Score]])</f>
        <v>77.285714285714292</v>
      </c>
      <c r="AB71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719">
        <f t="shared" si="11"/>
        <v>1493</v>
      </c>
      <c r="AD719" t="str">
        <f>_xlfn.IFS(Table1[[#This Row],[Absence 
Days]]&lt;3,"Excellent",Table1[[#This Row],[Absence 
Days]]&lt;=6,"Good",Table1[[#This Row],[Absence 
Days]]&gt;6,"Poor")</f>
        <v>Excellent</v>
      </c>
    </row>
    <row r="720" spans="1:30" x14ac:dyDescent="0.35">
      <c r="A720">
        <v>719</v>
      </c>
      <c r="B720" s="2" t="s">
        <v>5</v>
      </c>
      <c r="C720" t="s">
        <v>606</v>
      </c>
      <c r="D720" t="str">
        <f>_xlfn.TEXTJOIN(" ",TRUE,Table1[[#This Row],[First 
Name]:[Last 
Name]])</f>
        <v>Kelly Morris</v>
      </c>
      <c r="E720" t="s">
        <v>1830</v>
      </c>
      <c r="F720" t="s">
        <v>3245</v>
      </c>
      <c r="G720" t="str">
        <f ca="1">PROPER(Table1[[#This Row],[Part Time 
Job]])</f>
        <v>False</v>
      </c>
      <c r="H720" s="3">
        <v>3</v>
      </c>
      <c r="I720" t="str">
        <f ca="1">PROPER(Table1[[#This Row],[Extracurricular 
Activities]])</f>
        <v>False</v>
      </c>
      <c r="J720">
        <v>35</v>
      </c>
      <c r="K720" t="s">
        <v>3117</v>
      </c>
      <c r="L720">
        <v>99</v>
      </c>
      <c r="M720" s="12" t="str" cm="1">
        <f t="array" ref="M72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720">
        <v>95</v>
      </c>
      <c r="O720" s="13" t="str" cm="1">
        <f t="array" ref="O72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720">
        <v>89</v>
      </c>
      <c r="Q720" s="13" t="str" cm="1">
        <f t="array" ref="Q72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720">
        <v>90</v>
      </c>
      <c r="S720" t="str" cm="1">
        <f t="array" ref="S72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720">
        <v>95</v>
      </c>
      <c r="U720" t="str" cm="1">
        <f t="array" ref="U72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720">
        <v>98</v>
      </c>
      <c r="W720" t="str" cm="1">
        <f t="array" ref="W72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720">
        <v>99</v>
      </c>
      <c r="Y720" t="str" cm="1">
        <f t="array" ref="Y72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720">
        <f>SUM(Table1[[#This Row],[Math 
Score]],Table1[[#This Row],[History 
Score]],Table1[[#This Row],[Physics 
Score]],Table1[[#This Row],[Chemistry 
Score]],Table1[[#This Row],[Biology 
Score]],Table1[[#This Row],[English 
Score]],Table1[[#This Row],[Geography 
Score]])</f>
        <v>665</v>
      </c>
      <c r="AA720" s="3">
        <f>AVERAGE(Table1[[#This Row],[Math 
Score]],Table1[[#This Row],[History 
Score]],Table1[[#This Row],[Physics 
Score]],Table1[[#This Row],[Chemistry 
Score]],Table1[[#This Row],[Biology 
Score]],Table1[[#This Row],[English 
Score]],Table1[[#This Row],[Geography 
Score]])</f>
        <v>95</v>
      </c>
      <c r="AB72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720">
        <f t="shared" si="11"/>
        <v>9</v>
      </c>
      <c r="AD720" t="str">
        <f>_xlfn.IFS(Table1[[#This Row],[Absence 
Days]]&lt;3,"Excellent",Table1[[#This Row],[Absence 
Days]]&lt;=6,"Good",Table1[[#This Row],[Absence 
Days]]&gt;6,"Poor")</f>
        <v>Good</v>
      </c>
    </row>
    <row r="721" spans="1:30" x14ac:dyDescent="0.35">
      <c r="A721">
        <v>720</v>
      </c>
      <c r="B721" s="2" t="s">
        <v>33</v>
      </c>
      <c r="C721" t="s">
        <v>527</v>
      </c>
      <c r="D721" t="str">
        <f>_xlfn.TEXTJOIN(" ",TRUE,Table1[[#This Row],[First 
Name]:[Last 
Name]])</f>
        <v>Ryan Brown</v>
      </c>
      <c r="E721" t="s">
        <v>1831</v>
      </c>
      <c r="F721" t="s">
        <v>3244</v>
      </c>
      <c r="G721" t="str">
        <f ca="1">PROPER(Table1[[#This Row],[Part Time 
Job]])</f>
        <v>False</v>
      </c>
      <c r="H721" s="3">
        <v>1</v>
      </c>
      <c r="I721" t="str">
        <f ca="1">PROPER(Table1[[#This Row],[Extracurricular 
Activities]])</f>
        <v>False</v>
      </c>
      <c r="J721">
        <v>25</v>
      </c>
      <c r="K721" t="s">
        <v>3127</v>
      </c>
      <c r="L721">
        <v>97</v>
      </c>
      <c r="M721" s="12" t="str" cm="1">
        <f t="array" ref="M72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721">
        <v>67</v>
      </c>
      <c r="O721" s="13" t="str" cm="1">
        <f t="array" ref="O72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721">
        <v>86</v>
      </c>
      <c r="Q721" s="13" t="str" cm="1">
        <f t="array" ref="Q72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721">
        <v>95</v>
      </c>
      <c r="S721" t="str" cm="1">
        <f t="array" ref="S72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721">
        <v>65</v>
      </c>
      <c r="U721" t="str" cm="1">
        <f t="array" ref="U72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721">
        <v>91</v>
      </c>
      <c r="W721" t="str" cm="1">
        <f t="array" ref="W72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721">
        <v>76</v>
      </c>
      <c r="Y721" t="str" cm="1">
        <f t="array" ref="Y72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721">
        <f>SUM(Table1[[#This Row],[Math 
Score]],Table1[[#This Row],[History 
Score]],Table1[[#This Row],[Physics 
Score]],Table1[[#This Row],[Chemistry 
Score]],Table1[[#This Row],[Biology 
Score]],Table1[[#This Row],[English 
Score]],Table1[[#This Row],[Geography 
Score]])</f>
        <v>577</v>
      </c>
      <c r="AA721" s="3">
        <f>AVERAGE(Table1[[#This Row],[Math 
Score]],Table1[[#This Row],[History 
Score]],Table1[[#This Row],[Physics 
Score]],Table1[[#This Row],[Chemistry 
Score]],Table1[[#This Row],[Biology 
Score]],Table1[[#This Row],[English 
Score]],Table1[[#This Row],[Geography 
Score]])</f>
        <v>82.428571428571431</v>
      </c>
      <c r="AB72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721">
        <f t="shared" si="11"/>
        <v>769</v>
      </c>
      <c r="AD721" t="str">
        <f>_xlfn.IFS(Table1[[#This Row],[Absence 
Days]]&lt;3,"Excellent",Table1[[#This Row],[Absence 
Days]]&lt;=6,"Good",Table1[[#This Row],[Absence 
Days]]&gt;6,"Poor")</f>
        <v>Excellent</v>
      </c>
    </row>
    <row r="722" spans="1:30" x14ac:dyDescent="0.35">
      <c r="A722">
        <v>721</v>
      </c>
      <c r="B722" s="2" t="s">
        <v>244</v>
      </c>
      <c r="C722" t="s">
        <v>662</v>
      </c>
      <c r="D722" t="str">
        <f>_xlfn.TEXTJOIN(" ",TRUE,Table1[[#This Row],[First 
Name]:[Last 
Name]])</f>
        <v>Maria Hall</v>
      </c>
      <c r="E722" t="s">
        <v>1832</v>
      </c>
      <c r="F722" t="s">
        <v>3245</v>
      </c>
      <c r="G722" t="str">
        <f ca="1">PROPER(Table1[[#This Row],[Part Time 
Job]])</f>
        <v>False</v>
      </c>
      <c r="H722" s="3">
        <v>9</v>
      </c>
      <c r="I722" t="str">
        <f ca="1">PROPER(Table1[[#This Row],[Extracurricular 
Activities]])</f>
        <v>False</v>
      </c>
      <c r="J722">
        <v>5</v>
      </c>
      <c r="K722" t="s">
        <v>3119</v>
      </c>
      <c r="L722">
        <v>85</v>
      </c>
      <c r="M722" s="12" t="str" cm="1">
        <f t="array" ref="M72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722">
        <v>64</v>
      </c>
      <c r="O722" s="13" t="str" cm="1">
        <f t="array" ref="O72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722">
        <v>99</v>
      </c>
      <c r="Q722" s="13" t="str" cm="1">
        <f t="array" ref="Q72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722">
        <v>93</v>
      </c>
      <c r="S722" t="str" cm="1">
        <f t="array" ref="S72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722">
        <v>89</v>
      </c>
      <c r="U722" t="str" cm="1">
        <f t="array" ref="U72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722">
        <v>61</v>
      </c>
      <c r="W722" t="str" cm="1">
        <f t="array" ref="W72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722">
        <v>67</v>
      </c>
      <c r="Y722" t="str" cm="1">
        <f t="array" ref="Y72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722">
        <f>SUM(Table1[[#This Row],[Math 
Score]],Table1[[#This Row],[History 
Score]],Table1[[#This Row],[Physics 
Score]],Table1[[#This Row],[Chemistry 
Score]],Table1[[#This Row],[Biology 
Score]],Table1[[#This Row],[English 
Score]],Table1[[#This Row],[Geography 
Score]])</f>
        <v>558</v>
      </c>
      <c r="AA722" s="3">
        <f>AVERAGE(Table1[[#This Row],[Math 
Score]],Table1[[#This Row],[History 
Score]],Table1[[#This Row],[Physics 
Score]],Table1[[#This Row],[Chemistry 
Score]],Table1[[#This Row],[Biology 
Score]],Table1[[#This Row],[English 
Score]],Table1[[#This Row],[Geography 
Score]])</f>
        <v>79.714285714285708</v>
      </c>
      <c r="AB72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722">
        <f t="shared" si="11"/>
        <v>1178</v>
      </c>
      <c r="AD722" t="str">
        <f>_xlfn.IFS(Table1[[#This Row],[Absence 
Days]]&lt;3,"Excellent",Table1[[#This Row],[Absence 
Days]]&lt;=6,"Good",Table1[[#This Row],[Absence 
Days]]&gt;6,"Poor")</f>
        <v>Poor</v>
      </c>
    </row>
    <row r="723" spans="1:30" x14ac:dyDescent="0.35">
      <c r="A723">
        <v>722</v>
      </c>
      <c r="B723" s="2" t="s">
        <v>109</v>
      </c>
      <c r="C723" t="s">
        <v>527</v>
      </c>
      <c r="D723" t="str">
        <f>_xlfn.TEXTJOIN(" ",TRUE,Table1[[#This Row],[First 
Name]:[Last 
Name]])</f>
        <v>Mark Brown</v>
      </c>
      <c r="E723" t="s">
        <v>1833</v>
      </c>
      <c r="F723" t="s">
        <v>3244</v>
      </c>
      <c r="G723" t="str">
        <f ca="1">PROPER(Table1[[#This Row],[Part Time 
Job]])</f>
        <v>False</v>
      </c>
      <c r="H723" s="3">
        <v>2</v>
      </c>
      <c r="I723" t="str">
        <f ca="1">PROPER(Table1[[#This Row],[Extracurricular 
Activities]])</f>
        <v>True</v>
      </c>
      <c r="J723">
        <v>35</v>
      </c>
      <c r="K723" t="s">
        <v>3116</v>
      </c>
      <c r="L723">
        <v>100</v>
      </c>
      <c r="M723" s="12" t="str" cm="1">
        <f t="array" ref="M72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723">
        <v>88</v>
      </c>
      <c r="O723" s="13" t="str" cm="1">
        <f t="array" ref="O72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723">
        <v>98</v>
      </c>
      <c r="Q723" s="13" t="str" cm="1">
        <f t="array" ref="Q72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723">
        <v>90</v>
      </c>
      <c r="S723" t="str" cm="1">
        <f t="array" ref="S72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723">
        <v>93</v>
      </c>
      <c r="U723" t="str" cm="1">
        <f t="array" ref="U72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723">
        <v>95</v>
      </c>
      <c r="W723" t="str" cm="1">
        <f t="array" ref="W72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723">
        <v>98</v>
      </c>
      <c r="Y723" t="str" cm="1">
        <f t="array" ref="Y72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723">
        <f>SUM(Table1[[#This Row],[Math 
Score]],Table1[[#This Row],[History 
Score]],Table1[[#This Row],[Physics 
Score]],Table1[[#This Row],[Chemistry 
Score]],Table1[[#This Row],[Biology 
Score]],Table1[[#This Row],[English 
Score]],Table1[[#This Row],[Geography 
Score]])</f>
        <v>662</v>
      </c>
      <c r="AA723" s="3">
        <f>AVERAGE(Table1[[#This Row],[Math 
Score]],Table1[[#This Row],[History 
Score]],Table1[[#This Row],[Physics 
Score]],Table1[[#This Row],[Chemistry 
Score]],Table1[[#This Row],[Biology 
Score]],Table1[[#This Row],[English 
Score]],Table1[[#This Row],[Geography 
Score]])</f>
        <v>94.571428571428569</v>
      </c>
      <c r="AB72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723">
        <f t="shared" si="11"/>
        <v>13</v>
      </c>
      <c r="AD723" t="str">
        <f>_xlfn.IFS(Table1[[#This Row],[Absence 
Days]]&lt;3,"Excellent",Table1[[#This Row],[Absence 
Days]]&lt;=6,"Good",Table1[[#This Row],[Absence 
Days]]&gt;6,"Poor")</f>
        <v>Excellent</v>
      </c>
    </row>
    <row r="724" spans="1:30" x14ac:dyDescent="0.35">
      <c r="A724">
        <v>723</v>
      </c>
      <c r="B724" s="2" t="s">
        <v>75</v>
      </c>
      <c r="C724" t="s">
        <v>830</v>
      </c>
      <c r="D724" t="str">
        <f>_xlfn.TEXTJOIN(" ",TRUE,Table1[[#This Row],[First 
Name]:[Last 
Name]])</f>
        <v>William Kerr</v>
      </c>
      <c r="E724" t="s">
        <v>1834</v>
      </c>
      <c r="F724" t="s">
        <v>3244</v>
      </c>
      <c r="G724" t="str">
        <f ca="1">PROPER(Table1[[#This Row],[Part Time 
Job]])</f>
        <v>False</v>
      </c>
      <c r="H724" s="3">
        <v>4</v>
      </c>
      <c r="I724" t="str">
        <f ca="1">PROPER(Table1[[#This Row],[Extracurricular 
Activities]])</f>
        <v>False</v>
      </c>
      <c r="J724">
        <v>15</v>
      </c>
      <c r="K724" t="s">
        <v>3121</v>
      </c>
      <c r="L724">
        <v>89</v>
      </c>
      <c r="M724" s="12" t="str" cm="1">
        <f t="array" ref="M72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724">
        <v>63</v>
      </c>
      <c r="O724" s="13" t="str" cm="1">
        <f t="array" ref="O72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724">
        <v>73</v>
      </c>
      <c r="Q724" s="13" t="str" cm="1">
        <f t="array" ref="Q72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724">
        <v>83</v>
      </c>
      <c r="S724" t="str" cm="1">
        <f t="array" ref="S72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724">
        <v>74</v>
      </c>
      <c r="U724" t="str" cm="1">
        <f t="array" ref="U72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724">
        <v>91</v>
      </c>
      <c r="W724" t="str" cm="1">
        <f t="array" ref="W72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724">
        <v>83</v>
      </c>
      <c r="Y724" t="str" cm="1">
        <f t="array" ref="Y72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724">
        <f>SUM(Table1[[#This Row],[Math 
Score]],Table1[[#This Row],[History 
Score]],Table1[[#This Row],[Physics 
Score]],Table1[[#This Row],[Chemistry 
Score]],Table1[[#This Row],[Biology 
Score]],Table1[[#This Row],[English 
Score]],Table1[[#This Row],[Geography 
Score]])</f>
        <v>556</v>
      </c>
      <c r="AA724" s="3">
        <f>AVERAGE(Table1[[#This Row],[Math 
Score]],Table1[[#This Row],[History 
Score]],Table1[[#This Row],[Physics 
Score]],Table1[[#This Row],[Chemistry 
Score]],Table1[[#This Row],[Biology 
Score]],Table1[[#This Row],[English 
Score]],Table1[[#This Row],[Geography 
Score]])</f>
        <v>79.428571428571431</v>
      </c>
      <c r="AB72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724">
        <f t="shared" si="11"/>
        <v>1224</v>
      </c>
      <c r="AD724" t="str">
        <f>_xlfn.IFS(Table1[[#This Row],[Absence 
Days]]&lt;3,"Excellent",Table1[[#This Row],[Absence 
Days]]&lt;=6,"Good",Table1[[#This Row],[Absence 
Days]]&gt;6,"Poor")</f>
        <v>Good</v>
      </c>
    </row>
    <row r="725" spans="1:30" x14ac:dyDescent="0.35">
      <c r="A725">
        <v>724</v>
      </c>
      <c r="B725" s="2" t="s">
        <v>298</v>
      </c>
      <c r="C725" t="s">
        <v>542</v>
      </c>
      <c r="D725" t="str">
        <f>_xlfn.TEXTJOIN(" ",TRUE,Table1[[#This Row],[First 
Name]:[Last 
Name]])</f>
        <v>Jake Gonzalez</v>
      </c>
      <c r="E725" t="s">
        <v>1835</v>
      </c>
      <c r="F725" t="s">
        <v>3244</v>
      </c>
      <c r="G725" t="str">
        <f ca="1">PROPER(Table1[[#This Row],[Part Time 
Job]])</f>
        <v>False</v>
      </c>
      <c r="H725" s="3">
        <v>4</v>
      </c>
      <c r="I725" t="str">
        <f ca="1">PROPER(Table1[[#This Row],[Extracurricular 
Activities]])</f>
        <v>True</v>
      </c>
      <c r="J725">
        <v>21</v>
      </c>
      <c r="K725" t="s">
        <v>3121</v>
      </c>
      <c r="L725">
        <v>76</v>
      </c>
      <c r="M725" s="12" t="str" cm="1">
        <f t="array" ref="M72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725">
        <v>87</v>
      </c>
      <c r="O725" s="13" t="str" cm="1">
        <f t="array" ref="O72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725">
        <v>63</v>
      </c>
      <c r="Q725" s="13" t="str" cm="1">
        <f t="array" ref="Q72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725">
        <v>92</v>
      </c>
      <c r="S725" t="str" cm="1">
        <f t="array" ref="S72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725">
        <v>93</v>
      </c>
      <c r="U725" t="str" cm="1">
        <f t="array" ref="U72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725">
        <v>87</v>
      </c>
      <c r="W725" t="str" cm="1">
        <f t="array" ref="W72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725">
        <v>88</v>
      </c>
      <c r="Y725" t="str" cm="1">
        <f t="array" ref="Y72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725">
        <f>SUM(Table1[[#This Row],[Math 
Score]],Table1[[#This Row],[History 
Score]],Table1[[#This Row],[Physics 
Score]],Table1[[#This Row],[Chemistry 
Score]],Table1[[#This Row],[Biology 
Score]],Table1[[#This Row],[English 
Score]],Table1[[#This Row],[Geography 
Score]])</f>
        <v>586</v>
      </c>
      <c r="AA725" s="3">
        <f>AVERAGE(Table1[[#This Row],[Math 
Score]],Table1[[#This Row],[History 
Score]],Table1[[#This Row],[Physics 
Score]],Table1[[#This Row],[Chemistry 
Score]],Table1[[#This Row],[Biology 
Score]],Table1[[#This Row],[English 
Score]],Table1[[#This Row],[Geography 
Score]])</f>
        <v>83.714285714285708</v>
      </c>
      <c r="AB72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725">
        <f t="shared" si="11"/>
        <v>601</v>
      </c>
      <c r="AD725" t="str">
        <f>_xlfn.IFS(Table1[[#This Row],[Absence 
Days]]&lt;3,"Excellent",Table1[[#This Row],[Absence 
Days]]&lt;=6,"Good",Table1[[#This Row],[Absence 
Days]]&gt;6,"Poor")</f>
        <v>Good</v>
      </c>
    </row>
    <row r="726" spans="1:30" x14ac:dyDescent="0.35">
      <c r="A726">
        <v>725</v>
      </c>
      <c r="B726" s="2" t="s">
        <v>148</v>
      </c>
      <c r="C726" t="s">
        <v>565</v>
      </c>
      <c r="D726" t="str">
        <f>_xlfn.TEXTJOIN(" ",TRUE,Table1[[#This Row],[First 
Name]:[Last 
Name]])</f>
        <v>Theresa Gray</v>
      </c>
      <c r="E726" t="s">
        <v>1836</v>
      </c>
      <c r="F726" t="s">
        <v>3245</v>
      </c>
      <c r="G726" t="str">
        <f ca="1">PROPER(Table1[[#This Row],[Part Time 
Job]])</f>
        <v>False</v>
      </c>
      <c r="H726" s="3">
        <v>2</v>
      </c>
      <c r="I726" t="str">
        <f ca="1">PROPER(Table1[[#This Row],[Extracurricular 
Activities]])</f>
        <v>False</v>
      </c>
      <c r="J726">
        <v>3</v>
      </c>
      <c r="K726" t="s">
        <v>3124</v>
      </c>
      <c r="L726">
        <v>100</v>
      </c>
      <c r="M726" s="12" t="str" cm="1">
        <f t="array" ref="M72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726">
        <v>68</v>
      </c>
      <c r="O726" s="13" t="str" cm="1">
        <f t="array" ref="O72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726">
        <v>80</v>
      </c>
      <c r="Q726" s="13" t="str" cm="1">
        <f t="array" ref="Q72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726">
        <v>75</v>
      </c>
      <c r="S726" t="str" cm="1">
        <f t="array" ref="S72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726">
        <v>85</v>
      </c>
      <c r="U726" t="str" cm="1">
        <f t="array" ref="U72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726">
        <v>82</v>
      </c>
      <c r="W726" t="str" cm="1">
        <f t="array" ref="W72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726">
        <v>85</v>
      </c>
      <c r="Y726" t="str" cm="1">
        <f t="array" ref="Y72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726">
        <f>SUM(Table1[[#This Row],[Math 
Score]],Table1[[#This Row],[History 
Score]],Table1[[#This Row],[Physics 
Score]],Table1[[#This Row],[Chemistry 
Score]],Table1[[#This Row],[Biology 
Score]],Table1[[#This Row],[English 
Score]],Table1[[#This Row],[Geography 
Score]])</f>
        <v>575</v>
      </c>
      <c r="AA726" s="3">
        <f>AVERAGE(Table1[[#This Row],[Math 
Score]],Table1[[#This Row],[History 
Score]],Table1[[#This Row],[Physics 
Score]],Table1[[#This Row],[Chemistry 
Score]],Table1[[#This Row],[Biology 
Score]],Table1[[#This Row],[English 
Score]],Table1[[#This Row],[Geography 
Score]])</f>
        <v>82.142857142857139</v>
      </c>
      <c r="AB72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726">
        <f t="shared" si="11"/>
        <v>807</v>
      </c>
      <c r="AD726" t="str">
        <f>_xlfn.IFS(Table1[[#This Row],[Absence 
Days]]&lt;3,"Excellent",Table1[[#This Row],[Absence 
Days]]&lt;=6,"Good",Table1[[#This Row],[Absence 
Days]]&gt;6,"Poor")</f>
        <v>Excellent</v>
      </c>
    </row>
    <row r="727" spans="1:30" x14ac:dyDescent="0.35">
      <c r="A727">
        <v>726</v>
      </c>
      <c r="B727" s="2" t="s">
        <v>182</v>
      </c>
      <c r="C727" t="s">
        <v>831</v>
      </c>
      <c r="D727" t="str">
        <f>_xlfn.TEXTJOIN(" ",TRUE,Table1[[#This Row],[First 
Name]:[Last 
Name]])</f>
        <v>Ashley Ayers</v>
      </c>
      <c r="E727" t="s">
        <v>1837</v>
      </c>
      <c r="F727" t="s">
        <v>3245</v>
      </c>
      <c r="G727" t="str">
        <f ca="1">PROPER(Table1[[#This Row],[Part Time 
Job]])</f>
        <v>False</v>
      </c>
      <c r="H727" s="3">
        <v>1</v>
      </c>
      <c r="I727" t="str">
        <f ca="1">PROPER(Table1[[#This Row],[Extracurricular 
Activities]])</f>
        <v>False</v>
      </c>
      <c r="J727">
        <v>1</v>
      </c>
      <c r="K727" t="s">
        <v>3128</v>
      </c>
      <c r="L727">
        <v>77</v>
      </c>
      <c r="M727" s="12" t="str" cm="1">
        <f t="array" ref="M72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727">
        <v>99</v>
      </c>
      <c r="O727" s="13" t="str" cm="1">
        <f t="array" ref="O72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727">
        <v>99</v>
      </c>
      <c r="Q727" s="13" t="str" cm="1">
        <f t="array" ref="Q72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727">
        <v>76</v>
      </c>
      <c r="S727" t="str" cm="1">
        <f t="array" ref="S72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727">
        <v>70</v>
      </c>
      <c r="U727" t="str" cm="1">
        <f t="array" ref="U72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727">
        <v>80</v>
      </c>
      <c r="W727" t="str" cm="1">
        <f t="array" ref="W72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727">
        <v>90</v>
      </c>
      <c r="Y727" t="str" cm="1">
        <f t="array" ref="Y72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727">
        <f>SUM(Table1[[#This Row],[Math 
Score]],Table1[[#This Row],[History 
Score]],Table1[[#This Row],[Physics 
Score]],Table1[[#This Row],[Chemistry 
Score]],Table1[[#This Row],[Biology 
Score]],Table1[[#This Row],[English 
Score]],Table1[[#This Row],[Geography 
Score]])</f>
        <v>591</v>
      </c>
      <c r="AA727" s="3">
        <f>AVERAGE(Table1[[#This Row],[Math 
Score]],Table1[[#This Row],[History 
Score]],Table1[[#This Row],[Physics 
Score]],Table1[[#This Row],[Chemistry 
Score]],Table1[[#This Row],[Biology 
Score]],Table1[[#This Row],[English 
Score]],Table1[[#This Row],[Geography 
Score]])</f>
        <v>84.428571428571431</v>
      </c>
      <c r="AB72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727">
        <f t="shared" si="11"/>
        <v>515</v>
      </c>
      <c r="AD727" t="str">
        <f>_xlfn.IFS(Table1[[#This Row],[Absence 
Days]]&lt;3,"Excellent",Table1[[#This Row],[Absence 
Days]]&lt;=6,"Good",Table1[[#This Row],[Absence 
Days]]&gt;6,"Poor")</f>
        <v>Excellent</v>
      </c>
    </row>
    <row r="728" spans="1:30" x14ac:dyDescent="0.35">
      <c r="A728">
        <v>727</v>
      </c>
      <c r="B728" s="2" t="s">
        <v>299</v>
      </c>
      <c r="C728" t="s">
        <v>832</v>
      </c>
      <c r="D728" t="str">
        <f>_xlfn.TEXTJOIN(" ",TRUE,Table1[[#This Row],[First 
Name]:[Last 
Name]])</f>
        <v>Ann Mccann</v>
      </c>
      <c r="E728" t="s">
        <v>1838</v>
      </c>
      <c r="F728" t="s">
        <v>3245</v>
      </c>
      <c r="G728" t="str">
        <f ca="1">PROPER(Table1[[#This Row],[Part Time 
Job]])</f>
        <v>False</v>
      </c>
      <c r="H728" s="3">
        <v>1</v>
      </c>
      <c r="I728" t="str">
        <f ca="1">PROPER(Table1[[#This Row],[Extracurricular 
Activities]])</f>
        <v>False</v>
      </c>
      <c r="J728">
        <v>32</v>
      </c>
      <c r="K728" t="s">
        <v>3117</v>
      </c>
      <c r="L728">
        <v>85</v>
      </c>
      <c r="M728" s="12" t="str" cm="1">
        <f t="array" ref="M72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728">
        <v>86</v>
      </c>
      <c r="O728" s="13" t="str" cm="1">
        <f t="array" ref="O72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728">
        <v>84</v>
      </c>
      <c r="Q728" s="13" t="str" cm="1">
        <f t="array" ref="Q72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728">
        <v>81</v>
      </c>
      <c r="S728" t="str" cm="1">
        <f t="array" ref="S72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728">
        <v>92</v>
      </c>
      <c r="U728" t="str" cm="1">
        <f t="array" ref="U72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728">
        <v>84</v>
      </c>
      <c r="W728" t="str" cm="1">
        <f t="array" ref="W72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728">
        <v>93</v>
      </c>
      <c r="Y728" t="str" cm="1">
        <f t="array" ref="Y72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728">
        <f>SUM(Table1[[#This Row],[Math 
Score]],Table1[[#This Row],[History 
Score]],Table1[[#This Row],[Physics 
Score]],Table1[[#This Row],[Chemistry 
Score]],Table1[[#This Row],[Biology 
Score]],Table1[[#This Row],[English 
Score]],Table1[[#This Row],[Geography 
Score]])</f>
        <v>605</v>
      </c>
      <c r="AA728" s="3">
        <f>AVERAGE(Table1[[#This Row],[Math 
Score]],Table1[[#This Row],[History 
Score]],Table1[[#This Row],[Physics 
Score]],Table1[[#This Row],[Chemistry 
Score]],Table1[[#This Row],[Biology 
Score]],Table1[[#This Row],[English 
Score]],Table1[[#This Row],[Geography 
Score]])</f>
        <v>86.428571428571431</v>
      </c>
      <c r="AB72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728">
        <f t="shared" si="11"/>
        <v>344</v>
      </c>
      <c r="AD728" t="str">
        <f>_xlfn.IFS(Table1[[#This Row],[Absence 
Days]]&lt;3,"Excellent",Table1[[#This Row],[Absence 
Days]]&lt;=6,"Good",Table1[[#This Row],[Absence 
Days]]&gt;6,"Poor")</f>
        <v>Excellent</v>
      </c>
    </row>
    <row r="729" spans="1:30" x14ac:dyDescent="0.35">
      <c r="A729">
        <v>728</v>
      </c>
      <c r="B729" s="2" t="s">
        <v>289</v>
      </c>
      <c r="C729" t="s">
        <v>549</v>
      </c>
      <c r="D729" t="str">
        <f>_xlfn.TEXTJOIN(" ",TRUE,Table1[[#This Row],[First 
Name]:[Last 
Name]])</f>
        <v>Curtis Bennett</v>
      </c>
      <c r="E729" t="s">
        <v>1839</v>
      </c>
      <c r="F729" t="s">
        <v>3244</v>
      </c>
      <c r="G729" t="str">
        <f ca="1">PROPER(Table1[[#This Row],[Part Time 
Job]])</f>
        <v>False</v>
      </c>
      <c r="H729" s="3">
        <v>6</v>
      </c>
      <c r="I729" t="str">
        <f ca="1">PROPER(Table1[[#This Row],[Extracurricular 
Activities]])</f>
        <v>True</v>
      </c>
      <c r="J729">
        <v>25</v>
      </c>
      <c r="K729" t="s">
        <v>3112</v>
      </c>
      <c r="L729">
        <v>70</v>
      </c>
      <c r="M729" s="12" t="str" cm="1">
        <f t="array" ref="M729">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729">
        <v>83</v>
      </c>
      <c r="O729" s="13" t="str" cm="1">
        <f t="array" ref="O72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729">
        <v>63</v>
      </c>
      <c r="Q729" s="13" t="str" cm="1">
        <f t="array" ref="Q72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729">
        <v>86</v>
      </c>
      <c r="S729" t="str" cm="1">
        <f t="array" ref="S72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729">
        <v>97</v>
      </c>
      <c r="U729" t="str" cm="1">
        <f t="array" ref="U72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729">
        <v>88</v>
      </c>
      <c r="W729" t="str" cm="1">
        <f t="array" ref="W72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729">
        <v>79</v>
      </c>
      <c r="Y729" t="str" cm="1">
        <f t="array" ref="Y72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729">
        <f>SUM(Table1[[#This Row],[Math 
Score]],Table1[[#This Row],[History 
Score]],Table1[[#This Row],[Physics 
Score]],Table1[[#This Row],[Chemistry 
Score]],Table1[[#This Row],[Biology 
Score]],Table1[[#This Row],[English 
Score]],Table1[[#This Row],[Geography 
Score]])</f>
        <v>566</v>
      </c>
      <c r="AA729" s="3">
        <f>AVERAGE(Table1[[#This Row],[Math 
Score]],Table1[[#This Row],[History 
Score]],Table1[[#This Row],[Physics 
Score]],Table1[[#This Row],[Chemistry 
Score]],Table1[[#This Row],[Biology 
Score]],Table1[[#This Row],[English 
Score]],Table1[[#This Row],[Geography 
Score]])</f>
        <v>80.857142857142861</v>
      </c>
      <c r="AB72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729">
        <f t="shared" si="11"/>
        <v>1019</v>
      </c>
      <c r="AD729" t="str">
        <f>_xlfn.IFS(Table1[[#This Row],[Absence 
Days]]&lt;3,"Excellent",Table1[[#This Row],[Absence 
Days]]&lt;=6,"Good",Table1[[#This Row],[Absence 
Days]]&gt;6,"Poor")</f>
        <v>Good</v>
      </c>
    </row>
    <row r="730" spans="1:30" x14ac:dyDescent="0.35">
      <c r="A730">
        <v>729</v>
      </c>
      <c r="B730" s="2" t="s">
        <v>160</v>
      </c>
      <c r="C730" t="s">
        <v>460</v>
      </c>
      <c r="D730" t="str">
        <f>_xlfn.TEXTJOIN(" ",TRUE,Table1[[#This Row],[First 
Name]:[Last 
Name]])</f>
        <v>Debra Gutierrez</v>
      </c>
      <c r="E730" t="s">
        <v>1840</v>
      </c>
      <c r="F730" t="s">
        <v>3245</v>
      </c>
      <c r="G730" t="str">
        <f ca="1">PROPER(Table1[[#This Row],[Part Time 
Job]])</f>
        <v>False</v>
      </c>
      <c r="H730" s="3">
        <v>9</v>
      </c>
      <c r="I730" t="str">
        <f ca="1">PROPER(Table1[[#This Row],[Extracurricular 
Activities]])</f>
        <v>False</v>
      </c>
      <c r="J730">
        <v>26</v>
      </c>
      <c r="K730" t="s">
        <v>3112</v>
      </c>
      <c r="L730">
        <v>76</v>
      </c>
      <c r="M730" s="12" t="str" cm="1">
        <f t="array" ref="M73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730">
        <v>83</v>
      </c>
      <c r="O730" s="13" t="str" cm="1">
        <f t="array" ref="O73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730">
        <v>90</v>
      </c>
      <c r="Q730" s="13" t="str" cm="1">
        <f t="array" ref="Q73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730">
        <v>68</v>
      </c>
      <c r="S730" t="str" cm="1">
        <f t="array" ref="S73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730">
        <v>96</v>
      </c>
      <c r="U730" t="str" cm="1">
        <f t="array" ref="U73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730">
        <v>94</v>
      </c>
      <c r="W730" t="str" cm="1">
        <f t="array" ref="W73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730">
        <v>87</v>
      </c>
      <c r="Y730" t="str" cm="1">
        <f t="array" ref="Y73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730">
        <f>SUM(Table1[[#This Row],[Math 
Score]],Table1[[#This Row],[History 
Score]],Table1[[#This Row],[Physics 
Score]],Table1[[#This Row],[Chemistry 
Score]],Table1[[#This Row],[Biology 
Score]],Table1[[#This Row],[English 
Score]],Table1[[#This Row],[Geography 
Score]])</f>
        <v>594</v>
      </c>
      <c r="AA730" s="3">
        <f>AVERAGE(Table1[[#This Row],[Math 
Score]],Table1[[#This Row],[History 
Score]],Table1[[#This Row],[Physics 
Score]],Table1[[#This Row],[Chemistry 
Score]],Table1[[#This Row],[Biology 
Score]],Table1[[#This Row],[English 
Score]],Table1[[#This Row],[Geography 
Score]])</f>
        <v>84.857142857142861</v>
      </c>
      <c r="AB73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730">
        <f t="shared" si="11"/>
        <v>479</v>
      </c>
      <c r="AD730" t="str">
        <f>_xlfn.IFS(Table1[[#This Row],[Absence 
Days]]&lt;3,"Excellent",Table1[[#This Row],[Absence 
Days]]&lt;=6,"Good",Table1[[#This Row],[Absence 
Days]]&gt;6,"Poor")</f>
        <v>Poor</v>
      </c>
    </row>
    <row r="731" spans="1:30" x14ac:dyDescent="0.35">
      <c r="A731">
        <v>730</v>
      </c>
      <c r="B731" s="2" t="s">
        <v>153</v>
      </c>
      <c r="C731" t="s">
        <v>473</v>
      </c>
      <c r="D731" t="str">
        <f>_xlfn.TEXTJOIN(" ",TRUE,Table1[[#This Row],[First 
Name]:[Last 
Name]])</f>
        <v>Linda West</v>
      </c>
      <c r="E731" t="s">
        <v>1841</v>
      </c>
      <c r="F731" t="s">
        <v>3245</v>
      </c>
      <c r="G731" t="str">
        <f ca="1">PROPER(Table1[[#This Row],[Part Time 
Job]])</f>
        <v>True</v>
      </c>
      <c r="H731" s="3">
        <v>7</v>
      </c>
      <c r="I731" t="str">
        <f ca="1">PROPER(Table1[[#This Row],[Extracurricular 
Activities]])</f>
        <v>False</v>
      </c>
      <c r="J731">
        <v>34</v>
      </c>
      <c r="K731" t="s">
        <v>3112</v>
      </c>
      <c r="L731">
        <v>75</v>
      </c>
      <c r="M731" s="12" t="str" cm="1">
        <f t="array" ref="M73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731">
        <v>82</v>
      </c>
      <c r="O731" s="13" t="str" cm="1">
        <f t="array" ref="O73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731">
        <v>89</v>
      </c>
      <c r="Q731" s="13" t="str" cm="1">
        <f t="array" ref="Q73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731">
        <v>65</v>
      </c>
      <c r="S731" t="str" cm="1">
        <f t="array" ref="S73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731">
        <v>85</v>
      </c>
      <c r="U731" t="str" cm="1">
        <f t="array" ref="U73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731">
        <v>89</v>
      </c>
      <c r="W731" t="str" cm="1">
        <f t="array" ref="W73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731">
        <v>81</v>
      </c>
      <c r="Y731" t="str" cm="1">
        <f t="array" ref="Y73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731">
        <f>SUM(Table1[[#This Row],[Math 
Score]],Table1[[#This Row],[History 
Score]],Table1[[#This Row],[Physics 
Score]],Table1[[#This Row],[Chemistry 
Score]],Table1[[#This Row],[Biology 
Score]],Table1[[#This Row],[English 
Score]],Table1[[#This Row],[Geography 
Score]])</f>
        <v>566</v>
      </c>
      <c r="AA731" s="3">
        <f>AVERAGE(Table1[[#This Row],[Math 
Score]],Table1[[#This Row],[History 
Score]],Table1[[#This Row],[Physics 
Score]],Table1[[#This Row],[Chemistry 
Score]],Table1[[#This Row],[Biology 
Score]],Table1[[#This Row],[English 
Score]],Table1[[#This Row],[Geography 
Score]])</f>
        <v>80.857142857142861</v>
      </c>
      <c r="AB73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731">
        <f t="shared" si="11"/>
        <v>1019</v>
      </c>
      <c r="AD731" t="str">
        <f>_xlfn.IFS(Table1[[#This Row],[Absence 
Days]]&lt;3,"Excellent",Table1[[#This Row],[Absence 
Days]]&lt;=6,"Good",Table1[[#This Row],[Absence 
Days]]&gt;6,"Poor")</f>
        <v>Poor</v>
      </c>
    </row>
    <row r="732" spans="1:30" x14ac:dyDescent="0.35">
      <c r="A732">
        <v>731</v>
      </c>
      <c r="B732" s="2" t="s">
        <v>262</v>
      </c>
      <c r="C732" t="s">
        <v>676</v>
      </c>
      <c r="D732" t="str">
        <f>_xlfn.TEXTJOIN(" ",TRUE,Table1[[#This Row],[First 
Name]:[Last 
Name]])</f>
        <v>Justin Hughes</v>
      </c>
      <c r="E732" t="s">
        <v>1842</v>
      </c>
      <c r="F732" t="s">
        <v>3244</v>
      </c>
      <c r="G732" t="str">
        <f ca="1">PROPER(Table1[[#This Row],[Part Time 
Job]])</f>
        <v>False</v>
      </c>
      <c r="H732" s="3">
        <v>2</v>
      </c>
      <c r="I732" t="str">
        <f ca="1">PROPER(Table1[[#This Row],[Extracurricular 
Activities]])</f>
        <v>True</v>
      </c>
      <c r="J732">
        <v>25</v>
      </c>
      <c r="K732" t="s">
        <v>3127</v>
      </c>
      <c r="L732">
        <v>97</v>
      </c>
      <c r="M732" s="12" t="str" cm="1">
        <f t="array" ref="M73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732">
        <v>65</v>
      </c>
      <c r="O732" s="13" t="str" cm="1">
        <f t="array" ref="O73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732">
        <v>96</v>
      </c>
      <c r="Q732" s="13" t="str" cm="1">
        <f t="array" ref="Q73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732">
        <v>87</v>
      </c>
      <c r="S732" t="str" cm="1">
        <f t="array" ref="S73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732">
        <v>87</v>
      </c>
      <c r="U732" t="str" cm="1">
        <f t="array" ref="U73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732">
        <v>95</v>
      </c>
      <c r="W732" t="str" cm="1">
        <f t="array" ref="W73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732">
        <v>100</v>
      </c>
      <c r="Y732" t="str" cm="1">
        <f t="array" ref="Y73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732">
        <f>SUM(Table1[[#This Row],[Math 
Score]],Table1[[#This Row],[History 
Score]],Table1[[#This Row],[Physics 
Score]],Table1[[#This Row],[Chemistry 
Score]],Table1[[#This Row],[Biology 
Score]],Table1[[#This Row],[English 
Score]],Table1[[#This Row],[Geography 
Score]])</f>
        <v>627</v>
      </c>
      <c r="AA732" s="3">
        <f>AVERAGE(Table1[[#This Row],[Math 
Score]],Table1[[#This Row],[History 
Score]],Table1[[#This Row],[Physics 
Score]],Table1[[#This Row],[Chemistry 
Score]],Table1[[#This Row],[Biology 
Score]],Table1[[#This Row],[English 
Score]],Table1[[#This Row],[Geography 
Score]])</f>
        <v>89.571428571428569</v>
      </c>
      <c r="AB73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732">
        <f t="shared" si="11"/>
        <v>168</v>
      </c>
      <c r="AD732" t="str">
        <f>_xlfn.IFS(Table1[[#This Row],[Absence 
Days]]&lt;3,"Excellent",Table1[[#This Row],[Absence 
Days]]&lt;=6,"Good",Table1[[#This Row],[Absence 
Days]]&gt;6,"Poor")</f>
        <v>Excellent</v>
      </c>
    </row>
    <row r="733" spans="1:30" x14ac:dyDescent="0.35">
      <c r="A733">
        <v>732</v>
      </c>
      <c r="B733" s="2" t="s">
        <v>283</v>
      </c>
      <c r="C733" t="s">
        <v>294</v>
      </c>
      <c r="D733" t="str">
        <f>_xlfn.TEXTJOIN(" ",TRUE,Table1[[#This Row],[First 
Name]:[Last 
Name]])</f>
        <v>Jose Jackson</v>
      </c>
      <c r="E733" t="s">
        <v>1843</v>
      </c>
      <c r="F733" t="s">
        <v>3244</v>
      </c>
      <c r="G733" t="str">
        <f ca="1">PROPER(Table1[[#This Row],[Part Time 
Job]])</f>
        <v>True</v>
      </c>
      <c r="H733" s="3">
        <v>10</v>
      </c>
      <c r="I733" t="str">
        <f ca="1">PROPER(Table1[[#This Row],[Extracurricular 
Activities]])</f>
        <v>False</v>
      </c>
      <c r="J733">
        <v>3</v>
      </c>
      <c r="K733" t="s">
        <v>3119</v>
      </c>
      <c r="L733">
        <v>72</v>
      </c>
      <c r="M733" s="12" t="str" cm="1">
        <f t="array" ref="M733">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733">
        <v>81</v>
      </c>
      <c r="O733" s="13" t="str" cm="1">
        <f t="array" ref="O73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733">
        <v>61</v>
      </c>
      <c r="Q733" s="13" t="str" cm="1">
        <f t="array" ref="Q73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733">
        <v>73</v>
      </c>
      <c r="S733" t="str" cm="1">
        <f t="array" ref="S73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733">
        <v>96</v>
      </c>
      <c r="U733" t="str" cm="1">
        <f t="array" ref="U73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733">
        <v>72</v>
      </c>
      <c r="W733" t="str" cm="1">
        <f t="array" ref="W73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733">
        <v>86</v>
      </c>
      <c r="Y733" t="str" cm="1">
        <f t="array" ref="Y73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733">
        <f>SUM(Table1[[#This Row],[Math 
Score]],Table1[[#This Row],[History 
Score]],Table1[[#This Row],[Physics 
Score]],Table1[[#This Row],[Chemistry 
Score]],Table1[[#This Row],[Biology 
Score]],Table1[[#This Row],[English 
Score]],Table1[[#This Row],[Geography 
Score]])</f>
        <v>541</v>
      </c>
      <c r="AA733" s="3">
        <f>AVERAGE(Table1[[#This Row],[Math 
Score]],Table1[[#This Row],[History 
Score]],Table1[[#This Row],[Physics 
Score]],Table1[[#This Row],[Chemistry 
Score]],Table1[[#This Row],[Biology 
Score]],Table1[[#This Row],[English 
Score]],Table1[[#This Row],[Geography 
Score]])</f>
        <v>77.285714285714292</v>
      </c>
      <c r="AB73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733">
        <f t="shared" si="11"/>
        <v>1493</v>
      </c>
      <c r="AD733" t="str">
        <f>_xlfn.IFS(Table1[[#This Row],[Absence 
Days]]&lt;3,"Excellent",Table1[[#This Row],[Absence 
Days]]&lt;=6,"Good",Table1[[#This Row],[Absence 
Days]]&gt;6,"Poor")</f>
        <v>Poor</v>
      </c>
    </row>
    <row r="734" spans="1:30" x14ac:dyDescent="0.35">
      <c r="A734">
        <v>733</v>
      </c>
      <c r="B734" s="2" t="s">
        <v>300</v>
      </c>
      <c r="C734" t="s">
        <v>458</v>
      </c>
      <c r="D734" t="str">
        <f>_xlfn.TEXTJOIN(" ",TRUE,Table1[[#This Row],[First 
Name]:[Last 
Name]])</f>
        <v>Larry Smith</v>
      </c>
      <c r="E734" t="s">
        <v>1844</v>
      </c>
      <c r="F734" t="s">
        <v>3244</v>
      </c>
      <c r="G734" t="str">
        <f ca="1">PROPER(Table1[[#This Row],[Part Time 
Job]])</f>
        <v>True</v>
      </c>
      <c r="H734" s="3">
        <v>3</v>
      </c>
      <c r="I734" t="str">
        <f ca="1">PROPER(Table1[[#This Row],[Extracurricular 
Activities]])</f>
        <v>False</v>
      </c>
      <c r="J734">
        <v>12</v>
      </c>
      <c r="K734" t="s">
        <v>3127</v>
      </c>
      <c r="L734">
        <v>84</v>
      </c>
      <c r="M734" s="12" t="str" cm="1">
        <f t="array" ref="M73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734">
        <v>69</v>
      </c>
      <c r="O734" s="13" t="str" cm="1">
        <f t="array" ref="O73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734">
        <v>68</v>
      </c>
      <c r="Q734" s="13" t="str" cm="1">
        <f t="array" ref="Q73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734">
        <v>92</v>
      </c>
      <c r="S734" t="str" cm="1">
        <f t="array" ref="S73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734">
        <v>86</v>
      </c>
      <c r="U734" t="str" cm="1">
        <f t="array" ref="U73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734">
        <v>67</v>
      </c>
      <c r="W734" t="str" cm="1">
        <f t="array" ref="W73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734">
        <v>73</v>
      </c>
      <c r="Y734" t="str" cm="1">
        <f t="array" ref="Y73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734">
        <f>SUM(Table1[[#This Row],[Math 
Score]],Table1[[#This Row],[History 
Score]],Table1[[#This Row],[Physics 
Score]],Table1[[#This Row],[Chemistry 
Score]],Table1[[#This Row],[Biology 
Score]],Table1[[#This Row],[English 
Score]],Table1[[#This Row],[Geography 
Score]])</f>
        <v>539</v>
      </c>
      <c r="AA734" s="3">
        <f>AVERAGE(Table1[[#This Row],[Math 
Score]],Table1[[#This Row],[History 
Score]],Table1[[#This Row],[Physics 
Score]],Table1[[#This Row],[Chemistry 
Score]],Table1[[#This Row],[Biology 
Score]],Table1[[#This Row],[English 
Score]],Table1[[#This Row],[Geography 
Score]])</f>
        <v>77</v>
      </c>
      <c r="AB73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734">
        <f t="shared" si="11"/>
        <v>1531</v>
      </c>
      <c r="AD734" t="str">
        <f>_xlfn.IFS(Table1[[#This Row],[Absence 
Days]]&lt;3,"Excellent",Table1[[#This Row],[Absence 
Days]]&lt;=6,"Good",Table1[[#This Row],[Absence 
Days]]&gt;6,"Poor")</f>
        <v>Good</v>
      </c>
    </row>
    <row r="735" spans="1:30" x14ac:dyDescent="0.35">
      <c r="A735">
        <v>734</v>
      </c>
      <c r="B735" s="2" t="s">
        <v>219</v>
      </c>
      <c r="C735" t="s">
        <v>833</v>
      </c>
      <c r="D735" t="str">
        <f>_xlfn.TEXTJOIN(" ",TRUE,Table1[[#This Row],[First 
Name]:[Last 
Name]])</f>
        <v>Austin Dunn</v>
      </c>
      <c r="E735" t="s">
        <v>1845</v>
      </c>
      <c r="F735" t="s">
        <v>3244</v>
      </c>
      <c r="G735" t="str">
        <f ca="1">PROPER(Table1[[#This Row],[Part Time 
Job]])</f>
        <v>False</v>
      </c>
      <c r="H735" s="3">
        <v>1</v>
      </c>
      <c r="I735" t="str">
        <f ca="1">PROPER(Table1[[#This Row],[Extracurricular 
Activities]])</f>
        <v>False</v>
      </c>
      <c r="J735">
        <v>25</v>
      </c>
      <c r="K735" t="s">
        <v>3116</v>
      </c>
      <c r="L735">
        <v>84</v>
      </c>
      <c r="M735" s="12" t="str" cm="1">
        <f t="array" ref="M73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735">
        <v>94</v>
      </c>
      <c r="O735" s="13" t="str" cm="1">
        <f t="array" ref="O73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735">
        <v>65</v>
      </c>
      <c r="Q735" s="13" t="str" cm="1">
        <f t="array" ref="Q73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735">
        <v>74</v>
      </c>
      <c r="S735" t="str" cm="1">
        <f t="array" ref="S73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735">
        <v>92</v>
      </c>
      <c r="U735" t="str" cm="1">
        <f t="array" ref="U73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735">
        <v>81</v>
      </c>
      <c r="W735" t="str" cm="1">
        <f t="array" ref="W73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735">
        <v>79</v>
      </c>
      <c r="Y735" t="str" cm="1">
        <f t="array" ref="Y73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735">
        <f>SUM(Table1[[#This Row],[Math 
Score]],Table1[[#This Row],[History 
Score]],Table1[[#This Row],[Physics 
Score]],Table1[[#This Row],[Chemistry 
Score]],Table1[[#This Row],[Biology 
Score]],Table1[[#This Row],[English 
Score]],Table1[[#This Row],[Geography 
Score]])</f>
        <v>569</v>
      </c>
      <c r="AA735" s="3">
        <f>AVERAGE(Table1[[#This Row],[Math 
Score]],Table1[[#This Row],[History 
Score]],Table1[[#This Row],[Physics 
Score]],Table1[[#This Row],[Chemistry 
Score]],Table1[[#This Row],[Biology 
Score]],Table1[[#This Row],[English 
Score]],Table1[[#This Row],[Geography 
Score]])</f>
        <v>81.285714285714292</v>
      </c>
      <c r="AB73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735">
        <f t="shared" si="11"/>
        <v>957</v>
      </c>
      <c r="AD735" t="str">
        <f>_xlfn.IFS(Table1[[#This Row],[Absence 
Days]]&lt;3,"Excellent",Table1[[#This Row],[Absence 
Days]]&lt;=6,"Good",Table1[[#This Row],[Absence 
Days]]&gt;6,"Poor")</f>
        <v>Excellent</v>
      </c>
    </row>
    <row r="736" spans="1:30" x14ac:dyDescent="0.35">
      <c r="A736">
        <v>735</v>
      </c>
      <c r="B736" s="2" t="s">
        <v>34</v>
      </c>
      <c r="C736" t="s">
        <v>756</v>
      </c>
      <c r="D736" t="str">
        <f>_xlfn.TEXTJOIN(" ",TRUE,Table1[[#This Row],[First 
Name]:[Last 
Name]])</f>
        <v>Michael Heath</v>
      </c>
      <c r="E736" t="s">
        <v>1846</v>
      </c>
      <c r="F736" t="s">
        <v>3244</v>
      </c>
      <c r="G736" t="str">
        <f ca="1">PROPER(Table1[[#This Row],[Part Time 
Job]])</f>
        <v>False</v>
      </c>
      <c r="H736" s="3">
        <v>6</v>
      </c>
      <c r="I736" t="str">
        <f ca="1">PROPER(Table1[[#This Row],[Extracurricular 
Activities]])</f>
        <v>False</v>
      </c>
      <c r="J736">
        <v>50</v>
      </c>
      <c r="K736" t="s">
        <v>3113</v>
      </c>
      <c r="L736">
        <v>94</v>
      </c>
      <c r="M736" s="12" t="str" cm="1">
        <f t="array" ref="M73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736">
        <v>87</v>
      </c>
      <c r="O736" s="13" t="str" cm="1">
        <f t="array" ref="O73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736">
        <v>99</v>
      </c>
      <c r="Q736" s="13" t="str" cm="1">
        <f t="array" ref="Q73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736">
        <v>99</v>
      </c>
      <c r="S736" t="str" cm="1">
        <f t="array" ref="S73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736">
        <v>86</v>
      </c>
      <c r="U736" t="str" cm="1">
        <f t="array" ref="U73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736">
        <v>86</v>
      </c>
      <c r="W736" t="str" cm="1">
        <f t="array" ref="W73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736">
        <v>85</v>
      </c>
      <c r="Y736" t="str" cm="1">
        <f t="array" ref="Y73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736">
        <f>SUM(Table1[[#This Row],[Math 
Score]],Table1[[#This Row],[History 
Score]],Table1[[#This Row],[Physics 
Score]],Table1[[#This Row],[Chemistry 
Score]],Table1[[#This Row],[Biology 
Score]],Table1[[#This Row],[English 
Score]],Table1[[#This Row],[Geography 
Score]])</f>
        <v>636</v>
      </c>
      <c r="AA736" s="3">
        <f>AVERAGE(Table1[[#This Row],[Math 
Score]],Table1[[#This Row],[History 
Score]],Table1[[#This Row],[Physics 
Score]],Table1[[#This Row],[Chemistry 
Score]],Table1[[#This Row],[Biology 
Score]],Table1[[#This Row],[English 
Score]],Table1[[#This Row],[Geography 
Score]])</f>
        <v>90.857142857142861</v>
      </c>
      <c r="AB73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736">
        <f t="shared" si="11"/>
        <v>124</v>
      </c>
      <c r="AD736" t="str">
        <f>_xlfn.IFS(Table1[[#This Row],[Absence 
Days]]&lt;3,"Excellent",Table1[[#This Row],[Absence 
Days]]&lt;=6,"Good",Table1[[#This Row],[Absence 
Days]]&gt;6,"Poor")</f>
        <v>Good</v>
      </c>
    </row>
    <row r="737" spans="1:30" x14ac:dyDescent="0.35">
      <c r="A737">
        <v>736</v>
      </c>
      <c r="B737" s="2" t="s">
        <v>92</v>
      </c>
      <c r="C737" t="s">
        <v>834</v>
      </c>
      <c r="D737" t="str">
        <f>_xlfn.TEXTJOIN(" ",TRUE,Table1[[#This Row],[First 
Name]:[Last 
Name]])</f>
        <v>Beth Acosta</v>
      </c>
      <c r="E737" t="s">
        <v>1847</v>
      </c>
      <c r="F737" t="s">
        <v>3245</v>
      </c>
      <c r="G737" t="str">
        <f ca="1">PROPER(Table1[[#This Row],[Part Time 
Job]])</f>
        <v>False</v>
      </c>
      <c r="H737" s="3">
        <v>7</v>
      </c>
      <c r="I737" t="str">
        <f ca="1">PROPER(Table1[[#This Row],[Extracurricular 
Activities]])</f>
        <v>False</v>
      </c>
      <c r="J737">
        <v>15</v>
      </c>
      <c r="K737" t="s">
        <v>3124</v>
      </c>
      <c r="L737">
        <v>80</v>
      </c>
      <c r="M737" s="12" t="str" cm="1">
        <f t="array" ref="M73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737">
        <v>91</v>
      </c>
      <c r="O737" s="13" t="str" cm="1">
        <f t="array" ref="O73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737">
        <v>100</v>
      </c>
      <c r="Q737" s="13" t="str" cm="1">
        <f t="array" ref="Q73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737">
        <v>87</v>
      </c>
      <c r="S737" t="str" cm="1">
        <f t="array" ref="S73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737">
        <v>87</v>
      </c>
      <c r="U737" t="str" cm="1">
        <f t="array" ref="U73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737">
        <v>94</v>
      </c>
      <c r="W737" t="str" cm="1">
        <f t="array" ref="W73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737">
        <v>100</v>
      </c>
      <c r="Y737" t="str" cm="1">
        <f t="array" ref="Y73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737">
        <f>SUM(Table1[[#This Row],[Math 
Score]],Table1[[#This Row],[History 
Score]],Table1[[#This Row],[Physics 
Score]],Table1[[#This Row],[Chemistry 
Score]],Table1[[#This Row],[Biology 
Score]],Table1[[#This Row],[English 
Score]],Table1[[#This Row],[Geography 
Score]])</f>
        <v>639</v>
      </c>
      <c r="AA737" s="3">
        <f>AVERAGE(Table1[[#This Row],[Math 
Score]],Table1[[#This Row],[History 
Score]],Table1[[#This Row],[Physics 
Score]],Table1[[#This Row],[Chemistry 
Score]],Table1[[#This Row],[Biology 
Score]],Table1[[#This Row],[English 
Score]],Table1[[#This Row],[Geography 
Score]])</f>
        <v>91.285714285714292</v>
      </c>
      <c r="AB73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737">
        <f t="shared" si="11"/>
        <v>106</v>
      </c>
      <c r="AD737" t="str">
        <f>_xlfn.IFS(Table1[[#This Row],[Absence 
Days]]&lt;3,"Excellent",Table1[[#This Row],[Absence 
Days]]&lt;=6,"Good",Table1[[#This Row],[Absence 
Days]]&gt;6,"Poor")</f>
        <v>Poor</v>
      </c>
    </row>
    <row r="738" spans="1:30" x14ac:dyDescent="0.35">
      <c r="A738">
        <v>737</v>
      </c>
      <c r="B738" s="2" t="s">
        <v>301</v>
      </c>
      <c r="C738" t="s">
        <v>835</v>
      </c>
      <c r="D738" t="str">
        <f>_xlfn.TEXTJOIN(" ",TRUE,Table1[[#This Row],[First 
Name]:[Last 
Name]])</f>
        <v>Tracie Weeks</v>
      </c>
      <c r="E738" t="s">
        <v>1848</v>
      </c>
      <c r="F738" t="s">
        <v>3245</v>
      </c>
      <c r="G738" t="str">
        <f ca="1">PROPER(Table1[[#This Row],[Part Time 
Job]])</f>
        <v>False</v>
      </c>
      <c r="H738" s="3">
        <v>0</v>
      </c>
      <c r="I738" t="str">
        <f ca="1">PROPER(Table1[[#This Row],[Extracurricular 
Activities]])</f>
        <v>False</v>
      </c>
      <c r="J738">
        <v>34</v>
      </c>
      <c r="K738" t="s">
        <v>3117</v>
      </c>
      <c r="L738">
        <v>87</v>
      </c>
      <c r="M738" s="12" t="str" cm="1">
        <f t="array" ref="M73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738">
        <v>98</v>
      </c>
      <c r="O738" s="13" t="str" cm="1">
        <f t="array" ref="O73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738">
        <v>79</v>
      </c>
      <c r="Q738" s="13" t="str" cm="1">
        <f t="array" ref="Q73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738">
        <v>87</v>
      </c>
      <c r="S738" t="str" cm="1">
        <f t="array" ref="S73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738">
        <v>92</v>
      </c>
      <c r="U738" t="str" cm="1">
        <f t="array" ref="U73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738">
        <v>80</v>
      </c>
      <c r="W738" t="str" cm="1">
        <f t="array" ref="W73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738">
        <v>93</v>
      </c>
      <c r="Y738" t="str" cm="1">
        <f t="array" ref="Y73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738">
        <f>SUM(Table1[[#This Row],[Math 
Score]],Table1[[#This Row],[History 
Score]],Table1[[#This Row],[Physics 
Score]],Table1[[#This Row],[Chemistry 
Score]],Table1[[#This Row],[Biology 
Score]],Table1[[#This Row],[English 
Score]],Table1[[#This Row],[Geography 
Score]])</f>
        <v>616</v>
      </c>
      <c r="AA738" s="3">
        <f>AVERAGE(Table1[[#This Row],[Math 
Score]],Table1[[#This Row],[History 
Score]],Table1[[#This Row],[Physics 
Score]],Table1[[#This Row],[Chemistry 
Score]],Table1[[#This Row],[Biology 
Score]],Table1[[#This Row],[English 
Score]],Table1[[#This Row],[Geography 
Score]])</f>
        <v>88</v>
      </c>
      <c r="AB73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738">
        <f t="shared" si="11"/>
        <v>243</v>
      </c>
      <c r="AD738" t="str">
        <f>_xlfn.IFS(Table1[[#This Row],[Absence 
Days]]&lt;3,"Excellent",Table1[[#This Row],[Absence 
Days]]&lt;=6,"Good",Table1[[#This Row],[Absence 
Days]]&gt;6,"Poor")</f>
        <v>Excellent</v>
      </c>
    </row>
    <row r="739" spans="1:30" x14ac:dyDescent="0.35">
      <c r="A739">
        <v>738</v>
      </c>
      <c r="B739" s="2" t="s">
        <v>171</v>
      </c>
      <c r="C739" t="s">
        <v>342</v>
      </c>
      <c r="D739" t="str">
        <f>_xlfn.TEXTJOIN(" ",TRUE,Table1[[#This Row],[First 
Name]:[Last 
Name]])</f>
        <v>Brandi Ray</v>
      </c>
      <c r="E739" t="s">
        <v>1849</v>
      </c>
      <c r="F739" t="s">
        <v>3245</v>
      </c>
      <c r="G739" t="str">
        <f ca="1">PROPER(Table1[[#This Row],[Part Time 
Job]])</f>
        <v>False</v>
      </c>
      <c r="H739" s="3">
        <v>6</v>
      </c>
      <c r="I739" t="str">
        <f ca="1">PROPER(Table1[[#This Row],[Extracurricular 
Activities]])</f>
        <v>False</v>
      </c>
      <c r="J739">
        <v>27</v>
      </c>
      <c r="K739" t="s">
        <v>3127</v>
      </c>
      <c r="L739">
        <v>93</v>
      </c>
      <c r="M739" s="12" t="str" cm="1">
        <f t="array" ref="M73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739">
        <v>94</v>
      </c>
      <c r="O739" s="13" t="str" cm="1">
        <f t="array" ref="O73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739">
        <v>87</v>
      </c>
      <c r="Q739" s="13" t="str" cm="1">
        <f t="array" ref="Q73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739">
        <v>92</v>
      </c>
      <c r="S739" t="str" cm="1">
        <f t="array" ref="S73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739">
        <v>99</v>
      </c>
      <c r="U739" t="str" cm="1">
        <f t="array" ref="U73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739">
        <v>93</v>
      </c>
      <c r="W739" t="str" cm="1">
        <f t="array" ref="W73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739">
        <v>88</v>
      </c>
      <c r="Y739" t="str" cm="1">
        <f t="array" ref="Y73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739">
        <f>SUM(Table1[[#This Row],[Math 
Score]],Table1[[#This Row],[History 
Score]],Table1[[#This Row],[Physics 
Score]],Table1[[#This Row],[Chemistry 
Score]],Table1[[#This Row],[Biology 
Score]],Table1[[#This Row],[English 
Score]],Table1[[#This Row],[Geography 
Score]])</f>
        <v>646</v>
      </c>
      <c r="AA739" s="3">
        <f>AVERAGE(Table1[[#This Row],[Math 
Score]],Table1[[#This Row],[History 
Score]],Table1[[#This Row],[Physics 
Score]],Table1[[#This Row],[Chemistry 
Score]],Table1[[#This Row],[Biology 
Score]],Table1[[#This Row],[English 
Score]],Table1[[#This Row],[Geography 
Score]])</f>
        <v>92.285714285714292</v>
      </c>
      <c r="AB73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739">
        <f t="shared" si="11"/>
        <v>73</v>
      </c>
      <c r="AD739" t="str">
        <f>_xlfn.IFS(Table1[[#This Row],[Absence 
Days]]&lt;3,"Excellent",Table1[[#This Row],[Absence 
Days]]&lt;=6,"Good",Table1[[#This Row],[Absence 
Days]]&gt;6,"Poor")</f>
        <v>Good</v>
      </c>
    </row>
    <row r="740" spans="1:30" x14ac:dyDescent="0.35">
      <c r="A740">
        <v>739</v>
      </c>
      <c r="B740" s="2" t="s">
        <v>190</v>
      </c>
      <c r="C740" t="s">
        <v>836</v>
      </c>
      <c r="D740" t="str">
        <f>_xlfn.TEXTJOIN(" ",TRUE,Table1[[#This Row],[First 
Name]:[Last 
Name]])</f>
        <v>Carla Brandt</v>
      </c>
      <c r="E740" t="s">
        <v>1850</v>
      </c>
      <c r="F740" t="s">
        <v>3245</v>
      </c>
      <c r="G740" t="str">
        <f ca="1">PROPER(Table1[[#This Row],[Part Time 
Job]])</f>
        <v>False</v>
      </c>
      <c r="H740" s="3">
        <v>1</v>
      </c>
      <c r="I740" t="str">
        <f ca="1">PROPER(Table1[[#This Row],[Extracurricular 
Activities]])</f>
        <v>False</v>
      </c>
      <c r="J740">
        <v>5</v>
      </c>
      <c r="K740" t="s">
        <v>3126</v>
      </c>
      <c r="L740">
        <v>87</v>
      </c>
      <c r="M740" s="12" t="str" cm="1">
        <f t="array" ref="M74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740">
        <v>69</v>
      </c>
      <c r="O740" s="13" t="str" cm="1">
        <f t="array" ref="O74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740">
        <v>96</v>
      </c>
      <c r="Q740" s="13" t="str" cm="1">
        <f t="array" ref="Q74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740">
        <v>61</v>
      </c>
      <c r="S740" t="str" cm="1">
        <f t="array" ref="S74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740">
        <v>72</v>
      </c>
      <c r="U740" t="str" cm="1">
        <f t="array" ref="U74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740">
        <v>78</v>
      </c>
      <c r="W740" t="str" cm="1">
        <f t="array" ref="W74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740">
        <v>99</v>
      </c>
      <c r="Y740" t="str" cm="1">
        <f t="array" ref="Y74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740">
        <f>SUM(Table1[[#This Row],[Math 
Score]],Table1[[#This Row],[History 
Score]],Table1[[#This Row],[Physics 
Score]],Table1[[#This Row],[Chemistry 
Score]],Table1[[#This Row],[Biology 
Score]],Table1[[#This Row],[English 
Score]],Table1[[#This Row],[Geography 
Score]])</f>
        <v>562</v>
      </c>
      <c r="AA740" s="3">
        <f>AVERAGE(Table1[[#This Row],[Math 
Score]],Table1[[#This Row],[History 
Score]],Table1[[#This Row],[Physics 
Score]],Table1[[#This Row],[Chemistry 
Score]],Table1[[#This Row],[Biology 
Score]],Table1[[#This Row],[English 
Score]],Table1[[#This Row],[Geography 
Score]])</f>
        <v>80.285714285714292</v>
      </c>
      <c r="AB74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740">
        <f t="shared" si="11"/>
        <v>1099</v>
      </c>
      <c r="AD740" t="str">
        <f>_xlfn.IFS(Table1[[#This Row],[Absence 
Days]]&lt;3,"Excellent",Table1[[#This Row],[Absence 
Days]]&lt;=6,"Good",Table1[[#This Row],[Absence 
Days]]&gt;6,"Poor")</f>
        <v>Excellent</v>
      </c>
    </row>
    <row r="741" spans="1:30" x14ac:dyDescent="0.35">
      <c r="A741">
        <v>740</v>
      </c>
      <c r="B741" s="2" t="s">
        <v>80</v>
      </c>
      <c r="C741" t="s">
        <v>602</v>
      </c>
      <c r="D741" t="str">
        <f>_xlfn.TEXTJOIN(" ",TRUE,Table1[[#This Row],[First 
Name]:[Last 
Name]])</f>
        <v>Thomas Cruz</v>
      </c>
      <c r="E741" t="s">
        <v>1851</v>
      </c>
      <c r="F741" t="s">
        <v>3244</v>
      </c>
      <c r="G741" t="str">
        <f ca="1">PROPER(Table1[[#This Row],[Part Time 
Job]])</f>
        <v>False</v>
      </c>
      <c r="H741" s="3">
        <v>10</v>
      </c>
      <c r="I741" t="str">
        <f ca="1">PROPER(Table1[[#This Row],[Extracurricular 
Activities]])</f>
        <v>True</v>
      </c>
      <c r="J741">
        <v>0</v>
      </c>
      <c r="K741" t="s">
        <v>3119</v>
      </c>
      <c r="L741">
        <v>64</v>
      </c>
      <c r="M741" s="12" t="str" cm="1">
        <f t="array" ref="M741">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741">
        <v>51</v>
      </c>
      <c r="O741" s="13" t="str" cm="1">
        <f t="array" ref="O74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C</v>
      </c>
      <c r="P741">
        <v>70</v>
      </c>
      <c r="Q741" s="13" t="str" cm="1">
        <f t="array" ref="Q74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741">
        <v>94</v>
      </c>
      <c r="S741" t="str" cm="1">
        <f t="array" ref="S74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741">
        <v>86</v>
      </c>
      <c r="U741" t="str" cm="1">
        <f t="array" ref="U74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741">
        <v>65</v>
      </c>
      <c r="W741" t="str" cm="1">
        <f t="array" ref="W74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741">
        <v>80</v>
      </c>
      <c r="Y741" t="str" cm="1">
        <f t="array" ref="Y74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741">
        <f>SUM(Table1[[#This Row],[Math 
Score]],Table1[[#This Row],[History 
Score]],Table1[[#This Row],[Physics 
Score]],Table1[[#This Row],[Chemistry 
Score]],Table1[[#This Row],[Biology 
Score]],Table1[[#This Row],[English 
Score]],Table1[[#This Row],[Geography 
Score]])</f>
        <v>510</v>
      </c>
      <c r="AA741" s="3">
        <f>AVERAGE(Table1[[#This Row],[Math 
Score]],Table1[[#This Row],[History 
Score]],Table1[[#This Row],[Physics 
Score]],Table1[[#This Row],[Chemistry 
Score]],Table1[[#This Row],[Biology 
Score]],Table1[[#This Row],[English 
Score]],Table1[[#This Row],[Geography 
Score]])</f>
        <v>72.857142857142861</v>
      </c>
      <c r="AB74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741">
        <f t="shared" si="11"/>
        <v>1828</v>
      </c>
      <c r="AD741" t="str">
        <f>_xlfn.IFS(Table1[[#This Row],[Absence 
Days]]&lt;3,"Excellent",Table1[[#This Row],[Absence 
Days]]&lt;=6,"Good",Table1[[#This Row],[Absence 
Days]]&gt;6,"Poor")</f>
        <v>Poor</v>
      </c>
    </row>
    <row r="742" spans="1:30" x14ac:dyDescent="0.35">
      <c r="A742">
        <v>741</v>
      </c>
      <c r="B742" s="2" t="s">
        <v>117</v>
      </c>
      <c r="C742" t="s">
        <v>353</v>
      </c>
      <c r="D742" t="str">
        <f>_xlfn.TEXTJOIN(" ",TRUE,Table1[[#This Row],[First 
Name]:[Last 
Name]])</f>
        <v>Nicholas Martin</v>
      </c>
      <c r="E742" t="s">
        <v>1852</v>
      </c>
      <c r="F742" t="s">
        <v>3244</v>
      </c>
      <c r="G742" t="str">
        <f ca="1">PROPER(Table1[[#This Row],[Part Time 
Job]])</f>
        <v>False</v>
      </c>
      <c r="H742" s="3">
        <v>5</v>
      </c>
      <c r="I742" t="str">
        <f ca="1">PROPER(Table1[[#This Row],[Extracurricular 
Activities]])</f>
        <v>False</v>
      </c>
      <c r="J742">
        <v>15</v>
      </c>
      <c r="K742" t="s">
        <v>3117</v>
      </c>
      <c r="L742">
        <v>96</v>
      </c>
      <c r="M742" s="12" t="str" cm="1">
        <f t="array" ref="M74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742">
        <v>73</v>
      </c>
      <c r="O742" s="13" t="str" cm="1">
        <f t="array" ref="O74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742">
        <v>91</v>
      </c>
      <c r="Q742" s="13" t="str" cm="1">
        <f t="array" ref="Q74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742">
        <v>71</v>
      </c>
      <c r="S742" t="str" cm="1">
        <f t="array" ref="S74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742">
        <v>72</v>
      </c>
      <c r="U742" t="str" cm="1">
        <f t="array" ref="U74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742">
        <v>74</v>
      </c>
      <c r="W742" t="str" cm="1">
        <f t="array" ref="W74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742">
        <v>76</v>
      </c>
      <c r="Y742" t="str" cm="1">
        <f t="array" ref="Y74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742">
        <f>SUM(Table1[[#This Row],[Math 
Score]],Table1[[#This Row],[History 
Score]],Table1[[#This Row],[Physics 
Score]],Table1[[#This Row],[Chemistry 
Score]],Table1[[#This Row],[Biology 
Score]],Table1[[#This Row],[English 
Score]],Table1[[#This Row],[Geography 
Score]])</f>
        <v>553</v>
      </c>
      <c r="AA742" s="3">
        <f>AVERAGE(Table1[[#This Row],[Math 
Score]],Table1[[#This Row],[History 
Score]],Table1[[#This Row],[Physics 
Score]],Table1[[#This Row],[Chemistry 
Score]],Table1[[#This Row],[Biology 
Score]],Table1[[#This Row],[English 
Score]],Table1[[#This Row],[Geography 
Score]])</f>
        <v>79</v>
      </c>
      <c r="AB74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742">
        <f t="shared" si="11"/>
        <v>1284</v>
      </c>
      <c r="AD742" t="str">
        <f>_xlfn.IFS(Table1[[#This Row],[Absence 
Days]]&lt;3,"Excellent",Table1[[#This Row],[Absence 
Days]]&lt;=6,"Good",Table1[[#This Row],[Absence 
Days]]&gt;6,"Poor")</f>
        <v>Good</v>
      </c>
    </row>
    <row r="743" spans="1:30" x14ac:dyDescent="0.35">
      <c r="A743">
        <v>742</v>
      </c>
      <c r="B743" s="2" t="s">
        <v>302</v>
      </c>
      <c r="C743" t="s">
        <v>326</v>
      </c>
      <c r="D743" t="str">
        <f>_xlfn.TEXTJOIN(" ",TRUE,Table1[[#This Row],[First 
Name]:[Last 
Name]])</f>
        <v>Breanna Lee</v>
      </c>
      <c r="E743" t="s">
        <v>1853</v>
      </c>
      <c r="F743" t="s">
        <v>3245</v>
      </c>
      <c r="G743" t="str">
        <f ca="1">PROPER(Table1[[#This Row],[Part Time 
Job]])</f>
        <v>False</v>
      </c>
      <c r="H743" s="3">
        <v>2</v>
      </c>
      <c r="I743" t="str">
        <f ca="1">PROPER(Table1[[#This Row],[Extracurricular 
Activities]])</f>
        <v>True</v>
      </c>
      <c r="J743">
        <v>31</v>
      </c>
      <c r="K743" t="s">
        <v>3120</v>
      </c>
      <c r="L743">
        <v>97</v>
      </c>
      <c r="M743" s="12" t="str" cm="1">
        <f t="array" ref="M74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743">
        <v>62</v>
      </c>
      <c r="O743" s="13" t="str" cm="1">
        <f t="array" ref="O74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743">
        <v>93</v>
      </c>
      <c r="Q743" s="13" t="str" cm="1">
        <f t="array" ref="Q74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743">
        <v>80</v>
      </c>
      <c r="S743" t="str" cm="1">
        <f t="array" ref="S74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743">
        <v>96</v>
      </c>
      <c r="U743" t="str" cm="1">
        <f t="array" ref="U74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743">
        <v>94</v>
      </c>
      <c r="W743" t="str" cm="1">
        <f t="array" ref="W74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743">
        <v>67</v>
      </c>
      <c r="Y743" t="str" cm="1">
        <f t="array" ref="Y74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743">
        <f>SUM(Table1[[#This Row],[Math 
Score]],Table1[[#This Row],[History 
Score]],Table1[[#This Row],[Physics 
Score]],Table1[[#This Row],[Chemistry 
Score]],Table1[[#This Row],[Biology 
Score]],Table1[[#This Row],[English 
Score]],Table1[[#This Row],[Geography 
Score]])</f>
        <v>589</v>
      </c>
      <c r="AA743" s="3">
        <f>AVERAGE(Table1[[#This Row],[Math 
Score]],Table1[[#This Row],[History 
Score]],Table1[[#This Row],[Physics 
Score]],Table1[[#This Row],[Chemistry 
Score]],Table1[[#This Row],[Biology 
Score]],Table1[[#This Row],[English 
Score]],Table1[[#This Row],[Geography 
Score]])</f>
        <v>84.142857142857139</v>
      </c>
      <c r="AB74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743">
        <f t="shared" si="11"/>
        <v>548</v>
      </c>
      <c r="AD743" t="str">
        <f>_xlfn.IFS(Table1[[#This Row],[Absence 
Days]]&lt;3,"Excellent",Table1[[#This Row],[Absence 
Days]]&lt;=6,"Good",Table1[[#This Row],[Absence 
Days]]&gt;6,"Poor")</f>
        <v>Excellent</v>
      </c>
    </row>
    <row r="744" spans="1:30" x14ac:dyDescent="0.35">
      <c r="A744">
        <v>743</v>
      </c>
      <c r="B744" s="2" t="s">
        <v>28</v>
      </c>
      <c r="C744" t="s">
        <v>462</v>
      </c>
      <c r="D744" t="str">
        <f>_xlfn.TEXTJOIN(" ",TRUE,Table1[[#This Row],[First 
Name]:[Last 
Name]])</f>
        <v>Angie White</v>
      </c>
      <c r="E744" t="s">
        <v>1854</v>
      </c>
      <c r="F744" t="s">
        <v>3245</v>
      </c>
      <c r="G744" t="str">
        <f ca="1">PROPER(Table1[[#This Row],[Part Time 
Job]])</f>
        <v>False</v>
      </c>
      <c r="H744" s="3">
        <v>6</v>
      </c>
      <c r="I744" t="str">
        <f ca="1">PROPER(Table1[[#This Row],[Extracurricular 
Activities]])</f>
        <v>False</v>
      </c>
      <c r="J744">
        <v>0</v>
      </c>
      <c r="K744" t="s">
        <v>3115</v>
      </c>
      <c r="L744">
        <v>62</v>
      </c>
      <c r="M744" s="12" t="str" cm="1">
        <f t="array" ref="M744">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744">
        <v>79</v>
      </c>
      <c r="O744" s="13" t="str" cm="1">
        <f t="array" ref="O74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744">
        <v>75</v>
      </c>
      <c r="Q744" s="13" t="str" cm="1">
        <f t="array" ref="Q74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744">
        <v>65</v>
      </c>
      <c r="S744" t="str" cm="1">
        <f t="array" ref="S74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744">
        <v>71</v>
      </c>
      <c r="U744" t="str" cm="1">
        <f t="array" ref="U74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744">
        <v>75</v>
      </c>
      <c r="W744" t="str" cm="1">
        <f t="array" ref="W74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744">
        <v>93</v>
      </c>
      <c r="Y744" t="str" cm="1">
        <f t="array" ref="Y74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744">
        <f>SUM(Table1[[#This Row],[Math 
Score]],Table1[[#This Row],[History 
Score]],Table1[[#This Row],[Physics 
Score]],Table1[[#This Row],[Chemistry 
Score]],Table1[[#This Row],[Biology 
Score]],Table1[[#This Row],[English 
Score]],Table1[[#This Row],[Geography 
Score]])</f>
        <v>520</v>
      </c>
      <c r="AA744" s="3">
        <f>AVERAGE(Table1[[#This Row],[Math 
Score]],Table1[[#This Row],[History 
Score]],Table1[[#This Row],[Physics 
Score]],Table1[[#This Row],[Chemistry 
Score]],Table1[[#This Row],[Biology 
Score]],Table1[[#This Row],[English 
Score]],Table1[[#This Row],[Geography 
Score]])</f>
        <v>74.285714285714292</v>
      </c>
      <c r="AB74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744">
        <f t="shared" si="11"/>
        <v>1753</v>
      </c>
      <c r="AD744" t="str">
        <f>_xlfn.IFS(Table1[[#This Row],[Absence 
Days]]&lt;3,"Excellent",Table1[[#This Row],[Absence 
Days]]&lt;=6,"Good",Table1[[#This Row],[Absence 
Days]]&gt;6,"Poor")</f>
        <v>Good</v>
      </c>
    </row>
    <row r="745" spans="1:30" x14ac:dyDescent="0.35">
      <c r="A745">
        <v>744</v>
      </c>
      <c r="B745" s="2" t="s">
        <v>75</v>
      </c>
      <c r="C745" t="s">
        <v>837</v>
      </c>
      <c r="D745" t="str">
        <f>_xlfn.TEXTJOIN(" ",TRUE,Table1[[#This Row],[First 
Name]:[Last 
Name]])</f>
        <v>William Lester</v>
      </c>
      <c r="E745" t="s">
        <v>1855</v>
      </c>
      <c r="F745" t="s">
        <v>3244</v>
      </c>
      <c r="G745" t="str">
        <f ca="1">PROPER(Table1[[#This Row],[Part Time 
Job]])</f>
        <v>True</v>
      </c>
      <c r="H745" s="3">
        <v>1</v>
      </c>
      <c r="I745" t="str">
        <f ca="1">PROPER(Table1[[#This Row],[Extracurricular 
Activities]])</f>
        <v>False</v>
      </c>
      <c r="J745">
        <v>5</v>
      </c>
      <c r="K745" t="s">
        <v>3119</v>
      </c>
      <c r="L745">
        <v>97</v>
      </c>
      <c r="M745" s="12" t="str" cm="1">
        <f t="array" ref="M74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745">
        <v>79</v>
      </c>
      <c r="O745" s="13" t="str" cm="1">
        <f t="array" ref="O74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745">
        <v>96</v>
      </c>
      <c r="Q745" s="13" t="str" cm="1">
        <f t="array" ref="Q74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745">
        <v>94</v>
      </c>
      <c r="S745" t="str" cm="1">
        <f t="array" ref="S74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745">
        <v>59</v>
      </c>
      <c r="U745" t="str" cm="1">
        <f t="array" ref="U74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C</v>
      </c>
      <c r="V745">
        <v>83</v>
      </c>
      <c r="W745" t="str" cm="1">
        <f t="array" ref="W74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745">
        <v>64</v>
      </c>
      <c r="Y745" t="str" cm="1">
        <f t="array" ref="Y74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745">
        <f>SUM(Table1[[#This Row],[Math 
Score]],Table1[[#This Row],[History 
Score]],Table1[[#This Row],[Physics 
Score]],Table1[[#This Row],[Chemistry 
Score]],Table1[[#This Row],[Biology 
Score]],Table1[[#This Row],[English 
Score]],Table1[[#This Row],[Geography 
Score]])</f>
        <v>572</v>
      </c>
      <c r="AA745" s="3">
        <f>AVERAGE(Table1[[#This Row],[Math 
Score]],Table1[[#This Row],[History 
Score]],Table1[[#This Row],[Physics 
Score]],Table1[[#This Row],[Chemistry 
Score]],Table1[[#This Row],[Biology 
Score]],Table1[[#This Row],[English 
Score]],Table1[[#This Row],[Geography 
Score]])</f>
        <v>81.714285714285708</v>
      </c>
      <c r="AB74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745">
        <f t="shared" si="11"/>
        <v>890</v>
      </c>
      <c r="AD745" t="str">
        <f>_xlfn.IFS(Table1[[#This Row],[Absence 
Days]]&lt;3,"Excellent",Table1[[#This Row],[Absence 
Days]]&lt;=6,"Good",Table1[[#This Row],[Absence 
Days]]&gt;6,"Poor")</f>
        <v>Excellent</v>
      </c>
    </row>
    <row r="746" spans="1:30" x14ac:dyDescent="0.35">
      <c r="A746">
        <v>745</v>
      </c>
      <c r="B746" s="2" t="s">
        <v>89</v>
      </c>
      <c r="C746" t="s">
        <v>479</v>
      </c>
      <c r="D746" t="str">
        <f>_xlfn.TEXTJOIN(" ",TRUE,Table1[[#This Row],[First 
Name]:[Last 
Name]])</f>
        <v>Joshua Miller</v>
      </c>
      <c r="E746" t="s">
        <v>1856</v>
      </c>
      <c r="F746" t="s">
        <v>3244</v>
      </c>
      <c r="G746" t="str">
        <f ca="1">PROPER(Table1[[#This Row],[Part Time 
Job]])</f>
        <v>False</v>
      </c>
      <c r="H746" s="3">
        <v>3</v>
      </c>
      <c r="I746" t="str">
        <f ca="1">PROPER(Table1[[#This Row],[Extracurricular 
Activities]])</f>
        <v>False</v>
      </c>
      <c r="J746">
        <v>35</v>
      </c>
      <c r="K746" t="s">
        <v>3117</v>
      </c>
      <c r="L746">
        <v>85</v>
      </c>
      <c r="M746" s="12" t="str" cm="1">
        <f t="array" ref="M74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746">
        <v>100</v>
      </c>
      <c r="O746" s="13" t="str" cm="1">
        <f t="array" ref="O74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746">
        <v>90</v>
      </c>
      <c r="Q746" s="13" t="str" cm="1">
        <f t="array" ref="Q74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746">
        <v>93</v>
      </c>
      <c r="S746" t="str" cm="1">
        <f t="array" ref="S74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746">
        <v>94</v>
      </c>
      <c r="U746" t="str" cm="1">
        <f t="array" ref="U74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746">
        <v>97</v>
      </c>
      <c r="W746" t="str" cm="1">
        <f t="array" ref="W74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746">
        <v>98</v>
      </c>
      <c r="Y746" t="str" cm="1">
        <f t="array" ref="Y74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746">
        <f>SUM(Table1[[#This Row],[Math 
Score]],Table1[[#This Row],[History 
Score]],Table1[[#This Row],[Physics 
Score]],Table1[[#This Row],[Chemistry 
Score]],Table1[[#This Row],[Biology 
Score]],Table1[[#This Row],[English 
Score]],Table1[[#This Row],[Geography 
Score]])</f>
        <v>657</v>
      </c>
      <c r="AA746" s="3">
        <f>AVERAGE(Table1[[#This Row],[Math 
Score]],Table1[[#This Row],[History 
Score]],Table1[[#This Row],[Physics 
Score]],Table1[[#This Row],[Chemistry 
Score]],Table1[[#This Row],[Biology 
Score]],Table1[[#This Row],[English 
Score]],Table1[[#This Row],[Geography 
Score]])</f>
        <v>93.857142857142861</v>
      </c>
      <c r="AB74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746">
        <f t="shared" si="11"/>
        <v>26</v>
      </c>
      <c r="AD746" t="str">
        <f>_xlfn.IFS(Table1[[#This Row],[Absence 
Days]]&lt;3,"Excellent",Table1[[#This Row],[Absence 
Days]]&lt;=6,"Good",Table1[[#This Row],[Absence 
Days]]&gt;6,"Poor")</f>
        <v>Good</v>
      </c>
    </row>
    <row r="747" spans="1:30" x14ac:dyDescent="0.35">
      <c r="A747">
        <v>746</v>
      </c>
      <c r="B747" s="2" t="s">
        <v>80</v>
      </c>
      <c r="C747" t="s">
        <v>727</v>
      </c>
      <c r="D747" t="str">
        <f>_xlfn.TEXTJOIN(" ",TRUE,Table1[[#This Row],[First 
Name]:[Last 
Name]])</f>
        <v>Thomas Stone</v>
      </c>
      <c r="E747" t="s">
        <v>1857</v>
      </c>
      <c r="F747" t="s">
        <v>3244</v>
      </c>
      <c r="G747" t="str">
        <f ca="1">PROPER(Table1[[#This Row],[Part Time 
Job]])</f>
        <v>False</v>
      </c>
      <c r="H747" s="3">
        <v>0</v>
      </c>
      <c r="I747" t="str">
        <f ca="1">PROPER(Table1[[#This Row],[Extracurricular 
Activities]])</f>
        <v>False</v>
      </c>
      <c r="J747">
        <v>27</v>
      </c>
      <c r="K747" t="s">
        <v>3116</v>
      </c>
      <c r="L747">
        <v>68</v>
      </c>
      <c r="M747" s="12" t="str" cm="1">
        <f t="array" ref="M747">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747">
        <v>95</v>
      </c>
      <c r="O747" s="13" t="str" cm="1">
        <f t="array" ref="O74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747">
        <v>66</v>
      </c>
      <c r="Q747" s="13" t="str" cm="1">
        <f t="array" ref="Q74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747">
        <v>65</v>
      </c>
      <c r="S747" t="str" cm="1">
        <f t="array" ref="S74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747">
        <v>89</v>
      </c>
      <c r="U747" t="str" cm="1">
        <f t="array" ref="U74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747">
        <v>84</v>
      </c>
      <c r="W747" t="str" cm="1">
        <f t="array" ref="W74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747">
        <v>100</v>
      </c>
      <c r="Y747" t="str" cm="1">
        <f t="array" ref="Y74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747">
        <f>SUM(Table1[[#This Row],[Math 
Score]],Table1[[#This Row],[History 
Score]],Table1[[#This Row],[Physics 
Score]],Table1[[#This Row],[Chemistry 
Score]],Table1[[#This Row],[Biology 
Score]],Table1[[#This Row],[English 
Score]],Table1[[#This Row],[Geography 
Score]])</f>
        <v>567</v>
      </c>
      <c r="AA747" s="3">
        <f>AVERAGE(Table1[[#This Row],[Math 
Score]],Table1[[#This Row],[History 
Score]],Table1[[#This Row],[Physics 
Score]],Table1[[#This Row],[Chemistry 
Score]],Table1[[#This Row],[Biology 
Score]],Table1[[#This Row],[English 
Score]],Table1[[#This Row],[Geography 
Score]])</f>
        <v>81</v>
      </c>
      <c r="AB74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747">
        <f t="shared" si="11"/>
        <v>994</v>
      </c>
      <c r="AD747" t="str">
        <f>_xlfn.IFS(Table1[[#This Row],[Absence 
Days]]&lt;3,"Excellent",Table1[[#This Row],[Absence 
Days]]&lt;=6,"Good",Table1[[#This Row],[Absence 
Days]]&gt;6,"Poor")</f>
        <v>Excellent</v>
      </c>
    </row>
    <row r="748" spans="1:30" x14ac:dyDescent="0.35">
      <c r="A748">
        <v>747</v>
      </c>
      <c r="B748" s="2" t="s">
        <v>165</v>
      </c>
      <c r="C748" t="s">
        <v>800</v>
      </c>
      <c r="D748" t="str">
        <f>_xlfn.TEXTJOIN(" ",TRUE,Table1[[#This Row],[First 
Name]:[Last 
Name]])</f>
        <v>Sarah King</v>
      </c>
      <c r="E748" t="s">
        <v>1858</v>
      </c>
      <c r="F748" t="s">
        <v>3245</v>
      </c>
      <c r="G748" t="str">
        <f ca="1">PROPER(Table1[[#This Row],[Part Time 
Job]])</f>
        <v>True</v>
      </c>
      <c r="H748" s="3">
        <v>7</v>
      </c>
      <c r="I748" t="str">
        <f ca="1">PROPER(Table1[[#This Row],[Extracurricular 
Activities]])</f>
        <v>False</v>
      </c>
      <c r="J748">
        <v>1</v>
      </c>
      <c r="K748" t="s">
        <v>3119</v>
      </c>
      <c r="L748">
        <v>45</v>
      </c>
      <c r="M748" s="12" t="str" cm="1">
        <f t="array" ref="M748">_xlfn.IFS(Table1[[#This Row],[Math 
Score]]&gt;=90,"A+",Table1[[#This Row],[Math 
Score]]&gt;=80,"A", Table1[[#This Row],[Math 
Score]]&gt;=75,"A-",Table1[[#This Row],[Math 
Score]]&gt;=70,"B+",Table1[[#This Row],[Math 
Score]]&gt;=65,"B",Table1[[#This Row],[Math 
Score]]&gt;=60,"B-",Table1[[#This Row],[Math 
Score]]&gt;=50,"C",Table1[[#This Row],[Math 
Score]]&gt;=40,"D",Table1[[#This Row],[Math 
Score]]&lt;40,"F")</f>
        <v>D</v>
      </c>
      <c r="N748">
        <v>68</v>
      </c>
      <c r="O748" s="13" t="str" cm="1">
        <f t="array" ref="O74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748">
        <v>99</v>
      </c>
      <c r="Q748" s="13" t="str" cm="1">
        <f t="array" ref="Q74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748">
        <v>91</v>
      </c>
      <c r="S748" t="str" cm="1">
        <f t="array" ref="S74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748">
        <v>88</v>
      </c>
      <c r="U748" t="str" cm="1">
        <f t="array" ref="U74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748">
        <v>63</v>
      </c>
      <c r="W748" t="str" cm="1">
        <f t="array" ref="W74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748">
        <v>61</v>
      </c>
      <c r="Y748" t="str" cm="1">
        <f t="array" ref="Y74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748">
        <f>SUM(Table1[[#This Row],[Math 
Score]],Table1[[#This Row],[History 
Score]],Table1[[#This Row],[Physics 
Score]],Table1[[#This Row],[Chemistry 
Score]],Table1[[#This Row],[Biology 
Score]],Table1[[#This Row],[English 
Score]],Table1[[#This Row],[Geography 
Score]])</f>
        <v>515</v>
      </c>
      <c r="AA748" s="3">
        <f>AVERAGE(Table1[[#This Row],[Math 
Score]],Table1[[#This Row],[History 
Score]],Table1[[#This Row],[Physics 
Score]],Table1[[#This Row],[Chemistry 
Score]],Table1[[#This Row],[Biology 
Score]],Table1[[#This Row],[English 
Score]],Table1[[#This Row],[Geography 
Score]])</f>
        <v>73.571428571428569</v>
      </c>
      <c r="AB74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748">
        <f t="shared" si="11"/>
        <v>1798</v>
      </c>
      <c r="AD748" t="str">
        <f>_xlfn.IFS(Table1[[#This Row],[Absence 
Days]]&lt;3,"Excellent",Table1[[#This Row],[Absence 
Days]]&lt;=6,"Good",Table1[[#This Row],[Absence 
Days]]&gt;6,"Poor")</f>
        <v>Poor</v>
      </c>
    </row>
    <row r="749" spans="1:30" x14ac:dyDescent="0.35">
      <c r="A749">
        <v>748</v>
      </c>
      <c r="B749" s="2" t="s">
        <v>280</v>
      </c>
      <c r="C749" t="s">
        <v>838</v>
      </c>
      <c r="D749" t="str">
        <f>_xlfn.TEXTJOIN(" ",TRUE,Table1[[#This Row],[First 
Name]:[Last 
Name]])</f>
        <v>Jeffery Carlson</v>
      </c>
      <c r="E749" t="s">
        <v>1859</v>
      </c>
      <c r="F749" t="s">
        <v>3244</v>
      </c>
      <c r="G749" t="str">
        <f ca="1">PROPER(Table1[[#This Row],[Part Time 
Job]])</f>
        <v>True</v>
      </c>
      <c r="H749" s="3">
        <v>6</v>
      </c>
      <c r="I749" t="str">
        <f ca="1">PROPER(Table1[[#This Row],[Extracurricular 
Activities]])</f>
        <v>False</v>
      </c>
      <c r="J749">
        <v>2</v>
      </c>
      <c r="K749" t="s">
        <v>3119</v>
      </c>
      <c r="L749">
        <v>86</v>
      </c>
      <c r="M749" s="12" t="str" cm="1">
        <f t="array" ref="M74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749">
        <v>79</v>
      </c>
      <c r="O749" s="13" t="str" cm="1">
        <f t="array" ref="O74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749">
        <v>86</v>
      </c>
      <c r="Q749" s="13" t="str" cm="1">
        <f t="array" ref="Q74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749">
        <v>73</v>
      </c>
      <c r="S749" t="str" cm="1">
        <f t="array" ref="S74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749">
        <v>53</v>
      </c>
      <c r="U749" t="str" cm="1">
        <f t="array" ref="U74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C</v>
      </c>
      <c r="V749">
        <v>84</v>
      </c>
      <c r="W749" t="str" cm="1">
        <f t="array" ref="W74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749">
        <v>79</v>
      </c>
      <c r="Y749" t="str" cm="1">
        <f t="array" ref="Y74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749">
        <f>SUM(Table1[[#This Row],[Math 
Score]],Table1[[#This Row],[History 
Score]],Table1[[#This Row],[Physics 
Score]],Table1[[#This Row],[Chemistry 
Score]],Table1[[#This Row],[Biology 
Score]],Table1[[#This Row],[English 
Score]],Table1[[#This Row],[Geography 
Score]])</f>
        <v>540</v>
      </c>
      <c r="AA749" s="3">
        <f>AVERAGE(Table1[[#This Row],[Math 
Score]],Table1[[#This Row],[History 
Score]],Table1[[#This Row],[Physics 
Score]],Table1[[#This Row],[Chemistry 
Score]],Table1[[#This Row],[Biology 
Score]],Table1[[#This Row],[English 
Score]],Table1[[#This Row],[Geography 
Score]])</f>
        <v>77.142857142857139</v>
      </c>
      <c r="AB74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749">
        <f t="shared" si="11"/>
        <v>1513</v>
      </c>
      <c r="AD749" t="str">
        <f>_xlfn.IFS(Table1[[#This Row],[Absence 
Days]]&lt;3,"Excellent",Table1[[#This Row],[Absence 
Days]]&lt;=6,"Good",Table1[[#This Row],[Absence 
Days]]&gt;6,"Poor")</f>
        <v>Good</v>
      </c>
    </row>
    <row r="750" spans="1:30" x14ac:dyDescent="0.35">
      <c r="A750">
        <v>749</v>
      </c>
      <c r="B750" s="2" t="s">
        <v>182</v>
      </c>
      <c r="C750" t="s">
        <v>460</v>
      </c>
      <c r="D750" t="str">
        <f>_xlfn.TEXTJOIN(" ",TRUE,Table1[[#This Row],[First 
Name]:[Last 
Name]])</f>
        <v>Ashley Gutierrez</v>
      </c>
      <c r="E750" t="s">
        <v>1860</v>
      </c>
      <c r="F750" t="s">
        <v>3245</v>
      </c>
      <c r="G750" t="str">
        <f ca="1">PROPER(Table1[[#This Row],[Part Time 
Job]])</f>
        <v>False</v>
      </c>
      <c r="H750" s="3">
        <v>10</v>
      </c>
      <c r="I750" t="str">
        <f ca="1">PROPER(Table1[[#This Row],[Extracurricular 
Activities]])</f>
        <v>False</v>
      </c>
      <c r="J750">
        <v>34</v>
      </c>
      <c r="K750" t="s">
        <v>3117</v>
      </c>
      <c r="L750">
        <v>97</v>
      </c>
      <c r="M750" s="12" t="str" cm="1">
        <f t="array" ref="M75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750">
        <v>94</v>
      </c>
      <c r="O750" s="13" t="str" cm="1">
        <f t="array" ref="O75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750">
        <v>73</v>
      </c>
      <c r="Q750" s="13" t="str" cm="1">
        <f t="array" ref="Q75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750">
        <v>98</v>
      </c>
      <c r="S750" t="str" cm="1">
        <f t="array" ref="S75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750">
        <v>87</v>
      </c>
      <c r="U750" t="str" cm="1">
        <f t="array" ref="U75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750">
        <v>97</v>
      </c>
      <c r="W750" t="str" cm="1">
        <f t="array" ref="W75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750">
        <v>98</v>
      </c>
      <c r="Y750" t="str" cm="1">
        <f t="array" ref="Y75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750">
        <f>SUM(Table1[[#This Row],[Math 
Score]],Table1[[#This Row],[History 
Score]],Table1[[#This Row],[Physics 
Score]],Table1[[#This Row],[Chemistry 
Score]],Table1[[#This Row],[Biology 
Score]],Table1[[#This Row],[English 
Score]],Table1[[#This Row],[Geography 
Score]])</f>
        <v>644</v>
      </c>
      <c r="AA750" s="3">
        <f>AVERAGE(Table1[[#This Row],[Math 
Score]],Table1[[#This Row],[History 
Score]],Table1[[#This Row],[Physics 
Score]],Table1[[#This Row],[Chemistry 
Score]],Table1[[#This Row],[Biology 
Score]],Table1[[#This Row],[English 
Score]],Table1[[#This Row],[Geography 
Score]])</f>
        <v>92</v>
      </c>
      <c r="AB75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750">
        <f t="shared" si="11"/>
        <v>83</v>
      </c>
      <c r="AD750" t="str">
        <f>_xlfn.IFS(Table1[[#This Row],[Absence 
Days]]&lt;3,"Excellent",Table1[[#This Row],[Absence 
Days]]&lt;=6,"Good",Table1[[#This Row],[Absence 
Days]]&gt;6,"Poor")</f>
        <v>Poor</v>
      </c>
    </row>
    <row r="751" spans="1:30" x14ac:dyDescent="0.35">
      <c r="A751">
        <v>750</v>
      </c>
      <c r="B751" s="2" t="s">
        <v>106</v>
      </c>
      <c r="C751" t="s">
        <v>839</v>
      </c>
      <c r="D751" t="str">
        <f>_xlfn.TEXTJOIN(" ",TRUE,Table1[[#This Row],[First 
Name]:[Last 
Name]])</f>
        <v>Adam Herring</v>
      </c>
      <c r="E751" t="s">
        <v>1861</v>
      </c>
      <c r="F751" t="s">
        <v>3244</v>
      </c>
      <c r="G751" t="str">
        <f ca="1">PROPER(Table1[[#This Row],[Part Time 
Job]])</f>
        <v>True</v>
      </c>
      <c r="H751" s="3">
        <v>2</v>
      </c>
      <c r="I751" t="str">
        <f ca="1">PROPER(Table1[[#This Row],[Extracurricular 
Activities]])</f>
        <v>True</v>
      </c>
      <c r="J751">
        <v>18</v>
      </c>
      <c r="K751" t="s">
        <v>3117</v>
      </c>
      <c r="L751">
        <v>93</v>
      </c>
      <c r="M751" s="12" t="str" cm="1">
        <f t="array" ref="M75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751">
        <v>67</v>
      </c>
      <c r="O751" s="13" t="str" cm="1">
        <f t="array" ref="O75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751">
        <v>65</v>
      </c>
      <c r="Q751" s="13" t="str" cm="1">
        <f t="array" ref="Q75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751">
        <v>61</v>
      </c>
      <c r="S751" t="str" cm="1">
        <f t="array" ref="S75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751">
        <v>61</v>
      </c>
      <c r="U751" t="str" cm="1">
        <f t="array" ref="U75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751">
        <v>96</v>
      </c>
      <c r="W751" t="str" cm="1">
        <f t="array" ref="W75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751">
        <v>65</v>
      </c>
      <c r="Y751" t="str" cm="1">
        <f t="array" ref="Y75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751">
        <f>SUM(Table1[[#This Row],[Math 
Score]],Table1[[#This Row],[History 
Score]],Table1[[#This Row],[Physics 
Score]],Table1[[#This Row],[Chemistry 
Score]],Table1[[#This Row],[Biology 
Score]],Table1[[#This Row],[English 
Score]],Table1[[#This Row],[Geography 
Score]])</f>
        <v>508</v>
      </c>
      <c r="AA751" s="3">
        <f>AVERAGE(Table1[[#This Row],[Math 
Score]],Table1[[#This Row],[History 
Score]],Table1[[#This Row],[Physics 
Score]],Table1[[#This Row],[Chemistry 
Score]],Table1[[#This Row],[Biology 
Score]],Table1[[#This Row],[English 
Score]],Table1[[#This Row],[Geography 
Score]])</f>
        <v>72.571428571428569</v>
      </c>
      <c r="AB75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751">
        <f t="shared" si="11"/>
        <v>1840</v>
      </c>
      <c r="AD751" t="str">
        <f>_xlfn.IFS(Table1[[#This Row],[Absence 
Days]]&lt;3,"Excellent",Table1[[#This Row],[Absence 
Days]]&lt;=6,"Good",Table1[[#This Row],[Absence 
Days]]&gt;6,"Poor")</f>
        <v>Excellent</v>
      </c>
    </row>
    <row r="752" spans="1:30" x14ac:dyDescent="0.35">
      <c r="A752">
        <v>751</v>
      </c>
      <c r="B752" s="2" t="s">
        <v>40</v>
      </c>
      <c r="C752" t="s">
        <v>773</v>
      </c>
      <c r="D752" t="str">
        <f>_xlfn.TEXTJOIN(" ",TRUE,Table1[[#This Row],[First 
Name]:[Last 
Name]])</f>
        <v>David Ramirez</v>
      </c>
      <c r="E752" t="s">
        <v>1862</v>
      </c>
      <c r="F752" t="s">
        <v>3244</v>
      </c>
      <c r="G752" t="str">
        <f ca="1">PROPER(Table1[[#This Row],[Part Time 
Job]])</f>
        <v>False</v>
      </c>
      <c r="H752" s="3">
        <v>1</v>
      </c>
      <c r="I752" t="str">
        <f ca="1">PROPER(Table1[[#This Row],[Extracurricular 
Activities]])</f>
        <v>False</v>
      </c>
      <c r="J752">
        <v>14</v>
      </c>
      <c r="K752" t="s">
        <v>3117</v>
      </c>
      <c r="L752">
        <v>85</v>
      </c>
      <c r="M752" s="12" t="str" cm="1">
        <f t="array" ref="M75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752">
        <v>93</v>
      </c>
      <c r="O752" s="13" t="str" cm="1">
        <f t="array" ref="O75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752">
        <v>75</v>
      </c>
      <c r="Q752" s="13" t="str" cm="1">
        <f t="array" ref="Q75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752">
        <v>72</v>
      </c>
      <c r="S752" t="str" cm="1">
        <f t="array" ref="S75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752">
        <v>84</v>
      </c>
      <c r="U752" t="str" cm="1">
        <f t="array" ref="U75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752">
        <v>63</v>
      </c>
      <c r="W752" t="str" cm="1">
        <f t="array" ref="W75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752">
        <v>63</v>
      </c>
      <c r="Y752" t="str" cm="1">
        <f t="array" ref="Y75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752">
        <f>SUM(Table1[[#This Row],[Math 
Score]],Table1[[#This Row],[History 
Score]],Table1[[#This Row],[Physics 
Score]],Table1[[#This Row],[Chemistry 
Score]],Table1[[#This Row],[Biology 
Score]],Table1[[#This Row],[English 
Score]],Table1[[#This Row],[Geography 
Score]])</f>
        <v>535</v>
      </c>
      <c r="AA752" s="3">
        <f>AVERAGE(Table1[[#This Row],[Math 
Score]],Table1[[#This Row],[History 
Score]],Table1[[#This Row],[Physics 
Score]],Table1[[#This Row],[Chemistry 
Score]],Table1[[#This Row],[Biology 
Score]],Table1[[#This Row],[English 
Score]],Table1[[#This Row],[Geography 
Score]])</f>
        <v>76.428571428571431</v>
      </c>
      <c r="AB75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752">
        <f t="shared" si="11"/>
        <v>1578</v>
      </c>
      <c r="AD752" t="str">
        <f>_xlfn.IFS(Table1[[#This Row],[Absence 
Days]]&lt;3,"Excellent",Table1[[#This Row],[Absence 
Days]]&lt;=6,"Good",Table1[[#This Row],[Absence 
Days]]&gt;6,"Poor")</f>
        <v>Excellent</v>
      </c>
    </row>
    <row r="753" spans="1:30" x14ac:dyDescent="0.35">
      <c r="A753">
        <v>752</v>
      </c>
      <c r="B753" s="2" t="s">
        <v>18</v>
      </c>
      <c r="C753" t="s">
        <v>527</v>
      </c>
      <c r="D753" t="str">
        <f>_xlfn.TEXTJOIN(" ",TRUE,Table1[[#This Row],[First 
Name]:[Last 
Name]])</f>
        <v>Angela Brown</v>
      </c>
      <c r="E753" t="s">
        <v>1863</v>
      </c>
      <c r="F753" t="s">
        <v>3245</v>
      </c>
      <c r="G753" t="str">
        <f ca="1">PROPER(Table1[[#This Row],[Part Time 
Job]])</f>
        <v>False</v>
      </c>
      <c r="H753" s="3">
        <v>1</v>
      </c>
      <c r="I753" t="str">
        <f ca="1">PROPER(Table1[[#This Row],[Extracurricular 
Activities]])</f>
        <v>False</v>
      </c>
      <c r="J753">
        <v>6</v>
      </c>
      <c r="K753" t="s">
        <v>3124</v>
      </c>
      <c r="L753">
        <v>88</v>
      </c>
      <c r="M753" s="12" t="str" cm="1">
        <f t="array" ref="M75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753">
        <v>88</v>
      </c>
      <c r="O753" s="13" t="str" cm="1">
        <f t="array" ref="O75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753">
        <v>98</v>
      </c>
      <c r="Q753" s="13" t="str" cm="1">
        <f t="array" ref="Q75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753">
        <v>92</v>
      </c>
      <c r="S753" t="str" cm="1">
        <f t="array" ref="S75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753">
        <v>71</v>
      </c>
      <c r="U753" t="str" cm="1">
        <f t="array" ref="U75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753">
        <v>66</v>
      </c>
      <c r="W753" t="str" cm="1">
        <f t="array" ref="W75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753">
        <v>90</v>
      </c>
      <c r="Y753" t="str" cm="1">
        <f t="array" ref="Y75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753">
        <f>SUM(Table1[[#This Row],[Math 
Score]],Table1[[#This Row],[History 
Score]],Table1[[#This Row],[Physics 
Score]],Table1[[#This Row],[Chemistry 
Score]],Table1[[#This Row],[Biology 
Score]],Table1[[#This Row],[English 
Score]],Table1[[#This Row],[Geography 
Score]])</f>
        <v>593</v>
      </c>
      <c r="AA753" s="3">
        <f>AVERAGE(Table1[[#This Row],[Math 
Score]],Table1[[#This Row],[History 
Score]],Table1[[#This Row],[Physics 
Score]],Table1[[#This Row],[Chemistry 
Score]],Table1[[#This Row],[Biology 
Score]],Table1[[#This Row],[English 
Score]],Table1[[#This Row],[Geography 
Score]])</f>
        <v>84.714285714285708</v>
      </c>
      <c r="AB75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753">
        <f t="shared" si="11"/>
        <v>494</v>
      </c>
      <c r="AD753" t="str">
        <f>_xlfn.IFS(Table1[[#This Row],[Absence 
Days]]&lt;3,"Excellent",Table1[[#This Row],[Absence 
Days]]&lt;=6,"Good",Table1[[#This Row],[Absence 
Days]]&gt;6,"Poor")</f>
        <v>Excellent</v>
      </c>
    </row>
    <row r="754" spans="1:30" x14ac:dyDescent="0.35">
      <c r="A754">
        <v>753</v>
      </c>
      <c r="B754" s="2" t="s">
        <v>58</v>
      </c>
      <c r="C754" t="s">
        <v>532</v>
      </c>
      <c r="D754" t="str">
        <f>_xlfn.TEXTJOIN(" ",TRUE,Table1[[#This Row],[First 
Name]:[Last 
Name]])</f>
        <v>Eric Jones</v>
      </c>
      <c r="E754" t="s">
        <v>1864</v>
      </c>
      <c r="F754" t="s">
        <v>3244</v>
      </c>
      <c r="G754" t="str">
        <f ca="1">PROPER(Table1[[#This Row],[Part Time 
Job]])</f>
        <v>False</v>
      </c>
      <c r="H754" s="3">
        <v>5</v>
      </c>
      <c r="I754" t="str">
        <f ca="1">PROPER(Table1[[#This Row],[Extracurricular 
Activities]])</f>
        <v>True</v>
      </c>
      <c r="J754">
        <v>2</v>
      </c>
      <c r="K754" t="s">
        <v>3115</v>
      </c>
      <c r="L754">
        <v>100</v>
      </c>
      <c r="M754" s="12" t="str" cm="1">
        <f t="array" ref="M75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754">
        <v>67</v>
      </c>
      <c r="O754" s="13" t="str" cm="1">
        <f t="array" ref="O75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754">
        <v>98</v>
      </c>
      <c r="Q754" s="13" t="str" cm="1">
        <f t="array" ref="Q75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754">
        <v>71</v>
      </c>
      <c r="S754" t="str" cm="1">
        <f t="array" ref="S75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754">
        <v>92</v>
      </c>
      <c r="U754" t="str" cm="1">
        <f t="array" ref="U75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754">
        <v>79</v>
      </c>
      <c r="W754" t="str" cm="1">
        <f t="array" ref="W75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754">
        <v>99</v>
      </c>
      <c r="Y754" t="str" cm="1">
        <f t="array" ref="Y75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754">
        <f>SUM(Table1[[#This Row],[Math 
Score]],Table1[[#This Row],[History 
Score]],Table1[[#This Row],[Physics 
Score]],Table1[[#This Row],[Chemistry 
Score]],Table1[[#This Row],[Biology 
Score]],Table1[[#This Row],[English 
Score]],Table1[[#This Row],[Geography 
Score]])</f>
        <v>606</v>
      </c>
      <c r="AA754" s="3">
        <f>AVERAGE(Table1[[#This Row],[Math 
Score]],Table1[[#This Row],[History 
Score]],Table1[[#This Row],[Physics 
Score]],Table1[[#This Row],[Chemistry 
Score]],Table1[[#This Row],[Biology 
Score]],Table1[[#This Row],[English 
Score]],Table1[[#This Row],[Geography 
Score]])</f>
        <v>86.571428571428569</v>
      </c>
      <c r="AB75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754">
        <f t="shared" si="11"/>
        <v>333</v>
      </c>
      <c r="AD754" t="str">
        <f>_xlfn.IFS(Table1[[#This Row],[Absence 
Days]]&lt;3,"Excellent",Table1[[#This Row],[Absence 
Days]]&lt;=6,"Good",Table1[[#This Row],[Absence 
Days]]&gt;6,"Poor")</f>
        <v>Good</v>
      </c>
    </row>
    <row r="755" spans="1:30" x14ac:dyDescent="0.35">
      <c r="A755">
        <v>754</v>
      </c>
      <c r="B755" s="2" t="s">
        <v>303</v>
      </c>
      <c r="C755" t="s">
        <v>622</v>
      </c>
      <c r="D755" t="str">
        <f>_xlfn.TEXTJOIN(" ",TRUE,Table1[[#This Row],[First 
Name]:[Last 
Name]])</f>
        <v>Angel Garner</v>
      </c>
      <c r="E755" t="s">
        <v>1865</v>
      </c>
      <c r="F755" t="s">
        <v>3244</v>
      </c>
      <c r="G755" t="str">
        <f ca="1">PROPER(Table1[[#This Row],[Part Time 
Job]])</f>
        <v>False</v>
      </c>
      <c r="H755" s="3">
        <v>2</v>
      </c>
      <c r="I755" t="str">
        <f ca="1">PROPER(Table1[[#This Row],[Extracurricular 
Activities]])</f>
        <v>False</v>
      </c>
      <c r="J755">
        <v>19</v>
      </c>
      <c r="K755" t="s">
        <v>3117</v>
      </c>
      <c r="L755">
        <v>93</v>
      </c>
      <c r="M755" s="12" t="str" cm="1">
        <f t="array" ref="M75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755">
        <v>74</v>
      </c>
      <c r="O755" s="13" t="str" cm="1">
        <f t="array" ref="O75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755">
        <v>88</v>
      </c>
      <c r="Q755" s="13" t="str" cm="1">
        <f t="array" ref="Q75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755">
        <v>92</v>
      </c>
      <c r="S755" t="str" cm="1">
        <f t="array" ref="S75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755">
        <v>77</v>
      </c>
      <c r="U755" t="str" cm="1">
        <f t="array" ref="U75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755">
        <v>89</v>
      </c>
      <c r="W755" t="str" cm="1">
        <f t="array" ref="W75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755">
        <v>96</v>
      </c>
      <c r="Y755" t="str" cm="1">
        <f t="array" ref="Y75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755">
        <f>SUM(Table1[[#This Row],[Math 
Score]],Table1[[#This Row],[History 
Score]],Table1[[#This Row],[Physics 
Score]],Table1[[#This Row],[Chemistry 
Score]],Table1[[#This Row],[Biology 
Score]],Table1[[#This Row],[English 
Score]],Table1[[#This Row],[Geography 
Score]])</f>
        <v>609</v>
      </c>
      <c r="AA755" s="3">
        <f>AVERAGE(Table1[[#This Row],[Math 
Score]],Table1[[#This Row],[History 
Score]],Table1[[#This Row],[Physics 
Score]],Table1[[#This Row],[Chemistry 
Score]],Table1[[#This Row],[Biology 
Score]],Table1[[#This Row],[English 
Score]],Table1[[#This Row],[Geography 
Score]])</f>
        <v>87</v>
      </c>
      <c r="AB75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755">
        <f t="shared" si="11"/>
        <v>309</v>
      </c>
      <c r="AD755" t="str">
        <f>_xlfn.IFS(Table1[[#This Row],[Absence 
Days]]&lt;3,"Excellent",Table1[[#This Row],[Absence 
Days]]&lt;=6,"Good",Table1[[#This Row],[Absence 
Days]]&gt;6,"Poor")</f>
        <v>Excellent</v>
      </c>
    </row>
    <row r="756" spans="1:30" x14ac:dyDescent="0.35">
      <c r="A756">
        <v>755</v>
      </c>
      <c r="B756" s="2" t="s">
        <v>32</v>
      </c>
      <c r="C756" t="s">
        <v>840</v>
      </c>
      <c r="D756" t="str">
        <f>_xlfn.TEXTJOIN(" ",TRUE,Table1[[#This Row],[First 
Name]:[Last 
Name]])</f>
        <v>Lisa Cowan</v>
      </c>
      <c r="E756" t="s">
        <v>1866</v>
      </c>
      <c r="F756" t="s">
        <v>3245</v>
      </c>
      <c r="G756" t="str">
        <f ca="1">PROPER(Table1[[#This Row],[Part Time 
Job]])</f>
        <v>False</v>
      </c>
      <c r="H756" s="3">
        <v>1</v>
      </c>
      <c r="I756" t="str">
        <f ca="1">PROPER(Table1[[#This Row],[Extracurricular 
Activities]])</f>
        <v>False</v>
      </c>
      <c r="J756">
        <v>1</v>
      </c>
      <c r="K756" t="s">
        <v>3115</v>
      </c>
      <c r="L756">
        <v>70</v>
      </c>
      <c r="M756" s="12" t="str" cm="1">
        <f t="array" ref="M756">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756">
        <v>63</v>
      </c>
      <c r="O756" s="13" t="str" cm="1">
        <f t="array" ref="O75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756">
        <v>73</v>
      </c>
      <c r="Q756" s="13" t="str" cm="1">
        <f t="array" ref="Q75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756">
        <v>97</v>
      </c>
      <c r="S756" t="str" cm="1">
        <f t="array" ref="S75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756">
        <v>63</v>
      </c>
      <c r="U756" t="str" cm="1">
        <f t="array" ref="U75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756">
        <v>61</v>
      </c>
      <c r="W756" t="str" cm="1">
        <f t="array" ref="W75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756">
        <v>90</v>
      </c>
      <c r="Y756" t="str" cm="1">
        <f t="array" ref="Y75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756">
        <f>SUM(Table1[[#This Row],[Math 
Score]],Table1[[#This Row],[History 
Score]],Table1[[#This Row],[Physics 
Score]],Table1[[#This Row],[Chemistry 
Score]],Table1[[#This Row],[Biology 
Score]],Table1[[#This Row],[English 
Score]],Table1[[#This Row],[Geography 
Score]])</f>
        <v>517</v>
      </c>
      <c r="AA756" s="3">
        <f>AVERAGE(Table1[[#This Row],[Math 
Score]],Table1[[#This Row],[History 
Score]],Table1[[#This Row],[Physics 
Score]],Table1[[#This Row],[Chemistry 
Score]],Table1[[#This Row],[Biology 
Score]],Table1[[#This Row],[English 
Score]],Table1[[#This Row],[Geography 
Score]])</f>
        <v>73.857142857142861</v>
      </c>
      <c r="AB75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756">
        <f t="shared" si="11"/>
        <v>1781</v>
      </c>
      <c r="AD756" t="str">
        <f>_xlfn.IFS(Table1[[#This Row],[Absence 
Days]]&lt;3,"Excellent",Table1[[#This Row],[Absence 
Days]]&lt;=6,"Good",Table1[[#This Row],[Absence 
Days]]&gt;6,"Poor")</f>
        <v>Excellent</v>
      </c>
    </row>
    <row r="757" spans="1:30" x14ac:dyDescent="0.35">
      <c r="A757">
        <v>756</v>
      </c>
      <c r="B757" s="2" t="s">
        <v>203</v>
      </c>
      <c r="C757" t="s">
        <v>566</v>
      </c>
      <c r="D757" t="str">
        <f>_xlfn.TEXTJOIN(" ",TRUE,Table1[[#This Row],[First 
Name]:[Last 
Name]])</f>
        <v>Nicole Perry</v>
      </c>
      <c r="E757" t="s">
        <v>1867</v>
      </c>
      <c r="F757" t="s">
        <v>3245</v>
      </c>
      <c r="G757" t="str">
        <f ca="1">PROPER(Table1[[#This Row],[Part Time 
Job]])</f>
        <v>False</v>
      </c>
      <c r="H757" s="3">
        <v>2</v>
      </c>
      <c r="I757" t="str">
        <f ca="1">PROPER(Table1[[#This Row],[Extracurricular 
Activities]])</f>
        <v>False</v>
      </c>
      <c r="J757">
        <v>13</v>
      </c>
      <c r="K757" t="s">
        <v>3121</v>
      </c>
      <c r="L757">
        <v>82</v>
      </c>
      <c r="M757" s="12" t="str" cm="1">
        <f t="array" ref="M75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757">
        <v>67</v>
      </c>
      <c r="O757" s="13" t="str" cm="1">
        <f t="array" ref="O75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757">
        <v>94</v>
      </c>
      <c r="Q757" s="13" t="str" cm="1">
        <f t="array" ref="Q75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757">
        <v>88</v>
      </c>
      <c r="S757" t="str" cm="1">
        <f t="array" ref="S75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757">
        <v>86</v>
      </c>
      <c r="U757" t="str" cm="1">
        <f t="array" ref="U75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757">
        <v>89</v>
      </c>
      <c r="W757" t="str" cm="1">
        <f t="array" ref="W75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757">
        <v>98</v>
      </c>
      <c r="Y757" t="str" cm="1">
        <f t="array" ref="Y75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757">
        <f>SUM(Table1[[#This Row],[Math 
Score]],Table1[[#This Row],[History 
Score]],Table1[[#This Row],[Physics 
Score]],Table1[[#This Row],[Chemistry 
Score]],Table1[[#This Row],[Biology 
Score]],Table1[[#This Row],[English 
Score]],Table1[[#This Row],[Geography 
Score]])</f>
        <v>604</v>
      </c>
      <c r="AA757" s="3">
        <f>AVERAGE(Table1[[#This Row],[Math 
Score]],Table1[[#This Row],[History 
Score]],Table1[[#This Row],[Physics 
Score]],Table1[[#This Row],[Chemistry 
Score]],Table1[[#This Row],[Biology 
Score]],Table1[[#This Row],[English 
Score]],Table1[[#This Row],[Geography 
Score]])</f>
        <v>86.285714285714292</v>
      </c>
      <c r="AB75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757">
        <f t="shared" si="11"/>
        <v>353</v>
      </c>
      <c r="AD757" t="str">
        <f>_xlfn.IFS(Table1[[#This Row],[Absence 
Days]]&lt;3,"Excellent",Table1[[#This Row],[Absence 
Days]]&lt;=6,"Good",Table1[[#This Row],[Absence 
Days]]&gt;6,"Poor")</f>
        <v>Excellent</v>
      </c>
    </row>
    <row r="758" spans="1:30" x14ac:dyDescent="0.35">
      <c r="A758">
        <v>757</v>
      </c>
      <c r="B758" s="2" t="s">
        <v>304</v>
      </c>
      <c r="C758" t="s">
        <v>841</v>
      </c>
      <c r="D758" t="str">
        <f>_xlfn.TEXTJOIN(" ",TRUE,Table1[[#This Row],[First 
Name]:[Last 
Name]])</f>
        <v>Annette Wells</v>
      </c>
      <c r="E758" t="s">
        <v>1868</v>
      </c>
      <c r="F758" t="s">
        <v>3245</v>
      </c>
      <c r="G758" t="str">
        <f ca="1">PROPER(Table1[[#This Row],[Part Time 
Job]])</f>
        <v>True</v>
      </c>
      <c r="H758" s="3">
        <v>8</v>
      </c>
      <c r="I758" t="str">
        <f ca="1">PROPER(Table1[[#This Row],[Extracurricular 
Activities]])</f>
        <v>False</v>
      </c>
      <c r="J758">
        <v>3</v>
      </c>
      <c r="K758" t="s">
        <v>3119</v>
      </c>
      <c r="L758">
        <v>41</v>
      </c>
      <c r="M758" s="12" t="str" cm="1">
        <f t="array" ref="M758">_xlfn.IFS(Table1[[#This Row],[Math 
Score]]&gt;=90,"A+",Table1[[#This Row],[Math 
Score]]&gt;=80,"A", Table1[[#This Row],[Math 
Score]]&gt;=75,"A-",Table1[[#This Row],[Math 
Score]]&gt;=70,"B+",Table1[[#This Row],[Math 
Score]]&gt;=65,"B",Table1[[#This Row],[Math 
Score]]&gt;=60,"B-",Table1[[#This Row],[Math 
Score]]&gt;=50,"C",Table1[[#This Row],[Math 
Score]]&gt;=40,"D",Table1[[#This Row],[Math 
Score]]&lt;40,"F")</f>
        <v>D</v>
      </c>
      <c r="N758">
        <v>76</v>
      </c>
      <c r="O758" s="13" t="str" cm="1">
        <f t="array" ref="O75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758">
        <v>94</v>
      </c>
      <c r="Q758" s="13" t="str" cm="1">
        <f t="array" ref="Q75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758">
        <v>93</v>
      </c>
      <c r="S758" t="str" cm="1">
        <f t="array" ref="S75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758">
        <v>79</v>
      </c>
      <c r="U758" t="str" cm="1">
        <f t="array" ref="U75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758">
        <v>84</v>
      </c>
      <c r="W758" t="str" cm="1">
        <f t="array" ref="W75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758">
        <v>96</v>
      </c>
      <c r="Y758" t="str" cm="1">
        <f t="array" ref="Y75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758">
        <f>SUM(Table1[[#This Row],[Math 
Score]],Table1[[#This Row],[History 
Score]],Table1[[#This Row],[Physics 
Score]],Table1[[#This Row],[Chemistry 
Score]],Table1[[#This Row],[Biology 
Score]],Table1[[#This Row],[English 
Score]],Table1[[#This Row],[Geography 
Score]])</f>
        <v>563</v>
      </c>
      <c r="AA758" s="3">
        <f>AVERAGE(Table1[[#This Row],[Math 
Score]],Table1[[#This Row],[History 
Score]],Table1[[#This Row],[Physics 
Score]],Table1[[#This Row],[Chemistry 
Score]],Table1[[#This Row],[Biology 
Score]],Table1[[#This Row],[English 
Score]],Table1[[#This Row],[Geography 
Score]])</f>
        <v>80.428571428571431</v>
      </c>
      <c r="AB75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758">
        <f t="shared" si="11"/>
        <v>1077</v>
      </c>
      <c r="AD758" t="str">
        <f>_xlfn.IFS(Table1[[#This Row],[Absence 
Days]]&lt;3,"Excellent",Table1[[#This Row],[Absence 
Days]]&lt;=6,"Good",Table1[[#This Row],[Absence 
Days]]&gt;6,"Poor")</f>
        <v>Poor</v>
      </c>
    </row>
    <row r="759" spans="1:30" x14ac:dyDescent="0.35">
      <c r="A759">
        <v>758</v>
      </c>
      <c r="B759" s="2" t="s">
        <v>305</v>
      </c>
      <c r="C759" t="s">
        <v>192</v>
      </c>
      <c r="D759" t="str">
        <f>_xlfn.TEXTJOIN(" ",TRUE,Table1[[#This Row],[First 
Name]:[Last 
Name]])</f>
        <v>Ian Scott</v>
      </c>
      <c r="E759" t="s">
        <v>1869</v>
      </c>
      <c r="F759" t="s">
        <v>3244</v>
      </c>
      <c r="G759" t="str">
        <f ca="1">PROPER(Table1[[#This Row],[Part Time 
Job]])</f>
        <v>False</v>
      </c>
      <c r="H759" s="3">
        <v>2</v>
      </c>
      <c r="I759" t="str">
        <f ca="1">PROPER(Table1[[#This Row],[Extracurricular 
Activities]])</f>
        <v>False</v>
      </c>
      <c r="J759">
        <v>21</v>
      </c>
      <c r="K759" t="s">
        <v>3121</v>
      </c>
      <c r="L759">
        <v>94</v>
      </c>
      <c r="M759" s="12" t="str" cm="1">
        <f t="array" ref="M75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759">
        <v>74</v>
      </c>
      <c r="O759" s="13" t="str" cm="1">
        <f t="array" ref="O75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759">
        <v>74</v>
      </c>
      <c r="Q759" s="13" t="str" cm="1">
        <f t="array" ref="Q75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759">
        <v>89</v>
      </c>
      <c r="S759" t="str" cm="1">
        <f t="array" ref="S75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759">
        <v>67</v>
      </c>
      <c r="U759" t="str" cm="1">
        <f t="array" ref="U75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759">
        <v>93</v>
      </c>
      <c r="W759" t="str" cm="1">
        <f t="array" ref="W75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759">
        <v>96</v>
      </c>
      <c r="Y759" t="str" cm="1">
        <f t="array" ref="Y75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759">
        <f>SUM(Table1[[#This Row],[Math 
Score]],Table1[[#This Row],[History 
Score]],Table1[[#This Row],[Physics 
Score]],Table1[[#This Row],[Chemistry 
Score]],Table1[[#This Row],[Biology 
Score]],Table1[[#This Row],[English 
Score]],Table1[[#This Row],[Geography 
Score]])</f>
        <v>587</v>
      </c>
      <c r="AA759" s="3">
        <f>AVERAGE(Table1[[#This Row],[Math 
Score]],Table1[[#This Row],[History 
Score]],Table1[[#This Row],[Physics 
Score]],Table1[[#This Row],[Chemistry 
Score]],Table1[[#This Row],[Biology 
Score]],Table1[[#This Row],[English 
Score]],Table1[[#This Row],[Geography 
Score]])</f>
        <v>83.857142857142861</v>
      </c>
      <c r="AB75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759">
        <f t="shared" si="11"/>
        <v>583</v>
      </c>
      <c r="AD759" t="str">
        <f>_xlfn.IFS(Table1[[#This Row],[Absence 
Days]]&lt;3,"Excellent",Table1[[#This Row],[Absence 
Days]]&lt;=6,"Good",Table1[[#This Row],[Absence 
Days]]&gt;6,"Poor")</f>
        <v>Excellent</v>
      </c>
    </row>
    <row r="760" spans="1:30" x14ac:dyDescent="0.35">
      <c r="A760">
        <v>759</v>
      </c>
      <c r="B760" s="2" t="s">
        <v>306</v>
      </c>
      <c r="C760" t="s">
        <v>593</v>
      </c>
      <c r="D760" t="str">
        <f>_xlfn.TEXTJOIN(" ",TRUE,Table1[[#This Row],[First 
Name]:[Last 
Name]])</f>
        <v>Kari Hernandez</v>
      </c>
      <c r="E760" t="s">
        <v>1870</v>
      </c>
      <c r="F760" t="s">
        <v>3245</v>
      </c>
      <c r="G760" t="str">
        <f ca="1">PROPER(Table1[[#This Row],[Part Time 
Job]])</f>
        <v>True</v>
      </c>
      <c r="H760" s="3">
        <v>2</v>
      </c>
      <c r="I760" t="str">
        <f ca="1">PROPER(Table1[[#This Row],[Extracurricular 
Activities]])</f>
        <v>False</v>
      </c>
      <c r="J760">
        <v>29</v>
      </c>
      <c r="K760" t="s">
        <v>3124</v>
      </c>
      <c r="L760">
        <v>67</v>
      </c>
      <c r="M760" s="12" t="str" cm="1">
        <f t="array" ref="M760">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760">
        <v>69</v>
      </c>
      <c r="O760" s="13" t="str" cm="1">
        <f t="array" ref="O76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760">
        <v>75</v>
      </c>
      <c r="Q760" s="13" t="str" cm="1">
        <f t="array" ref="Q76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760">
        <v>94</v>
      </c>
      <c r="S760" t="str" cm="1">
        <f t="array" ref="S76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760">
        <v>98</v>
      </c>
      <c r="U760" t="str" cm="1">
        <f t="array" ref="U76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760">
        <v>80</v>
      </c>
      <c r="W760" t="str" cm="1">
        <f t="array" ref="W76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760">
        <v>74</v>
      </c>
      <c r="Y760" t="str" cm="1">
        <f t="array" ref="Y76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760">
        <f>SUM(Table1[[#This Row],[Math 
Score]],Table1[[#This Row],[History 
Score]],Table1[[#This Row],[Physics 
Score]],Table1[[#This Row],[Chemistry 
Score]],Table1[[#This Row],[Biology 
Score]],Table1[[#This Row],[English 
Score]],Table1[[#This Row],[Geography 
Score]])</f>
        <v>557</v>
      </c>
      <c r="AA760" s="3">
        <f>AVERAGE(Table1[[#This Row],[Math 
Score]],Table1[[#This Row],[History 
Score]],Table1[[#This Row],[Physics 
Score]],Table1[[#This Row],[Chemistry 
Score]],Table1[[#This Row],[Biology 
Score]],Table1[[#This Row],[English 
Score]],Table1[[#This Row],[Geography 
Score]])</f>
        <v>79.571428571428569</v>
      </c>
      <c r="AB76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760">
        <f t="shared" si="11"/>
        <v>1200</v>
      </c>
      <c r="AD760" t="str">
        <f>_xlfn.IFS(Table1[[#This Row],[Absence 
Days]]&lt;3,"Excellent",Table1[[#This Row],[Absence 
Days]]&lt;=6,"Good",Table1[[#This Row],[Absence 
Days]]&gt;6,"Poor")</f>
        <v>Excellent</v>
      </c>
    </row>
    <row r="761" spans="1:30" x14ac:dyDescent="0.35">
      <c r="A761">
        <v>760</v>
      </c>
      <c r="B761" s="2" t="s">
        <v>270</v>
      </c>
      <c r="C761" t="s">
        <v>842</v>
      </c>
      <c r="D761" t="str">
        <f>_xlfn.TEXTJOIN(" ",TRUE,Table1[[#This Row],[First 
Name]:[Last 
Name]])</f>
        <v>Mary Haynes</v>
      </c>
      <c r="E761" t="s">
        <v>1871</v>
      </c>
      <c r="F761" t="s">
        <v>3245</v>
      </c>
      <c r="G761" t="str">
        <f ca="1">PROPER(Table1[[#This Row],[Part Time 
Job]])</f>
        <v>False</v>
      </c>
      <c r="H761" s="3">
        <v>0</v>
      </c>
      <c r="I761" t="str">
        <f ca="1">PROPER(Table1[[#This Row],[Extracurricular 
Activities]])</f>
        <v>True</v>
      </c>
      <c r="J761">
        <v>11</v>
      </c>
      <c r="K761" t="s">
        <v>3114</v>
      </c>
      <c r="L761">
        <v>89</v>
      </c>
      <c r="M761" s="12" t="str" cm="1">
        <f t="array" ref="M76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761">
        <v>75</v>
      </c>
      <c r="O761" s="13" t="str" cm="1">
        <f t="array" ref="O76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761">
        <v>64</v>
      </c>
      <c r="Q761" s="13" t="str" cm="1">
        <f t="array" ref="Q76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761">
        <v>81</v>
      </c>
      <c r="S761" t="str" cm="1">
        <f t="array" ref="S76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761">
        <v>66</v>
      </c>
      <c r="U761" t="str" cm="1">
        <f t="array" ref="U76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761">
        <v>82</v>
      </c>
      <c r="W761" t="str" cm="1">
        <f t="array" ref="W76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761">
        <v>92</v>
      </c>
      <c r="Y761" t="str" cm="1">
        <f t="array" ref="Y76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761">
        <f>SUM(Table1[[#This Row],[Math 
Score]],Table1[[#This Row],[History 
Score]],Table1[[#This Row],[Physics 
Score]],Table1[[#This Row],[Chemistry 
Score]],Table1[[#This Row],[Biology 
Score]],Table1[[#This Row],[English 
Score]],Table1[[#This Row],[Geography 
Score]])</f>
        <v>549</v>
      </c>
      <c r="AA761" s="3">
        <f>AVERAGE(Table1[[#This Row],[Math 
Score]],Table1[[#This Row],[History 
Score]],Table1[[#This Row],[Physics 
Score]],Table1[[#This Row],[Chemistry 
Score]],Table1[[#This Row],[Biology 
Score]],Table1[[#This Row],[English 
Score]],Table1[[#This Row],[Geography 
Score]])</f>
        <v>78.428571428571431</v>
      </c>
      <c r="AB76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761">
        <f t="shared" si="11"/>
        <v>1355</v>
      </c>
      <c r="AD761" t="str">
        <f>_xlfn.IFS(Table1[[#This Row],[Absence 
Days]]&lt;3,"Excellent",Table1[[#This Row],[Absence 
Days]]&lt;=6,"Good",Table1[[#This Row],[Absence 
Days]]&gt;6,"Poor")</f>
        <v>Excellent</v>
      </c>
    </row>
    <row r="762" spans="1:30" x14ac:dyDescent="0.35">
      <c r="A762">
        <v>761</v>
      </c>
      <c r="B762" s="2" t="s">
        <v>62</v>
      </c>
      <c r="C762" t="s">
        <v>458</v>
      </c>
      <c r="D762" t="str">
        <f>_xlfn.TEXTJOIN(" ",TRUE,Table1[[#This Row],[First 
Name]:[Last 
Name]])</f>
        <v>Raymond Smith</v>
      </c>
      <c r="E762" t="s">
        <v>1872</v>
      </c>
      <c r="F762" t="s">
        <v>3244</v>
      </c>
      <c r="G762" t="str">
        <f ca="1">PROPER(Table1[[#This Row],[Part Time 
Job]])</f>
        <v>False</v>
      </c>
      <c r="H762" s="3">
        <v>3</v>
      </c>
      <c r="I762" t="str">
        <f ca="1">PROPER(Table1[[#This Row],[Extracurricular 
Activities]])</f>
        <v>False</v>
      </c>
      <c r="J762">
        <v>23</v>
      </c>
      <c r="K762" t="s">
        <v>3113</v>
      </c>
      <c r="L762">
        <v>82</v>
      </c>
      <c r="M762" s="12" t="str" cm="1">
        <f t="array" ref="M76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762">
        <v>82</v>
      </c>
      <c r="O762" s="13" t="str" cm="1">
        <f t="array" ref="O76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762">
        <v>100</v>
      </c>
      <c r="Q762" s="13" t="str" cm="1">
        <f t="array" ref="Q76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762">
        <v>93</v>
      </c>
      <c r="S762" t="str" cm="1">
        <f t="array" ref="S76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762">
        <v>91</v>
      </c>
      <c r="U762" t="str" cm="1">
        <f t="array" ref="U76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762">
        <v>61</v>
      </c>
      <c r="W762" t="str" cm="1">
        <f t="array" ref="W76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762">
        <v>83</v>
      </c>
      <c r="Y762" t="str" cm="1">
        <f t="array" ref="Y76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762">
        <f>SUM(Table1[[#This Row],[Math 
Score]],Table1[[#This Row],[History 
Score]],Table1[[#This Row],[Physics 
Score]],Table1[[#This Row],[Chemistry 
Score]],Table1[[#This Row],[Biology 
Score]],Table1[[#This Row],[English 
Score]],Table1[[#This Row],[Geography 
Score]])</f>
        <v>592</v>
      </c>
      <c r="AA762" s="3">
        <f>AVERAGE(Table1[[#This Row],[Math 
Score]],Table1[[#This Row],[History 
Score]],Table1[[#This Row],[Physics 
Score]],Table1[[#This Row],[Chemistry 
Score]],Table1[[#This Row],[Biology 
Score]],Table1[[#This Row],[English 
Score]],Table1[[#This Row],[Geography 
Score]])</f>
        <v>84.571428571428569</v>
      </c>
      <c r="AB76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762">
        <f t="shared" si="11"/>
        <v>505</v>
      </c>
      <c r="AD762" t="str">
        <f>_xlfn.IFS(Table1[[#This Row],[Absence 
Days]]&lt;3,"Excellent",Table1[[#This Row],[Absence 
Days]]&lt;=6,"Good",Table1[[#This Row],[Absence 
Days]]&gt;6,"Poor")</f>
        <v>Good</v>
      </c>
    </row>
    <row r="763" spans="1:30" x14ac:dyDescent="0.35">
      <c r="A763">
        <v>762</v>
      </c>
      <c r="B763" s="2" t="s">
        <v>36</v>
      </c>
      <c r="C763" t="s">
        <v>843</v>
      </c>
      <c r="D763" t="str">
        <f>_xlfn.TEXTJOIN(" ",TRUE,Table1[[#This Row],[First 
Name]:[Last 
Name]])</f>
        <v>Christopher Ayala</v>
      </c>
      <c r="E763" t="s">
        <v>1873</v>
      </c>
      <c r="F763" t="s">
        <v>3244</v>
      </c>
      <c r="G763" t="str">
        <f ca="1">PROPER(Table1[[#This Row],[Part Time 
Job]])</f>
        <v>True</v>
      </c>
      <c r="H763" s="3">
        <v>2</v>
      </c>
      <c r="I763" t="str">
        <f ca="1">PROPER(Table1[[#This Row],[Extracurricular 
Activities]])</f>
        <v>False</v>
      </c>
      <c r="J763">
        <v>30</v>
      </c>
      <c r="K763" t="s">
        <v>3117</v>
      </c>
      <c r="L763">
        <v>96</v>
      </c>
      <c r="M763" s="12" t="str" cm="1">
        <f t="array" ref="M76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763">
        <v>79</v>
      </c>
      <c r="O763" s="13" t="str" cm="1">
        <f t="array" ref="O76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763">
        <v>93</v>
      </c>
      <c r="Q763" s="13" t="str" cm="1">
        <f t="array" ref="Q76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763">
        <v>92</v>
      </c>
      <c r="S763" t="str" cm="1">
        <f t="array" ref="S76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763">
        <v>92</v>
      </c>
      <c r="U763" t="str" cm="1">
        <f t="array" ref="U76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763">
        <v>71</v>
      </c>
      <c r="W763" t="str" cm="1">
        <f t="array" ref="W76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763">
        <v>87</v>
      </c>
      <c r="Y763" t="str" cm="1">
        <f t="array" ref="Y76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763">
        <f>SUM(Table1[[#This Row],[Math 
Score]],Table1[[#This Row],[History 
Score]],Table1[[#This Row],[Physics 
Score]],Table1[[#This Row],[Chemistry 
Score]],Table1[[#This Row],[Biology 
Score]],Table1[[#This Row],[English 
Score]],Table1[[#This Row],[Geography 
Score]])</f>
        <v>610</v>
      </c>
      <c r="AA763" s="3">
        <f>AVERAGE(Table1[[#This Row],[Math 
Score]],Table1[[#This Row],[History 
Score]],Table1[[#This Row],[Physics 
Score]],Table1[[#This Row],[Chemistry 
Score]],Table1[[#This Row],[Biology 
Score]],Table1[[#This Row],[English 
Score]],Table1[[#This Row],[Geography 
Score]])</f>
        <v>87.142857142857139</v>
      </c>
      <c r="AB76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763">
        <f t="shared" si="11"/>
        <v>298</v>
      </c>
      <c r="AD763" t="str">
        <f>_xlfn.IFS(Table1[[#This Row],[Absence 
Days]]&lt;3,"Excellent",Table1[[#This Row],[Absence 
Days]]&lt;=6,"Good",Table1[[#This Row],[Absence 
Days]]&gt;6,"Poor")</f>
        <v>Excellent</v>
      </c>
    </row>
    <row r="764" spans="1:30" x14ac:dyDescent="0.35">
      <c r="A764">
        <v>763</v>
      </c>
      <c r="B764" s="2" t="s">
        <v>307</v>
      </c>
      <c r="C764" t="s">
        <v>597</v>
      </c>
      <c r="D764" t="str">
        <f>_xlfn.TEXTJOIN(" ",TRUE,Table1[[#This Row],[First 
Name]:[Last 
Name]])</f>
        <v>Jacqueline Frazier</v>
      </c>
      <c r="E764" t="s">
        <v>1874</v>
      </c>
      <c r="F764" t="s">
        <v>3245</v>
      </c>
      <c r="G764" t="str">
        <f ca="1">PROPER(Table1[[#This Row],[Part Time 
Job]])</f>
        <v>False</v>
      </c>
      <c r="H764" s="3">
        <v>1</v>
      </c>
      <c r="I764" t="str">
        <f ca="1">PROPER(Table1[[#This Row],[Extracurricular 
Activities]])</f>
        <v>False</v>
      </c>
      <c r="J764">
        <v>13</v>
      </c>
      <c r="K764" t="s">
        <v>3123</v>
      </c>
      <c r="L764">
        <v>94</v>
      </c>
      <c r="M764" s="12" t="str" cm="1">
        <f t="array" ref="M76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764">
        <v>84</v>
      </c>
      <c r="O764" s="13" t="str" cm="1">
        <f t="array" ref="O76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764">
        <v>84</v>
      </c>
      <c r="Q764" s="13" t="str" cm="1">
        <f t="array" ref="Q76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764">
        <v>89</v>
      </c>
      <c r="S764" t="str" cm="1">
        <f t="array" ref="S76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764">
        <v>52</v>
      </c>
      <c r="U764" t="str" cm="1">
        <f t="array" ref="U76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C</v>
      </c>
      <c r="V764">
        <v>97</v>
      </c>
      <c r="W764" t="str" cm="1">
        <f t="array" ref="W76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764">
        <v>76</v>
      </c>
      <c r="Y764" t="str" cm="1">
        <f t="array" ref="Y76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764">
        <f>SUM(Table1[[#This Row],[Math 
Score]],Table1[[#This Row],[History 
Score]],Table1[[#This Row],[Physics 
Score]],Table1[[#This Row],[Chemistry 
Score]],Table1[[#This Row],[Biology 
Score]],Table1[[#This Row],[English 
Score]],Table1[[#This Row],[Geography 
Score]])</f>
        <v>576</v>
      </c>
      <c r="AA764" s="3">
        <f>AVERAGE(Table1[[#This Row],[Math 
Score]],Table1[[#This Row],[History 
Score]],Table1[[#This Row],[Physics 
Score]],Table1[[#This Row],[Chemistry 
Score]],Table1[[#This Row],[Biology 
Score]],Table1[[#This Row],[English 
Score]],Table1[[#This Row],[Geography 
Score]])</f>
        <v>82.285714285714292</v>
      </c>
      <c r="AB76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764">
        <f t="shared" si="11"/>
        <v>789</v>
      </c>
      <c r="AD764" t="str">
        <f>_xlfn.IFS(Table1[[#This Row],[Absence 
Days]]&lt;3,"Excellent",Table1[[#This Row],[Absence 
Days]]&lt;=6,"Good",Table1[[#This Row],[Absence 
Days]]&gt;6,"Poor")</f>
        <v>Excellent</v>
      </c>
    </row>
    <row r="765" spans="1:30" x14ac:dyDescent="0.35">
      <c r="A765">
        <v>764</v>
      </c>
      <c r="B765" s="2" t="s">
        <v>308</v>
      </c>
      <c r="C765" t="s">
        <v>5</v>
      </c>
      <c r="D765" t="str">
        <f>_xlfn.TEXTJOIN(" ",TRUE,Table1[[#This Row],[First 
Name]:[Last 
Name]])</f>
        <v>Jesse Kelly</v>
      </c>
      <c r="E765" t="s">
        <v>1875</v>
      </c>
      <c r="F765" t="s">
        <v>3244</v>
      </c>
      <c r="G765" t="str">
        <f ca="1">PROPER(Table1[[#This Row],[Part Time 
Job]])</f>
        <v>False</v>
      </c>
      <c r="H765" s="3">
        <v>4</v>
      </c>
      <c r="I765" t="str">
        <f ca="1">PROPER(Table1[[#This Row],[Extracurricular 
Activities]])</f>
        <v>False</v>
      </c>
      <c r="J765">
        <v>19</v>
      </c>
      <c r="K765" t="s">
        <v>3125</v>
      </c>
      <c r="L765">
        <v>84</v>
      </c>
      <c r="M765" s="12" t="str" cm="1">
        <f t="array" ref="M76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765">
        <v>65</v>
      </c>
      <c r="O765" s="13" t="str" cm="1">
        <f t="array" ref="O76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765">
        <v>83</v>
      </c>
      <c r="Q765" s="13" t="str" cm="1">
        <f t="array" ref="Q76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765">
        <v>99</v>
      </c>
      <c r="S765" t="str" cm="1">
        <f t="array" ref="S76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765">
        <v>86</v>
      </c>
      <c r="U765" t="str" cm="1">
        <f t="array" ref="U76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765">
        <v>75</v>
      </c>
      <c r="W765" t="str" cm="1">
        <f t="array" ref="W76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765">
        <v>67</v>
      </c>
      <c r="Y765" t="str" cm="1">
        <f t="array" ref="Y76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765">
        <f>SUM(Table1[[#This Row],[Math 
Score]],Table1[[#This Row],[History 
Score]],Table1[[#This Row],[Physics 
Score]],Table1[[#This Row],[Chemistry 
Score]],Table1[[#This Row],[Biology 
Score]],Table1[[#This Row],[English 
Score]],Table1[[#This Row],[Geography 
Score]])</f>
        <v>559</v>
      </c>
      <c r="AA765" s="3">
        <f>AVERAGE(Table1[[#This Row],[Math 
Score]],Table1[[#This Row],[History 
Score]],Table1[[#This Row],[Physics 
Score]],Table1[[#This Row],[Chemistry 
Score]],Table1[[#This Row],[Biology 
Score]],Table1[[#This Row],[English 
Score]],Table1[[#This Row],[Geography 
Score]])</f>
        <v>79.857142857142861</v>
      </c>
      <c r="AB76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765">
        <f t="shared" si="11"/>
        <v>1155</v>
      </c>
      <c r="AD765" t="str">
        <f>_xlfn.IFS(Table1[[#This Row],[Absence 
Days]]&lt;3,"Excellent",Table1[[#This Row],[Absence 
Days]]&lt;=6,"Good",Table1[[#This Row],[Absence 
Days]]&gt;6,"Poor")</f>
        <v>Good</v>
      </c>
    </row>
    <row r="766" spans="1:30" x14ac:dyDescent="0.35">
      <c r="A766">
        <v>765</v>
      </c>
      <c r="B766" s="2" t="s">
        <v>215</v>
      </c>
      <c r="C766" t="s">
        <v>326</v>
      </c>
      <c r="D766" t="str">
        <f>_xlfn.TEXTJOIN(" ",TRUE,Table1[[#This Row],[First 
Name]:[Last 
Name]])</f>
        <v>Teresa Lee</v>
      </c>
      <c r="E766" t="s">
        <v>1876</v>
      </c>
      <c r="F766" t="s">
        <v>3245</v>
      </c>
      <c r="G766" t="str">
        <f ca="1">PROPER(Table1[[#This Row],[Part Time 
Job]])</f>
        <v>False</v>
      </c>
      <c r="H766" s="3">
        <v>5</v>
      </c>
      <c r="I766" t="str">
        <f ca="1">PROPER(Table1[[#This Row],[Extracurricular 
Activities]])</f>
        <v>False</v>
      </c>
      <c r="J766">
        <v>33</v>
      </c>
      <c r="K766" t="s">
        <v>3117</v>
      </c>
      <c r="L766">
        <v>87</v>
      </c>
      <c r="M766" s="12" t="str" cm="1">
        <f t="array" ref="M76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766">
        <v>98</v>
      </c>
      <c r="O766" s="13" t="str" cm="1">
        <f t="array" ref="O76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766">
        <v>97</v>
      </c>
      <c r="Q766" s="13" t="str" cm="1">
        <f t="array" ref="Q76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766">
        <v>70</v>
      </c>
      <c r="S766" t="str" cm="1">
        <f t="array" ref="S76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766">
        <v>80</v>
      </c>
      <c r="U766" t="str" cm="1">
        <f t="array" ref="U76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766">
        <v>67</v>
      </c>
      <c r="W766" t="str" cm="1">
        <f t="array" ref="W76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766">
        <v>82</v>
      </c>
      <c r="Y766" t="str" cm="1">
        <f t="array" ref="Y76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766">
        <f>SUM(Table1[[#This Row],[Math 
Score]],Table1[[#This Row],[History 
Score]],Table1[[#This Row],[Physics 
Score]],Table1[[#This Row],[Chemistry 
Score]],Table1[[#This Row],[Biology 
Score]],Table1[[#This Row],[English 
Score]],Table1[[#This Row],[Geography 
Score]])</f>
        <v>581</v>
      </c>
      <c r="AA766" s="3">
        <f>AVERAGE(Table1[[#This Row],[Math 
Score]],Table1[[#This Row],[History 
Score]],Table1[[#This Row],[Physics 
Score]],Table1[[#This Row],[Chemistry 
Score]],Table1[[#This Row],[Biology 
Score]],Table1[[#This Row],[English 
Score]],Table1[[#This Row],[Geography 
Score]])</f>
        <v>83</v>
      </c>
      <c r="AB76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766">
        <f t="shared" si="11"/>
        <v>688</v>
      </c>
      <c r="AD766" t="str">
        <f>_xlfn.IFS(Table1[[#This Row],[Absence 
Days]]&lt;3,"Excellent",Table1[[#This Row],[Absence 
Days]]&lt;=6,"Good",Table1[[#This Row],[Absence 
Days]]&gt;6,"Poor")</f>
        <v>Good</v>
      </c>
    </row>
    <row r="767" spans="1:30" x14ac:dyDescent="0.35">
      <c r="A767">
        <v>766</v>
      </c>
      <c r="B767" s="2" t="s">
        <v>34</v>
      </c>
      <c r="C767" t="s">
        <v>844</v>
      </c>
      <c r="D767" t="str">
        <f>_xlfn.TEXTJOIN(" ",TRUE,Table1[[#This Row],[First 
Name]:[Last 
Name]])</f>
        <v>Michael Aguirre</v>
      </c>
      <c r="E767" t="s">
        <v>1877</v>
      </c>
      <c r="F767" t="s">
        <v>3244</v>
      </c>
      <c r="G767" t="str">
        <f ca="1">PROPER(Table1[[#This Row],[Part Time 
Job]])</f>
        <v>False</v>
      </c>
      <c r="H767" s="3">
        <v>2</v>
      </c>
      <c r="I767" t="str">
        <f ca="1">PROPER(Table1[[#This Row],[Extracurricular 
Activities]])</f>
        <v>False</v>
      </c>
      <c r="J767">
        <v>21</v>
      </c>
      <c r="K767" t="s">
        <v>3117</v>
      </c>
      <c r="L767">
        <v>90</v>
      </c>
      <c r="M767" s="12" t="str" cm="1">
        <f t="array" ref="M76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767">
        <v>93</v>
      </c>
      <c r="O767" s="13" t="str" cm="1">
        <f t="array" ref="O76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767">
        <v>66</v>
      </c>
      <c r="Q767" s="13" t="str" cm="1">
        <f t="array" ref="Q76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767">
        <v>77</v>
      </c>
      <c r="S767" t="str" cm="1">
        <f t="array" ref="S76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767">
        <v>72</v>
      </c>
      <c r="U767" t="str" cm="1">
        <f t="array" ref="U76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767">
        <v>82</v>
      </c>
      <c r="W767" t="str" cm="1">
        <f t="array" ref="W76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767">
        <v>82</v>
      </c>
      <c r="Y767" t="str" cm="1">
        <f t="array" ref="Y76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767">
        <f>SUM(Table1[[#This Row],[Math 
Score]],Table1[[#This Row],[History 
Score]],Table1[[#This Row],[Physics 
Score]],Table1[[#This Row],[Chemistry 
Score]],Table1[[#This Row],[Biology 
Score]],Table1[[#This Row],[English 
Score]],Table1[[#This Row],[Geography 
Score]])</f>
        <v>562</v>
      </c>
      <c r="AA767" s="3">
        <f>AVERAGE(Table1[[#This Row],[Math 
Score]],Table1[[#This Row],[History 
Score]],Table1[[#This Row],[Physics 
Score]],Table1[[#This Row],[Chemistry 
Score]],Table1[[#This Row],[Biology 
Score]],Table1[[#This Row],[English 
Score]],Table1[[#This Row],[Geography 
Score]])</f>
        <v>80.285714285714292</v>
      </c>
      <c r="AB76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767">
        <f t="shared" si="11"/>
        <v>1099</v>
      </c>
      <c r="AD767" t="str">
        <f>_xlfn.IFS(Table1[[#This Row],[Absence 
Days]]&lt;3,"Excellent",Table1[[#This Row],[Absence 
Days]]&lt;=6,"Good",Table1[[#This Row],[Absence 
Days]]&gt;6,"Poor")</f>
        <v>Excellent</v>
      </c>
    </row>
    <row r="768" spans="1:30" x14ac:dyDescent="0.35">
      <c r="A768">
        <v>767</v>
      </c>
      <c r="B768" s="2" t="s">
        <v>140</v>
      </c>
      <c r="C768" t="s">
        <v>845</v>
      </c>
      <c r="D768" t="str">
        <f>_xlfn.TEXTJOIN(" ",TRUE,Table1[[#This Row],[First 
Name]:[Last 
Name]])</f>
        <v>April Delgado</v>
      </c>
      <c r="E768" t="s">
        <v>1878</v>
      </c>
      <c r="F768" t="s">
        <v>3245</v>
      </c>
      <c r="G768" t="str">
        <f ca="1">PROPER(Table1[[#This Row],[Part Time 
Job]])</f>
        <v>False</v>
      </c>
      <c r="H768" s="3">
        <v>7</v>
      </c>
      <c r="I768" t="str">
        <f ca="1">PROPER(Table1[[#This Row],[Extracurricular 
Activities]])</f>
        <v>False</v>
      </c>
      <c r="J768">
        <v>31</v>
      </c>
      <c r="K768" t="s">
        <v>3120</v>
      </c>
      <c r="L768">
        <v>86</v>
      </c>
      <c r="M768" s="12" t="str" cm="1">
        <f t="array" ref="M76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768">
        <v>81</v>
      </c>
      <c r="O768" s="13" t="str" cm="1">
        <f t="array" ref="O76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768">
        <v>91</v>
      </c>
      <c r="Q768" s="13" t="str" cm="1">
        <f t="array" ref="Q76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768">
        <v>83</v>
      </c>
      <c r="S768" t="str" cm="1">
        <f t="array" ref="S76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768">
        <v>97</v>
      </c>
      <c r="U768" t="str" cm="1">
        <f t="array" ref="U76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768">
        <v>83</v>
      </c>
      <c r="W768" t="str" cm="1">
        <f t="array" ref="W76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768">
        <v>80</v>
      </c>
      <c r="Y768" t="str" cm="1">
        <f t="array" ref="Y76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768">
        <f>SUM(Table1[[#This Row],[Math 
Score]],Table1[[#This Row],[History 
Score]],Table1[[#This Row],[Physics 
Score]],Table1[[#This Row],[Chemistry 
Score]],Table1[[#This Row],[Biology 
Score]],Table1[[#This Row],[English 
Score]],Table1[[#This Row],[Geography 
Score]])</f>
        <v>601</v>
      </c>
      <c r="AA768" s="3">
        <f>AVERAGE(Table1[[#This Row],[Math 
Score]],Table1[[#This Row],[History 
Score]],Table1[[#This Row],[Physics 
Score]],Table1[[#This Row],[Chemistry 
Score]],Table1[[#This Row],[Biology 
Score]],Table1[[#This Row],[English 
Score]],Table1[[#This Row],[Geography 
Score]])</f>
        <v>85.857142857142861</v>
      </c>
      <c r="AB76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768">
        <f t="shared" si="11"/>
        <v>394</v>
      </c>
      <c r="AD768" t="str">
        <f>_xlfn.IFS(Table1[[#This Row],[Absence 
Days]]&lt;3,"Excellent",Table1[[#This Row],[Absence 
Days]]&lt;=6,"Good",Table1[[#This Row],[Absence 
Days]]&gt;6,"Poor")</f>
        <v>Poor</v>
      </c>
    </row>
    <row r="769" spans="1:30" x14ac:dyDescent="0.35">
      <c r="A769">
        <v>768</v>
      </c>
      <c r="B769" s="2" t="s">
        <v>116</v>
      </c>
      <c r="C769" t="s">
        <v>746</v>
      </c>
      <c r="D769" t="str">
        <f>_xlfn.TEXTJOIN(" ",TRUE,Table1[[#This Row],[First 
Name]:[Last 
Name]])</f>
        <v>Troy Prince</v>
      </c>
      <c r="E769" t="s">
        <v>1879</v>
      </c>
      <c r="F769" t="s">
        <v>3244</v>
      </c>
      <c r="G769" t="str">
        <f ca="1">PROPER(Table1[[#This Row],[Part Time 
Job]])</f>
        <v>False</v>
      </c>
      <c r="H769" s="3">
        <v>6</v>
      </c>
      <c r="I769" t="str">
        <f ca="1">PROPER(Table1[[#This Row],[Extracurricular 
Activities]])</f>
        <v>False</v>
      </c>
      <c r="J769">
        <v>3</v>
      </c>
      <c r="K769" t="s">
        <v>3119</v>
      </c>
      <c r="L769">
        <v>48</v>
      </c>
      <c r="M769" s="12" t="str" cm="1">
        <f t="array" ref="M769">_xlfn.IFS(Table1[[#This Row],[Math 
Score]]&gt;=90,"A+",Table1[[#This Row],[Math 
Score]]&gt;=80,"A", Table1[[#This Row],[Math 
Score]]&gt;=75,"A-",Table1[[#This Row],[Math 
Score]]&gt;=70,"B+",Table1[[#This Row],[Math 
Score]]&gt;=65,"B",Table1[[#This Row],[Math 
Score]]&gt;=60,"B-",Table1[[#This Row],[Math 
Score]]&gt;=50,"C",Table1[[#This Row],[Math 
Score]]&gt;=40,"D",Table1[[#This Row],[Math 
Score]]&lt;40,"F")</f>
        <v>D</v>
      </c>
      <c r="N769">
        <v>72</v>
      </c>
      <c r="O769" s="13" t="str" cm="1">
        <f t="array" ref="O76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769">
        <v>64</v>
      </c>
      <c r="Q769" s="13" t="str" cm="1">
        <f t="array" ref="Q76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769">
        <v>65</v>
      </c>
      <c r="S769" t="str" cm="1">
        <f t="array" ref="S76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769">
        <v>64</v>
      </c>
      <c r="U769" t="str" cm="1">
        <f t="array" ref="U76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769">
        <v>55</v>
      </c>
      <c r="W769" t="str" cm="1">
        <f t="array" ref="W76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C</v>
      </c>
      <c r="X769">
        <v>79</v>
      </c>
      <c r="Y769" t="str" cm="1">
        <f t="array" ref="Y76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769">
        <f>SUM(Table1[[#This Row],[Math 
Score]],Table1[[#This Row],[History 
Score]],Table1[[#This Row],[Physics 
Score]],Table1[[#This Row],[Chemistry 
Score]],Table1[[#This Row],[Biology 
Score]],Table1[[#This Row],[English 
Score]],Table1[[#This Row],[Geography 
Score]])</f>
        <v>447</v>
      </c>
      <c r="AA769" s="3">
        <f>AVERAGE(Table1[[#This Row],[Math 
Score]],Table1[[#This Row],[History 
Score]],Table1[[#This Row],[Physics 
Score]],Table1[[#This Row],[Chemistry 
Score]],Table1[[#This Row],[Biology 
Score]],Table1[[#This Row],[English 
Score]],Table1[[#This Row],[Geography 
Score]])</f>
        <v>63.857142857142854</v>
      </c>
      <c r="AB76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769">
        <f t="shared" si="11"/>
        <v>1995</v>
      </c>
      <c r="AD769" t="str">
        <f>_xlfn.IFS(Table1[[#This Row],[Absence 
Days]]&lt;3,"Excellent",Table1[[#This Row],[Absence 
Days]]&lt;=6,"Good",Table1[[#This Row],[Absence 
Days]]&gt;6,"Poor")</f>
        <v>Good</v>
      </c>
    </row>
    <row r="770" spans="1:30" x14ac:dyDescent="0.35">
      <c r="A770">
        <v>769</v>
      </c>
      <c r="B770" s="2" t="s">
        <v>309</v>
      </c>
      <c r="C770" t="s">
        <v>617</v>
      </c>
      <c r="D770" t="str">
        <f>_xlfn.TEXTJOIN(" ",TRUE,Table1[[#This Row],[First 
Name]:[Last 
Name]])</f>
        <v>Martha Summers</v>
      </c>
      <c r="E770" t="s">
        <v>1880</v>
      </c>
      <c r="F770" t="s">
        <v>3245</v>
      </c>
      <c r="G770" t="str">
        <f ca="1">PROPER(Table1[[#This Row],[Part Time 
Job]])</f>
        <v>True</v>
      </c>
      <c r="H770" s="3">
        <v>7</v>
      </c>
      <c r="I770" t="str">
        <f ca="1">PROPER(Table1[[#This Row],[Extracurricular 
Activities]])</f>
        <v>False</v>
      </c>
      <c r="J770">
        <v>3</v>
      </c>
      <c r="K770" t="s">
        <v>3119</v>
      </c>
      <c r="L770">
        <v>49</v>
      </c>
      <c r="M770" s="12" t="str" cm="1">
        <f t="array" ref="M770">_xlfn.IFS(Table1[[#This Row],[Math 
Score]]&gt;=90,"A+",Table1[[#This Row],[Math 
Score]]&gt;=80,"A", Table1[[#This Row],[Math 
Score]]&gt;=75,"A-",Table1[[#This Row],[Math 
Score]]&gt;=70,"B+",Table1[[#This Row],[Math 
Score]]&gt;=65,"B",Table1[[#This Row],[Math 
Score]]&gt;=60,"B-",Table1[[#This Row],[Math 
Score]]&gt;=50,"C",Table1[[#This Row],[Math 
Score]]&gt;=40,"D",Table1[[#This Row],[Math 
Score]]&lt;40,"F")</f>
        <v>D</v>
      </c>
      <c r="N770">
        <v>59</v>
      </c>
      <c r="O770" s="13" t="str" cm="1">
        <f t="array" ref="O77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C</v>
      </c>
      <c r="P770">
        <v>99</v>
      </c>
      <c r="Q770" s="13" t="str" cm="1">
        <f t="array" ref="Q77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770">
        <v>59</v>
      </c>
      <c r="S770" t="str" cm="1">
        <f t="array" ref="S77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C</v>
      </c>
      <c r="T770">
        <v>75</v>
      </c>
      <c r="U770" t="str" cm="1">
        <f t="array" ref="U77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770">
        <v>54</v>
      </c>
      <c r="W770" t="str" cm="1">
        <f t="array" ref="W77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C</v>
      </c>
      <c r="X770">
        <v>70</v>
      </c>
      <c r="Y770" t="str" cm="1">
        <f t="array" ref="Y77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770">
        <f>SUM(Table1[[#This Row],[Math 
Score]],Table1[[#This Row],[History 
Score]],Table1[[#This Row],[Physics 
Score]],Table1[[#This Row],[Chemistry 
Score]],Table1[[#This Row],[Biology 
Score]],Table1[[#This Row],[English 
Score]],Table1[[#This Row],[Geography 
Score]])</f>
        <v>465</v>
      </c>
      <c r="AA770" s="3">
        <f>AVERAGE(Table1[[#This Row],[Math 
Score]],Table1[[#This Row],[History 
Score]],Table1[[#This Row],[Physics 
Score]],Table1[[#This Row],[Chemistry 
Score]],Table1[[#This Row],[Biology 
Score]],Table1[[#This Row],[English 
Score]],Table1[[#This Row],[Geography 
Score]])</f>
        <v>66.428571428571431</v>
      </c>
      <c r="AB77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770">
        <f t="shared" ref="AC770:AC833" si="12">RANK(AA770,$AA$2:$AA$2001,0)</f>
        <v>1971</v>
      </c>
      <c r="AD770" t="str">
        <f>_xlfn.IFS(Table1[[#This Row],[Absence 
Days]]&lt;3,"Excellent",Table1[[#This Row],[Absence 
Days]]&lt;=6,"Good",Table1[[#This Row],[Absence 
Days]]&gt;6,"Poor")</f>
        <v>Poor</v>
      </c>
    </row>
    <row r="771" spans="1:30" x14ac:dyDescent="0.35">
      <c r="A771">
        <v>770</v>
      </c>
      <c r="B771" s="2" t="s">
        <v>75</v>
      </c>
      <c r="C771" t="s">
        <v>349</v>
      </c>
      <c r="D771" t="str">
        <f>_xlfn.TEXTJOIN(" ",TRUE,Table1[[#This Row],[First 
Name]:[Last 
Name]])</f>
        <v>William Dean</v>
      </c>
      <c r="E771" t="s">
        <v>1881</v>
      </c>
      <c r="F771" t="s">
        <v>3244</v>
      </c>
      <c r="G771" t="str">
        <f ca="1">PROPER(Table1[[#This Row],[Part Time 
Job]])</f>
        <v>True</v>
      </c>
      <c r="H771" s="3">
        <v>0</v>
      </c>
      <c r="I771" t="str">
        <f ca="1">PROPER(Table1[[#This Row],[Extracurricular 
Activities]])</f>
        <v>False</v>
      </c>
      <c r="J771">
        <v>30</v>
      </c>
      <c r="K771" t="s">
        <v>3116</v>
      </c>
      <c r="L771">
        <v>90</v>
      </c>
      <c r="M771" s="12" t="str" cm="1">
        <f t="array" ref="M77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771">
        <v>83</v>
      </c>
      <c r="O771" s="13" t="str" cm="1">
        <f t="array" ref="O77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771">
        <v>72</v>
      </c>
      <c r="Q771" s="13" t="str" cm="1">
        <f t="array" ref="Q77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771">
        <v>77</v>
      </c>
      <c r="S771" t="str" cm="1">
        <f t="array" ref="S77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771">
        <v>99</v>
      </c>
      <c r="U771" t="str" cm="1">
        <f t="array" ref="U77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771">
        <v>84</v>
      </c>
      <c r="W771" t="str" cm="1">
        <f t="array" ref="W77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771">
        <v>67</v>
      </c>
      <c r="Y771" t="str" cm="1">
        <f t="array" ref="Y77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771">
        <f>SUM(Table1[[#This Row],[Math 
Score]],Table1[[#This Row],[History 
Score]],Table1[[#This Row],[Physics 
Score]],Table1[[#This Row],[Chemistry 
Score]],Table1[[#This Row],[Biology 
Score]],Table1[[#This Row],[English 
Score]],Table1[[#This Row],[Geography 
Score]])</f>
        <v>572</v>
      </c>
      <c r="AA771" s="3">
        <f>AVERAGE(Table1[[#This Row],[Math 
Score]],Table1[[#This Row],[History 
Score]],Table1[[#This Row],[Physics 
Score]],Table1[[#This Row],[Chemistry 
Score]],Table1[[#This Row],[Biology 
Score]],Table1[[#This Row],[English 
Score]],Table1[[#This Row],[Geography 
Score]])</f>
        <v>81.714285714285708</v>
      </c>
      <c r="AB77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771">
        <f t="shared" si="12"/>
        <v>890</v>
      </c>
      <c r="AD771" t="str">
        <f>_xlfn.IFS(Table1[[#This Row],[Absence 
Days]]&lt;3,"Excellent",Table1[[#This Row],[Absence 
Days]]&lt;=6,"Good",Table1[[#This Row],[Absence 
Days]]&gt;6,"Poor")</f>
        <v>Excellent</v>
      </c>
    </row>
    <row r="772" spans="1:30" x14ac:dyDescent="0.35">
      <c r="A772">
        <v>771</v>
      </c>
      <c r="B772" s="2" t="s">
        <v>212</v>
      </c>
      <c r="C772" t="s">
        <v>460</v>
      </c>
      <c r="D772" t="str">
        <f>_xlfn.TEXTJOIN(" ",TRUE,Table1[[#This Row],[First 
Name]:[Last 
Name]])</f>
        <v>Cheryl Gutierrez</v>
      </c>
      <c r="E772" t="s">
        <v>1882</v>
      </c>
      <c r="F772" t="s">
        <v>3245</v>
      </c>
      <c r="G772" t="str">
        <f ca="1">PROPER(Table1[[#This Row],[Part Time 
Job]])</f>
        <v>True</v>
      </c>
      <c r="H772" s="3">
        <v>5</v>
      </c>
      <c r="I772" t="str">
        <f ca="1">PROPER(Table1[[#This Row],[Extracurricular 
Activities]])</f>
        <v>True</v>
      </c>
      <c r="J772">
        <v>1</v>
      </c>
      <c r="K772" t="s">
        <v>3119</v>
      </c>
      <c r="L772">
        <v>40</v>
      </c>
      <c r="M772" s="12" t="str" cm="1">
        <f t="array" ref="M772">_xlfn.IFS(Table1[[#This Row],[Math 
Score]]&gt;=90,"A+",Table1[[#This Row],[Math 
Score]]&gt;=80,"A", Table1[[#This Row],[Math 
Score]]&gt;=75,"A-",Table1[[#This Row],[Math 
Score]]&gt;=70,"B+",Table1[[#This Row],[Math 
Score]]&gt;=65,"B",Table1[[#This Row],[Math 
Score]]&gt;=60,"B-",Table1[[#This Row],[Math 
Score]]&gt;=50,"C",Table1[[#This Row],[Math 
Score]]&gt;=40,"D",Table1[[#This Row],[Math 
Score]]&lt;40,"F")</f>
        <v>D</v>
      </c>
      <c r="N772">
        <v>51</v>
      </c>
      <c r="O772" s="13" t="str" cm="1">
        <f t="array" ref="O77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C</v>
      </c>
      <c r="P772">
        <v>93</v>
      </c>
      <c r="Q772" s="13" t="str" cm="1">
        <f t="array" ref="Q77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772">
        <v>100</v>
      </c>
      <c r="S772" t="str" cm="1">
        <f t="array" ref="S77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772">
        <v>76</v>
      </c>
      <c r="U772" t="str" cm="1">
        <f t="array" ref="U77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772">
        <v>60</v>
      </c>
      <c r="W772" t="str" cm="1">
        <f t="array" ref="W77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772">
        <v>99</v>
      </c>
      <c r="Y772" t="str" cm="1">
        <f t="array" ref="Y77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772">
        <f>SUM(Table1[[#This Row],[Math 
Score]],Table1[[#This Row],[History 
Score]],Table1[[#This Row],[Physics 
Score]],Table1[[#This Row],[Chemistry 
Score]],Table1[[#This Row],[Biology 
Score]],Table1[[#This Row],[English 
Score]],Table1[[#This Row],[Geography 
Score]])</f>
        <v>519</v>
      </c>
      <c r="AA772" s="3">
        <f>AVERAGE(Table1[[#This Row],[Math 
Score]],Table1[[#This Row],[History 
Score]],Table1[[#This Row],[Physics 
Score]],Table1[[#This Row],[Chemistry 
Score]],Table1[[#This Row],[Biology 
Score]],Table1[[#This Row],[English 
Score]],Table1[[#This Row],[Geography 
Score]])</f>
        <v>74.142857142857139</v>
      </c>
      <c r="AB77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772">
        <f t="shared" si="12"/>
        <v>1766</v>
      </c>
      <c r="AD772" t="str">
        <f>_xlfn.IFS(Table1[[#This Row],[Absence 
Days]]&lt;3,"Excellent",Table1[[#This Row],[Absence 
Days]]&lt;=6,"Good",Table1[[#This Row],[Absence 
Days]]&gt;6,"Poor")</f>
        <v>Good</v>
      </c>
    </row>
    <row r="773" spans="1:30" x14ac:dyDescent="0.35">
      <c r="A773">
        <v>772</v>
      </c>
      <c r="B773" s="2" t="s">
        <v>310</v>
      </c>
      <c r="C773" t="s">
        <v>846</v>
      </c>
      <c r="D773" t="str">
        <f>_xlfn.TEXTJOIN(" ",TRUE,Table1[[#This Row],[First 
Name]:[Last 
Name]])</f>
        <v>Diane Spears</v>
      </c>
      <c r="E773" t="s">
        <v>1883</v>
      </c>
      <c r="F773" t="s">
        <v>3245</v>
      </c>
      <c r="G773" t="str">
        <f ca="1">PROPER(Table1[[#This Row],[Part Time 
Job]])</f>
        <v>False</v>
      </c>
      <c r="H773" s="3">
        <v>0</v>
      </c>
      <c r="I773" t="str">
        <f ca="1">PROPER(Table1[[#This Row],[Extracurricular 
Activities]])</f>
        <v>True</v>
      </c>
      <c r="J773">
        <v>8</v>
      </c>
      <c r="K773" t="s">
        <v>3116</v>
      </c>
      <c r="L773">
        <v>78</v>
      </c>
      <c r="M773" s="12" t="str" cm="1">
        <f t="array" ref="M77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773">
        <v>81</v>
      </c>
      <c r="O773" s="13" t="str" cm="1">
        <f t="array" ref="O77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773">
        <v>71</v>
      </c>
      <c r="Q773" s="13" t="str" cm="1">
        <f t="array" ref="Q77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773">
        <v>91</v>
      </c>
      <c r="S773" t="str" cm="1">
        <f t="array" ref="S77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773">
        <v>79</v>
      </c>
      <c r="U773" t="str" cm="1">
        <f t="array" ref="U77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773">
        <v>79</v>
      </c>
      <c r="W773" t="str" cm="1">
        <f t="array" ref="W77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773">
        <v>75</v>
      </c>
      <c r="Y773" t="str" cm="1">
        <f t="array" ref="Y77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773">
        <f>SUM(Table1[[#This Row],[Math 
Score]],Table1[[#This Row],[History 
Score]],Table1[[#This Row],[Physics 
Score]],Table1[[#This Row],[Chemistry 
Score]],Table1[[#This Row],[Biology 
Score]],Table1[[#This Row],[English 
Score]],Table1[[#This Row],[Geography 
Score]])</f>
        <v>554</v>
      </c>
      <c r="AA773" s="3">
        <f>AVERAGE(Table1[[#This Row],[Math 
Score]],Table1[[#This Row],[History 
Score]],Table1[[#This Row],[Physics 
Score]],Table1[[#This Row],[Chemistry 
Score]],Table1[[#This Row],[Biology 
Score]],Table1[[#This Row],[English 
Score]],Table1[[#This Row],[Geography 
Score]])</f>
        <v>79.142857142857139</v>
      </c>
      <c r="AB77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773">
        <f t="shared" si="12"/>
        <v>1264</v>
      </c>
      <c r="AD773" t="str">
        <f>_xlfn.IFS(Table1[[#This Row],[Absence 
Days]]&lt;3,"Excellent",Table1[[#This Row],[Absence 
Days]]&lt;=6,"Good",Table1[[#This Row],[Absence 
Days]]&gt;6,"Poor")</f>
        <v>Excellent</v>
      </c>
    </row>
    <row r="774" spans="1:30" x14ac:dyDescent="0.35">
      <c r="A774">
        <v>773</v>
      </c>
      <c r="B774" s="2" t="s">
        <v>56</v>
      </c>
      <c r="C774" t="s">
        <v>40</v>
      </c>
      <c r="D774" t="str">
        <f>_xlfn.TEXTJOIN(" ",TRUE,Table1[[#This Row],[First 
Name]:[Last 
Name]])</f>
        <v>Brian David</v>
      </c>
      <c r="E774" t="s">
        <v>1884</v>
      </c>
      <c r="F774" t="s">
        <v>3244</v>
      </c>
      <c r="G774" t="str">
        <f ca="1">PROPER(Table1[[#This Row],[Part Time 
Job]])</f>
        <v>False</v>
      </c>
      <c r="H774" s="3">
        <v>2</v>
      </c>
      <c r="I774" t="str">
        <f ca="1">PROPER(Table1[[#This Row],[Extracurricular 
Activities]])</f>
        <v>False</v>
      </c>
      <c r="J774">
        <v>29</v>
      </c>
      <c r="K774" t="s">
        <v>3117</v>
      </c>
      <c r="L774">
        <v>87</v>
      </c>
      <c r="M774" s="12" t="str" cm="1">
        <f t="array" ref="M77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774">
        <v>68</v>
      </c>
      <c r="O774" s="13" t="str" cm="1">
        <f t="array" ref="O77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774">
        <v>75</v>
      </c>
      <c r="Q774" s="13" t="str" cm="1">
        <f t="array" ref="Q77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774">
        <v>96</v>
      </c>
      <c r="S774" t="str" cm="1">
        <f t="array" ref="S77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774">
        <v>91</v>
      </c>
      <c r="U774" t="str" cm="1">
        <f t="array" ref="U77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774">
        <v>72</v>
      </c>
      <c r="W774" t="str" cm="1">
        <f t="array" ref="W77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774">
        <v>78</v>
      </c>
      <c r="Y774" t="str" cm="1">
        <f t="array" ref="Y77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774">
        <f>SUM(Table1[[#This Row],[Math 
Score]],Table1[[#This Row],[History 
Score]],Table1[[#This Row],[Physics 
Score]],Table1[[#This Row],[Chemistry 
Score]],Table1[[#This Row],[Biology 
Score]],Table1[[#This Row],[English 
Score]],Table1[[#This Row],[Geography 
Score]])</f>
        <v>567</v>
      </c>
      <c r="AA774" s="3">
        <f>AVERAGE(Table1[[#This Row],[Math 
Score]],Table1[[#This Row],[History 
Score]],Table1[[#This Row],[Physics 
Score]],Table1[[#This Row],[Chemistry 
Score]],Table1[[#This Row],[Biology 
Score]],Table1[[#This Row],[English 
Score]],Table1[[#This Row],[Geography 
Score]])</f>
        <v>81</v>
      </c>
      <c r="AB77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774">
        <f t="shared" si="12"/>
        <v>994</v>
      </c>
      <c r="AD774" t="str">
        <f>_xlfn.IFS(Table1[[#This Row],[Absence 
Days]]&lt;3,"Excellent",Table1[[#This Row],[Absence 
Days]]&lt;=6,"Good",Table1[[#This Row],[Absence 
Days]]&gt;6,"Poor")</f>
        <v>Excellent</v>
      </c>
    </row>
    <row r="775" spans="1:30" x14ac:dyDescent="0.35">
      <c r="A775">
        <v>774</v>
      </c>
      <c r="B775" s="2" t="s">
        <v>178</v>
      </c>
      <c r="C775" t="s">
        <v>847</v>
      </c>
      <c r="D775" t="str">
        <f>_xlfn.TEXTJOIN(" ",TRUE,Table1[[#This Row],[First 
Name]:[Last 
Name]])</f>
        <v>Heather Brooks</v>
      </c>
      <c r="E775" t="s">
        <v>1885</v>
      </c>
      <c r="F775" t="s">
        <v>3245</v>
      </c>
      <c r="G775" t="str">
        <f ca="1">PROPER(Table1[[#This Row],[Part Time 
Job]])</f>
        <v>False</v>
      </c>
      <c r="H775" s="3">
        <v>2</v>
      </c>
      <c r="I775" t="str">
        <f ca="1">PROPER(Table1[[#This Row],[Extracurricular 
Activities]])</f>
        <v>False</v>
      </c>
      <c r="J775">
        <v>18</v>
      </c>
      <c r="K775" t="s">
        <v>3123</v>
      </c>
      <c r="L775">
        <v>79</v>
      </c>
      <c r="M775" s="12" t="str" cm="1">
        <f t="array" ref="M77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775">
        <v>81</v>
      </c>
      <c r="O775" s="13" t="str" cm="1">
        <f t="array" ref="O77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775">
        <v>68</v>
      </c>
      <c r="Q775" s="13" t="str" cm="1">
        <f t="array" ref="Q77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775">
        <v>70</v>
      </c>
      <c r="S775" t="str" cm="1">
        <f t="array" ref="S77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775">
        <v>60</v>
      </c>
      <c r="U775" t="str" cm="1">
        <f t="array" ref="U77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775">
        <v>65</v>
      </c>
      <c r="W775" t="str" cm="1">
        <f t="array" ref="W77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775">
        <v>71</v>
      </c>
      <c r="Y775" t="str" cm="1">
        <f t="array" ref="Y77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775">
        <f>SUM(Table1[[#This Row],[Math 
Score]],Table1[[#This Row],[History 
Score]],Table1[[#This Row],[Physics 
Score]],Table1[[#This Row],[Chemistry 
Score]],Table1[[#This Row],[Biology 
Score]],Table1[[#This Row],[English 
Score]],Table1[[#This Row],[Geography 
Score]])</f>
        <v>494</v>
      </c>
      <c r="AA775" s="3">
        <f>AVERAGE(Table1[[#This Row],[Math 
Score]],Table1[[#This Row],[History 
Score]],Table1[[#This Row],[Physics 
Score]],Table1[[#This Row],[Chemistry 
Score]],Table1[[#This Row],[Biology 
Score]],Table1[[#This Row],[English 
Score]],Table1[[#This Row],[Geography 
Score]])</f>
        <v>70.571428571428569</v>
      </c>
      <c r="AB77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775">
        <f t="shared" si="12"/>
        <v>1897</v>
      </c>
      <c r="AD775" t="str">
        <f>_xlfn.IFS(Table1[[#This Row],[Absence 
Days]]&lt;3,"Excellent",Table1[[#This Row],[Absence 
Days]]&lt;=6,"Good",Table1[[#This Row],[Absence 
Days]]&gt;6,"Poor")</f>
        <v>Excellent</v>
      </c>
    </row>
    <row r="776" spans="1:30" x14ac:dyDescent="0.35">
      <c r="A776">
        <v>775</v>
      </c>
      <c r="B776" s="2" t="s">
        <v>12</v>
      </c>
      <c r="C776" t="s">
        <v>848</v>
      </c>
      <c r="D776" t="str">
        <f>_xlfn.TEXTJOIN(" ",TRUE,Table1[[#This Row],[First 
Name]:[Last 
Name]])</f>
        <v>Pamela Rodgers</v>
      </c>
      <c r="E776" t="s">
        <v>1886</v>
      </c>
      <c r="F776" t="s">
        <v>3245</v>
      </c>
      <c r="G776" t="str">
        <f ca="1">PROPER(Table1[[#This Row],[Part Time 
Job]])</f>
        <v>False</v>
      </c>
      <c r="H776" s="3">
        <v>6</v>
      </c>
      <c r="I776" t="str">
        <f ca="1">PROPER(Table1[[#This Row],[Extracurricular 
Activities]])</f>
        <v>True</v>
      </c>
      <c r="J776">
        <v>4</v>
      </c>
      <c r="K776" t="s">
        <v>3126</v>
      </c>
      <c r="L776">
        <v>100</v>
      </c>
      <c r="M776" s="12" t="str" cm="1">
        <f t="array" ref="M77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776">
        <v>100</v>
      </c>
      <c r="O776" s="13" t="str" cm="1">
        <f t="array" ref="O77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776">
        <v>94</v>
      </c>
      <c r="Q776" s="13" t="str" cm="1">
        <f t="array" ref="Q77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776">
        <v>83</v>
      </c>
      <c r="S776" t="str" cm="1">
        <f t="array" ref="S77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776">
        <v>62</v>
      </c>
      <c r="U776" t="str" cm="1">
        <f t="array" ref="U77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776">
        <v>92</v>
      </c>
      <c r="W776" t="str" cm="1">
        <f t="array" ref="W77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776">
        <v>71</v>
      </c>
      <c r="Y776" t="str" cm="1">
        <f t="array" ref="Y77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776">
        <f>SUM(Table1[[#This Row],[Math 
Score]],Table1[[#This Row],[History 
Score]],Table1[[#This Row],[Physics 
Score]],Table1[[#This Row],[Chemistry 
Score]],Table1[[#This Row],[Biology 
Score]],Table1[[#This Row],[English 
Score]],Table1[[#This Row],[Geography 
Score]])</f>
        <v>602</v>
      </c>
      <c r="AA776" s="3">
        <f>AVERAGE(Table1[[#This Row],[Math 
Score]],Table1[[#This Row],[History 
Score]],Table1[[#This Row],[Physics 
Score]],Table1[[#This Row],[Chemistry 
Score]],Table1[[#This Row],[Biology 
Score]],Table1[[#This Row],[English 
Score]],Table1[[#This Row],[Geography 
Score]])</f>
        <v>86</v>
      </c>
      <c r="AB77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776">
        <f t="shared" si="12"/>
        <v>380</v>
      </c>
      <c r="AD776" t="str">
        <f>_xlfn.IFS(Table1[[#This Row],[Absence 
Days]]&lt;3,"Excellent",Table1[[#This Row],[Absence 
Days]]&lt;=6,"Good",Table1[[#This Row],[Absence 
Days]]&gt;6,"Poor")</f>
        <v>Good</v>
      </c>
    </row>
    <row r="777" spans="1:30" x14ac:dyDescent="0.35">
      <c r="A777">
        <v>776</v>
      </c>
      <c r="B777" s="2" t="s">
        <v>311</v>
      </c>
      <c r="C777" t="s">
        <v>849</v>
      </c>
      <c r="D777" t="str">
        <f>_xlfn.TEXTJOIN(" ",TRUE,Table1[[#This Row],[First 
Name]:[Last 
Name]])</f>
        <v>Betty Nash</v>
      </c>
      <c r="E777" t="s">
        <v>1887</v>
      </c>
      <c r="F777" t="s">
        <v>3245</v>
      </c>
      <c r="G777" t="str">
        <f ca="1">PROPER(Table1[[#This Row],[Part Time 
Job]])</f>
        <v>False</v>
      </c>
      <c r="H777" s="3">
        <v>1</v>
      </c>
      <c r="I777" t="str">
        <f ca="1">PROPER(Table1[[#This Row],[Extracurricular 
Activities]])</f>
        <v>False</v>
      </c>
      <c r="J777">
        <v>10</v>
      </c>
      <c r="K777" t="s">
        <v>3116</v>
      </c>
      <c r="L777">
        <v>71</v>
      </c>
      <c r="M777" s="12" t="str" cm="1">
        <f t="array" ref="M777">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777">
        <v>72</v>
      </c>
      <c r="O777" s="13" t="str" cm="1">
        <f t="array" ref="O77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777">
        <v>65</v>
      </c>
      <c r="Q777" s="13" t="str" cm="1">
        <f t="array" ref="Q77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777">
        <v>65</v>
      </c>
      <c r="S777" t="str" cm="1">
        <f t="array" ref="S77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777">
        <v>65</v>
      </c>
      <c r="U777" t="str" cm="1">
        <f t="array" ref="U77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777">
        <v>67</v>
      </c>
      <c r="W777" t="str" cm="1">
        <f t="array" ref="W77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777">
        <v>97</v>
      </c>
      <c r="Y777" t="str" cm="1">
        <f t="array" ref="Y77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777">
        <f>SUM(Table1[[#This Row],[Math 
Score]],Table1[[#This Row],[History 
Score]],Table1[[#This Row],[Physics 
Score]],Table1[[#This Row],[Chemistry 
Score]],Table1[[#This Row],[Biology 
Score]],Table1[[#This Row],[English 
Score]],Table1[[#This Row],[Geography 
Score]])</f>
        <v>502</v>
      </c>
      <c r="AA777" s="3">
        <f>AVERAGE(Table1[[#This Row],[Math 
Score]],Table1[[#This Row],[History 
Score]],Table1[[#This Row],[Physics 
Score]],Table1[[#This Row],[Chemistry 
Score]],Table1[[#This Row],[Biology 
Score]],Table1[[#This Row],[English 
Score]],Table1[[#This Row],[Geography 
Score]])</f>
        <v>71.714285714285708</v>
      </c>
      <c r="AB77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777">
        <f t="shared" si="12"/>
        <v>1866</v>
      </c>
      <c r="AD777" t="str">
        <f>_xlfn.IFS(Table1[[#This Row],[Absence 
Days]]&lt;3,"Excellent",Table1[[#This Row],[Absence 
Days]]&lt;=6,"Good",Table1[[#This Row],[Absence 
Days]]&gt;6,"Poor")</f>
        <v>Excellent</v>
      </c>
    </row>
    <row r="778" spans="1:30" x14ac:dyDescent="0.35">
      <c r="A778">
        <v>777</v>
      </c>
      <c r="B778" s="2" t="s">
        <v>178</v>
      </c>
      <c r="C778" t="s">
        <v>585</v>
      </c>
      <c r="D778" t="str">
        <f>_xlfn.TEXTJOIN(" ",TRUE,Table1[[#This Row],[First 
Name]:[Last 
Name]])</f>
        <v>Heather Donaldson</v>
      </c>
      <c r="E778" t="s">
        <v>1888</v>
      </c>
      <c r="F778" t="s">
        <v>3245</v>
      </c>
      <c r="G778" t="str">
        <f ca="1">PROPER(Table1[[#This Row],[Part Time 
Job]])</f>
        <v>False</v>
      </c>
      <c r="H778" s="3">
        <v>2</v>
      </c>
      <c r="I778" t="str">
        <f ca="1">PROPER(Table1[[#This Row],[Extracurricular 
Activities]])</f>
        <v>False</v>
      </c>
      <c r="J778">
        <v>32</v>
      </c>
      <c r="K778" t="s">
        <v>3121</v>
      </c>
      <c r="L778">
        <v>77</v>
      </c>
      <c r="M778" s="12" t="str" cm="1">
        <f t="array" ref="M77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778">
        <v>64</v>
      </c>
      <c r="O778" s="13" t="str" cm="1">
        <f t="array" ref="O77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778">
        <v>69</v>
      </c>
      <c r="Q778" s="13" t="str" cm="1">
        <f t="array" ref="Q77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778">
        <v>60</v>
      </c>
      <c r="S778" t="str" cm="1">
        <f t="array" ref="S77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778">
        <v>92</v>
      </c>
      <c r="U778" t="str" cm="1">
        <f t="array" ref="U77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778">
        <v>76</v>
      </c>
      <c r="W778" t="str" cm="1">
        <f t="array" ref="W77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778">
        <v>74</v>
      </c>
      <c r="Y778" t="str" cm="1">
        <f t="array" ref="Y77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778">
        <f>SUM(Table1[[#This Row],[Math 
Score]],Table1[[#This Row],[History 
Score]],Table1[[#This Row],[Physics 
Score]],Table1[[#This Row],[Chemistry 
Score]],Table1[[#This Row],[Biology 
Score]],Table1[[#This Row],[English 
Score]],Table1[[#This Row],[Geography 
Score]])</f>
        <v>512</v>
      </c>
      <c r="AA778" s="3">
        <f>AVERAGE(Table1[[#This Row],[Math 
Score]],Table1[[#This Row],[History 
Score]],Table1[[#This Row],[Physics 
Score]],Table1[[#This Row],[Chemistry 
Score]],Table1[[#This Row],[Biology 
Score]],Table1[[#This Row],[English 
Score]],Table1[[#This Row],[Geography 
Score]])</f>
        <v>73.142857142857139</v>
      </c>
      <c r="AB77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778">
        <f t="shared" si="12"/>
        <v>1815</v>
      </c>
      <c r="AD778" t="str">
        <f>_xlfn.IFS(Table1[[#This Row],[Absence 
Days]]&lt;3,"Excellent",Table1[[#This Row],[Absence 
Days]]&lt;=6,"Good",Table1[[#This Row],[Absence 
Days]]&gt;6,"Poor")</f>
        <v>Excellent</v>
      </c>
    </row>
    <row r="779" spans="1:30" x14ac:dyDescent="0.35">
      <c r="A779">
        <v>778</v>
      </c>
      <c r="B779" s="2" t="s">
        <v>312</v>
      </c>
      <c r="C779" t="s">
        <v>574</v>
      </c>
      <c r="D779" t="str">
        <f>_xlfn.TEXTJOIN(" ",TRUE,Table1[[#This Row],[First 
Name]:[Last 
Name]])</f>
        <v>Ebony Shepherd</v>
      </c>
      <c r="E779" t="s">
        <v>1889</v>
      </c>
      <c r="F779" t="s">
        <v>3245</v>
      </c>
      <c r="G779" t="str">
        <f ca="1">PROPER(Table1[[#This Row],[Part Time 
Job]])</f>
        <v>False</v>
      </c>
      <c r="H779" s="3">
        <v>1</v>
      </c>
      <c r="I779" t="str">
        <f ca="1">PROPER(Table1[[#This Row],[Extracurricular 
Activities]])</f>
        <v>False</v>
      </c>
      <c r="J779">
        <v>32</v>
      </c>
      <c r="K779" t="s">
        <v>3112</v>
      </c>
      <c r="L779">
        <v>83</v>
      </c>
      <c r="M779" s="12" t="str" cm="1">
        <f t="array" ref="M77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779">
        <v>84</v>
      </c>
      <c r="O779" s="13" t="str" cm="1">
        <f t="array" ref="O77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779">
        <v>96</v>
      </c>
      <c r="Q779" s="13" t="str" cm="1">
        <f t="array" ref="Q77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779">
        <v>96</v>
      </c>
      <c r="S779" t="str" cm="1">
        <f t="array" ref="S77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779">
        <v>79</v>
      </c>
      <c r="U779" t="str" cm="1">
        <f t="array" ref="U77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779">
        <v>80</v>
      </c>
      <c r="W779" t="str" cm="1">
        <f t="array" ref="W77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779">
        <v>81</v>
      </c>
      <c r="Y779" t="str" cm="1">
        <f t="array" ref="Y77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779">
        <f>SUM(Table1[[#This Row],[Math 
Score]],Table1[[#This Row],[History 
Score]],Table1[[#This Row],[Physics 
Score]],Table1[[#This Row],[Chemistry 
Score]],Table1[[#This Row],[Biology 
Score]],Table1[[#This Row],[English 
Score]],Table1[[#This Row],[Geography 
Score]])</f>
        <v>599</v>
      </c>
      <c r="AA779" s="3">
        <f>AVERAGE(Table1[[#This Row],[Math 
Score]],Table1[[#This Row],[History 
Score]],Table1[[#This Row],[Physics 
Score]],Table1[[#This Row],[Chemistry 
Score]],Table1[[#This Row],[Biology 
Score]],Table1[[#This Row],[English 
Score]],Table1[[#This Row],[Geography 
Score]])</f>
        <v>85.571428571428569</v>
      </c>
      <c r="AB77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779">
        <f t="shared" si="12"/>
        <v>426</v>
      </c>
      <c r="AD779" t="str">
        <f>_xlfn.IFS(Table1[[#This Row],[Absence 
Days]]&lt;3,"Excellent",Table1[[#This Row],[Absence 
Days]]&lt;=6,"Good",Table1[[#This Row],[Absence 
Days]]&gt;6,"Poor")</f>
        <v>Excellent</v>
      </c>
    </row>
    <row r="780" spans="1:30" x14ac:dyDescent="0.35">
      <c r="A780">
        <v>779</v>
      </c>
      <c r="B780" s="2" t="s">
        <v>22</v>
      </c>
      <c r="C780" t="s">
        <v>80</v>
      </c>
      <c r="D780" t="str">
        <f>_xlfn.TEXTJOIN(" ",TRUE,Table1[[#This Row],[First 
Name]:[Last 
Name]])</f>
        <v>Sean Thomas</v>
      </c>
      <c r="E780" t="s">
        <v>1890</v>
      </c>
      <c r="F780" t="s">
        <v>3244</v>
      </c>
      <c r="G780" t="str">
        <f ca="1">PROPER(Table1[[#This Row],[Part Time 
Job]])</f>
        <v>False</v>
      </c>
      <c r="H780" s="3">
        <v>2</v>
      </c>
      <c r="I780" t="str">
        <f ca="1">PROPER(Table1[[#This Row],[Extracurricular 
Activities]])</f>
        <v>True</v>
      </c>
      <c r="J780">
        <v>16</v>
      </c>
      <c r="K780" t="s">
        <v>3117</v>
      </c>
      <c r="L780">
        <v>96</v>
      </c>
      <c r="M780" s="12" t="str" cm="1">
        <f t="array" ref="M78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780">
        <v>79</v>
      </c>
      <c r="O780" s="13" t="str" cm="1">
        <f t="array" ref="O78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780">
        <v>80</v>
      </c>
      <c r="Q780" s="13" t="str" cm="1">
        <f t="array" ref="Q78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780">
        <v>71</v>
      </c>
      <c r="S780" t="str" cm="1">
        <f t="array" ref="S78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780">
        <v>67</v>
      </c>
      <c r="U780" t="str" cm="1">
        <f t="array" ref="U78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780">
        <v>76</v>
      </c>
      <c r="W780" t="str" cm="1">
        <f t="array" ref="W78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780">
        <v>63</v>
      </c>
      <c r="Y780" t="str" cm="1">
        <f t="array" ref="Y78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780">
        <f>SUM(Table1[[#This Row],[Math 
Score]],Table1[[#This Row],[History 
Score]],Table1[[#This Row],[Physics 
Score]],Table1[[#This Row],[Chemistry 
Score]],Table1[[#This Row],[Biology 
Score]],Table1[[#This Row],[English 
Score]],Table1[[#This Row],[Geography 
Score]])</f>
        <v>532</v>
      </c>
      <c r="AA780" s="3">
        <f>AVERAGE(Table1[[#This Row],[Math 
Score]],Table1[[#This Row],[History 
Score]],Table1[[#This Row],[Physics 
Score]],Table1[[#This Row],[Chemistry 
Score]],Table1[[#This Row],[Biology 
Score]],Table1[[#This Row],[English 
Score]],Table1[[#This Row],[Geography 
Score]])</f>
        <v>76</v>
      </c>
      <c r="AB78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780">
        <f t="shared" si="12"/>
        <v>1622</v>
      </c>
      <c r="AD780" t="str">
        <f>_xlfn.IFS(Table1[[#This Row],[Absence 
Days]]&lt;3,"Excellent",Table1[[#This Row],[Absence 
Days]]&lt;=6,"Good",Table1[[#This Row],[Absence 
Days]]&gt;6,"Poor")</f>
        <v>Excellent</v>
      </c>
    </row>
    <row r="781" spans="1:30" x14ac:dyDescent="0.35">
      <c r="A781">
        <v>780</v>
      </c>
      <c r="B781" s="2" t="s">
        <v>253</v>
      </c>
      <c r="C781" t="s">
        <v>850</v>
      </c>
      <c r="D781" t="str">
        <f>_xlfn.TEXTJOIN(" ",TRUE,Table1[[#This Row],[First 
Name]:[Last 
Name]])</f>
        <v>Todd Howard</v>
      </c>
      <c r="E781" t="s">
        <v>1891</v>
      </c>
      <c r="F781" t="s">
        <v>3244</v>
      </c>
      <c r="G781" t="str">
        <f ca="1">PROPER(Table1[[#This Row],[Part Time 
Job]])</f>
        <v>False</v>
      </c>
      <c r="H781" s="3">
        <v>6</v>
      </c>
      <c r="I781" t="str">
        <f ca="1">PROPER(Table1[[#This Row],[Extracurricular 
Activities]])</f>
        <v>False</v>
      </c>
      <c r="J781">
        <v>35</v>
      </c>
      <c r="K781" t="s">
        <v>3116</v>
      </c>
      <c r="L781">
        <v>91</v>
      </c>
      <c r="M781" s="12" t="str" cm="1">
        <f t="array" ref="M78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781">
        <v>96</v>
      </c>
      <c r="O781" s="13" t="str" cm="1">
        <f t="array" ref="O78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781">
        <v>100</v>
      </c>
      <c r="Q781" s="13" t="str" cm="1">
        <f t="array" ref="Q78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781">
        <v>95</v>
      </c>
      <c r="S781" t="str" cm="1">
        <f t="array" ref="S78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781">
        <v>100</v>
      </c>
      <c r="U781" t="str" cm="1">
        <f t="array" ref="U78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781">
        <v>94</v>
      </c>
      <c r="W781" t="str" cm="1">
        <f t="array" ref="W78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781">
        <v>95</v>
      </c>
      <c r="Y781" t="str" cm="1">
        <f t="array" ref="Y78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781">
        <f>SUM(Table1[[#This Row],[Math 
Score]],Table1[[#This Row],[History 
Score]],Table1[[#This Row],[Physics 
Score]],Table1[[#This Row],[Chemistry 
Score]],Table1[[#This Row],[Biology 
Score]],Table1[[#This Row],[English 
Score]],Table1[[#This Row],[Geography 
Score]])</f>
        <v>671</v>
      </c>
      <c r="AA781" s="3">
        <f>AVERAGE(Table1[[#This Row],[Math 
Score]],Table1[[#This Row],[History 
Score]],Table1[[#This Row],[Physics 
Score]],Table1[[#This Row],[Chemistry 
Score]],Table1[[#This Row],[Biology 
Score]],Table1[[#This Row],[English 
Score]],Table1[[#This Row],[Geography 
Score]])</f>
        <v>95.857142857142861</v>
      </c>
      <c r="AB78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781">
        <f t="shared" si="12"/>
        <v>2</v>
      </c>
      <c r="AD781" t="str">
        <f>_xlfn.IFS(Table1[[#This Row],[Absence 
Days]]&lt;3,"Excellent",Table1[[#This Row],[Absence 
Days]]&lt;=6,"Good",Table1[[#This Row],[Absence 
Days]]&gt;6,"Poor")</f>
        <v>Good</v>
      </c>
    </row>
    <row r="782" spans="1:30" x14ac:dyDescent="0.35">
      <c r="A782">
        <v>781</v>
      </c>
      <c r="B782" s="2" t="s">
        <v>313</v>
      </c>
      <c r="C782" t="s">
        <v>851</v>
      </c>
      <c r="D782" t="str">
        <f>_xlfn.TEXTJOIN(" ",TRUE,Table1[[#This Row],[First 
Name]:[Last 
Name]])</f>
        <v>Julia Richmond</v>
      </c>
      <c r="E782" t="s">
        <v>1892</v>
      </c>
      <c r="F782" t="s">
        <v>3245</v>
      </c>
      <c r="G782" t="str">
        <f ca="1">PROPER(Table1[[#This Row],[Part Time 
Job]])</f>
        <v>False</v>
      </c>
      <c r="H782" s="3">
        <v>8</v>
      </c>
      <c r="I782" t="str">
        <f ca="1">PROPER(Table1[[#This Row],[Extracurricular 
Activities]])</f>
        <v>False</v>
      </c>
      <c r="J782">
        <v>2</v>
      </c>
      <c r="K782" t="s">
        <v>3119</v>
      </c>
      <c r="L782">
        <v>71</v>
      </c>
      <c r="M782" s="12" t="str" cm="1">
        <f t="array" ref="M782">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782">
        <v>69</v>
      </c>
      <c r="O782" s="13" t="str" cm="1">
        <f t="array" ref="O78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782">
        <v>95</v>
      </c>
      <c r="Q782" s="13" t="str" cm="1">
        <f t="array" ref="Q78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782">
        <v>83</v>
      </c>
      <c r="S782" t="str" cm="1">
        <f t="array" ref="S78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782">
        <v>90</v>
      </c>
      <c r="U782" t="str" cm="1">
        <f t="array" ref="U78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782">
        <v>93</v>
      </c>
      <c r="W782" t="str" cm="1">
        <f t="array" ref="W78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782">
        <v>89</v>
      </c>
      <c r="Y782" t="str" cm="1">
        <f t="array" ref="Y78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782">
        <f>SUM(Table1[[#This Row],[Math 
Score]],Table1[[#This Row],[History 
Score]],Table1[[#This Row],[Physics 
Score]],Table1[[#This Row],[Chemistry 
Score]],Table1[[#This Row],[Biology 
Score]],Table1[[#This Row],[English 
Score]],Table1[[#This Row],[Geography 
Score]])</f>
        <v>590</v>
      </c>
      <c r="AA782" s="3">
        <f>AVERAGE(Table1[[#This Row],[Math 
Score]],Table1[[#This Row],[History 
Score]],Table1[[#This Row],[Physics 
Score]],Table1[[#This Row],[Chemistry 
Score]],Table1[[#This Row],[Biology 
Score]],Table1[[#This Row],[English 
Score]],Table1[[#This Row],[Geography 
Score]])</f>
        <v>84.285714285714292</v>
      </c>
      <c r="AB78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782">
        <f t="shared" si="12"/>
        <v>531</v>
      </c>
      <c r="AD782" t="str">
        <f>_xlfn.IFS(Table1[[#This Row],[Absence 
Days]]&lt;3,"Excellent",Table1[[#This Row],[Absence 
Days]]&lt;=6,"Good",Table1[[#This Row],[Absence 
Days]]&gt;6,"Poor")</f>
        <v>Poor</v>
      </c>
    </row>
    <row r="783" spans="1:30" x14ac:dyDescent="0.35">
      <c r="A783">
        <v>782</v>
      </c>
      <c r="B783" s="2" t="s">
        <v>270</v>
      </c>
      <c r="C783" t="s">
        <v>715</v>
      </c>
      <c r="D783" t="str">
        <f>_xlfn.TEXTJOIN(" ",TRUE,Table1[[#This Row],[First 
Name]:[Last 
Name]])</f>
        <v>Mary Mccormick</v>
      </c>
      <c r="E783" t="s">
        <v>1893</v>
      </c>
      <c r="F783" t="s">
        <v>3245</v>
      </c>
      <c r="G783" t="str">
        <f ca="1">PROPER(Table1[[#This Row],[Part Time 
Job]])</f>
        <v>False</v>
      </c>
      <c r="H783" s="3">
        <v>3</v>
      </c>
      <c r="I783" t="str">
        <f ca="1">PROPER(Table1[[#This Row],[Extracurricular 
Activities]])</f>
        <v>False</v>
      </c>
      <c r="J783">
        <v>27</v>
      </c>
      <c r="K783" t="s">
        <v>3116</v>
      </c>
      <c r="L783">
        <v>84</v>
      </c>
      <c r="M783" s="12" t="str" cm="1">
        <f t="array" ref="M78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783">
        <v>80</v>
      </c>
      <c r="O783" s="13" t="str" cm="1">
        <f t="array" ref="O78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783">
        <v>75</v>
      </c>
      <c r="Q783" s="13" t="str" cm="1">
        <f t="array" ref="Q78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783">
        <v>63</v>
      </c>
      <c r="S783" t="str" cm="1">
        <f t="array" ref="S78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783">
        <v>71</v>
      </c>
      <c r="U783" t="str" cm="1">
        <f t="array" ref="U78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783">
        <v>86</v>
      </c>
      <c r="W783" t="str" cm="1">
        <f t="array" ref="W78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783">
        <v>63</v>
      </c>
      <c r="Y783" t="str" cm="1">
        <f t="array" ref="Y78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783">
        <f>SUM(Table1[[#This Row],[Math 
Score]],Table1[[#This Row],[History 
Score]],Table1[[#This Row],[Physics 
Score]],Table1[[#This Row],[Chemistry 
Score]],Table1[[#This Row],[Biology 
Score]],Table1[[#This Row],[English 
Score]],Table1[[#This Row],[Geography 
Score]])</f>
        <v>522</v>
      </c>
      <c r="AA783" s="3">
        <f>AVERAGE(Table1[[#This Row],[Math 
Score]],Table1[[#This Row],[History 
Score]],Table1[[#This Row],[Physics 
Score]],Table1[[#This Row],[Chemistry 
Score]],Table1[[#This Row],[Biology 
Score]],Table1[[#This Row],[English 
Score]],Table1[[#This Row],[Geography 
Score]])</f>
        <v>74.571428571428569</v>
      </c>
      <c r="AB78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783">
        <f t="shared" si="12"/>
        <v>1739</v>
      </c>
      <c r="AD783" t="str">
        <f>_xlfn.IFS(Table1[[#This Row],[Absence 
Days]]&lt;3,"Excellent",Table1[[#This Row],[Absence 
Days]]&lt;=6,"Good",Table1[[#This Row],[Absence 
Days]]&gt;6,"Poor")</f>
        <v>Good</v>
      </c>
    </row>
    <row r="784" spans="1:30" x14ac:dyDescent="0.35">
      <c r="A784">
        <v>783</v>
      </c>
      <c r="B784" s="2" t="s">
        <v>314</v>
      </c>
      <c r="C784" t="s">
        <v>852</v>
      </c>
      <c r="D784" t="str">
        <f>_xlfn.TEXTJOIN(" ",TRUE,Table1[[#This Row],[First 
Name]:[Last 
Name]])</f>
        <v>Jimmy Warren</v>
      </c>
      <c r="E784" t="s">
        <v>1894</v>
      </c>
      <c r="F784" t="s">
        <v>3244</v>
      </c>
      <c r="G784" t="str">
        <f ca="1">PROPER(Table1[[#This Row],[Part Time 
Job]])</f>
        <v>False</v>
      </c>
      <c r="H784" s="3">
        <v>3</v>
      </c>
      <c r="I784" t="str">
        <f ca="1">PROPER(Table1[[#This Row],[Extracurricular 
Activities]])</f>
        <v>False</v>
      </c>
      <c r="J784">
        <v>28</v>
      </c>
      <c r="K784" t="s">
        <v>3117</v>
      </c>
      <c r="L784">
        <v>91</v>
      </c>
      <c r="M784" s="12" t="str" cm="1">
        <f t="array" ref="M78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784">
        <v>61</v>
      </c>
      <c r="O784" s="13" t="str" cm="1">
        <f t="array" ref="O78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784">
        <v>61</v>
      </c>
      <c r="Q784" s="13" t="str" cm="1">
        <f t="array" ref="Q78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784">
        <v>85</v>
      </c>
      <c r="S784" t="str" cm="1">
        <f t="array" ref="S78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784">
        <v>64</v>
      </c>
      <c r="U784" t="str" cm="1">
        <f t="array" ref="U78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784">
        <v>76</v>
      </c>
      <c r="W784" t="str" cm="1">
        <f t="array" ref="W78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784">
        <v>88</v>
      </c>
      <c r="Y784" t="str" cm="1">
        <f t="array" ref="Y78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784">
        <f>SUM(Table1[[#This Row],[Math 
Score]],Table1[[#This Row],[History 
Score]],Table1[[#This Row],[Physics 
Score]],Table1[[#This Row],[Chemistry 
Score]],Table1[[#This Row],[Biology 
Score]],Table1[[#This Row],[English 
Score]],Table1[[#This Row],[Geography 
Score]])</f>
        <v>526</v>
      </c>
      <c r="AA784" s="3">
        <f>AVERAGE(Table1[[#This Row],[Math 
Score]],Table1[[#This Row],[History 
Score]],Table1[[#This Row],[Physics 
Score]],Table1[[#This Row],[Chemistry 
Score]],Table1[[#This Row],[Biology 
Score]],Table1[[#This Row],[English 
Score]],Table1[[#This Row],[Geography 
Score]])</f>
        <v>75.142857142857139</v>
      </c>
      <c r="AB78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784">
        <f t="shared" si="12"/>
        <v>1688</v>
      </c>
      <c r="AD784" t="str">
        <f>_xlfn.IFS(Table1[[#This Row],[Absence 
Days]]&lt;3,"Excellent",Table1[[#This Row],[Absence 
Days]]&lt;=6,"Good",Table1[[#This Row],[Absence 
Days]]&gt;6,"Poor")</f>
        <v>Good</v>
      </c>
    </row>
    <row r="785" spans="1:30" x14ac:dyDescent="0.35">
      <c r="A785">
        <v>784</v>
      </c>
      <c r="B785" s="2" t="s">
        <v>61</v>
      </c>
      <c r="C785" t="s">
        <v>630</v>
      </c>
      <c r="D785" t="str">
        <f>_xlfn.TEXTJOIN(" ",TRUE,Table1[[#This Row],[First 
Name]:[Last 
Name]])</f>
        <v>Henry Spencer</v>
      </c>
      <c r="E785" t="s">
        <v>1895</v>
      </c>
      <c r="F785" t="s">
        <v>3244</v>
      </c>
      <c r="G785" t="str">
        <f ca="1">PROPER(Table1[[#This Row],[Part Time 
Job]])</f>
        <v>False</v>
      </c>
      <c r="H785" s="3">
        <v>2</v>
      </c>
      <c r="I785" t="str">
        <f ca="1">PROPER(Table1[[#This Row],[Extracurricular 
Activities]])</f>
        <v>False</v>
      </c>
      <c r="J785">
        <v>2</v>
      </c>
      <c r="K785" t="s">
        <v>3128</v>
      </c>
      <c r="L785">
        <v>59</v>
      </c>
      <c r="M785" s="12" t="str" cm="1">
        <f t="array" ref="M785">_xlfn.IFS(Table1[[#This Row],[Math 
Score]]&gt;=90,"A+",Table1[[#This Row],[Math 
Score]]&gt;=80,"A", Table1[[#This Row],[Math 
Score]]&gt;=75,"A-",Table1[[#This Row],[Math 
Score]]&gt;=70,"B+",Table1[[#This Row],[Math 
Score]]&gt;=65,"B",Table1[[#This Row],[Math 
Score]]&gt;=60,"B-",Table1[[#This Row],[Math 
Score]]&gt;=50,"C",Table1[[#This Row],[Math 
Score]]&gt;=40,"D",Table1[[#This Row],[Math 
Score]]&lt;40,"F")</f>
        <v>C</v>
      </c>
      <c r="N785">
        <v>65</v>
      </c>
      <c r="O785" s="13" t="str" cm="1">
        <f t="array" ref="O78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785">
        <v>72</v>
      </c>
      <c r="Q785" s="13" t="str" cm="1">
        <f t="array" ref="Q78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785">
        <v>60</v>
      </c>
      <c r="S785" t="str" cm="1">
        <f t="array" ref="S78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785">
        <v>94</v>
      </c>
      <c r="U785" t="str" cm="1">
        <f t="array" ref="U78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785">
        <v>63</v>
      </c>
      <c r="W785" t="str" cm="1">
        <f t="array" ref="W78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785">
        <v>75</v>
      </c>
      <c r="Y785" t="str" cm="1">
        <f t="array" ref="Y78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785">
        <f>SUM(Table1[[#This Row],[Math 
Score]],Table1[[#This Row],[History 
Score]],Table1[[#This Row],[Physics 
Score]],Table1[[#This Row],[Chemistry 
Score]],Table1[[#This Row],[Biology 
Score]],Table1[[#This Row],[English 
Score]],Table1[[#This Row],[Geography 
Score]])</f>
        <v>488</v>
      </c>
      <c r="AA785" s="3">
        <f>AVERAGE(Table1[[#This Row],[Math 
Score]],Table1[[#This Row],[History 
Score]],Table1[[#This Row],[Physics 
Score]],Table1[[#This Row],[Chemistry 
Score]],Table1[[#This Row],[Biology 
Score]],Table1[[#This Row],[English 
Score]],Table1[[#This Row],[Geography 
Score]])</f>
        <v>69.714285714285708</v>
      </c>
      <c r="AB78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785">
        <f t="shared" si="12"/>
        <v>1919</v>
      </c>
      <c r="AD785" t="str">
        <f>_xlfn.IFS(Table1[[#This Row],[Absence 
Days]]&lt;3,"Excellent",Table1[[#This Row],[Absence 
Days]]&lt;=6,"Good",Table1[[#This Row],[Absence 
Days]]&gt;6,"Poor")</f>
        <v>Excellent</v>
      </c>
    </row>
    <row r="786" spans="1:30" x14ac:dyDescent="0.35">
      <c r="A786">
        <v>785</v>
      </c>
      <c r="B786" s="2" t="s">
        <v>25</v>
      </c>
      <c r="C786" t="s">
        <v>693</v>
      </c>
      <c r="D786" t="str">
        <f>_xlfn.TEXTJOIN(" ",TRUE,Table1[[#This Row],[First 
Name]:[Last 
Name]])</f>
        <v>Peter Yates</v>
      </c>
      <c r="E786" t="s">
        <v>1896</v>
      </c>
      <c r="F786" t="s">
        <v>3244</v>
      </c>
      <c r="G786" t="str">
        <f ca="1">PROPER(Table1[[#This Row],[Part Time 
Job]])</f>
        <v>False</v>
      </c>
      <c r="H786" s="3">
        <v>3</v>
      </c>
      <c r="I786" t="str">
        <f ca="1">PROPER(Table1[[#This Row],[Extracurricular 
Activities]])</f>
        <v>False</v>
      </c>
      <c r="J786">
        <v>42</v>
      </c>
      <c r="K786" t="s">
        <v>3113</v>
      </c>
      <c r="L786">
        <v>89</v>
      </c>
      <c r="M786" s="12" t="str" cm="1">
        <f t="array" ref="M78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786">
        <v>90</v>
      </c>
      <c r="O786" s="13" t="str" cm="1">
        <f t="array" ref="O78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786">
        <v>91</v>
      </c>
      <c r="Q786" s="13" t="str" cm="1">
        <f t="array" ref="Q78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786">
        <v>95</v>
      </c>
      <c r="S786" t="str" cm="1">
        <f t="array" ref="S78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786">
        <v>87</v>
      </c>
      <c r="U786" t="str" cm="1">
        <f t="array" ref="U78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786">
        <v>92</v>
      </c>
      <c r="W786" t="str" cm="1">
        <f t="array" ref="W78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786">
        <v>96</v>
      </c>
      <c r="Y786" t="str" cm="1">
        <f t="array" ref="Y78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786">
        <f>SUM(Table1[[#This Row],[Math 
Score]],Table1[[#This Row],[History 
Score]],Table1[[#This Row],[Physics 
Score]],Table1[[#This Row],[Chemistry 
Score]],Table1[[#This Row],[Biology 
Score]],Table1[[#This Row],[English 
Score]],Table1[[#This Row],[Geography 
Score]])</f>
        <v>640</v>
      </c>
      <c r="AA786" s="3">
        <f>AVERAGE(Table1[[#This Row],[Math 
Score]],Table1[[#This Row],[History 
Score]],Table1[[#This Row],[Physics 
Score]],Table1[[#This Row],[Chemistry 
Score]],Table1[[#This Row],[Biology 
Score]],Table1[[#This Row],[English 
Score]],Table1[[#This Row],[Geography 
Score]])</f>
        <v>91.428571428571431</v>
      </c>
      <c r="AB78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786">
        <f t="shared" si="12"/>
        <v>98</v>
      </c>
      <c r="AD786" t="str">
        <f>_xlfn.IFS(Table1[[#This Row],[Absence 
Days]]&lt;3,"Excellent",Table1[[#This Row],[Absence 
Days]]&lt;=6,"Good",Table1[[#This Row],[Absence 
Days]]&gt;6,"Poor")</f>
        <v>Good</v>
      </c>
    </row>
    <row r="787" spans="1:30" x14ac:dyDescent="0.35">
      <c r="A787">
        <v>786</v>
      </c>
      <c r="B787" s="2" t="s">
        <v>74</v>
      </c>
      <c r="C787" t="s">
        <v>664</v>
      </c>
      <c r="D787" t="str">
        <f>_xlfn.TEXTJOIN(" ",TRUE,Table1[[#This Row],[First 
Name]:[Last 
Name]])</f>
        <v>Robert Campbell</v>
      </c>
      <c r="E787" t="s">
        <v>1897</v>
      </c>
      <c r="F787" t="s">
        <v>3244</v>
      </c>
      <c r="G787" t="str">
        <f ca="1">PROPER(Table1[[#This Row],[Part Time 
Job]])</f>
        <v>False</v>
      </c>
      <c r="H787" s="3">
        <v>7</v>
      </c>
      <c r="I787" t="str">
        <f ca="1">PROPER(Table1[[#This Row],[Extracurricular 
Activities]])</f>
        <v>False</v>
      </c>
      <c r="J787">
        <v>31</v>
      </c>
      <c r="K787" t="s">
        <v>3121</v>
      </c>
      <c r="L787">
        <v>81</v>
      </c>
      <c r="M787" s="12" t="str" cm="1">
        <f t="array" ref="M78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787">
        <v>92</v>
      </c>
      <c r="O787" s="13" t="str" cm="1">
        <f t="array" ref="O78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787">
        <v>68</v>
      </c>
      <c r="Q787" s="13" t="str" cm="1">
        <f t="array" ref="Q78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787">
        <v>93</v>
      </c>
      <c r="S787" t="str" cm="1">
        <f t="array" ref="S78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787">
        <v>69</v>
      </c>
      <c r="U787" t="str" cm="1">
        <f t="array" ref="U78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787">
        <v>78</v>
      </c>
      <c r="W787" t="str" cm="1">
        <f t="array" ref="W78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787">
        <v>89</v>
      </c>
      <c r="Y787" t="str" cm="1">
        <f t="array" ref="Y78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787">
        <f>SUM(Table1[[#This Row],[Math 
Score]],Table1[[#This Row],[History 
Score]],Table1[[#This Row],[Physics 
Score]],Table1[[#This Row],[Chemistry 
Score]],Table1[[#This Row],[Biology 
Score]],Table1[[#This Row],[English 
Score]],Table1[[#This Row],[Geography 
Score]])</f>
        <v>570</v>
      </c>
      <c r="AA787" s="3">
        <f>AVERAGE(Table1[[#This Row],[Math 
Score]],Table1[[#This Row],[History 
Score]],Table1[[#This Row],[Physics 
Score]],Table1[[#This Row],[Chemistry 
Score]],Table1[[#This Row],[Biology 
Score]],Table1[[#This Row],[English 
Score]],Table1[[#This Row],[Geography 
Score]])</f>
        <v>81.428571428571431</v>
      </c>
      <c r="AB78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787">
        <f t="shared" si="12"/>
        <v>937</v>
      </c>
      <c r="AD787" t="str">
        <f>_xlfn.IFS(Table1[[#This Row],[Absence 
Days]]&lt;3,"Excellent",Table1[[#This Row],[Absence 
Days]]&lt;=6,"Good",Table1[[#This Row],[Absence 
Days]]&gt;6,"Poor")</f>
        <v>Poor</v>
      </c>
    </row>
    <row r="788" spans="1:30" x14ac:dyDescent="0.35">
      <c r="A788">
        <v>787</v>
      </c>
      <c r="B788" s="2" t="s">
        <v>110</v>
      </c>
      <c r="C788" t="s">
        <v>853</v>
      </c>
      <c r="D788" t="str">
        <f>_xlfn.TEXTJOIN(" ",TRUE,Table1[[#This Row],[First 
Name]:[Last 
Name]])</f>
        <v>Matthew Conway</v>
      </c>
      <c r="E788" t="s">
        <v>1898</v>
      </c>
      <c r="F788" t="s">
        <v>3244</v>
      </c>
      <c r="G788" t="str">
        <f ca="1">PROPER(Table1[[#This Row],[Part Time 
Job]])</f>
        <v>False</v>
      </c>
      <c r="H788" s="3">
        <v>3</v>
      </c>
      <c r="I788" t="str">
        <f ca="1">PROPER(Table1[[#This Row],[Extracurricular 
Activities]])</f>
        <v>False</v>
      </c>
      <c r="J788">
        <v>15</v>
      </c>
      <c r="K788" t="s">
        <v>3123</v>
      </c>
      <c r="L788">
        <v>77</v>
      </c>
      <c r="M788" s="12" t="str" cm="1">
        <f t="array" ref="M78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788">
        <v>84</v>
      </c>
      <c r="O788" s="13" t="str" cm="1">
        <f t="array" ref="O78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788">
        <v>86</v>
      </c>
      <c r="Q788" s="13" t="str" cm="1">
        <f t="array" ref="Q78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788">
        <v>97</v>
      </c>
      <c r="S788" t="str" cm="1">
        <f t="array" ref="S78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788">
        <v>90</v>
      </c>
      <c r="U788" t="str" cm="1">
        <f t="array" ref="U78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788">
        <v>83</v>
      </c>
      <c r="W788" t="str" cm="1">
        <f t="array" ref="W78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788">
        <v>92</v>
      </c>
      <c r="Y788" t="str" cm="1">
        <f t="array" ref="Y78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788">
        <f>SUM(Table1[[#This Row],[Math 
Score]],Table1[[#This Row],[History 
Score]],Table1[[#This Row],[Physics 
Score]],Table1[[#This Row],[Chemistry 
Score]],Table1[[#This Row],[Biology 
Score]],Table1[[#This Row],[English 
Score]],Table1[[#This Row],[Geography 
Score]])</f>
        <v>609</v>
      </c>
      <c r="AA788" s="3">
        <f>AVERAGE(Table1[[#This Row],[Math 
Score]],Table1[[#This Row],[History 
Score]],Table1[[#This Row],[Physics 
Score]],Table1[[#This Row],[Chemistry 
Score]],Table1[[#This Row],[Biology 
Score]],Table1[[#This Row],[English 
Score]],Table1[[#This Row],[Geography 
Score]])</f>
        <v>87</v>
      </c>
      <c r="AB78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788">
        <f t="shared" si="12"/>
        <v>309</v>
      </c>
      <c r="AD788" t="str">
        <f>_xlfn.IFS(Table1[[#This Row],[Absence 
Days]]&lt;3,"Excellent",Table1[[#This Row],[Absence 
Days]]&lt;=6,"Good",Table1[[#This Row],[Absence 
Days]]&gt;6,"Poor")</f>
        <v>Good</v>
      </c>
    </row>
    <row r="789" spans="1:30" x14ac:dyDescent="0.35">
      <c r="A789">
        <v>788</v>
      </c>
      <c r="B789" s="2" t="s">
        <v>267</v>
      </c>
      <c r="C789" t="s">
        <v>854</v>
      </c>
      <c r="D789" t="str">
        <f>_xlfn.TEXTJOIN(" ",TRUE,Table1[[#This Row],[First 
Name]:[Last 
Name]])</f>
        <v>Tyler Calderon</v>
      </c>
      <c r="E789" t="s">
        <v>1899</v>
      </c>
      <c r="F789" t="s">
        <v>3244</v>
      </c>
      <c r="G789" t="str">
        <f ca="1">PROPER(Table1[[#This Row],[Part Time 
Job]])</f>
        <v>False</v>
      </c>
      <c r="H789" s="3">
        <v>7</v>
      </c>
      <c r="I789" t="str">
        <f ca="1">PROPER(Table1[[#This Row],[Extracurricular 
Activities]])</f>
        <v>False</v>
      </c>
      <c r="J789">
        <v>1</v>
      </c>
      <c r="K789" t="s">
        <v>3119</v>
      </c>
      <c r="L789">
        <v>72</v>
      </c>
      <c r="M789" s="12" t="str" cm="1">
        <f t="array" ref="M789">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789">
        <v>58</v>
      </c>
      <c r="O789" s="13" t="str" cm="1">
        <f t="array" ref="O78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C</v>
      </c>
      <c r="P789">
        <v>73</v>
      </c>
      <c r="Q789" s="13" t="str" cm="1">
        <f t="array" ref="Q78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789">
        <v>57</v>
      </c>
      <c r="S789" t="str" cm="1">
        <f t="array" ref="S78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C</v>
      </c>
      <c r="T789">
        <v>67</v>
      </c>
      <c r="U789" t="str" cm="1">
        <f t="array" ref="U78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789">
        <v>88</v>
      </c>
      <c r="W789" t="str" cm="1">
        <f t="array" ref="W78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789">
        <v>70</v>
      </c>
      <c r="Y789" t="str" cm="1">
        <f t="array" ref="Y78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789">
        <f>SUM(Table1[[#This Row],[Math 
Score]],Table1[[#This Row],[History 
Score]],Table1[[#This Row],[Physics 
Score]],Table1[[#This Row],[Chemistry 
Score]],Table1[[#This Row],[Biology 
Score]],Table1[[#This Row],[English 
Score]],Table1[[#This Row],[Geography 
Score]])</f>
        <v>485</v>
      </c>
      <c r="AA789" s="3">
        <f>AVERAGE(Table1[[#This Row],[Math 
Score]],Table1[[#This Row],[History 
Score]],Table1[[#This Row],[Physics 
Score]],Table1[[#This Row],[Chemistry 
Score]],Table1[[#This Row],[Biology 
Score]],Table1[[#This Row],[English 
Score]],Table1[[#This Row],[Geography 
Score]])</f>
        <v>69.285714285714292</v>
      </c>
      <c r="AB78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789">
        <f t="shared" si="12"/>
        <v>1923</v>
      </c>
      <c r="AD789" t="str">
        <f>_xlfn.IFS(Table1[[#This Row],[Absence 
Days]]&lt;3,"Excellent",Table1[[#This Row],[Absence 
Days]]&lt;=6,"Good",Table1[[#This Row],[Absence 
Days]]&gt;6,"Poor")</f>
        <v>Poor</v>
      </c>
    </row>
    <row r="790" spans="1:30" x14ac:dyDescent="0.35">
      <c r="A790">
        <v>789</v>
      </c>
      <c r="B790" s="2" t="s">
        <v>315</v>
      </c>
      <c r="C790" t="s">
        <v>855</v>
      </c>
      <c r="D790" t="str">
        <f>_xlfn.TEXTJOIN(" ",TRUE,Table1[[#This Row],[First 
Name]:[Last 
Name]])</f>
        <v>Brittney Moon</v>
      </c>
      <c r="E790" t="s">
        <v>1900</v>
      </c>
      <c r="F790" t="s">
        <v>3245</v>
      </c>
      <c r="G790" t="str">
        <f ca="1">PROPER(Table1[[#This Row],[Part Time 
Job]])</f>
        <v>False</v>
      </c>
      <c r="H790" s="3">
        <v>5</v>
      </c>
      <c r="I790" t="str">
        <f ca="1">PROPER(Table1[[#This Row],[Extracurricular 
Activities]])</f>
        <v>False</v>
      </c>
      <c r="J790">
        <v>10</v>
      </c>
      <c r="K790" t="s">
        <v>3118</v>
      </c>
      <c r="L790">
        <v>91</v>
      </c>
      <c r="M790" s="12" t="str" cm="1">
        <f t="array" ref="M79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790">
        <v>63</v>
      </c>
      <c r="O790" s="13" t="str" cm="1">
        <f t="array" ref="O79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790">
        <v>78</v>
      </c>
      <c r="Q790" s="13" t="str" cm="1">
        <f t="array" ref="Q79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790">
        <v>93</v>
      </c>
      <c r="S790" t="str" cm="1">
        <f t="array" ref="S79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790">
        <v>76</v>
      </c>
      <c r="U790" t="str" cm="1">
        <f t="array" ref="U79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790">
        <v>76</v>
      </c>
      <c r="W790" t="str" cm="1">
        <f t="array" ref="W79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790">
        <v>90</v>
      </c>
      <c r="Y790" t="str" cm="1">
        <f t="array" ref="Y79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790">
        <f>SUM(Table1[[#This Row],[Math 
Score]],Table1[[#This Row],[History 
Score]],Table1[[#This Row],[Physics 
Score]],Table1[[#This Row],[Chemistry 
Score]],Table1[[#This Row],[Biology 
Score]],Table1[[#This Row],[English 
Score]],Table1[[#This Row],[Geography 
Score]])</f>
        <v>567</v>
      </c>
      <c r="AA790" s="3">
        <f>AVERAGE(Table1[[#This Row],[Math 
Score]],Table1[[#This Row],[History 
Score]],Table1[[#This Row],[Physics 
Score]],Table1[[#This Row],[Chemistry 
Score]],Table1[[#This Row],[Biology 
Score]],Table1[[#This Row],[English 
Score]],Table1[[#This Row],[Geography 
Score]])</f>
        <v>81</v>
      </c>
      <c r="AB79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790">
        <f t="shared" si="12"/>
        <v>994</v>
      </c>
      <c r="AD790" t="str">
        <f>_xlfn.IFS(Table1[[#This Row],[Absence 
Days]]&lt;3,"Excellent",Table1[[#This Row],[Absence 
Days]]&lt;=6,"Good",Table1[[#This Row],[Absence 
Days]]&gt;6,"Poor")</f>
        <v>Good</v>
      </c>
    </row>
    <row r="791" spans="1:30" x14ac:dyDescent="0.35">
      <c r="A791">
        <v>790</v>
      </c>
      <c r="B791" s="2" t="s">
        <v>176</v>
      </c>
      <c r="C791" t="s">
        <v>462</v>
      </c>
      <c r="D791" t="str">
        <f>_xlfn.TEXTJOIN(" ",TRUE,Table1[[#This Row],[First 
Name]:[Last 
Name]])</f>
        <v>Tracy White</v>
      </c>
      <c r="E791" t="s">
        <v>1901</v>
      </c>
      <c r="F791" t="s">
        <v>3245</v>
      </c>
      <c r="G791" t="str">
        <f ca="1">PROPER(Table1[[#This Row],[Part Time 
Job]])</f>
        <v>False</v>
      </c>
      <c r="H791" s="3">
        <v>5</v>
      </c>
      <c r="I791" t="str">
        <f ca="1">PROPER(Table1[[#This Row],[Extracurricular 
Activities]])</f>
        <v>False</v>
      </c>
      <c r="J791">
        <v>40</v>
      </c>
      <c r="K791" t="s">
        <v>3113</v>
      </c>
      <c r="L791">
        <v>88</v>
      </c>
      <c r="M791" s="12" t="str" cm="1">
        <f t="array" ref="M79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791">
        <v>100</v>
      </c>
      <c r="O791" s="13" t="str" cm="1">
        <f t="array" ref="O79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791">
        <v>94</v>
      </c>
      <c r="Q791" s="13" t="str" cm="1">
        <f t="array" ref="Q79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791">
        <v>91</v>
      </c>
      <c r="S791" t="str" cm="1">
        <f t="array" ref="S79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791">
        <v>85</v>
      </c>
      <c r="U791" t="str" cm="1">
        <f t="array" ref="U79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791">
        <v>91</v>
      </c>
      <c r="W791" t="str" cm="1">
        <f t="array" ref="W79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791">
        <v>88</v>
      </c>
      <c r="Y791" t="str" cm="1">
        <f t="array" ref="Y79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791">
        <f>SUM(Table1[[#This Row],[Math 
Score]],Table1[[#This Row],[History 
Score]],Table1[[#This Row],[Physics 
Score]],Table1[[#This Row],[Chemistry 
Score]],Table1[[#This Row],[Biology 
Score]],Table1[[#This Row],[English 
Score]],Table1[[#This Row],[Geography 
Score]])</f>
        <v>637</v>
      </c>
      <c r="AA791" s="3">
        <f>AVERAGE(Table1[[#This Row],[Math 
Score]],Table1[[#This Row],[History 
Score]],Table1[[#This Row],[Physics 
Score]],Table1[[#This Row],[Chemistry 
Score]],Table1[[#This Row],[Biology 
Score]],Table1[[#This Row],[English 
Score]],Table1[[#This Row],[Geography 
Score]])</f>
        <v>91</v>
      </c>
      <c r="AB79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791">
        <f t="shared" si="12"/>
        <v>115</v>
      </c>
      <c r="AD791" t="str">
        <f>_xlfn.IFS(Table1[[#This Row],[Absence 
Days]]&lt;3,"Excellent",Table1[[#This Row],[Absence 
Days]]&lt;=6,"Good",Table1[[#This Row],[Absence 
Days]]&gt;6,"Poor")</f>
        <v>Good</v>
      </c>
    </row>
    <row r="792" spans="1:30" x14ac:dyDescent="0.35">
      <c r="A792">
        <v>791</v>
      </c>
      <c r="B792" s="2" t="s">
        <v>257</v>
      </c>
      <c r="C792" t="s">
        <v>856</v>
      </c>
      <c r="D792" t="str">
        <f>_xlfn.TEXTJOIN(" ",TRUE,Table1[[#This Row],[First 
Name]:[Last 
Name]])</f>
        <v>Gregory Welch</v>
      </c>
      <c r="E792" t="s">
        <v>1902</v>
      </c>
      <c r="F792" t="s">
        <v>3244</v>
      </c>
      <c r="G792" t="str">
        <f ca="1">PROPER(Table1[[#This Row],[Part Time 
Job]])</f>
        <v>False</v>
      </c>
      <c r="H792" s="3">
        <v>8</v>
      </c>
      <c r="I792" t="str">
        <f ca="1">PROPER(Table1[[#This Row],[Extracurricular 
Activities]])</f>
        <v>False</v>
      </c>
      <c r="J792">
        <v>40</v>
      </c>
      <c r="K792" t="s">
        <v>3113</v>
      </c>
      <c r="L792">
        <v>94</v>
      </c>
      <c r="M792" s="12" t="str" cm="1">
        <f t="array" ref="M79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792">
        <v>88</v>
      </c>
      <c r="O792" s="13" t="str" cm="1">
        <f t="array" ref="O79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792">
        <v>99</v>
      </c>
      <c r="Q792" s="13" t="str" cm="1">
        <f t="array" ref="Q79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792">
        <v>92</v>
      </c>
      <c r="S792" t="str" cm="1">
        <f t="array" ref="S79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792">
        <v>98</v>
      </c>
      <c r="U792" t="str" cm="1">
        <f t="array" ref="U79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792">
        <v>85</v>
      </c>
      <c r="W792" t="str" cm="1">
        <f t="array" ref="W79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792">
        <v>95</v>
      </c>
      <c r="Y792" t="str" cm="1">
        <f t="array" ref="Y79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792">
        <f>SUM(Table1[[#This Row],[Math 
Score]],Table1[[#This Row],[History 
Score]],Table1[[#This Row],[Physics 
Score]],Table1[[#This Row],[Chemistry 
Score]],Table1[[#This Row],[Biology 
Score]],Table1[[#This Row],[English 
Score]],Table1[[#This Row],[Geography 
Score]])</f>
        <v>651</v>
      </c>
      <c r="AA792" s="3">
        <f>AVERAGE(Table1[[#This Row],[Math 
Score]],Table1[[#This Row],[History 
Score]],Table1[[#This Row],[Physics 
Score]],Table1[[#This Row],[Chemistry 
Score]],Table1[[#This Row],[Biology 
Score]],Table1[[#This Row],[English 
Score]],Table1[[#This Row],[Geography 
Score]])</f>
        <v>93</v>
      </c>
      <c r="AB79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792">
        <f t="shared" si="12"/>
        <v>51</v>
      </c>
      <c r="AD792" t="str">
        <f>_xlfn.IFS(Table1[[#This Row],[Absence 
Days]]&lt;3,"Excellent",Table1[[#This Row],[Absence 
Days]]&lt;=6,"Good",Table1[[#This Row],[Absence 
Days]]&gt;6,"Poor")</f>
        <v>Poor</v>
      </c>
    </row>
    <row r="793" spans="1:30" x14ac:dyDescent="0.35">
      <c r="A793">
        <v>792</v>
      </c>
      <c r="B793" s="2" t="s">
        <v>316</v>
      </c>
      <c r="C793" t="s">
        <v>857</v>
      </c>
      <c r="D793" t="str">
        <f>_xlfn.TEXTJOIN(" ",TRUE,Table1[[#This Row],[First 
Name]:[Last 
Name]])</f>
        <v>Caroline Cooper</v>
      </c>
      <c r="E793" t="s">
        <v>1903</v>
      </c>
      <c r="F793" t="s">
        <v>3245</v>
      </c>
      <c r="G793" t="str">
        <f ca="1">PROPER(Table1[[#This Row],[Part Time 
Job]])</f>
        <v>False</v>
      </c>
      <c r="H793" s="3">
        <v>0</v>
      </c>
      <c r="I793" t="str">
        <f ca="1">PROPER(Table1[[#This Row],[Extracurricular 
Activities]])</f>
        <v>False</v>
      </c>
      <c r="J793">
        <v>8</v>
      </c>
      <c r="K793" t="s">
        <v>3128</v>
      </c>
      <c r="L793">
        <v>67</v>
      </c>
      <c r="M793" s="12" t="str" cm="1">
        <f t="array" ref="M793">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793">
        <v>72</v>
      </c>
      <c r="O793" s="13" t="str" cm="1">
        <f t="array" ref="O79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793">
        <v>98</v>
      </c>
      <c r="Q793" s="13" t="str" cm="1">
        <f t="array" ref="Q79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793">
        <v>65</v>
      </c>
      <c r="S793" t="str" cm="1">
        <f t="array" ref="S79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793">
        <v>61</v>
      </c>
      <c r="U793" t="str" cm="1">
        <f t="array" ref="U79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793">
        <v>87</v>
      </c>
      <c r="W793" t="str" cm="1">
        <f t="array" ref="W79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793">
        <v>89</v>
      </c>
      <c r="Y793" t="str" cm="1">
        <f t="array" ref="Y79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793">
        <f>SUM(Table1[[#This Row],[Math 
Score]],Table1[[#This Row],[History 
Score]],Table1[[#This Row],[Physics 
Score]],Table1[[#This Row],[Chemistry 
Score]],Table1[[#This Row],[Biology 
Score]],Table1[[#This Row],[English 
Score]],Table1[[#This Row],[Geography 
Score]])</f>
        <v>539</v>
      </c>
      <c r="AA793" s="3">
        <f>AVERAGE(Table1[[#This Row],[Math 
Score]],Table1[[#This Row],[History 
Score]],Table1[[#This Row],[Physics 
Score]],Table1[[#This Row],[Chemistry 
Score]],Table1[[#This Row],[Biology 
Score]],Table1[[#This Row],[English 
Score]],Table1[[#This Row],[Geography 
Score]])</f>
        <v>77</v>
      </c>
      <c r="AB79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793">
        <f t="shared" si="12"/>
        <v>1531</v>
      </c>
      <c r="AD793" t="str">
        <f>_xlfn.IFS(Table1[[#This Row],[Absence 
Days]]&lt;3,"Excellent",Table1[[#This Row],[Absence 
Days]]&lt;=6,"Good",Table1[[#This Row],[Absence 
Days]]&gt;6,"Poor")</f>
        <v>Excellent</v>
      </c>
    </row>
    <row r="794" spans="1:30" x14ac:dyDescent="0.35">
      <c r="A794">
        <v>793</v>
      </c>
      <c r="B794" s="2" t="s">
        <v>5</v>
      </c>
      <c r="C794" t="s">
        <v>780</v>
      </c>
      <c r="D794" t="str">
        <f>_xlfn.TEXTJOIN(" ",TRUE,Table1[[#This Row],[First 
Name]:[Last 
Name]])</f>
        <v>Kelly Rivera</v>
      </c>
      <c r="E794" t="s">
        <v>1904</v>
      </c>
      <c r="F794" t="s">
        <v>3245</v>
      </c>
      <c r="G794" t="str">
        <f ca="1">PROPER(Table1[[#This Row],[Part Time 
Job]])</f>
        <v>False</v>
      </c>
      <c r="H794" s="3">
        <v>2</v>
      </c>
      <c r="I794" t="str">
        <f ca="1">PROPER(Table1[[#This Row],[Extracurricular 
Activities]])</f>
        <v>False</v>
      </c>
      <c r="J794">
        <v>22</v>
      </c>
      <c r="K794" t="s">
        <v>3116</v>
      </c>
      <c r="L794">
        <v>88</v>
      </c>
      <c r="M794" s="12" t="str" cm="1">
        <f t="array" ref="M79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794">
        <v>86</v>
      </c>
      <c r="O794" s="13" t="str" cm="1">
        <f t="array" ref="O79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794">
        <v>82</v>
      </c>
      <c r="Q794" s="13" t="str" cm="1">
        <f t="array" ref="Q79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794">
        <v>89</v>
      </c>
      <c r="S794" t="str" cm="1">
        <f t="array" ref="S79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794">
        <v>81</v>
      </c>
      <c r="U794" t="str" cm="1">
        <f t="array" ref="U79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794">
        <v>61</v>
      </c>
      <c r="W794" t="str" cm="1">
        <f t="array" ref="W79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794">
        <v>83</v>
      </c>
      <c r="Y794" t="str" cm="1">
        <f t="array" ref="Y79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794">
        <f>SUM(Table1[[#This Row],[Math 
Score]],Table1[[#This Row],[History 
Score]],Table1[[#This Row],[Physics 
Score]],Table1[[#This Row],[Chemistry 
Score]],Table1[[#This Row],[Biology 
Score]],Table1[[#This Row],[English 
Score]],Table1[[#This Row],[Geography 
Score]])</f>
        <v>570</v>
      </c>
      <c r="AA794" s="3">
        <f>AVERAGE(Table1[[#This Row],[Math 
Score]],Table1[[#This Row],[History 
Score]],Table1[[#This Row],[Physics 
Score]],Table1[[#This Row],[Chemistry 
Score]],Table1[[#This Row],[Biology 
Score]],Table1[[#This Row],[English 
Score]],Table1[[#This Row],[Geography 
Score]])</f>
        <v>81.428571428571431</v>
      </c>
      <c r="AB79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794">
        <f t="shared" si="12"/>
        <v>937</v>
      </c>
      <c r="AD794" t="str">
        <f>_xlfn.IFS(Table1[[#This Row],[Absence 
Days]]&lt;3,"Excellent",Table1[[#This Row],[Absence 
Days]]&lt;=6,"Good",Table1[[#This Row],[Absence 
Days]]&gt;6,"Poor")</f>
        <v>Excellent</v>
      </c>
    </row>
    <row r="795" spans="1:30" x14ac:dyDescent="0.35">
      <c r="A795">
        <v>794</v>
      </c>
      <c r="B795" s="2" t="s">
        <v>317</v>
      </c>
      <c r="C795" t="s">
        <v>562</v>
      </c>
      <c r="D795" t="str">
        <f>_xlfn.TEXTJOIN(" ",TRUE,Table1[[#This Row],[First 
Name]:[Last 
Name]])</f>
        <v>Stacey Wilson</v>
      </c>
      <c r="E795" t="s">
        <v>1905</v>
      </c>
      <c r="F795" t="s">
        <v>3245</v>
      </c>
      <c r="G795" t="str">
        <f ca="1">PROPER(Table1[[#This Row],[Part Time 
Job]])</f>
        <v>False</v>
      </c>
      <c r="H795" s="3">
        <v>3</v>
      </c>
      <c r="I795" t="str">
        <f ca="1">PROPER(Table1[[#This Row],[Extracurricular 
Activities]])</f>
        <v>False</v>
      </c>
      <c r="J795">
        <v>21</v>
      </c>
      <c r="K795" t="s">
        <v>3116</v>
      </c>
      <c r="L795">
        <v>67</v>
      </c>
      <c r="M795" s="12" t="str" cm="1">
        <f t="array" ref="M795">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795">
        <v>67</v>
      </c>
      <c r="O795" s="13" t="str" cm="1">
        <f t="array" ref="O79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795">
        <v>62</v>
      </c>
      <c r="Q795" s="13" t="str" cm="1">
        <f t="array" ref="Q79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795">
        <v>80</v>
      </c>
      <c r="S795" t="str" cm="1">
        <f t="array" ref="S79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795">
        <v>61</v>
      </c>
      <c r="U795" t="str" cm="1">
        <f t="array" ref="U79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795">
        <v>61</v>
      </c>
      <c r="W795" t="str" cm="1">
        <f t="array" ref="W79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795">
        <v>82</v>
      </c>
      <c r="Y795" t="str" cm="1">
        <f t="array" ref="Y79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795">
        <f>SUM(Table1[[#This Row],[Math 
Score]],Table1[[#This Row],[History 
Score]],Table1[[#This Row],[Physics 
Score]],Table1[[#This Row],[Chemistry 
Score]],Table1[[#This Row],[Biology 
Score]],Table1[[#This Row],[English 
Score]],Table1[[#This Row],[Geography 
Score]])</f>
        <v>480</v>
      </c>
      <c r="AA795" s="3">
        <f>AVERAGE(Table1[[#This Row],[Math 
Score]],Table1[[#This Row],[History 
Score]],Table1[[#This Row],[Physics 
Score]],Table1[[#This Row],[Chemistry 
Score]],Table1[[#This Row],[Biology 
Score]],Table1[[#This Row],[English 
Score]],Table1[[#This Row],[Geography 
Score]])</f>
        <v>68.571428571428569</v>
      </c>
      <c r="AB79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795">
        <f t="shared" si="12"/>
        <v>1935</v>
      </c>
      <c r="AD795" t="str">
        <f>_xlfn.IFS(Table1[[#This Row],[Absence 
Days]]&lt;3,"Excellent",Table1[[#This Row],[Absence 
Days]]&lt;=6,"Good",Table1[[#This Row],[Absence 
Days]]&gt;6,"Poor")</f>
        <v>Good</v>
      </c>
    </row>
    <row r="796" spans="1:30" x14ac:dyDescent="0.35">
      <c r="A796">
        <v>795</v>
      </c>
      <c r="B796" s="2" t="s">
        <v>318</v>
      </c>
      <c r="C796" t="s">
        <v>858</v>
      </c>
      <c r="D796" t="str">
        <f>_xlfn.TEXTJOIN(" ",TRUE,Table1[[#This Row],[First 
Name]:[Last 
Name]])</f>
        <v>Craig Graham</v>
      </c>
      <c r="E796" t="s">
        <v>1906</v>
      </c>
      <c r="F796" t="s">
        <v>3244</v>
      </c>
      <c r="G796" t="str">
        <f ca="1">PROPER(Table1[[#This Row],[Part Time 
Job]])</f>
        <v>False</v>
      </c>
      <c r="H796" s="3">
        <v>7</v>
      </c>
      <c r="I796" t="str">
        <f ca="1">PROPER(Table1[[#This Row],[Extracurricular 
Activities]])</f>
        <v>False</v>
      </c>
      <c r="J796">
        <v>31</v>
      </c>
      <c r="K796" t="s">
        <v>3112</v>
      </c>
      <c r="L796">
        <v>95</v>
      </c>
      <c r="M796" s="12" t="str" cm="1">
        <f t="array" ref="M79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796">
        <v>87</v>
      </c>
      <c r="O796" s="13" t="str" cm="1">
        <f t="array" ref="O79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796">
        <v>96</v>
      </c>
      <c r="Q796" s="13" t="str" cm="1">
        <f t="array" ref="Q79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796">
        <v>97</v>
      </c>
      <c r="S796" t="str" cm="1">
        <f t="array" ref="S79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796">
        <v>83</v>
      </c>
      <c r="U796" t="str" cm="1">
        <f t="array" ref="U79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796">
        <v>93</v>
      </c>
      <c r="W796" t="str" cm="1">
        <f t="array" ref="W79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796">
        <v>88</v>
      </c>
      <c r="Y796" t="str" cm="1">
        <f t="array" ref="Y79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796">
        <f>SUM(Table1[[#This Row],[Math 
Score]],Table1[[#This Row],[History 
Score]],Table1[[#This Row],[Physics 
Score]],Table1[[#This Row],[Chemistry 
Score]],Table1[[#This Row],[Biology 
Score]],Table1[[#This Row],[English 
Score]],Table1[[#This Row],[Geography 
Score]])</f>
        <v>639</v>
      </c>
      <c r="AA796" s="3">
        <f>AVERAGE(Table1[[#This Row],[Math 
Score]],Table1[[#This Row],[History 
Score]],Table1[[#This Row],[Physics 
Score]],Table1[[#This Row],[Chemistry 
Score]],Table1[[#This Row],[Biology 
Score]],Table1[[#This Row],[English 
Score]],Table1[[#This Row],[Geography 
Score]])</f>
        <v>91.285714285714292</v>
      </c>
      <c r="AB79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796">
        <f t="shared" si="12"/>
        <v>106</v>
      </c>
      <c r="AD796" t="str">
        <f>_xlfn.IFS(Table1[[#This Row],[Absence 
Days]]&lt;3,"Excellent",Table1[[#This Row],[Absence 
Days]]&lt;=6,"Good",Table1[[#This Row],[Absence 
Days]]&gt;6,"Poor")</f>
        <v>Poor</v>
      </c>
    </row>
    <row r="797" spans="1:30" x14ac:dyDescent="0.35">
      <c r="A797">
        <v>796</v>
      </c>
      <c r="B797" s="2" t="s">
        <v>319</v>
      </c>
      <c r="C797" t="s">
        <v>859</v>
      </c>
      <c r="D797" t="str">
        <f>_xlfn.TEXTJOIN(" ",TRUE,Table1[[#This Row],[First 
Name]:[Last 
Name]])</f>
        <v>Earl Santana</v>
      </c>
      <c r="E797" t="s">
        <v>1907</v>
      </c>
      <c r="F797" t="s">
        <v>3244</v>
      </c>
      <c r="G797" t="str">
        <f ca="1">PROPER(Table1[[#This Row],[Part Time 
Job]])</f>
        <v>False</v>
      </c>
      <c r="H797" s="3">
        <v>1</v>
      </c>
      <c r="I797" t="str">
        <f ca="1">PROPER(Table1[[#This Row],[Extracurricular 
Activities]])</f>
        <v>False</v>
      </c>
      <c r="J797">
        <v>10</v>
      </c>
      <c r="K797" t="s">
        <v>3114</v>
      </c>
      <c r="L797">
        <v>96</v>
      </c>
      <c r="M797" s="12" t="str" cm="1">
        <f t="array" ref="M79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797">
        <v>91</v>
      </c>
      <c r="O797" s="13" t="str" cm="1">
        <f t="array" ref="O79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797">
        <v>78</v>
      </c>
      <c r="Q797" s="13" t="str" cm="1">
        <f t="array" ref="Q79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797">
        <v>94</v>
      </c>
      <c r="S797" t="str" cm="1">
        <f t="array" ref="S79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797">
        <v>81</v>
      </c>
      <c r="U797" t="str" cm="1">
        <f t="array" ref="U79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797">
        <v>88</v>
      </c>
      <c r="W797" t="str" cm="1">
        <f t="array" ref="W79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797">
        <v>86</v>
      </c>
      <c r="Y797" t="str" cm="1">
        <f t="array" ref="Y79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797">
        <f>SUM(Table1[[#This Row],[Math 
Score]],Table1[[#This Row],[History 
Score]],Table1[[#This Row],[Physics 
Score]],Table1[[#This Row],[Chemistry 
Score]],Table1[[#This Row],[Biology 
Score]],Table1[[#This Row],[English 
Score]],Table1[[#This Row],[Geography 
Score]])</f>
        <v>614</v>
      </c>
      <c r="AA797" s="3">
        <f>AVERAGE(Table1[[#This Row],[Math 
Score]],Table1[[#This Row],[History 
Score]],Table1[[#This Row],[Physics 
Score]],Table1[[#This Row],[Chemistry 
Score]],Table1[[#This Row],[Biology 
Score]],Table1[[#This Row],[English 
Score]],Table1[[#This Row],[Geography 
Score]])</f>
        <v>87.714285714285708</v>
      </c>
      <c r="AB79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797">
        <f t="shared" si="12"/>
        <v>260</v>
      </c>
      <c r="AD797" t="str">
        <f>_xlfn.IFS(Table1[[#This Row],[Absence 
Days]]&lt;3,"Excellent",Table1[[#This Row],[Absence 
Days]]&lt;=6,"Good",Table1[[#This Row],[Absence 
Days]]&gt;6,"Poor")</f>
        <v>Excellent</v>
      </c>
    </row>
    <row r="798" spans="1:30" x14ac:dyDescent="0.35">
      <c r="A798">
        <v>797</v>
      </c>
      <c r="B798" s="2" t="s">
        <v>32</v>
      </c>
      <c r="C798" t="s">
        <v>433</v>
      </c>
      <c r="D798" t="str">
        <f>_xlfn.TEXTJOIN(" ",TRUE,Table1[[#This Row],[First 
Name]:[Last 
Name]])</f>
        <v>Lisa Mitchell</v>
      </c>
      <c r="E798" t="s">
        <v>1908</v>
      </c>
      <c r="F798" t="s">
        <v>3245</v>
      </c>
      <c r="G798" t="str">
        <f ca="1">PROPER(Table1[[#This Row],[Part Time 
Job]])</f>
        <v>False</v>
      </c>
      <c r="H798" s="3">
        <v>3</v>
      </c>
      <c r="I798" t="str">
        <f ca="1">PROPER(Table1[[#This Row],[Extracurricular 
Activities]])</f>
        <v>True</v>
      </c>
      <c r="J798">
        <v>35</v>
      </c>
      <c r="K798" t="s">
        <v>3121</v>
      </c>
      <c r="L798">
        <v>87</v>
      </c>
      <c r="M798" s="12" t="str" cm="1">
        <f t="array" ref="M79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798">
        <v>99</v>
      </c>
      <c r="O798" s="13" t="str" cm="1">
        <f t="array" ref="O79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798">
        <v>99</v>
      </c>
      <c r="Q798" s="13" t="str" cm="1">
        <f t="array" ref="Q79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798">
        <v>100</v>
      </c>
      <c r="S798" t="str" cm="1">
        <f t="array" ref="S79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798">
        <v>98</v>
      </c>
      <c r="U798" t="str" cm="1">
        <f t="array" ref="U79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798">
        <v>96</v>
      </c>
      <c r="W798" t="str" cm="1">
        <f t="array" ref="W79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798">
        <v>94</v>
      </c>
      <c r="Y798" t="str" cm="1">
        <f t="array" ref="Y79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798">
        <f>SUM(Table1[[#This Row],[Math 
Score]],Table1[[#This Row],[History 
Score]],Table1[[#This Row],[Physics 
Score]],Table1[[#This Row],[Chemistry 
Score]],Table1[[#This Row],[Biology 
Score]],Table1[[#This Row],[English 
Score]],Table1[[#This Row],[Geography 
Score]])</f>
        <v>673</v>
      </c>
      <c r="AA798" s="3">
        <f>AVERAGE(Table1[[#This Row],[Math 
Score]],Table1[[#This Row],[History 
Score]],Table1[[#This Row],[Physics 
Score]],Table1[[#This Row],[Chemistry 
Score]],Table1[[#This Row],[Biology 
Score]],Table1[[#This Row],[English 
Score]],Table1[[#This Row],[Geography 
Score]])</f>
        <v>96.142857142857139</v>
      </c>
      <c r="AB79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798">
        <f t="shared" si="12"/>
        <v>1</v>
      </c>
      <c r="AD798" t="str">
        <f>_xlfn.IFS(Table1[[#This Row],[Absence 
Days]]&lt;3,"Excellent",Table1[[#This Row],[Absence 
Days]]&lt;=6,"Good",Table1[[#This Row],[Absence 
Days]]&gt;6,"Poor")</f>
        <v>Good</v>
      </c>
    </row>
    <row r="799" spans="1:30" x14ac:dyDescent="0.35">
      <c r="A799">
        <v>798</v>
      </c>
      <c r="B799" s="2" t="s">
        <v>34</v>
      </c>
      <c r="C799" t="s">
        <v>475</v>
      </c>
      <c r="D799" t="str">
        <f>_xlfn.TEXTJOIN(" ",TRUE,Table1[[#This Row],[First 
Name]:[Last 
Name]])</f>
        <v>Michael Williams</v>
      </c>
      <c r="E799" t="s">
        <v>1909</v>
      </c>
      <c r="F799" t="s">
        <v>3244</v>
      </c>
      <c r="G799" t="str">
        <f ca="1">PROPER(Table1[[#This Row],[Part Time 
Job]])</f>
        <v>False</v>
      </c>
      <c r="H799" s="3">
        <v>3</v>
      </c>
      <c r="I799" t="str">
        <f ca="1">PROPER(Table1[[#This Row],[Extracurricular 
Activities]])</f>
        <v>False</v>
      </c>
      <c r="J799">
        <v>14</v>
      </c>
      <c r="K799" t="s">
        <v>3121</v>
      </c>
      <c r="L799">
        <v>85</v>
      </c>
      <c r="M799" s="12" t="str" cm="1">
        <f t="array" ref="M79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799">
        <v>88</v>
      </c>
      <c r="O799" s="13" t="str" cm="1">
        <f t="array" ref="O79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799">
        <v>85</v>
      </c>
      <c r="Q799" s="13" t="str" cm="1">
        <f t="array" ref="Q79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799">
        <v>92</v>
      </c>
      <c r="S799" t="str" cm="1">
        <f t="array" ref="S79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799">
        <v>96</v>
      </c>
      <c r="U799" t="str" cm="1">
        <f t="array" ref="U79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799">
        <v>81</v>
      </c>
      <c r="W799" t="str" cm="1">
        <f t="array" ref="W79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799">
        <v>95</v>
      </c>
      <c r="Y799" t="str" cm="1">
        <f t="array" ref="Y79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799">
        <f>SUM(Table1[[#This Row],[Math 
Score]],Table1[[#This Row],[History 
Score]],Table1[[#This Row],[Physics 
Score]],Table1[[#This Row],[Chemistry 
Score]],Table1[[#This Row],[Biology 
Score]],Table1[[#This Row],[English 
Score]],Table1[[#This Row],[Geography 
Score]])</f>
        <v>622</v>
      </c>
      <c r="AA799" s="3">
        <f>AVERAGE(Table1[[#This Row],[Math 
Score]],Table1[[#This Row],[History 
Score]],Table1[[#This Row],[Physics 
Score]],Table1[[#This Row],[Chemistry 
Score]],Table1[[#This Row],[Biology 
Score]],Table1[[#This Row],[English 
Score]],Table1[[#This Row],[Geography 
Score]])</f>
        <v>88.857142857142861</v>
      </c>
      <c r="AB79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799">
        <f t="shared" si="12"/>
        <v>208</v>
      </c>
      <c r="AD799" t="str">
        <f>_xlfn.IFS(Table1[[#This Row],[Absence 
Days]]&lt;3,"Excellent",Table1[[#This Row],[Absence 
Days]]&lt;=6,"Good",Table1[[#This Row],[Absence 
Days]]&gt;6,"Poor")</f>
        <v>Good</v>
      </c>
    </row>
    <row r="800" spans="1:30" x14ac:dyDescent="0.35">
      <c r="A800">
        <v>799</v>
      </c>
      <c r="B800" s="2" t="s">
        <v>240</v>
      </c>
      <c r="C800" t="s">
        <v>532</v>
      </c>
      <c r="D800" t="str">
        <f>_xlfn.TEXTJOIN(" ",TRUE,Table1[[#This Row],[First 
Name]:[Last 
Name]])</f>
        <v>Jerry Jones</v>
      </c>
      <c r="E800" t="s">
        <v>1910</v>
      </c>
      <c r="F800" t="s">
        <v>3244</v>
      </c>
      <c r="G800" t="str">
        <f ca="1">PROPER(Table1[[#This Row],[Part Time 
Job]])</f>
        <v>False</v>
      </c>
      <c r="H800" s="3">
        <v>2</v>
      </c>
      <c r="I800" t="str">
        <f ca="1">PROPER(Table1[[#This Row],[Extracurricular 
Activities]])</f>
        <v>False</v>
      </c>
      <c r="J800">
        <v>7</v>
      </c>
      <c r="K800" t="s">
        <v>3114</v>
      </c>
      <c r="L800">
        <v>88</v>
      </c>
      <c r="M800" s="12" t="str" cm="1">
        <f t="array" ref="M80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800">
        <v>85</v>
      </c>
      <c r="O800" s="13" t="str" cm="1">
        <f t="array" ref="O80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800">
        <v>100</v>
      </c>
      <c r="Q800" s="13" t="str" cm="1">
        <f t="array" ref="Q80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800">
        <v>68</v>
      </c>
      <c r="S800" t="str" cm="1">
        <f t="array" ref="S80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800">
        <v>65</v>
      </c>
      <c r="U800" t="str" cm="1">
        <f t="array" ref="U80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800">
        <v>97</v>
      </c>
      <c r="W800" t="str" cm="1">
        <f t="array" ref="W80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800">
        <v>94</v>
      </c>
      <c r="Y800" t="str" cm="1">
        <f t="array" ref="Y80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800">
        <f>SUM(Table1[[#This Row],[Math 
Score]],Table1[[#This Row],[History 
Score]],Table1[[#This Row],[Physics 
Score]],Table1[[#This Row],[Chemistry 
Score]],Table1[[#This Row],[Biology 
Score]],Table1[[#This Row],[English 
Score]],Table1[[#This Row],[Geography 
Score]])</f>
        <v>597</v>
      </c>
      <c r="AA800" s="3">
        <f>AVERAGE(Table1[[#This Row],[Math 
Score]],Table1[[#This Row],[History 
Score]],Table1[[#This Row],[Physics 
Score]],Table1[[#This Row],[Chemistry 
Score]],Table1[[#This Row],[Biology 
Score]],Table1[[#This Row],[English 
Score]],Table1[[#This Row],[Geography 
Score]])</f>
        <v>85.285714285714292</v>
      </c>
      <c r="AB80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800">
        <f t="shared" si="12"/>
        <v>446</v>
      </c>
      <c r="AD800" t="str">
        <f>_xlfn.IFS(Table1[[#This Row],[Absence 
Days]]&lt;3,"Excellent",Table1[[#This Row],[Absence 
Days]]&lt;=6,"Good",Table1[[#This Row],[Absence 
Days]]&gt;6,"Poor")</f>
        <v>Excellent</v>
      </c>
    </row>
    <row r="801" spans="1:30" x14ac:dyDescent="0.35">
      <c r="A801">
        <v>800</v>
      </c>
      <c r="B801" s="2" t="s">
        <v>110</v>
      </c>
      <c r="C801" t="s">
        <v>860</v>
      </c>
      <c r="D801" t="str">
        <f>_xlfn.TEXTJOIN(" ",TRUE,Table1[[#This Row],[First 
Name]:[Last 
Name]])</f>
        <v>Matthew Miles</v>
      </c>
      <c r="E801" t="s">
        <v>1911</v>
      </c>
      <c r="F801" t="s">
        <v>3244</v>
      </c>
      <c r="G801" t="str">
        <f ca="1">PROPER(Table1[[#This Row],[Part Time 
Job]])</f>
        <v>False</v>
      </c>
      <c r="H801" s="3">
        <v>5</v>
      </c>
      <c r="I801" t="str">
        <f ca="1">PROPER(Table1[[#This Row],[Extracurricular 
Activities]])</f>
        <v>False</v>
      </c>
      <c r="J801">
        <v>4</v>
      </c>
      <c r="K801" t="s">
        <v>3119</v>
      </c>
      <c r="L801">
        <v>94</v>
      </c>
      <c r="M801" s="12" t="str" cm="1">
        <f t="array" ref="M80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801">
        <v>68</v>
      </c>
      <c r="O801" s="13" t="str" cm="1">
        <f t="array" ref="O80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801">
        <v>72</v>
      </c>
      <c r="Q801" s="13" t="str" cm="1">
        <f t="array" ref="Q80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801">
        <v>99</v>
      </c>
      <c r="S801" t="str" cm="1">
        <f t="array" ref="S80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801">
        <v>83</v>
      </c>
      <c r="U801" t="str" cm="1">
        <f t="array" ref="U80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801">
        <v>53</v>
      </c>
      <c r="W801" t="str" cm="1">
        <f t="array" ref="W80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C</v>
      </c>
      <c r="X801">
        <v>83</v>
      </c>
      <c r="Y801" t="str" cm="1">
        <f t="array" ref="Y80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801">
        <f>SUM(Table1[[#This Row],[Math 
Score]],Table1[[#This Row],[History 
Score]],Table1[[#This Row],[Physics 
Score]],Table1[[#This Row],[Chemistry 
Score]],Table1[[#This Row],[Biology 
Score]],Table1[[#This Row],[English 
Score]],Table1[[#This Row],[Geography 
Score]])</f>
        <v>552</v>
      </c>
      <c r="AA801" s="3">
        <f>AVERAGE(Table1[[#This Row],[Math 
Score]],Table1[[#This Row],[History 
Score]],Table1[[#This Row],[Physics 
Score]],Table1[[#This Row],[Chemistry 
Score]],Table1[[#This Row],[Biology 
Score]],Table1[[#This Row],[English 
Score]],Table1[[#This Row],[Geography 
Score]])</f>
        <v>78.857142857142861</v>
      </c>
      <c r="AB80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801">
        <f t="shared" si="12"/>
        <v>1306</v>
      </c>
      <c r="AD801" t="str">
        <f>_xlfn.IFS(Table1[[#This Row],[Absence 
Days]]&lt;3,"Excellent",Table1[[#This Row],[Absence 
Days]]&lt;=6,"Good",Table1[[#This Row],[Absence 
Days]]&gt;6,"Poor")</f>
        <v>Good</v>
      </c>
    </row>
    <row r="802" spans="1:30" x14ac:dyDescent="0.35">
      <c r="A802">
        <v>801</v>
      </c>
      <c r="B802" s="2" t="s">
        <v>270</v>
      </c>
      <c r="C802" t="s">
        <v>586</v>
      </c>
      <c r="D802" t="str">
        <f>_xlfn.TEXTJOIN(" ",TRUE,Table1[[#This Row],[First 
Name]:[Last 
Name]])</f>
        <v>Mary Cox</v>
      </c>
      <c r="E802" t="s">
        <v>1912</v>
      </c>
      <c r="F802" t="s">
        <v>3245</v>
      </c>
      <c r="G802" t="str">
        <f ca="1">PROPER(Table1[[#This Row],[Part Time 
Job]])</f>
        <v>False</v>
      </c>
      <c r="H802" s="3">
        <v>4</v>
      </c>
      <c r="I802" t="str">
        <f ca="1">PROPER(Table1[[#This Row],[Extracurricular 
Activities]])</f>
        <v>True</v>
      </c>
      <c r="J802">
        <v>14</v>
      </c>
      <c r="K802" t="s">
        <v>3118</v>
      </c>
      <c r="L802">
        <v>67</v>
      </c>
      <c r="M802" s="12" t="str" cm="1">
        <f t="array" ref="M802">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802">
        <v>100</v>
      </c>
      <c r="O802" s="13" t="str" cm="1">
        <f t="array" ref="O80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802">
        <v>77</v>
      </c>
      <c r="Q802" s="13" t="str" cm="1">
        <f t="array" ref="Q80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802">
        <v>85</v>
      </c>
      <c r="S802" t="str" cm="1">
        <f t="array" ref="S80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802">
        <v>73</v>
      </c>
      <c r="U802" t="str" cm="1">
        <f t="array" ref="U80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802">
        <v>95</v>
      </c>
      <c r="W802" t="str" cm="1">
        <f t="array" ref="W80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802">
        <v>86</v>
      </c>
      <c r="Y802" t="str" cm="1">
        <f t="array" ref="Y80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802">
        <f>SUM(Table1[[#This Row],[Math 
Score]],Table1[[#This Row],[History 
Score]],Table1[[#This Row],[Physics 
Score]],Table1[[#This Row],[Chemistry 
Score]],Table1[[#This Row],[Biology 
Score]],Table1[[#This Row],[English 
Score]],Table1[[#This Row],[Geography 
Score]])</f>
        <v>583</v>
      </c>
      <c r="AA802" s="3">
        <f>AVERAGE(Table1[[#This Row],[Math 
Score]],Table1[[#This Row],[History 
Score]],Table1[[#This Row],[Physics 
Score]],Table1[[#This Row],[Chemistry 
Score]],Table1[[#This Row],[Biology 
Score]],Table1[[#This Row],[English 
Score]],Table1[[#This Row],[Geography 
Score]])</f>
        <v>83.285714285714292</v>
      </c>
      <c r="AB80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802">
        <f t="shared" si="12"/>
        <v>655</v>
      </c>
      <c r="AD802" t="str">
        <f>_xlfn.IFS(Table1[[#This Row],[Absence 
Days]]&lt;3,"Excellent",Table1[[#This Row],[Absence 
Days]]&lt;=6,"Good",Table1[[#This Row],[Absence 
Days]]&gt;6,"Poor")</f>
        <v>Good</v>
      </c>
    </row>
    <row r="803" spans="1:30" x14ac:dyDescent="0.35">
      <c r="A803">
        <v>802</v>
      </c>
      <c r="B803" s="2" t="s">
        <v>102</v>
      </c>
      <c r="C803" t="s">
        <v>564</v>
      </c>
      <c r="D803" t="str">
        <f>_xlfn.TEXTJOIN(" ",TRUE,Table1[[#This Row],[First 
Name]:[Last 
Name]])</f>
        <v>Jessica Young</v>
      </c>
      <c r="E803" t="s">
        <v>1913</v>
      </c>
      <c r="F803" t="s">
        <v>3245</v>
      </c>
      <c r="G803" t="str">
        <f ca="1">PROPER(Table1[[#This Row],[Part Time 
Job]])</f>
        <v>False</v>
      </c>
      <c r="H803" s="3">
        <v>1</v>
      </c>
      <c r="I803" t="str">
        <f ca="1">PROPER(Table1[[#This Row],[Extracurricular 
Activities]])</f>
        <v>True</v>
      </c>
      <c r="J803">
        <v>29</v>
      </c>
      <c r="K803" t="s">
        <v>3117</v>
      </c>
      <c r="L803">
        <v>92</v>
      </c>
      <c r="M803" s="12" t="str" cm="1">
        <f t="array" ref="M80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803">
        <v>63</v>
      </c>
      <c r="O803" s="13" t="str" cm="1">
        <f t="array" ref="O80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803">
        <v>99</v>
      </c>
      <c r="Q803" s="13" t="str" cm="1">
        <f t="array" ref="Q80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803">
        <v>77</v>
      </c>
      <c r="S803" t="str" cm="1">
        <f t="array" ref="S80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803">
        <v>82</v>
      </c>
      <c r="U803" t="str" cm="1">
        <f t="array" ref="U80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803">
        <v>88</v>
      </c>
      <c r="W803" t="str" cm="1">
        <f t="array" ref="W80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803">
        <v>72</v>
      </c>
      <c r="Y803" t="str" cm="1">
        <f t="array" ref="Y80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803">
        <f>SUM(Table1[[#This Row],[Math 
Score]],Table1[[#This Row],[History 
Score]],Table1[[#This Row],[Physics 
Score]],Table1[[#This Row],[Chemistry 
Score]],Table1[[#This Row],[Biology 
Score]],Table1[[#This Row],[English 
Score]],Table1[[#This Row],[Geography 
Score]])</f>
        <v>573</v>
      </c>
      <c r="AA803" s="3">
        <f>AVERAGE(Table1[[#This Row],[Math 
Score]],Table1[[#This Row],[History 
Score]],Table1[[#This Row],[Physics 
Score]],Table1[[#This Row],[Chemistry 
Score]],Table1[[#This Row],[Biology 
Score]],Table1[[#This Row],[English 
Score]],Table1[[#This Row],[Geography 
Score]])</f>
        <v>81.857142857142861</v>
      </c>
      <c r="AB80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803">
        <f t="shared" si="12"/>
        <v>864</v>
      </c>
      <c r="AD803" t="str">
        <f>_xlfn.IFS(Table1[[#This Row],[Absence 
Days]]&lt;3,"Excellent",Table1[[#This Row],[Absence 
Days]]&lt;=6,"Good",Table1[[#This Row],[Absence 
Days]]&gt;6,"Poor")</f>
        <v>Excellent</v>
      </c>
    </row>
    <row r="804" spans="1:30" x14ac:dyDescent="0.35">
      <c r="A804">
        <v>803</v>
      </c>
      <c r="B804" s="2" t="s">
        <v>136</v>
      </c>
      <c r="C804" t="s">
        <v>861</v>
      </c>
      <c r="D804" t="str">
        <f>_xlfn.TEXTJOIN(" ",TRUE,Table1[[#This Row],[First 
Name]:[Last 
Name]])</f>
        <v>Tiffany Small</v>
      </c>
      <c r="E804" t="s">
        <v>1914</v>
      </c>
      <c r="F804" t="s">
        <v>3245</v>
      </c>
      <c r="G804" t="str">
        <f ca="1">PROPER(Table1[[#This Row],[Part Time 
Job]])</f>
        <v>True</v>
      </c>
      <c r="H804" s="3">
        <v>3</v>
      </c>
      <c r="I804" t="str">
        <f ca="1">PROPER(Table1[[#This Row],[Extracurricular 
Activities]])</f>
        <v>False</v>
      </c>
      <c r="J804">
        <v>20</v>
      </c>
      <c r="K804" t="s">
        <v>3123</v>
      </c>
      <c r="L804">
        <v>76</v>
      </c>
      <c r="M804" s="12" t="str" cm="1">
        <f t="array" ref="M80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804">
        <v>75</v>
      </c>
      <c r="O804" s="13" t="str" cm="1">
        <f t="array" ref="O80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804">
        <v>60</v>
      </c>
      <c r="Q804" s="13" t="str" cm="1">
        <f t="array" ref="Q80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804">
        <v>77</v>
      </c>
      <c r="S804" t="str" cm="1">
        <f t="array" ref="S80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804">
        <v>71</v>
      </c>
      <c r="U804" t="str" cm="1">
        <f t="array" ref="U80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804">
        <v>70</v>
      </c>
      <c r="W804" t="str" cm="1">
        <f t="array" ref="W80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804">
        <v>88</v>
      </c>
      <c r="Y804" t="str" cm="1">
        <f t="array" ref="Y80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804">
        <f>SUM(Table1[[#This Row],[Math 
Score]],Table1[[#This Row],[History 
Score]],Table1[[#This Row],[Physics 
Score]],Table1[[#This Row],[Chemistry 
Score]],Table1[[#This Row],[Biology 
Score]],Table1[[#This Row],[English 
Score]],Table1[[#This Row],[Geography 
Score]])</f>
        <v>517</v>
      </c>
      <c r="AA804" s="3">
        <f>AVERAGE(Table1[[#This Row],[Math 
Score]],Table1[[#This Row],[History 
Score]],Table1[[#This Row],[Physics 
Score]],Table1[[#This Row],[Chemistry 
Score]],Table1[[#This Row],[Biology 
Score]],Table1[[#This Row],[English 
Score]],Table1[[#This Row],[Geography 
Score]])</f>
        <v>73.857142857142861</v>
      </c>
      <c r="AB80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804">
        <f t="shared" si="12"/>
        <v>1781</v>
      </c>
      <c r="AD804" t="str">
        <f>_xlfn.IFS(Table1[[#This Row],[Absence 
Days]]&lt;3,"Excellent",Table1[[#This Row],[Absence 
Days]]&lt;=6,"Good",Table1[[#This Row],[Absence 
Days]]&gt;6,"Poor")</f>
        <v>Good</v>
      </c>
    </row>
    <row r="805" spans="1:30" x14ac:dyDescent="0.35">
      <c r="A805">
        <v>804</v>
      </c>
      <c r="B805" s="2" t="s">
        <v>270</v>
      </c>
      <c r="C805" t="s">
        <v>862</v>
      </c>
      <c r="D805" t="str">
        <f>_xlfn.TEXTJOIN(" ",TRUE,Table1[[#This Row],[First 
Name]:[Last 
Name]])</f>
        <v>Mary Wyatt</v>
      </c>
      <c r="E805" t="s">
        <v>1915</v>
      </c>
      <c r="F805" t="s">
        <v>3245</v>
      </c>
      <c r="G805" t="str">
        <f ca="1">PROPER(Table1[[#This Row],[Part Time 
Job]])</f>
        <v>False</v>
      </c>
      <c r="H805" s="3">
        <v>3</v>
      </c>
      <c r="I805" t="str">
        <f ca="1">PROPER(Table1[[#This Row],[Extracurricular 
Activities]])</f>
        <v>True</v>
      </c>
      <c r="J805">
        <v>24</v>
      </c>
      <c r="K805" t="s">
        <v>3117</v>
      </c>
      <c r="L805">
        <v>86</v>
      </c>
      <c r="M805" s="12" t="str" cm="1">
        <f t="array" ref="M80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805">
        <v>75</v>
      </c>
      <c r="O805" s="13" t="str" cm="1">
        <f t="array" ref="O80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805">
        <v>96</v>
      </c>
      <c r="Q805" s="13" t="str" cm="1">
        <f t="array" ref="Q80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805">
        <v>62</v>
      </c>
      <c r="S805" t="str" cm="1">
        <f t="array" ref="S80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805">
        <v>81</v>
      </c>
      <c r="U805" t="str" cm="1">
        <f t="array" ref="U80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805">
        <v>91</v>
      </c>
      <c r="W805" t="str" cm="1">
        <f t="array" ref="W80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805">
        <v>84</v>
      </c>
      <c r="Y805" t="str" cm="1">
        <f t="array" ref="Y80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805">
        <f>SUM(Table1[[#This Row],[Math 
Score]],Table1[[#This Row],[History 
Score]],Table1[[#This Row],[Physics 
Score]],Table1[[#This Row],[Chemistry 
Score]],Table1[[#This Row],[Biology 
Score]],Table1[[#This Row],[English 
Score]],Table1[[#This Row],[Geography 
Score]])</f>
        <v>575</v>
      </c>
      <c r="AA805" s="3">
        <f>AVERAGE(Table1[[#This Row],[Math 
Score]],Table1[[#This Row],[History 
Score]],Table1[[#This Row],[Physics 
Score]],Table1[[#This Row],[Chemistry 
Score]],Table1[[#This Row],[Biology 
Score]],Table1[[#This Row],[English 
Score]],Table1[[#This Row],[Geography 
Score]])</f>
        <v>82.142857142857139</v>
      </c>
      <c r="AB80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805">
        <f t="shared" si="12"/>
        <v>807</v>
      </c>
      <c r="AD805" t="str">
        <f>_xlfn.IFS(Table1[[#This Row],[Absence 
Days]]&lt;3,"Excellent",Table1[[#This Row],[Absence 
Days]]&lt;=6,"Good",Table1[[#This Row],[Absence 
Days]]&gt;6,"Poor")</f>
        <v>Good</v>
      </c>
    </row>
    <row r="806" spans="1:30" x14ac:dyDescent="0.35">
      <c r="A806">
        <v>805</v>
      </c>
      <c r="B806" s="2" t="s">
        <v>244</v>
      </c>
      <c r="C806" t="s">
        <v>755</v>
      </c>
      <c r="D806" t="str">
        <f>_xlfn.TEXTJOIN(" ",TRUE,Table1[[#This Row],[First 
Name]:[Last 
Name]])</f>
        <v>Maria Mercer</v>
      </c>
      <c r="E806" t="s">
        <v>1916</v>
      </c>
      <c r="F806" t="s">
        <v>3245</v>
      </c>
      <c r="G806" t="str">
        <f ca="1">PROPER(Table1[[#This Row],[Part Time 
Job]])</f>
        <v>False</v>
      </c>
      <c r="H806" s="3">
        <v>3</v>
      </c>
      <c r="I806" t="str">
        <f ca="1">PROPER(Table1[[#This Row],[Extracurricular 
Activities]])</f>
        <v>True</v>
      </c>
      <c r="J806">
        <v>27</v>
      </c>
      <c r="K806" t="s">
        <v>3117</v>
      </c>
      <c r="L806">
        <v>94</v>
      </c>
      <c r="M806" s="12" t="str" cm="1">
        <f t="array" ref="M80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806">
        <v>94</v>
      </c>
      <c r="O806" s="13" t="str" cm="1">
        <f t="array" ref="O80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806">
        <v>86</v>
      </c>
      <c r="Q806" s="13" t="str" cm="1">
        <f t="array" ref="Q80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806">
        <v>62</v>
      </c>
      <c r="S806" t="str" cm="1">
        <f t="array" ref="S80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806">
        <v>73</v>
      </c>
      <c r="U806" t="str" cm="1">
        <f t="array" ref="U80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806">
        <v>90</v>
      </c>
      <c r="W806" t="str" cm="1">
        <f t="array" ref="W80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806">
        <v>75</v>
      </c>
      <c r="Y806" t="str" cm="1">
        <f t="array" ref="Y80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806">
        <f>SUM(Table1[[#This Row],[Math 
Score]],Table1[[#This Row],[History 
Score]],Table1[[#This Row],[Physics 
Score]],Table1[[#This Row],[Chemistry 
Score]],Table1[[#This Row],[Biology 
Score]],Table1[[#This Row],[English 
Score]],Table1[[#This Row],[Geography 
Score]])</f>
        <v>574</v>
      </c>
      <c r="AA806" s="3">
        <f>AVERAGE(Table1[[#This Row],[Math 
Score]],Table1[[#This Row],[History 
Score]],Table1[[#This Row],[Physics 
Score]],Table1[[#This Row],[Chemistry 
Score]],Table1[[#This Row],[Biology 
Score]],Table1[[#This Row],[English 
Score]],Table1[[#This Row],[Geography 
Score]])</f>
        <v>82</v>
      </c>
      <c r="AB80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806">
        <f t="shared" si="12"/>
        <v>832</v>
      </c>
      <c r="AD806" t="str">
        <f>_xlfn.IFS(Table1[[#This Row],[Absence 
Days]]&lt;3,"Excellent",Table1[[#This Row],[Absence 
Days]]&lt;=6,"Good",Table1[[#This Row],[Absence 
Days]]&gt;6,"Poor")</f>
        <v>Good</v>
      </c>
    </row>
    <row r="807" spans="1:30" x14ac:dyDescent="0.35">
      <c r="A807">
        <v>806</v>
      </c>
      <c r="B807" s="2" t="s">
        <v>85</v>
      </c>
      <c r="C807" t="s">
        <v>569</v>
      </c>
      <c r="D807" t="str">
        <f>_xlfn.TEXTJOIN(" ",TRUE,Table1[[#This Row],[First 
Name]:[Last 
Name]])</f>
        <v>Erin Moore</v>
      </c>
      <c r="E807" t="s">
        <v>1917</v>
      </c>
      <c r="F807" t="s">
        <v>3245</v>
      </c>
      <c r="G807" t="str">
        <f ca="1">PROPER(Table1[[#This Row],[Part Time 
Job]])</f>
        <v>False</v>
      </c>
      <c r="H807" s="3">
        <v>3</v>
      </c>
      <c r="I807" t="str">
        <f ca="1">PROPER(Table1[[#This Row],[Extracurricular 
Activities]])</f>
        <v>False</v>
      </c>
      <c r="J807">
        <v>31</v>
      </c>
      <c r="K807" t="s">
        <v>3117</v>
      </c>
      <c r="L807">
        <v>100</v>
      </c>
      <c r="M807" s="12" t="str" cm="1">
        <f t="array" ref="M80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807">
        <v>85</v>
      </c>
      <c r="O807" s="13" t="str" cm="1">
        <f t="array" ref="O80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807">
        <v>62</v>
      </c>
      <c r="Q807" s="13" t="str" cm="1">
        <f t="array" ref="Q80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807">
        <v>62</v>
      </c>
      <c r="S807" t="str" cm="1">
        <f t="array" ref="S80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807">
        <v>89</v>
      </c>
      <c r="U807" t="str" cm="1">
        <f t="array" ref="U80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807">
        <v>65</v>
      </c>
      <c r="W807" t="str" cm="1">
        <f t="array" ref="W80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807">
        <v>67</v>
      </c>
      <c r="Y807" t="str" cm="1">
        <f t="array" ref="Y80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807">
        <f>SUM(Table1[[#This Row],[Math 
Score]],Table1[[#This Row],[History 
Score]],Table1[[#This Row],[Physics 
Score]],Table1[[#This Row],[Chemistry 
Score]],Table1[[#This Row],[Biology 
Score]],Table1[[#This Row],[English 
Score]],Table1[[#This Row],[Geography 
Score]])</f>
        <v>530</v>
      </c>
      <c r="AA807" s="3">
        <f>AVERAGE(Table1[[#This Row],[Math 
Score]],Table1[[#This Row],[History 
Score]],Table1[[#This Row],[Physics 
Score]],Table1[[#This Row],[Chemistry 
Score]],Table1[[#This Row],[Biology 
Score]],Table1[[#This Row],[English 
Score]],Table1[[#This Row],[Geography 
Score]])</f>
        <v>75.714285714285708</v>
      </c>
      <c r="AB80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807">
        <f t="shared" si="12"/>
        <v>1646</v>
      </c>
      <c r="AD807" t="str">
        <f>_xlfn.IFS(Table1[[#This Row],[Absence 
Days]]&lt;3,"Excellent",Table1[[#This Row],[Absence 
Days]]&lt;=6,"Good",Table1[[#This Row],[Absence 
Days]]&gt;6,"Poor")</f>
        <v>Good</v>
      </c>
    </row>
    <row r="808" spans="1:30" x14ac:dyDescent="0.35">
      <c r="A808">
        <v>807</v>
      </c>
      <c r="B808" s="2" t="s">
        <v>248</v>
      </c>
      <c r="C808" t="s">
        <v>863</v>
      </c>
      <c r="D808" t="str">
        <f>_xlfn.TEXTJOIN(" ",TRUE,Table1[[#This Row],[First 
Name]:[Last 
Name]])</f>
        <v>Kendra Dalton</v>
      </c>
      <c r="E808" t="s">
        <v>1918</v>
      </c>
      <c r="F808" t="s">
        <v>3245</v>
      </c>
      <c r="G808" t="str">
        <f ca="1">PROPER(Table1[[#This Row],[Part Time 
Job]])</f>
        <v>False</v>
      </c>
      <c r="H808" s="3">
        <v>4</v>
      </c>
      <c r="I808" t="str">
        <f ca="1">PROPER(Table1[[#This Row],[Extracurricular 
Activities]])</f>
        <v>False</v>
      </c>
      <c r="J808">
        <v>27</v>
      </c>
      <c r="K808" t="s">
        <v>3112</v>
      </c>
      <c r="L808">
        <v>74</v>
      </c>
      <c r="M808" s="12" t="str" cm="1">
        <f t="array" ref="M808">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808">
        <v>84</v>
      </c>
      <c r="O808" s="13" t="str" cm="1">
        <f t="array" ref="O80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808">
        <v>71</v>
      </c>
      <c r="Q808" s="13" t="str" cm="1">
        <f t="array" ref="Q80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808">
        <v>93</v>
      </c>
      <c r="S808" t="str" cm="1">
        <f t="array" ref="S80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808">
        <v>65</v>
      </c>
      <c r="U808" t="str" cm="1">
        <f t="array" ref="U80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808">
        <v>98</v>
      </c>
      <c r="W808" t="str" cm="1">
        <f t="array" ref="W80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808">
        <v>61</v>
      </c>
      <c r="Y808" t="str" cm="1">
        <f t="array" ref="Y80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808">
        <f>SUM(Table1[[#This Row],[Math 
Score]],Table1[[#This Row],[History 
Score]],Table1[[#This Row],[Physics 
Score]],Table1[[#This Row],[Chemistry 
Score]],Table1[[#This Row],[Biology 
Score]],Table1[[#This Row],[English 
Score]],Table1[[#This Row],[Geography 
Score]])</f>
        <v>546</v>
      </c>
      <c r="AA808" s="3">
        <f>AVERAGE(Table1[[#This Row],[Math 
Score]],Table1[[#This Row],[History 
Score]],Table1[[#This Row],[Physics 
Score]],Table1[[#This Row],[Chemistry 
Score]],Table1[[#This Row],[Biology 
Score]],Table1[[#This Row],[English 
Score]],Table1[[#This Row],[Geography 
Score]])</f>
        <v>78</v>
      </c>
      <c r="AB80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808">
        <f t="shared" si="12"/>
        <v>1411</v>
      </c>
      <c r="AD808" t="str">
        <f>_xlfn.IFS(Table1[[#This Row],[Absence 
Days]]&lt;3,"Excellent",Table1[[#This Row],[Absence 
Days]]&lt;=6,"Good",Table1[[#This Row],[Absence 
Days]]&gt;6,"Poor")</f>
        <v>Good</v>
      </c>
    </row>
    <row r="809" spans="1:30" x14ac:dyDescent="0.35">
      <c r="A809">
        <v>808</v>
      </c>
      <c r="B809" s="2" t="s">
        <v>4</v>
      </c>
      <c r="C809" t="s">
        <v>464</v>
      </c>
      <c r="D809" t="str">
        <f>_xlfn.TEXTJOIN(" ",TRUE,Table1[[#This Row],[First 
Name]:[Last 
Name]])</f>
        <v>Anthony Gomez</v>
      </c>
      <c r="E809" t="s">
        <v>1919</v>
      </c>
      <c r="F809" t="s">
        <v>3244</v>
      </c>
      <c r="G809" t="str">
        <f ca="1">PROPER(Table1[[#This Row],[Part Time 
Job]])</f>
        <v>False</v>
      </c>
      <c r="H809" s="3">
        <v>2</v>
      </c>
      <c r="I809" t="str">
        <f ca="1">PROPER(Table1[[#This Row],[Extracurricular 
Activities]])</f>
        <v>False</v>
      </c>
      <c r="J809">
        <v>23</v>
      </c>
      <c r="K809" t="s">
        <v>3116</v>
      </c>
      <c r="L809">
        <v>99</v>
      </c>
      <c r="M809" s="12" t="str" cm="1">
        <f t="array" ref="M80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809">
        <v>98</v>
      </c>
      <c r="O809" s="13" t="str" cm="1">
        <f t="array" ref="O80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809">
        <v>70</v>
      </c>
      <c r="Q809" s="13" t="str" cm="1">
        <f t="array" ref="Q80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809">
        <v>73</v>
      </c>
      <c r="S809" t="str" cm="1">
        <f t="array" ref="S80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809">
        <v>63</v>
      </c>
      <c r="U809" t="str" cm="1">
        <f t="array" ref="U80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809">
        <v>62</v>
      </c>
      <c r="W809" t="str" cm="1">
        <f t="array" ref="W80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809">
        <v>88</v>
      </c>
      <c r="Y809" t="str" cm="1">
        <f t="array" ref="Y80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809">
        <f>SUM(Table1[[#This Row],[Math 
Score]],Table1[[#This Row],[History 
Score]],Table1[[#This Row],[Physics 
Score]],Table1[[#This Row],[Chemistry 
Score]],Table1[[#This Row],[Biology 
Score]],Table1[[#This Row],[English 
Score]],Table1[[#This Row],[Geography 
Score]])</f>
        <v>553</v>
      </c>
      <c r="AA809" s="3">
        <f>AVERAGE(Table1[[#This Row],[Math 
Score]],Table1[[#This Row],[History 
Score]],Table1[[#This Row],[Physics 
Score]],Table1[[#This Row],[Chemistry 
Score]],Table1[[#This Row],[Biology 
Score]],Table1[[#This Row],[English 
Score]],Table1[[#This Row],[Geography 
Score]])</f>
        <v>79</v>
      </c>
      <c r="AB80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809">
        <f t="shared" si="12"/>
        <v>1284</v>
      </c>
      <c r="AD809" t="str">
        <f>_xlfn.IFS(Table1[[#This Row],[Absence 
Days]]&lt;3,"Excellent",Table1[[#This Row],[Absence 
Days]]&lt;=6,"Good",Table1[[#This Row],[Absence 
Days]]&gt;6,"Poor")</f>
        <v>Excellent</v>
      </c>
    </row>
    <row r="810" spans="1:30" x14ac:dyDescent="0.35">
      <c r="A810">
        <v>809</v>
      </c>
      <c r="B810" s="2" t="s">
        <v>320</v>
      </c>
      <c r="C810" t="s">
        <v>294</v>
      </c>
      <c r="D810" t="str">
        <f>_xlfn.TEXTJOIN(" ",TRUE,Table1[[#This Row],[First 
Name]:[Last 
Name]])</f>
        <v>Molly Jackson</v>
      </c>
      <c r="E810" t="s">
        <v>1920</v>
      </c>
      <c r="F810" t="s">
        <v>3245</v>
      </c>
      <c r="G810" t="str">
        <f ca="1">PROPER(Table1[[#This Row],[Part Time 
Job]])</f>
        <v>False</v>
      </c>
      <c r="H810" s="3">
        <v>10</v>
      </c>
      <c r="I810" t="str">
        <f ca="1">PROPER(Table1[[#This Row],[Extracurricular 
Activities]])</f>
        <v>False</v>
      </c>
      <c r="J810">
        <v>0</v>
      </c>
      <c r="K810" t="s">
        <v>3119</v>
      </c>
      <c r="L810">
        <v>66</v>
      </c>
      <c r="M810" s="12" t="str" cm="1">
        <f t="array" ref="M810">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810">
        <v>97</v>
      </c>
      <c r="O810" s="13" t="str" cm="1">
        <f t="array" ref="O81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810">
        <v>72</v>
      </c>
      <c r="Q810" s="13" t="str" cm="1">
        <f t="array" ref="Q81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810">
        <v>98</v>
      </c>
      <c r="S810" t="str" cm="1">
        <f t="array" ref="S81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810">
        <v>86</v>
      </c>
      <c r="U810" t="str" cm="1">
        <f t="array" ref="U81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810">
        <v>86</v>
      </c>
      <c r="W810" t="str" cm="1">
        <f t="array" ref="W81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810">
        <v>63</v>
      </c>
      <c r="Y810" t="str" cm="1">
        <f t="array" ref="Y81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810">
        <f>SUM(Table1[[#This Row],[Math 
Score]],Table1[[#This Row],[History 
Score]],Table1[[#This Row],[Physics 
Score]],Table1[[#This Row],[Chemistry 
Score]],Table1[[#This Row],[Biology 
Score]],Table1[[#This Row],[English 
Score]],Table1[[#This Row],[Geography 
Score]])</f>
        <v>568</v>
      </c>
      <c r="AA810" s="3">
        <f>AVERAGE(Table1[[#This Row],[Math 
Score]],Table1[[#This Row],[History 
Score]],Table1[[#This Row],[Physics 
Score]],Table1[[#This Row],[Chemistry 
Score]],Table1[[#This Row],[Biology 
Score]],Table1[[#This Row],[English 
Score]],Table1[[#This Row],[Geography 
Score]])</f>
        <v>81.142857142857139</v>
      </c>
      <c r="AB81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810">
        <f t="shared" si="12"/>
        <v>975</v>
      </c>
      <c r="AD810" t="str">
        <f>_xlfn.IFS(Table1[[#This Row],[Absence 
Days]]&lt;3,"Excellent",Table1[[#This Row],[Absence 
Days]]&lt;=6,"Good",Table1[[#This Row],[Absence 
Days]]&gt;6,"Poor")</f>
        <v>Poor</v>
      </c>
    </row>
    <row r="811" spans="1:30" x14ac:dyDescent="0.35">
      <c r="A811">
        <v>810</v>
      </c>
      <c r="B811" s="2" t="s">
        <v>321</v>
      </c>
      <c r="C811" t="s">
        <v>460</v>
      </c>
      <c r="D811" t="str">
        <f>_xlfn.TEXTJOIN(" ",TRUE,Table1[[#This Row],[First 
Name]:[Last 
Name]])</f>
        <v>Brianna Gutierrez</v>
      </c>
      <c r="E811" t="s">
        <v>1921</v>
      </c>
      <c r="F811" t="s">
        <v>3245</v>
      </c>
      <c r="G811" t="str">
        <f ca="1">PROPER(Table1[[#This Row],[Part Time 
Job]])</f>
        <v>False</v>
      </c>
      <c r="H811" s="3">
        <v>2</v>
      </c>
      <c r="I811" t="str">
        <f ca="1">PROPER(Table1[[#This Row],[Extracurricular 
Activities]])</f>
        <v>False</v>
      </c>
      <c r="J811">
        <v>35</v>
      </c>
      <c r="K811" t="s">
        <v>3120</v>
      </c>
      <c r="L811">
        <v>99</v>
      </c>
      <c r="M811" s="12" t="str" cm="1">
        <f t="array" ref="M81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811">
        <v>96</v>
      </c>
      <c r="O811" s="13" t="str" cm="1">
        <f t="array" ref="O81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811">
        <v>100</v>
      </c>
      <c r="Q811" s="13" t="str" cm="1">
        <f t="array" ref="Q81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811">
        <v>95</v>
      </c>
      <c r="S811" t="str" cm="1">
        <f t="array" ref="S81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811">
        <v>90</v>
      </c>
      <c r="U811" t="str" cm="1">
        <f t="array" ref="U81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811">
        <v>95</v>
      </c>
      <c r="W811" t="str" cm="1">
        <f t="array" ref="W81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811">
        <v>88</v>
      </c>
      <c r="Y811" t="str" cm="1">
        <f t="array" ref="Y81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811">
        <f>SUM(Table1[[#This Row],[Math 
Score]],Table1[[#This Row],[History 
Score]],Table1[[#This Row],[Physics 
Score]],Table1[[#This Row],[Chemistry 
Score]],Table1[[#This Row],[Biology 
Score]],Table1[[#This Row],[English 
Score]],Table1[[#This Row],[Geography 
Score]])</f>
        <v>663</v>
      </c>
      <c r="AA811" s="3">
        <f>AVERAGE(Table1[[#This Row],[Math 
Score]],Table1[[#This Row],[History 
Score]],Table1[[#This Row],[Physics 
Score]],Table1[[#This Row],[Chemistry 
Score]],Table1[[#This Row],[Biology 
Score]],Table1[[#This Row],[English 
Score]],Table1[[#This Row],[Geography 
Score]])</f>
        <v>94.714285714285708</v>
      </c>
      <c r="AB81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811">
        <f t="shared" si="12"/>
        <v>11</v>
      </c>
      <c r="AD811" t="str">
        <f>_xlfn.IFS(Table1[[#This Row],[Absence 
Days]]&lt;3,"Excellent",Table1[[#This Row],[Absence 
Days]]&lt;=6,"Good",Table1[[#This Row],[Absence 
Days]]&gt;6,"Poor")</f>
        <v>Excellent</v>
      </c>
    </row>
    <row r="812" spans="1:30" x14ac:dyDescent="0.35">
      <c r="A812">
        <v>811</v>
      </c>
      <c r="B812" s="2" t="s">
        <v>124</v>
      </c>
      <c r="C812" t="s">
        <v>628</v>
      </c>
      <c r="D812" t="str">
        <f>_xlfn.TEXTJOIN(" ",TRUE,Table1[[#This Row],[First 
Name]:[Last 
Name]])</f>
        <v>John Henderson</v>
      </c>
      <c r="E812" t="s">
        <v>1922</v>
      </c>
      <c r="F812" t="s">
        <v>3244</v>
      </c>
      <c r="G812" t="str">
        <f ca="1">PROPER(Table1[[#This Row],[Part Time 
Job]])</f>
        <v>False</v>
      </c>
      <c r="H812" s="3">
        <v>1</v>
      </c>
      <c r="I812" t="str">
        <f ca="1">PROPER(Table1[[#This Row],[Extracurricular 
Activities]])</f>
        <v>True</v>
      </c>
      <c r="J812">
        <v>33</v>
      </c>
      <c r="K812" t="s">
        <v>3116</v>
      </c>
      <c r="L812">
        <v>97</v>
      </c>
      <c r="M812" s="12" t="str" cm="1">
        <f t="array" ref="M81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812">
        <v>76</v>
      </c>
      <c r="O812" s="13" t="str" cm="1">
        <f t="array" ref="O81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812">
        <v>99</v>
      </c>
      <c r="Q812" s="13" t="str" cm="1">
        <f t="array" ref="Q81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812">
        <v>85</v>
      </c>
      <c r="S812" t="str" cm="1">
        <f t="array" ref="S81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812">
        <v>98</v>
      </c>
      <c r="U812" t="str" cm="1">
        <f t="array" ref="U81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812">
        <v>62</v>
      </c>
      <c r="W812" t="str" cm="1">
        <f t="array" ref="W81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812">
        <v>97</v>
      </c>
      <c r="Y812" t="str" cm="1">
        <f t="array" ref="Y81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812">
        <f>SUM(Table1[[#This Row],[Math 
Score]],Table1[[#This Row],[History 
Score]],Table1[[#This Row],[Physics 
Score]],Table1[[#This Row],[Chemistry 
Score]],Table1[[#This Row],[Biology 
Score]],Table1[[#This Row],[English 
Score]],Table1[[#This Row],[Geography 
Score]])</f>
        <v>614</v>
      </c>
      <c r="AA812" s="3">
        <f>AVERAGE(Table1[[#This Row],[Math 
Score]],Table1[[#This Row],[History 
Score]],Table1[[#This Row],[Physics 
Score]],Table1[[#This Row],[Chemistry 
Score]],Table1[[#This Row],[Biology 
Score]],Table1[[#This Row],[English 
Score]],Table1[[#This Row],[Geography 
Score]])</f>
        <v>87.714285714285708</v>
      </c>
      <c r="AB81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812">
        <f t="shared" si="12"/>
        <v>260</v>
      </c>
      <c r="AD812" t="str">
        <f>_xlfn.IFS(Table1[[#This Row],[Absence 
Days]]&lt;3,"Excellent",Table1[[#This Row],[Absence 
Days]]&lt;=6,"Good",Table1[[#This Row],[Absence 
Days]]&gt;6,"Poor")</f>
        <v>Excellent</v>
      </c>
    </row>
    <row r="813" spans="1:30" x14ac:dyDescent="0.35">
      <c r="A813">
        <v>812</v>
      </c>
      <c r="B813" s="2" t="s">
        <v>60</v>
      </c>
      <c r="C813" t="s">
        <v>353</v>
      </c>
      <c r="D813" t="str">
        <f>_xlfn.TEXTJOIN(" ",TRUE,Table1[[#This Row],[First 
Name]:[Last 
Name]])</f>
        <v>Steven Martin</v>
      </c>
      <c r="E813" t="s">
        <v>1923</v>
      </c>
      <c r="F813" t="s">
        <v>3244</v>
      </c>
      <c r="G813" t="str">
        <f ca="1">PROPER(Table1[[#This Row],[Part Time 
Job]])</f>
        <v>False</v>
      </c>
      <c r="H813" s="3">
        <v>5</v>
      </c>
      <c r="I813" t="str">
        <f ca="1">PROPER(Table1[[#This Row],[Extracurricular 
Activities]])</f>
        <v>True</v>
      </c>
      <c r="J813">
        <v>11</v>
      </c>
      <c r="K813" t="s">
        <v>3121</v>
      </c>
      <c r="L813">
        <v>81</v>
      </c>
      <c r="M813" s="12" t="str" cm="1">
        <f t="array" ref="M81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813">
        <v>71</v>
      </c>
      <c r="O813" s="13" t="str" cm="1">
        <f t="array" ref="O81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813">
        <v>76</v>
      </c>
      <c r="Q813" s="13" t="str" cm="1">
        <f t="array" ref="Q81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813">
        <v>95</v>
      </c>
      <c r="S813" t="str" cm="1">
        <f t="array" ref="S81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813">
        <v>99</v>
      </c>
      <c r="U813" t="str" cm="1">
        <f t="array" ref="U81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813">
        <v>85</v>
      </c>
      <c r="W813" t="str" cm="1">
        <f t="array" ref="W81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813">
        <v>71</v>
      </c>
      <c r="Y813" t="str" cm="1">
        <f t="array" ref="Y81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813">
        <f>SUM(Table1[[#This Row],[Math 
Score]],Table1[[#This Row],[History 
Score]],Table1[[#This Row],[Physics 
Score]],Table1[[#This Row],[Chemistry 
Score]],Table1[[#This Row],[Biology 
Score]],Table1[[#This Row],[English 
Score]],Table1[[#This Row],[Geography 
Score]])</f>
        <v>578</v>
      </c>
      <c r="AA813" s="3">
        <f>AVERAGE(Table1[[#This Row],[Math 
Score]],Table1[[#This Row],[History 
Score]],Table1[[#This Row],[Physics 
Score]],Table1[[#This Row],[Chemistry 
Score]],Table1[[#This Row],[Biology 
Score]],Table1[[#This Row],[English 
Score]],Table1[[#This Row],[Geography 
Score]])</f>
        <v>82.571428571428569</v>
      </c>
      <c r="AB81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813">
        <f t="shared" si="12"/>
        <v>752</v>
      </c>
      <c r="AD813" t="str">
        <f>_xlfn.IFS(Table1[[#This Row],[Absence 
Days]]&lt;3,"Excellent",Table1[[#This Row],[Absence 
Days]]&lt;=6,"Good",Table1[[#This Row],[Absence 
Days]]&gt;6,"Poor")</f>
        <v>Good</v>
      </c>
    </row>
    <row r="814" spans="1:30" x14ac:dyDescent="0.35">
      <c r="A814">
        <v>813</v>
      </c>
      <c r="B814" s="2" t="s">
        <v>2</v>
      </c>
      <c r="C814" t="s">
        <v>590</v>
      </c>
      <c r="D814" t="str">
        <f>_xlfn.TEXTJOIN(" ",TRUE,Table1[[#This Row],[First 
Name]:[Last 
Name]])</f>
        <v>Tina Bowers</v>
      </c>
      <c r="E814" t="s">
        <v>1924</v>
      </c>
      <c r="F814" t="s">
        <v>3245</v>
      </c>
      <c r="G814" t="str">
        <f ca="1">PROPER(Table1[[#This Row],[Part Time 
Job]])</f>
        <v>False</v>
      </c>
      <c r="H814" s="3">
        <v>9</v>
      </c>
      <c r="I814" t="str">
        <f ca="1">PROPER(Table1[[#This Row],[Extracurricular 
Activities]])</f>
        <v>False</v>
      </c>
      <c r="J814">
        <v>10</v>
      </c>
      <c r="K814" t="s">
        <v>3121</v>
      </c>
      <c r="L814">
        <v>95</v>
      </c>
      <c r="M814" s="12" t="str" cm="1">
        <f t="array" ref="M81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814">
        <v>88</v>
      </c>
      <c r="O814" s="13" t="str" cm="1">
        <f t="array" ref="O81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814">
        <v>62</v>
      </c>
      <c r="Q814" s="13" t="str" cm="1">
        <f t="array" ref="Q81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814">
        <v>85</v>
      </c>
      <c r="S814" t="str" cm="1">
        <f t="array" ref="S81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814">
        <v>82</v>
      </c>
      <c r="U814" t="str" cm="1">
        <f t="array" ref="U81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814">
        <v>94</v>
      </c>
      <c r="W814" t="str" cm="1">
        <f t="array" ref="W81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814">
        <v>73</v>
      </c>
      <c r="Y814" t="str" cm="1">
        <f t="array" ref="Y81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814">
        <f>SUM(Table1[[#This Row],[Math 
Score]],Table1[[#This Row],[History 
Score]],Table1[[#This Row],[Physics 
Score]],Table1[[#This Row],[Chemistry 
Score]],Table1[[#This Row],[Biology 
Score]],Table1[[#This Row],[English 
Score]],Table1[[#This Row],[Geography 
Score]])</f>
        <v>579</v>
      </c>
      <c r="AA814" s="3">
        <f>AVERAGE(Table1[[#This Row],[Math 
Score]],Table1[[#This Row],[History 
Score]],Table1[[#This Row],[Physics 
Score]],Table1[[#This Row],[Chemistry 
Score]],Table1[[#This Row],[Biology 
Score]],Table1[[#This Row],[English 
Score]],Table1[[#This Row],[Geography 
Score]])</f>
        <v>82.714285714285708</v>
      </c>
      <c r="AB81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814">
        <f t="shared" si="12"/>
        <v>730</v>
      </c>
      <c r="AD814" t="str">
        <f>_xlfn.IFS(Table1[[#This Row],[Absence 
Days]]&lt;3,"Excellent",Table1[[#This Row],[Absence 
Days]]&lt;=6,"Good",Table1[[#This Row],[Absence 
Days]]&gt;6,"Poor")</f>
        <v>Poor</v>
      </c>
    </row>
    <row r="815" spans="1:30" x14ac:dyDescent="0.35">
      <c r="A815">
        <v>814</v>
      </c>
      <c r="B815" s="2" t="s">
        <v>322</v>
      </c>
      <c r="C815" t="s">
        <v>532</v>
      </c>
      <c r="D815" t="str">
        <f>_xlfn.TEXTJOIN(" ",TRUE,Table1[[#This Row],[First 
Name]:[Last 
Name]])</f>
        <v>Luis Jones</v>
      </c>
      <c r="E815" t="s">
        <v>1925</v>
      </c>
      <c r="F815" t="s">
        <v>3244</v>
      </c>
      <c r="G815" t="str">
        <f ca="1">PROPER(Table1[[#This Row],[Part Time 
Job]])</f>
        <v>True</v>
      </c>
      <c r="H815" s="3">
        <v>6</v>
      </c>
      <c r="I815" t="str">
        <f ca="1">PROPER(Table1[[#This Row],[Extracurricular 
Activities]])</f>
        <v>False</v>
      </c>
      <c r="J815">
        <v>3</v>
      </c>
      <c r="K815" t="s">
        <v>3119</v>
      </c>
      <c r="L815">
        <v>55</v>
      </c>
      <c r="M815" s="12" t="str" cm="1">
        <f t="array" ref="M815">_xlfn.IFS(Table1[[#This Row],[Math 
Score]]&gt;=90,"A+",Table1[[#This Row],[Math 
Score]]&gt;=80,"A", Table1[[#This Row],[Math 
Score]]&gt;=75,"A-",Table1[[#This Row],[Math 
Score]]&gt;=70,"B+",Table1[[#This Row],[Math 
Score]]&gt;=65,"B",Table1[[#This Row],[Math 
Score]]&gt;=60,"B-",Table1[[#This Row],[Math 
Score]]&gt;=50,"C",Table1[[#This Row],[Math 
Score]]&gt;=40,"D",Table1[[#This Row],[Math 
Score]]&lt;40,"F")</f>
        <v>C</v>
      </c>
      <c r="N815">
        <v>69</v>
      </c>
      <c r="O815" s="13" t="str" cm="1">
        <f t="array" ref="O81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815">
        <v>53</v>
      </c>
      <c r="Q815" s="13" t="str" cm="1">
        <f t="array" ref="Q81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C</v>
      </c>
      <c r="R815">
        <v>75</v>
      </c>
      <c r="S815" t="str" cm="1">
        <f t="array" ref="S81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815">
        <v>86</v>
      </c>
      <c r="U815" t="str" cm="1">
        <f t="array" ref="U81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815">
        <v>95</v>
      </c>
      <c r="W815" t="str" cm="1">
        <f t="array" ref="W81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815">
        <v>61</v>
      </c>
      <c r="Y815" t="str" cm="1">
        <f t="array" ref="Y81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815">
        <f>SUM(Table1[[#This Row],[Math 
Score]],Table1[[#This Row],[History 
Score]],Table1[[#This Row],[Physics 
Score]],Table1[[#This Row],[Chemistry 
Score]],Table1[[#This Row],[Biology 
Score]],Table1[[#This Row],[English 
Score]],Table1[[#This Row],[Geography 
Score]])</f>
        <v>494</v>
      </c>
      <c r="AA815" s="3">
        <f>AVERAGE(Table1[[#This Row],[Math 
Score]],Table1[[#This Row],[History 
Score]],Table1[[#This Row],[Physics 
Score]],Table1[[#This Row],[Chemistry 
Score]],Table1[[#This Row],[Biology 
Score]],Table1[[#This Row],[English 
Score]],Table1[[#This Row],[Geography 
Score]])</f>
        <v>70.571428571428569</v>
      </c>
      <c r="AB81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815">
        <f t="shared" si="12"/>
        <v>1897</v>
      </c>
      <c r="AD815" t="str">
        <f>_xlfn.IFS(Table1[[#This Row],[Absence 
Days]]&lt;3,"Excellent",Table1[[#This Row],[Absence 
Days]]&lt;=6,"Good",Table1[[#This Row],[Absence 
Days]]&gt;6,"Poor")</f>
        <v>Good</v>
      </c>
    </row>
    <row r="816" spans="1:30" x14ac:dyDescent="0.35">
      <c r="A816">
        <v>815</v>
      </c>
      <c r="B816" s="2" t="s">
        <v>26</v>
      </c>
      <c r="C816" t="s">
        <v>80</v>
      </c>
      <c r="D816" t="str">
        <f>_xlfn.TEXTJOIN(" ",TRUE,Table1[[#This Row],[First 
Name]:[Last 
Name]])</f>
        <v>Jeffrey Thomas</v>
      </c>
      <c r="E816" t="s">
        <v>1926</v>
      </c>
      <c r="F816" t="s">
        <v>3244</v>
      </c>
      <c r="G816" t="str">
        <f ca="1">PROPER(Table1[[#This Row],[Part Time 
Job]])</f>
        <v>False</v>
      </c>
      <c r="H816" s="3">
        <v>3</v>
      </c>
      <c r="I816" t="str">
        <f ca="1">PROPER(Table1[[#This Row],[Extracurricular 
Activities]])</f>
        <v>False</v>
      </c>
      <c r="J816">
        <v>5</v>
      </c>
      <c r="K816" t="s">
        <v>3128</v>
      </c>
      <c r="L816">
        <v>50</v>
      </c>
      <c r="M816" s="12" t="str" cm="1">
        <f t="array" ref="M816">_xlfn.IFS(Table1[[#This Row],[Math 
Score]]&gt;=90,"A+",Table1[[#This Row],[Math 
Score]]&gt;=80,"A", Table1[[#This Row],[Math 
Score]]&gt;=75,"A-",Table1[[#This Row],[Math 
Score]]&gt;=70,"B+",Table1[[#This Row],[Math 
Score]]&gt;=65,"B",Table1[[#This Row],[Math 
Score]]&gt;=60,"B-",Table1[[#This Row],[Math 
Score]]&gt;=50,"C",Table1[[#This Row],[Math 
Score]]&gt;=40,"D",Table1[[#This Row],[Math 
Score]]&lt;40,"F")</f>
        <v>C</v>
      </c>
      <c r="N816">
        <v>62</v>
      </c>
      <c r="O816" s="13" t="str" cm="1">
        <f t="array" ref="O81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816">
        <v>97</v>
      </c>
      <c r="Q816" s="13" t="str" cm="1">
        <f t="array" ref="Q81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816">
        <v>90</v>
      </c>
      <c r="S816" t="str" cm="1">
        <f t="array" ref="S81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816">
        <v>93</v>
      </c>
      <c r="U816" t="str" cm="1">
        <f t="array" ref="U81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816">
        <v>75</v>
      </c>
      <c r="W816" t="str" cm="1">
        <f t="array" ref="W81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816">
        <v>80</v>
      </c>
      <c r="Y816" t="str" cm="1">
        <f t="array" ref="Y81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816">
        <f>SUM(Table1[[#This Row],[Math 
Score]],Table1[[#This Row],[History 
Score]],Table1[[#This Row],[Physics 
Score]],Table1[[#This Row],[Chemistry 
Score]],Table1[[#This Row],[Biology 
Score]],Table1[[#This Row],[English 
Score]],Table1[[#This Row],[Geography 
Score]])</f>
        <v>547</v>
      </c>
      <c r="AA816" s="3">
        <f>AVERAGE(Table1[[#This Row],[Math 
Score]],Table1[[#This Row],[History 
Score]],Table1[[#This Row],[Physics 
Score]],Table1[[#This Row],[Chemistry 
Score]],Table1[[#This Row],[Biology 
Score]],Table1[[#This Row],[English 
Score]],Table1[[#This Row],[Geography 
Score]])</f>
        <v>78.142857142857139</v>
      </c>
      <c r="AB81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816">
        <f t="shared" si="12"/>
        <v>1388</v>
      </c>
      <c r="AD816" t="str">
        <f>_xlfn.IFS(Table1[[#This Row],[Absence 
Days]]&lt;3,"Excellent",Table1[[#This Row],[Absence 
Days]]&lt;=6,"Good",Table1[[#This Row],[Absence 
Days]]&gt;6,"Poor")</f>
        <v>Good</v>
      </c>
    </row>
    <row r="817" spans="1:30" x14ac:dyDescent="0.35">
      <c r="A817">
        <v>816</v>
      </c>
      <c r="B817" s="2" t="s">
        <v>26</v>
      </c>
      <c r="C817" t="s">
        <v>586</v>
      </c>
      <c r="D817" t="str">
        <f>_xlfn.TEXTJOIN(" ",TRUE,Table1[[#This Row],[First 
Name]:[Last 
Name]])</f>
        <v>Jeffrey Cox</v>
      </c>
      <c r="E817" t="s">
        <v>1927</v>
      </c>
      <c r="F817" t="s">
        <v>3244</v>
      </c>
      <c r="G817" t="str">
        <f ca="1">PROPER(Table1[[#This Row],[Part Time 
Job]])</f>
        <v>False</v>
      </c>
      <c r="H817" s="3">
        <v>5</v>
      </c>
      <c r="I817" t="str">
        <f ca="1">PROPER(Table1[[#This Row],[Extracurricular 
Activities]])</f>
        <v>False</v>
      </c>
      <c r="J817">
        <v>34</v>
      </c>
      <c r="K817" t="s">
        <v>3117</v>
      </c>
      <c r="L817">
        <v>98</v>
      </c>
      <c r="M817" s="12" t="str" cm="1">
        <f t="array" ref="M81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817">
        <v>84</v>
      </c>
      <c r="O817" s="13" t="str" cm="1">
        <f t="array" ref="O81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817">
        <v>90</v>
      </c>
      <c r="Q817" s="13" t="str" cm="1">
        <f t="array" ref="Q81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817">
        <v>83</v>
      </c>
      <c r="S817" t="str" cm="1">
        <f t="array" ref="S81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817">
        <v>84</v>
      </c>
      <c r="U817" t="str" cm="1">
        <f t="array" ref="U81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817">
        <v>61</v>
      </c>
      <c r="W817" t="str" cm="1">
        <f t="array" ref="W81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817">
        <v>99</v>
      </c>
      <c r="Y817" t="str" cm="1">
        <f t="array" ref="Y81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817">
        <f>SUM(Table1[[#This Row],[Math 
Score]],Table1[[#This Row],[History 
Score]],Table1[[#This Row],[Physics 
Score]],Table1[[#This Row],[Chemistry 
Score]],Table1[[#This Row],[Biology 
Score]],Table1[[#This Row],[English 
Score]],Table1[[#This Row],[Geography 
Score]])</f>
        <v>599</v>
      </c>
      <c r="AA817" s="3">
        <f>AVERAGE(Table1[[#This Row],[Math 
Score]],Table1[[#This Row],[History 
Score]],Table1[[#This Row],[Physics 
Score]],Table1[[#This Row],[Chemistry 
Score]],Table1[[#This Row],[Biology 
Score]],Table1[[#This Row],[English 
Score]],Table1[[#This Row],[Geography 
Score]])</f>
        <v>85.571428571428569</v>
      </c>
      <c r="AB81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817">
        <f t="shared" si="12"/>
        <v>426</v>
      </c>
      <c r="AD817" t="str">
        <f>_xlfn.IFS(Table1[[#This Row],[Absence 
Days]]&lt;3,"Excellent",Table1[[#This Row],[Absence 
Days]]&lt;=6,"Good",Table1[[#This Row],[Absence 
Days]]&gt;6,"Poor")</f>
        <v>Good</v>
      </c>
    </row>
    <row r="818" spans="1:30" x14ac:dyDescent="0.35">
      <c r="A818">
        <v>817</v>
      </c>
      <c r="B818" s="2" t="s">
        <v>50</v>
      </c>
      <c r="C818" t="s">
        <v>864</v>
      </c>
      <c r="D818" t="str">
        <f>_xlfn.TEXTJOIN(" ",TRUE,Table1[[#This Row],[First 
Name]:[Last 
Name]])</f>
        <v>Jennifer Bautista</v>
      </c>
      <c r="E818" t="s">
        <v>1928</v>
      </c>
      <c r="F818" t="s">
        <v>3245</v>
      </c>
      <c r="G818" t="str">
        <f ca="1">PROPER(Table1[[#This Row],[Part Time 
Job]])</f>
        <v>False</v>
      </c>
      <c r="H818" s="3">
        <v>7</v>
      </c>
      <c r="I818" t="str">
        <f ca="1">PROPER(Table1[[#This Row],[Extracurricular 
Activities]])</f>
        <v>False</v>
      </c>
      <c r="J818">
        <v>15</v>
      </c>
      <c r="K818" t="s">
        <v>3123</v>
      </c>
      <c r="L818">
        <v>88</v>
      </c>
      <c r="M818" s="12" t="str" cm="1">
        <f t="array" ref="M81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818">
        <v>67</v>
      </c>
      <c r="O818" s="13" t="str" cm="1">
        <f t="array" ref="O81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818">
        <v>71</v>
      </c>
      <c r="Q818" s="13" t="str" cm="1">
        <f t="array" ref="Q81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818">
        <v>85</v>
      </c>
      <c r="S818" t="str" cm="1">
        <f t="array" ref="S81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818">
        <v>68</v>
      </c>
      <c r="U818" t="str" cm="1">
        <f t="array" ref="U81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818">
        <v>88</v>
      </c>
      <c r="W818" t="str" cm="1">
        <f t="array" ref="W81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818">
        <v>67</v>
      </c>
      <c r="Y818" t="str" cm="1">
        <f t="array" ref="Y81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818">
        <f>SUM(Table1[[#This Row],[Math 
Score]],Table1[[#This Row],[History 
Score]],Table1[[#This Row],[Physics 
Score]],Table1[[#This Row],[Chemistry 
Score]],Table1[[#This Row],[Biology 
Score]],Table1[[#This Row],[English 
Score]],Table1[[#This Row],[Geography 
Score]])</f>
        <v>534</v>
      </c>
      <c r="AA818" s="3">
        <f>AVERAGE(Table1[[#This Row],[Math 
Score]],Table1[[#This Row],[History 
Score]],Table1[[#This Row],[Physics 
Score]],Table1[[#This Row],[Chemistry 
Score]],Table1[[#This Row],[Biology 
Score]],Table1[[#This Row],[English 
Score]],Table1[[#This Row],[Geography 
Score]])</f>
        <v>76.285714285714292</v>
      </c>
      <c r="AB81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818">
        <f t="shared" si="12"/>
        <v>1595</v>
      </c>
      <c r="AD818" t="str">
        <f>_xlfn.IFS(Table1[[#This Row],[Absence 
Days]]&lt;3,"Excellent",Table1[[#This Row],[Absence 
Days]]&lt;=6,"Good",Table1[[#This Row],[Absence 
Days]]&gt;6,"Poor")</f>
        <v>Poor</v>
      </c>
    </row>
    <row r="819" spans="1:30" x14ac:dyDescent="0.35">
      <c r="A819">
        <v>818</v>
      </c>
      <c r="B819" s="2" t="s">
        <v>272</v>
      </c>
      <c r="C819" t="s">
        <v>865</v>
      </c>
      <c r="D819" t="str">
        <f>_xlfn.TEXTJOIN(" ",TRUE,Table1[[#This Row],[First 
Name]:[Last 
Name]])</f>
        <v>Judy Pugh</v>
      </c>
      <c r="E819" t="s">
        <v>1929</v>
      </c>
      <c r="F819" t="s">
        <v>3245</v>
      </c>
      <c r="G819" t="str">
        <f ca="1">PROPER(Table1[[#This Row],[Part Time 
Job]])</f>
        <v>False</v>
      </c>
      <c r="H819" s="3">
        <v>1</v>
      </c>
      <c r="I819" t="str">
        <f ca="1">PROPER(Table1[[#This Row],[Extracurricular 
Activities]])</f>
        <v>False</v>
      </c>
      <c r="J819">
        <v>20</v>
      </c>
      <c r="K819" t="s">
        <v>3117</v>
      </c>
      <c r="L819">
        <v>87</v>
      </c>
      <c r="M819" s="12" t="str" cm="1">
        <f t="array" ref="M81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819">
        <v>99</v>
      </c>
      <c r="O819" s="13" t="str" cm="1">
        <f t="array" ref="O81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819">
        <v>92</v>
      </c>
      <c r="Q819" s="13" t="str" cm="1">
        <f t="array" ref="Q81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819">
        <v>85</v>
      </c>
      <c r="S819" t="str" cm="1">
        <f t="array" ref="S81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819">
        <v>62</v>
      </c>
      <c r="U819" t="str" cm="1">
        <f t="array" ref="U81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819">
        <v>69</v>
      </c>
      <c r="W819" t="str" cm="1">
        <f t="array" ref="W81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819">
        <v>67</v>
      </c>
      <c r="Y819" t="str" cm="1">
        <f t="array" ref="Y81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819">
        <f>SUM(Table1[[#This Row],[Math 
Score]],Table1[[#This Row],[History 
Score]],Table1[[#This Row],[Physics 
Score]],Table1[[#This Row],[Chemistry 
Score]],Table1[[#This Row],[Biology 
Score]],Table1[[#This Row],[English 
Score]],Table1[[#This Row],[Geography 
Score]])</f>
        <v>561</v>
      </c>
      <c r="AA819" s="3">
        <f>AVERAGE(Table1[[#This Row],[Math 
Score]],Table1[[#This Row],[History 
Score]],Table1[[#This Row],[Physics 
Score]],Table1[[#This Row],[Chemistry 
Score]],Table1[[#This Row],[Biology 
Score]],Table1[[#This Row],[English 
Score]],Table1[[#This Row],[Geography 
Score]])</f>
        <v>80.142857142857139</v>
      </c>
      <c r="AB81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819">
        <f t="shared" si="12"/>
        <v>1120</v>
      </c>
      <c r="AD819" t="str">
        <f>_xlfn.IFS(Table1[[#This Row],[Absence 
Days]]&lt;3,"Excellent",Table1[[#This Row],[Absence 
Days]]&lt;=6,"Good",Table1[[#This Row],[Absence 
Days]]&gt;6,"Poor")</f>
        <v>Excellent</v>
      </c>
    </row>
    <row r="820" spans="1:30" x14ac:dyDescent="0.35">
      <c r="A820">
        <v>819</v>
      </c>
      <c r="B820" s="2" t="s">
        <v>61</v>
      </c>
      <c r="C820" t="s">
        <v>318</v>
      </c>
      <c r="D820" t="str">
        <f>_xlfn.TEXTJOIN(" ",TRUE,Table1[[#This Row],[First 
Name]:[Last 
Name]])</f>
        <v>Henry Craig</v>
      </c>
      <c r="E820" t="s">
        <v>1930</v>
      </c>
      <c r="F820" t="s">
        <v>3244</v>
      </c>
      <c r="G820" t="str">
        <f ca="1">PROPER(Table1[[#This Row],[Part Time 
Job]])</f>
        <v>False</v>
      </c>
      <c r="H820" s="3">
        <v>1</v>
      </c>
      <c r="I820" t="str">
        <f ca="1">PROPER(Table1[[#This Row],[Extracurricular 
Activities]])</f>
        <v>False</v>
      </c>
      <c r="J820">
        <v>3</v>
      </c>
      <c r="K820" t="s">
        <v>3114</v>
      </c>
      <c r="L820">
        <v>73</v>
      </c>
      <c r="M820" s="12" t="str" cm="1">
        <f t="array" ref="M820">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820">
        <v>74</v>
      </c>
      <c r="O820" s="13" t="str" cm="1">
        <f t="array" ref="O82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820">
        <v>94</v>
      </c>
      <c r="Q820" s="13" t="str" cm="1">
        <f t="array" ref="Q82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820">
        <v>76</v>
      </c>
      <c r="S820" t="str" cm="1">
        <f t="array" ref="S82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820">
        <v>97</v>
      </c>
      <c r="U820" t="str" cm="1">
        <f t="array" ref="U82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820">
        <v>86</v>
      </c>
      <c r="W820" t="str" cm="1">
        <f t="array" ref="W82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820">
        <v>85</v>
      </c>
      <c r="Y820" t="str" cm="1">
        <f t="array" ref="Y82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820">
        <f>SUM(Table1[[#This Row],[Math 
Score]],Table1[[#This Row],[History 
Score]],Table1[[#This Row],[Physics 
Score]],Table1[[#This Row],[Chemistry 
Score]],Table1[[#This Row],[Biology 
Score]],Table1[[#This Row],[English 
Score]],Table1[[#This Row],[Geography 
Score]])</f>
        <v>585</v>
      </c>
      <c r="AA820" s="3">
        <f>AVERAGE(Table1[[#This Row],[Math 
Score]],Table1[[#This Row],[History 
Score]],Table1[[#This Row],[Physics 
Score]],Table1[[#This Row],[Chemistry 
Score]],Table1[[#This Row],[Biology 
Score]],Table1[[#This Row],[English 
Score]],Table1[[#This Row],[Geography 
Score]])</f>
        <v>83.571428571428569</v>
      </c>
      <c r="AB82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820">
        <f t="shared" si="12"/>
        <v>615</v>
      </c>
      <c r="AD820" t="str">
        <f>_xlfn.IFS(Table1[[#This Row],[Absence 
Days]]&lt;3,"Excellent",Table1[[#This Row],[Absence 
Days]]&lt;=6,"Good",Table1[[#This Row],[Absence 
Days]]&gt;6,"Poor")</f>
        <v>Excellent</v>
      </c>
    </row>
    <row r="821" spans="1:30" x14ac:dyDescent="0.35">
      <c r="A821">
        <v>820</v>
      </c>
      <c r="B821" s="2" t="s">
        <v>60</v>
      </c>
      <c r="C821" t="s">
        <v>607</v>
      </c>
      <c r="D821" t="str">
        <f>_xlfn.TEXTJOIN(" ",TRUE,Table1[[#This Row],[First 
Name]:[Last 
Name]])</f>
        <v>Steven Alvarez</v>
      </c>
      <c r="E821" t="s">
        <v>1931</v>
      </c>
      <c r="F821" t="s">
        <v>3244</v>
      </c>
      <c r="G821" t="str">
        <f ca="1">PROPER(Table1[[#This Row],[Part Time 
Job]])</f>
        <v>True</v>
      </c>
      <c r="H821" s="3">
        <v>2</v>
      </c>
      <c r="I821" t="str">
        <f ca="1">PROPER(Table1[[#This Row],[Extracurricular 
Activities]])</f>
        <v>True</v>
      </c>
      <c r="J821">
        <v>2</v>
      </c>
      <c r="K821" t="s">
        <v>3119</v>
      </c>
      <c r="L821">
        <v>46</v>
      </c>
      <c r="M821" s="12" t="str" cm="1">
        <f t="array" ref="M821">_xlfn.IFS(Table1[[#This Row],[Math 
Score]]&gt;=90,"A+",Table1[[#This Row],[Math 
Score]]&gt;=80,"A", Table1[[#This Row],[Math 
Score]]&gt;=75,"A-",Table1[[#This Row],[Math 
Score]]&gt;=70,"B+",Table1[[#This Row],[Math 
Score]]&gt;=65,"B",Table1[[#This Row],[Math 
Score]]&gt;=60,"B-",Table1[[#This Row],[Math 
Score]]&gt;=50,"C",Table1[[#This Row],[Math 
Score]]&gt;=40,"D",Table1[[#This Row],[Math 
Score]]&lt;40,"F")</f>
        <v>D</v>
      </c>
      <c r="N821">
        <v>71</v>
      </c>
      <c r="O821" s="13" t="str" cm="1">
        <f t="array" ref="O82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821">
        <v>60</v>
      </c>
      <c r="Q821" s="13" t="str" cm="1">
        <f t="array" ref="Q82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821">
        <v>50</v>
      </c>
      <c r="S821" t="str" cm="1">
        <f t="array" ref="S82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C</v>
      </c>
      <c r="T821">
        <v>85</v>
      </c>
      <c r="U821" t="str" cm="1">
        <f t="array" ref="U82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821">
        <v>69</v>
      </c>
      <c r="W821" t="str" cm="1">
        <f t="array" ref="W82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821">
        <v>62</v>
      </c>
      <c r="Y821" t="str" cm="1">
        <f t="array" ref="Y82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821">
        <f>SUM(Table1[[#This Row],[Math 
Score]],Table1[[#This Row],[History 
Score]],Table1[[#This Row],[Physics 
Score]],Table1[[#This Row],[Chemistry 
Score]],Table1[[#This Row],[Biology 
Score]],Table1[[#This Row],[English 
Score]],Table1[[#This Row],[Geography 
Score]])</f>
        <v>443</v>
      </c>
      <c r="AA821" s="3">
        <f>AVERAGE(Table1[[#This Row],[Math 
Score]],Table1[[#This Row],[History 
Score]],Table1[[#This Row],[Physics 
Score]],Table1[[#This Row],[Chemistry 
Score]],Table1[[#This Row],[Biology 
Score]],Table1[[#This Row],[English 
Score]],Table1[[#This Row],[Geography 
Score]])</f>
        <v>63.285714285714285</v>
      </c>
      <c r="AB82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821">
        <f t="shared" si="12"/>
        <v>1996</v>
      </c>
      <c r="AD821" t="str">
        <f>_xlfn.IFS(Table1[[#This Row],[Absence 
Days]]&lt;3,"Excellent",Table1[[#This Row],[Absence 
Days]]&lt;=6,"Good",Table1[[#This Row],[Absence 
Days]]&gt;6,"Poor")</f>
        <v>Excellent</v>
      </c>
    </row>
    <row r="822" spans="1:30" x14ac:dyDescent="0.35">
      <c r="A822">
        <v>821</v>
      </c>
      <c r="B822" s="2" t="s">
        <v>122</v>
      </c>
      <c r="C822" t="s">
        <v>866</v>
      </c>
      <c r="D822" t="str">
        <f>_xlfn.TEXTJOIN(" ",TRUE,Table1[[#This Row],[First 
Name]:[Last 
Name]])</f>
        <v>Rebecca Mckay</v>
      </c>
      <c r="E822" t="s">
        <v>1932</v>
      </c>
      <c r="F822" t="s">
        <v>3245</v>
      </c>
      <c r="G822" t="str">
        <f ca="1">PROPER(Table1[[#This Row],[Part Time 
Job]])</f>
        <v>False</v>
      </c>
      <c r="H822" s="3">
        <v>1</v>
      </c>
      <c r="I822" t="str">
        <f ca="1">PROPER(Table1[[#This Row],[Extracurricular 
Activities]])</f>
        <v>False</v>
      </c>
      <c r="J822">
        <v>27</v>
      </c>
      <c r="K822" t="s">
        <v>3121</v>
      </c>
      <c r="L822">
        <v>88</v>
      </c>
      <c r="M822" s="12" t="str" cm="1">
        <f t="array" ref="M82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822">
        <v>82</v>
      </c>
      <c r="O822" s="13" t="str" cm="1">
        <f t="array" ref="O82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822">
        <v>90</v>
      </c>
      <c r="Q822" s="13" t="str" cm="1">
        <f t="array" ref="Q82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822">
        <v>94</v>
      </c>
      <c r="S822" t="str" cm="1">
        <f t="array" ref="S82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822">
        <v>99</v>
      </c>
      <c r="U822" t="str" cm="1">
        <f t="array" ref="U82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822">
        <v>78</v>
      </c>
      <c r="W822" t="str" cm="1">
        <f t="array" ref="W82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822">
        <v>65</v>
      </c>
      <c r="Y822" t="str" cm="1">
        <f t="array" ref="Y82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822">
        <f>SUM(Table1[[#This Row],[Math 
Score]],Table1[[#This Row],[History 
Score]],Table1[[#This Row],[Physics 
Score]],Table1[[#This Row],[Chemistry 
Score]],Table1[[#This Row],[Biology 
Score]],Table1[[#This Row],[English 
Score]],Table1[[#This Row],[Geography 
Score]])</f>
        <v>596</v>
      </c>
      <c r="AA822" s="3">
        <f>AVERAGE(Table1[[#This Row],[Math 
Score]],Table1[[#This Row],[History 
Score]],Table1[[#This Row],[Physics 
Score]],Table1[[#This Row],[Chemistry 
Score]],Table1[[#This Row],[Biology 
Score]],Table1[[#This Row],[English 
Score]],Table1[[#This Row],[Geography 
Score]])</f>
        <v>85.142857142857139</v>
      </c>
      <c r="AB82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822">
        <f t="shared" si="12"/>
        <v>458</v>
      </c>
      <c r="AD822" t="str">
        <f>_xlfn.IFS(Table1[[#This Row],[Absence 
Days]]&lt;3,"Excellent",Table1[[#This Row],[Absence 
Days]]&lt;=6,"Good",Table1[[#This Row],[Absence 
Days]]&gt;6,"Poor")</f>
        <v>Excellent</v>
      </c>
    </row>
    <row r="823" spans="1:30" x14ac:dyDescent="0.35">
      <c r="A823">
        <v>822</v>
      </c>
      <c r="B823" s="2" t="s">
        <v>71</v>
      </c>
      <c r="C823" t="s">
        <v>867</v>
      </c>
      <c r="D823" t="str">
        <f>_xlfn.TEXTJOIN(" ",TRUE,Table1[[#This Row],[First 
Name]:[Last 
Name]])</f>
        <v>James Reynolds</v>
      </c>
      <c r="E823" t="s">
        <v>1933</v>
      </c>
      <c r="F823" t="s">
        <v>3244</v>
      </c>
      <c r="G823" t="str">
        <f ca="1">PROPER(Table1[[#This Row],[Part Time 
Job]])</f>
        <v>True</v>
      </c>
      <c r="H823" s="3">
        <v>0</v>
      </c>
      <c r="I823" t="str">
        <f ca="1">PROPER(Table1[[#This Row],[Extracurricular 
Activities]])</f>
        <v>False</v>
      </c>
      <c r="J823">
        <v>29</v>
      </c>
      <c r="K823" t="s">
        <v>3117</v>
      </c>
      <c r="L823">
        <v>95</v>
      </c>
      <c r="M823" s="12" t="str" cm="1">
        <f t="array" ref="M82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823">
        <v>62</v>
      </c>
      <c r="O823" s="13" t="str" cm="1">
        <f t="array" ref="O82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823">
        <v>68</v>
      </c>
      <c r="Q823" s="13" t="str" cm="1">
        <f t="array" ref="Q82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823">
        <v>64</v>
      </c>
      <c r="S823" t="str" cm="1">
        <f t="array" ref="S82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823">
        <v>71</v>
      </c>
      <c r="U823" t="str" cm="1">
        <f t="array" ref="U82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823">
        <v>87</v>
      </c>
      <c r="W823" t="str" cm="1">
        <f t="array" ref="W82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823">
        <v>60</v>
      </c>
      <c r="Y823" t="str" cm="1">
        <f t="array" ref="Y82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823">
        <f>SUM(Table1[[#This Row],[Math 
Score]],Table1[[#This Row],[History 
Score]],Table1[[#This Row],[Physics 
Score]],Table1[[#This Row],[Chemistry 
Score]],Table1[[#This Row],[Biology 
Score]],Table1[[#This Row],[English 
Score]],Table1[[#This Row],[Geography 
Score]])</f>
        <v>507</v>
      </c>
      <c r="AA823" s="3">
        <f>AVERAGE(Table1[[#This Row],[Math 
Score]],Table1[[#This Row],[History 
Score]],Table1[[#This Row],[Physics 
Score]],Table1[[#This Row],[Chemistry 
Score]],Table1[[#This Row],[Biology 
Score]],Table1[[#This Row],[English 
Score]],Table1[[#This Row],[Geography 
Score]])</f>
        <v>72.428571428571431</v>
      </c>
      <c r="AB82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823">
        <f t="shared" si="12"/>
        <v>1844</v>
      </c>
      <c r="AD823" t="str">
        <f>_xlfn.IFS(Table1[[#This Row],[Absence 
Days]]&lt;3,"Excellent",Table1[[#This Row],[Absence 
Days]]&lt;=6,"Good",Table1[[#This Row],[Absence 
Days]]&gt;6,"Poor")</f>
        <v>Excellent</v>
      </c>
    </row>
    <row r="824" spans="1:30" x14ac:dyDescent="0.35">
      <c r="A824">
        <v>823</v>
      </c>
      <c r="B824" s="2" t="s">
        <v>178</v>
      </c>
      <c r="C824" t="s">
        <v>868</v>
      </c>
      <c r="D824" t="str">
        <f>_xlfn.TEXTJOIN(" ",TRUE,Table1[[#This Row],[First 
Name]:[Last 
Name]])</f>
        <v>Heather Bentley</v>
      </c>
      <c r="E824" t="s">
        <v>1934</v>
      </c>
      <c r="F824" t="s">
        <v>3245</v>
      </c>
      <c r="G824" t="str">
        <f ca="1">PROPER(Table1[[#This Row],[Part Time 
Job]])</f>
        <v>False</v>
      </c>
      <c r="H824" s="3">
        <v>1</v>
      </c>
      <c r="I824" t="str">
        <f ca="1">PROPER(Table1[[#This Row],[Extracurricular 
Activities]])</f>
        <v>True</v>
      </c>
      <c r="J824">
        <v>2</v>
      </c>
      <c r="K824" t="s">
        <v>3115</v>
      </c>
      <c r="L824">
        <v>73</v>
      </c>
      <c r="M824" s="12" t="str" cm="1">
        <f t="array" ref="M824">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824">
        <v>71</v>
      </c>
      <c r="O824" s="13" t="str" cm="1">
        <f t="array" ref="O82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824">
        <v>60</v>
      </c>
      <c r="Q824" s="13" t="str" cm="1">
        <f t="array" ref="Q82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824">
        <v>70</v>
      </c>
      <c r="S824" t="str" cm="1">
        <f t="array" ref="S82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824">
        <v>78</v>
      </c>
      <c r="U824" t="str" cm="1">
        <f t="array" ref="U82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824">
        <v>72</v>
      </c>
      <c r="W824" t="str" cm="1">
        <f t="array" ref="W82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824">
        <v>78</v>
      </c>
      <c r="Y824" t="str" cm="1">
        <f t="array" ref="Y82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824">
        <f>SUM(Table1[[#This Row],[Math 
Score]],Table1[[#This Row],[History 
Score]],Table1[[#This Row],[Physics 
Score]],Table1[[#This Row],[Chemistry 
Score]],Table1[[#This Row],[Biology 
Score]],Table1[[#This Row],[English 
Score]],Table1[[#This Row],[Geography 
Score]])</f>
        <v>502</v>
      </c>
      <c r="AA824" s="3">
        <f>AVERAGE(Table1[[#This Row],[Math 
Score]],Table1[[#This Row],[History 
Score]],Table1[[#This Row],[Physics 
Score]],Table1[[#This Row],[Chemistry 
Score]],Table1[[#This Row],[Biology 
Score]],Table1[[#This Row],[English 
Score]],Table1[[#This Row],[Geography 
Score]])</f>
        <v>71.714285714285708</v>
      </c>
      <c r="AB82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824">
        <f t="shared" si="12"/>
        <v>1866</v>
      </c>
      <c r="AD824" t="str">
        <f>_xlfn.IFS(Table1[[#This Row],[Absence 
Days]]&lt;3,"Excellent",Table1[[#This Row],[Absence 
Days]]&lt;=6,"Good",Table1[[#This Row],[Absence 
Days]]&gt;6,"Poor")</f>
        <v>Excellent</v>
      </c>
    </row>
    <row r="825" spans="1:30" x14ac:dyDescent="0.35">
      <c r="A825">
        <v>824</v>
      </c>
      <c r="B825" s="2" t="s">
        <v>323</v>
      </c>
      <c r="C825" t="s">
        <v>662</v>
      </c>
      <c r="D825" t="str">
        <f>_xlfn.TEXTJOIN(" ",TRUE,Table1[[#This Row],[First 
Name]:[Last 
Name]])</f>
        <v>Alexis Hall</v>
      </c>
      <c r="E825" t="s">
        <v>1935</v>
      </c>
      <c r="F825" t="s">
        <v>3245</v>
      </c>
      <c r="G825" t="str">
        <f ca="1">PROPER(Table1[[#This Row],[Part Time 
Job]])</f>
        <v>False</v>
      </c>
      <c r="H825" s="3">
        <v>5</v>
      </c>
      <c r="I825" t="str">
        <f ca="1">PROPER(Table1[[#This Row],[Extracurricular 
Activities]])</f>
        <v>False</v>
      </c>
      <c r="J825">
        <v>9</v>
      </c>
      <c r="K825" t="s">
        <v>3124</v>
      </c>
      <c r="L825">
        <v>70</v>
      </c>
      <c r="M825" s="12" t="str" cm="1">
        <f t="array" ref="M825">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825">
        <v>88</v>
      </c>
      <c r="O825" s="13" t="str" cm="1">
        <f t="array" ref="O82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825">
        <v>100</v>
      </c>
      <c r="Q825" s="13" t="str" cm="1">
        <f t="array" ref="Q82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825">
        <v>91</v>
      </c>
      <c r="S825" t="str" cm="1">
        <f t="array" ref="S82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825">
        <v>98</v>
      </c>
      <c r="U825" t="str" cm="1">
        <f t="array" ref="U82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825">
        <v>68</v>
      </c>
      <c r="W825" t="str" cm="1">
        <f t="array" ref="W82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825">
        <v>81</v>
      </c>
      <c r="Y825" t="str" cm="1">
        <f t="array" ref="Y82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825">
        <f>SUM(Table1[[#This Row],[Math 
Score]],Table1[[#This Row],[History 
Score]],Table1[[#This Row],[Physics 
Score]],Table1[[#This Row],[Chemistry 
Score]],Table1[[#This Row],[Biology 
Score]],Table1[[#This Row],[English 
Score]],Table1[[#This Row],[Geography 
Score]])</f>
        <v>596</v>
      </c>
      <c r="AA825" s="3">
        <f>AVERAGE(Table1[[#This Row],[Math 
Score]],Table1[[#This Row],[History 
Score]],Table1[[#This Row],[Physics 
Score]],Table1[[#This Row],[Chemistry 
Score]],Table1[[#This Row],[Biology 
Score]],Table1[[#This Row],[English 
Score]],Table1[[#This Row],[Geography 
Score]])</f>
        <v>85.142857142857139</v>
      </c>
      <c r="AB82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825">
        <f t="shared" si="12"/>
        <v>458</v>
      </c>
      <c r="AD825" t="str">
        <f>_xlfn.IFS(Table1[[#This Row],[Absence 
Days]]&lt;3,"Excellent",Table1[[#This Row],[Absence 
Days]]&lt;=6,"Good",Table1[[#This Row],[Absence 
Days]]&gt;6,"Poor")</f>
        <v>Good</v>
      </c>
    </row>
    <row r="826" spans="1:30" x14ac:dyDescent="0.35">
      <c r="A826">
        <v>825</v>
      </c>
      <c r="B826" s="2" t="s">
        <v>33</v>
      </c>
      <c r="C826" t="s">
        <v>493</v>
      </c>
      <c r="D826" t="str">
        <f>_xlfn.TEXTJOIN(" ",TRUE,Table1[[#This Row],[First 
Name]:[Last 
Name]])</f>
        <v>Ryan Soto</v>
      </c>
      <c r="E826" t="s">
        <v>1936</v>
      </c>
      <c r="F826" t="s">
        <v>3244</v>
      </c>
      <c r="G826" t="str">
        <f ca="1">PROPER(Table1[[#This Row],[Part Time 
Job]])</f>
        <v>False</v>
      </c>
      <c r="H826" s="3">
        <v>7</v>
      </c>
      <c r="I826" t="str">
        <f ca="1">PROPER(Table1[[#This Row],[Extracurricular 
Activities]])</f>
        <v>False</v>
      </c>
      <c r="J826">
        <v>14</v>
      </c>
      <c r="K826" t="s">
        <v>3125</v>
      </c>
      <c r="L826">
        <v>84</v>
      </c>
      <c r="M826" s="12" t="str" cm="1">
        <f t="array" ref="M82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826">
        <v>100</v>
      </c>
      <c r="O826" s="13" t="str" cm="1">
        <f t="array" ref="O82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826">
        <v>99</v>
      </c>
      <c r="Q826" s="13" t="str" cm="1">
        <f t="array" ref="Q82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826">
        <v>94</v>
      </c>
      <c r="S826" t="str" cm="1">
        <f t="array" ref="S82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826">
        <v>84</v>
      </c>
      <c r="U826" t="str" cm="1">
        <f t="array" ref="U82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826">
        <v>86</v>
      </c>
      <c r="W826" t="str" cm="1">
        <f t="array" ref="W82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826">
        <v>63</v>
      </c>
      <c r="Y826" t="str" cm="1">
        <f t="array" ref="Y82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826">
        <f>SUM(Table1[[#This Row],[Math 
Score]],Table1[[#This Row],[History 
Score]],Table1[[#This Row],[Physics 
Score]],Table1[[#This Row],[Chemistry 
Score]],Table1[[#This Row],[Biology 
Score]],Table1[[#This Row],[English 
Score]],Table1[[#This Row],[Geography 
Score]])</f>
        <v>610</v>
      </c>
      <c r="AA826" s="3">
        <f>AVERAGE(Table1[[#This Row],[Math 
Score]],Table1[[#This Row],[History 
Score]],Table1[[#This Row],[Physics 
Score]],Table1[[#This Row],[Chemistry 
Score]],Table1[[#This Row],[Biology 
Score]],Table1[[#This Row],[English 
Score]],Table1[[#This Row],[Geography 
Score]])</f>
        <v>87.142857142857139</v>
      </c>
      <c r="AB82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826">
        <f t="shared" si="12"/>
        <v>298</v>
      </c>
      <c r="AD826" t="str">
        <f>_xlfn.IFS(Table1[[#This Row],[Absence 
Days]]&lt;3,"Excellent",Table1[[#This Row],[Absence 
Days]]&lt;=6,"Good",Table1[[#This Row],[Absence 
Days]]&gt;6,"Poor")</f>
        <v>Poor</v>
      </c>
    </row>
    <row r="827" spans="1:30" x14ac:dyDescent="0.35">
      <c r="A827">
        <v>826</v>
      </c>
      <c r="B827" s="2" t="s">
        <v>324</v>
      </c>
      <c r="C827" t="s">
        <v>869</v>
      </c>
      <c r="D827" t="str">
        <f>_xlfn.TEXTJOIN(" ",TRUE,Table1[[#This Row],[First 
Name]:[Last 
Name]])</f>
        <v>Brent Clements</v>
      </c>
      <c r="E827" t="s">
        <v>1937</v>
      </c>
      <c r="F827" t="s">
        <v>3244</v>
      </c>
      <c r="G827" t="str">
        <f ca="1">PROPER(Table1[[#This Row],[Part Time 
Job]])</f>
        <v>False</v>
      </c>
      <c r="H827" s="3">
        <v>8</v>
      </c>
      <c r="I827" t="str">
        <f ca="1">PROPER(Table1[[#This Row],[Extracurricular 
Activities]])</f>
        <v>False</v>
      </c>
      <c r="J827">
        <v>25</v>
      </c>
      <c r="K827" t="s">
        <v>3113</v>
      </c>
      <c r="L827">
        <v>88</v>
      </c>
      <c r="M827" s="12" t="str" cm="1">
        <f t="array" ref="M82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827">
        <v>60</v>
      </c>
      <c r="O827" s="13" t="str" cm="1">
        <f t="array" ref="O82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827">
        <v>87</v>
      </c>
      <c r="Q827" s="13" t="str" cm="1">
        <f t="array" ref="Q82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827">
        <v>90</v>
      </c>
      <c r="S827" t="str" cm="1">
        <f t="array" ref="S82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827">
        <v>87</v>
      </c>
      <c r="U827" t="str" cm="1">
        <f t="array" ref="U82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827">
        <v>86</v>
      </c>
      <c r="W827" t="str" cm="1">
        <f t="array" ref="W82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827">
        <v>62</v>
      </c>
      <c r="Y827" t="str" cm="1">
        <f t="array" ref="Y82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827">
        <f>SUM(Table1[[#This Row],[Math 
Score]],Table1[[#This Row],[History 
Score]],Table1[[#This Row],[Physics 
Score]],Table1[[#This Row],[Chemistry 
Score]],Table1[[#This Row],[Biology 
Score]],Table1[[#This Row],[English 
Score]],Table1[[#This Row],[Geography 
Score]])</f>
        <v>560</v>
      </c>
      <c r="AA827" s="3">
        <f>AVERAGE(Table1[[#This Row],[Math 
Score]],Table1[[#This Row],[History 
Score]],Table1[[#This Row],[Physics 
Score]],Table1[[#This Row],[Chemistry 
Score]],Table1[[#This Row],[Biology 
Score]],Table1[[#This Row],[English 
Score]],Table1[[#This Row],[Geography 
Score]])</f>
        <v>80</v>
      </c>
      <c r="AB82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827">
        <f t="shared" si="12"/>
        <v>1134</v>
      </c>
      <c r="AD827" t="str">
        <f>_xlfn.IFS(Table1[[#This Row],[Absence 
Days]]&lt;3,"Excellent",Table1[[#This Row],[Absence 
Days]]&lt;=6,"Good",Table1[[#This Row],[Absence 
Days]]&gt;6,"Poor")</f>
        <v>Poor</v>
      </c>
    </row>
    <row r="828" spans="1:30" x14ac:dyDescent="0.35">
      <c r="A828">
        <v>827</v>
      </c>
      <c r="B828" s="2" t="s">
        <v>80</v>
      </c>
      <c r="C828" t="s">
        <v>593</v>
      </c>
      <c r="D828" t="str">
        <f>_xlfn.TEXTJOIN(" ",TRUE,Table1[[#This Row],[First 
Name]:[Last 
Name]])</f>
        <v>Thomas Hernandez</v>
      </c>
      <c r="E828" t="s">
        <v>1938</v>
      </c>
      <c r="F828" t="s">
        <v>3244</v>
      </c>
      <c r="G828" t="str">
        <f ca="1">PROPER(Table1[[#This Row],[Part Time 
Job]])</f>
        <v>False</v>
      </c>
      <c r="H828" s="3">
        <v>1</v>
      </c>
      <c r="I828" t="str">
        <f ca="1">PROPER(Table1[[#This Row],[Extracurricular 
Activities]])</f>
        <v>True</v>
      </c>
      <c r="J828">
        <v>9</v>
      </c>
      <c r="K828" t="s">
        <v>3116</v>
      </c>
      <c r="L828">
        <v>66</v>
      </c>
      <c r="M828" s="12" t="str" cm="1">
        <f t="array" ref="M828">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828">
        <v>65</v>
      </c>
      <c r="O828" s="13" t="str" cm="1">
        <f t="array" ref="O82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828">
        <v>82</v>
      </c>
      <c r="Q828" s="13" t="str" cm="1">
        <f t="array" ref="Q82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828">
        <v>96</v>
      </c>
      <c r="S828" t="str" cm="1">
        <f t="array" ref="S82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828">
        <v>87</v>
      </c>
      <c r="U828" t="str" cm="1">
        <f t="array" ref="U82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828">
        <v>87</v>
      </c>
      <c r="W828" t="str" cm="1">
        <f t="array" ref="W82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828">
        <v>63</v>
      </c>
      <c r="Y828" t="str" cm="1">
        <f t="array" ref="Y82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828">
        <f>SUM(Table1[[#This Row],[Math 
Score]],Table1[[#This Row],[History 
Score]],Table1[[#This Row],[Physics 
Score]],Table1[[#This Row],[Chemistry 
Score]],Table1[[#This Row],[Biology 
Score]],Table1[[#This Row],[English 
Score]],Table1[[#This Row],[Geography 
Score]])</f>
        <v>546</v>
      </c>
      <c r="AA828" s="3">
        <f>AVERAGE(Table1[[#This Row],[Math 
Score]],Table1[[#This Row],[History 
Score]],Table1[[#This Row],[Physics 
Score]],Table1[[#This Row],[Chemistry 
Score]],Table1[[#This Row],[Biology 
Score]],Table1[[#This Row],[English 
Score]],Table1[[#This Row],[Geography 
Score]])</f>
        <v>78</v>
      </c>
      <c r="AB82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828">
        <f t="shared" si="12"/>
        <v>1411</v>
      </c>
      <c r="AD828" t="str">
        <f>_xlfn.IFS(Table1[[#This Row],[Absence 
Days]]&lt;3,"Excellent",Table1[[#This Row],[Absence 
Days]]&lt;=6,"Good",Table1[[#This Row],[Absence 
Days]]&gt;6,"Poor")</f>
        <v>Excellent</v>
      </c>
    </row>
    <row r="829" spans="1:30" x14ac:dyDescent="0.35">
      <c r="A829">
        <v>828</v>
      </c>
      <c r="B829" s="2" t="s">
        <v>167</v>
      </c>
      <c r="C829" t="s">
        <v>870</v>
      </c>
      <c r="D829" t="str">
        <f>_xlfn.TEXTJOIN(" ",TRUE,Table1[[#This Row],[First 
Name]:[Last 
Name]])</f>
        <v>Kevin Mack</v>
      </c>
      <c r="E829" t="s">
        <v>1939</v>
      </c>
      <c r="F829" t="s">
        <v>3244</v>
      </c>
      <c r="G829" t="str">
        <f ca="1">PROPER(Table1[[#This Row],[Part Time 
Job]])</f>
        <v>True</v>
      </c>
      <c r="H829" s="3">
        <v>9</v>
      </c>
      <c r="I829" t="str">
        <f ca="1">PROPER(Table1[[#This Row],[Extracurricular 
Activities]])</f>
        <v>False</v>
      </c>
      <c r="J829">
        <v>2</v>
      </c>
      <c r="K829" t="s">
        <v>3119</v>
      </c>
      <c r="L829">
        <v>46</v>
      </c>
      <c r="M829" s="12" t="str" cm="1">
        <f t="array" ref="M829">_xlfn.IFS(Table1[[#This Row],[Math 
Score]]&gt;=90,"A+",Table1[[#This Row],[Math 
Score]]&gt;=80,"A", Table1[[#This Row],[Math 
Score]]&gt;=75,"A-",Table1[[#This Row],[Math 
Score]]&gt;=70,"B+",Table1[[#This Row],[Math 
Score]]&gt;=65,"B",Table1[[#This Row],[Math 
Score]]&gt;=60,"B-",Table1[[#This Row],[Math 
Score]]&gt;=50,"C",Table1[[#This Row],[Math 
Score]]&gt;=40,"D",Table1[[#This Row],[Math 
Score]]&lt;40,"F")</f>
        <v>D</v>
      </c>
      <c r="N829">
        <v>54</v>
      </c>
      <c r="O829" s="13" t="str" cm="1">
        <f t="array" ref="O82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C</v>
      </c>
      <c r="P829">
        <v>93</v>
      </c>
      <c r="Q829" s="13" t="str" cm="1">
        <f t="array" ref="Q82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829">
        <v>57</v>
      </c>
      <c r="S829" t="str" cm="1">
        <f t="array" ref="S82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C</v>
      </c>
      <c r="T829">
        <v>99</v>
      </c>
      <c r="U829" t="str" cm="1">
        <f t="array" ref="U82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829">
        <v>59</v>
      </c>
      <c r="W829" t="str" cm="1">
        <f t="array" ref="W82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C</v>
      </c>
      <c r="X829">
        <v>73</v>
      </c>
      <c r="Y829" t="str" cm="1">
        <f t="array" ref="Y82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829">
        <f>SUM(Table1[[#This Row],[Math 
Score]],Table1[[#This Row],[History 
Score]],Table1[[#This Row],[Physics 
Score]],Table1[[#This Row],[Chemistry 
Score]],Table1[[#This Row],[Biology 
Score]],Table1[[#This Row],[English 
Score]],Table1[[#This Row],[Geography 
Score]])</f>
        <v>481</v>
      </c>
      <c r="AA829" s="3">
        <f>AVERAGE(Table1[[#This Row],[Math 
Score]],Table1[[#This Row],[History 
Score]],Table1[[#This Row],[Physics 
Score]],Table1[[#This Row],[Chemistry 
Score]],Table1[[#This Row],[Biology 
Score]],Table1[[#This Row],[English 
Score]],Table1[[#This Row],[Geography 
Score]])</f>
        <v>68.714285714285708</v>
      </c>
      <c r="AB82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829">
        <f t="shared" si="12"/>
        <v>1933</v>
      </c>
      <c r="AD829" t="str">
        <f>_xlfn.IFS(Table1[[#This Row],[Absence 
Days]]&lt;3,"Excellent",Table1[[#This Row],[Absence 
Days]]&lt;=6,"Good",Table1[[#This Row],[Absence 
Days]]&gt;6,"Poor")</f>
        <v>Poor</v>
      </c>
    </row>
    <row r="830" spans="1:30" x14ac:dyDescent="0.35">
      <c r="A830">
        <v>829</v>
      </c>
      <c r="B830" s="2" t="s">
        <v>76</v>
      </c>
      <c r="C830" t="s">
        <v>871</v>
      </c>
      <c r="D830" t="str">
        <f>_xlfn.TEXTJOIN(" ",TRUE,Table1[[#This Row],[First 
Name]:[Last 
Name]])</f>
        <v>Patrick Kirk</v>
      </c>
      <c r="E830" t="s">
        <v>1940</v>
      </c>
      <c r="F830" t="s">
        <v>3244</v>
      </c>
      <c r="G830" t="str">
        <f ca="1">PROPER(Table1[[#This Row],[Part Time 
Job]])</f>
        <v>False</v>
      </c>
      <c r="H830" s="3">
        <v>5</v>
      </c>
      <c r="I830" t="str">
        <f ca="1">PROPER(Table1[[#This Row],[Extracurricular 
Activities]])</f>
        <v>False</v>
      </c>
      <c r="J830">
        <v>31</v>
      </c>
      <c r="K830" t="s">
        <v>3112</v>
      </c>
      <c r="L830">
        <v>71</v>
      </c>
      <c r="M830" s="12" t="str" cm="1">
        <f t="array" ref="M830">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830">
        <v>92</v>
      </c>
      <c r="O830" s="13" t="str" cm="1">
        <f t="array" ref="O83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830">
        <v>60</v>
      </c>
      <c r="Q830" s="13" t="str" cm="1">
        <f t="array" ref="Q83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830">
        <v>73</v>
      </c>
      <c r="S830" t="str" cm="1">
        <f t="array" ref="S83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830">
        <v>74</v>
      </c>
      <c r="U830" t="str" cm="1">
        <f t="array" ref="U83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830">
        <v>86</v>
      </c>
      <c r="W830" t="str" cm="1">
        <f t="array" ref="W83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830">
        <v>94</v>
      </c>
      <c r="Y830" t="str" cm="1">
        <f t="array" ref="Y83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830">
        <f>SUM(Table1[[#This Row],[Math 
Score]],Table1[[#This Row],[History 
Score]],Table1[[#This Row],[Physics 
Score]],Table1[[#This Row],[Chemistry 
Score]],Table1[[#This Row],[Biology 
Score]],Table1[[#This Row],[English 
Score]],Table1[[#This Row],[Geography 
Score]])</f>
        <v>550</v>
      </c>
      <c r="AA830" s="3">
        <f>AVERAGE(Table1[[#This Row],[Math 
Score]],Table1[[#This Row],[History 
Score]],Table1[[#This Row],[Physics 
Score]],Table1[[#This Row],[Chemistry 
Score]],Table1[[#This Row],[Biology 
Score]],Table1[[#This Row],[English 
Score]],Table1[[#This Row],[Geography 
Score]])</f>
        <v>78.571428571428569</v>
      </c>
      <c r="AB83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830">
        <f t="shared" si="12"/>
        <v>1338</v>
      </c>
      <c r="AD830" t="str">
        <f>_xlfn.IFS(Table1[[#This Row],[Absence 
Days]]&lt;3,"Excellent",Table1[[#This Row],[Absence 
Days]]&lt;=6,"Good",Table1[[#This Row],[Absence 
Days]]&gt;6,"Poor")</f>
        <v>Good</v>
      </c>
    </row>
    <row r="831" spans="1:30" x14ac:dyDescent="0.35">
      <c r="A831">
        <v>830</v>
      </c>
      <c r="B831" s="2" t="s">
        <v>36</v>
      </c>
      <c r="C831" t="s">
        <v>556</v>
      </c>
      <c r="D831" t="str">
        <f>_xlfn.TEXTJOIN(" ",TRUE,Table1[[#This Row],[First 
Name]:[Last 
Name]])</f>
        <v>Christopher Jenkins</v>
      </c>
      <c r="E831" t="s">
        <v>1941</v>
      </c>
      <c r="F831" t="s">
        <v>3244</v>
      </c>
      <c r="G831" t="str">
        <f ca="1">PROPER(Table1[[#This Row],[Part Time 
Job]])</f>
        <v>False</v>
      </c>
      <c r="H831" s="3">
        <v>5</v>
      </c>
      <c r="I831" t="str">
        <f ca="1">PROPER(Table1[[#This Row],[Extracurricular 
Activities]])</f>
        <v>False</v>
      </c>
      <c r="J831">
        <v>3</v>
      </c>
      <c r="K831" t="s">
        <v>3124</v>
      </c>
      <c r="L831">
        <v>76</v>
      </c>
      <c r="M831" s="12" t="str" cm="1">
        <f t="array" ref="M83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831">
        <v>77</v>
      </c>
      <c r="O831" s="13" t="str" cm="1">
        <f t="array" ref="O83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831">
        <v>99</v>
      </c>
      <c r="Q831" s="13" t="str" cm="1">
        <f t="array" ref="Q83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831">
        <v>87</v>
      </c>
      <c r="S831" t="str" cm="1">
        <f t="array" ref="S83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831">
        <v>95</v>
      </c>
      <c r="U831" t="str" cm="1">
        <f t="array" ref="U83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831">
        <v>94</v>
      </c>
      <c r="W831" t="str" cm="1">
        <f t="array" ref="W83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831">
        <v>85</v>
      </c>
      <c r="Y831" t="str" cm="1">
        <f t="array" ref="Y83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831">
        <f>SUM(Table1[[#This Row],[Math 
Score]],Table1[[#This Row],[History 
Score]],Table1[[#This Row],[Physics 
Score]],Table1[[#This Row],[Chemistry 
Score]],Table1[[#This Row],[Biology 
Score]],Table1[[#This Row],[English 
Score]],Table1[[#This Row],[Geography 
Score]])</f>
        <v>613</v>
      </c>
      <c r="AA831" s="3">
        <f>AVERAGE(Table1[[#This Row],[Math 
Score]],Table1[[#This Row],[History 
Score]],Table1[[#This Row],[Physics 
Score]],Table1[[#This Row],[Chemistry 
Score]],Table1[[#This Row],[Biology 
Score]],Table1[[#This Row],[English 
Score]],Table1[[#This Row],[Geography 
Score]])</f>
        <v>87.571428571428569</v>
      </c>
      <c r="AB83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831">
        <f t="shared" si="12"/>
        <v>271</v>
      </c>
      <c r="AD831" t="str">
        <f>_xlfn.IFS(Table1[[#This Row],[Absence 
Days]]&lt;3,"Excellent",Table1[[#This Row],[Absence 
Days]]&lt;=6,"Good",Table1[[#This Row],[Absence 
Days]]&gt;6,"Poor")</f>
        <v>Good</v>
      </c>
    </row>
    <row r="832" spans="1:30" x14ac:dyDescent="0.35">
      <c r="A832">
        <v>831</v>
      </c>
      <c r="B832" s="2" t="s">
        <v>23</v>
      </c>
      <c r="C832" t="s">
        <v>872</v>
      </c>
      <c r="D832" t="str">
        <f>_xlfn.TEXTJOIN(" ",TRUE,Table1[[#This Row],[First 
Name]:[Last 
Name]])</f>
        <v>Cassandra Hodges</v>
      </c>
      <c r="E832" t="s">
        <v>1942</v>
      </c>
      <c r="F832" t="s">
        <v>3245</v>
      </c>
      <c r="G832" t="str">
        <f ca="1">PROPER(Table1[[#This Row],[Part Time 
Job]])</f>
        <v>False</v>
      </c>
      <c r="H832" s="3">
        <v>5</v>
      </c>
      <c r="I832" t="str">
        <f ca="1">PROPER(Table1[[#This Row],[Extracurricular 
Activities]])</f>
        <v>False</v>
      </c>
      <c r="J832">
        <v>12</v>
      </c>
      <c r="K832" t="s">
        <v>3124</v>
      </c>
      <c r="L832">
        <v>78</v>
      </c>
      <c r="M832" s="12" t="str" cm="1">
        <f t="array" ref="M83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832">
        <v>95</v>
      </c>
      <c r="O832" s="13" t="str" cm="1">
        <f t="array" ref="O83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832">
        <v>66</v>
      </c>
      <c r="Q832" s="13" t="str" cm="1">
        <f t="array" ref="Q83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832">
        <v>70</v>
      </c>
      <c r="S832" t="str" cm="1">
        <f t="array" ref="S83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832">
        <v>75</v>
      </c>
      <c r="U832" t="str" cm="1">
        <f t="array" ref="U83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832">
        <v>99</v>
      </c>
      <c r="W832" t="str" cm="1">
        <f t="array" ref="W83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832">
        <v>84</v>
      </c>
      <c r="Y832" t="str" cm="1">
        <f t="array" ref="Y83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832">
        <f>SUM(Table1[[#This Row],[Math 
Score]],Table1[[#This Row],[History 
Score]],Table1[[#This Row],[Physics 
Score]],Table1[[#This Row],[Chemistry 
Score]],Table1[[#This Row],[Biology 
Score]],Table1[[#This Row],[English 
Score]],Table1[[#This Row],[Geography 
Score]])</f>
        <v>567</v>
      </c>
      <c r="AA832" s="3">
        <f>AVERAGE(Table1[[#This Row],[Math 
Score]],Table1[[#This Row],[History 
Score]],Table1[[#This Row],[Physics 
Score]],Table1[[#This Row],[Chemistry 
Score]],Table1[[#This Row],[Biology 
Score]],Table1[[#This Row],[English 
Score]],Table1[[#This Row],[Geography 
Score]])</f>
        <v>81</v>
      </c>
      <c r="AB83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832">
        <f t="shared" si="12"/>
        <v>994</v>
      </c>
      <c r="AD832" t="str">
        <f>_xlfn.IFS(Table1[[#This Row],[Absence 
Days]]&lt;3,"Excellent",Table1[[#This Row],[Absence 
Days]]&lt;=6,"Good",Table1[[#This Row],[Absence 
Days]]&gt;6,"Poor")</f>
        <v>Good</v>
      </c>
    </row>
    <row r="833" spans="1:30" x14ac:dyDescent="0.35">
      <c r="A833">
        <v>832</v>
      </c>
      <c r="B833" s="2" t="s">
        <v>222</v>
      </c>
      <c r="C833" t="s">
        <v>731</v>
      </c>
      <c r="D833" t="str">
        <f>_xlfn.TEXTJOIN(" ",TRUE,Table1[[#This Row],[First 
Name]:[Last 
Name]])</f>
        <v>Christian Powers</v>
      </c>
      <c r="E833" t="s">
        <v>1943</v>
      </c>
      <c r="F833" t="s">
        <v>3244</v>
      </c>
      <c r="G833" t="str">
        <f ca="1">PROPER(Table1[[#This Row],[Part Time 
Job]])</f>
        <v>False</v>
      </c>
      <c r="H833" s="3">
        <v>5</v>
      </c>
      <c r="I833" t="str">
        <f ca="1">PROPER(Table1[[#This Row],[Extracurricular 
Activities]])</f>
        <v>False</v>
      </c>
      <c r="J833">
        <v>5</v>
      </c>
      <c r="K833" t="s">
        <v>3119</v>
      </c>
      <c r="L833">
        <v>100</v>
      </c>
      <c r="M833" s="12" t="str" cm="1">
        <f t="array" ref="M83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833">
        <v>54</v>
      </c>
      <c r="O833" s="13" t="str" cm="1">
        <f t="array" ref="O83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C</v>
      </c>
      <c r="P833">
        <v>70</v>
      </c>
      <c r="Q833" s="13" t="str" cm="1">
        <f t="array" ref="Q83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833">
        <v>58</v>
      </c>
      <c r="S833" t="str" cm="1">
        <f t="array" ref="S83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C</v>
      </c>
      <c r="T833">
        <v>50</v>
      </c>
      <c r="U833" t="str" cm="1">
        <f t="array" ref="U83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C</v>
      </c>
      <c r="V833">
        <v>95</v>
      </c>
      <c r="W833" t="str" cm="1">
        <f t="array" ref="W83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833">
        <v>92</v>
      </c>
      <c r="Y833" t="str" cm="1">
        <f t="array" ref="Y83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833">
        <f>SUM(Table1[[#This Row],[Math 
Score]],Table1[[#This Row],[History 
Score]],Table1[[#This Row],[Physics 
Score]],Table1[[#This Row],[Chemistry 
Score]],Table1[[#This Row],[Biology 
Score]],Table1[[#This Row],[English 
Score]],Table1[[#This Row],[Geography 
Score]])</f>
        <v>519</v>
      </c>
      <c r="AA833" s="3">
        <f>AVERAGE(Table1[[#This Row],[Math 
Score]],Table1[[#This Row],[History 
Score]],Table1[[#This Row],[Physics 
Score]],Table1[[#This Row],[Chemistry 
Score]],Table1[[#This Row],[Biology 
Score]],Table1[[#This Row],[English 
Score]],Table1[[#This Row],[Geography 
Score]])</f>
        <v>74.142857142857139</v>
      </c>
      <c r="AB83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833">
        <f t="shared" si="12"/>
        <v>1766</v>
      </c>
      <c r="AD833" t="str">
        <f>_xlfn.IFS(Table1[[#This Row],[Absence 
Days]]&lt;3,"Excellent",Table1[[#This Row],[Absence 
Days]]&lt;=6,"Good",Table1[[#This Row],[Absence 
Days]]&gt;6,"Poor")</f>
        <v>Good</v>
      </c>
    </row>
    <row r="834" spans="1:30" x14ac:dyDescent="0.35">
      <c r="A834">
        <v>833</v>
      </c>
      <c r="B834" s="2" t="s">
        <v>55</v>
      </c>
      <c r="C834" t="s">
        <v>873</v>
      </c>
      <c r="D834" t="str">
        <f>_xlfn.TEXTJOIN(" ",TRUE,Table1[[#This Row],[First 
Name]:[Last 
Name]])</f>
        <v>Brittany Collier</v>
      </c>
      <c r="E834" t="s">
        <v>1944</v>
      </c>
      <c r="F834" t="s">
        <v>3245</v>
      </c>
      <c r="G834" t="str">
        <f ca="1">PROPER(Table1[[#This Row],[Part Time 
Job]])</f>
        <v>False</v>
      </c>
      <c r="H834" s="3">
        <v>10</v>
      </c>
      <c r="I834" t="str">
        <f ca="1">PROPER(Table1[[#This Row],[Extracurricular 
Activities]])</f>
        <v>False</v>
      </c>
      <c r="J834">
        <v>11</v>
      </c>
      <c r="K834" t="s">
        <v>3114</v>
      </c>
      <c r="L834">
        <v>73</v>
      </c>
      <c r="M834" s="12" t="str" cm="1">
        <f t="array" ref="M834">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834">
        <v>97</v>
      </c>
      <c r="O834" s="13" t="str" cm="1">
        <f t="array" ref="O83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834">
        <v>87</v>
      </c>
      <c r="Q834" s="13" t="str" cm="1">
        <f t="array" ref="Q83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834">
        <v>93</v>
      </c>
      <c r="S834" t="str" cm="1">
        <f t="array" ref="S83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834">
        <v>78</v>
      </c>
      <c r="U834" t="str" cm="1">
        <f t="array" ref="U83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834">
        <v>99</v>
      </c>
      <c r="W834" t="str" cm="1">
        <f t="array" ref="W83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834">
        <v>86</v>
      </c>
      <c r="Y834" t="str" cm="1">
        <f t="array" ref="Y83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834">
        <f>SUM(Table1[[#This Row],[Math 
Score]],Table1[[#This Row],[History 
Score]],Table1[[#This Row],[Physics 
Score]],Table1[[#This Row],[Chemistry 
Score]],Table1[[#This Row],[Biology 
Score]],Table1[[#This Row],[English 
Score]],Table1[[#This Row],[Geography 
Score]])</f>
        <v>613</v>
      </c>
      <c r="AA834" s="3">
        <f>AVERAGE(Table1[[#This Row],[Math 
Score]],Table1[[#This Row],[History 
Score]],Table1[[#This Row],[Physics 
Score]],Table1[[#This Row],[Chemistry 
Score]],Table1[[#This Row],[Biology 
Score]],Table1[[#This Row],[English 
Score]],Table1[[#This Row],[Geography 
Score]])</f>
        <v>87.571428571428569</v>
      </c>
      <c r="AB83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834">
        <f t="shared" ref="AC834:AC897" si="13">RANK(AA834,$AA$2:$AA$2001,0)</f>
        <v>271</v>
      </c>
      <c r="AD834" t="str">
        <f>_xlfn.IFS(Table1[[#This Row],[Absence 
Days]]&lt;3,"Excellent",Table1[[#This Row],[Absence 
Days]]&lt;=6,"Good",Table1[[#This Row],[Absence 
Days]]&gt;6,"Poor")</f>
        <v>Poor</v>
      </c>
    </row>
    <row r="835" spans="1:30" x14ac:dyDescent="0.35">
      <c r="A835">
        <v>834</v>
      </c>
      <c r="B835" s="2" t="s">
        <v>71</v>
      </c>
      <c r="C835" t="s">
        <v>525</v>
      </c>
      <c r="D835" t="str">
        <f>_xlfn.TEXTJOIN(" ",TRUE,Table1[[#This Row],[First 
Name]:[Last 
Name]])</f>
        <v>James Bridges</v>
      </c>
      <c r="E835" t="s">
        <v>1945</v>
      </c>
      <c r="F835" t="s">
        <v>3244</v>
      </c>
      <c r="G835" t="str">
        <f ca="1">PROPER(Table1[[#This Row],[Part Time 
Job]])</f>
        <v>False</v>
      </c>
      <c r="H835" s="3">
        <v>2</v>
      </c>
      <c r="I835" t="str">
        <f ca="1">PROPER(Table1[[#This Row],[Extracurricular 
Activities]])</f>
        <v>False</v>
      </c>
      <c r="J835">
        <v>4</v>
      </c>
      <c r="K835" t="s">
        <v>3126</v>
      </c>
      <c r="L835">
        <v>96</v>
      </c>
      <c r="M835" s="12" t="str" cm="1">
        <f t="array" ref="M83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835">
        <v>63</v>
      </c>
      <c r="O835" s="13" t="str" cm="1">
        <f t="array" ref="O83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835">
        <v>85</v>
      </c>
      <c r="Q835" s="13" t="str" cm="1">
        <f t="array" ref="Q83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835">
        <v>77</v>
      </c>
      <c r="S835" t="str" cm="1">
        <f t="array" ref="S83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835">
        <v>82</v>
      </c>
      <c r="U835" t="str" cm="1">
        <f t="array" ref="U83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835">
        <v>65</v>
      </c>
      <c r="W835" t="str" cm="1">
        <f t="array" ref="W83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835">
        <v>88</v>
      </c>
      <c r="Y835" t="str" cm="1">
        <f t="array" ref="Y83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835">
        <f>SUM(Table1[[#This Row],[Math 
Score]],Table1[[#This Row],[History 
Score]],Table1[[#This Row],[Physics 
Score]],Table1[[#This Row],[Chemistry 
Score]],Table1[[#This Row],[Biology 
Score]],Table1[[#This Row],[English 
Score]],Table1[[#This Row],[Geography 
Score]])</f>
        <v>556</v>
      </c>
      <c r="AA835" s="3">
        <f>AVERAGE(Table1[[#This Row],[Math 
Score]],Table1[[#This Row],[History 
Score]],Table1[[#This Row],[Physics 
Score]],Table1[[#This Row],[Chemistry 
Score]],Table1[[#This Row],[Biology 
Score]],Table1[[#This Row],[English 
Score]],Table1[[#This Row],[Geography 
Score]])</f>
        <v>79.428571428571431</v>
      </c>
      <c r="AB83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835">
        <f t="shared" si="13"/>
        <v>1224</v>
      </c>
      <c r="AD835" t="str">
        <f>_xlfn.IFS(Table1[[#This Row],[Absence 
Days]]&lt;3,"Excellent",Table1[[#This Row],[Absence 
Days]]&lt;=6,"Good",Table1[[#This Row],[Absence 
Days]]&gt;6,"Poor")</f>
        <v>Excellent</v>
      </c>
    </row>
    <row r="836" spans="1:30" x14ac:dyDescent="0.35">
      <c r="A836">
        <v>835</v>
      </c>
      <c r="B836" s="2" t="s">
        <v>261</v>
      </c>
      <c r="C836" t="s">
        <v>874</v>
      </c>
      <c r="D836" t="str">
        <f>_xlfn.TEXTJOIN(" ",TRUE,Table1[[#This Row],[First 
Name]:[Last 
Name]])</f>
        <v>Alexander Fowler</v>
      </c>
      <c r="E836" t="s">
        <v>1946</v>
      </c>
      <c r="F836" t="s">
        <v>3244</v>
      </c>
      <c r="G836" t="str">
        <f ca="1">PROPER(Table1[[#This Row],[Part Time 
Job]])</f>
        <v>False</v>
      </c>
      <c r="H836" s="3">
        <v>2</v>
      </c>
      <c r="I836" t="str">
        <f ca="1">PROPER(Table1[[#This Row],[Extracurricular 
Activities]])</f>
        <v>False</v>
      </c>
      <c r="J836">
        <v>25</v>
      </c>
      <c r="K836" t="s">
        <v>3116</v>
      </c>
      <c r="L836">
        <v>82</v>
      </c>
      <c r="M836" s="12" t="str" cm="1">
        <f t="array" ref="M83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836">
        <v>84</v>
      </c>
      <c r="O836" s="13" t="str" cm="1">
        <f t="array" ref="O83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836">
        <v>93</v>
      </c>
      <c r="Q836" s="13" t="str" cm="1">
        <f t="array" ref="Q83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836">
        <v>70</v>
      </c>
      <c r="S836" t="str" cm="1">
        <f t="array" ref="S83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836">
        <v>99</v>
      </c>
      <c r="U836" t="str" cm="1">
        <f t="array" ref="U83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836">
        <v>66</v>
      </c>
      <c r="W836" t="str" cm="1">
        <f t="array" ref="W83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836">
        <v>80</v>
      </c>
      <c r="Y836" t="str" cm="1">
        <f t="array" ref="Y83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836">
        <f>SUM(Table1[[#This Row],[Math 
Score]],Table1[[#This Row],[History 
Score]],Table1[[#This Row],[Physics 
Score]],Table1[[#This Row],[Chemistry 
Score]],Table1[[#This Row],[Biology 
Score]],Table1[[#This Row],[English 
Score]],Table1[[#This Row],[Geography 
Score]])</f>
        <v>574</v>
      </c>
      <c r="AA836" s="3">
        <f>AVERAGE(Table1[[#This Row],[Math 
Score]],Table1[[#This Row],[History 
Score]],Table1[[#This Row],[Physics 
Score]],Table1[[#This Row],[Chemistry 
Score]],Table1[[#This Row],[Biology 
Score]],Table1[[#This Row],[English 
Score]],Table1[[#This Row],[Geography 
Score]])</f>
        <v>82</v>
      </c>
      <c r="AB83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836">
        <f t="shared" si="13"/>
        <v>832</v>
      </c>
      <c r="AD836" t="str">
        <f>_xlfn.IFS(Table1[[#This Row],[Absence 
Days]]&lt;3,"Excellent",Table1[[#This Row],[Absence 
Days]]&lt;=6,"Good",Table1[[#This Row],[Absence 
Days]]&gt;6,"Poor")</f>
        <v>Excellent</v>
      </c>
    </row>
    <row r="837" spans="1:30" x14ac:dyDescent="0.35">
      <c r="A837">
        <v>836</v>
      </c>
      <c r="B837" s="2" t="s">
        <v>93</v>
      </c>
      <c r="C837" t="s">
        <v>875</v>
      </c>
      <c r="D837" t="str">
        <f>_xlfn.TEXTJOIN(" ",TRUE,Table1[[#This Row],[First 
Name]:[Last 
Name]])</f>
        <v>Andrew Wong</v>
      </c>
      <c r="E837" t="s">
        <v>1947</v>
      </c>
      <c r="F837" t="s">
        <v>3244</v>
      </c>
      <c r="G837" t="str">
        <f ca="1">PROPER(Table1[[#This Row],[Part Time 
Job]])</f>
        <v>False</v>
      </c>
      <c r="H837" s="3">
        <v>1</v>
      </c>
      <c r="I837" t="str">
        <f ca="1">PROPER(Table1[[#This Row],[Extracurricular 
Activities]])</f>
        <v>False</v>
      </c>
      <c r="J837">
        <v>33</v>
      </c>
      <c r="K837" t="s">
        <v>3116</v>
      </c>
      <c r="L837">
        <v>81</v>
      </c>
      <c r="M837" s="12" t="str" cm="1">
        <f t="array" ref="M83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837">
        <v>91</v>
      </c>
      <c r="O837" s="13" t="str" cm="1">
        <f t="array" ref="O83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837">
        <v>71</v>
      </c>
      <c r="Q837" s="13" t="str" cm="1">
        <f t="array" ref="Q83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837">
        <v>79</v>
      </c>
      <c r="S837" t="str" cm="1">
        <f t="array" ref="S83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837">
        <v>98</v>
      </c>
      <c r="U837" t="str" cm="1">
        <f t="array" ref="U83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837">
        <v>69</v>
      </c>
      <c r="W837" t="str" cm="1">
        <f t="array" ref="W83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837">
        <v>75</v>
      </c>
      <c r="Y837" t="str" cm="1">
        <f t="array" ref="Y83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837">
        <f>SUM(Table1[[#This Row],[Math 
Score]],Table1[[#This Row],[History 
Score]],Table1[[#This Row],[Physics 
Score]],Table1[[#This Row],[Chemistry 
Score]],Table1[[#This Row],[Biology 
Score]],Table1[[#This Row],[English 
Score]],Table1[[#This Row],[Geography 
Score]])</f>
        <v>564</v>
      </c>
      <c r="AA837" s="3">
        <f>AVERAGE(Table1[[#This Row],[Math 
Score]],Table1[[#This Row],[History 
Score]],Table1[[#This Row],[Physics 
Score]],Table1[[#This Row],[Chemistry 
Score]],Table1[[#This Row],[Biology 
Score]],Table1[[#This Row],[English 
Score]],Table1[[#This Row],[Geography 
Score]])</f>
        <v>80.571428571428569</v>
      </c>
      <c r="AB83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837">
        <f t="shared" si="13"/>
        <v>1056</v>
      </c>
      <c r="AD837" t="str">
        <f>_xlfn.IFS(Table1[[#This Row],[Absence 
Days]]&lt;3,"Excellent",Table1[[#This Row],[Absence 
Days]]&lt;=6,"Good",Table1[[#This Row],[Absence 
Days]]&gt;6,"Poor")</f>
        <v>Excellent</v>
      </c>
    </row>
    <row r="838" spans="1:30" x14ac:dyDescent="0.35">
      <c r="A838">
        <v>837</v>
      </c>
      <c r="B838" s="2" t="s">
        <v>325</v>
      </c>
      <c r="C838" t="s">
        <v>629</v>
      </c>
      <c r="D838" t="str">
        <f>_xlfn.TEXTJOIN(" ",TRUE,Table1[[#This Row],[First 
Name]:[Last 
Name]])</f>
        <v>Bobby Valdez</v>
      </c>
      <c r="E838" t="s">
        <v>1948</v>
      </c>
      <c r="F838" t="s">
        <v>3244</v>
      </c>
      <c r="G838" t="str">
        <f ca="1">PROPER(Table1[[#This Row],[Part Time 
Job]])</f>
        <v>True</v>
      </c>
      <c r="H838" s="3">
        <v>1</v>
      </c>
      <c r="I838" t="str">
        <f ca="1">PROPER(Table1[[#This Row],[Extracurricular 
Activities]])</f>
        <v>False</v>
      </c>
      <c r="J838">
        <v>24</v>
      </c>
      <c r="K838" t="s">
        <v>3116</v>
      </c>
      <c r="L838">
        <v>97</v>
      </c>
      <c r="M838" s="12" t="str" cm="1">
        <f t="array" ref="M83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838">
        <v>80</v>
      </c>
      <c r="O838" s="13" t="str" cm="1">
        <f t="array" ref="O83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838">
        <v>67</v>
      </c>
      <c r="Q838" s="13" t="str" cm="1">
        <f t="array" ref="Q83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838">
        <v>71</v>
      </c>
      <c r="S838" t="str" cm="1">
        <f t="array" ref="S83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838">
        <v>75</v>
      </c>
      <c r="U838" t="str" cm="1">
        <f t="array" ref="U83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838">
        <v>96</v>
      </c>
      <c r="W838" t="str" cm="1">
        <f t="array" ref="W83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838">
        <v>100</v>
      </c>
      <c r="Y838" t="str" cm="1">
        <f t="array" ref="Y83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838">
        <f>SUM(Table1[[#This Row],[Math 
Score]],Table1[[#This Row],[History 
Score]],Table1[[#This Row],[Physics 
Score]],Table1[[#This Row],[Chemistry 
Score]],Table1[[#This Row],[Biology 
Score]],Table1[[#This Row],[English 
Score]],Table1[[#This Row],[Geography 
Score]])</f>
        <v>586</v>
      </c>
      <c r="AA838" s="3">
        <f>AVERAGE(Table1[[#This Row],[Math 
Score]],Table1[[#This Row],[History 
Score]],Table1[[#This Row],[Physics 
Score]],Table1[[#This Row],[Chemistry 
Score]],Table1[[#This Row],[Biology 
Score]],Table1[[#This Row],[English 
Score]],Table1[[#This Row],[Geography 
Score]])</f>
        <v>83.714285714285708</v>
      </c>
      <c r="AB83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838">
        <f t="shared" si="13"/>
        <v>601</v>
      </c>
      <c r="AD838" t="str">
        <f>_xlfn.IFS(Table1[[#This Row],[Absence 
Days]]&lt;3,"Excellent",Table1[[#This Row],[Absence 
Days]]&lt;=6,"Good",Table1[[#This Row],[Absence 
Days]]&gt;6,"Poor")</f>
        <v>Excellent</v>
      </c>
    </row>
    <row r="839" spans="1:30" x14ac:dyDescent="0.35">
      <c r="A839">
        <v>838</v>
      </c>
      <c r="B839" s="2" t="s">
        <v>270</v>
      </c>
      <c r="C839" t="s">
        <v>876</v>
      </c>
      <c r="D839" t="str">
        <f>_xlfn.TEXTJOIN(" ",TRUE,Table1[[#This Row],[First 
Name]:[Last 
Name]])</f>
        <v>Mary Bird</v>
      </c>
      <c r="E839" t="s">
        <v>1949</v>
      </c>
      <c r="F839" t="s">
        <v>3245</v>
      </c>
      <c r="G839" t="str">
        <f ca="1">PROPER(Table1[[#This Row],[Part Time 
Job]])</f>
        <v>False</v>
      </c>
      <c r="H839" s="3">
        <v>3</v>
      </c>
      <c r="I839" t="str">
        <f ca="1">PROPER(Table1[[#This Row],[Extracurricular 
Activities]])</f>
        <v>False</v>
      </c>
      <c r="J839">
        <v>0</v>
      </c>
      <c r="K839" t="s">
        <v>3115</v>
      </c>
      <c r="L839">
        <v>92</v>
      </c>
      <c r="M839" s="12" t="str" cm="1">
        <f t="array" ref="M83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839">
        <v>65</v>
      </c>
      <c r="O839" s="13" t="str" cm="1">
        <f t="array" ref="O83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839">
        <v>95</v>
      </c>
      <c r="Q839" s="13" t="str" cm="1">
        <f t="array" ref="Q83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839">
        <v>60</v>
      </c>
      <c r="S839" t="str" cm="1">
        <f t="array" ref="S83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839">
        <v>93</v>
      </c>
      <c r="U839" t="str" cm="1">
        <f t="array" ref="U83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839">
        <v>69</v>
      </c>
      <c r="W839" t="str" cm="1">
        <f t="array" ref="W83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839">
        <v>82</v>
      </c>
      <c r="Y839" t="str" cm="1">
        <f t="array" ref="Y83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839">
        <f>SUM(Table1[[#This Row],[Math 
Score]],Table1[[#This Row],[History 
Score]],Table1[[#This Row],[Physics 
Score]],Table1[[#This Row],[Chemistry 
Score]],Table1[[#This Row],[Biology 
Score]],Table1[[#This Row],[English 
Score]],Table1[[#This Row],[Geography 
Score]])</f>
        <v>556</v>
      </c>
      <c r="AA839" s="3">
        <f>AVERAGE(Table1[[#This Row],[Math 
Score]],Table1[[#This Row],[History 
Score]],Table1[[#This Row],[Physics 
Score]],Table1[[#This Row],[Chemistry 
Score]],Table1[[#This Row],[Biology 
Score]],Table1[[#This Row],[English 
Score]],Table1[[#This Row],[Geography 
Score]])</f>
        <v>79.428571428571431</v>
      </c>
      <c r="AB83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839">
        <f t="shared" si="13"/>
        <v>1224</v>
      </c>
      <c r="AD839" t="str">
        <f>_xlfn.IFS(Table1[[#This Row],[Absence 
Days]]&lt;3,"Excellent",Table1[[#This Row],[Absence 
Days]]&lt;=6,"Good",Table1[[#This Row],[Absence 
Days]]&gt;6,"Poor")</f>
        <v>Good</v>
      </c>
    </row>
    <row r="840" spans="1:30" x14ac:dyDescent="0.35">
      <c r="A840">
        <v>839</v>
      </c>
      <c r="B840" s="2" t="s">
        <v>93</v>
      </c>
      <c r="C840" t="s">
        <v>567</v>
      </c>
      <c r="D840" t="str">
        <f>_xlfn.TEXTJOIN(" ",TRUE,Table1[[#This Row],[First 
Name]:[Last 
Name]])</f>
        <v>Andrew Rodriguez</v>
      </c>
      <c r="E840" t="s">
        <v>1950</v>
      </c>
      <c r="F840" t="s">
        <v>3244</v>
      </c>
      <c r="G840" t="str">
        <f ca="1">PROPER(Table1[[#This Row],[Part Time 
Job]])</f>
        <v>True</v>
      </c>
      <c r="H840" s="3">
        <v>6</v>
      </c>
      <c r="I840" t="str">
        <f ca="1">PROPER(Table1[[#This Row],[Extracurricular 
Activities]])</f>
        <v>False</v>
      </c>
      <c r="J840">
        <v>0</v>
      </c>
      <c r="K840" t="s">
        <v>3119</v>
      </c>
      <c r="L840">
        <v>81</v>
      </c>
      <c r="M840" s="12" t="str" cm="1">
        <f t="array" ref="M84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840">
        <v>77</v>
      </c>
      <c r="O840" s="13" t="str" cm="1">
        <f t="array" ref="O84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840">
        <v>92</v>
      </c>
      <c r="Q840" s="13" t="str" cm="1">
        <f t="array" ref="Q84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840">
        <v>97</v>
      </c>
      <c r="S840" t="str" cm="1">
        <f t="array" ref="S84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840">
        <v>62</v>
      </c>
      <c r="U840" t="str" cm="1">
        <f t="array" ref="U84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840">
        <v>65</v>
      </c>
      <c r="W840" t="str" cm="1">
        <f t="array" ref="W84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840">
        <v>92</v>
      </c>
      <c r="Y840" t="str" cm="1">
        <f t="array" ref="Y84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840">
        <f>SUM(Table1[[#This Row],[Math 
Score]],Table1[[#This Row],[History 
Score]],Table1[[#This Row],[Physics 
Score]],Table1[[#This Row],[Chemistry 
Score]],Table1[[#This Row],[Biology 
Score]],Table1[[#This Row],[English 
Score]],Table1[[#This Row],[Geography 
Score]])</f>
        <v>566</v>
      </c>
      <c r="AA840" s="3">
        <f>AVERAGE(Table1[[#This Row],[Math 
Score]],Table1[[#This Row],[History 
Score]],Table1[[#This Row],[Physics 
Score]],Table1[[#This Row],[Chemistry 
Score]],Table1[[#This Row],[Biology 
Score]],Table1[[#This Row],[English 
Score]],Table1[[#This Row],[Geography 
Score]])</f>
        <v>80.857142857142861</v>
      </c>
      <c r="AB84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840">
        <f t="shared" si="13"/>
        <v>1019</v>
      </c>
      <c r="AD840" t="str">
        <f>_xlfn.IFS(Table1[[#This Row],[Absence 
Days]]&lt;3,"Excellent",Table1[[#This Row],[Absence 
Days]]&lt;=6,"Good",Table1[[#This Row],[Absence 
Days]]&gt;6,"Poor")</f>
        <v>Good</v>
      </c>
    </row>
    <row r="841" spans="1:30" x14ac:dyDescent="0.35">
      <c r="A841">
        <v>840</v>
      </c>
      <c r="B841" s="2" t="s">
        <v>269</v>
      </c>
      <c r="C841" t="s">
        <v>825</v>
      </c>
      <c r="D841" t="str">
        <f>_xlfn.TEXTJOIN(" ",TRUE,Table1[[#This Row],[First 
Name]:[Last 
Name]])</f>
        <v>Melanie Carter</v>
      </c>
      <c r="E841" t="s">
        <v>1951</v>
      </c>
      <c r="F841" t="s">
        <v>3245</v>
      </c>
      <c r="G841" t="str">
        <f ca="1">PROPER(Table1[[#This Row],[Part Time 
Job]])</f>
        <v>False</v>
      </c>
      <c r="H841" s="3">
        <v>2</v>
      </c>
      <c r="I841" t="str">
        <f ca="1">PROPER(Table1[[#This Row],[Extracurricular 
Activities]])</f>
        <v>False</v>
      </c>
      <c r="J841">
        <v>3</v>
      </c>
      <c r="K841" t="s">
        <v>3114</v>
      </c>
      <c r="L841">
        <v>99</v>
      </c>
      <c r="M841" s="12" t="str" cm="1">
        <f t="array" ref="M84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841">
        <v>69</v>
      </c>
      <c r="O841" s="13" t="str" cm="1">
        <f t="array" ref="O84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841">
        <v>71</v>
      </c>
      <c r="Q841" s="13" t="str" cm="1">
        <f t="array" ref="Q84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841">
        <v>84</v>
      </c>
      <c r="S841" t="str" cm="1">
        <f t="array" ref="S84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841">
        <v>96</v>
      </c>
      <c r="U841" t="str" cm="1">
        <f t="array" ref="U84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841">
        <v>84</v>
      </c>
      <c r="W841" t="str" cm="1">
        <f t="array" ref="W84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841">
        <v>69</v>
      </c>
      <c r="Y841" t="str" cm="1">
        <f t="array" ref="Y84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841">
        <f>SUM(Table1[[#This Row],[Math 
Score]],Table1[[#This Row],[History 
Score]],Table1[[#This Row],[Physics 
Score]],Table1[[#This Row],[Chemistry 
Score]],Table1[[#This Row],[Biology 
Score]],Table1[[#This Row],[English 
Score]],Table1[[#This Row],[Geography 
Score]])</f>
        <v>572</v>
      </c>
      <c r="AA841" s="3">
        <f>AVERAGE(Table1[[#This Row],[Math 
Score]],Table1[[#This Row],[History 
Score]],Table1[[#This Row],[Physics 
Score]],Table1[[#This Row],[Chemistry 
Score]],Table1[[#This Row],[Biology 
Score]],Table1[[#This Row],[English 
Score]],Table1[[#This Row],[Geography 
Score]])</f>
        <v>81.714285714285708</v>
      </c>
      <c r="AB84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841">
        <f t="shared" si="13"/>
        <v>890</v>
      </c>
      <c r="AD841" t="str">
        <f>_xlfn.IFS(Table1[[#This Row],[Absence 
Days]]&lt;3,"Excellent",Table1[[#This Row],[Absence 
Days]]&lt;=6,"Good",Table1[[#This Row],[Absence 
Days]]&gt;6,"Poor")</f>
        <v>Excellent</v>
      </c>
    </row>
    <row r="842" spans="1:30" x14ac:dyDescent="0.35">
      <c r="A842">
        <v>841</v>
      </c>
      <c r="B842" s="2" t="s">
        <v>168</v>
      </c>
      <c r="C842" t="s">
        <v>589</v>
      </c>
      <c r="D842" t="str">
        <f>_xlfn.TEXTJOIN(" ",TRUE,Table1[[#This Row],[First 
Name]:[Last 
Name]])</f>
        <v>Randy Lopez</v>
      </c>
      <c r="E842" t="s">
        <v>1952</v>
      </c>
      <c r="F842" t="s">
        <v>3244</v>
      </c>
      <c r="G842" t="str">
        <f ca="1">PROPER(Table1[[#This Row],[Part Time 
Job]])</f>
        <v>False</v>
      </c>
      <c r="H842" s="3">
        <v>2</v>
      </c>
      <c r="I842" t="str">
        <f ca="1">PROPER(Table1[[#This Row],[Extracurricular 
Activities]])</f>
        <v>False</v>
      </c>
      <c r="J842">
        <v>26</v>
      </c>
      <c r="K842" t="s">
        <v>3112</v>
      </c>
      <c r="L842">
        <v>97</v>
      </c>
      <c r="M842" s="12" t="str" cm="1">
        <f t="array" ref="M84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842">
        <v>100</v>
      </c>
      <c r="O842" s="13" t="str" cm="1">
        <f t="array" ref="O84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842">
        <v>87</v>
      </c>
      <c r="Q842" s="13" t="str" cm="1">
        <f t="array" ref="Q84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842">
        <v>90</v>
      </c>
      <c r="S842" t="str" cm="1">
        <f t="array" ref="S84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842">
        <v>96</v>
      </c>
      <c r="U842" t="str" cm="1">
        <f t="array" ref="U84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842">
        <v>86</v>
      </c>
      <c r="W842" t="str" cm="1">
        <f t="array" ref="W84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842">
        <v>93</v>
      </c>
      <c r="Y842" t="str" cm="1">
        <f t="array" ref="Y84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842">
        <f>SUM(Table1[[#This Row],[Math 
Score]],Table1[[#This Row],[History 
Score]],Table1[[#This Row],[Physics 
Score]],Table1[[#This Row],[Chemistry 
Score]],Table1[[#This Row],[Biology 
Score]],Table1[[#This Row],[English 
Score]],Table1[[#This Row],[Geography 
Score]])</f>
        <v>649</v>
      </c>
      <c r="AA842" s="3">
        <f>AVERAGE(Table1[[#This Row],[Math 
Score]],Table1[[#This Row],[History 
Score]],Table1[[#This Row],[Physics 
Score]],Table1[[#This Row],[Chemistry 
Score]],Table1[[#This Row],[Biology 
Score]],Table1[[#This Row],[English 
Score]],Table1[[#This Row],[Geography 
Score]])</f>
        <v>92.714285714285708</v>
      </c>
      <c r="AB84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842">
        <f t="shared" si="13"/>
        <v>62</v>
      </c>
      <c r="AD842" t="str">
        <f>_xlfn.IFS(Table1[[#This Row],[Absence 
Days]]&lt;3,"Excellent",Table1[[#This Row],[Absence 
Days]]&lt;=6,"Good",Table1[[#This Row],[Absence 
Days]]&gt;6,"Poor")</f>
        <v>Excellent</v>
      </c>
    </row>
    <row r="843" spans="1:30" x14ac:dyDescent="0.35">
      <c r="A843">
        <v>842</v>
      </c>
      <c r="B843" s="2" t="s">
        <v>40</v>
      </c>
      <c r="C843" t="s">
        <v>490</v>
      </c>
      <c r="D843" t="str">
        <f>_xlfn.TEXTJOIN(" ",TRUE,Table1[[#This Row],[First 
Name]:[Last 
Name]])</f>
        <v>David Cole</v>
      </c>
      <c r="E843" t="s">
        <v>1953</v>
      </c>
      <c r="F843" t="s">
        <v>3244</v>
      </c>
      <c r="G843" t="str">
        <f ca="1">PROPER(Table1[[#This Row],[Part Time 
Job]])</f>
        <v>False</v>
      </c>
      <c r="H843" s="3">
        <v>7</v>
      </c>
      <c r="I843" t="str">
        <f ca="1">PROPER(Table1[[#This Row],[Extracurricular 
Activities]])</f>
        <v>False</v>
      </c>
      <c r="J843">
        <v>31</v>
      </c>
      <c r="K843" t="s">
        <v>3125</v>
      </c>
      <c r="L843">
        <v>80</v>
      </c>
      <c r="M843" s="12" t="str" cm="1">
        <f t="array" ref="M84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843">
        <v>87</v>
      </c>
      <c r="O843" s="13" t="str" cm="1">
        <f t="array" ref="O84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843">
        <v>94</v>
      </c>
      <c r="Q843" s="13" t="str" cm="1">
        <f t="array" ref="Q84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843">
        <v>68</v>
      </c>
      <c r="S843" t="str" cm="1">
        <f t="array" ref="S84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843">
        <v>89</v>
      </c>
      <c r="U843" t="str" cm="1">
        <f t="array" ref="U84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843">
        <v>82</v>
      </c>
      <c r="W843" t="str" cm="1">
        <f t="array" ref="W84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843">
        <v>76</v>
      </c>
      <c r="Y843" t="str" cm="1">
        <f t="array" ref="Y84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843">
        <f>SUM(Table1[[#This Row],[Math 
Score]],Table1[[#This Row],[History 
Score]],Table1[[#This Row],[Physics 
Score]],Table1[[#This Row],[Chemistry 
Score]],Table1[[#This Row],[Biology 
Score]],Table1[[#This Row],[English 
Score]],Table1[[#This Row],[Geography 
Score]])</f>
        <v>576</v>
      </c>
      <c r="AA843" s="3">
        <f>AVERAGE(Table1[[#This Row],[Math 
Score]],Table1[[#This Row],[History 
Score]],Table1[[#This Row],[Physics 
Score]],Table1[[#This Row],[Chemistry 
Score]],Table1[[#This Row],[Biology 
Score]],Table1[[#This Row],[English 
Score]],Table1[[#This Row],[Geography 
Score]])</f>
        <v>82.285714285714292</v>
      </c>
      <c r="AB84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843">
        <f t="shared" si="13"/>
        <v>789</v>
      </c>
      <c r="AD843" t="str">
        <f>_xlfn.IFS(Table1[[#This Row],[Absence 
Days]]&lt;3,"Excellent",Table1[[#This Row],[Absence 
Days]]&lt;=6,"Good",Table1[[#This Row],[Absence 
Days]]&gt;6,"Poor")</f>
        <v>Poor</v>
      </c>
    </row>
    <row r="844" spans="1:30" x14ac:dyDescent="0.35">
      <c r="A844">
        <v>843</v>
      </c>
      <c r="B844" s="2" t="s">
        <v>50</v>
      </c>
      <c r="C844" t="s">
        <v>660</v>
      </c>
      <c r="D844" t="str">
        <f>_xlfn.TEXTJOIN(" ",TRUE,Table1[[#This Row],[First 
Name]:[Last 
Name]])</f>
        <v>Jennifer Baxter</v>
      </c>
      <c r="E844" t="s">
        <v>1954</v>
      </c>
      <c r="F844" t="s">
        <v>3245</v>
      </c>
      <c r="G844" t="str">
        <f ca="1">PROPER(Table1[[#This Row],[Part Time 
Job]])</f>
        <v>False</v>
      </c>
      <c r="H844" s="3">
        <v>4</v>
      </c>
      <c r="I844" t="str">
        <f ca="1">PROPER(Table1[[#This Row],[Extracurricular 
Activities]])</f>
        <v>False</v>
      </c>
      <c r="J844">
        <v>20</v>
      </c>
      <c r="K844" t="s">
        <v>3117</v>
      </c>
      <c r="L844">
        <v>88</v>
      </c>
      <c r="M844" s="12" t="str" cm="1">
        <f t="array" ref="M84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844">
        <v>62</v>
      </c>
      <c r="O844" s="13" t="str" cm="1">
        <f t="array" ref="O84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844">
        <v>91</v>
      </c>
      <c r="Q844" s="13" t="str" cm="1">
        <f t="array" ref="Q84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844">
        <v>83</v>
      </c>
      <c r="S844" t="str" cm="1">
        <f t="array" ref="S84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844">
        <v>97</v>
      </c>
      <c r="U844" t="str" cm="1">
        <f t="array" ref="U84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844">
        <v>83</v>
      </c>
      <c r="W844" t="str" cm="1">
        <f t="array" ref="W84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844">
        <v>63</v>
      </c>
      <c r="Y844" t="str" cm="1">
        <f t="array" ref="Y84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844">
        <f>SUM(Table1[[#This Row],[Math 
Score]],Table1[[#This Row],[History 
Score]],Table1[[#This Row],[Physics 
Score]],Table1[[#This Row],[Chemistry 
Score]],Table1[[#This Row],[Biology 
Score]],Table1[[#This Row],[English 
Score]],Table1[[#This Row],[Geography 
Score]])</f>
        <v>567</v>
      </c>
      <c r="AA844" s="3">
        <f>AVERAGE(Table1[[#This Row],[Math 
Score]],Table1[[#This Row],[History 
Score]],Table1[[#This Row],[Physics 
Score]],Table1[[#This Row],[Chemistry 
Score]],Table1[[#This Row],[Biology 
Score]],Table1[[#This Row],[English 
Score]],Table1[[#This Row],[Geography 
Score]])</f>
        <v>81</v>
      </c>
      <c r="AB84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844">
        <f t="shared" si="13"/>
        <v>994</v>
      </c>
      <c r="AD844" t="str">
        <f>_xlfn.IFS(Table1[[#This Row],[Absence 
Days]]&lt;3,"Excellent",Table1[[#This Row],[Absence 
Days]]&lt;=6,"Good",Table1[[#This Row],[Absence 
Days]]&gt;6,"Poor")</f>
        <v>Good</v>
      </c>
    </row>
    <row r="845" spans="1:30" x14ac:dyDescent="0.35">
      <c r="A845">
        <v>844</v>
      </c>
      <c r="B845" s="2" t="s">
        <v>21</v>
      </c>
      <c r="C845" t="s">
        <v>858</v>
      </c>
      <c r="D845" t="str">
        <f>_xlfn.TEXTJOIN(" ",TRUE,Table1[[#This Row],[First 
Name]:[Last 
Name]])</f>
        <v>Shannon Graham</v>
      </c>
      <c r="E845" t="s">
        <v>1955</v>
      </c>
      <c r="F845" t="s">
        <v>3245</v>
      </c>
      <c r="G845" t="str">
        <f ca="1">PROPER(Table1[[#This Row],[Part Time 
Job]])</f>
        <v>False</v>
      </c>
      <c r="H845" s="3">
        <v>1</v>
      </c>
      <c r="I845" t="str">
        <f ca="1">PROPER(Table1[[#This Row],[Extracurricular 
Activities]])</f>
        <v>False</v>
      </c>
      <c r="J845">
        <v>9</v>
      </c>
      <c r="K845" t="s">
        <v>3116</v>
      </c>
      <c r="L845">
        <v>95</v>
      </c>
      <c r="M845" s="12" t="str" cm="1">
        <f t="array" ref="M84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845">
        <v>72</v>
      </c>
      <c r="O845" s="13" t="str" cm="1">
        <f t="array" ref="O84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845">
        <v>99</v>
      </c>
      <c r="Q845" s="13" t="str" cm="1">
        <f t="array" ref="Q84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845">
        <v>67</v>
      </c>
      <c r="S845" t="str" cm="1">
        <f t="array" ref="S84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845">
        <v>83</v>
      </c>
      <c r="U845" t="str" cm="1">
        <f t="array" ref="U84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845">
        <v>78</v>
      </c>
      <c r="W845" t="str" cm="1">
        <f t="array" ref="W84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845">
        <v>65</v>
      </c>
      <c r="Y845" t="str" cm="1">
        <f t="array" ref="Y84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845">
        <f>SUM(Table1[[#This Row],[Math 
Score]],Table1[[#This Row],[History 
Score]],Table1[[#This Row],[Physics 
Score]],Table1[[#This Row],[Chemistry 
Score]],Table1[[#This Row],[Biology 
Score]],Table1[[#This Row],[English 
Score]],Table1[[#This Row],[Geography 
Score]])</f>
        <v>559</v>
      </c>
      <c r="AA845" s="3">
        <f>AVERAGE(Table1[[#This Row],[Math 
Score]],Table1[[#This Row],[History 
Score]],Table1[[#This Row],[Physics 
Score]],Table1[[#This Row],[Chemistry 
Score]],Table1[[#This Row],[Biology 
Score]],Table1[[#This Row],[English 
Score]],Table1[[#This Row],[Geography 
Score]])</f>
        <v>79.857142857142861</v>
      </c>
      <c r="AB84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845">
        <f t="shared" si="13"/>
        <v>1155</v>
      </c>
      <c r="AD845" t="str">
        <f>_xlfn.IFS(Table1[[#This Row],[Absence 
Days]]&lt;3,"Excellent",Table1[[#This Row],[Absence 
Days]]&lt;=6,"Good",Table1[[#This Row],[Absence 
Days]]&gt;6,"Poor")</f>
        <v>Excellent</v>
      </c>
    </row>
    <row r="846" spans="1:30" x14ac:dyDescent="0.35">
      <c r="A846">
        <v>845</v>
      </c>
      <c r="B846" s="2" t="s">
        <v>237</v>
      </c>
      <c r="C846" t="s">
        <v>877</v>
      </c>
      <c r="D846" t="str">
        <f>_xlfn.TEXTJOIN(" ",TRUE,Table1[[#This Row],[First 
Name]:[Last 
Name]])</f>
        <v>Stephanie Bush</v>
      </c>
      <c r="E846" t="s">
        <v>1956</v>
      </c>
      <c r="F846" t="s">
        <v>3245</v>
      </c>
      <c r="G846" t="str">
        <f ca="1">PROPER(Table1[[#This Row],[Part Time 
Job]])</f>
        <v>False</v>
      </c>
      <c r="H846" s="3">
        <v>10</v>
      </c>
      <c r="I846" t="str">
        <f ca="1">PROPER(Table1[[#This Row],[Extracurricular 
Activities]])</f>
        <v>True</v>
      </c>
      <c r="J846">
        <v>15</v>
      </c>
      <c r="K846" t="s">
        <v>3117</v>
      </c>
      <c r="L846">
        <v>90</v>
      </c>
      <c r="M846" s="12" t="str" cm="1">
        <f t="array" ref="M84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846">
        <v>81</v>
      </c>
      <c r="O846" s="13" t="str" cm="1">
        <f t="array" ref="O84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846">
        <v>69</v>
      </c>
      <c r="Q846" s="13" t="str" cm="1">
        <f t="array" ref="Q84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846">
        <v>70</v>
      </c>
      <c r="S846" t="str" cm="1">
        <f t="array" ref="S84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846">
        <v>95</v>
      </c>
      <c r="U846" t="str" cm="1">
        <f t="array" ref="U84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846">
        <v>97</v>
      </c>
      <c r="W846" t="str" cm="1">
        <f t="array" ref="W84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846">
        <v>62</v>
      </c>
      <c r="Y846" t="str" cm="1">
        <f t="array" ref="Y84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846">
        <f>SUM(Table1[[#This Row],[Math 
Score]],Table1[[#This Row],[History 
Score]],Table1[[#This Row],[Physics 
Score]],Table1[[#This Row],[Chemistry 
Score]],Table1[[#This Row],[Biology 
Score]],Table1[[#This Row],[English 
Score]],Table1[[#This Row],[Geography 
Score]])</f>
        <v>564</v>
      </c>
      <c r="AA846" s="3">
        <f>AVERAGE(Table1[[#This Row],[Math 
Score]],Table1[[#This Row],[History 
Score]],Table1[[#This Row],[Physics 
Score]],Table1[[#This Row],[Chemistry 
Score]],Table1[[#This Row],[Biology 
Score]],Table1[[#This Row],[English 
Score]],Table1[[#This Row],[Geography 
Score]])</f>
        <v>80.571428571428569</v>
      </c>
      <c r="AB84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846">
        <f t="shared" si="13"/>
        <v>1056</v>
      </c>
      <c r="AD846" t="str">
        <f>_xlfn.IFS(Table1[[#This Row],[Absence 
Days]]&lt;3,"Excellent",Table1[[#This Row],[Absence 
Days]]&lt;=6,"Good",Table1[[#This Row],[Absence 
Days]]&gt;6,"Poor")</f>
        <v>Poor</v>
      </c>
    </row>
    <row r="847" spans="1:30" x14ac:dyDescent="0.35">
      <c r="A847">
        <v>846</v>
      </c>
      <c r="B847" s="2" t="s">
        <v>152</v>
      </c>
      <c r="C847" t="s">
        <v>878</v>
      </c>
      <c r="D847" t="str">
        <f>_xlfn.TEXTJOIN(" ",TRUE,Table1[[#This Row],[First 
Name]:[Last 
Name]])</f>
        <v>Keith Tanner</v>
      </c>
      <c r="E847" t="s">
        <v>1957</v>
      </c>
      <c r="F847" t="s">
        <v>3244</v>
      </c>
      <c r="G847" t="str">
        <f ca="1">PROPER(Table1[[#This Row],[Part Time 
Job]])</f>
        <v>False</v>
      </c>
      <c r="H847" s="3">
        <v>10</v>
      </c>
      <c r="I847" t="str">
        <f ca="1">PROPER(Table1[[#This Row],[Extracurricular 
Activities]])</f>
        <v>False</v>
      </c>
      <c r="J847">
        <v>1</v>
      </c>
      <c r="K847" t="s">
        <v>3119</v>
      </c>
      <c r="L847">
        <v>77</v>
      </c>
      <c r="M847" s="12" t="str" cm="1">
        <f t="array" ref="M84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847">
        <v>89</v>
      </c>
      <c r="O847" s="13" t="str" cm="1">
        <f t="array" ref="O84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847">
        <v>50</v>
      </c>
      <c r="Q847" s="13" t="str" cm="1">
        <f t="array" ref="Q84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C</v>
      </c>
      <c r="R847">
        <v>82</v>
      </c>
      <c r="S847" t="str" cm="1">
        <f t="array" ref="S84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847">
        <v>71</v>
      </c>
      <c r="U847" t="str" cm="1">
        <f t="array" ref="U84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847">
        <v>78</v>
      </c>
      <c r="W847" t="str" cm="1">
        <f t="array" ref="W84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847">
        <v>70</v>
      </c>
      <c r="Y847" t="str" cm="1">
        <f t="array" ref="Y84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847">
        <f>SUM(Table1[[#This Row],[Math 
Score]],Table1[[#This Row],[History 
Score]],Table1[[#This Row],[Physics 
Score]],Table1[[#This Row],[Chemistry 
Score]],Table1[[#This Row],[Biology 
Score]],Table1[[#This Row],[English 
Score]],Table1[[#This Row],[Geography 
Score]])</f>
        <v>517</v>
      </c>
      <c r="AA847" s="3">
        <f>AVERAGE(Table1[[#This Row],[Math 
Score]],Table1[[#This Row],[History 
Score]],Table1[[#This Row],[Physics 
Score]],Table1[[#This Row],[Chemistry 
Score]],Table1[[#This Row],[Biology 
Score]],Table1[[#This Row],[English 
Score]],Table1[[#This Row],[Geography 
Score]])</f>
        <v>73.857142857142861</v>
      </c>
      <c r="AB84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847">
        <f t="shared" si="13"/>
        <v>1781</v>
      </c>
      <c r="AD847" t="str">
        <f>_xlfn.IFS(Table1[[#This Row],[Absence 
Days]]&lt;3,"Excellent",Table1[[#This Row],[Absence 
Days]]&lt;=6,"Good",Table1[[#This Row],[Absence 
Days]]&gt;6,"Poor")</f>
        <v>Poor</v>
      </c>
    </row>
    <row r="848" spans="1:30" x14ac:dyDescent="0.35">
      <c r="A848">
        <v>847</v>
      </c>
      <c r="B848" s="2" t="s">
        <v>74</v>
      </c>
      <c r="C848" t="s">
        <v>673</v>
      </c>
      <c r="D848" t="str">
        <f>_xlfn.TEXTJOIN(" ",TRUE,Table1[[#This Row],[First 
Name]:[Last 
Name]])</f>
        <v>Robert Anderson</v>
      </c>
      <c r="E848" t="s">
        <v>1958</v>
      </c>
      <c r="F848" t="s">
        <v>3244</v>
      </c>
      <c r="G848" t="str">
        <f ca="1">PROPER(Table1[[#This Row],[Part Time 
Job]])</f>
        <v>True</v>
      </c>
      <c r="H848" s="3">
        <v>1</v>
      </c>
      <c r="I848" t="str">
        <f ca="1">PROPER(Table1[[#This Row],[Extracurricular 
Activities]])</f>
        <v>True</v>
      </c>
      <c r="J848">
        <v>4</v>
      </c>
      <c r="K848" t="s">
        <v>3119</v>
      </c>
      <c r="L848">
        <v>82</v>
      </c>
      <c r="M848" s="12" t="str" cm="1">
        <f t="array" ref="M84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848">
        <v>69</v>
      </c>
      <c r="O848" s="13" t="str" cm="1">
        <f t="array" ref="O84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848">
        <v>91</v>
      </c>
      <c r="Q848" s="13" t="str" cm="1">
        <f t="array" ref="Q84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848">
        <v>95</v>
      </c>
      <c r="S848" t="str" cm="1">
        <f t="array" ref="S84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848">
        <v>82</v>
      </c>
      <c r="U848" t="str" cm="1">
        <f t="array" ref="U84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848">
        <v>85</v>
      </c>
      <c r="W848" t="str" cm="1">
        <f t="array" ref="W84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848">
        <v>60</v>
      </c>
      <c r="Y848" t="str" cm="1">
        <f t="array" ref="Y84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848">
        <f>SUM(Table1[[#This Row],[Math 
Score]],Table1[[#This Row],[History 
Score]],Table1[[#This Row],[Physics 
Score]],Table1[[#This Row],[Chemistry 
Score]],Table1[[#This Row],[Biology 
Score]],Table1[[#This Row],[English 
Score]],Table1[[#This Row],[Geography 
Score]])</f>
        <v>564</v>
      </c>
      <c r="AA848" s="3">
        <f>AVERAGE(Table1[[#This Row],[Math 
Score]],Table1[[#This Row],[History 
Score]],Table1[[#This Row],[Physics 
Score]],Table1[[#This Row],[Chemistry 
Score]],Table1[[#This Row],[Biology 
Score]],Table1[[#This Row],[English 
Score]],Table1[[#This Row],[Geography 
Score]])</f>
        <v>80.571428571428569</v>
      </c>
      <c r="AB84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848">
        <f t="shared" si="13"/>
        <v>1056</v>
      </c>
      <c r="AD848" t="str">
        <f>_xlfn.IFS(Table1[[#This Row],[Absence 
Days]]&lt;3,"Excellent",Table1[[#This Row],[Absence 
Days]]&lt;=6,"Good",Table1[[#This Row],[Absence 
Days]]&gt;6,"Poor")</f>
        <v>Excellent</v>
      </c>
    </row>
    <row r="849" spans="1:30" x14ac:dyDescent="0.35">
      <c r="A849">
        <v>848</v>
      </c>
      <c r="B849" s="2" t="s">
        <v>110</v>
      </c>
      <c r="C849" t="s">
        <v>879</v>
      </c>
      <c r="D849" t="str">
        <f>_xlfn.TEXTJOIN(" ",TRUE,Table1[[#This Row],[First 
Name]:[Last 
Name]])</f>
        <v>Matthew Cantu</v>
      </c>
      <c r="E849" t="s">
        <v>1959</v>
      </c>
      <c r="F849" t="s">
        <v>3244</v>
      </c>
      <c r="G849" t="str">
        <f ca="1">PROPER(Table1[[#This Row],[Part Time 
Job]])</f>
        <v>False</v>
      </c>
      <c r="H849" s="3">
        <v>3</v>
      </c>
      <c r="I849" t="str">
        <f ca="1">PROPER(Table1[[#This Row],[Extracurricular 
Activities]])</f>
        <v>True</v>
      </c>
      <c r="J849">
        <v>2</v>
      </c>
      <c r="K849" t="s">
        <v>3128</v>
      </c>
      <c r="L849">
        <v>90</v>
      </c>
      <c r="M849" s="12" t="str" cm="1">
        <f t="array" ref="M84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849">
        <v>74</v>
      </c>
      <c r="O849" s="13" t="str" cm="1">
        <f t="array" ref="O84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849">
        <v>88</v>
      </c>
      <c r="Q849" s="13" t="str" cm="1">
        <f t="array" ref="Q84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849">
        <v>97</v>
      </c>
      <c r="S849" t="str" cm="1">
        <f t="array" ref="S84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849">
        <v>88</v>
      </c>
      <c r="U849" t="str" cm="1">
        <f t="array" ref="U84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849">
        <v>73</v>
      </c>
      <c r="W849" t="str" cm="1">
        <f t="array" ref="W84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849">
        <v>66</v>
      </c>
      <c r="Y849" t="str" cm="1">
        <f t="array" ref="Y84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849">
        <f>SUM(Table1[[#This Row],[Math 
Score]],Table1[[#This Row],[History 
Score]],Table1[[#This Row],[Physics 
Score]],Table1[[#This Row],[Chemistry 
Score]],Table1[[#This Row],[Biology 
Score]],Table1[[#This Row],[English 
Score]],Table1[[#This Row],[Geography 
Score]])</f>
        <v>576</v>
      </c>
      <c r="AA849" s="3">
        <f>AVERAGE(Table1[[#This Row],[Math 
Score]],Table1[[#This Row],[History 
Score]],Table1[[#This Row],[Physics 
Score]],Table1[[#This Row],[Chemistry 
Score]],Table1[[#This Row],[Biology 
Score]],Table1[[#This Row],[English 
Score]],Table1[[#This Row],[Geography 
Score]])</f>
        <v>82.285714285714292</v>
      </c>
      <c r="AB84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849">
        <f t="shared" si="13"/>
        <v>789</v>
      </c>
      <c r="AD849" t="str">
        <f>_xlfn.IFS(Table1[[#This Row],[Absence 
Days]]&lt;3,"Excellent",Table1[[#This Row],[Absence 
Days]]&lt;=6,"Good",Table1[[#This Row],[Absence 
Days]]&gt;6,"Poor")</f>
        <v>Good</v>
      </c>
    </row>
    <row r="850" spans="1:30" x14ac:dyDescent="0.35">
      <c r="A850">
        <v>849</v>
      </c>
      <c r="B850" s="2" t="s">
        <v>178</v>
      </c>
      <c r="C850" t="s">
        <v>592</v>
      </c>
      <c r="D850" t="str">
        <f>_xlfn.TEXTJOIN(" ",TRUE,Table1[[#This Row],[First 
Name]:[Last 
Name]])</f>
        <v>Heather Johnson</v>
      </c>
      <c r="E850" t="s">
        <v>1960</v>
      </c>
      <c r="F850" t="s">
        <v>3245</v>
      </c>
      <c r="G850" t="str">
        <f ca="1">PROPER(Table1[[#This Row],[Part Time 
Job]])</f>
        <v>False</v>
      </c>
      <c r="H850" s="3">
        <v>5</v>
      </c>
      <c r="I850" t="str">
        <f ca="1">PROPER(Table1[[#This Row],[Extracurricular 
Activities]])</f>
        <v>False</v>
      </c>
      <c r="J850">
        <v>32</v>
      </c>
      <c r="K850" t="s">
        <v>3117</v>
      </c>
      <c r="L850">
        <v>94</v>
      </c>
      <c r="M850" s="12" t="str" cm="1">
        <f t="array" ref="M85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850">
        <v>90</v>
      </c>
      <c r="O850" s="13" t="str" cm="1">
        <f t="array" ref="O85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850">
        <v>81</v>
      </c>
      <c r="Q850" s="13" t="str" cm="1">
        <f t="array" ref="Q85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850">
        <v>82</v>
      </c>
      <c r="S850" t="str" cm="1">
        <f t="array" ref="S85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850">
        <v>100</v>
      </c>
      <c r="U850" t="str" cm="1">
        <f t="array" ref="U85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850">
        <v>82</v>
      </c>
      <c r="W850" t="str" cm="1">
        <f t="array" ref="W85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850">
        <v>98</v>
      </c>
      <c r="Y850" t="str" cm="1">
        <f t="array" ref="Y85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850">
        <f>SUM(Table1[[#This Row],[Math 
Score]],Table1[[#This Row],[History 
Score]],Table1[[#This Row],[Physics 
Score]],Table1[[#This Row],[Chemistry 
Score]],Table1[[#This Row],[Biology 
Score]],Table1[[#This Row],[English 
Score]],Table1[[#This Row],[Geography 
Score]])</f>
        <v>627</v>
      </c>
      <c r="AA850" s="3">
        <f>AVERAGE(Table1[[#This Row],[Math 
Score]],Table1[[#This Row],[History 
Score]],Table1[[#This Row],[Physics 
Score]],Table1[[#This Row],[Chemistry 
Score]],Table1[[#This Row],[Biology 
Score]],Table1[[#This Row],[English 
Score]],Table1[[#This Row],[Geography 
Score]])</f>
        <v>89.571428571428569</v>
      </c>
      <c r="AB85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850">
        <f t="shared" si="13"/>
        <v>168</v>
      </c>
      <c r="AD850" t="str">
        <f>_xlfn.IFS(Table1[[#This Row],[Absence 
Days]]&lt;3,"Excellent",Table1[[#This Row],[Absence 
Days]]&lt;=6,"Good",Table1[[#This Row],[Absence 
Days]]&gt;6,"Poor")</f>
        <v>Good</v>
      </c>
    </row>
    <row r="851" spans="1:30" x14ac:dyDescent="0.35">
      <c r="A851">
        <v>850</v>
      </c>
      <c r="B851" s="2" t="s">
        <v>326</v>
      </c>
      <c r="C851" t="s">
        <v>188</v>
      </c>
      <c r="D851" t="str">
        <f>_xlfn.TEXTJOIN(" ",TRUE,Table1[[#This Row],[First 
Name]:[Last 
Name]])</f>
        <v>Lee Taylor</v>
      </c>
      <c r="E851" t="s">
        <v>1961</v>
      </c>
      <c r="F851" t="s">
        <v>3244</v>
      </c>
      <c r="G851" t="str">
        <f ca="1">PROPER(Table1[[#This Row],[Part Time 
Job]])</f>
        <v>True</v>
      </c>
      <c r="H851" s="3">
        <v>7</v>
      </c>
      <c r="I851" t="str">
        <f ca="1">PROPER(Table1[[#This Row],[Extracurricular 
Activities]])</f>
        <v>False</v>
      </c>
      <c r="J851">
        <v>2</v>
      </c>
      <c r="K851" t="s">
        <v>3119</v>
      </c>
      <c r="L851">
        <v>87</v>
      </c>
      <c r="M851" s="12" t="str" cm="1">
        <f t="array" ref="M85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851">
        <v>84</v>
      </c>
      <c r="O851" s="13" t="str" cm="1">
        <f t="array" ref="O85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851">
        <v>76</v>
      </c>
      <c r="Q851" s="13" t="str" cm="1">
        <f t="array" ref="Q85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851">
        <v>87</v>
      </c>
      <c r="S851" t="str" cm="1">
        <f t="array" ref="S85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851">
        <v>65</v>
      </c>
      <c r="U851" t="str" cm="1">
        <f t="array" ref="U85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851">
        <v>80</v>
      </c>
      <c r="W851" t="str" cm="1">
        <f t="array" ref="W85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851">
        <v>72</v>
      </c>
      <c r="Y851" t="str" cm="1">
        <f t="array" ref="Y85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851">
        <f>SUM(Table1[[#This Row],[Math 
Score]],Table1[[#This Row],[History 
Score]],Table1[[#This Row],[Physics 
Score]],Table1[[#This Row],[Chemistry 
Score]],Table1[[#This Row],[Biology 
Score]],Table1[[#This Row],[English 
Score]],Table1[[#This Row],[Geography 
Score]])</f>
        <v>551</v>
      </c>
      <c r="AA851" s="3">
        <f>AVERAGE(Table1[[#This Row],[Math 
Score]],Table1[[#This Row],[History 
Score]],Table1[[#This Row],[Physics 
Score]],Table1[[#This Row],[Chemistry 
Score]],Table1[[#This Row],[Biology 
Score]],Table1[[#This Row],[English 
Score]],Table1[[#This Row],[Geography 
Score]])</f>
        <v>78.714285714285708</v>
      </c>
      <c r="AB85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851">
        <f t="shared" si="13"/>
        <v>1317</v>
      </c>
      <c r="AD851" t="str">
        <f>_xlfn.IFS(Table1[[#This Row],[Absence 
Days]]&lt;3,"Excellent",Table1[[#This Row],[Absence 
Days]]&lt;=6,"Good",Table1[[#This Row],[Absence 
Days]]&gt;6,"Poor")</f>
        <v>Poor</v>
      </c>
    </row>
    <row r="852" spans="1:30" x14ac:dyDescent="0.35">
      <c r="A852">
        <v>851</v>
      </c>
      <c r="B852" s="2" t="s">
        <v>102</v>
      </c>
      <c r="C852" t="s">
        <v>475</v>
      </c>
      <c r="D852" t="str">
        <f>_xlfn.TEXTJOIN(" ",TRUE,Table1[[#This Row],[First 
Name]:[Last 
Name]])</f>
        <v>Jessica Williams</v>
      </c>
      <c r="E852" t="s">
        <v>1962</v>
      </c>
      <c r="F852" t="s">
        <v>3245</v>
      </c>
      <c r="G852" t="str">
        <f ca="1">PROPER(Table1[[#This Row],[Part Time 
Job]])</f>
        <v>True</v>
      </c>
      <c r="H852" s="3">
        <v>1</v>
      </c>
      <c r="I852" t="str">
        <f ca="1">PROPER(Table1[[#This Row],[Extracurricular 
Activities]])</f>
        <v>False</v>
      </c>
      <c r="J852">
        <v>2</v>
      </c>
      <c r="K852" t="s">
        <v>3126</v>
      </c>
      <c r="L852">
        <v>86</v>
      </c>
      <c r="M852" s="12" t="str" cm="1">
        <f t="array" ref="M85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852">
        <v>66</v>
      </c>
      <c r="O852" s="13" t="str" cm="1">
        <f t="array" ref="O85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852">
        <v>88</v>
      </c>
      <c r="Q852" s="13" t="str" cm="1">
        <f t="array" ref="Q85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852">
        <v>98</v>
      </c>
      <c r="S852" t="str" cm="1">
        <f t="array" ref="S85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852">
        <v>68</v>
      </c>
      <c r="U852" t="str" cm="1">
        <f t="array" ref="U85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852">
        <v>79</v>
      </c>
      <c r="W852" t="str" cm="1">
        <f t="array" ref="W85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852">
        <v>77</v>
      </c>
      <c r="Y852" t="str" cm="1">
        <f t="array" ref="Y85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852">
        <f>SUM(Table1[[#This Row],[Math 
Score]],Table1[[#This Row],[History 
Score]],Table1[[#This Row],[Physics 
Score]],Table1[[#This Row],[Chemistry 
Score]],Table1[[#This Row],[Biology 
Score]],Table1[[#This Row],[English 
Score]],Table1[[#This Row],[Geography 
Score]])</f>
        <v>562</v>
      </c>
      <c r="AA852" s="3">
        <f>AVERAGE(Table1[[#This Row],[Math 
Score]],Table1[[#This Row],[History 
Score]],Table1[[#This Row],[Physics 
Score]],Table1[[#This Row],[Chemistry 
Score]],Table1[[#This Row],[Biology 
Score]],Table1[[#This Row],[English 
Score]],Table1[[#This Row],[Geography 
Score]])</f>
        <v>80.285714285714292</v>
      </c>
      <c r="AB85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852">
        <f t="shared" si="13"/>
        <v>1099</v>
      </c>
      <c r="AD852" t="str">
        <f>_xlfn.IFS(Table1[[#This Row],[Absence 
Days]]&lt;3,"Excellent",Table1[[#This Row],[Absence 
Days]]&lt;=6,"Good",Table1[[#This Row],[Absence 
Days]]&gt;6,"Poor")</f>
        <v>Excellent</v>
      </c>
    </row>
    <row r="853" spans="1:30" x14ac:dyDescent="0.35">
      <c r="A853">
        <v>852</v>
      </c>
      <c r="B853" s="2" t="s">
        <v>159</v>
      </c>
      <c r="C853" t="s">
        <v>571</v>
      </c>
      <c r="D853" t="str">
        <f>_xlfn.TEXTJOIN(" ",TRUE,Table1[[#This Row],[First 
Name]:[Last 
Name]])</f>
        <v>Holly Sanchez</v>
      </c>
      <c r="E853" t="s">
        <v>1963</v>
      </c>
      <c r="F853" t="s">
        <v>3245</v>
      </c>
      <c r="G853" t="str">
        <f ca="1">PROPER(Table1[[#This Row],[Part Time 
Job]])</f>
        <v>False</v>
      </c>
      <c r="H853" s="3">
        <v>6</v>
      </c>
      <c r="I853" t="str">
        <f ca="1">PROPER(Table1[[#This Row],[Extracurricular 
Activities]])</f>
        <v>False</v>
      </c>
      <c r="J853">
        <v>19</v>
      </c>
      <c r="K853" t="s">
        <v>3121</v>
      </c>
      <c r="L853">
        <v>84</v>
      </c>
      <c r="M853" s="12" t="str" cm="1">
        <f t="array" ref="M85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853">
        <v>85</v>
      </c>
      <c r="O853" s="13" t="str" cm="1">
        <f t="array" ref="O85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853">
        <v>83</v>
      </c>
      <c r="Q853" s="13" t="str" cm="1">
        <f t="array" ref="Q85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853">
        <v>69</v>
      </c>
      <c r="S853" t="str" cm="1">
        <f t="array" ref="S85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853">
        <v>82</v>
      </c>
      <c r="U853" t="str" cm="1">
        <f t="array" ref="U85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853">
        <v>91</v>
      </c>
      <c r="W853" t="str" cm="1">
        <f t="array" ref="W85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853">
        <v>69</v>
      </c>
      <c r="Y853" t="str" cm="1">
        <f t="array" ref="Y85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853">
        <f>SUM(Table1[[#This Row],[Math 
Score]],Table1[[#This Row],[History 
Score]],Table1[[#This Row],[Physics 
Score]],Table1[[#This Row],[Chemistry 
Score]],Table1[[#This Row],[Biology 
Score]],Table1[[#This Row],[English 
Score]],Table1[[#This Row],[Geography 
Score]])</f>
        <v>563</v>
      </c>
      <c r="AA853" s="3">
        <f>AVERAGE(Table1[[#This Row],[Math 
Score]],Table1[[#This Row],[History 
Score]],Table1[[#This Row],[Physics 
Score]],Table1[[#This Row],[Chemistry 
Score]],Table1[[#This Row],[Biology 
Score]],Table1[[#This Row],[English 
Score]],Table1[[#This Row],[Geography 
Score]])</f>
        <v>80.428571428571431</v>
      </c>
      <c r="AB85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853">
        <f t="shared" si="13"/>
        <v>1077</v>
      </c>
      <c r="AD853" t="str">
        <f>_xlfn.IFS(Table1[[#This Row],[Absence 
Days]]&lt;3,"Excellent",Table1[[#This Row],[Absence 
Days]]&lt;=6,"Good",Table1[[#This Row],[Absence 
Days]]&gt;6,"Poor")</f>
        <v>Good</v>
      </c>
    </row>
    <row r="854" spans="1:30" x14ac:dyDescent="0.35">
      <c r="A854">
        <v>853</v>
      </c>
      <c r="B854" s="2" t="s">
        <v>71</v>
      </c>
      <c r="C854" t="s">
        <v>342</v>
      </c>
      <c r="D854" t="str">
        <f>_xlfn.TEXTJOIN(" ",TRUE,Table1[[#This Row],[First 
Name]:[Last 
Name]])</f>
        <v>James Ray</v>
      </c>
      <c r="E854" t="s">
        <v>1964</v>
      </c>
      <c r="F854" t="s">
        <v>3244</v>
      </c>
      <c r="G854" t="str">
        <f ca="1">PROPER(Table1[[#This Row],[Part Time 
Job]])</f>
        <v>False</v>
      </c>
      <c r="H854" s="3">
        <v>4</v>
      </c>
      <c r="I854" t="str">
        <f ca="1">PROPER(Table1[[#This Row],[Extracurricular 
Activities]])</f>
        <v>False</v>
      </c>
      <c r="J854">
        <v>12</v>
      </c>
      <c r="K854" t="s">
        <v>3123</v>
      </c>
      <c r="L854">
        <v>86</v>
      </c>
      <c r="M854" s="12" t="str" cm="1">
        <f t="array" ref="M85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854">
        <v>63</v>
      </c>
      <c r="O854" s="13" t="str" cm="1">
        <f t="array" ref="O85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854">
        <v>85</v>
      </c>
      <c r="Q854" s="13" t="str" cm="1">
        <f t="array" ref="Q85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854">
        <v>64</v>
      </c>
      <c r="S854" t="str" cm="1">
        <f t="array" ref="S85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854">
        <v>98</v>
      </c>
      <c r="U854" t="str" cm="1">
        <f t="array" ref="U85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854">
        <v>97</v>
      </c>
      <c r="W854" t="str" cm="1">
        <f t="array" ref="W85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854">
        <v>86</v>
      </c>
      <c r="Y854" t="str" cm="1">
        <f t="array" ref="Y85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854">
        <f>SUM(Table1[[#This Row],[Math 
Score]],Table1[[#This Row],[History 
Score]],Table1[[#This Row],[Physics 
Score]],Table1[[#This Row],[Chemistry 
Score]],Table1[[#This Row],[Biology 
Score]],Table1[[#This Row],[English 
Score]],Table1[[#This Row],[Geography 
Score]])</f>
        <v>579</v>
      </c>
      <c r="AA854" s="3">
        <f>AVERAGE(Table1[[#This Row],[Math 
Score]],Table1[[#This Row],[History 
Score]],Table1[[#This Row],[Physics 
Score]],Table1[[#This Row],[Chemistry 
Score]],Table1[[#This Row],[Biology 
Score]],Table1[[#This Row],[English 
Score]],Table1[[#This Row],[Geography 
Score]])</f>
        <v>82.714285714285708</v>
      </c>
      <c r="AB85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854">
        <f t="shared" si="13"/>
        <v>730</v>
      </c>
      <c r="AD854" t="str">
        <f>_xlfn.IFS(Table1[[#This Row],[Absence 
Days]]&lt;3,"Excellent",Table1[[#This Row],[Absence 
Days]]&lt;=6,"Good",Table1[[#This Row],[Absence 
Days]]&gt;6,"Poor")</f>
        <v>Good</v>
      </c>
    </row>
    <row r="855" spans="1:30" x14ac:dyDescent="0.35">
      <c r="A855">
        <v>854</v>
      </c>
      <c r="B855" s="2" t="s">
        <v>75</v>
      </c>
      <c r="C855" t="s">
        <v>593</v>
      </c>
      <c r="D855" t="str">
        <f>_xlfn.TEXTJOIN(" ",TRUE,Table1[[#This Row],[First 
Name]:[Last 
Name]])</f>
        <v>William Hernandez</v>
      </c>
      <c r="E855" t="s">
        <v>1965</v>
      </c>
      <c r="F855" t="s">
        <v>3244</v>
      </c>
      <c r="G855" t="str">
        <f ca="1">PROPER(Table1[[#This Row],[Part Time 
Job]])</f>
        <v>False</v>
      </c>
      <c r="H855" s="3">
        <v>10</v>
      </c>
      <c r="I855" t="str">
        <f ca="1">PROPER(Table1[[#This Row],[Extracurricular 
Activities]])</f>
        <v>False</v>
      </c>
      <c r="J855">
        <v>5</v>
      </c>
      <c r="K855" t="s">
        <v>3119</v>
      </c>
      <c r="L855">
        <v>70</v>
      </c>
      <c r="M855" s="12" t="str" cm="1">
        <f t="array" ref="M855">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855">
        <v>66</v>
      </c>
      <c r="O855" s="13" t="str" cm="1">
        <f t="array" ref="O85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855">
        <v>98</v>
      </c>
      <c r="Q855" s="13" t="str" cm="1">
        <f t="array" ref="Q85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855">
        <v>96</v>
      </c>
      <c r="S855" t="str" cm="1">
        <f t="array" ref="S85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855">
        <v>64</v>
      </c>
      <c r="U855" t="str" cm="1">
        <f t="array" ref="U85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855">
        <v>65</v>
      </c>
      <c r="W855" t="str" cm="1">
        <f t="array" ref="W85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855">
        <v>91</v>
      </c>
      <c r="Y855" t="str" cm="1">
        <f t="array" ref="Y85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855">
        <f>SUM(Table1[[#This Row],[Math 
Score]],Table1[[#This Row],[History 
Score]],Table1[[#This Row],[Physics 
Score]],Table1[[#This Row],[Chemistry 
Score]],Table1[[#This Row],[Biology 
Score]],Table1[[#This Row],[English 
Score]],Table1[[#This Row],[Geography 
Score]])</f>
        <v>550</v>
      </c>
      <c r="AA855" s="3">
        <f>AVERAGE(Table1[[#This Row],[Math 
Score]],Table1[[#This Row],[History 
Score]],Table1[[#This Row],[Physics 
Score]],Table1[[#This Row],[Chemistry 
Score]],Table1[[#This Row],[Biology 
Score]],Table1[[#This Row],[English 
Score]],Table1[[#This Row],[Geography 
Score]])</f>
        <v>78.571428571428569</v>
      </c>
      <c r="AB85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855">
        <f t="shared" si="13"/>
        <v>1338</v>
      </c>
      <c r="AD855" t="str">
        <f>_xlfn.IFS(Table1[[#This Row],[Absence 
Days]]&lt;3,"Excellent",Table1[[#This Row],[Absence 
Days]]&lt;=6,"Good",Table1[[#This Row],[Absence 
Days]]&gt;6,"Poor")</f>
        <v>Poor</v>
      </c>
    </row>
    <row r="856" spans="1:30" x14ac:dyDescent="0.35">
      <c r="A856">
        <v>855</v>
      </c>
      <c r="B856" s="2" t="s">
        <v>32</v>
      </c>
      <c r="C856" t="s">
        <v>527</v>
      </c>
      <c r="D856" t="str">
        <f>_xlfn.TEXTJOIN(" ",TRUE,Table1[[#This Row],[First 
Name]:[Last 
Name]])</f>
        <v>Lisa Brown</v>
      </c>
      <c r="E856" t="s">
        <v>1966</v>
      </c>
      <c r="F856" t="s">
        <v>3245</v>
      </c>
      <c r="G856" t="str">
        <f ca="1">PROPER(Table1[[#This Row],[Part Time 
Job]])</f>
        <v>False</v>
      </c>
      <c r="H856" s="3">
        <v>4</v>
      </c>
      <c r="I856" t="str">
        <f ca="1">PROPER(Table1[[#This Row],[Extracurricular 
Activities]])</f>
        <v>False</v>
      </c>
      <c r="J856">
        <v>22</v>
      </c>
      <c r="K856" t="s">
        <v>3123</v>
      </c>
      <c r="L856">
        <v>87</v>
      </c>
      <c r="M856" s="12" t="str" cm="1">
        <f t="array" ref="M85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856">
        <v>94</v>
      </c>
      <c r="O856" s="13" t="str" cm="1">
        <f t="array" ref="O85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856">
        <v>72</v>
      </c>
      <c r="Q856" s="13" t="str" cm="1">
        <f t="array" ref="Q85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856">
        <v>93</v>
      </c>
      <c r="S856" t="str" cm="1">
        <f t="array" ref="S85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856">
        <v>44</v>
      </c>
      <c r="U856" t="str" cm="1">
        <f t="array" ref="U85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D</v>
      </c>
      <c r="V856">
        <v>92</v>
      </c>
      <c r="W856" t="str" cm="1">
        <f t="array" ref="W85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856">
        <v>83</v>
      </c>
      <c r="Y856" t="str" cm="1">
        <f t="array" ref="Y85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856">
        <f>SUM(Table1[[#This Row],[Math 
Score]],Table1[[#This Row],[History 
Score]],Table1[[#This Row],[Physics 
Score]],Table1[[#This Row],[Chemistry 
Score]],Table1[[#This Row],[Biology 
Score]],Table1[[#This Row],[English 
Score]],Table1[[#This Row],[Geography 
Score]])</f>
        <v>565</v>
      </c>
      <c r="AA856" s="3">
        <f>AVERAGE(Table1[[#This Row],[Math 
Score]],Table1[[#This Row],[History 
Score]],Table1[[#This Row],[Physics 
Score]],Table1[[#This Row],[Chemistry 
Score]],Table1[[#This Row],[Biology 
Score]],Table1[[#This Row],[English 
Score]],Table1[[#This Row],[Geography 
Score]])</f>
        <v>80.714285714285708</v>
      </c>
      <c r="AB85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856">
        <f t="shared" si="13"/>
        <v>1035</v>
      </c>
      <c r="AD856" t="str">
        <f>_xlfn.IFS(Table1[[#This Row],[Absence 
Days]]&lt;3,"Excellent",Table1[[#This Row],[Absence 
Days]]&lt;=6,"Good",Table1[[#This Row],[Absence 
Days]]&gt;6,"Poor")</f>
        <v>Good</v>
      </c>
    </row>
    <row r="857" spans="1:30" x14ac:dyDescent="0.35">
      <c r="A857">
        <v>856</v>
      </c>
      <c r="B857" s="2" t="s">
        <v>167</v>
      </c>
      <c r="C857" t="s">
        <v>609</v>
      </c>
      <c r="D857" t="str">
        <f>_xlfn.TEXTJOIN(" ",TRUE,Table1[[#This Row],[First 
Name]:[Last 
Name]])</f>
        <v>Kevin York</v>
      </c>
      <c r="E857" t="s">
        <v>1967</v>
      </c>
      <c r="F857" t="s">
        <v>3244</v>
      </c>
      <c r="G857" t="str">
        <f ca="1">PROPER(Table1[[#This Row],[Part Time 
Job]])</f>
        <v>True</v>
      </c>
      <c r="H857" s="3">
        <v>7</v>
      </c>
      <c r="I857" t="str">
        <f ca="1">PROPER(Table1[[#This Row],[Extracurricular 
Activities]])</f>
        <v>False</v>
      </c>
      <c r="J857">
        <v>1</v>
      </c>
      <c r="K857" t="s">
        <v>3119</v>
      </c>
      <c r="L857">
        <v>47</v>
      </c>
      <c r="M857" s="12" t="str" cm="1">
        <f t="array" ref="M857">_xlfn.IFS(Table1[[#This Row],[Math 
Score]]&gt;=90,"A+",Table1[[#This Row],[Math 
Score]]&gt;=80,"A", Table1[[#This Row],[Math 
Score]]&gt;=75,"A-",Table1[[#This Row],[Math 
Score]]&gt;=70,"B+",Table1[[#This Row],[Math 
Score]]&gt;=65,"B",Table1[[#This Row],[Math 
Score]]&gt;=60,"B-",Table1[[#This Row],[Math 
Score]]&gt;=50,"C",Table1[[#This Row],[Math 
Score]]&gt;=40,"D",Table1[[#This Row],[Math 
Score]]&lt;40,"F")</f>
        <v>D</v>
      </c>
      <c r="N857">
        <v>78</v>
      </c>
      <c r="O857" s="13" t="str" cm="1">
        <f t="array" ref="O85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857">
        <v>75</v>
      </c>
      <c r="Q857" s="13" t="str" cm="1">
        <f t="array" ref="Q85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857">
        <v>62</v>
      </c>
      <c r="S857" t="str" cm="1">
        <f t="array" ref="S85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857">
        <v>61</v>
      </c>
      <c r="U857" t="str" cm="1">
        <f t="array" ref="U85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857">
        <v>55</v>
      </c>
      <c r="W857" t="str" cm="1">
        <f t="array" ref="W85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C</v>
      </c>
      <c r="X857">
        <v>93</v>
      </c>
      <c r="Y857" t="str" cm="1">
        <f t="array" ref="Y85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857">
        <f>SUM(Table1[[#This Row],[Math 
Score]],Table1[[#This Row],[History 
Score]],Table1[[#This Row],[Physics 
Score]],Table1[[#This Row],[Chemistry 
Score]],Table1[[#This Row],[Biology 
Score]],Table1[[#This Row],[English 
Score]],Table1[[#This Row],[Geography 
Score]])</f>
        <v>471</v>
      </c>
      <c r="AA857" s="3">
        <f>AVERAGE(Table1[[#This Row],[Math 
Score]],Table1[[#This Row],[History 
Score]],Table1[[#This Row],[Physics 
Score]],Table1[[#This Row],[Chemistry 
Score]],Table1[[#This Row],[Biology 
Score]],Table1[[#This Row],[English 
Score]],Table1[[#This Row],[Geography 
Score]])</f>
        <v>67.285714285714292</v>
      </c>
      <c r="AB85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857">
        <f t="shared" si="13"/>
        <v>1957</v>
      </c>
      <c r="AD857" t="str">
        <f>_xlfn.IFS(Table1[[#This Row],[Absence 
Days]]&lt;3,"Excellent",Table1[[#This Row],[Absence 
Days]]&lt;=6,"Good",Table1[[#This Row],[Absence 
Days]]&gt;6,"Poor")</f>
        <v>Poor</v>
      </c>
    </row>
    <row r="858" spans="1:30" x14ac:dyDescent="0.35">
      <c r="A858">
        <v>857</v>
      </c>
      <c r="B858" s="2" t="s">
        <v>86</v>
      </c>
      <c r="C858" t="s">
        <v>492</v>
      </c>
      <c r="D858" t="str">
        <f>_xlfn.TEXTJOIN(" ",TRUE,Table1[[#This Row],[First 
Name]:[Last 
Name]])</f>
        <v>Benjamin Davis</v>
      </c>
      <c r="E858" t="s">
        <v>1968</v>
      </c>
      <c r="F858" t="s">
        <v>3244</v>
      </c>
      <c r="G858" t="str">
        <f ca="1">PROPER(Table1[[#This Row],[Part Time 
Job]])</f>
        <v>False</v>
      </c>
      <c r="H858" s="3">
        <v>0</v>
      </c>
      <c r="I858" t="str">
        <f ca="1">PROPER(Table1[[#This Row],[Extracurricular 
Activities]])</f>
        <v>False</v>
      </c>
      <c r="J858">
        <v>21</v>
      </c>
      <c r="K858" t="s">
        <v>3117</v>
      </c>
      <c r="L858">
        <v>96</v>
      </c>
      <c r="M858" s="12" t="str" cm="1">
        <f t="array" ref="M85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858">
        <v>63</v>
      </c>
      <c r="O858" s="13" t="str" cm="1">
        <f t="array" ref="O85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858">
        <v>77</v>
      </c>
      <c r="Q858" s="13" t="str" cm="1">
        <f t="array" ref="Q85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858">
        <v>93</v>
      </c>
      <c r="S858" t="str" cm="1">
        <f t="array" ref="S85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858">
        <v>61</v>
      </c>
      <c r="U858" t="str" cm="1">
        <f t="array" ref="U85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858">
        <v>86</v>
      </c>
      <c r="W858" t="str" cm="1">
        <f t="array" ref="W85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858">
        <v>83</v>
      </c>
      <c r="Y858" t="str" cm="1">
        <f t="array" ref="Y85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858">
        <f>SUM(Table1[[#This Row],[Math 
Score]],Table1[[#This Row],[History 
Score]],Table1[[#This Row],[Physics 
Score]],Table1[[#This Row],[Chemistry 
Score]],Table1[[#This Row],[Biology 
Score]],Table1[[#This Row],[English 
Score]],Table1[[#This Row],[Geography 
Score]])</f>
        <v>559</v>
      </c>
      <c r="AA858" s="3">
        <f>AVERAGE(Table1[[#This Row],[Math 
Score]],Table1[[#This Row],[History 
Score]],Table1[[#This Row],[Physics 
Score]],Table1[[#This Row],[Chemistry 
Score]],Table1[[#This Row],[Biology 
Score]],Table1[[#This Row],[English 
Score]],Table1[[#This Row],[Geography 
Score]])</f>
        <v>79.857142857142861</v>
      </c>
      <c r="AB85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858">
        <f t="shared" si="13"/>
        <v>1155</v>
      </c>
      <c r="AD858" t="str">
        <f>_xlfn.IFS(Table1[[#This Row],[Absence 
Days]]&lt;3,"Excellent",Table1[[#This Row],[Absence 
Days]]&lt;=6,"Good",Table1[[#This Row],[Absence 
Days]]&gt;6,"Poor")</f>
        <v>Excellent</v>
      </c>
    </row>
    <row r="859" spans="1:30" x14ac:dyDescent="0.35">
      <c r="A859">
        <v>858</v>
      </c>
      <c r="B859" s="2" t="s">
        <v>165</v>
      </c>
      <c r="C859" t="s">
        <v>880</v>
      </c>
      <c r="D859" t="str">
        <f>_xlfn.TEXTJOIN(" ",TRUE,Table1[[#This Row],[First 
Name]:[Last 
Name]])</f>
        <v>Sarah Nielsen</v>
      </c>
      <c r="E859" t="s">
        <v>1969</v>
      </c>
      <c r="F859" t="s">
        <v>3245</v>
      </c>
      <c r="G859" t="str">
        <f ca="1">PROPER(Table1[[#This Row],[Part Time 
Job]])</f>
        <v>True</v>
      </c>
      <c r="H859" s="3">
        <v>4</v>
      </c>
      <c r="I859" t="str">
        <f ca="1">PROPER(Table1[[#This Row],[Extracurricular 
Activities]])</f>
        <v>False</v>
      </c>
      <c r="J859">
        <v>5</v>
      </c>
      <c r="K859" t="s">
        <v>3119</v>
      </c>
      <c r="L859">
        <v>54</v>
      </c>
      <c r="M859" s="12" t="str" cm="1">
        <f t="array" ref="M859">_xlfn.IFS(Table1[[#This Row],[Math 
Score]]&gt;=90,"A+",Table1[[#This Row],[Math 
Score]]&gt;=80,"A", Table1[[#This Row],[Math 
Score]]&gt;=75,"A-",Table1[[#This Row],[Math 
Score]]&gt;=70,"B+",Table1[[#This Row],[Math 
Score]]&gt;=65,"B",Table1[[#This Row],[Math 
Score]]&gt;=60,"B-",Table1[[#This Row],[Math 
Score]]&gt;=50,"C",Table1[[#This Row],[Math 
Score]]&gt;=40,"D",Table1[[#This Row],[Math 
Score]]&lt;40,"F")</f>
        <v>C</v>
      </c>
      <c r="N859">
        <v>93</v>
      </c>
      <c r="O859" s="13" t="str" cm="1">
        <f t="array" ref="O85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859">
        <v>96</v>
      </c>
      <c r="Q859" s="13" t="str" cm="1">
        <f t="array" ref="Q85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859">
        <v>59</v>
      </c>
      <c r="S859" t="str" cm="1">
        <f t="array" ref="S85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C</v>
      </c>
      <c r="T859">
        <v>84</v>
      </c>
      <c r="U859" t="str" cm="1">
        <f t="array" ref="U85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859">
        <v>79</v>
      </c>
      <c r="W859" t="str" cm="1">
        <f t="array" ref="W85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859">
        <v>93</v>
      </c>
      <c r="Y859" t="str" cm="1">
        <f t="array" ref="Y85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859">
        <f>SUM(Table1[[#This Row],[Math 
Score]],Table1[[#This Row],[History 
Score]],Table1[[#This Row],[Physics 
Score]],Table1[[#This Row],[Chemistry 
Score]],Table1[[#This Row],[Biology 
Score]],Table1[[#This Row],[English 
Score]],Table1[[#This Row],[Geography 
Score]])</f>
        <v>558</v>
      </c>
      <c r="AA859" s="3">
        <f>AVERAGE(Table1[[#This Row],[Math 
Score]],Table1[[#This Row],[History 
Score]],Table1[[#This Row],[Physics 
Score]],Table1[[#This Row],[Chemistry 
Score]],Table1[[#This Row],[Biology 
Score]],Table1[[#This Row],[English 
Score]],Table1[[#This Row],[Geography 
Score]])</f>
        <v>79.714285714285708</v>
      </c>
      <c r="AB85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859">
        <f t="shared" si="13"/>
        <v>1178</v>
      </c>
      <c r="AD859" t="str">
        <f>_xlfn.IFS(Table1[[#This Row],[Absence 
Days]]&lt;3,"Excellent",Table1[[#This Row],[Absence 
Days]]&lt;=6,"Good",Table1[[#This Row],[Absence 
Days]]&gt;6,"Poor")</f>
        <v>Good</v>
      </c>
    </row>
    <row r="860" spans="1:30" x14ac:dyDescent="0.35">
      <c r="A860">
        <v>859</v>
      </c>
      <c r="B860" s="2" t="s">
        <v>42</v>
      </c>
      <c r="C860" t="s">
        <v>881</v>
      </c>
      <c r="D860" t="str">
        <f>_xlfn.TEXTJOIN(" ",TRUE,Table1[[#This Row],[First 
Name]:[Last 
Name]])</f>
        <v>Elizabeth Parks</v>
      </c>
      <c r="E860" t="s">
        <v>1970</v>
      </c>
      <c r="F860" t="s">
        <v>3245</v>
      </c>
      <c r="G860" t="str">
        <f ca="1">PROPER(Table1[[#This Row],[Part Time 
Job]])</f>
        <v>False</v>
      </c>
      <c r="H860" s="3">
        <v>3</v>
      </c>
      <c r="I860" t="str">
        <f ca="1">PROPER(Table1[[#This Row],[Extracurricular 
Activities]])</f>
        <v>True</v>
      </c>
      <c r="J860">
        <v>5</v>
      </c>
      <c r="K860" t="s">
        <v>3128</v>
      </c>
      <c r="L860">
        <v>59</v>
      </c>
      <c r="M860" s="12" t="str" cm="1">
        <f t="array" ref="M860">_xlfn.IFS(Table1[[#This Row],[Math 
Score]]&gt;=90,"A+",Table1[[#This Row],[Math 
Score]]&gt;=80,"A", Table1[[#This Row],[Math 
Score]]&gt;=75,"A-",Table1[[#This Row],[Math 
Score]]&gt;=70,"B+",Table1[[#This Row],[Math 
Score]]&gt;=65,"B",Table1[[#This Row],[Math 
Score]]&gt;=60,"B-",Table1[[#This Row],[Math 
Score]]&gt;=50,"C",Table1[[#This Row],[Math 
Score]]&gt;=40,"D",Table1[[#This Row],[Math 
Score]]&lt;40,"F")</f>
        <v>C</v>
      </c>
      <c r="N860">
        <v>100</v>
      </c>
      <c r="O860" s="13" t="str" cm="1">
        <f t="array" ref="O86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860">
        <v>64</v>
      </c>
      <c r="Q860" s="13" t="str" cm="1">
        <f t="array" ref="Q86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860">
        <v>68</v>
      </c>
      <c r="S860" t="str" cm="1">
        <f t="array" ref="S86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860">
        <v>86</v>
      </c>
      <c r="U860" t="str" cm="1">
        <f t="array" ref="U86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860">
        <v>89</v>
      </c>
      <c r="W860" t="str" cm="1">
        <f t="array" ref="W86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860">
        <v>91</v>
      </c>
      <c r="Y860" t="str" cm="1">
        <f t="array" ref="Y86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860">
        <f>SUM(Table1[[#This Row],[Math 
Score]],Table1[[#This Row],[History 
Score]],Table1[[#This Row],[Physics 
Score]],Table1[[#This Row],[Chemistry 
Score]],Table1[[#This Row],[Biology 
Score]],Table1[[#This Row],[English 
Score]],Table1[[#This Row],[Geography 
Score]])</f>
        <v>557</v>
      </c>
      <c r="AA860" s="3">
        <f>AVERAGE(Table1[[#This Row],[Math 
Score]],Table1[[#This Row],[History 
Score]],Table1[[#This Row],[Physics 
Score]],Table1[[#This Row],[Chemistry 
Score]],Table1[[#This Row],[Biology 
Score]],Table1[[#This Row],[English 
Score]],Table1[[#This Row],[Geography 
Score]])</f>
        <v>79.571428571428569</v>
      </c>
      <c r="AB86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860">
        <f t="shared" si="13"/>
        <v>1200</v>
      </c>
      <c r="AD860" t="str">
        <f>_xlfn.IFS(Table1[[#This Row],[Absence 
Days]]&lt;3,"Excellent",Table1[[#This Row],[Absence 
Days]]&lt;=6,"Good",Table1[[#This Row],[Absence 
Days]]&gt;6,"Poor")</f>
        <v>Good</v>
      </c>
    </row>
    <row r="861" spans="1:30" x14ac:dyDescent="0.35">
      <c r="A861">
        <v>860</v>
      </c>
      <c r="B861" s="2" t="s">
        <v>216</v>
      </c>
      <c r="C861" t="s">
        <v>569</v>
      </c>
      <c r="D861" t="str">
        <f>_xlfn.TEXTJOIN(" ",TRUE,Table1[[#This Row],[First 
Name]:[Last 
Name]])</f>
        <v>Deborah Moore</v>
      </c>
      <c r="E861" t="s">
        <v>1971</v>
      </c>
      <c r="F861" t="s">
        <v>3245</v>
      </c>
      <c r="G861" t="str">
        <f ca="1">PROPER(Table1[[#This Row],[Part Time 
Job]])</f>
        <v>False</v>
      </c>
      <c r="H861" s="3">
        <v>2</v>
      </c>
      <c r="I861" t="str">
        <f ca="1">PROPER(Table1[[#This Row],[Extracurricular 
Activities]])</f>
        <v>False</v>
      </c>
      <c r="J861">
        <v>8</v>
      </c>
      <c r="K861" t="s">
        <v>3116</v>
      </c>
      <c r="L861">
        <v>92</v>
      </c>
      <c r="M861" s="12" t="str" cm="1">
        <f t="array" ref="M86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861">
        <v>99</v>
      </c>
      <c r="O861" s="13" t="str" cm="1">
        <f t="array" ref="O86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861">
        <v>93</v>
      </c>
      <c r="Q861" s="13" t="str" cm="1">
        <f t="array" ref="Q86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861">
        <v>82</v>
      </c>
      <c r="S861" t="str" cm="1">
        <f t="array" ref="S86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861">
        <v>97</v>
      </c>
      <c r="U861" t="str" cm="1">
        <f t="array" ref="U86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861">
        <v>70</v>
      </c>
      <c r="W861" t="str" cm="1">
        <f t="array" ref="W86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861">
        <v>79</v>
      </c>
      <c r="Y861" t="str" cm="1">
        <f t="array" ref="Y86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861">
        <f>SUM(Table1[[#This Row],[Math 
Score]],Table1[[#This Row],[History 
Score]],Table1[[#This Row],[Physics 
Score]],Table1[[#This Row],[Chemistry 
Score]],Table1[[#This Row],[Biology 
Score]],Table1[[#This Row],[English 
Score]],Table1[[#This Row],[Geography 
Score]])</f>
        <v>612</v>
      </c>
      <c r="AA861" s="3">
        <f>AVERAGE(Table1[[#This Row],[Math 
Score]],Table1[[#This Row],[History 
Score]],Table1[[#This Row],[Physics 
Score]],Table1[[#This Row],[Chemistry 
Score]],Table1[[#This Row],[Biology 
Score]],Table1[[#This Row],[English 
Score]],Table1[[#This Row],[Geography 
Score]])</f>
        <v>87.428571428571431</v>
      </c>
      <c r="AB86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861">
        <f t="shared" si="13"/>
        <v>283</v>
      </c>
      <c r="AD861" t="str">
        <f>_xlfn.IFS(Table1[[#This Row],[Absence 
Days]]&lt;3,"Excellent",Table1[[#This Row],[Absence 
Days]]&lt;=6,"Good",Table1[[#This Row],[Absence 
Days]]&gt;6,"Poor")</f>
        <v>Excellent</v>
      </c>
    </row>
    <row r="862" spans="1:30" x14ac:dyDescent="0.35">
      <c r="A862">
        <v>861</v>
      </c>
      <c r="B862" s="2" t="s">
        <v>34</v>
      </c>
      <c r="C862" t="s">
        <v>673</v>
      </c>
      <c r="D862" t="str">
        <f>_xlfn.TEXTJOIN(" ",TRUE,Table1[[#This Row],[First 
Name]:[Last 
Name]])</f>
        <v>Michael Anderson</v>
      </c>
      <c r="E862" t="s">
        <v>1972</v>
      </c>
      <c r="F862" t="s">
        <v>3244</v>
      </c>
      <c r="G862" t="str">
        <f ca="1">PROPER(Table1[[#This Row],[Part Time 
Job]])</f>
        <v>False</v>
      </c>
      <c r="H862" s="3">
        <v>4</v>
      </c>
      <c r="I862" t="str">
        <f ca="1">PROPER(Table1[[#This Row],[Extracurricular 
Activities]])</f>
        <v>False</v>
      </c>
      <c r="J862">
        <v>25</v>
      </c>
      <c r="K862" t="s">
        <v>3117</v>
      </c>
      <c r="L862">
        <v>100</v>
      </c>
      <c r="M862" s="12" t="str" cm="1">
        <f t="array" ref="M86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862">
        <v>62</v>
      </c>
      <c r="O862" s="13" t="str" cm="1">
        <f t="array" ref="O86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862">
        <v>78</v>
      </c>
      <c r="Q862" s="13" t="str" cm="1">
        <f t="array" ref="Q86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862">
        <v>74</v>
      </c>
      <c r="S862" t="str" cm="1">
        <f t="array" ref="S86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862">
        <v>72</v>
      </c>
      <c r="U862" t="str" cm="1">
        <f t="array" ref="U86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862">
        <v>73</v>
      </c>
      <c r="W862" t="str" cm="1">
        <f t="array" ref="W86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862">
        <v>78</v>
      </c>
      <c r="Y862" t="str" cm="1">
        <f t="array" ref="Y86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862">
        <f>SUM(Table1[[#This Row],[Math 
Score]],Table1[[#This Row],[History 
Score]],Table1[[#This Row],[Physics 
Score]],Table1[[#This Row],[Chemistry 
Score]],Table1[[#This Row],[Biology 
Score]],Table1[[#This Row],[English 
Score]],Table1[[#This Row],[Geography 
Score]])</f>
        <v>537</v>
      </c>
      <c r="AA862" s="3">
        <f>AVERAGE(Table1[[#This Row],[Math 
Score]],Table1[[#This Row],[History 
Score]],Table1[[#This Row],[Physics 
Score]],Table1[[#This Row],[Chemistry 
Score]],Table1[[#This Row],[Biology 
Score]],Table1[[#This Row],[English 
Score]],Table1[[#This Row],[Geography 
Score]])</f>
        <v>76.714285714285708</v>
      </c>
      <c r="AB86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862">
        <f t="shared" si="13"/>
        <v>1553</v>
      </c>
      <c r="AD862" t="str">
        <f>_xlfn.IFS(Table1[[#This Row],[Absence 
Days]]&lt;3,"Excellent",Table1[[#This Row],[Absence 
Days]]&lt;=6,"Good",Table1[[#This Row],[Absence 
Days]]&gt;6,"Poor")</f>
        <v>Good</v>
      </c>
    </row>
    <row r="863" spans="1:30" x14ac:dyDescent="0.35">
      <c r="A863">
        <v>862</v>
      </c>
      <c r="B863" s="2" t="s">
        <v>56</v>
      </c>
      <c r="C863" t="s">
        <v>618</v>
      </c>
      <c r="D863" t="str">
        <f>_xlfn.TEXTJOIN(" ",TRUE,Table1[[#This Row],[First 
Name]:[Last 
Name]])</f>
        <v>Brian Adams</v>
      </c>
      <c r="E863" t="s">
        <v>1973</v>
      </c>
      <c r="F863" t="s">
        <v>3244</v>
      </c>
      <c r="G863" t="str">
        <f ca="1">PROPER(Table1[[#This Row],[Part Time 
Job]])</f>
        <v>False</v>
      </c>
      <c r="H863" s="3">
        <v>5</v>
      </c>
      <c r="I863" t="str">
        <f ca="1">PROPER(Table1[[#This Row],[Extracurricular 
Activities]])</f>
        <v>False</v>
      </c>
      <c r="J863">
        <v>34</v>
      </c>
      <c r="K863" t="s">
        <v>3120</v>
      </c>
      <c r="L863">
        <v>92</v>
      </c>
      <c r="M863" s="12" t="str" cm="1">
        <f t="array" ref="M86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863">
        <v>81</v>
      </c>
      <c r="O863" s="13" t="str" cm="1">
        <f t="array" ref="O86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863">
        <v>84</v>
      </c>
      <c r="Q863" s="13" t="str" cm="1">
        <f t="array" ref="Q86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863">
        <v>84</v>
      </c>
      <c r="S863" t="str" cm="1">
        <f t="array" ref="S86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863">
        <v>84</v>
      </c>
      <c r="U863" t="str" cm="1">
        <f t="array" ref="U86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863">
        <v>66</v>
      </c>
      <c r="W863" t="str" cm="1">
        <f t="array" ref="W86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863">
        <v>74</v>
      </c>
      <c r="Y863" t="str" cm="1">
        <f t="array" ref="Y86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863">
        <f>SUM(Table1[[#This Row],[Math 
Score]],Table1[[#This Row],[History 
Score]],Table1[[#This Row],[Physics 
Score]],Table1[[#This Row],[Chemistry 
Score]],Table1[[#This Row],[Biology 
Score]],Table1[[#This Row],[English 
Score]],Table1[[#This Row],[Geography 
Score]])</f>
        <v>565</v>
      </c>
      <c r="AA863" s="3">
        <f>AVERAGE(Table1[[#This Row],[Math 
Score]],Table1[[#This Row],[History 
Score]],Table1[[#This Row],[Physics 
Score]],Table1[[#This Row],[Chemistry 
Score]],Table1[[#This Row],[Biology 
Score]],Table1[[#This Row],[English 
Score]],Table1[[#This Row],[Geography 
Score]])</f>
        <v>80.714285714285708</v>
      </c>
      <c r="AB86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863">
        <f t="shared" si="13"/>
        <v>1035</v>
      </c>
      <c r="AD863" t="str">
        <f>_xlfn.IFS(Table1[[#This Row],[Absence 
Days]]&lt;3,"Excellent",Table1[[#This Row],[Absence 
Days]]&lt;=6,"Good",Table1[[#This Row],[Absence 
Days]]&gt;6,"Poor")</f>
        <v>Good</v>
      </c>
    </row>
    <row r="864" spans="1:30" x14ac:dyDescent="0.35">
      <c r="A864">
        <v>863</v>
      </c>
      <c r="B864" s="2" t="s">
        <v>4</v>
      </c>
      <c r="C864" t="s">
        <v>576</v>
      </c>
      <c r="D864" t="str">
        <f>_xlfn.TEXTJOIN(" ",TRUE,Table1[[#This Row],[First 
Name]:[Last 
Name]])</f>
        <v>Anthony Silva</v>
      </c>
      <c r="E864" t="s">
        <v>1974</v>
      </c>
      <c r="F864" t="s">
        <v>3244</v>
      </c>
      <c r="G864" t="str">
        <f ca="1">PROPER(Table1[[#This Row],[Part Time 
Job]])</f>
        <v>False</v>
      </c>
      <c r="H864" s="3">
        <v>3</v>
      </c>
      <c r="I864" t="str">
        <f ca="1">PROPER(Table1[[#This Row],[Extracurricular 
Activities]])</f>
        <v>False</v>
      </c>
      <c r="J864">
        <v>0</v>
      </c>
      <c r="K864" t="s">
        <v>3128</v>
      </c>
      <c r="L864">
        <v>75</v>
      </c>
      <c r="M864" s="12" t="str" cm="1">
        <f t="array" ref="M86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864">
        <v>66</v>
      </c>
      <c r="O864" s="13" t="str" cm="1">
        <f t="array" ref="O86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864">
        <v>91</v>
      </c>
      <c r="Q864" s="13" t="str" cm="1">
        <f t="array" ref="Q86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864">
        <v>73</v>
      </c>
      <c r="S864" t="str" cm="1">
        <f t="array" ref="S86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864">
        <v>100</v>
      </c>
      <c r="U864" t="str" cm="1">
        <f t="array" ref="U86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864">
        <v>94</v>
      </c>
      <c r="W864" t="str" cm="1">
        <f t="array" ref="W86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864">
        <v>67</v>
      </c>
      <c r="Y864" t="str" cm="1">
        <f t="array" ref="Y86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864">
        <f>SUM(Table1[[#This Row],[Math 
Score]],Table1[[#This Row],[History 
Score]],Table1[[#This Row],[Physics 
Score]],Table1[[#This Row],[Chemistry 
Score]],Table1[[#This Row],[Biology 
Score]],Table1[[#This Row],[English 
Score]],Table1[[#This Row],[Geography 
Score]])</f>
        <v>566</v>
      </c>
      <c r="AA864" s="3">
        <f>AVERAGE(Table1[[#This Row],[Math 
Score]],Table1[[#This Row],[History 
Score]],Table1[[#This Row],[Physics 
Score]],Table1[[#This Row],[Chemistry 
Score]],Table1[[#This Row],[Biology 
Score]],Table1[[#This Row],[English 
Score]],Table1[[#This Row],[Geography 
Score]])</f>
        <v>80.857142857142861</v>
      </c>
      <c r="AB86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864">
        <f t="shared" si="13"/>
        <v>1019</v>
      </c>
      <c r="AD864" t="str">
        <f>_xlfn.IFS(Table1[[#This Row],[Absence 
Days]]&lt;3,"Excellent",Table1[[#This Row],[Absence 
Days]]&lt;=6,"Good",Table1[[#This Row],[Absence 
Days]]&gt;6,"Poor")</f>
        <v>Good</v>
      </c>
    </row>
    <row r="865" spans="1:30" x14ac:dyDescent="0.35">
      <c r="A865">
        <v>864</v>
      </c>
      <c r="B865" s="2" t="s">
        <v>254</v>
      </c>
      <c r="C865" t="s">
        <v>882</v>
      </c>
      <c r="D865" t="str">
        <f>_xlfn.TEXTJOIN(" ",TRUE,Table1[[#This Row],[First 
Name]:[Last 
Name]])</f>
        <v>Melinda Velazquez</v>
      </c>
      <c r="E865" t="s">
        <v>1975</v>
      </c>
      <c r="F865" t="s">
        <v>3245</v>
      </c>
      <c r="G865" t="str">
        <f ca="1">PROPER(Table1[[#This Row],[Part Time 
Job]])</f>
        <v>False</v>
      </c>
      <c r="H865" s="3">
        <v>0</v>
      </c>
      <c r="I865" t="str">
        <f ca="1">PROPER(Table1[[#This Row],[Extracurricular 
Activities]])</f>
        <v>False</v>
      </c>
      <c r="J865">
        <v>34</v>
      </c>
      <c r="K865" t="s">
        <v>3117</v>
      </c>
      <c r="L865">
        <v>93</v>
      </c>
      <c r="M865" s="12" t="str" cm="1">
        <f t="array" ref="M86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865">
        <v>74</v>
      </c>
      <c r="O865" s="13" t="str" cm="1">
        <f t="array" ref="O86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865">
        <v>63</v>
      </c>
      <c r="Q865" s="13" t="str" cm="1">
        <f t="array" ref="Q86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865">
        <v>97</v>
      </c>
      <c r="S865" t="str" cm="1">
        <f t="array" ref="S86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865">
        <v>64</v>
      </c>
      <c r="U865" t="str" cm="1">
        <f t="array" ref="U86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865">
        <v>61</v>
      </c>
      <c r="W865" t="str" cm="1">
        <f t="array" ref="W86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865">
        <v>92</v>
      </c>
      <c r="Y865" t="str" cm="1">
        <f t="array" ref="Y86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865">
        <f>SUM(Table1[[#This Row],[Math 
Score]],Table1[[#This Row],[History 
Score]],Table1[[#This Row],[Physics 
Score]],Table1[[#This Row],[Chemistry 
Score]],Table1[[#This Row],[Biology 
Score]],Table1[[#This Row],[English 
Score]],Table1[[#This Row],[Geography 
Score]])</f>
        <v>544</v>
      </c>
      <c r="AA865" s="3">
        <f>AVERAGE(Table1[[#This Row],[Math 
Score]],Table1[[#This Row],[History 
Score]],Table1[[#This Row],[Physics 
Score]],Table1[[#This Row],[Chemistry 
Score]],Table1[[#This Row],[Biology 
Score]],Table1[[#This Row],[English 
Score]],Table1[[#This Row],[Geography 
Score]])</f>
        <v>77.714285714285708</v>
      </c>
      <c r="AB86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865">
        <f t="shared" si="13"/>
        <v>1446</v>
      </c>
      <c r="AD865" t="str">
        <f>_xlfn.IFS(Table1[[#This Row],[Absence 
Days]]&lt;3,"Excellent",Table1[[#This Row],[Absence 
Days]]&lt;=6,"Good",Table1[[#This Row],[Absence 
Days]]&gt;6,"Poor")</f>
        <v>Excellent</v>
      </c>
    </row>
    <row r="866" spans="1:30" x14ac:dyDescent="0.35">
      <c r="A866">
        <v>865</v>
      </c>
      <c r="B866" s="2" t="s">
        <v>327</v>
      </c>
      <c r="C866" t="s">
        <v>883</v>
      </c>
      <c r="D866" t="str">
        <f>_xlfn.TEXTJOIN(" ",TRUE,Table1[[#This Row],[First 
Name]:[Last 
Name]])</f>
        <v>Andre Hoffman</v>
      </c>
      <c r="E866" t="s">
        <v>1976</v>
      </c>
      <c r="F866" t="s">
        <v>3244</v>
      </c>
      <c r="G866" t="str">
        <f ca="1">PROPER(Table1[[#This Row],[Part Time 
Job]])</f>
        <v>False</v>
      </c>
      <c r="H866" s="3">
        <v>2</v>
      </c>
      <c r="I866" t="str">
        <f ca="1">PROPER(Table1[[#This Row],[Extracurricular 
Activities]])</f>
        <v>False</v>
      </c>
      <c r="J866">
        <v>31</v>
      </c>
      <c r="K866" t="s">
        <v>3112</v>
      </c>
      <c r="L866">
        <v>100</v>
      </c>
      <c r="M866" s="12" t="str" cm="1">
        <f t="array" ref="M86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866">
        <v>96</v>
      </c>
      <c r="O866" s="13" t="str" cm="1">
        <f t="array" ref="O86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866">
        <v>67</v>
      </c>
      <c r="Q866" s="13" t="str" cm="1">
        <f t="array" ref="Q86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866">
        <v>63</v>
      </c>
      <c r="S866" t="str" cm="1">
        <f t="array" ref="S86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866">
        <v>91</v>
      </c>
      <c r="U866" t="str" cm="1">
        <f t="array" ref="U86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866">
        <v>96</v>
      </c>
      <c r="W866" t="str" cm="1">
        <f t="array" ref="W86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866">
        <v>84</v>
      </c>
      <c r="Y866" t="str" cm="1">
        <f t="array" ref="Y86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866">
        <f>SUM(Table1[[#This Row],[Math 
Score]],Table1[[#This Row],[History 
Score]],Table1[[#This Row],[Physics 
Score]],Table1[[#This Row],[Chemistry 
Score]],Table1[[#This Row],[Biology 
Score]],Table1[[#This Row],[English 
Score]],Table1[[#This Row],[Geography 
Score]])</f>
        <v>597</v>
      </c>
      <c r="AA866" s="3">
        <f>AVERAGE(Table1[[#This Row],[Math 
Score]],Table1[[#This Row],[History 
Score]],Table1[[#This Row],[Physics 
Score]],Table1[[#This Row],[Chemistry 
Score]],Table1[[#This Row],[Biology 
Score]],Table1[[#This Row],[English 
Score]],Table1[[#This Row],[Geography 
Score]])</f>
        <v>85.285714285714292</v>
      </c>
      <c r="AB86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866">
        <f t="shared" si="13"/>
        <v>446</v>
      </c>
      <c r="AD866" t="str">
        <f>_xlfn.IFS(Table1[[#This Row],[Absence 
Days]]&lt;3,"Excellent",Table1[[#This Row],[Absence 
Days]]&lt;=6,"Good",Table1[[#This Row],[Absence 
Days]]&gt;6,"Poor")</f>
        <v>Excellent</v>
      </c>
    </row>
    <row r="867" spans="1:30" x14ac:dyDescent="0.35">
      <c r="A867">
        <v>866</v>
      </c>
      <c r="B867" s="2" t="s">
        <v>134</v>
      </c>
      <c r="C867" t="s">
        <v>814</v>
      </c>
      <c r="D867" t="str">
        <f>_xlfn.TEXTJOIN(" ",TRUE,Table1[[#This Row],[First 
Name]:[Last 
Name]])</f>
        <v>Vanessa Coleman</v>
      </c>
      <c r="E867" t="s">
        <v>1977</v>
      </c>
      <c r="F867" t="s">
        <v>3245</v>
      </c>
      <c r="G867" t="str">
        <f ca="1">PROPER(Table1[[#This Row],[Part Time 
Job]])</f>
        <v>True</v>
      </c>
      <c r="H867" s="3">
        <v>7</v>
      </c>
      <c r="I867" t="str">
        <f ca="1">PROPER(Table1[[#This Row],[Extracurricular 
Activities]])</f>
        <v>False</v>
      </c>
      <c r="J867">
        <v>1</v>
      </c>
      <c r="K867" t="s">
        <v>3119</v>
      </c>
      <c r="L867">
        <v>80</v>
      </c>
      <c r="M867" s="12" t="str" cm="1">
        <f t="array" ref="M86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867">
        <v>84</v>
      </c>
      <c r="O867" s="13" t="str" cm="1">
        <f t="array" ref="O86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867">
        <v>67</v>
      </c>
      <c r="Q867" s="13" t="str" cm="1">
        <f t="array" ref="Q86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867">
        <v>96</v>
      </c>
      <c r="S867" t="str" cm="1">
        <f t="array" ref="S86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867">
        <v>88</v>
      </c>
      <c r="U867" t="str" cm="1">
        <f t="array" ref="U86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867">
        <v>94</v>
      </c>
      <c r="W867" t="str" cm="1">
        <f t="array" ref="W86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867">
        <v>86</v>
      </c>
      <c r="Y867" t="str" cm="1">
        <f t="array" ref="Y86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867">
        <f>SUM(Table1[[#This Row],[Math 
Score]],Table1[[#This Row],[History 
Score]],Table1[[#This Row],[Physics 
Score]],Table1[[#This Row],[Chemistry 
Score]],Table1[[#This Row],[Biology 
Score]],Table1[[#This Row],[English 
Score]],Table1[[#This Row],[Geography 
Score]])</f>
        <v>595</v>
      </c>
      <c r="AA867" s="3">
        <f>AVERAGE(Table1[[#This Row],[Math 
Score]],Table1[[#This Row],[History 
Score]],Table1[[#This Row],[Physics 
Score]],Table1[[#This Row],[Chemistry 
Score]],Table1[[#This Row],[Biology 
Score]],Table1[[#This Row],[English 
Score]],Table1[[#This Row],[Geography 
Score]])</f>
        <v>85</v>
      </c>
      <c r="AB86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867">
        <f t="shared" si="13"/>
        <v>465</v>
      </c>
      <c r="AD867" t="str">
        <f>_xlfn.IFS(Table1[[#This Row],[Absence 
Days]]&lt;3,"Excellent",Table1[[#This Row],[Absence 
Days]]&lt;=6,"Good",Table1[[#This Row],[Absence 
Days]]&gt;6,"Poor")</f>
        <v>Poor</v>
      </c>
    </row>
    <row r="868" spans="1:30" x14ac:dyDescent="0.35">
      <c r="A868">
        <v>867</v>
      </c>
      <c r="B868" s="2" t="s">
        <v>237</v>
      </c>
      <c r="C868" t="s">
        <v>593</v>
      </c>
      <c r="D868" t="str">
        <f>_xlfn.TEXTJOIN(" ",TRUE,Table1[[#This Row],[First 
Name]:[Last 
Name]])</f>
        <v>Stephanie Hernandez</v>
      </c>
      <c r="E868" t="s">
        <v>1978</v>
      </c>
      <c r="F868" t="s">
        <v>3245</v>
      </c>
      <c r="G868" t="str">
        <f ca="1">PROPER(Table1[[#This Row],[Part Time 
Job]])</f>
        <v>False</v>
      </c>
      <c r="H868" s="3">
        <v>1</v>
      </c>
      <c r="I868" t="str">
        <f ca="1">PROPER(Table1[[#This Row],[Extracurricular 
Activities]])</f>
        <v>True</v>
      </c>
      <c r="J868">
        <v>28</v>
      </c>
      <c r="K868" t="s">
        <v>3112</v>
      </c>
      <c r="L868">
        <v>100</v>
      </c>
      <c r="M868" s="12" t="str" cm="1">
        <f t="array" ref="M86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868">
        <v>92</v>
      </c>
      <c r="O868" s="13" t="str" cm="1">
        <f t="array" ref="O86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868">
        <v>66</v>
      </c>
      <c r="Q868" s="13" t="str" cm="1">
        <f t="array" ref="Q86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868">
        <v>96</v>
      </c>
      <c r="S868" t="str" cm="1">
        <f t="array" ref="S86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868">
        <v>76</v>
      </c>
      <c r="U868" t="str" cm="1">
        <f t="array" ref="U86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868">
        <v>88</v>
      </c>
      <c r="W868" t="str" cm="1">
        <f t="array" ref="W86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868">
        <v>77</v>
      </c>
      <c r="Y868" t="str" cm="1">
        <f t="array" ref="Y86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868">
        <f>SUM(Table1[[#This Row],[Math 
Score]],Table1[[#This Row],[History 
Score]],Table1[[#This Row],[Physics 
Score]],Table1[[#This Row],[Chemistry 
Score]],Table1[[#This Row],[Biology 
Score]],Table1[[#This Row],[English 
Score]],Table1[[#This Row],[Geography 
Score]])</f>
        <v>595</v>
      </c>
      <c r="AA868" s="3">
        <f>AVERAGE(Table1[[#This Row],[Math 
Score]],Table1[[#This Row],[History 
Score]],Table1[[#This Row],[Physics 
Score]],Table1[[#This Row],[Chemistry 
Score]],Table1[[#This Row],[Biology 
Score]],Table1[[#This Row],[English 
Score]],Table1[[#This Row],[Geography 
Score]])</f>
        <v>85</v>
      </c>
      <c r="AB86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868">
        <f t="shared" si="13"/>
        <v>465</v>
      </c>
      <c r="AD868" t="str">
        <f>_xlfn.IFS(Table1[[#This Row],[Absence 
Days]]&lt;3,"Excellent",Table1[[#This Row],[Absence 
Days]]&lt;=6,"Good",Table1[[#This Row],[Absence 
Days]]&gt;6,"Poor")</f>
        <v>Excellent</v>
      </c>
    </row>
    <row r="869" spans="1:30" x14ac:dyDescent="0.35">
      <c r="A869">
        <v>868</v>
      </c>
      <c r="B869" s="2" t="s">
        <v>30</v>
      </c>
      <c r="C869" t="s">
        <v>40</v>
      </c>
      <c r="D869" t="str">
        <f>_xlfn.TEXTJOIN(" ",TRUE,Table1[[#This Row],[First 
Name]:[Last 
Name]])</f>
        <v>Timothy David</v>
      </c>
      <c r="E869" t="s">
        <v>1979</v>
      </c>
      <c r="F869" t="s">
        <v>3244</v>
      </c>
      <c r="G869" t="str">
        <f ca="1">PROPER(Table1[[#This Row],[Part Time 
Job]])</f>
        <v>True</v>
      </c>
      <c r="H869" s="3">
        <v>4</v>
      </c>
      <c r="I869" t="str">
        <f ca="1">PROPER(Table1[[#This Row],[Extracurricular 
Activities]])</f>
        <v>False</v>
      </c>
      <c r="J869">
        <v>5</v>
      </c>
      <c r="K869" t="s">
        <v>3119</v>
      </c>
      <c r="L869">
        <v>52</v>
      </c>
      <c r="M869" s="12" t="str" cm="1">
        <f t="array" ref="M869">_xlfn.IFS(Table1[[#This Row],[Math 
Score]]&gt;=90,"A+",Table1[[#This Row],[Math 
Score]]&gt;=80,"A", Table1[[#This Row],[Math 
Score]]&gt;=75,"A-",Table1[[#This Row],[Math 
Score]]&gt;=70,"B+",Table1[[#This Row],[Math 
Score]]&gt;=65,"B",Table1[[#This Row],[Math 
Score]]&gt;=60,"B-",Table1[[#This Row],[Math 
Score]]&gt;=50,"C",Table1[[#This Row],[Math 
Score]]&gt;=40,"D",Table1[[#This Row],[Math 
Score]]&lt;40,"F")</f>
        <v>C</v>
      </c>
      <c r="N869">
        <v>65</v>
      </c>
      <c r="O869" s="13" t="str" cm="1">
        <f t="array" ref="O86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869">
        <v>74</v>
      </c>
      <c r="Q869" s="13" t="str" cm="1">
        <f t="array" ref="Q86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869">
        <v>71</v>
      </c>
      <c r="S869" t="str" cm="1">
        <f t="array" ref="S86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869">
        <v>63</v>
      </c>
      <c r="U869" t="str" cm="1">
        <f t="array" ref="U86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869">
        <v>59</v>
      </c>
      <c r="W869" t="str" cm="1">
        <f t="array" ref="W86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C</v>
      </c>
      <c r="X869">
        <v>67</v>
      </c>
      <c r="Y869" t="str" cm="1">
        <f t="array" ref="Y86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869">
        <f>SUM(Table1[[#This Row],[Math 
Score]],Table1[[#This Row],[History 
Score]],Table1[[#This Row],[Physics 
Score]],Table1[[#This Row],[Chemistry 
Score]],Table1[[#This Row],[Biology 
Score]],Table1[[#This Row],[English 
Score]],Table1[[#This Row],[Geography 
Score]])</f>
        <v>451</v>
      </c>
      <c r="AA869" s="3">
        <f>AVERAGE(Table1[[#This Row],[Math 
Score]],Table1[[#This Row],[History 
Score]],Table1[[#This Row],[Physics 
Score]],Table1[[#This Row],[Chemistry 
Score]],Table1[[#This Row],[Biology 
Score]],Table1[[#This Row],[English 
Score]],Table1[[#This Row],[Geography 
Score]])</f>
        <v>64.428571428571431</v>
      </c>
      <c r="AB86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869">
        <f t="shared" si="13"/>
        <v>1992</v>
      </c>
      <c r="AD869" t="str">
        <f>_xlfn.IFS(Table1[[#This Row],[Absence 
Days]]&lt;3,"Excellent",Table1[[#This Row],[Absence 
Days]]&lt;=6,"Good",Table1[[#This Row],[Absence 
Days]]&gt;6,"Poor")</f>
        <v>Good</v>
      </c>
    </row>
    <row r="870" spans="1:30" x14ac:dyDescent="0.35">
      <c r="A870">
        <v>869</v>
      </c>
      <c r="B870" s="2" t="s">
        <v>27</v>
      </c>
      <c r="C870" t="s">
        <v>884</v>
      </c>
      <c r="D870" t="str">
        <f>_xlfn.TEXTJOIN(" ",TRUE,Table1[[#This Row],[First 
Name]:[Last 
Name]])</f>
        <v>Carol Cortez</v>
      </c>
      <c r="E870" t="s">
        <v>1980</v>
      </c>
      <c r="F870" t="s">
        <v>3245</v>
      </c>
      <c r="G870" t="str">
        <f ca="1">PROPER(Table1[[#This Row],[Part Time 
Job]])</f>
        <v>False</v>
      </c>
      <c r="H870" s="3">
        <v>1</v>
      </c>
      <c r="I870" t="str">
        <f ca="1">PROPER(Table1[[#This Row],[Extracurricular 
Activities]])</f>
        <v>False</v>
      </c>
      <c r="J870">
        <v>26</v>
      </c>
      <c r="K870" t="s">
        <v>3117</v>
      </c>
      <c r="L870">
        <v>95</v>
      </c>
      <c r="M870" s="12" t="str" cm="1">
        <f t="array" ref="M87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870">
        <v>69</v>
      </c>
      <c r="O870" s="13" t="str" cm="1">
        <f t="array" ref="O87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870">
        <v>91</v>
      </c>
      <c r="Q870" s="13" t="str" cm="1">
        <f t="array" ref="Q87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870">
        <v>67</v>
      </c>
      <c r="S870" t="str" cm="1">
        <f t="array" ref="S87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870">
        <v>67</v>
      </c>
      <c r="U870" t="str" cm="1">
        <f t="array" ref="U87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870">
        <v>70</v>
      </c>
      <c r="W870" t="str" cm="1">
        <f t="array" ref="W87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870">
        <v>71</v>
      </c>
      <c r="Y870" t="str" cm="1">
        <f t="array" ref="Y87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870">
        <f>SUM(Table1[[#This Row],[Math 
Score]],Table1[[#This Row],[History 
Score]],Table1[[#This Row],[Physics 
Score]],Table1[[#This Row],[Chemistry 
Score]],Table1[[#This Row],[Biology 
Score]],Table1[[#This Row],[English 
Score]],Table1[[#This Row],[Geography 
Score]])</f>
        <v>530</v>
      </c>
      <c r="AA870" s="3">
        <f>AVERAGE(Table1[[#This Row],[Math 
Score]],Table1[[#This Row],[History 
Score]],Table1[[#This Row],[Physics 
Score]],Table1[[#This Row],[Chemistry 
Score]],Table1[[#This Row],[Biology 
Score]],Table1[[#This Row],[English 
Score]],Table1[[#This Row],[Geography 
Score]])</f>
        <v>75.714285714285708</v>
      </c>
      <c r="AB87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870">
        <f t="shared" si="13"/>
        <v>1646</v>
      </c>
      <c r="AD870" t="str">
        <f>_xlfn.IFS(Table1[[#This Row],[Absence 
Days]]&lt;3,"Excellent",Table1[[#This Row],[Absence 
Days]]&lt;=6,"Good",Table1[[#This Row],[Absence 
Days]]&gt;6,"Poor")</f>
        <v>Excellent</v>
      </c>
    </row>
    <row r="871" spans="1:30" x14ac:dyDescent="0.35">
      <c r="A871">
        <v>870</v>
      </c>
      <c r="B871" s="2" t="s">
        <v>262</v>
      </c>
      <c r="C871" t="s">
        <v>5</v>
      </c>
      <c r="D871" t="str">
        <f>_xlfn.TEXTJOIN(" ",TRUE,Table1[[#This Row],[First 
Name]:[Last 
Name]])</f>
        <v>Justin Kelly</v>
      </c>
      <c r="E871" t="s">
        <v>1981</v>
      </c>
      <c r="F871" t="s">
        <v>3244</v>
      </c>
      <c r="G871" t="str">
        <f ca="1">PROPER(Table1[[#This Row],[Part Time 
Job]])</f>
        <v>False</v>
      </c>
      <c r="H871" s="3">
        <v>1</v>
      </c>
      <c r="I871" t="str">
        <f ca="1">PROPER(Table1[[#This Row],[Extracurricular 
Activities]])</f>
        <v>False</v>
      </c>
      <c r="J871">
        <v>21</v>
      </c>
      <c r="K871" t="s">
        <v>3116</v>
      </c>
      <c r="L871">
        <v>100</v>
      </c>
      <c r="M871" s="12" t="str" cm="1">
        <f t="array" ref="M87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871">
        <v>67</v>
      </c>
      <c r="O871" s="13" t="str" cm="1">
        <f t="array" ref="O87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871">
        <v>100</v>
      </c>
      <c r="Q871" s="13" t="str" cm="1">
        <f t="array" ref="Q87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871">
        <v>65</v>
      </c>
      <c r="S871" t="str" cm="1">
        <f t="array" ref="S87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871">
        <v>67</v>
      </c>
      <c r="U871" t="str" cm="1">
        <f t="array" ref="U87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871">
        <v>92</v>
      </c>
      <c r="W871" t="str" cm="1">
        <f t="array" ref="W87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871">
        <v>67</v>
      </c>
      <c r="Y871" t="str" cm="1">
        <f t="array" ref="Y87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871">
        <f>SUM(Table1[[#This Row],[Math 
Score]],Table1[[#This Row],[History 
Score]],Table1[[#This Row],[Physics 
Score]],Table1[[#This Row],[Chemistry 
Score]],Table1[[#This Row],[Biology 
Score]],Table1[[#This Row],[English 
Score]],Table1[[#This Row],[Geography 
Score]])</f>
        <v>558</v>
      </c>
      <c r="AA871" s="3">
        <f>AVERAGE(Table1[[#This Row],[Math 
Score]],Table1[[#This Row],[History 
Score]],Table1[[#This Row],[Physics 
Score]],Table1[[#This Row],[Chemistry 
Score]],Table1[[#This Row],[Biology 
Score]],Table1[[#This Row],[English 
Score]],Table1[[#This Row],[Geography 
Score]])</f>
        <v>79.714285714285708</v>
      </c>
      <c r="AB87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871">
        <f t="shared" si="13"/>
        <v>1178</v>
      </c>
      <c r="AD871" t="str">
        <f>_xlfn.IFS(Table1[[#This Row],[Absence 
Days]]&lt;3,"Excellent",Table1[[#This Row],[Absence 
Days]]&lt;=6,"Good",Table1[[#This Row],[Absence 
Days]]&gt;6,"Poor")</f>
        <v>Excellent</v>
      </c>
    </row>
    <row r="872" spans="1:30" x14ac:dyDescent="0.35">
      <c r="A872">
        <v>871</v>
      </c>
      <c r="B872" s="2" t="s">
        <v>6</v>
      </c>
      <c r="C872" t="s">
        <v>800</v>
      </c>
      <c r="D872" t="str">
        <f>_xlfn.TEXTJOIN(" ",TRUE,Table1[[#This Row],[First 
Name]:[Last 
Name]])</f>
        <v>George King</v>
      </c>
      <c r="E872" t="s">
        <v>1982</v>
      </c>
      <c r="F872" t="s">
        <v>3244</v>
      </c>
      <c r="G872" t="str">
        <f ca="1">PROPER(Table1[[#This Row],[Part Time 
Job]])</f>
        <v>False</v>
      </c>
      <c r="H872" s="3">
        <v>4</v>
      </c>
      <c r="I872" t="str">
        <f ca="1">PROPER(Table1[[#This Row],[Extracurricular 
Activities]])</f>
        <v>False</v>
      </c>
      <c r="J872">
        <v>22</v>
      </c>
      <c r="K872" t="s">
        <v>3117</v>
      </c>
      <c r="L872">
        <v>96</v>
      </c>
      <c r="M872" s="12" t="str" cm="1">
        <f t="array" ref="M87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872">
        <v>73</v>
      </c>
      <c r="O872" s="13" t="str" cm="1">
        <f t="array" ref="O87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872">
        <v>90</v>
      </c>
      <c r="Q872" s="13" t="str" cm="1">
        <f t="array" ref="Q87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872">
        <v>84</v>
      </c>
      <c r="S872" t="str" cm="1">
        <f t="array" ref="S87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872">
        <v>64</v>
      </c>
      <c r="U872" t="str" cm="1">
        <f t="array" ref="U87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872">
        <v>75</v>
      </c>
      <c r="W872" t="str" cm="1">
        <f t="array" ref="W87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872">
        <v>62</v>
      </c>
      <c r="Y872" t="str" cm="1">
        <f t="array" ref="Y87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872">
        <f>SUM(Table1[[#This Row],[Math 
Score]],Table1[[#This Row],[History 
Score]],Table1[[#This Row],[Physics 
Score]],Table1[[#This Row],[Chemistry 
Score]],Table1[[#This Row],[Biology 
Score]],Table1[[#This Row],[English 
Score]],Table1[[#This Row],[Geography 
Score]])</f>
        <v>544</v>
      </c>
      <c r="AA872" s="3">
        <f>AVERAGE(Table1[[#This Row],[Math 
Score]],Table1[[#This Row],[History 
Score]],Table1[[#This Row],[Physics 
Score]],Table1[[#This Row],[Chemistry 
Score]],Table1[[#This Row],[Biology 
Score]],Table1[[#This Row],[English 
Score]],Table1[[#This Row],[Geography 
Score]])</f>
        <v>77.714285714285708</v>
      </c>
      <c r="AB87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872">
        <f t="shared" si="13"/>
        <v>1446</v>
      </c>
      <c r="AD872" t="str">
        <f>_xlfn.IFS(Table1[[#This Row],[Absence 
Days]]&lt;3,"Excellent",Table1[[#This Row],[Absence 
Days]]&lt;=6,"Good",Table1[[#This Row],[Absence 
Days]]&gt;6,"Poor")</f>
        <v>Good</v>
      </c>
    </row>
    <row r="873" spans="1:30" x14ac:dyDescent="0.35">
      <c r="A873">
        <v>872</v>
      </c>
      <c r="B873" s="2" t="s">
        <v>182</v>
      </c>
      <c r="C873" t="s">
        <v>318</v>
      </c>
      <c r="D873" t="str">
        <f>_xlfn.TEXTJOIN(" ",TRUE,Table1[[#This Row],[First 
Name]:[Last 
Name]])</f>
        <v>Ashley Craig</v>
      </c>
      <c r="E873" t="s">
        <v>1983</v>
      </c>
      <c r="F873" t="s">
        <v>3245</v>
      </c>
      <c r="G873" t="str">
        <f ca="1">PROPER(Table1[[#This Row],[Part Time 
Job]])</f>
        <v>False</v>
      </c>
      <c r="H873" s="3">
        <v>3</v>
      </c>
      <c r="I873" t="str">
        <f ca="1">PROPER(Table1[[#This Row],[Extracurricular 
Activities]])</f>
        <v>False</v>
      </c>
      <c r="J873">
        <v>30</v>
      </c>
      <c r="K873" t="s">
        <v>3116</v>
      </c>
      <c r="L873">
        <v>60</v>
      </c>
      <c r="M873" s="12" t="str" cm="1">
        <f t="array" ref="M873">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873">
        <v>67</v>
      </c>
      <c r="O873" s="13" t="str" cm="1">
        <f t="array" ref="O87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873">
        <v>94</v>
      </c>
      <c r="Q873" s="13" t="str" cm="1">
        <f t="array" ref="Q87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873">
        <v>74</v>
      </c>
      <c r="S873" t="str" cm="1">
        <f t="array" ref="S87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873">
        <v>71</v>
      </c>
      <c r="U873" t="str" cm="1">
        <f t="array" ref="U87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873">
        <v>98</v>
      </c>
      <c r="W873" t="str" cm="1">
        <f t="array" ref="W87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873">
        <v>74</v>
      </c>
      <c r="Y873" t="str" cm="1">
        <f t="array" ref="Y87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873">
        <f>SUM(Table1[[#This Row],[Math 
Score]],Table1[[#This Row],[History 
Score]],Table1[[#This Row],[Physics 
Score]],Table1[[#This Row],[Chemistry 
Score]],Table1[[#This Row],[Biology 
Score]],Table1[[#This Row],[English 
Score]],Table1[[#This Row],[Geography 
Score]])</f>
        <v>538</v>
      </c>
      <c r="AA873" s="3">
        <f>AVERAGE(Table1[[#This Row],[Math 
Score]],Table1[[#This Row],[History 
Score]],Table1[[#This Row],[Physics 
Score]],Table1[[#This Row],[Chemistry 
Score]],Table1[[#This Row],[Biology 
Score]],Table1[[#This Row],[English 
Score]],Table1[[#This Row],[Geography 
Score]])</f>
        <v>76.857142857142861</v>
      </c>
      <c r="AB87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873">
        <f t="shared" si="13"/>
        <v>1537</v>
      </c>
      <c r="AD873" t="str">
        <f>_xlfn.IFS(Table1[[#This Row],[Absence 
Days]]&lt;3,"Excellent",Table1[[#This Row],[Absence 
Days]]&lt;=6,"Good",Table1[[#This Row],[Absence 
Days]]&gt;6,"Poor")</f>
        <v>Good</v>
      </c>
    </row>
    <row r="874" spans="1:30" x14ac:dyDescent="0.35">
      <c r="A874">
        <v>873</v>
      </c>
      <c r="B874" s="2" t="s">
        <v>11</v>
      </c>
      <c r="C874" t="s">
        <v>573</v>
      </c>
      <c r="D874" t="str">
        <f>_xlfn.TEXTJOIN(" ",TRUE,Table1[[#This Row],[First 
Name]:[Last 
Name]])</f>
        <v>Patricia Sullivan</v>
      </c>
      <c r="E874" t="s">
        <v>1984</v>
      </c>
      <c r="F874" t="s">
        <v>3245</v>
      </c>
      <c r="G874" t="str">
        <f ca="1">PROPER(Table1[[#This Row],[Part Time 
Job]])</f>
        <v>True</v>
      </c>
      <c r="H874" s="3">
        <v>7</v>
      </c>
      <c r="I874" t="str">
        <f ca="1">PROPER(Table1[[#This Row],[Extracurricular 
Activities]])</f>
        <v>False</v>
      </c>
      <c r="J874">
        <v>2</v>
      </c>
      <c r="K874" t="s">
        <v>3119</v>
      </c>
      <c r="L874">
        <v>51</v>
      </c>
      <c r="M874" s="12" t="str" cm="1">
        <f t="array" ref="M874">_xlfn.IFS(Table1[[#This Row],[Math 
Score]]&gt;=90,"A+",Table1[[#This Row],[Math 
Score]]&gt;=80,"A", Table1[[#This Row],[Math 
Score]]&gt;=75,"A-",Table1[[#This Row],[Math 
Score]]&gt;=70,"B+",Table1[[#This Row],[Math 
Score]]&gt;=65,"B",Table1[[#This Row],[Math 
Score]]&gt;=60,"B-",Table1[[#This Row],[Math 
Score]]&gt;=50,"C",Table1[[#This Row],[Math 
Score]]&gt;=40,"D",Table1[[#This Row],[Math 
Score]]&lt;40,"F")</f>
        <v>C</v>
      </c>
      <c r="N874">
        <v>98</v>
      </c>
      <c r="O874" s="13" t="str" cm="1">
        <f t="array" ref="O87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874">
        <v>90</v>
      </c>
      <c r="Q874" s="13" t="str" cm="1">
        <f t="array" ref="Q87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874">
        <v>54</v>
      </c>
      <c r="S874" t="str" cm="1">
        <f t="array" ref="S87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C</v>
      </c>
      <c r="T874">
        <v>77</v>
      </c>
      <c r="U874" t="str" cm="1">
        <f t="array" ref="U87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874">
        <v>80</v>
      </c>
      <c r="W874" t="str" cm="1">
        <f t="array" ref="W87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874">
        <v>71</v>
      </c>
      <c r="Y874" t="str" cm="1">
        <f t="array" ref="Y87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874">
        <f>SUM(Table1[[#This Row],[Math 
Score]],Table1[[#This Row],[History 
Score]],Table1[[#This Row],[Physics 
Score]],Table1[[#This Row],[Chemistry 
Score]],Table1[[#This Row],[Biology 
Score]],Table1[[#This Row],[English 
Score]],Table1[[#This Row],[Geography 
Score]])</f>
        <v>521</v>
      </c>
      <c r="AA874" s="3">
        <f>AVERAGE(Table1[[#This Row],[Math 
Score]],Table1[[#This Row],[History 
Score]],Table1[[#This Row],[Physics 
Score]],Table1[[#This Row],[Chemistry 
Score]],Table1[[#This Row],[Biology 
Score]],Table1[[#This Row],[English 
Score]],Table1[[#This Row],[Geography 
Score]])</f>
        <v>74.428571428571431</v>
      </c>
      <c r="AB87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874">
        <f t="shared" si="13"/>
        <v>1749</v>
      </c>
      <c r="AD874" t="str">
        <f>_xlfn.IFS(Table1[[#This Row],[Absence 
Days]]&lt;3,"Excellent",Table1[[#This Row],[Absence 
Days]]&lt;=6,"Good",Table1[[#This Row],[Absence 
Days]]&gt;6,"Poor")</f>
        <v>Poor</v>
      </c>
    </row>
    <row r="875" spans="1:30" x14ac:dyDescent="0.35">
      <c r="A875">
        <v>874</v>
      </c>
      <c r="B875" s="2" t="s">
        <v>40</v>
      </c>
      <c r="C875" t="s">
        <v>532</v>
      </c>
      <c r="D875" t="str">
        <f>_xlfn.TEXTJOIN(" ",TRUE,Table1[[#This Row],[First 
Name]:[Last 
Name]])</f>
        <v>David Jones</v>
      </c>
      <c r="E875" t="s">
        <v>1985</v>
      </c>
      <c r="F875" t="s">
        <v>3244</v>
      </c>
      <c r="G875" t="str">
        <f ca="1">PROPER(Table1[[#This Row],[Part Time 
Job]])</f>
        <v>False</v>
      </c>
      <c r="H875" s="3">
        <v>5</v>
      </c>
      <c r="I875" t="str">
        <f ca="1">PROPER(Table1[[#This Row],[Extracurricular 
Activities]])</f>
        <v>False</v>
      </c>
      <c r="J875">
        <v>24</v>
      </c>
      <c r="K875" t="s">
        <v>3117</v>
      </c>
      <c r="L875">
        <v>85</v>
      </c>
      <c r="M875" s="12" t="str" cm="1">
        <f t="array" ref="M87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875">
        <v>100</v>
      </c>
      <c r="O875" s="13" t="str" cm="1">
        <f t="array" ref="O87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875">
        <v>93</v>
      </c>
      <c r="Q875" s="13" t="str" cm="1">
        <f t="array" ref="Q87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875">
        <v>64</v>
      </c>
      <c r="S875" t="str" cm="1">
        <f t="array" ref="S87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875">
        <v>81</v>
      </c>
      <c r="U875" t="str" cm="1">
        <f t="array" ref="U87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875">
        <v>78</v>
      </c>
      <c r="W875" t="str" cm="1">
        <f t="array" ref="W87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875">
        <v>64</v>
      </c>
      <c r="Y875" t="str" cm="1">
        <f t="array" ref="Y87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875">
        <f>SUM(Table1[[#This Row],[Math 
Score]],Table1[[#This Row],[History 
Score]],Table1[[#This Row],[Physics 
Score]],Table1[[#This Row],[Chemistry 
Score]],Table1[[#This Row],[Biology 
Score]],Table1[[#This Row],[English 
Score]],Table1[[#This Row],[Geography 
Score]])</f>
        <v>565</v>
      </c>
      <c r="AA875" s="3">
        <f>AVERAGE(Table1[[#This Row],[Math 
Score]],Table1[[#This Row],[History 
Score]],Table1[[#This Row],[Physics 
Score]],Table1[[#This Row],[Chemistry 
Score]],Table1[[#This Row],[Biology 
Score]],Table1[[#This Row],[English 
Score]],Table1[[#This Row],[Geography 
Score]])</f>
        <v>80.714285714285708</v>
      </c>
      <c r="AB87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875">
        <f t="shared" si="13"/>
        <v>1035</v>
      </c>
      <c r="AD875" t="str">
        <f>_xlfn.IFS(Table1[[#This Row],[Absence 
Days]]&lt;3,"Excellent",Table1[[#This Row],[Absence 
Days]]&lt;=6,"Good",Table1[[#This Row],[Absence 
Days]]&gt;6,"Poor")</f>
        <v>Good</v>
      </c>
    </row>
    <row r="876" spans="1:30" x14ac:dyDescent="0.35">
      <c r="A876">
        <v>875</v>
      </c>
      <c r="B876" s="2" t="s">
        <v>193</v>
      </c>
      <c r="C876" t="s">
        <v>458</v>
      </c>
      <c r="D876" t="str">
        <f>_xlfn.TEXTJOIN(" ",TRUE,Table1[[#This Row],[First 
Name]:[Last 
Name]])</f>
        <v>Cody Smith</v>
      </c>
      <c r="E876" t="s">
        <v>1986</v>
      </c>
      <c r="F876" t="s">
        <v>3244</v>
      </c>
      <c r="G876" t="str">
        <f ca="1">PROPER(Table1[[#This Row],[Part Time 
Job]])</f>
        <v>False</v>
      </c>
      <c r="H876" s="3">
        <v>10</v>
      </c>
      <c r="I876" t="str">
        <f ca="1">PROPER(Table1[[#This Row],[Extracurricular 
Activities]])</f>
        <v>False</v>
      </c>
      <c r="J876">
        <v>15</v>
      </c>
      <c r="K876" t="s">
        <v>3123</v>
      </c>
      <c r="L876">
        <v>76</v>
      </c>
      <c r="M876" s="12" t="str" cm="1">
        <f t="array" ref="M87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876">
        <v>86</v>
      </c>
      <c r="O876" s="13" t="str" cm="1">
        <f t="array" ref="O87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876">
        <v>68</v>
      </c>
      <c r="Q876" s="13" t="str" cm="1">
        <f t="array" ref="Q87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876">
        <v>83</v>
      </c>
      <c r="S876" t="str" cm="1">
        <f t="array" ref="S87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876">
        <v>82</v>
      </c>
      <c r="U876" t="str" cm="1">
        <f t="array" ref="U87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876">
        <v>67</v>
      </c>
      <c r="W876" t="str" cm="1">
        <f t="array" ref="W87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876">
        <v>69</v>
      </c>
      <c r="Y876" t="str" cm="1">
        <f t="array" ref="Y87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876">
        <f>SUM(Table1[[#This Row],[Math 
Score]],Table1[[#This Row],[History 
Score]],Table1[[#This Row],[Physics 
Score]],Table1[[#This Row],[Chemistry 
Score]],Table1[[#This Row],[Biology 
Score]],Table1[[#This Row],[English 
Score]],Table1[[#This Row],[Geography 
Score]])</f>
        <v>531</v>
      </c>
      <c r="AA876" s="3">
        <f>AVERAGE(Table1[[#This Row],[Math 
Score]],Table1[[#This Row],[History 
Score]],Table1[[#This Row],[Physics 
Score]],Table1[[#This Row],[Chemistry 
Score]],Table1[[#This Row],[Biology 
Score]],Table1[[#This Row],[English 
Score]],Table1[[#This Row],[Geography 
Score]])</f>
        <v>75.857142857142861</v>
      </c>
      <c r="AB87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876">
        <f t="shared" si="13"/>
        <v>1637</v>
      </c>
      <c r="AD876" t="str">
        <f>_xlfn.IFS(Table1[[#This Row],[Absence 
Days]]&lt;3,"Excellent",Table1[[#This Row],[Absence 
Days]]&lt;=6,"Good",Table1[[#This Row],[Absence 
Days]]&gt;6,"Poor")</f>
        <v>Poor</v>
      </c>
    </row>
    <row r="877" spans="1:30" x14ac:dyDescent="0.35">
      <c r="A877">
        <v>876</v>
      </c>
      <c r="B877" s="2" t="s">
        <v>149</v>
      </c>
      <c r="C877" t="s">
        <v>294</v>
      </c>
      <c r="D877" t="str">
        <f>_xlfn.TEXTJOIN(" ",TRUE,Table1[[#This Row],[First 
Name]:[Last 
Name]])</f>
        <v>Joseph Jackson</v>
      </c>
      <c r="E877" t="s">
        <v>1987</v>
      </c>
      <c r="F877" t="s">
        <v>3244</v>
      </c>
      <c r="G877" t="str">
        <f ca="1">PROPER(Table1[[#This Row],[Part Time 
Job]])</f>
        <v>False</v>
      </c>
      <c r="H877" s="3">
        <v>1</v>
      </c>
      <c r="I877" t="str">
        <f ca="1">PROPER(Table1[[#This Row],[Extracurricular 
Activities]])</f>
        <v>False</v>
      </c>
      <c r="J877">
        <v>24</v>
      </c>
      <c r="K877" t="s">
        <v>3117</v>
      </c>
      <c r="L877">
        <v>92</v>
      </c>
      <c r="M877" s="12" t="str" cm="1">
        <f t="array" ref="M87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877">
        <v>63</v>
      </c>
      <c r="O877" s="13" t="str" cm="1">
        <f t="array" ref="O87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877">
        <v>87</v>
      </c>
      <c r="Q877" s="13" t="str" cm="1">
        <f t="array" ref="Q87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877">
        <v>92</v>
      </c>
      <c r="S877" t="str" cm="1">
        <f t="array" ref="S87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877">
        <v>81</v>
      </c>
      <c r="U877" t="str" cm="1">
        <f t="array" ref="U87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877">
        <v>78</v>
      </c>
      <c r="W877" t="str" cm="1">
        <f t="array" ref="W87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877">
        <v>74</v>
      </c>
      <c r="Y877" t="str" cm="1">
        <f t="array" ref="Y87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877">
        <f>SUM(Table1[[#This Row],[Math 
Score]],Table1[[#This Row],[History 
Score]],Table1[[#This Row],[Physics 
Score]],Table1[[#This Row],[Chemistry 
Score]],Table1[[#This Row],[Biology 
Score]],Table1[[#This Row],[English 
Score]],Table1[[#This Row],[Geography 
Score]])</f>
        <v>567</v>
      </c>
      <c r="AA877" s="3">
        <f>AVERAGE(Table1[[#This Row],[Math 
Score]],Table1[[#This Row],[History 
Score]],Table1[[#This Row],[Physics 
Score]],Table1[[#This Row],[Chemistry 
Score]],Table1[[#This Row],[Biology 
Score]],Table1[[#This Row],[English 
Score]],Table1[[#This Row],[Geography 
Score]])</f>
        <v>81</v>
      </c>
      <c r="AB87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877">
        <f t="shared" si="13"/>
        <v>994</v>
      </c>
      <c r="AD877" t="str">
        <f>_xlfn.IFS(Table1[[#This Row],[Absence 
Days]]&lt;3,"Excellent",Table1[[#This Row],[Absence 
Days]]&lt;=6,"Good",Table1[[#This Row],[Absence 
Days]]&gt;6,"Poor")</f>
        <v>Excellent</v>
      </c>
    </row>
    <row r="878" spans="1:30" x14ac:dyDescent="0.35">
      <c r="A878">
        <v>877</v>
      </c>
      <c r="B878" s="2" t="s">
        <v>106</v>
      </c>
      <c r="C878" t="s">
        <v>512</v>
      </c>
      <c r="D878" t="str">
        <f>_xlfn.TEXTJOIN(" ",TRUE,Table1[[#This Row],[First 
Name]:[Last 
Name]])</f>
        <v>Adam Edwards</v>
      </c>
      <c r="E878" t="s">
        <v>1988</v>
      </c>
      <c r="F878" t="s">
        <v>3244</v>
      </c>
      <c r="G878" t="str">
        <f ca="1">PROPER(Table1[[#This Row],[Part Time 
Job]])</f>
        <v>False</v>
      </c>
      <c r="H878" s="3">
        <v>5</v>
      </c>
      <c r="I878" t="str">
        <f ca="1">PROPER(Table1[[#This Row],[Extracurricular 
Activities]])</f>
        <v>False</v>
      </c>
      <c r="J878">
        <v>3</v>
      </c>
      <c r="K878" t="s">
        <v>3114</v>
      </c>
      <c r="L878">
        <v>90</v>
      </c>
      <c r="M878" s="12" t="str" cm="1">
        <f t="array" ref="M87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878">
        <v>89</v>
      </c>
      <c r="O878" s="13" t="str" cm="1">
        <f t="array" ref="O87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878">
        <v>95</v>
      </c>
      <c r="Q878" s="13" t="str" cm="1">
        <f t="array" ref="Q87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878">
        <v>73</v>
      </c>
      <c r="S878" t="str" cm="1">
        <f t="array" ref="S87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878">
        <v>79</v>
      </c>
      <c r="U878" t="str" cm="1">
        <f t="array" ref="U87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878">
        <v>98</v>
      </c>
      <c r="W878" t="str" cm="1">
        <f t="array" ref="W87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878">
        <v>68</v>
      </c>
      <c r="Y878" t="str" cm="1">
        <f t="array" ref="Y87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878">
        <f>SUM(Table1[[#This Row],[Math 
Score]],Table1[[#This Row],[History 
Score]],Table1[[#This Row],[Physics 
Score]],Table1[[#This Row],[Chemistry 
Score]],Table1[[#This Row],[Biology 
Score]],Table1[[#This Row],[English 
Score]],Table1[[#This Row],[Geography 
Score]])</f>
        <v>592</v>
      </c>
      <c r="AA878" s="3">
        <f>AVERAGE(Table1[[#This Row],[Math 
Score]],Table1[[#This Row],[History 
Score]],Table1[[#This Row],[Physics 
Score]],Table1[[#This Row],[Chemistry 
Score]],Table1[[#This Row],[Biology 
Score]],Table1[[#This Row],[English 
Score]],Table1[[#This Row],[Geography 
Score]])</f>
        <v>84.571428571428569</v>
      </c>
      <c r="AB87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878">
        <f t="shared" si="13"/>
        <v>505</v>
      </c>
      <c r="AD878" t="str">
        <f>_xlfn.IFS(Table1[[#This Row],[Absence 
Days]]&lt;3,"Excellent",Table1[[#This Row],[Absence 
Days]]&lt;=6,"Good",Table1[[#This Row],[Absence 
Days]]&gt;6,"Poor")</f>
        <v>Good</v>
      </c>
    </row>
    <row r="879" spans="1:30" x14ac:dyDescent="0.35">
      <c r="A879">
        <v>878</v>
      </c>
      <c r="B879" s="2" t="s">
        <v>56</v>
      </c>
      <c r="C879" t="s">
        <v>784</v>
      </c>
      <c r="D879" t="str">
        <f>_xlfn.TEXTJOIN(" ",TRUE,Table1[[#This Row],[First 
Name]:[Last 
Name]])</f>
        <v>Brian Morales</v>
      </c>
      <c r="E879" t="s">
        <v>1989</v>
      </c>
      <c r="F879" t="s">
        <v>3244</v>
      </c>
      <c r="G879" t="str">
        <f ca="1">PROPER(Table1[[#This Row],[Part Time 
Job]])</f>
        <v>True</v>
      </c>
      <c r="H879" s="3">
        <v>6</v>
      </c>
      <c r="I879" t="str">
        <f ca="1">PROPER(Table1[[#This Row],[Extracurricular 
Activities]])</f>
        <v>True</v>
      </c>
      <c r="J879">
        <v>4</v>
      </c>
      <c r="K879" t="s">
        <v>3119</v>
      </c>
      <c r="L879">
        <v>73</v>
      </c>
      <c r="M879" s="12" t="str" cm="1">
        <f t="array" ref="M879">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879">
        <v>53</v>
      </c>
      <c r="O879" s="13" t="str" cm="1">
        <f t="array" ref="O87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C</v>
      </c>
      <c r="P879">
        <v>68</v>
      </c>
      <c r="Q879" s="13" t="str" cm="1">
        <f t="array" ref="Q87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879">
        <v>60</v>
      </c>
      <c r="S879" t="str" cm="1">
        <f t="array" ref="S87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879">
        <v>95</v>
      </c>
      <c r="U879" t="str" cm="1">
        <f t="array" ref="U87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879">
        <v>96</v>
      </c>
      <c r="W879" t="str" cm="1">
        <f t="array" ref="W87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879">
        <v>99</v>
      </c>
      <c r="Y879" t="str" cm="1">
        <f t="array" ref="Y87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879">
        <f>SUM(Table1[[#This Row],[Math 
Score]],Table1[[#This Row],[History 
Score]],Table1[[#This Row],[Physics 
Score]],Table1[[#This Row],[Chemistry 
Score]],Table1[[#This Row],[Biology 
Score]],Table1[[#This Row],[English 
Score]],Table1[[#This Row],[Geography 
Score]])</f>
        <v>544</v>
      </c>
      <c r="AA879" s="3">
        <f>AVERAGE(Table1[[#This Row],[Math 
Score]],Table1[[#This Row],[History 
Score]],Table1[[#This Row],[Physics 
Score]],Table1[[#This Row],[Chemistry 
Score]],Table1[[#This Row],[Biology 
Score]],Table1[[#This Row],[English 
Score]],Table1[[#This Row],[Geography 
Score]])</f>
        <v>77.714285714285708</v>
      </c>
      <c r="AB87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879">
        <f t="shared" si="13"/>
        <v>1446</v>
      </c>
      <c r="AD879" t="str">
        <f>_xlfn.IFS(Table1[[#This Row],[Absence 
Days]]&lt;3,"Excellent",Table1[[#This Row],[Absence 
Days]]&lt;=6,"Good",Table1[[#This Row],[Absence 
Days]]&gt;6,"Poor")</f>
        <v>Good</v>
      </c>
    </row>
    <row r="880" spans="1:30" x14ac:dyDescent="0.35">
      <c r="A880">
        <v>879</v>
      </c>
      <c r="B880" s="2" t="s">
        <v>51</v>
      </c>
      <c r="C880" t="s">
        <v>885</v>
      </c>
      <c r="D880" t="str">
        <f>_xlfn.TEXTJOIN(" ",TRUE,Table1[[#This Row],[First 
Name]:[Last 
Name]])</f>
        <v>Melissa Fry</v>
      </c>
      <c r="E880" t="s">
        <v>1990</v>
      </c>
      <c r="F880" t="s">
        <v>3245</v>
      </c>
      <c r="G880" t="str">
        <f ca="1">PROPER(Table1[[#This Row],[Part Time 
Job]])</f>
        <v>False</v>
      </c>
      <c r="H880" s="3">
        <v>5</v>
      </c>
      <c r="I880" t="str">
        <f ca="1">PROPER(Table1[[#This Row],[Extracurricular 
Activities]])</f>
        <v>False</v>
      </c>
      <c r="J880">
        <v>42</v>
      </c>
      <c r="K880" t="s">
        <v>3113</v>
      </c>
      <c r="L880">
        <v>90</v>
      </c>
      <c r="M880" s="12" t="str" cm="1">
        <f t="array" ref="M88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880">
        <v>89</v>
      </c>
      <c r="O880" s="13" t="str" cm="1">
        <f t="array" ref="O88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880">
        <v>92</v>
      </c>
      <c r="Q880" s="13" t="str" cm="1">
        <f t="array" ref="Q88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880">
        <v>93</v>
      </c>
      <c r="S880" t="str" cm="1">
        <f t="array" ref="S88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880">
        <v>97</v>
      </c>
      <c r="U880" t="str" cm="1">
        <f t="array" ref="U88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880">
        <v>92</v>
      </c>
      <c r="W880" t="str" cm="1">
        <f t="array" ref="W88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880">
        <v>100</v>
      </c>
      <c r="Y880" t="str" cm="1">
        <f t="array" ref="Y88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880">
        <f>SUM(Table1[[#This Row],[Math 
Score]],Table1[[#This Row],[History 
Score]],Table1[[#This Row],[Physics 
Score]],Table1[[#This Row],[Chemistry 
Score]],Table1[[#This Row],[Biology 
Score]],Table1[[#This Row],[English 
Score]],Table1[[#This Row],[Geography 
Score]])</f>
        <v>653</v>
      </c>
      <c r="AA880" s="3">
        <f>AVERAGE(Table1[[#This Row],[Math 
Score]],Table1[[#This Row],[History 
Score]],Table1[[#This Row],[Physics 
Score]],Table1[[#This Row],[Chemistry 
Score]],Table1[[#This Row],[Biology 
Score]],Table1[[#This Row],[English 
Score]],Table1[[#This Row],[Geography 
Score]])</f>
        <v>93.285714285714292</v>
      </c>
      <c r="AB88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880">
        <f t="shared" si="13"/>
        <v>43</v>
      </c>
      <c r="AD880" t="str">
        <f>_xlfn.IFS(Table1[[#This Row],[Absence 
Days]]&lt;3,"Excellent",Table1[[#This Row],[Absence 
Days]]&lt;=6,"Good",Table1[[#This Row],[Absence 
Days]]&gt;6,"Poor")</f>
        <v>Good</v>
      </c>
    </row>
    <row r="881" spans="1:30" x14ac:dyDescent="0.35">
      <c r="A881">
        <v>880</v>
      </c>
      <c r="B881" s="2" t="s">
        <v>230</v>
      </c>
      <c r="C881" t="s">
        <v>886</v>
      </c>
      <c r="D881" t="str">
        <f>_xlfn.TEXTJOIN(" ",TRUE,Table1[[#This Row],[First 
Name]:[Last 
Name]])</f>
        <v>Lori Jacobson</v>
      </c>
      <c r="E881" t="s">
        <v>1991</v>
      </c>
      <c r="F881" t="s">
        <v>3245</v>
      </c>
      <c r="G881" t="str">
        <f ca="1">PROPER(Table1[[#This Row],[Part Time 
Job]])</f>
        <v>False</v>
      </c>
      <c r="H881" s="3">
        <v>6</v>
      </c>
      <c r="I881" t="str">
        <f ca="1">PROPER(Table1[[#This Row],[Extracurricular 
Activities]])</f>
        <v>False</v>
      </c>
      <c r="J881">
        <v>24</v>
      </c>
      <c r="K881" t="s">
        <v>3123</v>
      </c>
      <c r="L881">
        <v>87</v>
      </c>
      <c r="M881" s="12" t="str" cm="1">
        <f t="array" ref="M88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881">
        <v>87</v>
      </c>
      <c r="O881" s="13" t="str" cm="1">
        <f t="array" ref="O88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881">
        <v>86</v>
      </c>
      <c r="Q881" s="13" t="str" cm="1">
        <f t="array" ref="Q88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881">
        <v>91</v>
      </c>
      <c r="S881" t="str" cm="1">
        <f t="array" ref="S88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881">
        <v>90</v>
      </c>
      <c r="U881" t="str" cm="1">
        <f t="array" ref="U88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881">
        <v>75</v>
      </c>
      <c r="W881" t="str" cm="1">
        <f t="array" ref="W88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881">
        <v>79</v>
      </c>
      <c r="Y881" t="str" cm="1">
        <f t="array" ref="Y88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881">
        <f>SUM(Table1[[#This Row],[Math 
Score]],Table1[[#This Row],[History 
Score]],Table1[[#This Row],[Physics 
Score]],Table1[[#This Row],[Chemistry 
Score]],Table1[[#This Row],[Biology 
Score]],Table1[[#This Row],[English 
Score]],Table1[[#This Row],[Geography 
Score]])</f>
        <v>595</v>
      </c>
      <c r="AA881" s="3">
        <f>AVERAGE(Table1[[#This Row],[Math 
Score]],Table1[[#This Row],[History 
Score]],Table1[[#This Row],[Physics 
Score]],Table1[[#This Row],[Chemistry 
Score]],Table1[[#This Row],[Biology 
Score]],Table1[[#This Row],[English 
Score]],Table1[[#This Row],[Geography 
Score]])</f>
        <v>85</v>
      </c>
      <c r="AB88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881">
        <f t="shared" si="13"/>
        <v>465</v>
      </c>
      <c r="AD881" t="str">
        <f>_xlfn.IFS(Table1[[#This Row],[Absence 
Days]]&lt;3,"Excellent",Table1[[#This Row],[Absence 
Days]]&lt;=6,"Good",Table1[[#This Row],[Absence 
Days]]&gt;6,"Poor")</f>
        <v>Good</v>
      </c>
    </row>
    <row r="882" spans="1:30" x14ac:dyDescent="0.35">
      <c r="A882">
        <v>881</v>
      </c>
      <c r="B882" s="2" t="s">
        <v>102</v>
      </c>
      <c r="C882" t="s">
        <v>21</v>
      </c>
      <c r="D882" t="str">
        <f>_xlfn.TEXTJOIN(" ",TRUE,Table1[[#This Row],[First 
Name]:[Last 
Name]])</f>
        <v>Jessica Shannon</v>
      </c>
      <c r="E882" t="s">
        <v>1992</v>
      </c>
      <c r="F882" t="s">
        <v>3245</v>
      </c>
      <c r="G882" t="str">
        <f ca="1">PROPER(Table1[[#This Row],[Part Time 
Job]])</f>
        <v>False</v>
      </c>
      <c r="H882" s="3">
        <v>1</v>
      </c>
      <c r="I882" t="str">
        <f ca="1">PROPER(Table1[[#This Row],[Extracurricular 
Activities]])</f>
        <v>False</v>
      </c>
      <c r="J882">
        <v>0</v>
      </c>
      <c r="K882" t="s">
        <v>3128</v>
      </c>
      <c r="L882">
        <v>93</v>
      </c>
      <c r="M882" s="12" t="str" cm="1">
        <f t="array" ref="M88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882">
        <v>96</v>
      </c>
      <c r="O882" s="13" t="str" cm="1">
        <f t="array" ref="O88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882">
        <v>70</v>
      </c>
      <c r="Q882" s="13" t="str" cm="1">
        <f t="array" ref="Q88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882">
        <v>92</v>
      </c>
      <c r="S882" t="str" cm="1">
        <f t="array" ref="S88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882">
        <v>65</v>
      </c>
      <c r="U882" t="str" cm="1">
        <f t="array" ref="U88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882">
        <v>90</v>
      </c>
      <c r="W882" t="str" cm="1">
        <f t="array" ref="W88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882">
        <v>84</v>
      </c>
      <c r="Y882" t="str" cm="1">
        <f t="array" ref="Y88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882">
        <f>SUM(Table1[[#This Row],[Math 
Score]],Table1[[#This Row],[History 
Score]],Table1[[#This Row],[Physics 
Score]],Table1[[#This Row],[Chemistry 
Score]],Table1[[#This Row],[Biology 
Score]],Table1[[#This Row],[English 
Score]],Table1[[#This Row],[Geography 
Score]])</f>
        <v>590</v>
      </c>
      <c r="AA882" s="3">
        <f>AVERAGE(Table1[[#This Row],[Math 
Score]],Table1[[#This Row],[History 
Score]],Table1[[#This Row],[Physics 
Score]],Table1[[#This Row],[Chemistry 
Score]],Table1[[#This Row],[Biology 
Score]],Table1[[#This Row],[English 
Score]],Table1[[#This Row],[Geography 
Score]])</f>
        <v>84.285714285714292</v>
      </c>
      <c r="AB88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882">
        <f t="shared" si="13"/>
        <v>531</v>
      </c>
      <c r="AD882" t="str">
        <f>_xlfn.IFS(Table1[[#This Row],[Absence 
Days]]&lt;3,"Excellent",Table1[[#This Row],[Absence 
Days]]&lt;=6,"Good",Table1[[#This Row],[Absence 
Days]]&gt;6,"Poor")</f>
        <v>Excellent</v>
      </c>
    </row>
    <row r="883" spans="1:30" x14ac:dyDescent="0.35">
      <c r="A883">
        <v>882</v>
      </c>
      <c r="B883" s="2" t="s">
        <v>238</v>
      </c>
      <c r="C883" t="s">
        <v>773</v>
      </c>
      <c r="D883" t="str">
        <f>_xlfn.TEXTJOIN(" ",TRUE,Table1[[#This Row],[First 
Name]:[Last 
Name]])</f>
        <v>Sharon Ramirez</v>
      </c>
      <c r="E883" t="s">
        <v>1993</v>
      </c>
      <c r="F883" t="s">
        <v>3245</v>
      </c>
      <c r="G883" t="str">
        <f ca="1">PROPER(Table1[[#This Row],[Part Time 
Job]])</f>
        <v>False</v>
      </c>
      <c r="H883" s="3">
        <v>3</v>
      </c>
      <c r="I883" t="str">
        <f ca="1">PROPER(Table1[[#This Row],[Extracurricular 
Activities]])</f>
        <v>False</v>
      </c>
      <c r="J883">
        <v>4</v>
      </c>
      <c r="K883" t="s">
        <v>3128</v>
      </c>
      <c r="L883">
        <v>75</v>
      </c>
      <c r="M883" s="12" t="str" cm="1">
        <f t="array" ref="M88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883">
        <v>91</v>
      </c>
      <c r="O883" s="13" t="str" cm="1">
        <f t="array" ref="O88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883">
        <v>68</v>
      </c>
      <c r="Q883" s="13" t="str" cm="1">
        <f t="array" ref="Q88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883">
        <v>86</v>
      </c>
      <c r="S883" t="str" cm="1">
        <f t="array" ref="S88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883">
        <v>81</v>
      </c>
      <c r="U883" t="str" cm="1">
        <f t="array" ref="U88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883">
        <v>72</v>
      </c>
      <c r="W883" t="str" cm="1">
        <f t="array" ref="W88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883">
        <v>89</v>
      </c>
      <c r="Y883" t="str" cm="1">
        <f t="array" ref="Y88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883">
        <f>SUM(Table1[[#This Row],[Math 
Score]],Table1[[#This Row],[History 
Score]],Table1[[#This Row],[Physics 
Score]],Table1[[#This Row],[Chemistry 
Score]],Table1[[#This Row],[Biology 
Score]],Table1[[#This Row],[English 
Score]],Table1[[#This Row],[Geography 
Score]])</f>
        <v>562</v>
      </c>
      <c r="AA883" s="3">
        <f>AVERAGE(Table1[[#This Row],[Math 
Score]],Table1[[#This Row],[History 
Score]],Table1[[#This Row],[Physics 
Score]],Table1[[#This Row],[Chemistry 
Score]],Table1[[#This Row],[Biology 
Score]],Table1[[#This Row],[English 
Score]],Table1[[#This Row],[Geography 
Score]])</f>
        <v>80.285714285714292</v>
      </c>
      <c r="AB88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883">
        <f t="shared" si="13"/>
        <v>1099</v>
      </c>
      <c r="AD883" t="str">
        <f>_xlfn.IFS(Table1[[#This Row],[Absence 
Days]]&lt;3,"Excellent",Table1[[#This Row],[Absence 
Days]]&lt;=6,"Good",Table1[[#This Row],[Absence 
Days]]&gt;6,"Poor")</f>
        <v>Good</v>
      </c>
    </row>
    <row r="884" spans="1:30" x14ac:dyDescent="0.35">
      <c r="A884">
        <v>883</v>
      </c>
      <c r="B884" s="2" t="s">
        <v>203</v>
      </c>
      <c r="C884" t="s">
        <v>681</v>
      </c>
      <c r="D884" t="str">
        <f>_xlfn.TEXTJOIN(" ",TRUE,Table1[[#This Row],[First 
Name]:[Last 
Name]])</f>
        <v>Nicole Rice</v>
      </c>
      <c r="E884" t="s">
        <v>1994</v>
      </c>
      <c r="F884" t="s">
        <v>3245</v>
      </c>
      <c r="G884" t="str">
        <f ca="1">PROPER(Table1[[#This Row],[Part Time 
Job]])</f>
        <v>False</v>
      </c>
      <c r="H884" s="3">
        <v>3</v>
      </c>
      <c r="I884" t="str">
        <f ca="1">PROPER(Table1[[#This Row],[Extracurricular 
Activities]])</f>
        <v>False</v>
      </c>
      <c r="J884">
        <v>25</v>
      </c>
      <c r="K884" t="s">
        <v>3117</v>
      </c>
      <c r="L884">
        <v>96</v>
      </c>
      <c r="M884" s="12" t="str" cm="1">
        <f t="array" ref="M88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884">
        <v>100</v>
      </c>
      <c r="O884" s="13" t="str" cm="1">
        <f t="array" ref="O88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884">
        <v>99</v>
      </c>
      <c r="Q884" s="13" t="str" cm="1">
        <f t="array" ref="Q88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884">
        <v>82</v>
      </c>
      <c r="S884" t="str" cm="1">
        <f t="array" ref="S88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884">
        <v>79</v>
      </c>
      <c r="U884" t="str" cm="1">
        <f t="array" ref="U88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884">
        <v>95</v>
      </c>
      <c r="W884" t="str" cm="1">
        <f t="array" ref="W88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884">
        <v>89</v>
      </c>
      <c r="Y884" t="str" cm="1">
        <f t="array" ref="Y88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884">
        <f>SUM(Table1[[#This Row],[Math 
Score]],Table1[[#This Row],[History 
Score]],Table1[[#This Row],[Physics 
Score]],Table1[[#This Row],[Chemistry 
Score]],Table1[[#This Row],[Biology 
Score]],Table1[[#This Row],[English 
Score]],Table1[[#This Row],[Geography 
Score]])</f>
        <v>640</v>
      </c>
      <c r="AA884" s="3">
        <f>AVERAGE(Table1[[#This Row],[Math 
Score]],Table1[[#This Row],[History 
Score]],Table1[[#This Row],[Physics 
Score]],Table1[[#This Row],[Chemistry 
Score]],Table1[[#This Row],[Biology 
Score]],Table1[[#This Row],[English 
Score]],Table1[[#This Row],[Geography 
Score]])</f>
        <v>91.428571428571431</v>
      </c>
      <c r="AB88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884">
        <f t="shared" si="13"/>
        <v>98</v>
      </c>
      <c r="AD884" t="str">
        <f>_xlfn.IFS(Table1[[#This Row],[Absence 
Days]]&lt;3,"Excellent",Table1[[#This Row],[Absence 
Days]]&lt;=6,"Good",Table1[[#This Row],[Absence 
Days]]&gt;6,"Poor")</f>
        <v>Good</v>
      </c>
    </row>
    <row r="885" spans="1:30" x14ac:dyDescent="0.35">
      <c r="A885">
        <v>884</v>
      </c>
      <c r="B885" s="2" t="s">
        <v>328</v>
      </c>
      <c r="C885" t="s">
        <v>582</v>
      </c>
      <c r="D885" t="str">
        <f>_xlfn.TEXTJOIN(" ",TRUE,Table1[[#This Row],[First 
Name]:[Last 
Name]])</f>
        <v>Alison Webster</v>
      </c>
      <c r="E885" t="s">
        <v>1995</v>
      </c>
      <c r="F885" t="s">
        <v>3245</v>
      </c>
      <c r="G885" t="str">
        <f ca="1">PROPER(Table1[[#This Row],[Part Time 
Job]])</f>
        <v>True</v>
      </c>
      <c r="H885" s="3">
        <v>1</v>
      </c>
      <c r="I885" t="str">
        <f ca="1">PROPER(Table1[[#This Row],[Extracurricular 
Activities]])</f>
        <v>True</v>
      </c>
      <c r="J885">
        <v>1</v>
      </c>
      <c r="K885" t="s">
        <v>3115</v>
      </c>
      <c r="L885">
        <v>63</v>
      </c>
      <c r="M885" s="12" t="str" cm="1">
        <f t="array" ref="M885">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885">
        <v>75</v>
      </c>
      <c r="O885" s="13" t="str" cm="1">
        <f t="array" ref="O88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885">
        <v>68</v>
      </c>
      <c r="Q885" s="13" t="str" cm="1">
        <f t="array" ref="Q88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885">
        <v>63</v>
      </c>
      <c r="S885" t="str" cm="1">
        <f t="array" ref="S88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885">
        <v>63</v>
      </c>
      <c r="U885" t="str" cm="1">
        <f t="array" ref="U88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885">
        <v>73</v>
      </c>
      <c r="W885" t="str" cm="1">
        <f t="array" ref="W88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885">
        <v>79</v>
      </c>
      <c r="Y885" t="str" cm="1">
        <f t="array" ref="Y88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885">
        <f>SUM(Table1[[#This Row],[Math 
Score]],Table1[[#This Row],[History 
Score]],Table1[[#This Row],[Physics 
Score]],Table1[[#This Row],[Chemistry 
Score]],Table1[[#This Row],[Biology 
Score]],Table1[[#This Row],[English 
Score]],Table1[[#This Row],[Geography 
Score]])</f>
        <v>484</v>
      </c>
      <c r="AA885" s="3">
        <f>AVERAGE(Table1[[#This Row],[Math 
Score]],Table1[[#This Row],[History 
Score]],Table1[[#This Row],[Physics 
Score]],Table1[[#This Row],[Chemistry 
Score]],Table1[[#This Row],[Biology 
Score]],Table1[[#This Row],[English 
Score]],Table1[[#This Row],[Geography 
Score]])</f>
        <v>69.142857142857139</v>
      </c>
      <c r="AB88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885">
        <f t="shared" si="13"/>
        <v>1925</v>
      </c>
      <c r="AD885" t="str">
        <f>_xlfn.IFS(Table1[[#This Row],[Absence 
Days]]&lt;3,"Excellent",Table1[[#This Row],[Absence 
Days]]&lt;=6,"Good",Table1[[#This Row],[Absence 
Days]]&gt;6,"Poor")</f>
        <v>Excellent</v>
      </c>
    </row>
    <row r="886" spans="1:30" x14ac:dyDescent="0.35">
      <c r="A886">
        <v>885</v>
      </c>
      <c r="B886" s="2" t="s">
        <v>261</v>
      </c>
      <c r="C886" t="s">
        <v>433</v>
      </c>
      <c r="D886" t="str">
        <f>_xlfn.TEXTJOIN(" ",TRUE,Table1[[#This Row],[First 
Name]:[Last 
Name]])</f>
        <v>Alexander Mitchell</v>
      </c>
      <c r="E886" t="s">
        <v>1996</v>
      </c>
      <c r="F886" t="s">
        <v>3244</v>
      </c>
      <c r="G886" t="str">
        <f ca="1">PROPER(Table1[[#This Row],[Part Time 
Job]])</f>
        <v>False</v>
      </c>
      <c r="H886" s="3">
        <v>5</v>
      </c>
      <c r="I886" t="str">
        <f ca="1">PROPER(Table1[[#This Row],[Extracurricular 
Activities]])</f>
        <v>False</v>
      </c>
      <c r="J886">
        <v>35</v>
      </c>
      <c r="K886" t="s">
        <v>3112</v>
      </c>
      <c r="L886">
        <v>85</v>
      </c>
      <c r="M886" s="12" t="str" cm="1">
        <f t="array" ref="M88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886">
        <v>90</v>
      </c>
      <c r="O886" s="13" t="str" cm="1">
        <f t="array" ref="O88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886">
        <v>89</v>
      </c>
      <c r="Q886" s="13" t="str" cm="1">
        <f t="array" ref="Q88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886">
        <v>98</v>
      </c>
      <c r="S886" t="str" cm="1">
        <f t="array" ref="S88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886">
        <v>100</v>
      </c>
      <c r="U886" t="str" cm="1">
        <f t="array" ref="U88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886">
        <v>97</v>
      </c>
      <c r="W886" t="str" cm="1">
        <f t="array" ref="W88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886">
        <v>95</v>
      </c>
      <c r="Y886" t="str" cm="1">
        <f t="array" ref="Y88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886">
        <f>SUM(Table1[[#This Row],[Math 
Score]],Table1[[#This Row],[History 
Score]],Table1[[#This Row],[Physics 
Score]],Table1[[#This Row],[Chemistry 
Score]],Table1[[#This Row],[Biology 
Score]],Table1[[#This Row],[English 
Score]],Table1[[#This Row],[Geography 
Score]])</f>
        <v>654</v>
      </c>
      <c r="AA886" s="3">
        <f>AVERAGE(Table1[[#This Row],[Math 
Score]],Table1[[#This Row],[History 
Score]],Table1[[#This Row],[Physics 
Score]],Table1[[#This Row],[Chemistry 
Score]],Table1[[#This Row],[Biology 
Score]],Table1[[#This Row],[English 
Score]],Table1[[#This Row],[Geography 
Score]])</f>
        <v>93.428571428571431</v>
      </c>
      <c r="AB88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886">
        <f t="shared" si="13"/>
        <v>37</v>
      </c>
      <c r="AD886" t="str">
        <f>_xlfn.IFS(Table1[[#This Row],[Absence 
Days]]&lt;3,"Excellent",Table1[[#This Row],[Absence 
Days]]&lt;=6,"Good",Table1[[#This Row],[Absence 
Days]]&gt;6,"Poor")</f>
        <v>Good</v>
      </c>
    </row>
    <row r="887" spans="1:30" x14ac:dyDescent="0.35">
      <c r="A887">
        <v>886</v>
      </c>
      <c r="B887" s="2" t="s">
        <v>268</v>
      </c>
      <c r="C887" t="s">
        <v>887</v>
      </c>
      <c r="D887" t="str">
        <f>_xlfn.TEXTJOIN(" ",TRUE,Table1[[#This Row],[First 
Name]:[Last 
Name]])</f>
        <v>Bryan Grimes</v>
      </c>
      <c r="E887" t="s">
        <v>1997</v>
      </c>
      <c r="F887" t="s">
        <v>3244</v>
      </c>
      <c r="G887" t="str">
        <f ca="1">PROPER(Table1[[#This Row],[Part Time 
Job]])</f>
        <v>False</v>
      </c>
      <c r="H887" s="3">
        <v>7</v>
      </c>
      <c r="I887" t="str">
        <f ca="1">PROPER(Table1[[#This Row],[Extracurricular 
Activities]])</f>
        <v>False</v>
      </c>
      <c r="J887">
        <v>20</v>
      </c>
      <c r="K887" t="s">
        <v>3117</v>
      </c>
      <c r="L887">
        <v>93</v>
      </c>
      <c r="M887" s="12" t="str" cm="1">
        <f t="array" ref="M88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887">
        <v>61</v>
      </c>
      <c r="O887" s="13" t="str" cm="1">
        <f t="array" ref="O88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887">
        <v>65</v>
      </c>
      <c r="Q887" s="13" t="str" cm="1">
        <f t="array" ref="Q88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887">
        <v>77</v>
      </c>
      <c r="S887" t="str" cm="1">
        <f t="array" ref="S88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887">
        <v>97</v>
      </c>
      <c r="U887" t="str" cm="1">
        <f t="array" ref="U88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887">
        <v>90</v>
      </c>
      <c r="W887" t="str" cm="1">
        <f t="array" ref="W88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887">
        <v>90</v>
      </c>
      <c r="Y887" t="str" cm="1">
        <f t="array" ref="Y88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887">
        <f>SUM(Table1[[#This Row],[Math 
Score]],Table1[[#This Row],[History 
Score]],Table1[[#This Row],[Physics 
Score]],Table1[[#This Row],[Chemistry 
Score]],Table1[[#This Row],[Biology 
Score]],Table1[[#This Row],[English 
Score]],Table1[[#This Row],[Geography 
Score]])</f>
        <v>573</v>
      </c>
      <c r="AA887" s="3">
        <f>AVERAGE(Table1[[#This Row],[Math 
Score]],Table1[[#This Row],[History 
Score]],Table1[[#This Row],[Physics 
Score]],Table1[[#This Row],[Chemistry 
Score]],Table1[[#This Row],[Biology 
Score]],Table1[[#This Row],[English 
Score]],Table1[[#This Row],[Geography 
Score]])</f>
        <v>81.857142857142861</v>
      </c>
      <c r="AB88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887">
        <f t="shared" si="13"/>
        <v>864</v>
      </c>
      <c r="AD887" t="str">
        <f>_xlfn.IFS(Table1[[#This Row],[Absence 
Days]]&lt;3,"Excellent",Table1[[#This Row],[Absence 
Days]]&lt;=6,"Good",Table1[[#This Row],[Absence 
Days]]&gt;6,"Poor")</f>
        <v>Poor</v>
      </c>
    </row>
    <row r="888" spans="1:30" x14ac:dyDescent="0.35">
      <c r="A888">
        <v>887</v>
      </c>
      <c r="B888" s="2" t="s">
        <v>203</v>
      </c>
      <c r="C888" t="s">
        <v>888</v>
      </c>
      <c r="D888" t="str">
        <f>_xlfn.TEXTJOIN(" ",TRUE,Table1[[#This Row],[First 
Name]:[Last 
Name]])</f>
        <v>Nicole Mcdonald</v>
      </c>
      <c r="E888" t="s">
        <v>1998</v>
      </c>
      <c r="F888" t="s">
        <v>3245</v>
      </c>
      <c r="G888" t="str">
        <f ca="1">PROPER(Table1[[#This Row],[Part Time 
Job]])</f>
        <v>False</v>
      </c>
      <c r="H888" s="3">
        <v>7</v>
      </c>
      <c r="I888" t="str">
        <f ca="1">PROPER(Table1[[#This Row],[Extracurricular 
Activities]])</f>
        <v>False</v>
      </c>
      <c r="J888">
        <v>11</v>
      </c>
      <c r="K888" t="s">
        <v>3116</v>
      </c>
      <c r="L888">
        <v>60</v>
      </c>
      <c r="M888" s="12" t="str" cm="1">
        <f t="array" ref="M888">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888">
        <v>92</v>
      </c>
      <c r="O888" s="13" t="str" cm="1">
        <f t="array" ref="O88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888">
        <v>82</v>
      </c>
      <c r="Q888" s="13" t="str" cm="1">
        <f t="array" ref="Q88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888">
        <v>65</v>
      </c>
      <c r="S888" t="str" cm="1">
        <f t="array" ref="S88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888">
        <v>82</v>
      </c>
      <c r="U888" t="str" cm="1">
        <f t="array" ref="U88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888">
        <v>91</v>
      </c>
      <c r="W888" t="str" cm="1">
        <f t="array" ref="W88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888">
        <v>67</v>
      </c>
      <c r="Y888" t="str" cm="1">
        <f t="array" ref="Y88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888">
        <f>SUM(Table1[[#This Row],[Math 
Score]],Table1[[#This Row],[History 
Score]],Table1[[#This Row],[Physics 
Score]],Table1[[#This Row],[Chemistry 
Score]],Table1[[#This Row],[Biology 
Score]],Table1[[#This Row],[English 
Score]],Table1[[#This Row],[Geography 
Score]])</f>
        <v>539</v>
      </c>
      <c r="AA888" s="3">
        <f>AVERAGE(Table1[[#This Row],[Math 
Score]],Table1[[#This Row],[History 
Score]],Table1[[#This Row],[Physics 
Score]],Table1[[#This Row],[Chemistry 
Score]],Table1[[#This Row],[Biology 
Score]],Table1[[#This Row],[English 
Score]],Table1[[#This Row],[Geography 
Score]])</f>
        <v>77</v>
      </c>
      <c r="AB88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888">
        <f t="shared" si="13"/>
        <v>1531</v>
      </c>
      <c r="AD888" t="str">
        <f>_xlfn.IFS(Table1[[#This Row],[Absence 
Days]]&lt;3,"Excellent",Table1[[#This Row],[Absence 
Days]]&lt;=6,"Good",Table1[[#This Row],[Absence 
Days]]&gt;6,"Poor")</f>
        <v>Poor</v>
      </c>
    </row>
    <row r="889" spans="1:30" x14ac:dyDescent="0.35">
      <c r="A889">
        <v>888</v>
      </c>
      <c r="B889" s="2" t="s">
        <v>36</v>
      </c>
      <c r="C889" t="s">
        <v>773</v>
      </c>
      <c r="D889" t="str">
        <f>_xlfn.TEXTJOIN(" ",TRUE,Table1[[#This Row],[First 
Name]:[Last 
Name]])</f>
        <v>Christopher Ramirez</v>
      </c>
      <c r="E889" t="s">
        <v>1999</v>
      </c>
      <c r="F889" t="s">
        <v>3244</v>
      </c>
      <c r="G889" t="str">
        <f ca="1">PROPER(Table1[[#This Row],[Part Time 
Job]])</f>
        <v>True</v>
      </c>
      <c r="H889" s="3">
        <v>3</v>
      </c>
      <c r="I889" t="str">
        <f ca="1">PROPER(Table1[[#This Row],[Extracurricular 
Activities]])</f>
        <v>False</v>
      </c>
      <c r="J889">
        <v>21</v>
      </c>
      <c r="K889" t="s">
        <v>3116</v>
      </c>
      <c r="L889">
        <v>95</v>
      </c>
      <c r="M889" s="12" t="str" cm="1">
        <f t="array" ref="M88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889">
        <v>91</v>
      </c>
      <c r="O889" s="13" t="str" cm="1">
        <f t="array" ref="O88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889">
        <v>63</v>
      </c>
      <c r="Q889" s="13" t="str" cm="1">
        <f t="array" ref="Q88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889">
        <v>83</v>
      </c>
      <c r="S889" t="str" cm="1">
        <f t="array" ref="S88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889">
        <v>75</v>
      </c>
      <c r="U889" t="str" cm="1">
        <f t="array" ref="U88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889">
        <v>73</v>
      </c>
      <c r="W889" t="str" cm="1">
        <f t="array" ref="W88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889">
        <v>74</v>
      </c>
      <c r="Y889" t="str" cm="1">
        <f t="array" ref="Y88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889">
        <f>SUM(Table1[[#This Row],[Math 
Score]],Table1[[#This Row],[History 
Score]],Table1[[#This Row],[Physics 
Score]],Table1[[#This Row],[Chemistry 
Score]],Table1[[#This Row],[Biology 
Score]],Table1[[#This Row],[English 
Score]],Table1[[#This Row],[Geography 
Score]])</f>
        <v>554</v>
      </c>
      <c r="AA889" s="3">
        <f>AVERAGE(Table1[[#This Row],[Math 
Score]],Table1[[#This Row],[History 
Score]],Table1[[#This Row],[Physics 
Score]],Table1[[#This Row],[Chemistry 
Score]],Table1[[#This Row],[Biology 
Score]],Table1[[#This Row],[English 
Score]],Table1[[#This Row],[Geography 
Score]])</f>
        <v>79.142857142857139</v>
      </c>
      <c r="AB88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889">
        <f t="shared" si="13"/>
        <v>1264</v>
      </c>
      <c r="AD889" t="str">
        <f>_xlfn.IFS(Table1[[#This Row],[Absence 
Days]]&lt;3,"Excellent",Table1[[#This Row],[Absence 
Days]]&lt;=6,"Good",Table1[[#This Row],[Absence 
Days]]&gt;6,"Poor")</f>
        <v>Good</v>
      </c>
    </row>
    <row r="890" spans="1:30" x14ac:dyDescent="0.35">
      <c r="A890">
        <v>889</v>
      </c>
      <c r="B890" s="2" t="s">
        <v>103</v>
      </c>
      <c r="C890" t="s">
        <v>739</v>
      </c>
      <c r="D890" t="str">
        <f>_xlfn.TEXTJOIN(" ",TRUE,Table1[[#This Row],[First 
Name]:[Last 
Name]])</f>
        <v>Lawrence Fields</v>
      </c>
      <c r="E890" t="s">
        <v>2000</v>
      </c>
      <c r="F890" t="s">
        <v>3244</v>
      </c>
      <c r="G890" t="str">
        <f ca="1">PROPER(Table1[[#This Row],[Part Time 
Job]])</f>
        <v>True</v>
      </c>
      <c r="H890" s="3">
        <v>9</v>
      </c>
      <c r="I890" t="str">
        <f ca="1">PROPER(Table1[[#This Row],[Extracurricular 
Activities]])</f>
        <v>False</v>
      </c>
      <c r="J890">
        <v>1</v>
      </c>
      <c r="K890" t="s">
        <v>3119</v>
      </c>
      <c r="L890">
        <v>61</v>
      </c>
      <c r="M890" s="12" t="str" cm="1">
        <f t="array" ref="M890">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890">
        <v>73</v>
      </c>
      <c r="O890" s="13" t="str" cm="1">
        <f t="array" ref="O89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890">
        <v>76</v>
      </c>
      <c r="Q890" s="13" t="str" cm="1">
        <f t="array" ref="Q89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890">
        <v>51</v>
      </c>
      <c r="S890" t="str" cm="1">
        <f t="array" ref="S89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C</v>
      </c>
      <c r="T890">
        <v>76</v>
      </c>
      <c r="U890" t="str" cm="1">
        <f t="array" ref="U89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890">
        <v>50</v>
      </c>
      <c r="W890" t="str" cm="1">
        <f t="array" ref="W89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C</v>
      </c>
      <c r="X890">
        <v>77</v>
      </c>
      <c r="Y890" t="str" cm="1">
        <f t="array" ref="Y89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890">
        <f>SUM(Table1[[#This Row],[Math 
Score]],Table1[[#This Row],[History 
Score]],Table1[[#This Row],[Physics 
Score]],Table1[[#This Row],[Chemistry 
Score]],Table1[[#This Row],[Biology 
Score]],Table1[[#This Row],[English 
Score]],Table1[[#This Row],[Geography 
Score]])</f>
        <v>464</v>
      </c>
      <c r="AA890" s="3">
        <f>AVERAGE(Table1[[#This Row],[Math 
Score]],Table1[[#This Row],[History 
Score]],Table1[[#This Row],[Physics 
Score]],Table1[[#This Row],[Chemistry 
Score]],Table1[[#This Row],[Biology 
Score]],Table1[[#This Row],[English 
Score]],Table1[[#This Row],[Geography 
Score]])</f>
        <v>66.285714285714292</v>
      </c>
      <c r="AB89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890">
        <f t="shared" si="13"/>
        <v>1975</v>
      </c>
      <c r="AD890" t="str">
        <f>_xlfn.IFS(Table1[[#This Row],[Absence 
Days]]&lt;3,"Excellent",Table1[[#This Row],[Absence 
Days]]&lt;=6,"Good",Table1[[#This Row],[Absence 
Days]]&gt;6,"Poor")</f>
        <v>Poor</v>
      </c>
    </row>
    <row r="891" spans="1:30" x14ac:dyDescent="0.35">
      <c r="A891">
        <v>890</v>
      </c>
      <c r="B891" s="2" t="s">
        <v>122</v>
      </c>
      <c r="C891" t="s">
        <v>889</v>
      </c>
      <c r="D891" t="str">
        <f>_xlfn.TEXTJOIN(" ",TRUE,Table1[[#This Row],[First 
Name]:[Last 
Name]])</f>
        <v>Rebecca Molina</v>
      </c>
      <c r="E891" t="s">
        <v>2001</v>
      </c>
      <c r="F891" t="s">
        <v>3245</v>
      </c>
      <c r="G891" t="str">
        <f ca="1">PROPER(Table1[[#This Row],[Part Time 
Job]])</f>
        <v>False</v>
      </c>
      <c r="H891" s="3">
        <v>3</v>
      </c>
      <c r="I891" t="str">
        <f ca="1">PROPER(Table1[[#This Row],[Extracurricular 
Activities]])</f>
        <v>False</v>
      </c>
      <c r="J891">
        <v>15</v>
      </c>
      <c r="K891" t="s">
        <v>3117</v>
      </c>
      <c r="L891">
        <v>97</v>
      </c>
      <c r="M891" s="12" t="str" cm="1">
        <f t="array" ref="M89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891">
        <v>81</v>
      </c>
      <c r="O891" s="13" t="str" cm="1">
        <f t="array" ref="O89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891">
        <v>65</v>
      </c>
      <c r="Q891" s="13" t="str" cm="1">
        <f t="array" ref="Q89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891">
        <v>70</v>
      </c>
      <c r="S891" t="str" cm="1">
        <f t="array" ref="S89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891">
        <v>62</v>
      </c>
      <c r="U891" t="str" cm="1">
        <f t="array" ref="U89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891">
        <v>96</v>
      </c>
      <c r="W891" t="str" cm="1">
        <f t="array" ref="W89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891">
        <v>75</v>
      </c>
      <c r="Y891" t="str" cm="1">
        <f t="array" ref="Y89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891">
        <f>SUM(Table1[[#This Row],[Math 
Score]],Table1[[#This Row],[History 
Score]],Table1[[#This Row],[Physics 
Score]],Table1[[#This Row],[Chemistry 
Score]],Table1[[#This Row],[Biology 
Score]],Table1[[#This Row],[English 
Score]],Table1[[#This Row],[Geography 
Score]])</f>
        <v>546</v>
      </c>
      <c r="AA891" s="3">
        <f>AVERAGE(Table1[[#This Row],[Math 
Score]],Table1[[#This Row],[History 
Score]],Table1[[#This Row],[Physics 
Score]],Table1[[#This Row],[Chemistry 
Score]],Table1[[#This Row],[Biology 
Score]],Table1[[#This Row],[English 
Score]],Table1[[#This Row],[Geography 
Score]])</f>
        <v>78</v>
      </c>
      <c r="AB89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891">
        <f t="shared" si="13"/>
        <v>1411</v>
      </c>
      <c r="AD891" t="str">
        <f>_xlfn.IFS(Table1[[#This Row],[Absence 
Days]]&lt;3,"Excellent",Table1[[#This Row],[Absence 
Days]]&lt;=6,"Good",Table1[[#This Row],[Absence 
Days]]&gt;6,"Poor")</f>
        <v>Good</v>
      </c>
    </row>
    <row r="892" spans="1:30" x14ac:dyDescent="0.35">
      <c r="A892">
        <v>891</v>
      </c>
      <c r="B892" s="2" t="s">
        <v>124</v>
      </c>
      <c r="C892" t="s">
        <v>890</v>
      </c>
      <c r="D892" t="str">
        <f>_xlfn.TEXTJOIN(" ",TRUE,Table1[[#This Row],[First 
Name]:[Last 
Name]])</f>
        <v>John Castillo</v>
      </c>
      <c r="E892" t="s">
        <v>2002</v>
      </c>
      <c r="F892" t="s">
        <v>3244</v>
      </c>
      <c r="G892" t="str">
        <f ca="1">PROPER(Table1[[#This Row],[Part Time 
Job]])</f>
        <v>False</v>
      </c>
      <c r="H892" s="3">
        <v>1</v>
      </c>
      <c r="I892" t="str">
        <f ca="1">PROPER(Table1[[#This Row],[Extracurricular 
Activities]])</f>
        <v>False</v>
      </c>
      <c r="J892">
        <v>33</v>
      </c>
      <c r="K892" t="s">
        <v>3117</v>
      </c>
      <c r="L892">
        <v>90</v>
      </c>
      <c r="M892" s="12" t="str" cm="1">
        <f t="array" ref="M89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892">
        <v>64</v>
      </c>
      <c r="O892" s="13" t="str" cm="1">
        <f t="array" ref="O89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892">
        <v>91</v>
      </c>
      <c r="Q892" s="13" t="str" cm="1">
        <f t="array" ref="Q89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892">
        <v>93</v>
      </c>
      <c r="S892" t="str" cm="1">
        <f t="array" ref="S89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892">
        <v>86</v>
      </c>
      <c r="U892" t="str" cm="1">
        <f t="array" ref="U89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892">
        <v>91</v>
      </c>
      <c r="W892" t="str" cm="1">
        <f t="array" ref="W89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892">
        <v>97</v>
      </c>
      <c r="Y892" t="str" cm="1">
        <f t="array" ref="Y89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892">
        <f>SUM(Table1[[#This Row],[Math 
Score]],Table1[[#This Row],[History 
Score]],Table1[[#This Row],[Physics 
Score]],Table1[[#This Row],[Chemistry 
Score]],Table1[[#This Row],[Biology 
Score]],Table1[[#This Row],[English 
Score]],Table1[[#This Row],[Geography 
Score]])</f>
        <v>612</v>
      </c>
      <c r="AA892" s="3">
        <f>AVERAGE(Table1[[#This Row],[Math 
Score]],Table1[[#This Row],[History 
Score]],Table1[[#This Row],[Physics 
Score]],Table1[[#This Row],[Chemistry 
Score]],Table1[[#This Row],[Biology 
Score]],Table1[[#This Row],[English 
Score]],Table1[[#This Row],[Geography 
Score]])</f>
        <v>87.428571428571431</v>
      </c>
      <c r="AB89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892">
        <f t="shared" si="13"/>
        <v>283</v>
      </c>
      <c r="AD892" t="str">
        <f>_xlfn.IFS(Table1[[#This Row],[Absence 
Days]]&lt;3,"Excellent",Table1[[#This Row],[Absence 
Days]]&lt;=6,"Good",Table1[[#This Row],[Absence 
Days]]&gt;6,"Poor")</f>
        <v>Excellent</v>
      </c>
    </row>
    <row r="893" spans="1:30" x14ac:dyDescent="0.35">
      <c r="A893">
        <v>892</v>
      </c>
      <c r="B893" s="2" t="s">
        <v>46</v>
      </c>
      <c r="C893" t="s">
        <v>492</v>
      </c>
      <c r="D893" t="str">
        <f>_xlfn.TEXTJOIN(" ",TRUE,Table1[[#This Row],[First 
Name]:[Last 
Name]])</f>
        <v>Sandra Davis</v>
      </c>
      <c r="E893" t="s">
        <v>2003</v>
      </c>
      <c r="F893" t="s">
        <v>3245</v>
      </c>
      <c r="G893" t="str">
        <f ca="1">PROPER(Table1[[#This Row],[Part Time 
Job]])</f>
        <v>True</v>
      </c>
      <c r="H893" s="3">
        <v>10</v>
      </c>
      <c r="I893" t="str">
        <f ca="1">PROPER(Table1[[#This Row],[Extracurricular 
Activities]])</f>
        <v>False</v>
      </c>
      <c r="J893">
        <v>4</v>
      </c>
      <c r="K893" t="s">
        <v>3119</v>
      </c>
      <c r="L893">
        <v>90</v>
      </c>
      <c r="M893" s="12" t="str" cm="1">
        <f t="array" ref="M89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893">
        <v>100</v>
      </c>
      <c r="O893" s="13" t="str" cm="1">
        <f t="array" ref="O89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893">
        <v>80</v>
      </c>
      <c r="Q893" s="13" t="str" cm="1">
        <f t="array" ref="Q89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893">
        <v>66</v>
      </c>
      <c r="S893" t="str" cm="1">
        <f t="array" ref="S89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893">
        <v>63</v>
      </c>
      <c r="U893" t="str" cm="1">
        <f t="array" ref="U89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893">
        <v>69</v>
      </c>
      <c r="W893" t="str" cm="1">
        <f t="array" ref="W89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893">
        <v>66</v>
      </c>
      <c r="Y893" t="str" cm="1">
        <f t="array" ref="Y89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893">
        <f>SUM(Table1[[#This Row],[Math 
Score]],Table1[[#This Row],[History 
Score]],Table1[[#This Row],[Physics 
Score]],Table1[[#This Row],[Chemistry 
Score]],Table1[[#This Row],[Biology 
Score]],Table1[[#This Row],[English 
Score]],Table1[[#This Row],[Geography 
Score]])</f>
        <v>534</v>
      </c>
      <c r="AA893" s="3">
        <f>AVERAGE(Table1[[#This Row],[Math 
Score]],Table1[[#This Row],[History 
Score]],Table1[[#This Row],[Physics 
Score]],Table1[[#This Row],[Chemistry 
Score]],Table1[[#This Row],[Biology 
Score]],Table1[[#This Row],[English 
Score]],Table1[[#This Row],[Geography 
Score]])</f>
        <v>76.285714285714292</v>
      </c>
      <c r="AB89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893">
        <f t="shared" si="13"/>
        <v>1595</v>
      </c>
      <c r="AD893" t="str">
        <f>_xlfn.IFS(Table1[[#This Row],[Absence 
Days]]&lt;3,"Excellent",Table1[[#This Row],[Absence 
Days]]&lt;=6,"Good",Table1[[#This Row],[Absence 
Days]]&gt;6,"Poor")</f>
        <v>Poor</v>
      </c>
    </row>
    <row r="894" spans="1:30" x14ac:dyDescent="0.35">
      <c r="A894">
        <v>893</v>
      </c>
      <c r="B894" s="2" t="s">
        <v>93</v>
      </c>
      <c r="C894" t="s">
        <v>458</v>
      </c>
      <c r="D894" t="str">
        <f>_xlfn.TEXTJOIN(" ",TRUE,Table1[[#This Row],[First 
Name]:[Last 
Name]])</f>
        <v>Andrew Smith</v>
      </c>
      <c r="E894" t="s">
        <v>2004</v>
      </c>
      <c r="F894" t="s">
        <v>3244</v>
      </c>
      <c r="G894" t="str">
        <f ca="1">PROPER(Table1[[#This Row],[Part Time 
Job]])</f>
        <v>False</v>
      </c>
      <c r="H894" s="3">
        <v>2</v>
      </c>
      <c r="I894" t="str">
        <f ca="1">PROPER(Table1[[#This Row],[Extracurricular 
Activities]])</f>
        <v>True</v>
      </c>
      <c r="J894">
        <v>24</v>
      </c>
      <c r="K894" t="s">
        <v>3117</v>
      </c>
      <c r="L894">
        <v>85</v>
      </c>
      <c r="M894" s="12" t="str" cm="1">
        <f t="array" ref="M89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894">
        <v>74</v>
      </c>
      <c r="O894" s="13" t="str" cm="1">
        <f t="array" ref="O89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894">
        <v>68</v>
      </c>
      <c r="Q894" s="13" t="str" cm="1">
        <f t="array" ref="Q89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894">
        <v>68</v>
      </c>
      <c r="S894" t="str" cm="1">
        <f t="array" ref="S89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894">
        <v>75</v>
      </c>
      <c r="U894" t="str" cm="1">
        <f t="array" ref="U89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894">
        <v>78</v>
      </c>
      <c r="W894" t="str" cm="1">
        <f t="array" ref="W89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894">
        <v>95</v>
      </c>
      <c r="Y894" t="str" cm="1">
        <f t="array" ref="Y89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894">
        <f>SUM(Table1[[#This Row],[Math 
Score]],Table1[[#This Row],[History 
Score]],Table1[[#This Row],[Physics 
Score]],Table1[[#This Row],[Chemistry 
Score]],Table1[[#This Row],[Biology 
Score]],Table1[[#This Row],[English 
Score]],Table1[[#This Row],[Geography 
Score]])</f>
        <v>543</v>
      </c>
      <c r="AA894" s="3">
        <f>AVERAGE(Table1[[#This Row],[Math 
Score]],Table1[[#This Row],[History 
Score]],Table1[[#This Row],[Physics 
Score]],Table1[[#This Row],[Chemistry 
Score]],Table1[[#This Row],[Biology 
Score]],Table1[[#This Row],[English 
Score]],Table1[[#This Row],[Geography 
Score]])</f>
        <v>77.571428571428569</v>
      </c>
      <c r="AB89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894">
        <f t="shared" si="13"/>
        <v>1464</v>
      </c>
      <c r="AD894" t="str">
        <f>_xlfn.IFS(Table1[[#This Row],[Absence 
Days]]&lt;3,"Excellent",Table1[[#This Row],[Absence 
Days]]&lt;=6,"Good",Table1[[#This Row],[Absence 
Days]]&gt;6,"Poor")</f>
        <v>Excellent</v>
      </c>
    </row>
    <row r="895" spans="1:30" x14ac:dyDescent="0.35">
      <c r="A895">
        <v>894</v>
      </c>
      <c r="B895" s="2" t="s">
        <v>42</v>
      </c>
      <c r="C895" t="s">
        <v>458</v>
      </c>
      <c r="D895" t="str">
        <f>_xlfn.TEXTJOIN(" ",TRUE,Table1[[#This Row],[First 
Name]:[Last 
Name]])</f>
        <v>Elizabeth Smith</v>
      </c>
      <c r="E895" t="s">
        <v>2005</v>
      </c>
      <c r="F895" t="s">
        <v>3245</v>
      </c>
      <c r="G895" t="str">
        <f ca="1">PROPER(Table1[[#This Row],[Part Time 
Job]])</f>
        <v>False</v>
      </c>
      <c r="H895" s="3">
        <v>1</v>
      </c>
      <c r="I895" t="str">
        <f ca="1">PROPER(Table1[[#This Row],[Extracurricular 
Activities]])</f>
        <v>False</v>
      </c>
      <c r="J895">
        <v>13</v>
      </c>
      <c r="K895" t="s">
        <v>3121</v>
      </c>
      <c r="L895">
        <v>82</v>
      </c>
      <c r="M895" s="12" t="str" cm="1">
        <f t="array" ref="M89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895">
        <v>87</v>
      </c>
      <c r="O895" s="13" t="str" cm="1">
        <f t="array" ref="O89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895">
        <v>98</v>
      </c>
      <c r="Q895" s="13" t="str" cm="1">
        <f t="array" ref="Q89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895">
        <v>73</v>
      </c>
      <c r="S895" t="str" cm="1">
        <f t="array" ref="S89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895">
        <v>74</v>
      </c>
      <c r="U895" t="str" cm="1">
        <f t="array" ref="U89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895">
        <v>89</v>
      </c>
      <c r="W895" t="str" cm="1">
        <f t="array" ref="W89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895">
        <v>66</v>
      </c>
      <c r="Y895" t="str" cm="1">
        <f t="array" ref="Y89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895">
        <f>SUM(Table1[[#This Row],[Math 
Score]],Table1[[#This Row],[History 
Score]],Table1[[#This Row],[Physics 
Score]],Table1[[#This Row],[Chemistry 
Score]],Table1[[#This Row],[Biology 
Score]],Table1[[#This Row],[English 
Score]],Table1[[#This Row],[Geography 
Score]])</f>
        <v>569</v>
      </c>
      <c r="AA895" s="3">
        <f>AVERAGE(Table1[[#This Row],[Math 
Score]],Table1[[#This Row],[History 
Score]],Table1[[#This Row],[Physics 
Score]],Table1[[#This Row],[Chemistry 
Score]],Table1[[#This Row],[Biology 
Score]],Table1[[#This Row],[English 
Score]],Table1[[#This Row],[Geography 
Score]])</f>
        <v>81.285714285714292</v>
      </c>
      <c r="AB89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895">
        <f t="shared" si="13"/>
        <v>957</v>
      </c>
      <c r="AD895" t="str">
        <f>_xlfn.IFS(Table1[[#This Row],[Absence 
Days]]&lt;3,"Excellent",Table1[[#This Row],[Absence 
Days]]&lt;=6,"Good",Table1[[#This Row],[Absence 
Days]]&gt;6,"Poor")</f>
        <v>Excellent</v>
      </c>
    </row>
    <row r="896" spans="1:30" x14ac:dyDescent="0.35">
      <c r="A896">
        <v>895</v>
      </c>
      <c r="B896" s="2" t="s">
        <v>192</v>
      </c>
      <c r="C896" t="s">
        <v>805</v>
      </c>
      <c r="D896" t="str">
        <f>_xlfn.TEXTJOIN(" ",TRUE,Table1[[#This Row],[First 
Name]:[Last 
Name]])</f>
        <v>Scott Schultz</v>
      </c>
      <c r="E896" t="s">
        <v>2006</v>
      </c>
      <c r="F896" t="s">
        <v>3244</v>
      </c>
      <c r="G896" t="str">
        <f ca="1">PROPER(Table1[[#This Row],[Part Time 
Job]])</f>
        <v>True</v>
      </c>
      <c r="H896" s="3">
        <v>6</v>
      </c>
      <c r="I896" t="str">
        <f ca="1">PROPER(Table1[[#This Row],[Extracurricular 
Activities]])</f>
        <v>False</v>
      </c>
      <c r="J896">
        <v>5</v>
      </c>
      <c r="K896" t="s">
        <v>3119</v>
      </c>
      <c r="L896">
        <v>95</v>
      </c>
      <c r="M896" s="12" t="str" cm="1">
        <f t="array" ref="M89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896">
        <v>88</v>
      </c>
      <c r="O896" s="13" t="str" cm="1">
        <f t="array" ref="O89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896">
        <v>66</v>
      </c>
      <c r="Q896" s="13" t="str" cm="1">
        <f t="array" ref="Q89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896">
        <v>72</v>
      </c>
      <c r="S896" t="str" cm="1">
        <f t="array" ref="S89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896">
        <v>92</v>
      </c>
      <c r="U896" t="str" cm="1">
        <f t="array" ref="U89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896">
        <v>52</v>
      </c>
      <c r="W896" t="str" cm="1">
        <f t="array" ref="W89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C</v>
      </c>
      <c r="X896">
        <v>70</v>
      </c>
      <c r="Y896" t="str" cm="1">
        <f t="array" ref="Y89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896">
        <f>SUM(Table1[[#This Row],[Math 
Score]],Table1[[#This Row],[History 
Score]],Table1[[#This Row],[Physics 
Score]],Table1[[#This Row],[Chemistry 
Score]],Table1[[#This Row],[Biology 
Score]],Table1[[#This Row],[English 
Score]],Table1[[#This Row],[Geography 
Score]])</f>
        <v>535</v>
      </c>
      <c r="AA896" s="3">
        <f>AVERAGE(Table1[[#This Row],[Math 
Score]],Table1[[#This Row],[History 
Score]],Table1[[#This Row],[Physics 
Score]],Table1[[#This Row],[Chemistry 
Score]],Table1[[#This Row],[Biology 
Score]],Table1[[#This Row],[English 
Score]],Table1[[#This Row],[Geography 
Score]])</f>
        <v>76.428571428571431</v>
      </c>
      <c r="AB89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896">
        <f t="shared" si="13"/>
        <v>1578</v>
      </c>
      <c r="AD896" t="str">
        <f>_xlfn.IFS(Table1[[#This Row],[Absence 
Days]]&lt;3,"Excellent",Table1[[#This Row],[Absence 
Days]]&lt;=6,"Good",Table1[[#This Row],[Absence 
Days]]&gt;6,"Poor")</f>
        <v>Good</v>
      </c>
    </row>
    <row r="897" spans="1:30" x14ac:dyDescent="0.35">
      <c r="A897">
        <v>896</v>
      </c>
      <c r="B897" s="2" t="s">
        <v>149</v>
      </c>
      <c r="C897" t="s">
        <v>891</v>
      </c>
      <c r="D897" t="str">
        <f>_xlfn.TEXTJOIN(" ",TRUE,Table1[[#This Row],[First 
Name]:[Last 
Name]])</f>
        <v>Joseph Harper</v>
      </c>
      <c r="E897" t="s">
        <v>2007</v>
      </c>
      <c r="F897" t="s">
        <v>3244</v>
      </c>
      <c r="G897" t="str">
        <f ca="1">PROPER(Table1[[#This Row],[Part Time 
Job]])</f>
        <v>False</v>
      </c>
      <c r="H897" s="3">
        <v>1</v>
      </c>
      <c r="I897" t="str">
        <f ca="1">PROPER(Table1[[#This Row],[Extracurricular 
Activities]])</f>
        <v>True</v>
      </c>
      <c r="J897">
        <v>12</v>
      </c>
      <c r="K897" t="s">
        <v>3114</v>
      </c>
      <c r="L897">
        <v>95</v>
      </c>
      <c r="M897" s="12" t="str" cm="1">
        <f t="array" ref="M89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897">
        <v>96</v>
      </c>
      <c r="O897" s="13" t="str" cm="1">
        <f t="array" ref="O89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897">
        <v>66</v>
      </c>
      <c r="Q897" s="13" t="str" cm="1">
        <f t="array" ref="Q89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897">
        <v>68</v>
      </c>
      <c r="S897" t="str" cm="1">
        <f t="array" ref="S89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897">
        <v>90</v>
      </c>
      <c r="U897" t="str" cm="1">
        <f t="array" ref="U89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897">
        <v>91</v>
      </c>
      <c r="W897" t="str" cm="1">
        <f t="array" ref="W89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897">
        <v>99</v>
      </c>
      <c r="Y897" t="str" cm="1">
        <f t="array" ref="Y89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897">
        <f>SUM(Table1[[#This Row],[Math 
Score]],Table1[[#This Row],[History 
Score]],Table1[[#This Row],[Physics 
Score]],Table1[[#This Row],[Chemistry 
Score]],Table1[[#This Row],[Biology 
Score]],Table1[[#This Row],[English 
Score]],Table1[[#This Row],[Geography 
Score]])</f>
        <v>605</v>
      </c>
      <c r="AA897" s="3">
        <f>AVERAGE(Table1[[#This Row],[Math 
Score]],Table1[[#This Row],[History 
Score]],Table1[[#This Row],[Physics 
Score]],Table1[[#This Row],[Chemistry 
Score]],Table1[[#This Row],[Biology 
Score]],Table1[[#This Row],[English 
Score]],Table1[[#This Row],[Geography 
Score]])</f>
        <v>86.428571428571431</v>
      </c>
      <c r="AB89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897">
        <f t="shared" si="13"/>
        <v>344</v>
      </c>
      <c r="AD897" t="str">
        <f>_xlfn.IFS(Table1[[#This Row],[Absence 
Days]]&lt;3,"Excellent",Table1[[#This Row],[Absence 
Days]]&lt;=6,"Good",Table1[[#This Row],[Absence 
Days]]&gt;6,"Poor")</f>
        <v>Excellent</v>
      </c>
    </row>
    <row r="898" spans="1:30" x14ac:dyDescent="0.35">
      <c r="A898">
        <v>897</v>
      </c>
      <c r="B898" s="2" t="s">
        <v>33</v>
      </c>
      <c r="C898" t="s">
        <v>646</v>
      </c>
      <c r="D898" t="str">
        <f>_xlfn.TEXTJOIN(" ",TRUE,Table1[[#This Row],[First 
Name]:[Last 
Name]])</f>
        <v>Ryan Salazar</v>
      </c>
      <c r="E898" t="s">
        <v>2008</v>
      </c>
      <c r="F898" t="s">
        <v>3244</v>
      </c>
      <c r="G898" t="str">
        <f ca="1">PROPER(Table1[[#This Row],[Part Time 
Job]])</f>
        <v>False</v>
      </c>
      <c r="H898" s="3">
        <v>4</v>
      </c>
      <c r="I898" t="str">
        <f ca="1">PROPER(Table1[[#This Row],[Extracurricular 
Activities]])</f>
        <v>True</v>
      </c>
      <c r="J898">
        <v>8</v>
      </c>
      <c r="K898" t="s">
        <v>3128</v>
      </c>
      <c r="L898">
        <v>81</v>
      </c>
      <c r="M898" s="12" t="str" cm="1">
        <f t="array" ref="M89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898">
        <v>90</v>
      </c>
      <c r="O898" s="13" t="str" cm="1">
        <f t="array" ref="O89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898">
        <v>71</v>
      </c>
      <c r="Q898" s="13" t="str" cm="1">
        <f t="array" ref="Q89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898">
        <v>97</v>
      </c>
      <c r="S898" t="str" cm="1">
        <f t="array" ref="S89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898">
        <v>81</v>
      </c>
      <c r="U898" t="str" cm="1">
        <f t="array" ref="U89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898">
        <v>86</v>
      </c>
      <c r="W898" t="str" cm="1">
        <f t="array" ref="W89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898">
        <v>73</v>
      </c>
      <c r="Y898" t="str" cm="1">
        <f t="array" ref="Y89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898">
        <f>SUM(Table1[[#This Row],[Math 
Score]],Table1[[#This Row],[History 
Score]],Table1[[#This Row],[Physics 
Score]],Table1[[#This Row],[Chemistry 
Score]],Table1[[#This Row],[Biology 
Score]],Table1[[#This Row],[English 
Score]],Table1[[#This Row],[Geography 
Score]])</f>
        <v>579</v>
      </c>
      <c r="AA898" s="3">
        <f>AVERAGE(Table1[[#This Row],[Math 
Score]],Table1[[#This Row],[History 
Score]],Table1[[#This Row],[Physics 
Score]],Table1[[#This Row],[Chemistry 
Score]],Table1[[#This Row],[Biology 
Score]],Table1[[#This Row],[English 
Score]],Table1[[#This Row],[Geography 
Score]])</f>
        <v>82.714285714285708</v>
      </c>
      <c r="AB89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898">
        <f t="shared" ref="AC898:AC961" si="14">RANK(AA898,$AA$2:$AA$2001,0)</f>
        <v>730</v>
      </c>
      <c r="AD898" t="str">
        <f>_xlfn.IFS(Table1[[#This Row],[Absence 
Days]]&lt;3,"Excellent",Table1[[#This Row],[Absence 
Days]]&lt;=6,"Good",Table1[[#This Row],[Absence 
Days]]&gt;6,"Poor")</f>
        <v>Good</v>
      </c>
    </row>
    <row r="899" spans="1:30" x14ac:dyDescent="0.35">
      <c r="A899">
        <v>898</v>
      </c>
      <c r="B899" s="2" t="s">
        <v>174</v>
      </c>
      <c r="C899" t="s">
        <v>492</v>
      </c>
      <c r="D899" t="str">
        <f>_xlfn.TEXTJOIN(" ",TRUE,Table1[[#This Row],[First 
Name]:[Last 
Name]])</f>
        <v>Brenda Davis</v>
      </c>
      <c r="E899" t="s">
        <v>2009</v>
      </c>
      <c r="F899" t="s">
        <v>3245</v>
      </c>
      <c r="G899" t="str">
        <f ca="1">PROPER(Table1[[#This Row],[Part Time 
Job]])</f>
        <v>False</v>
      </c>
      <c r="H899" s="3">
        <v>2</v>
      </c>
      <c r="I899" t="str">
        <f ca="1">PROPER(Table1[[#This Row],[Extracurricular 
Activities]])</f>
        <v>False</v>
      </c>
      <c r="J899">
        <v>8</v>
      </c>
      <c r="K899" t="s">
        <v>3118</v>
      </c>
      <c r="L899">
        <v>62</v>
      </c>
      <c r="M899" s="12" t="str" cm="1">
        <f t="array" ref="M899">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899">
        <v>69</v>
      </c>
      <c r="O899" s="13" t="str" cm="1">
        <f t="array" ref="O89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899">
        <v>99</v>
      </c>
      <c r="Q899" s="13" t="str" cm="1">
        <f t="array" ref="Q89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899">
        <v>95</v>
      </c>
      <c r="S899" t="str" cm="1">
        <f t="array" ref="S89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899">
        <v>73</v>
      </c>
      <c r="U899" t="str" cm="1">
        <f t="array" ref="U89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899">
        <v>79</v>
      </c>
      <c r="W899" t="str" cm="1">
        <f t="array" ref="W89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899">
        <v>83</v>
      </c>
      <c r="Y899" t="str" cm="1">
        <f t="array" ref="Y89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899">
        <f>SUM(Table1[[#This Row],[Math 
Score]],Table1[[#This Row],[History 
Score]],Table1[[#This Row],[Physics 
Score]],Table1[[#This Row],[Chemistry 
Score]],Table1[[#This Row],[Biology 
Score]],Table1[[#This Row],[English 
Score]],Table1[[#This Row],[Geography 
Score]])</f>
        <v>560</v>
      </c>
      <c r="AA899" s="3">
        <f>AVERAGE(Table1[[#This Row],[Math 
Score]],Table1[[#This Row],[History 
Score]],Table1[[#This Row],[Physics 
Score]],Table1[[#This Row],[Chemistry 
Score]],Table1[[#This Row],[Biology 
Score]],Table1[[#This Row],[English 
Score]],Table1[[#This Row],[Geography 
Score]])</f>
        <v>80</v>
      </c>
      <c r="AB89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899">
        <f t="shared" si="14"/>
        <v>1134</v>
      </c>
      <c r="AD899" t="str">
        <f>_xlfn.IFS(Table1[[#This Row],[Absence 
Days]]&lt;3,"Excellent",Table1[[#This Row],[Absence 
Days]]&lt;=6,"Good",Table1[[#This Row],[Absence 
Days]]&gt;6,"Poor")</f>
        <v>Excellent</v>
      </c>
    </row>
    <row r="900" spans="1:30" x14ac:dyDescent="0.35">
      <c r="A900">
        <v>899</v>
      </c>
      <c r="B900" s="2" t="s">
        <v>145</v>
      </c>
      <c r="C900" t="s">
        <v>188</v>
      </c>
      <c r="D900" t="str">
        <f>_xlfn.TEXTJOIN(" ",TRUE,Table1[[#This Row],[First 
Name]:[Last 
Name]])</f>
        <v>Chad Taylor</v>
      </c>
      <c r="E900" t="s">
        <v>2010</v>
      </c>
      <c r="F900" t="s">
        <v>3244</v>
      </c>
      <c r="G900" t="str">
        <f ca="1">PROPER(Table1[[#This Row],[Part Time 
Job]])</f>
        <v>False</v>
      </c>
      <c r="H900" s="3">
        <v>5</v>
      </c>
      <c r="I900" t="str">
        <f ca="1">PROPER(Table1[[#This Row],[Extracurricular 
Activities]])</f>
        <v>False</v>
      </c>
      <c r="J900">
        <v>8</v>
      </c>
      <c r="K900" t="s">
        <v>3128</v>
      </c>
      <c r="L900">
        <v>95</v>
      </c>
      <c r="M900" s="12" t="str" cm="1">
        <f t="array" ref="M90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900">
        <v>92</v>
      </c>
      <c r="O900" s="13" t="str" cm="1">
        <f t="array" ref="O90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900">
        <v>89</v>
      </c>
      <c r="Q900" s="13" t="str" cm="1">
        <f t="array" ref="Q90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900">
        <v>64</v>
      </c>
      <c r="S900" t="str" cm="1">
        <f t="array" ref="S90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900">
        <v>77</v>
      </c>
      <c r="U900" t="str" cm="1">
        <f t="array" ref="U90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900">
        <v>80</v>
      </c>
      <c r="W900" t="str" cm="1">
        <f t="array" ref="W90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900">
        <v>66</v>
      </c>
      <c r="Y900" t="str" cm="1">
        <f t="array" ref="Y90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900">
        <f>SUM(Table1[[#This Row],[Math 
Score]],Table1[[#This Row],[History 
Score]],Table1[[#This Row],[Physics 
Score]],Table1[[#This Row],[Chemistry 
Score]],Table1[[#This Row],[Biology 
Score]],Table1[[#This Row],[English 
Score]],Table1[[#This Row],[Geography 
Score]])</f>
        <v>563</v>
      </c>
      <c r="AA900" s="3">
        <f>AVERAGE(Table1[[#This Row],[Math 
Score]],Table1[[#This Row],[History 
Score]],Table1[[#This Row],[Physics 
Score]],Table1[[#This Row],[Chemistry 
Score]],Table1[[#This Row],[Biology 
Score]],Table1[[#This Row],[English 
Score]],Table1[[#This Row],[Geography 
Score]])</f>
        <v>80.428571428571431</v>
      </c>
      <c r="AB90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900">
        <f t="shared" si="14"/>
        <v>1077</v>
      </c>
      <c r="AD900" t="str">
        <f>_xlfn.IFS(Table1[[#This Row],[Absence 
Days]]&lt;3,"Excellent",Table1[[#This Row],[Absence 
Days]]&lt;=6,"Good",Table1[[#This Row],[Absence 
Days]]&gt;6,"Poor")</f>
        <v>Good</v>
      </c>
    </row>
    <row r="901" spans="1:30" x14ac:dyDescent="0.35">
      <c r="A901">
        <v>900</v>
      </c>
      <c r="B901" s="2" t="s">
        <v>79</v>
      </c>
      <c r="C901" t="s">
        <v>512</v>
      </c>
      <c r="D901" t="str">
        <f>_xlfn.TEXTJOIN(" ",TRUE,Table1[[#This Row],[First 
Name]:[Last 
Name]])</f>
        <v>Natasha Edwards</v>
      </c>
      <c r="E901" t="s">
        <v>2011</v>
      </c>
      <c r="F901" t="s">
        <v>3245</v>
      </c>
      <c r="G901" t="str">
        <f ca="1">PROPER(Table1[[#This Row],[Part Time 
Job]])</f>
        <v>True</v>
      </c>
      <c r="H901" s="3">
        <v>4</v>
      </c>
      <c r="I901" t="str">
        <f ca="1">PROPER(Table1[[#This Row],[Extracurricular 
Activities]])</f>
        <v>True</v>
      </c>
      <c r="J901">
        <v>0</v>
      </c>
      <c r="K901" t="s">
        <v>3119</v>
      </c>
      <c r="L901">
        <v>64</v>
      </c>
      <c r="M901" s="12" t="str" cm="1">
        <f t="array" ref="M901">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901">
        <v>62</v>
      </c>
      <c r="O901" s="13" t="str" cm="1">
        <f t="array" ref="O90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901">
        <v>51</v>
      </c>
      <c r="Q901" s="13" t="str" cm="1">
        <f t="array" ref="Q90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C</v>
      </c>
      <c r="R901">
        <v>85</v>
      </c>
      <c r="S901" t="str" cm="1">
        <f t="array" ref="S90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901">
        <v>74</v>
      </c>
      <c r="U901" t="str" cm="1">
        <f t="array" ref="U90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901">
        <v>91</v>
      </c>
      <c r="W901" t="str" cm="1">
        <f t="array" ref="W90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901">
        <v>93</v>
      </c>
      <c r="Y901" t="str" cm="1">
        <f t="array" ref="Y90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901">
        <f>SUM(Table1[[#This Row],[Math 
Score]],Table1[[#This Row],[History 
Score]],Table1[[#This Row],[Physics 
Score]],Table1[[#This Row],[Chemistry 
Score]],Table1[[#This Row],[Biology 
Score]],Table1[[#This Row],[English 
Score]],Table1[[#This Row],[Geography 
Score]])</f>
        <v>520</v>
      </c>
      <c r="AA901" s="3">
        <f>AVERAGE(Table1[[#This Row],[Math 
Score]],Table1[[#This Row],[History 
Score]],Table1[[#This Row],[Physics 
Score]],Table1[[#This Row],[Chemistry 
Score]],Table1[[#This Row],[Biology 
Score]],Table1[[#This Row],[English 
Score]],Table1[[#This Row],[Geography 
Score]])</f>
        <v>74.285714285714292</v>
      </c>
      <c r="AB90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901">
        <f t="shared" si="14"/>
        <v>1753</v>
      </c>
      <c r="AD901" t="str">
        <f>_xlfn.IFS(Table1[[#This Row],[Absence 
Days]]&lt;3,"Excellent",Table1[[#This Row],[Absence 
Days]]&lt;=6,"Good",Table1[[#This Row],[Absence 
Days]]&gt;6,"Poor")</f>
        <v>Good</v>
      </c>
    </row>
    <row r="902" spans="1:30" x14ac:dyDescent="0.35">
      <c r="A902">
        <v>901</v>
      </c>
      <c r="B902" s="2" t="s">
        <v>12</v>
      </c>
      <c r="C902" t="s">
        <v>512</v>
      </c>
      <c r="D902" t="str">
        <f>_xlfn.TEXTJOIN(" ",TRUE,Table1[[#This Row],[First 
Name]:[Last 
Name]])</f>
        <v>Pamela Edwards</v>
      </c>
      <c r="E902" t="s">
        <v>2012</v>
      </c>
      <c r="F902" t="s">
        <v>3245</v>
      </c>
      <c r="G902" t="str">
        <f ca="1">PROPER(Table1[[#This Row],[Part Time 
Job]])</f>
        <v>False</v>
      </c>
      <c r="H902" s="3">
        <v>5</v>
      </c>
      <c r="I902" t="str">
        <f ca="1">PROPER(Table1[[#This Row],[Extracurricular 
Activities]])</f>
        <v>False</v>
      </c>
      <c r="J902">
        <v>14</v>
      </c>
      <c r="K902" t="s">
        <v>3124</v>
      </c>
      <c r="L902">
        <v>96</v>
      </c>
      <c r="M902" s="12" t="str" cm="1">
        <f t="array" ref="M90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902">
        <v>67</v>
      </c>
      <c r="O902" s="13" t="str" cm="1">
        <f t="array" ref="O90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902">
        <v>88</v>
      </c>
      <c r="Q902" s="13" t="str" cm="1">
        <f t="array" ref="Q90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902">
        <v>82</v>
      </c>
      <c r="S902" t="str" cm="1">
        <f t="array" ref="S90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902">
        <v>90</v>
      </c>
      <c r="U902" t="str" cm="1">
        <f t="array" ref="U90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902">
        <v>74</v>
      </c>
      <c r="W902" t="str" cm="1">
        <f t="array" ref="W90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902">
        <v>96</v>
      </c>
      <c r="Y902" t="str" cm="1">
        <f t="array" ref="Y90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902">
        <f>SUM(Table1[[#This Row],[Math 
Score]],Table1[[#This Row],[History 
Score]],Table1[[#This Row],[Physics 
Score]],Table1[[#This Row],[Chemistry 
Score]],Table1[[#This Row],[Biology 
Score]],Table1[[#This Row],[English 
Score]],Table1[[#This Row],[Geography 
Score]])</f>
        <v>593</v>
      </c>
      <c r="AA902" s="3">
        <f>AVERAGE(Table1[[#This Row],[Math 
Score]],Table1[[#This Row],[History 
Score]],Table1[[#This Row],[Physics 
Score]],Table1[[#This Row],[Chemistry 
Score]],Table1[[#This Row],[Biology 
Score]],Table1[[#This Row],[English 
Score]],Table1[[#This Row],[Geography 
Score]])</f>
        <v>84.714285714285708</v>
      </c>
      <c r="AB90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902">
        <f t="shared" si="14"/>
        <v>494</v>
      </c>
      <c r="AD902" t="str">
        <f>_xlfn.IFS(Table1[[#This Row],[Absence 
Days]]&lt;3,"Excellent",Table1[[#This Row],[Absence 
Days]]&lt;=6,"Good",Table1[[#This Row],[Absence 
Days]]&gt;6,"Poor")</f>
        <v>Good</v>
      </c>
    </row>
    <row r="903" spans="1:30" x14ac:dyDescent="0.35">
      <c r="A903">
        <v>902</v>
      </c>
      <c r="B903" s="2" t="s">
        <v>29</v>
      </c>
      <c r="C903" t="s">
        <v>892</v>
      </c>
      <c r="D903" t="str">
        <f>_xlfn.TEXTJOIN(" ",TRUE,Table1[[#This Row],[First 
Name]:[Last 
Name]])</f>
        <v>Cynthia Richardson</v>
      </c>
      <c r="E903" t="s">
        <v>2013</v>
      </c>
      <c r="F903" t="s">
        <v>3245</v>
      </c>
      <c r="G903" t="str">
        <f ca="1">PROPER(Table1[[#This Row],[Part Time 
Job]])</f>
        <v>True</v>
      </c>
      <c r="H903" s="3">
        <v>4</v>
      </c>
      <c r="I903" t="str">
        <f ca="1">PROPER(Table1[[#This Row],[Extracurricular 
Activities]])</f>
        <v>True</v>
      </c>
      <c r="J903">
        <v>3</v>
      </c>
      <c r="K903" t="s">
        <v>3119</v>
      </c>
      <c r="L903">
        <v>40</v>
      </c>
      <c r="M903" s="12" t="str" cm="1">
        <f t="array" ref="M903">_xlfn.IFS(Table1[[#This Row],[Math 
Score]]&gt;=90,"A+",Table1[[#This Row],[Math 
Score]]&gt;=80,"A", Table1[[#This Row],[Math 
Score]]&gt;=75,"A-",Table1[[#This Row],[Math 
Score]]&gt;=70,"B+",Table1[[#This Row],[Math 
Score]]&gt;=65,"B",Table1[[#This Row],[Math 
Score]]&gt;=60,"B-",Table1[[#This Row],[Math 
Score]]&gt;=50,"C",Table1[[#This Row],[Math 
Score]]&gt;=40,"D",Table1[[#This Row],[Math 
Score]]&lt;40,"F")</f>
        <v>D</v>
      </c>
      <c r="N903">
        <v>58</v>
      </c>
      <c r="O903" s="13" t="str" cm="1">
        <f t="array" ref="O90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C</v>
      </c>
      <c r="P903">
        <v>57</v>
      </c>
      <c r="Q903" s="13" t="str" cm="1">
        <f t="array" ref="Q90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C</v>
      </c>
      <c r="R903">
        <v>68</v>
      </c>
      <c r="S903" t="str" cm="1">
        <f t="array" ref="S90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903">
        <v>57</v>
      </c>
      <c r="U903" t="str" cm="1">
        <f t="array" ref="U90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C</v>
      </c>
      <c r="V903">
        <v>99</v>
      </c>
      <c r="W903" t="str" cm="1">
        <f t="array" ref="W90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903">
        <v>95</v>
      </c>
      <c r="Y903" t="str" cm="1">
        <f t="array" ref="Y90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903">
        <f>SUM(Table1[[#This Row],[Math 
Score]],Table1[[#This Row],[History 
Score]],Table1[[#This Row],[Physics 
Score]],Table1[[#This Row],[Chemistry 
Score]],Table1[[#This Row],[Biology 
Score]],Table1[[#This Row],[English 
Score]],Table1[[#This Row],[Geography 
Score]])</f>
        <v>474</v>
      </c>
      <c r="AA903" s="3">
        <f>AVERAGE(Table1[[#This Row],[Math 
Score]],Table1[[#This Row],[History 
Score]],Table1[[#This Row],[Physics 
Score]],Table1[[#This Row],[Chemistry 
Score]],Table1[[#This Row],[Biology 
Score]],Table1[[#This Row],[English 
Score]],Table1[[#This Row],[Geography 
Score]])</f>
        <v>67.714285714285708</v>
      </c>
      <c r="AB90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903">
        <f t="shared" si="14"/>
        <v>1949</v>
      </c>
      <c r="AD903" t="str">
        <f>_xlfn.IFS(Table1[[#This Row],[Absence 
Days]]&lt;3,"Excellent",Table1[[#This Row],[Absence 
Days]]&lt;=6,"Good",Table1[[#This Row],[Absence 
Days]]&gt;6,"Poor")</f>
        <v>Good</v>
      </c>
    </row>
    <row r="904" spans="1:30" x14ac:dyDescent="0.35">
      <c r="A904">
        <v>903</v>
      </c>
      <c r="B904" s="2" t="s">
        <v>74</v>
      </c>
      <c r="C904" t="s">
        <v>592</v>
      </c>
      <c r="D904" t="str">
        <f>_xlfn.TEXTJOIN(" ",TRUE,Table1[[#This Row],[First 
Name]:[Last 
Name]])</f>
        <v>Robert Johnson</v>
      </c>
      <c r="E904" t="s">
        <v>2014</v>
      </c>
      <c r="F904" t="s">
        <v>3244</v>
      </c>
      <c r="G904" t="str">
        <f ca="1">PROPER(Table1[[#This Row],[Part Time 
Job]])</f>
        <v>False</v>
      </c>
      <c r="H904" s="3">
        <v>2</v>
      </c>
      <c r="I904" t="str">
        <f ca="1">PROPER(Table1[[#This Row],[Extracurricular 
Activities]])</f>
        <v>False</v>
      </c>
      <c r="J904">
        <v>19</v>
      </c>
      <c r="K904" t="s">
        <v>3127</v>
      </c>
      <c r="L904">
        <v>87</v>
      </c>
      <c r="M904" s="12" t="str" cm="1">
        <f t="array" ref="M90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904">
        <v>80</v>
      </c>
      <c r="O904" s="13" t="str" cm="1">
        <f t="array" ref="O90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904">
        <v>84</v>
      </c>
      <c r="Q904" s="13" t="str" cm="1">
        <f t="array" ref="Q90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904">
        <v>65</v>
      </c>
      <c r="S904" t="str" cm="1">
        <f t="array" ref="S90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904">
        <v>91</v>
      </c>
      <c r="U904" t="str" cm="1">
        <f t="array" ref="U90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904">
        <v>84</v>
      </c>
      <c r="W904" t="str" cm="1">
        <f t="array" ref="W90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904">
        <v>65</v>
      </c>
      <c r="Y904" t="str" cm="1">
        <f t="array" ref="Y90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904">
        <f>SUM(Table1[[#This Row],[Math 
Score]],Table1[[#This Row],[History 
Score]],Table1[[#This Row],[Physics 
Score]],Table1[[#This Row],[Chemistry 
Score]],Table1[[#This Row],[Biology 
Score]],Table1[[#This Row],[English 
Score]],Table1[[#This Row],[Geography 
Score]])</f>
        <v>556</v>
      </c>
      <c r="AA904" s="3">
        <f>AVERAGE(Table1[[#This Row],[Math 
Score]],Table1[[#This Row],[History 
Score]],Table1[[#This Row],[Physics 
Score]],Table1[[#This Row],[Chemistry 
Score]],Table1[[#This Row],[Biology 
Score]],Table1[[#This Row],[English 
Score]],Table1[[#This Row],[Geography 
Score]])</f>
        <v>79.428571428571431</v>
      </c>
      <c r="AB90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904">
        <f t="shared" si="14"/>
        <v>1224</v>
      </c>
      <c r="AD904" t="str">
        <f>_xlfn.IFS(Table1[[#This Row],[Absence 
Days]]&lt;3,"Excellent",Table1[[#This Row],[Absence 
Days]]&lt;=6,"Good",Table1[[#This Row],[Absence 
Days]]&gt;6,"Poor")</f>
        <v>Excellent</v>
      </c>
    </row>
    <row r="905" spans="1:30" x14ac:dyDescent="0.35">
      <c r="A905">
        <v>904</v>
      </c>
      <c r="B905" s="2" t="s">
        <v>167</v>
      </c>
      <c r="C905" t="s">
        <v>33</v>
      </c>
      <c r="D905" t="str">
        <f>_xlfn.TEXTJOIN(" ",TRUE,Table1[[#This Row],[First 
Name]:[Last 
Name]])</f>
        <v>Kevin Ryan</v>
      </c>
      <c r="E905" t="s">
        <v>2015</v>
      </c>
      <c r="F905" t="s">
        <v>3244</v>
      </c>
      <c r="G905" t="str">
        <f ca="1">PROPER(Table1[[#This Row],[Part Time 
Job]])</f>
        <v>False</v>
      </c>
      <c r="H905" s="3">
        <v>4</v>
      </c>
      <c r="I905" t="str">
        <f ca="1">PROPER(Table1[[#This Row],[Extracurricular 
Activities]])</f>
        <v>False</v>
      </c>
      <c r="J905">
        <v>29</v>
      </c>
      <c r="K905" t="s">
        <v>3116</v>
      </c>
      <c r="L905">
        <v>74</v>
      </c>
      <c r="M905" s="12" t="str" cm="1">
        <f t="array" ref="M905">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905">
        <v>95</v>
      </c>
      <c r="O905" s="13" t="str" cm="1">
        <f t="array" ref="O90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905">
        <v>82</v>
      </c>
      <c r="Q905" s="13" t="str" cm="1">
        <f t="array" ref="Q90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905">
        <v>61</v>
      </c>
      <c r="S905" t="str" cm="1">
        <f t="array" ref="S90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905">
        <v>70</v>
      </c>
      <c r="U905" t="str" cm="1">
        <f t="array" ref="U90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905">
        <v>88</v>
      </c>
      <c r="W905" t="str" cm="1">
        <f t="array" ref="W90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905">
        <v>92</v>
      </c>
      <c r="Y905" t="str" cm="1">
        <f t="array" ref="Y90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905">
        <f>SUM(Table1[[#This Row],[Math 
Score]],Table1[[#This Row],[History 
Score]],Table1[[#This Row],[Physics 
Score]],Table1[[#This Row],[Chemistry 
Score]],Table1[[#This Row],[Biology 
Score]],Table1[[#This Row],[English 
Score]],Table1[[#This Row],[Geography 
Score]])</f>
        <v>562</v>
      </c>
      <c r="AA905" s="3">
        <f>AVERAGE(Table1[[#This Row],[Math 
Score]],Table1[[#This Row],[History 
Score]],Table1[[#This Row],[Physics 
Score]],Table1[[#This Row],[Chemistry 
Score]],Table1[[#This Row],[Biology 
Score]],Table1[[#This Row],[English 
Score]],Table1[[#This Row],[Geography 
Score]])</f>
        <v>80.285714285714292</v>
      </c>
      <c r="AB90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905">
        <f t="shared" si="14"/>
        <v>1099</v>
      </c>
      <c r="AD905" t="str">
        <f>_xlfn.IFS(Table1[[#This Row],[Absence 
Days]]&lt;3,"Excellent",Table1[[#This Row],[Absence 
Days]]&lt;=6,"Good",Table1[[#This Row],[Absence 
Days]]&gt;6,"Poor")</f>
        <v>Good</v>
      </c>
    </row>
    <row r="906" spans="1:30" x14ac:dyDescent="0.35">
      <c r="A906">
        <v>905</v>
      </c>
      <c r="B906" s="2" t="s">
        <v>329</v>
      </c>
      <c r="C906" t="s">
        <v>893</v>
      </c>
      <c r="D906" t="str">
        <f>_xlfn.TEXTJOIN(" ",TRUE,Table1[[#This Row],[First 
Name]:[Last 
Name]])</f>
        <v>Eileen Nicholson</v>
      </c>
      <c r="E906" t="s">
        <v>2016</v>
      </c>
      <c r="F906" t="s">
        <v>3245</v>
      </c>
      <c r="G906" t="str">
        <f ca="1">PROPER(Table1[[#This Row],[Part Time 
Job]])</f>
        <v>True</v>
      </c>
      <c r="H906" s="3">
        <v>7</v>
      </c>
      <c r="I906" t="str">
        <f ca="1">PROPER(Table1[[#This Row],[Extracurricular 
Activities]])</f>
        <v>True</v>
      </c>
      <c r="J906">
        <v>0</v>
      </c>
      <c r="K906" t="s">
        <v>3119</v>
      </c>
      <c r="L906">
        <v>51</v>
      </c>
      <c r="M906" s="12" t="str" cm="1">
        <f t="array" ref="M906">_xlfn.IFS(Table1[[#This Row],[Math 
Score]]&gt;=90,"A+",Table1[[#This Row],[Math 
Score]]&gt;=80,"A", Table1[[#This Row],[Math 
Score]]&gt;=75,"A-",Table1[[#This Row],[Math 
Score]]&gt;=70,"B+",Table1[[#This Row],[Math 
Score]]&gt;=65,"B",Table1[[#This Row],[Math 
Score]]&gt;=60,"B-",Table1[[#This Row],[Math 
Score]]&gt;=50,"C",Table1[[#This Row],[Math 
Score]]&gt;=40,"D",Table1[[#This Row],[Math 
Score]]&lt;40,"F")</f>
        <v>C</v>
      </c>
      <c r="N906">
        <v>56</v>
      </c>
      <c r="O906" s="13" t="str" cm="1">
        <f t="array" ref="O90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C</v>
      </c>
      <c r="P906">
        <v>64</v>
      </c>
      <c r="Q906" s="13" t="str" cm="1">
        <f t="array" ref="Q90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906">
        <v>85</v>
      </c>
      <c r="S906" t="str" cm="1">
        <f t="array" ref="S90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906">
        <v>91</v>
      </c>
      <c r="U906" t="str" cm="1">
        <f t="array" ref="U90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906">
        <v>78</v>
      </c>
      <c r="W906" t="str" cm="1">
        <f t="array" ref="W90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906">
        <v>97</v>
      </c>
      <c r="Y906" t="str" cm="1">
        <f t="array" ref="Y90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906">
        <f>SUM(Table1[[#This Row],[Math 
Score]],Table1[[#This Row],[History 
Score]],Table1[[#This Row],[Physics 
Score]],Table1[[#This Row],[Chemistry 
Score]],Table1[[#This Row],[Biology 
Score]],Table1[[#This Row],[English 
Score]],Table1[[#This Row],[Geography 
Score]])</f>
        <v>522</v>
      </c>
      <c r="AA906" s="3">
        <f>AVERAGE(Table1[[#This Row],[Math 
Score]],Table1[[#This Row],[History 
Score]],Table1[[#This Row],[Physics 
Score]],Table1[[#This Row],[Chemistry 
Score]],Table1[[#This Row],[Biology 
Score]],Table1[[#This Row],[English 
Score]],Table1[[#This Row],[Geography 
Score]])</f>
        <v>74.571428571428569</v>
      </c>
      <c r="AB90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906">
        <f t="shared" si="14"/>
        <v>1739</v>
      </c>
      <c r="AD906" t="str">
        <f>_xlfn.IFS(Table1[[#This Row],[Absence 
Days]]&lt;3,"Excellent",Table1[[#This Row],[Absence 
Days]]&lt;=6,"Good",Table1[[#This Row],[Absence 
Days]]&gt;6,"Poor")</f>
        <v>Poor</v>
      </c>
    </row>
    <row r="907" spans="1:30" x14ac:dyDescent="0.35">
      <c r="A907">
        <v>906</v>
      </c>
      <c r="B907" s="2" t="s">
        <v>74</v>
      </c>
      <c r="C907" t="s">
        <v>614</v>
      </c>
      <c r="D907" t="str">
        <f>_xlfn.TEXTJOIN(" ",TRUE,Table1[[#This Row],[First 
Name]:[Last 
Name]])</f>
        <v>Robert Torres</v>
      </c>
      <c r="E907" t="s">
        <v>2017</v>
      </c>
      <c r="F907" t="s">
        <v>3244</v>
      </c>
      <c r="G907" t="str">
        <f ca="1">PROPER(Table1[[#This Row],[Part Time 
Job]])</f>
        <v>False</v>
      </c>
      <c r="H907" s="3">
        <v>7</v>
      </c>
      <c r="I907" t="str">
        <f ca="1">PROPER(Table1[[#This Row],[Extracurricular 
Activities]])</f>
        <v>False</v>
      </c>
      <c r="J907">
        <v>5</v>
      </c>
      <c r="K907" t="s">
        <v>3128</v>
      </c>
      <c r="L907">
        <v>57</v>
      </c>
      <c r="M907" s="12" t="str" cm="1">
        <f t="array" ref="M907">_xlfn.IFS(Table1[[#This Row],[Math 
Score]]&gt;=90,"A+",Table1[[#This Row],[Math 
Score]]&gt;=80,"A", Table1[[#This Row],[Math 
Score]]&gt;=75,"A-",Table1[[#This Row],[Math 
Score]]&gt;=70,"B+",Table1[[#This Row],[Math 
Score]]&gt;=65,"B",Table1[[#This Row],[Math 
Score]]&gt;=60,"B-",Table1[[#This Row],[Math 
Score]]&gt;=50,"C",Table1[[#This Row],[Math 
Score]]&gt;=40,"D",Table1[[#This Row],[Math 
Score]]&lt;40,"F")</f>
        <v>C</v>
      </c>
      <c r="N907">
        <v>74</v>
      </c>
      <c r="O907" s="13" t="str" cm="1">
        <f t="array" ref="O90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907">
        <v>98</v>
      </c>
      <c r="Q907" s="13" t="str" cm="1">
        <f t="array" ref="Q90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907">
        <v>93</v>
      </c>
      <c r="S907" t="str" cm="1">
        <f t="array" ref="S90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907">
        <v>63</v>
      </c>
      <c r="U907" t="str" cm="1">
        <f t="array" ref="U90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907">
        <v>70</v>
      </c>
      <c r="W907" t="str" cm="1">
        <f t="array" ref="W90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907">
        <v>67</v>
      </c>
      <c r="Y907" t="str" cm="1">
        <f t="array" ref="Y90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907">
        <f>SUM(Table1[[#This Row],[Math 
Score]],Table1[[#This Row],[History 
Score]],Table1[[#This Row],[Physics 
Score]],Table1[[#This Row],[Chemistry 
Score]],Table1[[#This Row],[Biology 
Score]],Table1[[#This Row],[English 
Score]],Table1[[#This Row],[Geography 
Score]])</f>
        <v>522</v>
      </c>
      <c r="AA907" s="3">
        <f>AVERAGE(Table1[[#This Row],[Math 
Score]],Table1[[#This Row],[History 
Score]],Table1[[#This Row],[Physics 
Score]],Table1[[#This Row],[Chemistry 
Score]],Table1[[#This Row],[Biology 
Score]],Table1[[#This Row],[English 
Score]],Table1[[#This Row],[Geography 
Score]])</f>
        <v>74.571428571428569</v>
      </c>
      <c r="AB90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907">
        <f t="shared" si="14"/>
        <v>1739</v>
      </c>
      <c r="AD907" t="str">
        <f>_xlfn.IFS(Table1[[#This Row],[Absence 
Days]]&lt;3,"Excellent",Table1[[#This Row],[Absence 
Days]]&lt;=6,"Good",Table1[[#This Row],[Absence 
Days]]&gt;6,"Poor")</f>
        <v>Poor</v>
      </c>
    </row>
    <row r="908" spans="1:30" x14ac:dyDescent="0.35">
      <c r="A908">
        <v>907</v>
      </c>
      <c r="B908" s="2" t="s">
        <v>252</v>
      </c>
      <c r="C908" t="s">
        <v>894</v>
      </c>
      <c r="D908" t="str">
        <f>_xlfn.TEXTJOIN(" ",TRUE,Table1[[#This Row],[First 
Name]:[Last 
Name]])</f>
        <v>Alicia Beltran</v>
      </c>
      <c r="E908" t="s">
        <v>2018</v>
      </c>
      <c r="F908" t="s">
        <v>3245</v>
      </c>
      <c r="G908" t="str">
        <f ca="1">PROPER(Table1[[#This Row],[Part Time 
Job]])</f>
        <v>False</v>
      </c>
      <c r="H908" s="3">
        <v>6</v>
      </c>
      <c r="I908" t="str">
        <f ca="1">PROPER(Table1[[#This Row],[Extracurricular 
Activities]])</f>
        <v>False</v>
      </c>
      <c r="J908">
        <v>4</v>
      </c>
      <c r="K908" t="s">
        <v>3119</v>
      </c>
      <c r="L908">
        <v>84</v>
      </c>
      <c r="M908" s="12" t="str" cm="1">
        <f t="array" ref="M90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908">
        <v>54</v>
      </c>
      <c r="O908" s="13" t="str" cm="1">
        <f t="array" ref="O90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C</v>
      </c>
      <c r="P908">
        <v>52</v>
      </c>
      <c r="Q908" s="13" t="str" cm="1">
        <f t="array" ref="Q90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C</v>
      </c>
      <c r="R908">
        <v>52</v>
      </c>
      <c r="S908" t="str" cm="1">
        <f t="array" ref="S90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C</v>
      </c>
      <c r="T908">
        <v>65</v>
      </c>
      <c r="U908" t="str" cm="1">
        <f t="array" ref="U90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908">
        <v>54</v>
      </c>
      <c r="W908" t="str" cm="1">
        <f t="array" ref="W90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C</v>
      </c>
      <c r="X908">
        <v>69</v>
      </c>
      <c r="Y908" t="str" cm="1">
        <f t="array" ref="Y90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908">
        <f>SUM(Table1[[#This Row],[Math 
Score]],Table1[[#This Row],[History 
Score]],Table1[[#This Row],[Physics 
Score]],Table1[[#This Row],[Chemistry 
Score]],Table1[[#This Row],[Biology 
Score]],Table1[[#This Row],[English 
Score]],Table1[[#This Row],[Geography 
Score]])</f>
        <v>430</v>
      </c>
      <c r="AA908" s="3">
        <f>AVERAGE(Table1[[#This Row],[Math 
Score]],Table1[[#This Row],[History 
Score]],Table1[[#This Row],[Physics 
Score]],Table1[[#This Row],[Chemistry 
Score]],Table1[[#This Row],[Biology 
Score]],Table1[[#This Row],[English 
Score]],Table1[[#This Row],[Geography 
Score]])</f>
        <v>61.428571428571431</v>
      </c>
      <c r="AB90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908">
        <f t="shared" si="14"/>
        <v>1998</v>
      </c>
      <c r="AD908" t="str">
        <f>_xlfn.IFS(Table1[[#This Row],[Absence 
Days]]&lt;3,"Excellent",Table1[[#This Row],[Absence 
Days]]&lt;=6,"Good",Table1[[#This Row],[Absence 
Days]]&gt;6,"Poor")</f>
        <v>Good</v>
      </c>
    </row>
    <row r="909" spans="1:30" x14ac:dyDescent="0.35">
      <c r="A909">
        <v>908</v>
      </c>
      <c r="B909" s="2" t="s">
        <v>102</v>
      </c>
      <c r="C909" t="s">
        <v>875</v>
      </c>
      <c r="D909" t="str">
        <f>_xlfn.TEXTJOIN(" ",TRUE,Table1[[#This Row],[First 
Name]:[Last 
Name]])</f>
        <v>Jessica Wong</v>
      </c>
      <c r="E909" t="s">
        <v>2019</v>
      </c>
      <c r="F909" t="s">
        <v>3245</v>
      </c>
      <c r="G909" t="str">
        <f ca="1">PROPER(Table1[[#This Row],[Part Time 
Job]])</f>
        <v>False</v>
      </c>
      <c r="H909" s="3">
        <v>7</v>
      </c>
      <c r="I909" t="str">
        <f ca="1">PROPER(Table1[[#This Row],[Extracurricular 
Activities]])</f>
        <v>False</v>
      </c>
      <c r="J909">
        <v>1</v>
      </c>
      <c r="K909" t="s">
        <v>3119</v>
      </c>
      <c r="L909">
        <v>84</v>
      </c>
      <c r="M909" s="12" t="str" cm="1">
        <f t="array" ref="M90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909">
        <v>83</v>
      </c>
      <c r="O909" s="13" t="str" cm="1">
        <f t="array" ref="O90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909">
        <v>71</v>
      </c>
      <c r="Q909" s="13" t="str" cm="1">
        <f t="array" ref="Q90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909">
        <v>98</v>
      </c>
      <c r="S909" t="str" cm="1">
        <f t="array" ref="S90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909">
        <v>93</v>
      </c>
      <c r="U909" t="str" cm="1">
        <f t="array" ref="U90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909">
        <v>95</v>
      </c>
      <c r="W909" t="str" cm="1">
        <f t="array" ref="W90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909">
        <v>99</v>
      </c>
      <c r="Y909" t="str" cm="1">
        <f t="array" ref="Y90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909">
        <f>SUM(Table1[[#This Row],[Math 
Score]],Table1[[#This Row],[History 
Score]],Table1[[#This Row],[Physics 
Score]],Table1[[#This Row],[Chemistry 
Score]],Table1[[#This Row],[Biology 
Score]],Table1[[#This Row],[English 
Score]],Table1[[#This Row],[Geography 
Score]])</f>
        <v>623</v>
      </c>
      <c r="AA909" s="3">
        <f>AVERAGE(Table1[[#This Row],[Math 
Score]],Table1[[#This Row],[History 
Score]],Table1[[#This Row],[Physics 
Score]],Table1[[#This Row],[Chemistry 
Score]],Table1[[#This Row],[Biology 
Score]],Table1[[#This Row],[English 
Score]],Table1[[#This Row],[Geography 
Score]])</f>
        <v>89</v>
      </c>
      <c r="AB90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909">
        <f t="shared" si="14"/>
        <v>201</v>
      </c>
      <c r="AD909" t="str">
        <f>_xlfn.IFS(Table1[[#This Row],[Absence 
Days]]&lt;3,"Excellent",Table1[[#This Row],[Absence 
Days]]&lt;=6,"Good",Table1[[#This Row],[Absence 
Days]]&gt;6,"Poor")</f>
        <v>Poor</v>
      </c>
    </row>
    <row r="910" spans="1:30" x14ac:dyDescent="0.35">
      <c r="A910">
        <v>909</v>
      </c>
      <c r="B910" s="2" t="s">
        <v>330</v>
      </c>
      <c r="C910" t="s">
        <v>895</v>
      </c>
      <c r="D910" t="str">
        <f>_xlfn.TEXTJOIN(" ",TRUE,Table1[[#This Row],[First 
Name]:[Last 
Name]])</f>
        <v>Ruben Meyer</v>
      </c>
      <c r="E910" t="s">
        <v>2020</v>
      </c>
      <c r="F910" t="s">
        <v>3244</v>
      </c>
      <c r="G910" t="str">
        <f ca="1">PROPER(Table1[[#This Row],[Part Time 
Job]])</f>
        <v>False</v>
      </c>
      <c r="H910" s="3">
        <v>8</v>
      </c>
      <c r="I910" t="str">
        <f ca="1">PROPER(Table1[[#This Row],[Extracurricular 
Activities]])</f>
        <v>True</v>
      </c>
      <c r="J910">
        <v>12</v>
      </c>
      <c r="K910" t="s">
        <v>3127</v>
      </c>
      <c r="L910">
        <v>100</v>
      </c>
      <c r="M910" s="12" t="str" cm="1">
        <f t="array" ref="M91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910">
        <v>84</v>
      </c>
      <c r="O910" s="13" t="str" cm="1">
        <f t="array" ref="O91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910">
        <v>73</v>
      </c>
      <c r="Q910" s="13" t="str" cm="1">
        <f t="array" ref="Q91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910">
        <v>96</v>
      </c>
      <c r="S910" t="str" cm="1">
        <f t="array" ref="S91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910">
        <v>97</v>
      </c>
      <c r="U910" t="str" cm="1">
        <f t="array" ref="U91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910">
        <v>85</v>
      </c>
      <c r="W910" t="str" cm="1">
        <f t="array" ref="W91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910">
        <v>63</v>
      </c>
      <c r="Y910" t="str" cm="1">
        <f t="array" ref="Y91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910">
        <f>SUM(Table1[[#This Row],[Math 
Score]],Table1[[#This Row],[History 
Score]],Table1[[#This Row],[Physics 
Score]],Table1[[#This Row],[Chemistry 
Score]],Table1[[#This Row],[Biology 
Score]],Table1[[#This Row],[English 
Score]],Table1[[#This Row],[Geography 
Score]])</f>
        <v>598</v>
      </c>
      <c r="AA910" s="3">
        <f>AVERAGE(Table1[[#This Row],[Math 
Score]],Table1[[#This Row],[History 
Score]],Table1[[#This Row],[Physics 
Score]],Table1[[#This Row],[Chemistry 
Score]],Table1[[#This Row],[Biology 
Score]],Table1[[#This Row],[English 
Score]],Table1[[#This Row],[Geography 
Score]])</f>
        <v>85.428571428571431</v>
      </c>
      <c r="AB91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910">
        <f t="shared" si="14"/>
        <v>436</v>
      </c>
      <c r="AD910" t="str">
        <f>_xlfn.IFS(Table1[[#This Row],[Absence 
Days]]&lt;3,"Excellent",Table1[[#This Row],[Absence 
Days]]&lt;=6,"Good",Table1[[#This Row],[Absence 
Days]]&gt;6,"Poor")</f>
        <v>Poor</v>
      </c>
    </row>
    <row r="911" spans="1:30" x14ac:dyDescent="0.35">
      <c r="A911">
        <v>910</v>
      </c>
      <c r="B911" s="2" t="s">
        <v>226</v>
      </c>
      <c r="C911" t="s">
        <v>261</v>
      </c>
      <c r="D911" t="str">
        <f>_xlfn.TEXTJOIN(" ",TRUE,Table1[[#This Row],[First 
Name]:[Last 
Name]])</f>
        <v>Megan Alexander</v>
      </c>
      <c r="E911" t="s">
        <v>2021</v>
      </c>
      <c r="F911" t="s">
        <v>3245</v>
      </c>
      <c r="G911" t="str">
        <f ca="1">PROPER(Table1[[#This Row],[Part Time 
Job]])</f>
        <v>False</v>
      </c>
      <c r="H911" s="3">
        <v>3</v>
      </c>
      <c r="I911" t="str">
        <f ca="1">PROPER(Table1[[#This Row],[Extracurricular 
Activities]])</f>
        <v>False</v>
      </c>
      <c r="J911">
        <v>27</v>
      </c>
      <c r="K911" t="s">
        <v>3117</v>
      </c>
      <c r="L911">
        <v>90</v>
      </c>
      <c r="M911" s="12" t="str" cm="1">
        <f t="array" ref="M91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911">
        <v>91</v>
      </c>
      <c r="O911" s="13" t="str" cm="1">
        <f t="array" ref="O91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911">
        <v>88</v>
      </c>
      <c r="Q911" s="13" t="str" cm="1">
        <f t="array" ref="Q91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911">
        <v>95</v>
      </c>
      <c r="S911" t="str" cm="1">
        <f t="array" ref="S91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911">
        <v>98</v>
      </c>
      <c r="U911" t="str" cm="1">
        <f t="array" ref="U91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911">
        <v>99</v>
      </c>
      <c r="W911" t="str" cm="1">
        <f t="array" ref="W91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911">
        <v>71</v>
      </c>
      <c r="Y911" t="str" cm="1">
        <f t="array" ref="Y91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911">
        <f>SUM(Table1[[#This Row],[Math 
Score]],Table1[[#This Row],[History 
Score]],Table1[[#This Row],[Physics 
Score]],Table1[[#This Row],[Chemistry 
Score]],Table1[[#This Row],[Biology 
Score]],Table1[[#This Row],[English 
Score]],Table1[[#This Row],[Geography 
Score]])</f>
        <v>632</v>
      </c>
      <c r="AA911" s="3">
        <f>AVERAGE(Table1[[#This Row],[Math 
Score]],Table1[[#This Row],[History 
Score]],Table1[[#This Row],[Physics 
Score]],Table1[[#This Row],[Chemistry 
Score]],Table1[[#This Row],[Biology 
Score]],Table1[[#This Row],[English 
Score]],Table1[[#This Row],[Geography 
Score]])</f>
        <v>90.285714285714292</v>
      </c>
      <c r="AB91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911">
        <f t="shared" si="14"/>
        <v>143</v>
      </c>
      <c r="AD911" t="str">
        <f>_xlfn.IFS(Table1[[#This Row],[Absence 
Days]]&lt;3,"Excellent",Table1[[#This Row],[Absence 
Days]]&lt;=6,"Good",Table1[[#This Row],[Absence 
Days]]&gt;6,"Poor")</f>
        <v>Good</v>
      </c>
    </row>
    <row r="912" spans="1:30" x14ac:dyDescent="0.35">
      <c r="A912">
        <v>911</v>
      </c>
      <c r="B912" s="2" t="s">
        <v>50</v>
      </c>
      <c r="C912" t="s">
        <v>542</v>
      </c>
      <c r="D912" t="str">
        <f>_xlfn.TEXTJOIN(" ",TRUE,Table1[[#This Row],[First 
Name]:[Last 
Name]])</f>
        <v>Jennifer Gonzalez</v>
      </c>
      <c r="E912" t="s">
        <v>2022</v>
      </c>
      <c r="F912" t="s">
        <v>3245</v>
      </c>
      <c r="G912" t="str">
        <f ca="1">PROPER(Table1[[#This Row],[Part Time 
Job]])</f>
        <v>False</v>
      </c>
      <c r="H912" s="3">
        <v>4</v>
      </c>
      <c r="I912" t="str">
        <f ca="1">PROPER(Table1[[#This Row],[Extracurricular 
Activities]])</f>
        <v>True</v>
      </c>
      <c r="J912">
        <v>12</v>
      </c>
      <c r="K912" t="s">
        <v>3121</v>
      </c>
      <c r="L912">
        <v>97</v>
      </c>
      <c r="M912" s="12" t="str" cm="1">
        <f t="array" ref="M91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912">
        <v>77</v>
      </c>
      <c r="O912" s="13" t="str" cm="1">
        <f t="array" ref="O91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912">
        <v>66</v>
      </c>
      <c r="Q912" s="13" t="str" cm="1">
        <f t="array" ref="Q91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912">
        <v>93</v>
      </c>
      <c r="S912" t="str" cm="1">
        <f t="array" ref="S91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912">
        <v>99</v>
      </c>
      <c r="U912" t="str" cm="1">
        <f t="array" ref="U91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912">
        <v>78</v>
      </c>
      <c r="W912" t="str" cm="1">
        <f t="array" ref="W91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912">
        <v>91</v>
      </c>
      <c r="Y912" t="str" cm="1">
        <f t="array" ref="Y91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912">
        <f>SUM(Table1[[#This Row],[Math 
Score]],Table1[[#This Row],[History 
Score]],Table1[[#This Row],[Physics 
Score]],Table1[[#This Row],[Chemistry 
Score]],Table1[[#This Row],[Biology 
Score]],Table1[[#This Row],[English 
Score]],Table1[[#This Row],[Geography 
Score]])</f>
        <v>601</v>
      </c>
      <c r="AA912" s="3">
        <f>AVERAGE(Table1[[#This Row],[Math 
Score]],Table1[[#This Row],[History 
Score]],Table1[[#This Row],[Physics 
Score]],Table1[[#This Row],[Chemistry 
Score]],Table1[[#This Row],[Biology 
Score]],Table1[[#This Row],[English 
Score]],Table1[[#This Row],[Geography 
Score]])</f>
        <v>85.857142857142861</v>
      </c>
      <c r="AB91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912">
        <f t="shared" si="14"/>
        <v>394</v>
      </c>
      <c r="AD912" t="str">
        <f>_xlfn.IFS(Table1[[#This Row],[Absence 
Days]]&lt;3,"Excellent",Table1[[#This Row],[Absence 
Days]]&lt;=6,"Good",Table1[[#This Row],[Absence 
Days]]&gt;6,"Poor")</f>
        <v>Good</v>
      </c>
    </row>
    <row r="913" spans="1:30" x14ac:dyDescent="0.35">
      <c r="A913">
        <v>912</v>
      </c>
      <c r="B913" s="2" t="s">
        <v>331</v>
      </c>
      <c r="C913" t="s">
        <v>896</v>
      </c>
      <c r="D913" t="str">
        <f>_xlfn.TEXTJOIN(" ",TRUE,Table1[[#This Row],[First 
Name]:[Last 
Name]])</f>
        <v>Carl Ferguson</v>
      </c>
      <c r="E913" t="s">
        <v>2023</v>
      </c>
      <c r="F913" t="s">
        <v>3244</v>
      </c>
      <c r="G913" t="str">
        <f ca="1">PROPER(Table1[[#This Row],[Part Time 
Job]])</f>
        <v>False</v>
      </c>
      <c r="H913" s="3">
        <v>3</v>
      </c>
      <c r="I913" t="str">
        <f ca="1">PROPER(Table1[[#This Row],[Extracurricular 
Activities]])</f>
        <v>False</v>
      </c>
      <c r="J913">
        <v>21</v>
      </c>
      <c r="K913" t="s">
        <v>3121</v>
      </c>
      <c r="L913">
        <v>77</v>
      </c>
      <c r="M913" s="12" t="str" cm="1">
        <f t="array" ref="M91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913">
        <v>93</v>
      </c>
      <c r="O913" s="13" t="str" cm="1">
        <f t="array" ref="O91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913">
        <v>69</v>
      </c>
      <c r="Q913" s="13" t="str" cm="1">
        <f t="array" ref="Q91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913">
        <v>75</v>
      </c>
      <c r="S913" t="str" cm="1">
        <f t="array" ref="S91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913">
        <v>88</v>
      </c>
      <c r="U913" t="str" cm="1">
        <f t="array" ref="U91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913">
        <v>81</v>
      </c>
      <c r="W913" t="str" cm="1">
        <f t="array" ref="W91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913">
        <v>89</v>
      </c>
      <c r="Y913" t="str" cm="1">
        <f t="array" ref="Y91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913">
        <f>SUM(Table1[[#This Row],[Math 
Score]],Table1[[#This Row],[History 
Score]],Table1[[#This Row],[Physics 
Score]],Table1[[#This Row],[Chemistry 
Score]],Table1[[#This Row],[Biology 
Score]],Table1[[#This Row],[English 
Score]],Table1[[#This Row],[Geography 
Score]])</f>
        <v>572</v>
      </c>
      <c r="AA913" s="3">
        <f>AVERAGE(Table1[[#This Row],[Math 
Score]],Table1[[#This Row],[History 
Score]],Table1[[#This Row],[Physics 
Score]],Table1[[#This Row],[Chemistry 
Score]],Table1[[#This Row],[Biology 
Score]],Table1[[#This Row],[English 
Score]],Table1[[#This Row],[Geography 
Score]])</f>
        <v>81.714285714285708</v>
      </c>
      <c r="AB91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913">
        <f t="shared" si="14"/>
        <v>890</v>
      </c>
      <c r="AD913" t="str">
        <f>_xlfn.IFS(Table1[[#This Row],[Absence 
Days]]&lt;3,"Excellent",Table1[[#This Row],[Absence 
Days]]&lt;=6,"Good",Table1[[#This Row],[Absence 
Days]]&gt;6,"Poor")</f>
        <v>Good</v>
      </c>
    </row>
    <row r="914" spans="1:30" x14ac:dyDescent="0.35">
      <c r="A914">
        <v>913</v>
      </c>
      <c r="B914" s="2" t="s">
        <v>332</v>
      </c>
      <c r="C914" t="s">
        <v>897</v>
      </c>
      <c r="D914" t="str">
        <f>_xlfn.TEXTJOIN(" ",TRUE,Table1[[#This Row],[First 
Name]:[Last 
Name]])</f>
        <v>Valerie Romero</v>
      </c>
      <c r="E914" t="s">
        <v>2024</v>
      </c>
      <c r="F914" t="s">
        <v>3245</v>
      </c>
      <c r="G914" t="str">
        <f ca="1">PROPER(Table1[[#This Row],[Part Time 
Job]])</f>
        <v>False</v>
      </c>
      <c r="H914" s="3">
        <v>9</v>
      </c>
      <c r="I914" t="str">
        <f ca="1">PROPER(Table1[[#This Row],[Extracurricular 
Activities]])</f>
        <v>False</v>
      </c>
      <c r="J914">
        <v>15</v>
      </c>
      <c r="K914" t="s">
        <v>3118</v>
      </c>
      <c r="L914">
        <v>82</v>
      </c>
      <c r="M914" s="12" t="str" cm="1">
        <f t="array" ref="M91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914">
        <v>61</v>
      </c>
      <c r="O914" s="13" t="str" cm="1">
        <f t="array" ref="O91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914">
        <v>79</v>
      </c>
      <c r="Q914" s="13" t="str" cm="1">
        <f t="array" ref="Q91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914">
        <v>84</v>
      </c>
      <c r="S914" t="str" cm="1">
        <f t="array" ref="S91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914">
        <v>73</v>
      </c>
      <c r="U914" t="str" cm="1">
        <f t="array" ref="U91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914">
        <v>95</v>
      </c>
      <c r="W914" t="str" cm="1">
        <f t="array" ref="W91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914">
        <v>85</v>
      </c>
      <c r="Y914" t="str" cm="1">
        <f t="array" ref="Y91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914">
        <f>SUM(Table1[[#This Row],[Math 
Score]],Table1[[#This Row],[History 
Score]],Table1[[#This Row],[Physics 
Score]],Table1[[#This Row],[Chemistry 
Score]],Table1[[#This Row],[Biology 
Score]],Table1[[#This Row],[English 
Score]],Table1[[#This Row],[Geography 
Score]])</f>
        <v>559</v>
      </c>
      <c r="AA914" s="3">
        <f>AVERAGE(Table1[[#This Row],[Math 
Score]],Table1[[#This Row],[History 
Score]],Table1[[#This Row],[Physics 
Score]],Table1[[#This Row],[Chemistry 
Score]],Table1[[#This Row],[Biology 
Score]],Table1[[#This Row],[English 
Score]],Table1[[#This Row],[Geography 
Score]])</f>
        <v>79.857142857142861</v>
      </c>
      <c r="AB91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914">
        <f t="shared" si="14"/>
        <v>1155</v>
      </c>
      <c r="AD914" t="str">
        <f>_xlfn.IFS(Table1[[#This Row],[Absence 
Days]]&lt;3,"Excellent",Table1[[#This Row],[Absence 
Days]]&lt;=6,"Good",Table1[[#This Row],[Absence 
Days]]&gt;6,"Poor")</f>
        <v>Poor</v>
      </c>
    </row>
    <row r="915" spans="1:30" x14ac:dyDescent="0.35">
      <c r="A915">
        <v>914</v>
      </c>
      <c r="B915" s="2" t="s">
        <v>13</v>
      </c>
      <c r="C915" t="s">
        <v>897</v>
      </c>
      <c r="D915" t="str">
        <f>_xlfn.TEXTJOIN(" ",TRUE,Table1[[#This Row],[First 
Name]:[Last 
Name]])</f>
        <v>Laura Romero</v>
      </c>
      <c r="E915" t="s">
        <v>2025</v>
      </c>
      <c r="F915" t="s">
        <v>3245</v>
      </c>
      <c r="G915" t="str">
        <f ca="1">PROPER(Table1[[#This Row],[Part Time 
Job]])</f>
        <v>False</v>
      </c>
      <c r="H915" s="3">
        <v>3</v>
      </c>
      <c r="I915" t="str">
        <f ca="1">PROPER(Table1[[#This Row],[Extracurricular 
Activities]])</f>
        <v>False</v>
      </c>
      <c r="J915">
        <v>26</v>
      </c>
      <c r="K915" t="s">
        <v>3117</v>
      </c>
      <c r="L915">
        <v>89</v>
      </c>
      <c r="M915" s="12" t="str" cm="1">
        <f t="array" ref="M91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915">
        <v>68</v>
      </c>
      <c r="O915" s="13" t="str" cm="1">
        <f t="array" ref="O91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915">
        <v>83</v>
      </c>
      <c r="Q915" s="13" t="str" cm="1">
        <f t="array" ref="Q91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915">
        <v>88</v>
      </c>
      <c r="S915" t="str" cm="1">
        <f t="array" ref="S91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915">
        <v>69</v>
      </c>
      <c r="U915" t="str" cm="1">
        <f t="array" ref="U91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915">
        <v>79</v>
      </c>
      <c r="W915" t="str" cm="1">
        <f t="array" ref="W91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915">
        <v>74</v>
      </c>
      <c r="Y915" t="str" cm="1">
        <f t="array" ref="Y91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915">
        <f>SUM(Table1[[#This Row],[Math 
Score]],Table1[[#This Row],[History 
Score]],Table1[[#This Row],[Physics 
Score]],Table1[[#This Row],[Chemistry 
Score]],Table1[[#This Row],[Biology 
Score]],Table1[[#This Row],[English 
Score]],Table1[[#This Row],[Geography 
Score]])</f>
        <v>550</v>
      </c>
      <c r="AA915" s="3">
        <f>AVERAGE(Table1[[#This Row],[Math 
Score]],Table1[[#This Row],[History 
Score]],Table1[[#This Row],[Physics 
Score]],Table1[[#This Row],[Chemistry 
Score]],Table1[[#This Row],[Biology 
Score]],Table1[[#This Row],[English 
Score]],Table1[[#This Row],[Geography 
Score]])</f>
        <v>78.571428571428569</v>
      </c>
      <c r="AB91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915">
        <f t="shared" si="14"/>
        <v>1338</v>
      </c>
      <c r="AD915" t="str">
        <f>_xlfn.IFS(Table1[[#This Row],[Absence 
Days]]&lt;3,"Excellent",Table1[[#This Row],[Absence 
Days]]&lt;=6,"Good",Table1[[#This Row],[Absence 
Days]]&gt;6,"Poor")</f>
        <v>Good</v>
      </c>
    </row>
    <row r="916" spans="1:30" x14ac:dyDescent="0.35">
      <c r="A916">
        <v>915</v>
      </c>
      <c r="B916" s="2" t="s">
        <v>155</v>
      </c>
      <c r="C916" t="s">
        <v>618</v>
      </c>
      <c r="D916" t="str">
        <f>_xlfn.TEXTJOIN(" ",TRUE,Table1[[#This Row],[First 
Name]:[Last 
Name]])</f>
        <v>Heidi Adams</v>
      </c>
      <c r="E916" t="s">
        <v>2026</v>
      </c>
      <c r="F916" t="s">
        <v>3245</v>
      </c>
      <c r="G916" t="str">
        <f ca="1">PROPER(Table1[[#This Row],[Part Time 
Job]])</f>
        <v>True</v>
      </c>
      <c r="H916" s="3">
        <v>10</v>
      </c>
      <c r="I916" t="str">
        <f ca="1">PROPER(Table1[[#This Row],[Extracurricular 
Activities]])</f>
        <v>False</v>
      </c>
      <c r="J916">
        <v>3</v>
      </c>
      <c r="K916" t="s">
        <v>3119</v>
      </c>
      <c r="L916">
        <v>43</v>
      </c>
      <c r="M916" s="12" t="str" cm="1">
        <f t="array" ref="M916">_xlfn.IFS(Table1[[#This Row],[Math 
Score]]&gt;=90,"A+",Table1[[#This Row],[Math 
Score]]&gt;=80,"A", Table1[[#This Row],[Math 
Score]]&gt;=75,"A-",Table1[[#This Row],[Math 
Score]]&gt;=70,"B+",Table1[[#This Row],[Math 
Score]]&gt;=65,"B",Table1[[#This Row],[Math 
Score]]&gt;=60,"B-",Table1[[#This Row],[Math 
Score]]&gt;=50,"C",Table1[[#This Row],[Math 
Score]]&gt;=40,"D",Table1[[#This Row],[Math 
Score]]&lt;40,"F")</f>
        <v>D</v>
      </c>
      <c r="N916">
        <v>83</v>
      </c>
      <c r="O916" s="13" t="str" cm="1">
        <f t="array" ref="O91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916">
        <v>58</v>
      </c>
      <c r="Q916" s="13" t="str" cm="1">
        <f t="array" ref="Q91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C</v>
      </c>
      <c r="R916">
        <v>89</v>
      </c>
      <c r="S916" t="str" cm="1">
        <f t="array" ref="S91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916">
        <v>87</v>
      </c>
      <c r="U916" t="str" cm="1">
        <f t="array" ref="U91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916">
        <v>78</v>
      </c>
      <c r="W916" t="str" cm="1">
        <f t="array" ref="W91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916">
        <v>86</v>
      </c>
      <c r="Y916" t="str" cm="1">
        <f t="array" ref="Y91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916">
        <f>SUM(Table1[[#This Row],[Math 
Score]],Table1[[#This Row],[History 
Score]],Table1[[#This Row],[Physics 
Score]],Table1[[#This Row],[Chemistry 
Score]],Table1[[#This Row],[Biology 
Score]],Table1[[#This Row],[English 
Score]],Table1[[#This Row],[Geography 
Score]])</f>
        <v>524</v>
      </c>
      <c r="AA916" s="3">
        <f>AVERAGE(Table1[[#This Row],[Math 
Score]],Table1[[#This Row],[History 
Score]],Table1[[#This Row],[Physics 
Score]],Table1[[#This Row],[Chemistry 
Score]],Table1[[#This Row],[Biology 
Score]],Table1[[#This Row],[English 
Score]],Table1[[#This Row],[Geography 
Score]])</f>
        <v>74.857142857142861</v>
      </c>
      <c r="AB91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916">
        <f t="shared" si="14"/>
        <v>1715</v>
      </c>
      <c r="AD916" t="str">
        <f>_xlfn.IFS(Table1[[#This Row],[Absence 
Days]]&lt;3,"Excellent",Table1[[#This Row],[Absence 
Days]]&lt;=6,"Good",Table1[[#This Row],[Absence 
Days]]&gt;6,"Poor")</f>
        <v>Poor</v>
      </c>
    </row>
    <row r="917" spans="1:30" x14ac:dyDescent="0.35">
      <c r="A917">
        <v>916</v>
      </c>
      <c r="B917" s="2" t="s">
        <v>333</v>
      </c>
      <c r="C917" t="s">
        <v>630</v>
      </c>
      <c r="D917" t="str">
        <f>_xlfn.TEXTJOIN(" ",TRUE,Table1[[#This Row],[First 
Name]:[Last 
Name]])</f>
        <v>Regina Spencer</v>
      </c>
      <c r="E917" t="s">
        <v>2027</v>
      </c>
      <c r="F917" t="s">
        <v>3245</v>
      </c>
      <c r="G917" t="str">
        <f ca="1">PROPER(Table1[[#This Row],[Part Time 
Job]])</f>
        <v>False</v>
      </c>
      <c r="H917" s="3">
        <v>1</v>
      </c>
      <c r="I917" t="str">
        <f ca="1">PROPER(Table1[[#This Row],[Extracurricular 
Activities]])</f>
        <v>False</v>
      </c>
      <c r="J917">
        <v>31</v>
      </c>
      <c r="K917" t="s">
        <v>3112</v>
      </c>
      <c r="L917">
        <v>86</v>
      </c>
      <c r="M917" s="12" t="str" cm="1">
        <f t="array" ref="M91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917">
        <v>85</v>
      </c>
      <c r="O917" s="13" t="str" cm="1">
        <f t="array" ref="O91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917">
        <v>66</v>
      </c>
      <c r="Q917" s="13" t="str" cm="1">
        <f t="array" ref="Q91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917">
        <v>94</v>
      </c>
      <c r="S917" t="str" cm="1">
        <f t="array" ref="S91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917">
        <v>62</v>
      </c>
      <c r="U917" t="str" cm="1">
        <f t="array" ref="U91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917">
        <v>86</v>
      </c>
      <c r="W917" t="str" cm="1">
        <f t="array" ref="W91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917">
        <v>92</v>
      </c>
      <c r="Y917" t="str" cm="1">
        <f t="array" ref="Y91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917">
        <f>SUM(Table1[[#This Row],[Math 
Score]],Table1[[#This Row],[History 
Score]],Table1[[#This Row],[Physics 
Score]],Table1[[#This Row],[Chemistry 
Score]],Table1[[#This Row],[Biology 
Score]],Table1[[#This Row],[English 
Score]],Table1[[#This Row],[Geography 
Score]])</f>
        <v>571</v>
      </c>
      <c r="AA917" s="3">
        <f>AVERAGE(Table1[[#This Row],[Math 
Score]],Table1[[#This Row],[History 
Score]],Table1[[#This Row],[Physics 
Score]],Table1[[#This Row],[Chemistry 
Score]],Table1[[#This Row],[Biology 
Score]],Table1[[#This Row],[English 
Score]],Table1[[#This Row],[Geography 
Score]])</f>
        <v>81.571428571428569</v>
      </c>
      <c r="AB91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917">
        <f t="shared" si="14"/>
        <v>915</v>
      </c>
      <c r="AD917" t="str">
        <f>_xlfn.IFS(Table1[[#This Row],[Absence 
Days]]&lt;3,"Excellent",Table1[[#This Row],[Absence 
Days]]&lt;=6,"Good",Table1[[#This Row],[Absence 
Days]]&gt;6,"Poor")</f>
        <v>Excellent</v>
      </c>
    </row>
    <row r="918" spans="1:30" x14ac:dyDescent="0.35">
      <c r="A918">
        <v>917</v>
      </c>
      <c r="B918" s="2" t="s">
        <v>326</v>
      </c>
      <c r="C918" t="s">
        <v>664</v>
      </c>
      <c r="D918" t="str">
        <f>_xlfn.TEXTJOIN(" ",TRUE,Table1[[#This Row],[First 
Name]:[Last 
Name]])</f>
        <v>Lee Campbell</v>
      </c>
      <c r="E918" t="s">
        <v>2028</v>
      </c>
      <c r="F918" t="s">
        <v>3244</v>
      </c>
      <c r="G918" t="str">
        <f ca="1">PROPER(Table1[[#This Row],[Part Time 
Job]])</f>
        <v>False</v>
      </c>
      <c r="H918" s="3">
        <v>9</v>
      </c>
      <c r="I918" t="str">
        <f ca="1">PROPER(Table1[[#This Row],[Extracurricular 
Activities]])</f>
        <v>False</v>
      </c>
      <c r="J918">
        <v>31</v>
      </c>
      <c r="K918" t="s">
        <v>3120</v>
      </c>
      <c r="L918">
        <v>92</v>
      </c>
      <c r="M918" s="12" t="str" cm="1">
        <f t="array" ref="M91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918">
        <v>74</v>
      </c>
      <c r="O918" s="13" t="str" cm="1">
        <f t="array" ref="O91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918">
        <v>95</v>
      </c>
      <c r="Q918" s="13" t="str" cm="1">
        <f t="array" ref="Q91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918">
        <v>97</v>
      </c>
      <c r="S918" t="str" cm="1">
        <f t="array" ref="S91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918">
        <v>87</v>
      </c>
      <c r="U918" t="str" cm="1">
        <f t="array" ref="U91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918">
        <v>78</v>
      </c>
      <c r="W918" t="str" cm="1">
        <f t="array" ref="W91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918">
        <v>68</v>
      </c>
      <c r="Y918" t="str" cm="1">
        <f t="array" ref="Y91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918">
        <f>SUM(Table1[[#This Row],[Math 
Score]],Table1[[#This Row],[History 
Score]],Table1[[#This Row],[Physics 
Score]],Table1[[#This Row],[Chemistry 
Score]],Table1[[#This Row],[Biology 
Score]],Table1[[#This Row],[English 
Score]],Table1[[#This Row],[Geography 
Score]])</f>
        <v>591</v>
      </c>
      <c r="AA918" s="3">
        <f>AVERAGE(Table1[[#This Row],[Math 
Score]],Table1[[#This Row],[History 
Score]],Table1[[#This Row],[Physics 
Score]],Table1[[#This Row],[Chemistry 
Score]],Table1[[#This Row],[Biology 
Score]],Table1[[#This Row],[English 
Score]],Table1[[#This Row],[Geography 
Score]])</f>
        <v>84.428571428571431</v>
      </c>
      <c r="AB91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918">
        <f t="shared" si="14"/>
        <v>515</v>
      </c>
      <c r="AD918" t="str">
        <f>_xlfn.IFS(Table1[[#This Row],[Absence 
Days]]&lt;3,"Excellent",Table1[[#This Row],[Absence 
Days]]&lt;=6,"Good",Table1[[#This Row],[Absence 
Days]]&gt;6,"Poor")</f>
        <v>Poor</v>
      </c>
    </row>
    <row r="919" spans="1:30" x14ac:dyDescent="0.35">
      <c r="A919">
        <v>918</v>
      </c>
      <c r="B919" s="2" t="s">
        <v>334</v>
      </c>
      <c r="C919" t="s">
        <v>898</v>
      </c>
      <c r="D919" t="str">
        <f>_xlfn.TEXTJOIN(" ",TRUE,Table1[[#This Row],[First 
Name]:[Last 
Name]])</f>
        <v>Noah Mcdaniel</v>
      </c>
      <c r="E919" t="s">
        <v>2029</v>
      </c>
      <c r="F919" t="s">
        <v>3244</v>
      </c>
      <c r="G919" t="str">
        <f ca="1">PROPER(Table1[[#This Row],[Part Time 
Job]])</f>
        <v>False</v>
      </c>
      <c r="H919" s="3">
        <v>3</v>
      </c>
      <c r="I919" t="str">
        <f ca="1">PROPER(Table1[[#This Row],[Extracurricular 
Activities]])</f>
        <v>False</v>
      </c>
      <c r="J919">
        <v>3</v>
      </c>
      <c r="K919" t="s">
        <v>3116</v>
      </c>
      <c r="L919">
        <v>71</v>
      </c>
      <c r="M919" s="12" t="str" cm="1">
        <f t="array" ref="M919">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919">
        <v>70</v>
      </c>
      <c r="O919" s="13" t="str" cm="1">
        <f t="array" ref="O91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919">
        <v>60</v>
      </c>
      <c r="Q919" s="13" t="str" cm="1">
        <f t="array" ref="Q91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919">
        <v>84</v>
      </c>
      <c r="S919" t="str" cm="1">
        <f t="array" ref="S91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919">
        <v>87</v>
      </c>
      <c r="U919" t="str" cm="1">
        <f t="array" ref="U91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919">
        <v>87</v>
      </c>
      <c r="W919" t="str" cm="1">
        <f t="array" ref="W91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919">
        <v>64</v>
      </c>
      <c r="Y919" t="str" cm="1">
        <f t="array" ref="Y91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919">
        <f>SUM(Table1[[#This Row],[Math 
Score]],Table1[[#This Row],[History 
Score]],Table1[[#This Row],[Physics 
Score]],Table1[[#This Row],[Chemistry 
Score]],Table1[[#This Row],[Biology 
Score]],Table1[[#This Row],[English 
Score]],Table1[[#This Row],[Geography 
Score]])</f>
        <v>523</v>
      </c>
      <c r="AA919" s="3">
        <f>AVERAGE(Table1[[#This Row],[Math 
Score]],Table1[[#This Row],[History 
Score]],Table1[[#This Row],[Physics 
Score]],Table1[[#This Row],[Chemistry 
Score]],Table1[[#This Row],[Biology 
Score]],Table1[[#This Row],[English 
Score]],Table1[[#This Row],[Geography 
Score]])</f>
        <v>74.714285714285708</v>
      </c>
      <c r="AB91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919">
        <f t="shared" si="14"/>
        <v>1727</v>
      </c>
      <c r="AD919" t="str">
        <f>_xlfn.IFS(Table1[[#This Row],[Absence 
Days]]&lt;3,"Excellent",Table1[[#This Row],[Absence 
Days]]&lt;=6,"Good",Table1[[#This Row],[Absence 
Days]]&gt;6,"Poor")</f>
        <v>Good</v>
      </c>
    </row>
    <row r="920" spans="1:30" x14ac:dyDescent="0.35">
      <c r="A920">
        <v>919</v>
      </c>
      <c r="B920" s="2" t="s">
        <v>335</v>
      </c>
      <c r="C920" t="s">
        <v>433</v>
      </c>
      <c r="D920" t="str">
        <f>_xlfn.TEXTJOIN(" ",TRUE,Table1[[#This Row],[First 
Name]:[Last 
Name]])</f>
        <v>Dorothy Mitchell</v>
      </c>
      <c r="E920" t="s">
        <v>2030</v>
      </c>
      <c r="F920" t="s">
        <v>3245</v>
      </c>
      <c r="G920" t="str">
        <f ca="1">PROPER(Table1[[#This Row],[Part Time 
Job]])</f>
        <v>False</v>
      </c>
      <c r="H920" s="3">
        <v>8</v>
      </c>
      <c r="I920" t="str">
        <f ca="1">PROPER(Table1[[#This Row],[Extracurricular 
Activities]])</f>
        <v>False</v>
      </c>
      <c r="J920">
        <v>16</v>
      </c>
      <c r="K920" t="s">
        <v>3117</v>
      </c>
      <c r="L920">
        <v>92</v>
      </c>
      <c r="M920" s="12" t="str" cm="1">
        <f t="array" ref="M92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920">
        <v>81</v>
      </c>
      <c r="O920" s="13" t="str" cm="1">
        <f t="array" ref="O92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920">
        <v>71</v>
      </c>
      <c r="Q920" s="13" t="str" cm="1">
        <f t="array" ref="Q92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920">
        <v>97</v>
      </c>
      <c r="S920" t="str" cm="1">
        <f t="array" ref="S92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920">
        <v>96</v>
      </c>
      <c r="U920" t="str" cm="1">
        <f t="array" ref="U92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920">
        <v>72</v>
      </c>
      <c r="W920" t="str" cm="1">
        <f t="array" ref="W92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920">
        <v>63</v>
      </c>
      <c r="Y920" t="str" cm="1">
        <f t="array" ref="Y92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920">
        <f>SUM(Table1[[#This Row],[Math 
Score]],Table1[[#This Row],[History 
Score]],Table1[[#This Row],[Physics 
Score]],Table1[[#This Row],[Chemistry 
Score]],Table1[[#This Row],[Biology 
Score]],Table1[[#This Row],[English 
Score]],Table1[[#This Row],[Geography 
Score]])</f>
        <v>572</v>
      </c>
      <c r="AA920" s="3">
        <f>AVERAGE(Table1[[#This Row],[Math 
Score]],Table1[[#This Row],[History 
Score]],Table1[[#This Row],[Physics 
Score]],Table1[[#This Row],[Chemistry 
Score]],Table1[[#This Row],[Biology 
Score]],Table1[[#This Row],[English 
Score]],Table1[[#This Row],[Geography 
Score]])</f>
        <v>81.714285714285708</v>
      </c>
      <c r="AB92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920">
        <f t="shared" si="14"/>
        <v>890</v>
      </c>
      <c r="AD920" t="str">
        <f>_xlfn.IFS(Table1[[#This Row],[Absence 
Days]]&lt;3,"Excellent",Table1[[#This Row],[Absence 
Days]]&lt;=6,"Good",Table1[[#This Row],[Absence 
Days]]&gt;6,"Poor")</f>
        <v>Poor</v>
      </c>
    </row>
    <row r="921" spans="1:30" x14ac:dyDescent="0.35">
      <c r="A921">
        <v>920</v>
      </c>
      <c r="B921" s="2" t="s">
        <v>34</v>
      </c>
      <c r="C921" t="s">
        <v>899</v>
      </c>
      <c r="D921" t="str">
        <f>_xlfn.TEXTJOIN(" ",TRUE,Table1[[#This Row],[First 
Name]:[Last 
Name]])</f>
        <v>Michael Mccarthy</v>
      </c>
      <c r="E921" t="s">
        <v>2031</v>
      </c>
      <c r="F921" t="s">
        <v>3244</v>
      </c>
      <c r="G921" t="str">
        <f ca="1">PROPER(Table1[[#This Row],[Part Time 
Job]])</f>
        <v>False</v>
      </c>
      <c r="H921" s="3">
        <v>5</v>
      </c>
      <c r="I921" t="str">
        <f ca="1">PROPER(Table1[[#This Row],[Extracurricular 
Activities]])</f>
        <v>False</v>
      </c>
      <c r="J921">
        <v>29</v>
      </c>
      <c r="K921" t="s">
        <v>3112</v>
      </c>
      <c r="L921">
        <v>77</v>
      </c>
      <c r="M921" s="12" t="str" cm="1">
        <f t="array" ref="M92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921">
        <v>92</v>
      </c>
      <c r="O921" s="13" t="str" cm="1">
        <f t="array" ref="O92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921">
        <v>65</v>
      </c>
      <c r="Q921" s="13" t="str" cm="1">
        <f t="array" ref="Q92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921">
        <v>62</v>
      </c>
      <c r="S921" t="str" cm="1">
        <f t="array" ref="S92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921">
        <v>76</v>
      </c>
      <c r="U921" t="str" cm="1">
        <f t="array" ref="U92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921">
        <v>84</v>
      </c>
      <c r="W921" t="str" cm="1">
        <f t="array" ref="W92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921">
        <v>100</v>
      </c>
      <c r="Y921" t="str" cm="1">
        <f t="array" ref="Y92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921">
        <f>SUM(Table1[[#This Row],[Math 
Score]],Table1[[#This Row],[History 
Score]],Table1[[#This Row],[Physics 
Score]],Table1[[#This Row],[Chemistry 
Score]],Table1[[#This Row],[Biology 
Score]],Table1[[#This Row],[English 
Score]],Table1[[#This Row],[Geography 
Score]])</f>
        <v>556</v>
      </c>
      <c r="AA921" s="3">
        <f>AVERAGE(Table1[[#This Row],[Math 
Score]],Table1[[#This Row],[History 
Score]],Table1[[#This Row],[Physics 
Score]],Table1[[#This Row],[Chemistry 
Score]],Table1[[#This Row],[Biology 
Score]],Table1[[#This Row],[English 
Score]],Table1[[#This Row],[Geography 
Score]])</f>
        <v>79.428571428571431</v>
      </c>
      <c r="AB92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921">
        <f t="shared" si="14"/>
        <v>1224</v>
      </c>
      <c r="AD921" t="str">
        <f>_xlfn.IFS(Table1[[#This Row],[Absence 
Days]]&lt;3,"Excellent",Table1[[#This Row],[Absence 
Days]]&lt;=6,"Good",Table1[[#This Row],[Absence 
Days]]&gt;6,"Poor")</f>
        <v>Good</v>
      </c>
    </row>
    <row r="922" spans="1:30" x14ac:dyDescent="0.35">
      <c r="A922">
        <v>921</v>
      </c>
      <c r="B922" s="2" t="s">
        <v>110</v>
      </c>
      <c r="C922" t="s">
        <v>532</v>
      </c>
      <c r="D922" t="str">
        <f>_xlfn.TEXTJOIN(" ",TRUE,Table1[[#This Row],[First 
Name]:[Last 
Name]])</f>
        <v>Matthew Jones</v>
      </c>
      <c r="E922" t="s">
        <v>2032</v>
      </c>
      <c r="F922" t="s">
        <v>3244</v>
      </c>
      <c r="G922" t="str">
        <f ca="1">PROPER(Table1[[#This Row],[Part Time 
Job]])</f>
        <v>False</v>
      </c>
      <c r="H922" s="3">
        <v>4</v>
      </c>
      <c r="I922" t="str">
        <f ca="1">PROPER(Table1[[#This Row],[Extracurricular 
Activities]])</f>
        <v>False</v>
      </c>
      <c r="J922">
        <v>31</v>
      </c>
      <c r="K922" t="s">
        <v>3117</v>
      </c>
      <c r="L922">
        <v>90</v>
      </c>
      <c r="M922" s="12" t="str" cm="1">
        <f t="array" ref="M92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922">
        <v>62</v>
      </c>
      <c r="O922" s="13" t="str" cm="1">
        <f t="array" ref="O92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922">
        <v>87</v>
      </c>
      <c r="Q922" s="13" t="str" cm="1">
        <f t="array" ref="Q92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922">
        <v>63</v>
      </c>
      <c r="S922" t="str" cm="1">
        <f t="array" ref="S92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922">
        <v>77</v>
      </c>
      <c r="U922" t="str" cm="1">
        <f t="array" ref="U92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922">
        <v>71</v>
      </c>
      <c r="W922" t="str" cm="1">
        <f t="array" ref="W92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922">
        <v>68</v>
      </c>
      <c r="Y922" t="str" cm="1">
        <f t="array" ref="Y92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922">
        <f>SUM(Table1[[#This Row],[Math 
Score]],Table1[[#This Row],[History 
Score]],Table1[[#This Row],[Physics 
Score]],Table1[[#This Row],[Chemistry 
Score]],Table1[[#This Row],[Biology 
Score]],Table1[[#This Row],[English 
Score]],Table1[[#This Row],[Geography 
Score]])</f>
        <v>518</v>
      </c>
      <c r="AA922" s="3">
        <f>AVERAGE(Table1[[#This Row],[Math 
Score]],Table1[[#This Row],[History 
Score]],Table1[[#This Row],[Physics 
Score]],Table1[[#This Row],[Chemistry 
Score]],Table1[[#This Row],[Biology 
Score]],Table1[[#This Row],[English 
Score]],Table1[[#This Row],[Geography 
Score]])</f>
        <v>74</v>
      </c>
      <c r="AB92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922">
        <f t="shared" si="14"/>
        <v>1775</v>
      </c>
      <c r="AD922" t="str">
        <f>_xlfn.IFS(Table1[[#This Row],[Absence 
Days]]&lt;3,"Excellent",Table1[[#This Row],[Absence 
Days]]&lt;=6,"Good",Table1[[#This Row],[Absence 
Days]]&gt;6,"Poor")</f>
        <v>Good</v>
      </c>
    </row>
    <row r="923" spans="1:30" x14ac:dyDescent="0.35">
      <c r="A923">
        <v>922</v>
      </c>
      <c r="B923" s="2" t="s">
        <v>124</v>
      </c>
      <c r="C923" t="s">
        <v>631</v>
      </c>
      <c r="D923" t="str">
        <f>_xlfn.TEXTJOIN(" ",TRUE,Table1[[#This Row],[First 
Name]:[Last 
Name]])</f>
        <v>John Riley</v>
      </c>
      <c r="E923" t="s">
        <v>2033</v>
      </c>
      <c r="F923" t="s">
        <v>3244</v>
      </c>
      <c r="G923" t="str">
        <f ca="1">PROPER(Table1[[#This Row],[Part Time 
Job]])</f>
        <v>False</v>
      </c>
      <c r="H923" s="3">
        <v>1</v>
      </c>
      <c r="I923" t="str">
        <f ca="1">PROPER(Table1[[#This Row],[Extracurricular 
Activities]])</f>
        <v>False</v>
      </c>
      <c r="J923">
        <v>46</v>
      </c>
      <c r="K923" t="s">
        <v>3113</v>
      </c>
      <c r="L923">
        <v>91</v>
      </c>
      <c r="M923" s="12" t="str" cm="1">
        <f t="array" ref="M92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923">
        <v>85</v>
      </c>
      <c r="O923" s="13" t="str" cm="1">
        <f t="array" ref="O92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923">
        <v>98</v>
      </c>
      <c r="Q923" s="13" t="str" cm="1">
        <f t="array" ref="Q92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923">
        <v>96</v>
      </c>
      <c r="S923" t="str" cm="1">
        <f t="array" ref="S92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923">
        <v>98</v>
      </c>
      <c r="U923" t="str" cm="1">
        <f t="array" ref="U92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923">
        <v>96</v>
      </c>
      <c r="W923" t="str" cm="1">
        <f t="array" ref="W92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923">
        <v>93</v>
      </c>
      <c r="Y923" t="str" cm="1">
        <f t="array" ref="Y92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923">
        <f>SUM(Table1[[#This Row],[Math 
Score]],Table1[[#This Row],[History 
Score]],Table1[[#This Row],[Physics 
Score]],Table1[[#This Row],[Chemistry 
Score]],Table1[[#This Row],[Biology 
Score]],Table1[[#This Row],[English 
Score]],Table1[[#This Row],[Geography 
Score]])</f>
        <v>657</v>
      </c>
      <c r="AA923" s="3">
        <f>AVERAGE(Table1[[#This Row],[Math 
Score]],Table1[[#This Row],[History 
Score]],Table1[[#This Row],[Physics 
Score]],Table1[[#This Row],[Chemistry 
Score]],Table1[[#This Row],[Biology 
Score]],Table1[[#This Row],[English 
Score]],Table1[[#This Row],[Geography 
Score]])</f>
        <v>93.857142857142861</v>
      </c>
      <c r="AB92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923">
        <f t="shared" si="14"/>
        <v>26</v>
      </c>
      <c r="AD923" t="str">
        <f>_xlfn.IFS(Table1[[#This Row],[Absence 
Days]]&lt;3,"Excellent",Table1[[#This Row],[Absence 
Days]]&lt;=6,"Good",Table1[[#This Row],[Absence 
Days]]&gt;6,"Poor")</f>
        <v>Excellent</v>
      </c>
    </row>
    <row r="924" spans="1:30" x14ac:dyDescent="0.35">
      <c r="A924">
        <v>923</v>
      </c>
      <c r="B924" s="2" t="s">
        <v>336</v>
      </c>
      <c r="C924" t="s">
        <v>815</v>
      </c>
      <c r="D924" t="str">
        <f>_xlfn.TEXTJOIN(" ",TRUE,Table1[[#This Row],[First 
Name]:[Last 
Name]])</f>
        <v>Shelly Dominguez</v>
      </c>
      <c r="E924" t="s">
        <v>2034</v>
      </c>
      <c r="F924" t="s">
        <v>3245</v>
      </c>
      <c r="G924" t="str">
        <f ca="1">PROPER(Table1[[#This Row],[Part Time 
Job]])</f>
        <v>False</v>
      </c>
      <c r="H924" s="3">
        <v>1</v>
      </c>
      <c r="I924" t="str">
        <f ca="1">PROPER(Table1[[#This Row],[Extracurricular 
Activities]])</f>
        <v>False</v>
      </c>
      <c r="J924">
        <v>24</v>
      </c>
      <c r="K924" t="s">
        <v>3117</v>
      </c>
      <c r="L924">
        <v>88</v>
      </c>
      <c r="M924" s="12" t="str" cm="1">
        <f t="array" ref="M92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924">
        <v>72</v>
      </c>
      <c r="O924" s="13" t="str" cm="1">
        <f t="array" ref="O92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924">
        <v>96</v>
      </c>
      <c r="Q924" s="13" t="str" cm="1">
        <f t="array" ref="Q92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924">
        <v>97</v>
      </c>
      <c r="S924" t="str" cm="1">
        <f t="array" ref="S92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924">
        <v>71</v>
      </c>
      <c r="U924" t="str" cm="1">
        <f t="array" ref="U92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924">
        <v>60</v>
      </c>
      <c r="W924" t="str" cm="1">
        <f t="array" ref="W92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924">
        <v>61</v>
      </c>
      <c r="Y924" t="str" cm="1">
        <f t="array" ref="Y92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924">
        <f>SUM(Table1[[#This Row],[Math 
Score]],Table1[[#This Row],[History 
Score]],Table1[[#This Row],[Physics 
Score]],Table1[[#This Row],[Chemistry 
Score]],Table1[[#This Row],[Biology 
Score]],Table1[[#This Row],[English 
Score]],Table1[[#This Row],[Geography 
Score]])</f>
        <v>545</v>
      </c>
      <c r="AA924" s="3">
        <f>AVERAGE(Table1[[#This Row],[Math 
Score]],Table1[[#This Row],[History 
Score]],Table1[[#This Row],[Physics 
Score]],Table1[[#This Row],[Chemistry 
Score]],Table1[[#This Row],[Biology 
Score]],Table1[[#This Row],[English 
Score]],Table1[[#This Row],[Geography 
Score]])</f>
        <v>77.857142857142861</v>
      </c>
      <c r="AB92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924">
        <f t="shared" si="14"/>
        <v>1432</v>
      </c>
      <c r="AD924" t="str">
        <f>_xlfn.IFS(Table1[[#This Row],[Absence 
Days]]&lt;3,"Excellent",Table1[[#This Row],[Absence 
Days]]&lt;=6,"Good",Table1[[#This Row],[Absence 
Days]]&gt;6,"Poor")</f>
        <v>Excellent</v>
      </c>
    </row>
    <row r="925" spans="1:30" x14ac:dyDescent="0.35">
      <c r="A925">
        <v>924</v>
      </c>
      <c r="B925" s="2" t="s">
        <v>299</v>
      </c>
      <c r="C925" t="s">
        <v>613</v>
      </c>
      <c r="D925" t="str">
        <f>_xlfn.TEXTJOIN(" ",TRUE,Table1[[#This Row],[First 
Name]:[Last 
Name]])</f>
        <v>Ann Evans</v>
      </c>
      <c r="E925" t="s">
        <v>2035</v>
      </c>
      <c r="F925" t="s">
        <v>3245</v>
      </c>
      <c r="G925" t="str">
        <f ca="1">PROPER(Table1[[#This Row],[Part Time 
Job]])</f>
        <v>False</v>
      </c>
      <c r="H925" s="3">
        <v>2</v>
      </c>
      <c r="I925" t="str">
        <f ca="1">PROPER(Table1[[#This Row],[Extracurricular 
Activities]])</f>
        <v>False</v>
      </c>
      <c r="J925">
        <v>2</v>
      </c>
      <c r="K925" t="s">
        <v>3128</v>
      </c>
      <c r="L925">
        <v>98</v>
      </c>
      <c r="M925" s="12" t="str" cm="1">
        <f t="array" ref="M92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925">
        <v>73</v>
      </c>
      <c r="O925" s="13" t="str" cm="1">
        <f t="array" ref="O92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925">
        <v>85</v>
      </c>
      <c r="Q925" s="13" t="str" cm="1">
        <f t="array" ref="Q92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925">
        <v>78</v>
      </c>
      <c r="S925" t="str" cm="1">
        <f t="array" ref="S92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925">
        <v>61</v>
      </c>
      <c r="U925" t="str" cm="1">
        <f t="array" ref="U92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925">
        <v>74</v>
      </c>
      <c r="W925" t="str" cm="1">
        <f t="array" ref="W92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925">
        <v>96</v>
      </c>
      <c r="Y925" t="str" cm="1">
        <f t="array" ref="Y92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925">
        <f>SUM(Table1[[#This Row],[Math 
Score]],Table1[[#This Row],[History 
Score]],Table1[[#This Row],[Physics 
Score]],Table1[[#This Row],[Chemistry 
Score]],Table1[[#This Row],[Biology 
Score]],Table1[[#This Row],[English 
Score]],Table1[[#This Row],[Geography 
Score]])</f>
        <v>565</v>
      </c>
      <c r="AA925" s="3">
        <f>AVERAGE(Table1[[#This Row],[Math 
Score]],Table1[[#This Row],[History 
Score]],Table1[[#This Row],[Physics 
Score]],Table1[[#This Row],[Chemistry 
Score]],Table1[[#This Row],[Biology 
Score]],Table1[[#This Row],[English 
Score]],Table1[[#This Row],[Geography 
Score]])</f>
        <v>80.714285714285708</v>
      </c>
      <c r="AB92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925">
        <f t="shared" si="14"/>
        <v>1035</v>
      </c>
      <c r="AD925" t="str">
        <f>_xlfn.IFS(Table1[[#This Row],[Absence 
Days]]&lt;3,"Excellent",Table1[[#This Row],[Absence 
Days]]&lt;=6,"Good",Table1[[#This Row],[Absence 
Days]]&gt;6,"Poor")</f>
        <v>Excellent</v>
      </c>
    </row>
    <row r="926" spans="1:30" x14ac:dyDescent="0.35">
      <c r="A926">
        <v>925</v>
      </c>
      <c r="B926" s="2" t="s">
        <v>40</v>
      </c>
      <c r="C926" t="s">
        <v>510</v>
      </c>
      <c r="D926" t="str">
        <f>_xlfn.TEXTJOIN(" ",TRUE,Table1[[#This Row],[First 
Name]:[Last 
Name]])</f>
        <v>David Perez</v>
      </c>
      <c r="E926" t="s">
        <v>2036</v>
      </c>
      <c r="F926" t="s">
        <v>3244</v>
      </c>
      <c r="G926" t="str">
        <f ca="1">PROPER(Table1[[#This Row],[Part Time 
Job]])</f>
        <v>True</v>
      </c>
      <c r="H926" s="3">
        <v>10</v>
      </c>
      <c r="I926" t="str">
        <f ca="1">PROPER(Table1[[#This Row],[Extracurricular 
Activities]])</f>
        <v>False</v>
      </c>
      <c r="J926">
        <v>2</v>
      </c>
      <c r="K926" t="s">
        <v>3119</v>
      </c>
      <c r="L926">
        <v>87</v>
      </c>
      <c r="M926" s="12" t="str" cm="1">
        <f t="array" ref="M92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926">
        <v>60</v>
      </c>
      <c r="O926" s="13" t="str" cm="1">
        <f t="array" ref="O92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926">
        <v>67</v>
      </c>
      <c r="Q926" s="13" t="str" cm="1">
        <f t="array" ref="Q92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926">
        <v>88</v>
      </c>
      <c r="S926" t="str" cm="1">
        <f t="array" ref="S92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926">
        <v>99</v>
      </c>
      <c r="U926" t="str" cm="1">
        <f t="array" ref="U92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926">
        <v>56</v>
      </c>
      <c r="W926" t="str" cm="1">
        <f t="array" ref="W92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C</v>
      </c>
      <c r="X926">
        <v>92</v>
      </c>
      <c r="Y926" t="str" cm="1">
        <f t="array" ref="Y92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926">
        <f>SUM(Table1[[#This Row],[Math 
Score]],Table1[[#This Row],[History 
Score]],Table1[[#This Row],[Physics 
Score]],Table1[[#This Row],[Chemistry 
Score]],Table1[[#This Row],[Biology 
Score]],Table1[[#This Row],[English 
Score]],Table1[[#This Row],[Geography 
Score]])</f>
        <v>549</v>
      </c>
      <c r="AA926" s="3">
        <f>AVERAGE(Table1[[#This Row],[Math 
Score]],Table1[[#This Row],[History 
Score]],Table1[[#This Row],[Physics 
Score]],Table1[[#This Row],[Chemistry 
Score]],Table1[[#This Row],[Biology 
Score]],Table1[[#This Row],[English 
Score]],Table1[[#This Row],[Geography 
Score]])</f>
        <v>78.428571428571431</v>
      </c>
      <c r="AB92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926">
        <f t="shared" si="14"/>
        <v>1355</v>
      </c>
      <c r="AD926" t="str">
        <f>_xlfn.IFS(Table1[[#This Row],[Absence 
Days]]&lt;3,"Excellent",Table1[[#This Row],[Absence 
Days]]&lt;=6,"Good",Table1[[#This Row],[Absence 
Days]]&gt;6,"Poor")</f>
        <v>Poor</v>
      </c>
    </row>
    <row r="927" spans="1:30" x14ac:dyDescent="0.35">
      <c r="A927">
        <v>926</v>
      </c>
      <c r="B927" s="2" t="s">
        <v>203</v>
      </c>
      <c r="C927" t="s">
        <v>546</v>
      </c>
      <c r="D927" t="str">
        <f>_xlfn.TEXTJOIN(" ",TRUE,Table1[[#This Row],[First 
Name]:[Last 
Name]])</f>
        <v>Nicole Bell</v>
      </c>
      <c r="E927" t="s">
        <v>2037</v>
      </c>
      <c r="F927" t="s">
        <v>3245</v>
      </c>
      <c r="G927" t="str">
        <f ca="1">PROPER(Table1[[#This Row],[Part Time 
Job]])</f>
        <v>False</v>
      </c>
      <c r="H927" s="3">
        <v>3</v>
      </c>
      <c r="I927" t="str">
        <f ca="1">PROPER(Table1[[#This Row],[Extracurricular 
Activities]])</f>
        <v>False</v>
      </c>
      <c r="J927">
        <v>9</v>
      </c>
      <c r="K927" t="s">
        <v>3118</v>
      </c>
      <c r="L927">
        <v>66</v>
      </c>
      <c r="M927" s="12" t="str" cm="1">
        <f t="array" ref="M927">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927">
        <v>64</v>
      </c>
      <c r="O927" s="13" t="str" cm="1">
        <f t="array" ref="O92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927">
        <v>82</v>
      </c>
      <c r="Q927" s="13" t="str" cm="1">
        <f t="array" ref="Q92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927">
        <v>82</v>
      </c>
      <c r="S927" t="str" cm="1">
        <f t="array" ref="S92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927">
        <v>72</v>
      </c>
      <c r="U927" t="str" cm="1">
        <f t="array" ref="U92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927">
        <v>96</v>
      </c>
      <c r="W927" t="str" cm="1">
        <f t="array" ref="W92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927">
        <v>100</v>
      </c>
      <c r="Y927" t="str" cm="1">
        <f t="array" ref="Y92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927">
        <f>SUM(Table1[[#This Row],[Math 
Score]],Table1[[#This Row],[History 
Score]],Table1[[#This Row],[Physics 
Score]],Table1[[#This Row],[Chemistry 
Score]],Table1[[#This Row],[Biology 
Score]],Table1[[#This Row],[English 
Score]],Table1[[#This Row],[Geography 
Score]])</f>
        <v>562</v>
      </c>
      <c r="AA927" s="3">
        <f>AVERAGE(Table1[[#This Row],[Math 
Score]],Table1[[#This Row],[History 
Score]],Table1[[#This Row],[Physics 
Score]],Table1[[#This Row],[Chemistry 
Score]],Table1[[#This Row],[Biology 
Score]],Table1[[#This Row],[English 
Score]],Table1[[#This Row],[Geography 
Score]])</f>
        <v>80.285714285714292</v>
      </c>
      <c r="AB92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927">
        <f t="shared" si="14"/>
        <v>1099</v>
      </c>
      <c r="AD927" t="str">
        <f>_xlfn.IFS(Table1[[#This Row],[Absence 
Days]]&lt;3,"Excellent",Table1[[#This Row],[Absence 
Days]]&lt;=6,"Good",Table1[[#This Row],[Absence 
Days]]&gt;6,"Poor")</f>
        <v>Good</v>
      </c>
    </row>
    <row r="928" spans="1:30" x14ac:dyDescent="0.35">
      <c r="A928">
        <v>927</v>
      </c>
      <c r="B928" s="2" t="s">
        <v>99</v>
      </c>
      <c r="C928" t="s">
        <v>516</v>
      </c>
      <c r="D928" t="str">
        <f>_xlfn.TEXTJOIN(" ",TRUE,Table1[[#This Row],[First 
Name]:[Last 
Name]])</f>
        <v>Amanda Garcia</v>
      </c>
      <c r="E928" t="s">
        <v>2038</v>
      </c>
      <c r="F928" t="s">
        <v>3245</v>
      </c>
      <c r="G928" t="str">
        <f ca="1">PROPER(Table1[[#This Row],[Part Time 
Job]])</f>
        <v>True</v>
      </c>
      <c r="H928" s="3">
        <v>7</v>
      </c>
      <c r="I928" t="str">
        <f ca="1">PROPER(Table1[[#This Row],[Extracurricular 
Activities]])</f>
        <v>False</v>
      </c>
      <c r="J928">
        <v>0</v>
      </c>
      <c r="K928" t="s">
        <v>3119</v>
      </c>
      <c r="L928">
        <v>83</v>
      </c>
      <c r="M928" s="12" t="str" cm="1">
        <f t="array" ref="M92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928">
        <v>98</v>
      </c>
      <c r="O928" s="13" t="str" cm="1">
        <f t="array" ref="O92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928">
        <v>51</v>
      </c>
      <c r="Q928" s="13" t="str" cm="1">
        <f t="array" ref="Q92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C</v>
      </c>
      <c r="R928">
        <v>72</v>
      </c>
      <c r="S928" t="str" cm="1">
        <f t="array" ref="S92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928">
        <v>90</v>
      </c>
      <c r="U928" t="str" cm="1">
        <f t="array" ref="U92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928">
        <v>59</v>
      </c>
      <c r="W928" t="str" cm="1">
        <f t="array" ref="W92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C</v>
      </c>
      <c r="X928">
        <v>73</v>
      </c>
      <c r="Y928" t="str" cm="1">
        <f t="array" ref="Y92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928">
        <f>SUM(Table1[[#This Row],[Math 
Score]],Table1[[#This Row],[History 
Score]],Table1[[#This Row],[Physics 
Score]],Table1[[#This Row],[Chemistry 
Score]],Table1[[#This Row],[Biology 
Score]],Table1[[#This Row],[English 
Score]],Table1[[#This Row],[Geography 
Score]])</f>
        <v>526</v>
      </c>
      <c r="AA928" s="3">
        <f>AVERAGE(Table1[[#This Row],[Math 
Score]],Table1[[#This Row],[History 
Score]],Table1[[#This Row],[Physics 
Score]],Table1[[#This Row],[Chemistry 
Score]],Table1[[#This Row],[Biology 
Score]],Table1[[#This Row],[English 
Score]],Table1[[#This Row],[Geography 
Score]])</f>
        <v>75.142857142857139</v>
      </c>
      <c r="AB92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928">
        <f t="shared" si="14"/>
        <v>1688</v>
      </c>
      <c r="AD928" t="str">
        <f>_xlfn.IFS(Table1[[#This Row],[Absence 
Days]]&lt;3,"Excellent",Table1[[#This Row],[Absence 
Days]]&lt;=6,"Good",Table1[[#This Row],[Absence 
Days]]&gt;6,"Poor")</f>
        <v>Poor</v>
      </c>
    </row>
    <row r="929" spans="1:30" x14ac:dyDescent="0.35">
      <c r="A929">
        <v>928</v>
      </c>
      <c r="B929" s="2" t="s">
        <v>70</v>
      </c>
      <c r="C929" t="s">
        <v>616</v>
      </c>
      <c r="D929" t="str">
        <f>_xlfn.TEXTJOIN(" ",TRUE,Table1[[#This Row],[First 
Name]:[Last 
Name]])</f>
        <v>Charles Owens</v>
      </c>
      <c r="E929" t="s">
        <v>2039</v>
      </c>
      <c r="F929" t="s">
        <v>3244</v>
      </c>
      <c r="G929" t="str">
        <f ca="1">PROPER(Table1[[#This Row],[Part Time 
Job]])</f>
        <v>False</v>
      </c>
      <c r="H929" s="3">
        <v>8</v>
      </c>
      <c r="I929" t="str">
        <f ca="1">PROPER(Table1[[#This Row],[Extracurricular 
Activities]])</f>
        <v>False</v>
      </c>
      <c r="J929">
        <v>4</v>
      </c>
      <c r="K929" t="s">
        <v>3119</v>
      </c>
      <c r="L929">
        <v>40</v>
      </c>
      <c r="M929" s="12" t="str" cm="1">
        <f t="array" ref="M929">_xlfn.IFS(Table1[[#This Row],[Math 
Score]]&gt;=90,"A+",Table1[[#This Row],[Math 
Score]]&gt;=80,"A", Table1[[#This Row],[Math 
Score]]&gt;=75,"A-",Table1[[#This Row],[Math 
Score]]&gt;=70,"B+",Table1[[#This Row],[Math 
Score]]&gt;=65,"B",Table1[[#This Row],[Math 
Score]]&gt;=60,"B-",Table1[[#This Row],[Math 
Score]]&gt;=50,"C",Table1[[#This Row],[Math 
Score]]&gt;=40,"D",Table1[[#This Row],[Math 
Score]]&lt;40,"F")</f>
        <v>D</v>
      </c>
      <c r="N929">
        <v>94</v>
      </c>
      <c r="O929" s="13" t="str" cm="1">
        <f t="array" ref="O92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929">
        <v>90</v>
      </c>
      <c r="Q929" s="13" t="str" cm="1">
        <f t="array" ref="Q92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929">
        <v>68</v>
      </c>
      <c r="S929" t="str" cm="1">
        <f t="array" ref="S92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929">
        <v>61</v>
      </c>
      <c r="U929" t="str" cm="1">
        <f t="array" ref="U92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929">
        <v>77</v>
      </c>
      <c r="W929" t="str" cm="1">
        <f t="array" ref="W92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929">
        <v>92</v>
      </c>
      <c r="Y929" t="str" cm="1">
        <f t="array" ref="Y92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929">
        <f>SUM(Table1[[#This Row],[Math 
Score]],Table1[[#This Row],[History 
Score]],Table1[[#This Row],[Physics 
Score]],Table1[[#This Row],[Chemistry 
Score]],Table1[[#This Row],[Biology 
Score]],Table1[[#This Row],[English 
Score]],Table1[[#This Row],[Geography 
Score]])</f>
        <v>522</v>
      </c>
      <c r="AA929" s="3">
        <f>AVERAGE(Table1[[#This Row],[Math 
Score]],Table1[[#This Row],[History 
Score]],Table1[[#This Row],[Physics 
Score]],Table1[[#This Row],[Chemistry 
Score]],Table1[[#This Row],[Biology 
Score]],Table1[[#This Row],[English 
Score]],Table1[[#This Row],[Geography 
Score]])</f>
        <v>74.571428571428569</v>
      </c>
      <c r="AB92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929">
        <f t="shared" si="14"/>
        <v>1739</v>
      </c>
      <c r="AD929" t="str">
        <f>_xlfn.IFS(Table1[[#This Row],[Absence 
Days]]&lt;3,"Excellent",Table1[[#This Row],[Absence 
Days]]&lt;=6,"Good",Table1[[#This Row],[Absence 
Days]]&gt;6,"Poor")</f>
        <v>Poor</v>
      </c>
    </row>
    <row r="930" spans="1:30" x14ac:dyDescent="0.35">
      <c r="A930">
        <v>929</v>
      </c>
      <c r="B930" s="2" t="s">
        <v>215</v>
      </c>
      <c r="C930" t="s">
        <v>61</v>
      </c>
      <c r="D930" t="str">
        <f>_xlfn.TEXTJOIN(" ",TRUE,Table1[[#This Row],[First 
Name]:[Last 
Name]])</f>
        <v>Teresa Henry</v>
      </c>
      <c r="E930" t="s">
        <v>2040</v>
      </c>
      <c r="F930" t="s">
        <v>3245</v>
      </c>
      <c r="G930" t="str">
        <f ca="1">PROPER(Table1[[#This Row],[Part Time 
Job]])</f>
        <v>False</v>
      </c>
      <c r="H930" s="3">
        <v>6</v>
      </c>
      <c r="I930" t="str">
        <f ca="1">PROPER(Table1[[#This Row],[Extracurricular 
Activities]])</f>
        <v>False</v>
      </c>
      <c r="J930">
        <v>4</v>
      </c>
      <c r="K930" t="s">
        <v>3119</v>
      </c>
      <c r="L930">
        <v>43</v>
      </c>
      <c r="M930" s="12" t="str" cm="1">
        <f t="array" ref="M930">_xlfn.IFS(Table1[[#This Row],[Math 
Score]]&gt;=90,"A+",Table1[[#This Row],[Math 
Score]]&gt;=80,"A", Table1[[#This Row],[Math 
Score]]&gt;=75,"A-",Table1[[#This Row],[Math 
Score]]&gt;=70,"B+",Table1[[#This Row],[Math 
Score]]&gt;=65,"B",Table1[[#This Row],[Math 
Score]]&gt;=60,"B-",Table1[[#This Row],[Math 
Score]]&gt;=50,"C",Table1[[#This Row],[Math 
Score]]&gt;=40,"D",Table1[[#This Row],[Math 
Score]]&lt;40,"F")</f>
        <v>D</v>
      </c>
      <c r="N930">
        <v>90</v>
      </c>
      <c r="O930" s="13" t="str" cm="1">
        <f t="array" ref="O93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930">
        <v>78</v>
      </c>
      <c r="Q930" s="13" t="str" cm="1">
        <f t="array" ref="Q93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930">
        <v>63</v>
      </c>
      <c r="S930" t="str" cm="1">
        <f t="array" ref="S93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930">
        <v>68</v>
      </c>
      <c r="U930" t="str" cm="1">
        <f t="array" ref="U93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930">
        <v>63</v>
      </c>
      <c r="W930" t="str" cm="1">
        <f t="array" ref="W93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930">
        <v>72</v>
      </c>
      <c r="Y930" t="str" cm="1">
        <f t="array" ref="Y93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930">
        <f>SUM(Table1[[#This Row],[Math 
Score]],Table1[[#This Row],[History 
Score]],Table1[[#This Row],[Physics 
Score]],Table1[[#This Row],[Chemistry 
Score]],Table1[[#This Row],[Biology 
Score]],Table1[[#This Row],[English 
Score]],Table1[[#This Row],[Geography 
Score]])</f>
        <v>477</v>
      </c>
      <c r="AA930" s="3">
        <f>AVERAGE(Table1[[#This Row],[Math 
Score]],Table1[[#This Row],[History 
Score]],Table1[[#This Row],[Physics 
Score]],Table1[[#This Row],[Chemistry 
Score]],Table1[[#This Row],[Biology 
Score]],Table1[[#This Row],[English 
Score]],Table1[[#This Row],[Geography 
Score]])</f>
        <v>68.142857142857139</v>
      </c>
      <c r="AB93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930">
        <f t="shared" si="14"/>
        <v>1941</v>
      </c>
      <c r="AD930" t="str">
        <f>_xlfn.IFS(Table1[[#This Row],[Absence 
Days]]&lt;3,"Excellent",Table1[[#This Row],[Absence 
Days]]&lt;=6,"Good",Table1[[#This Row],[Absence 
Days]]&gt;6,"Poor")</f>
        <v>Good</v>
      </c>
    </row>
    <row r="931" spans="1:30" x14ac:dyDescent="0.35">
      <c r="A931">
        <v>930</v>
      </c>
      <c r="B931" s="2" t="s">
        <v>322</v>
      </c>
      <c r="C931" t="s">
        <v>371</v>
      </c>
      <c r="D931" t="str">
        <f>_xlfn.TEXTJOIN(" ",TRUE,Table1[[#This Row],[First 
Name]:[Last 
Name]])</f>
        <v>Luis Frank</v>
      </c>
      <c r="E931" t="s">
        <v>2041</v>
      </c>
      <c r="F931" t="s">
        <v>3244</v>
      </c>
      <c r="G931" t="str">
        <f ca="1">PROPER(Table1[[#This Row],[Part Time 
Job]])</f>
        <v>False</v>
      </c>
      <c r="H931" s="3">
        <v>4</v>
      </c>
      <c r="I931" t="str">
        <f ca="1">PROPER(Table1[[#This Row],[Extracurricular 
Activities]])</f>
        <v>False</v>
      </c>
      <c r="J931">
        <v>34</v>
      </c>
      <c r="K931" t="s">
        <v>3117</v>
      </c>
      <c r="L931">
        <v>100</v>
      </c>
      <c r="M931" s="12" t="str" cm="1">
        <f t="array" ref="M93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931">
        <v>97</v>
      </c>
      <c r="O931" s="13" t="str" cm="1">
        <f t="array" ref="O93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931">
        <v>74</v>
      </c>
      <c r="Q931" s="13" t="str" cm="1">
        <f t="array" ref="Q93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931">
        <v>74</v>
      </c>
      <c r="S931" t="str" cm="1">
        <f t="array" ref="S93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931">
        <v>82</v>
      </c>
      <c r="U931" t="str" cm="1">
        <f t="array" ref="U93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931">
        <v>75</v>
      </c>
      <c r="W931" t="str" cm="1">
        <f t="array" ref="W93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931">
        <v>69</v>
      </c>
      <c r="Y931" t="str" cm="1">
        <f t="array" ref="Y93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931">
        <f>SUM(Table1[[#This Row],[Math 
Score]],Table1[[#This Row],[History 
Score]],Table1[[#This Row],[Physics 
Score]],Table1[[#This Row],[Chemistry 
Score]],Table1[[#This Row],[Biology 
Score]],Table1[[#This Row],[English 
Score]],Table1[[#This Row],[Geography 
Score]])</f>
        <v>571</v>
      </c>
      <c r="AA931" s="3">
        <f>AVERAGE(Table1[[#This Row],[Math 
Score]],Table1[[#This Row],[History 
Score]],Table1[[#This Row],[Physics 
Score]],Table1[[#This Row],[Chemistry 
Score]],Table1[[#This Row],[Biology 
Score]],Table1[[#This Row],[English 
Score]],Table1[[#This Row],[Geography 
Score]])</f>
        <v>81.571428571428569</v>
      </c>
      <c r="AB93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931">
        <f t="shared" si="14"/>
        <v>915</v>
      </c>
      <c r="AD931" t="str">
        <f>_xlfn.IFS(Table1[[#This Row],[Absence 
Days]]&lt;3,"Excellent",Table1[[#This Row],[Absence 
Days]]&lt;=6,"Good",Table1[[#This Row],[Absence 
Days]]&gt;6,"Poor")</f>
        <v>Good</v>
      </c>
    </row>
    <row r="932" spans="1:30" x14ac:dyDescent="0.35">
      <c r="A932">
        <v>931</v>
      </c>
      <c r="B932" s="2" t="s">
        <v>30</v>
      </c>
      <c r="C932" t="s">
        <v>734</v>
      </c>
      <c r="D932" t="str">
        <f>_xlfn.TEXTJOIN(" ",TRUE,Table1[[#This Row],[First 
Name]:[Last 
Name]])</f>
        <v>Timothy Booth</v>
      </c>
      <c r="E932" t="s">
        <v>2042</v>
      </c>
      <c r="F932" t="s">
        <v>3244</v>
      </c>
      <c r="G932" t="str">
        <f ca="1">PROPER(Table1[[#This Row],[Part Time 
Job]])</f>
        <v>False</v>
      </c>
      <c r="H932" s="3">
        <v>2</v>
      </c>
      <c r="I932" t="str">
        <f ca="1">PROPER(Table1[[#This Row],[Extracurricular 
Activities]])</f>
        <v>False</v>
      </c>
      <c r="J932">
        <v>34</v>
      </c>
      <c r="K932" t="s">
        <v>3116</v>
      </c>
      <c r="L932">
        <v>93</v>
      </c>
      <c r="M932" s="12" t="str" cm="1">
        <f t="array" ref="M93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932">
        <v>70</v>
      </c>
      <c r="O932" s="13" t="str" cm="1">
        <f t="array" ref="O93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932">
        <v>74</v>
      </c>
      <c r="Q932" s="13" t="str" cm="1">
        <f t="array" ref="Q93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932">
        <v>78</v>
      </c>
      <c r="S932" t="str" cm="1">
        <f t="array" ref="S93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932">
        <v>94</v>
      </c>
      <c r="U932" t="str" cm="1">
        <f t="array" ref="U93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932">
        <v>75</v>
      </c>
      <c r="W932" t="str" cm="1">
        <f t="array" ref="W93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932">
        <v>96</v>
      </c>
      <c r="Y932" t="str" cm="1">
        <f t="array" ref="Y93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932">
        <f>SUM(Table1[[#This Row],[Math 
Score]],Table1[[#This Row],[History 
Score]],Table1[[#This Row],[Physics 
Score]],Table1[[#This Row],[Chemistry 
Score]],Table1[[#This Row],[Biology 
Score]],Table1[[#This Row],[English 
Score]],Table1[[#This Row],[Geography 
Score]])</f>
        <v>580</v>
      </c>
      <c r="AA932" s="3">
        <f>AVERAGE(Table1[[#This Row],[Math 
Score]],Table1[[#This Row],[History 
Score]],Table1[[#This Row],[Physics 
Score]],Table1[[#This Row],[Chemistry 
Score]],Table1[[#This Row],[Biology 
Score]],Table1[[#This Row],[English 
Score]],Table1[[#This Row],[Geography 
Score]])</f>
        <v>82.857142857142861</v>
      </c>
      <c r="AB93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932">
        <f t="shared" si="14"/>
        <v>709</v>
      </c>
      <c r="AD932" t="str">
        <f>_xlfn.IFS(Table1[[#This Row],[Absence 
Days]]&lt;3,"Excellent",Table1[[#This Row],[Absence 
Days]]&lt;=6,"Good",Table1[[#This Row],[Absence 
Days]]&gt;6,"Poor")</f>
        <v>Excellent</v>
      </c>
    </row>
    <row r="933" spans="1:30" x14ac:dyDescent="0.35">
      <c r="A933">
        <v>932</v>
      </c>
      <c r="B933" s="2" t="s">
        <v>34</v>
      </c>
      <c r="C933" t="s">
        <v>855</v>
      </c>
      <c r="D933" t="str">
        <f>_xlfn.TEXTJOIN(" ",TRUE,Table1[[#This Row],[First 
Name]:[Last 
Name]])</f>
        <v>Michael Moon</v>
      </c>
      <c r="E933" t="s">
        <v>2043</v>
      </c>
      <c r="F933" t="s">
        <v>3244</v>
      </c>
      <c r="G933" t="str">
        <f ca="1">PROPER(Table1[[#This Row],[Part Time 
Job]])</f>
        <v>False</v>
      </c>
      <c r="H933" s="3">
        <v>5</v>
      </c>
      <c r="I933" t="str">
        <f ca="1">PROPER(Table1[[#This Row],[Extracurricular 
Activities]])</f>
        <v>False</v>
      </c>
      <c r="J933">
        <v>32</v>
      </c>
      <c r="K933" t="s">
        <v>3117</v>
      </c>
      <c r="L933">
        <v>98</v>
      </c>
      <c r="M933" s="12" t="str" cm="1">
        <f t="array" ref="M93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933">
        <v>86</v>
      </c>
      <c r="O933" s="13" t="str" cm="1">
        <f t="array" ref="O93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933">
        <v>82</v>
      </c>
      <c r="Q933" s="13" t="str" cm="1">
        <f t="array" ref="Q93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933">
        <v>72</v>
      </c>
      <c r="S933" t="str" cm="1">
        <f t="array" ref="S93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933">
        <v>79</v>
      </c>
      <c r="U933" t="str" cm="1">
        <f t="array" ref="U93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933">
        <v>93</v>
      </c>
      <c r="W933" t="str" cm="1">
        <f t="array" ref="W93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933">
        <v>94</v>
      </c>
      <c r="Y933" t="str" cm="1">
        <f t="array" ref="Y93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933">
        <f>SUM(Table1[[#This Row],[Math 
Score]],Table1[[#This Row],[History 
Score]],Table1[[#This Row],[Physics 
Score]],Table1[[#This Row],[Chemistry 
Score]],Table1[[#This Row],[Biology 
Score]],Table1[[#This Row],[English 
Score]],Table1[[#This Row],[Geography 
Score]])</f>
        <v>604</v>
      </c>
      <c r="AA933" s="3">
        <f>AVERAGE(Table1[[#This Row],[Math 
Score]],Table1[[#This Row],[History 
Score]],Table1[[#This Row],[Physics 
Score]],Table1[[#This Row],[Chemistry 
Score]],Table1[[#This Row],[Biology 
Score]],Table1[[#This Row],[English 
Score]],Table1[[#This Row],[Geography 
Score]])</f>
        <v>86.285714285714292</v>
      </c>
      <c r="AB93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933">
        <f t="shared" si="14"/>
        <v>353</v>
      </c>
      <c r="AD933" t="str">
        <f>_xlfn.IFS(Table1[[#This Row],[Absence 
Days]]&lt;3,"Excellent",Table1[[#This Row],[Absence 
Days]]&lt;=6,"Good",Table1[[#This Row],[Absence 
Days]]&gt;6,"Poor")</f>
        <v>Good</v>
      </c>
    </row>
    <row r="934" spans="1:30" x14ac:dyDescent="0.35">
      <c r="A934">
        <v>933</v>
      </c>
      <c r="B934" s="2" t="s">
        <v>129</v>
      </c>
      <c r="C934" t="s">
        <v>662</v>
      </c>
      <c r="D934" t="str">
        <f>_xlfn.TEXTJOIN(" ",TRUE,Table1[[#This Row],[First 
Name]:[Last 
Name]])</f>
        <v>Rachel Hall</v>
      </c>
      <c r="E934" t="s">
        <v>2044</v>
      </c>
      <c r="F934" t="s">
        <v>3245</v>
      </c>
      <c r="G934" t="str">
        <f ca="1">PROPER(Table1[[#This Row],[Part Time 
Job]])</f>
        <v>True</v>
      </c>
      <c r="H934" s="3">
        <v>4</v>
      </c>
      <c r="I934" t="str">
        <f ca="1">PROPER(Table1[[#This Row],[Extracurricular 
Activities]])</f>
        <v>False</v>
      </c>
      <c r="J934">
        <v>23</v>
      </c>
      <c r="K934" t="s">
        <v>3117</v>
      </c>
      <c r="L934">
        <v>90</v>
      </c>
      <c r="M934" s="12" t="str" cm="1">
        <f t="array" ref="M93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934">
        <v>95</v>
      </c>
      <c r="O934" s="13" t="str" cm="1">
        <f t="array" ref="O93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934">
        <v>73</v>
      </c>
      <c r="Q934" s="13" t="str" cm="1">
        <f t="array" ref="Q93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934">
        <v>81</v>
      </c>
      <c r="S934" t="str" cm="1">
        <f t="array" ref="S93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934">
        <v>81</v>
      </c>
      <c r="U934" t="str" cm="1">
        <f t="array" ref="U93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934">
        <v>62</v>
      </c>
      <c r="W934" t="str" cm="1">
        <f t="array" ref="W93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934">
        <v>81</v>
      </c>
      <c r="Y934" t="str" cm="1">
        <f t="array" ref="Y93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934">
        <f>SUM(Table1[[#This Row],[Math 
Score]],Table1[[#This Row],[History 
Score]],Table1[[#This Row],[Physics 
Score]],Table1[[#This Row],[Chemistry 
Score]],Table1[[#This Row],[Biology 
Score]],Table1[[#This Row],[English 
Score]],Table1[[#This Row],[Geography 
Score]])</f>
        <v>563</v>
      </c>
      <c r="AA934" s="3">
        <f>AVERAGE(Table1[[#This Row],[Math 
Score]],Table1[[#This Row],[History 
Score]],Table1[[#This Row],[Physics 
Score]],Table1[[#This Row],[Chemistry 
Score]],Table1[[#This Row],[Biology 
Score]],Table1[[#This Row],[English 
Score]],Table1[[#This Row],[Geography 
Score]])</f>
        <v>80.428571428571431</v>
      </c>
      <c r="AB93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934">
        <f t="shared" si="14"/>
        <v>1077</v>
      </c>
      <c r="AD934" t="str">
        <f>_xlfn.IFS(Table1[[#This Row],[Absence 
Days]]&lt;3,"Excellent",Table1[[#This Row],[Absence 
Days]]&lt;=6,"Good",Table1[[#This Row],[Absence 
Days]]&gt;6,"Poor")</f>
        <v>Good</v>
      </c>
    </row>
    <row r="935" spans="1:30" x14ac:dyDescent="0.35">
      <c r="A935">
        <v>934</v>
      </c>
      <c r="B935" s="2" t="s">
        <v>80</v>
      </c>
      <c r="C935" t="s">
        <v>711</v>
      </c>
      <c r="D935" t="str">
        <f>_xlfn.TEXTJOIN(" ",TRUE,Table1[[#This Row],[First 
Name]:[Last 
Name]])</f>
        <v>Thomas Nguyen</v>
      </c>
      <c r="E935" t="s">
        <v>2045</v>
      </c>
      <c r="F935" t="s">
        <v>3244</v>
      </c>
      <c r="G935" t="str">
        <f ca="1">PROPER(Table1[[#This Row],[Part Time 
Job]])</f>
        <v>False</v>
      </c>
      <c r="H935" s="3">
        <v>2</v>
      </c>
      <c r="I935" t="str">
        <f ca="1">PROPER(Table1[[#This Row],[Extracurricular 
Activities]])</f>
        <v>True</v>
      </c>
      <c r="J935">
        <v>20</v>
      </c>
      <c r="K935" t="s">
        <v>3117</v>
      </c>
      <c r="L935">
        <v>90</v>
      </c>
      <c r="M935" s="12" t="str" cm="1">
        <f t="array" ref="M93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935">
        <v>77</v>
      </c>
      <c r="O935" s="13" t="str" cm="1">
        <f t="array" ref="O93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935">
        <v>86</v>
      </c>
      <c r="Q935" s="13" t="str" cm="1">
        <f t="array" ref="Q93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935">
        <v>91</v>
      </c>
      <c r="S935" t="str" cm="1">
        <f t="array" ref="S93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935">
        <v>76</v>
      </c>
      <c r="U935" t="str" cm="1">
        <f t="array" ref="U93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935">
        <v>78</v>
      </c>
      <c r="W935" t="str" cm="1">
        <f t="array" ref="W93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935">
        <v>62</v>
      </c>
      <c r="Y935" t="str" cm="1">
        <f t="array" ref="Y93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935">
        <f>SUM(Table1[[#This Row],[Math 
Score]],Table1[[#This Row],[History 
Score]],Table1[[#This Row],[Physics 
Score]],Table1[[#This Row],[Chemistry 
Score]],Table1[[#This Row],[Biology 
Score]],Table1[[#This Row],[English 
Score]],Table1[[#This Row],[Geography 
Score]])</f>
        <v>560</v>
      </c>
      <c r="AA935" s="3">
        <f>AVERAGE(Table1[[#This Row],[Math 
Score]],Table1[[#This Row],[History 
Score]],Table1[[#This Row],[Physics 
Score]],Table1[[#This Row],[Chemistry 
Score]],Table1[[#This Row],[Biology 
Score]],Table1[[#This Row],[English 
Score]],Table1[[#This Row],[Geography 
Score]])</f>
        <v>80</v>
      </c>
      <c r="AB93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935">
        <f t="shared" si="14"/>
        <v>1134</v>
      </c>
      <c r="AD935" t="str">
        <f>_xlfn.IFS(Table1[[#This Row],[Absence 
Days]]&lt;3,"Excellent",Table1[[#This Row],[Absence 
Days]]&lt;=6,"Good",Table1[[#This Row],[Absence 
Days]]&gt;6,"Poor")</f>
        <v>Excellent</v>
      </c>
    </row>
    <row r="936" spans="1:30" x14ac:dyDescent="0.35">
      <c r="A936">
        <v>935</v>
      </c>
      <c r="B936" s="2" t="s">
        <v>136</v>
      </c>
      <c r="C936" t="s">
        <v>739</v>
      </c>
      <c r="D936" t="str">
        <f>_xlfn.TEXTJOIN(" ",TRUE,Table1[[#This Row],[First 
Name]:[Last 
Name]])</f>
        <v>Tiffany Fields</v>
      </c>
      <c r="E936" t="s">
        <v>2046</v>
      </c>
      <c r="F936" t="s">
        <v>3245</v>
      </c>
      <c r="G936" t="str">
        <f ca="1">PROPER(Table1[[#This Row],[Part Time 
Job]])</f>
        <v>False</v>
      </c>
      <c r="H936" s="3">
        <v>1</v>
      </c>
      <c r="I936" t="str">
        <f ca="1">PROPER(Table1[[#This Row],[Extracurricular 
Activities]])</f>
        <v>False</v>
      </c>
      <c r="J936">
        <v>5</v>
      </c>
      <c r="K936" t="s">
        <v>3115</v>
      </c>
      <c r="L936">
        <v>68</v>
      </c>
      <c r="M936" s="12" t="str" cm="1">
        <f t="array" ref="M936">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936">
        <v>67</v>
      </c>
      <c r="O936" s="13" t="str" cm="1">
        <f t="array" ref="O93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936">
        <v>65</v>
      </c>
      <c r="Q936" s="13" t="str" cm="1">
        <f t="array" ref="Q93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936">
        <v>68</v>
      </c>
      <c r="S936" t="str" cm="1">
        <f t="array" ref="S93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936">
        <v>63</v>
      </c>
      <c r="U936" t="str" cm="1">
        <f t="array" ref="U93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936">
        <v>97</v>
      </c>
      <c r="W936" t="str" cm="1">
        <f t="array" ref="W93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936">
        <v>63</v>
      </c>
      <c r="Y936" t="str" cm="1">
        <f t="array" ref="Y93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936">
        <f>SUM(Table1[[#This Row],[Math 
Score]],Table1[[#This Row],[History 
Score]],Table1[[#This Row],[Physics 
Score]],Table1[[#This Row],[Chemistry 
Score]],Table1[[#This Row],[Biology 
Score]],Table1[[#This Row],[English 
Score]],Table1[[#This Row],[Geography 
Score]])</f>
        <v>491</v>
      </c>
      <c r="AA936" s="3">
        <f>AVERAGE(Table1[[#This Row],[Math 
Score]],Table1[[#This Row],[History 
Score]],Table1[[#This Row],[Physics 
Score]],Table1[[#This Row],[Chemistry 
Score]],Table1[[#This Row],[Biology 
Score]],Table1[[#This Row],[English 
Score]],Table1[[#This Row],[Geography 
Score]])</f>
        <v>70.142857142857139</v>
      </c>
      <c r="AB93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936">
        <f t="shared" si="14"/>
        <v>1907</v>
      </c>
      <c r="AD936" t="str">
        <f>_xlfn.IFS(Table1[[#This Row],[Absence 
Days]]&lt;3,"Excellent",Table1[[#This Row],[Absence 
Days]]&lt;=6,"Good",Table1[[#This Row],[Absence 
Days]]&gt;6,"Poor")</f>
        <v>Excellent</v>
      </c>
    </row>
    <row r="937" spans="1:30" x14ac:dyDescent="0.35">
      <c r="A937">
        <v>936</v>
      </c>
      <c r="B937" s="2" t="s">
        <v>102</v>
      </c>
      <c r="C937" t="s">
        <v>641</v>
      </c>
      <c r="D937" t="str">
        <f>_xlfn.TEXTJOIN(" ",TRUE,Table1[[#This Row],[First 
Name]:[Last 
Name]])</f>
        <v>Jessica Marshall</v>
      </c>
      <c r="E937" t="s">
        <v>2047</v>
      </c>
      <c r="F937" t="s">
        <v>3245</v>
      </c>
      <c r="G937" t="str">
        <f ca="1">PROPER(Table1[[#This Row],[Part Time 
Job]])</f>
        <v>False</v>
      </c>
      <c r="H937" s="3">
        <v>5</v>
      </c>
      <c r="I937" t="str">
        <f ca="1">PROPER(Table1[[#This Row],[Extracurricular 
Activities]])</f>
        <v>True</v>
      </c>
      <c r="J937">
        <v>15</v>
      </c>
      <c r="K937" t="s">
        <v>3117</v>
      </c>
      <c r="L937">
        <v>91</v>
      </c>
      <c r="M937" s="12" t="str" cm="1">
        <f t="array" ref="M93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937">
        <v>60</v>
      </c>
      <c r="O937" s="13" t="str" cm="1">
        <f t="array" ref="O93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937">
        <v>98</v>
      </c>
      <c r="Q937" s="13" t="str" cm="1">
        <f t="array" ref="Q93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937">
        <v>77</v>
      </c>
      <c r="S937" t="str" cm="1">
        <f t="array" ref="S93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937">
        <v>72</v>
      </c>
      <c r="U937" t="str" cm="1">
        <f t="array" ref="U93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937">
        <v>74</v>
      </c>
      <c r="W937" t="str" cm="1">
        <f t="array" ref="W93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937">
        <v>63</v>
      </c>
      <c r="Y937" t="str" cm="1">
        <f t="array" ref="Y93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937">
        <f>SUM(Table1[[#This Row],[Math 
Score]],Table1[[#This Row],[History 
Score]],Table1[[#This Row],[Physics 
Score]],Table1[[#This Row],[Chemistry 
Score]],Table1[[#This Row],[Biology 
Score]],Table1[[#This Row],[English 
Score]],Table1[[#This Row],[Geography 
Score]])</f>
        <v>535</v>
      </c>
      <c r="AA937" s="3">
        <f>AVERAGE(Table1[[#This Row],[Math 
Score]],Table1[[#This Row],[History 
Score]],Table1[[#This Row],[Physics 
Score]],Table1[[#This Row],[Chemistry 
Score]],Table1[[#This Row],[Biology 
Score]],Table1[[#This Row],[English 
Score]],Table1[[#This Row],[Geography 
Score]])</f>
        <v>76.428571428571431</v>
      </c>
      <c r="AB93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937">
        <f t="shared" si="14"/>
        <v>1578</v>
      </c>
      <c r="AD937" t="str">
        <f>_xlfn.IFS(Table1[[#This Row],[Absence 
Days]]&lt;3,"Excellent",Table1[[#This Row],[Absence 
Days]]&lt;=6,"Good",Table1[[#This Row],[Absence 
Days]]&gt;6,"Poor")</f>
        <v>Good</v>
      </c>
    </row>
    <row r="938" spans="1:30" x14ac:dyDescent="0.35">
      <c r="A938">
        <v>937</v>
      </c>
      <c r="B938" s="2" t="s">
        <v>337</v>
      </c>
      <c r="C938" t="s">
        <v>711</v>
      </c>
      <c r="D938" t="str">
        <f>_xlfn.TEXTJOIN(" ",TRUE,Table1[[#This Row],[First 
Name]:[Last 
Name]])</f>
        <v>Maurice Nguyen</v>
      </c>
      <c r="E938" t="s">
        <v>2048</v>
      </c>
      <c r="F938" t="s">
        <v>3244</v>
      </c>
      <c r="G938" t="str">
        <f ca="1">PROPER(Table1[[#This Row],[Part Time 
Job]])</f>
        <v>False</v>
      </c>
      <c r="H938" s="3">
        <v>3</v>
      </c>
      <c r="I938" t="str">
        <f ca="1">PROPER(Table1[[#This Row],[Extracurricular 
Activities]])</f>
        <v>False</v>
      </c>
      <c r="J938">
        <v>21</v>
      </c>
      <c r="K938" t="s">
        <v>3124</v>
      </c>
      <c r="L938">
        <v>87</v>
      </c>
      <c r="M938" s="12" t="str" cm="1">
        <f t="array" ref="M93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938">
        <v>74</v>
      </c>
      <c r="O938" s="13" t="str" cm="1">
        <f t="array" ref="O93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938">
        <v>92</v>
      </c>
      <c r="Q938" s="13" t="str" cm="1">
        <f t="array" ref="Q93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938">
        <v>67</v>
      </c>
      <c r="S938" t="str" cm="1">
        <f t="array" ref="S93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938">
        <v>85</v>
      </c>
      <c r="U938" t="str" cm="1">
        <f t="array" ref="U93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938">
        <v>63</v>
      </c>
      <c r="W938" t="str" cm="1">
        <f t="array" ref="W93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938">
        <v>87</v>
      </c>
      <c r="Y938" t="str" cm="1">
        <f t="array" ref="Y93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938">
        <f>SUM(Table1[[#This Row],[Math 
Score]],Table1[[#This Row],[History 
Score]],Table1[[#This Row],[Physics 
Score]],Table1[[#This Row],[Chemistry 
Score]],Table1[[#This Row],[Biology 
Score]],Table1[[#This Row],[English 
Score]],Table1[[#This Row],[Geography 
Score]])</f>
        <v>555</v>
      </c>
      <c r="AA938" s="3">
        <f>AVERAGE(Table1[[#This Row],[Math 
Score]],Table1[[#This Row],[History 
Score]],Table1[[#This Row],[Physics 
Score]],Table1[[#This Row],[Chemistry 
Score]],Table1[[#This Row],[Biology 
Score]],Table1[[#This Row],[English 
Score]],Table1[[#This Row],[Geography 
Score]])</f>
        <v>79.285714285714292</v>
      </c>
      <c r="AB93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938">
        <f t="shared" si="14"/>
        <v>1245</v>
      </c>
      <c r="AD938" t="str">
        <f>_xlfn.IFS(Table1[[#This Row],[Absence 
Days]]&lt;3,"Excellent",Table1[[#This Row],[Absence 
Days]]&lt;=6,"Good",Table1[[#This Row],[Absence 
Days]]&gt;6,"Poor")</f>
        <v>Good</v>
      </c>
    </row>
    <row r="939" spans="1:30" x14ac:dyDescent="0.35">
      <c r="A939">
        <v>938</v>
      </c>
      <c r="B939" s="2" t="s">
        <v>75</v>
      </c>
      <c r="C939" t="s">
        <v>5</v>
      </c>
      <c r="D939" t="str">
        <f>_xlfn.TEXTJOIN(" ",TRUE,Table1[[#This Row],[First 
Name]:[Last 
Name]])</f>
        <v>William Kelly</v>
      </c>
      <c r="E939" t="s">
        <v>2049</v>
      </c>
      <c r="F939" t="s">
        <v>3244</v>
      </c>
      <c r="G939" t="str">
        <f ca="1">PROPER(Table1[[#This Row],[Part Time 
Job]])</f>
        <v>False</v>
      </c>
      <c r="H939" s="3">
        <v>1</v>
      </c>
      <c r="I939" t="str">
        <f ca="1">PROPER(Table1[[#This Row],[Extracurricular 
Activities]])</f>
        <v>False</v>
      </c>
      <c r="J939">
        <v>30</v>
      </c>
      <c r="K939" t="s">
        <v>3117</v>
      </c>
      <c r="L939">
        <v>91</v>
      </c>
      <c r="M939" s="12" t="str" cm="1">
        <f t="array" ref="M93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939">
        <v>90</v>
      </c>
      <c r="O939" s="13" t="str" cm="1">
        <f t="array" ref="O93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939">
        <v>88</v>
      </c>
      <c r="Q939" s="13" t="str" cm="1">
        <f t="array" ref="Q93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939">
        <v>92</v>
      </c>
      <c r="S939" t="str" cm="1">
        <f t="array" ref="S93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939">
        <v>75</v>
      </c>
      <c r="U939" t="str" cm="1">
        <f t="array" ref="U93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939">
        <v>98</v>
      </c>
      <c r="W939" t="str" cm="1">
        <f t="array" ref="W93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939">
        <v>91</v>
      </c>
      <c r="Y939" t="str" cm="1">
        <f t="array" ref="Y93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939">
        <f>SUM(Table1[[#This Row],[Math 
Score]],Table1[[#This Row],[History 
Score]],Table1[[#This Row],[Physics 
Score]],Table1[[#This Row],[Chemistry 
Score]],Table1[[#This Row],[Biology 
Score]],Table1[[#This Row],[English 
Score]],Table1[[#This Row],[Geography 
Score]])</f>
        <v>625</v>
      </c>
      <c r="AA939" s="3">
        <f>AVERAGE(Table1[[#This Row],[Math 
Score]],Table1[[#This Row],[History 
Score]],Table1[[#This Row],[Physics 
Score]],Table1[[#This Row],[Chemistry 
Score]],Table1[[#This Row],[Biology 
Score]],Table1[[#This Row],[English 
Score]],Table1[[#This Row],[Geography 
Score]])</f>
        <v>89.285714285714292</v>
      </c>
      <c r="AB93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939">
        <f t="shared" si="14"/>
        <v>187</v>
      </c>
      <c r="AD939" t="str">
        <f>_xlfn.IFS(Table1[[#This Row],[Absence 
Days]]&lt;3,"Excellent",Table1[[#This Row],[Absence 
Days]]&lt;=6,"Good",Table1[[#This Row],[Absence 
Days]]&gt;6,"Poor")</f>
        <v>Excellent</v>
      </c>
    </row>
    <row r="940" spans="1:30" x14ac:dyDescent="0.35">
      <c r="A940">
        <v>939</v>
      </c>
      <c r="B940" s="2" t="s">
        <v>338</v>
      </c>
      <c r="C940" t="s">
        <v>340</v>
      </c>
      <c r="D940" t="str">
        <f>_xlfn.TEXTJOIN(" ",TRUE,Table1[[#This Row],[First 
Name]:[Last 
Name]])</f>
        <v>Harry Hunter</v>
      </c>
      <c r="E940" t="s">
        <v>2050</v>
      </c>
      <c r="F940" t="s">
        <v>3244</v>
      </c>
      <c r="G940" t="str">
        <f ca="1">PROPER(Table1[[#This Row],[Part Time 
Job]])</f>
        <v>False</v>
      </c>
      <c r="H940" s="3">
        <v>3</v>
      </c>
      <c r="I940" t="str">
        <f ca="1">PROPER(Table1[[#This Row],[Extracurricular 
Activities]])</f>
        <v>True</v>
      </c>
      <c r="J940">
        <v>15</v>
      </c>
      <c r="K940" t="s">
        <v>3123</v>
      </c>
      <c r="L940">
        <v>98</v>
      </c>
      <c r="M940" s="12" t="str" cm="1">
        <f t="array" ref="M94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940">
        <v>72</v>
      </c>
      <c r="O940" s="13" t="str" cm="1">
        <f t="array" ref="O94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940">
        <v>87</v>
      </c>
      <c r="Q940" s="13" t="str" cm="1">
        <f t="array" ref="Q94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940">
        <v>74</v>
      </c>
      <c r="S940" t="str" cm="1">
        <f t="array" ref="S94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940">
        <v>100</v>
      </c>
      <c r="U940" t="str" cm="1">
        <f t="array" ref="U94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940">
        <v>84</v>
      </c>
      <c r="W940" t="str" cm="1">
        <f t="array" ref="W94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940">
        <v>85</v>
      </c>
      <c r="Y940" t="str" cm="1">
        <f t="array" ref="Y94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940">
        <f>SUM(Table1[[#This Row],[Math 
Score]],Table1[[#This Row],[History 
Score]],Table1[[#This Row],[Physics 
Score]],Table1[[#This Row],[Chemistry 
Score]],Table1[[#This Row],[Biology 
Score]],Table1[[#This Row],[English 
Score]],Table1[[#This Row],[Geography 
Score]])</f>
        <v>600</v>
      </c>
      <c r="AA940" s="3">
        <f>AVERAGE(Table1[[#This Row],[Math 
Score]],Table1[[#This Row],[History 
Score]],Table1[[#This Row],[Physics 
Score]],Table1[[#This Row],[Chemistry 
Score]],Table1[[#This Row],[Biology 
Score]],Table1[[#This Row],[English 
Score]],Table1[[#This Row],[Geography 
Score]])</f>
        <v>85.714285714285708</v>
      </c>
      <c r="AB94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940">
        <f t="shared" si="14"/>
        <v>406</v>
      </c>
      <c r="AD940" t="str">
        <f>_xlfn.IFS(Table1[[#This Row],[Absence 
Days]]&lt;3,"Excellent",Table1[[#This Row],[Absence 
Days]]&lt;=6,"Good",Table1[[#This Row],[Absence 
Days]]&gt;6,"Poor")</f>
        <v>Good</v>
      </c>
    </row>
    <row r="941" spans="1:30" x14ac:dyDescent="0.35">
      <c r="A941">
        <v>940</v>
      </c>
      <c r="B941" s="2" t="s">
        <v>202</v>
      </c>
      <c r="C941" t="s">
        <v>900</v>
      </c>
      <c r="D941" t="str">
        <f>_xlfn.TEXTJOIN(" ",TRUE,Table1[[#This Row],[First 
Name]:[Last 
Name]])</f>
        <v>Gary Gentry</v>
      </c>
      <c r="E941" t="s">
        <v>2051</v>
      </c>
      <c r="F941" t="s">
        <v>3244</v>
      </c>
      <c r="G941" t="str">
        <f ca="1">PROPER(Table1[[#This Row],[Part Time 
Job]])</f>
        <v>False</v>
      </c>
      <c r="H941" s="3">
        <v>6</v>
      </c>
      <c r="I941" t="str">
        <f ca="1">PROPER(Table1[[#This Row],[Extracurricular 
Activities]])</f>
        <v>True</v>
      </c>
      <c r="J941">
        <v>18</v>
      </c>
      <c r="K941" t="s">
        <v>3121</v>
      </c>
      <c r="L941">
        <v>85</v>
      </c>
      <c r="M941" s="12" t="str" cm="1">
        <f t="array" ref="M94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941">
        <v>74</v>
      </c>
      <c r="O941" s="13" t="str" cm="1">
        <f t="array" ref="O94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941">
        <v>79</v>
      </c>
      <c r="Q941" s="13" t="str" cm="1">
        <f t="array" ref="Q94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941">
        <v>82</v>
      </c>
      <c r="S941" t="str" cm="1">
        <f t="array" ref="S94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941">
        <v>71</v>
      </c>
      <c r="U941" t="str" cm="1">
        <f t="array" ref="U94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941">
        <v>87</v>
      </c>
      <c r="W941" t="str" cm="1">
        <f t="array" ref="W94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941">
        <v>67</v>
      </c>
      <c r="Y941" t="str" cm="1">
        <f t="array" ref="Y94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941">
        <f>SUM(Table1[[#This Row],[Math 
Score]],Table1[[#This Row],[History 
Score]],Table1[[#This Row],[Physics 
Score]],Table1[[#This Row],[Chemistry 
Score]],Table1[[#This Row],[Biology 
Score]],Table1[[#This Row],[English 
Score]],Table1[[#This Row],[Geography 
Score]])</f>
        <v>545</v>
      </c>
      <c r="AA941" s="3">
        <f>AVERAGE(Table1[[#This Row],[Math 
Score]],Table1[[#This Row],[History 
Score]],Table1[[#This Row],[Physics 
Score]],Table1[[#This Row],[Chemistry 
Score]],Table1[[#This Row],[Biology 
Score]],Table1[[#This Row],[English 
Score]],Table1[[#This Row],[Geography 
Score]])</f>
        <v>77.857142857142861</v>
      </c>
      <c r="AB94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941">
        <f t="shared" si="14"/>
        <v>1432</v>
      </c>
      <c r="AD941" t="str">
        <f>_xlfn.IFS(Table1[[#This Row],[Absence 
Days]]&lt;3,"Excellent",Table1[[#This Row],[Absence 
Days]]&lt;=6,"Good",Table1[[#This Row],[Absence 
Days]]&gt;6,"Poor")</f>
        <v>Good</v>
      </c>
    </row>
    <row r="942" spans="1:30" x14ac:dyDescent="0.35">
      <c r="A942">
        <v>941</v>
      </c>
      <c r="B942" s="2" t="s">
        <v>244</v>
      </c>
      <c r="C942" t="s">
        <v>901</v>
      </c>
      <c r="D942" t="str">
        <f>_xlfn.TEXTJOIN(" ",TRUE,Table1[[#This Row],[First 
Name]:[Last 
Name]])</f>
        <v>Maria Malone</v>
      </c>
      <c r="E942" t="s">
        <v>2052</v>
      </c>
      <c r="F942" t="s">
        <v>3245</v>
      </c>
      <c r="G942" t="str">
        <f ca="1">PROPER(Table1[[#This Row],[Part Time 
Job]])</f>
        <v>True</v>
      </c>
      <c r="H942" s="3">
        <v>10</v>
      </c>
      <c r="I942" t="str">
        <f ca="1">PROPER(Table1[[#This Row],[Extracurricular 
Activities]])</f>
        <v>False</v>
      </c>
      <c r="J942">
        <v>4</v>
      </c>
      <c r="K942" t="s">
        <v>3119</v>
      </c>
      <c r="L942">
        <v>40</v>
      </c>
      <c r="M942" s="12" t="str" cm="1">
        <f t="array" ref="M942">_xlfn.IFS(Table1[[#This Row],[Math 
Score]]&gt;=90,"A+",Table1[[#This Row],[Math 
Score]]&gt;=80,"A", Table1[[#This Row],[Math 
Score]]&gt;=75,"A-",Table1[[#This Row],[Math 
Score]]&gt;=70,"B+",Table1[[#This Row],[Math 
Score]]&gt;=65,"B",Table1[[#This Row],[Math 
Score]]&gt;=60,"B-",Table1[[#This Row],[Math 
Score]]&gt;=50,"C",Table1[[#This Row],[Math 
Score]]&gt;=40,"D",Table1[[#This Row],[Math 
Score]]&lt;40,"F")</f>
        <v>D</v>
      </c>
      <c r="N942">
        <v>97</v>
      </c>
      <c r="O942" s="13" t="str" cm="1">
        <f t="array" ref="O94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942">
        <v>71</v>
      </c>
      <c r="Q942" s="13" t="str" cm="1">
        <f t="array" ref="Q94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942">
        <v>70</v>
      </c>
      <c r="S942" t="str" cm="1">
        <f t="array" ref="S94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942">
        <v>73</v>
      </c>
      <c r="U942" t="str" cm="1">
        <f t="array" ref="U94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942">
        <v>81</v>
      </c>
      <c r="W942" t="str" cm="1">
        <f t="array" ref="W94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942">
        <v>85</v>
      </c>
      <c r="Y942" t="str" cm="1">
        <f t="array" ref="Y94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942">
        <f>SUM(Table1[[#This Row],[Math 
Score]],Table1[[#This Row],[History 
Score]],Table1[[#This Row],[Physics 
Score]],Table1[[#This Row],[Chemistry 
Score]],Table1[[#This Row],[Biology 
Score]],Table1[[#This Row],[English 
Score]],Table1[[#This Row],[Geography 
Score]])</f>
        <v>517</v>
      </c>
      <c r="AA942" s="3">
        <f>AVERAGE(Table1[[#This Row],[Math 
Score]],Table1[[#This Row],[History 
Score]],Table1[[#This Row],[Physics 
Score]],Table1[[#This Row],[Chemistry 
Score]],Table1[[#This Row],[Biology 
Score]],Table1[[#This Row],[English 
Score]],Table1[[#This Row],[Geography 
Score]])</f>
        <v>73.857142857142861</v>
      </c>
      <c r="AB94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942">
        <f t="shared" si="14"/>
        <v>1781</v>
      </c>
      <c r="AD942" t="str">
        <f>_xlfn.IFS(Table1[[#This Row],[Absence 
Days]]&lt;3,"Excellent",Table1[[#This Row],[Absence 
Days]]&lt;=6,"Good",Table1[[#This Row],[Absence 
Days]]&gt;6,"Poor")</f>
        <v>Poor</v>
      </c>
    </row>
    <row r="943" spans="1:30" x14ac:dyDescent="0.35">
      <c r="A943">
        <v>942</v>
      </c>
      <c r="B943" s="2" t="s">
        <v>24</v>
      </c>
      <c r="C943" t="s">
        <v>644</v>
      </c>
      <c r="D943" t="str">
        <f>_xlfn.TEXTJOIN(" ",TRUE,Table1[[#This Row],[First 
Name]:[Last 
Name]])</f>
        <v>Jason Vazquez</v>
      </c>
      <c r="E943" t="s">
        <v>2053</v>
      </c>
      <c r="F943" t="s">
        <v>3244</v>
      </c>
      <c r="G943" t="str">
        <f ca="1">PROPER(Table1[[#This Row],[Part Time 
Job]])</f>
        <v>False</v>
      </c>
      <c r="H943" s="3">
        <v>3</v>
      </c>
      <c r="I943" t="str">
        <f ca="1">PROPER(Table1[[#This Row],[Extracurricular 
Activities]])</f>
        <v>False</v>
      </c>
      <c r="J943">
        <v>24</v>
      </c>
      <c r="K943" t="s">
        <v>3123</v>
      </c>
      <c r="L943">
        <v>76</v>
      </c>
      <c r="M943" s="12" t="str" cm="1">
        <f t="array" ref="M94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943">
        <v>75</v>
      </c>
      <c r="O943" s="13" t="str" cm="1">
        <f t="array" ref="O94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943">
        <v>76</v>
      </c>
      <c r="Q943" s="13" t="str" cm="1">
        <f t="array" ref="Q94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943">
        <v>67</v>
      </c>
      <c r="S943" t="str" cm="1">
        <f t="array" ref="S94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943">
        <v>60</v>
      </c>
      <c r="U943" t="str" cm="1">
        <f t="array" ref="U94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943">
        <v>77</v>
      </c>
      <c r="W943" t="str" cm="1">
        <f t="array" ref="W94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943">
        <v>100</v>
      </c>
      <c r="Y943" t="str" cm="1">
        <f t="array" ref="Y94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943">
        <f>SUM(Table1[[#This Row],[Math 
Score]],Table1[[#This Row],[History 
Score]],Table1[[#This Row],[Physics 
Score]],Table1[[#This Row],[Chemistry 
Score]],Table1[[#This Row],[Biology 
Score]],Table1[[#This Row],[English 
Score]],Table1[[#This Row],[Geography 
Score]])</f>
        <v>531</v>
      </c>
      <c r="AA943" s="3">
        <f>AVERAGE(Table1[[#This Row],[Math 
Score]],Table1[[#This Row],[History 
Score]],Table1[[#This Row],[Physics 
Score]],Table1[[#This Row],[Chemistry 
Score]],Table1[[#This Row],[Biology 
Score]],Table1[[#This Row],[English 
Score]],Table1[[#This Row],[Geography 
Score]])</f>
        <v>75.857142857142861</v>
      </c>
      <c r="AB94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943">
        <f t="shared" si="14"/>
        <v>1637</v>
      </c>
      <c r="AD943" t="str">
        <f>_xlfn.IFS(Table1[[#This Row],[Absence 
Days]]&lt;3,"Excellent",Table1[[#This Row],[Absence 
Days]]&lt;=6,"Good",Table1[[#This Row],[Absence 
Days]]&gt;6,"Poor")</f>
        <v>Good</v>
      </c>
    </row>
    <row r="944" spans="1:30" x14ac:dyDescent="0.35">
      <c r="A944">
        <v>943</v>
      </c>
      <c r="B944" s="2" t="s">
        <v>76</v>
      </c>
      <c r="C944" t="s">
        <v>473</v>
      </c>
      <c r="D944" t="str">
        <f>_xlfn.TEXTJOIN(" ",TRUE,Table1[[#This Row],[First 
Name]:[Last 
Name]])</f>
        <v>Patrick West</v>
      </c>
      <c r="E944" t="s">
        <v>2054</v>
      </c>
      <c r="F944" t="s">
        <v>3244</v>
      </c>
      <c r="G944" t="str">
        <f ca="1">PROPER(Table1[[#This Row],[Part Time 
Job]])</f>
        <v>False</v>
      </c>
      <c r="H944" s="3">
        <v>3</v>
      </c>
      <c r="I944" t="str">
        <f ca="1">PROPER(Table1[[#This Row],[Extracurricular 
Activities]])</f>
        <v>False</v>
      </c>
      <c r="J944">
        <v>15</v>
      </c>
      <c r="K944" t="s">
        <v>3121</v>
      </c>
      <c r="L944">
        <v>89</v>
      </c>
      <c r="M944" s="12" t="str" cm="1">
        <f t="array" ref="M94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944">
        <v>76</v>
      </c>
      <c r="O944" s="13" t="str" cm="1">
        <f t="array" ref="O94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944">
        <v>84</v>
      </c>
      <c r="Q944" s="13" t="str" cm="1">
        <f t="array" ref="Q94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944">
        <v>93</v>
      </c>
      <c r="S944" t="str" cm="1">
        <f t="array" ref="S94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944">
        <v>64</v>
      </c>
      <c r="U944" t="str" cm="1">
        <f t="array" ref="U94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944">
        <v>86</v>
      </c>
      <c r="W944" t="str" cm="1">
        <f t="array" ref="W94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944">
        <v>95</v>
      </c>
      <c r="Y944" t="str" cm="1">
        <f t="array" ref="Y94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944">
        <f>SUM(Table1[[#This Row],[Math 
Score]],Table1[[#This Row],[History 
Score]],Table1[[#This Row],[Physics 
Score]],Table1[[#This Row],[Chemistry 
Score]],Table1[[#This Row],[Biology 
Score]],Table1[[#This Row],[English 
Score]],Table1[[#This Row],[Geography 
Score]])</f>
        <v>587</v>
      </c>
      <c r="AA944" s="3">
        <f>AVERAGE(Table1[[#This Row],[Math 
Score]],Table1[[#This Row],[History 
Score]],Table1[[#This Row],[Physics 
Score]],Table1[[#This Row],[Chemistry 
Score]],Table1[[#This Row],[Biology 
Score]],Table1[[#This Row],[English 
Score]],Table1[[#This Row],[Geography 
Score]])</f>
        <v>83.857142857142861</v>
      </c>
      <c r="AB94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944">
        <f t="shared" si="14"/>
        <v>583</v>
      </c>
      <c r="AD944" t="str">
        <f>_xlfn.IFS(Table1[[#This Row],[Absence 
Days]]&lt;3,"Excellent",Table1[[#This Row],[Absence 
Days]]&lt;=6,"Good",Table1[[#This Row],[Absence 
Days]]&gt;6,"Poor")</f>
        <v>Good</v>
      </c>
    </row>
    <row r="945" spans="1:30" x14ac:dyDescent="0.35">
      <c r="A945">
        <v>944</v>
      </c>
      <c r="B945" s="2" t="s">
        <v>87</v>
      </c>
      <c r="C945" t="s">
        <v>527</v>
      </c>
      <c r="D945" t="str">
        <f>_xlfn.TEXTJOIN(" ",TRUE,Table1[[#This Row],[First 
Name]:[Last 
Name]])</f>
        <v>Alexandra Brown</v>
      </c>
      <c r="E945" t="s">
        <v>2055</v>
      </c>
      <c r="F945" t="s">
        <v>3245</v>
      </c>
      <c r="G945" t="str">
        <f ca="1">PROPER(Table1[[#This Row],[Part Time 
Job]])</f>
        <v>False</v>
      </c>
      <c r="H945" s="3">
        <v>3</v>
      </c>
      <c r="I945" t="str">
        <f ca="1">PROPER(Table1[[#This Row],[Extracurricular 
Activities]])</f>
        <v>False</v>
      </c>
      <c r="J945">
        <v>2</v>
      </c>
      <c r="K945" t="s">
        <v>3115</v>
      </c>
      <c r="L945">
        <v>76</v>
      </c>
      <c r="M945" s="12" t="str" cm="1">
        <f t="array" ref="M94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945">
        <v>73</v>
      </c>
      <c r="O945" s="13" t="str" cm="1">
        <f t="array" ref="O94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945">
        <v>74</v>
      </c>
      <c r="Q945" s="13" t="str" cm="1">
        <f t="array" ref="Q94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945">
        <v>73</v>
      </c>
      <c r="S945" t="str" cm="1">
        <f t="array" ref="S94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945">
        <v>81</v>
      </c>
      <c r="U945" t="str" cm="1">
        <f t="array" ref="U94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945">
        <v>87</v>
      </c>
      <c r="W945" t="str" cm="1">
        <f t="array" ref="W94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945">
        <v>84</v>
      </c>
      <c r="Y945" t="str" cm="1">
        <f t="array" ref="Y94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945">
        <f>SUM(Table1[[#This Row],[Math 
Score]],Table1[[#This Row],[History 
Score]],Table1[[#This Row],[Physics 
Score]],Table1[[#This Row],[Chemistry 
Score]],Table1[[#This Row],[Biology 
Score]],Table1[[#This Row],[English 
Score]],Table1[[#This Row],[Geography 
Score]])</f>
        <v>548</v>
      </c>
      <c r="AA945" s="3">
        <f>AVERAGE(Table1[[#This Row],[Math 
Score]],Table1[[#This Row],[History 
Score]],Table1[[#This Row],[Physics 
Score]],Table1[[#This Row],[Chemistry 
Score]],Table1[[#This Row],[Biology 
Score]],Table1[[#This Row],[English 
Score]],Table1[[#This Row],[Geography 
Score]])</f>
        <v>78.285714285714292</v>
      </c>
      <c r="AB94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945">
        <f t="shared" si="14"/>
        <v>1374</v>
      </c>
      <c r="AD945" t="str">
        <f>_xlfn.IFS(Table1[[#This Row],[Absence 
Days]]&lt;3,"Excellent",Table1[[#This Row],[Absence 
Days]]&lt;=6,"Good",Table1[[#This Row],[Absence 
Days]]&gt;6,"Poor")</f>
        <v>Good</v>
      </c>
    </row>
    <row r="946" spans="1:30" x14ac:dyDescent="0.35">
      <c r="A946">
        <v>945</v>
      </c>
      <c r="B946" s="2" t="s">
        <v>50</v>
      </c>
      <c r="C946" t="s">
        <v>614</v>
      </c>
      <c r="D946" t="str">
        <f>_xlfn.TEXTJOIN(" ",TRUE,Table1[[#This Row],[First 
Name]:[Last 
Name]])</f>
        <v>Jennifer Torres</v>
      </c>
      <c r="E946" t="s">
        <v>2056</v>
      </c>
      <c r="F946" t="s">
        <v>3245</v>
      </c>
      <c r="G946" t="str">
        <f ca="1">PROPER(Table1[[#This Row],[Part Time 
Job]])</f>
        <v>False</v>
      </c>
      <c r="H946" s="3">
        <v>6</v>
      </c>
      <c r="I946" t="str">
        <f ca="1">PROPER(Table1[[#This Row],[Extracurricular 
Activities]])</f>
        <v>False</v>
      </c>
      <c r="J946">
        <v>14</v>
      </c>
      <c r="K946" t="s">
        <v>3117</v>
      </c>
      <c r="L946">
        <v>91</v>
      </c>
      <c r="M946" s="12" t="str" cm="1">
        <f t="array" ref="M94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946">
        <v>61</v>
      </c>
      <c r="O946" s="13" t="str" cm="1">
        <f t="array" ref="O94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946">
        <v>100</v>
      </c>
      <c r="Q946" s="13" t="str" cm="1">
        <f t="array" ref="Q94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946">
        <v>88</v>
      </c>
      <c r="S946" t="str" cm="1">
        <f t="array" ref="S94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946">
        <v>73</v>
      </c>
      <c r="U946" t="str" cm="1">
        <f t="array" ref="U94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946">
        <v>84</v>
      </c>
      <c r="W946" t="str" cm="1">
        <f t="array" ref="W94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946">
        <v>100</v>
      </c>
      <c r="Y946" t="str" cm="1">
        <f t="array" ref="Y94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946">
        <f>SUM(Table1[[#This Row],[Math 
Score]],Table1[[#This Row],[History 
Score]],Table1[[#This Row],[Physics 
Score]],Table1[[#This Row],[Chemistry 
Score]],Table1[[#This Row],[Biology 
Score]],Table1[[#This Row],[English 
Score]],Table1[[#This Row],[Geography 
Score]])</f>
        <v>597</v>
      </c>
      <c r="AA946" s="3">
        <f>AVERAGE(Table1[[#This Row],[Math 
Score]],Table1[[#This Row],[History 
Score]],Table1[[#This Row],[Physics 
Score]],Table1[[#This Row],[Chemistry 
Score]],Table1[[#This Row],[Biology 
Score]],Table1[[#This Row],[English 
Score]],Table1[[#This Row],[Geography 
Score]])</f>
        <v>85.285714285714292</v>
      </c>
      <c r="AB94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946">
        <f t="shared" si="14"/>
        <v>446</v>
      </c>
      <c r="AD946" t="str">
        <f>_xlfn.IFS(Table1[[#This Row],[Absence 
Days]]&lt;3,"Excellent",Table1[[#This Row],[Absence 
Days]]&lt;=6,"Good",Table1[[#This Row],[Absence 
Days]]&gt;6,"Poor")</f>
        <v>Good</v>
      </c>
    </row>
    <row r="947" spans="1:30" x14ac:dyDescent="0.35">
      <c r="A947">
        <v>946</v>
      </c>
      <c r="B947" s="2" t="s">
        <v>231</v>
      </c>
      <c r="C947" t="s">
        <v>458</v>
      </c>
      <c r="D947" t="str">
        <f>_xlfn.TEXTJOIN(" ",TRUE,Table1[[#This Row],[First 
Name]:[Last 
Name]])</f>
        <v>Daniel Smith</v>
      </c>
      <c r="E947" t="s">
        <v>2057</v>
      </c>
      <c r="F947" t="s">
        <v>3244</v>
      </c>
      <c r="G947" t="str">
        <f ca="1">PROPER(Table1[[#This Row],[Part Time 
Job]])</f>
        <v>False</v>
      </c>
      <c r="H947" s="3">
        <v>1</v>
      </c>
      <c r="I947" t="str">
        <f ca="1">PROPER(Table1[[#This Row],[Extracurricular 
Activities]])</f>
        <v>False</v>
      </c>
      <c r="J947">
        <v>5</v>
      </c>
      <c r="K947" t="s">
        <v>3119</v>
      </c>
      <c r="L947">
        <v>55</v>
      </c>
      <c r="M947" s="12" t="str" cm="1">
        <f t="array" ref="M947">_xlfn.IFS(Table1[[#This Row],[Math 
Score]]&gt;=90,"A+",Table1[[#This Row],[Math 
Score]]&gt;=80,"A", Table1[[#This Row],[Math 
Score]]&gt;=75,"A-",Table1[[#This Row],[Math 
Score]]&gt;=70,"B+",Table1[[#This Row],[Math 
Score]]&gt;=65,"B",Table1[[#This Row],[Math 
Score]]&gt;=60,"B-",Table1[[#This Row],[Math 
Score]]&gt;=50,"C",Table1[[#This Row],[Math 
Score]]&gt;=40,"D",Table1[[#This Row],[Math 
Score]]&lt;40,"F")</f>
        <v>C</v>
      </c>
      <c r="N947">
        <v>58</v>
      </c>
      <c r="O947" s="13" t="str" cm="1">
        <f t="array" ref="O94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C</v>
      </c>
      <c r="P947">
        <v>96</v>
      </c>
      <c r="Q947" s="13" t="str" cm="1">
        <f t="array" ref="Q94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947">
        <v>88</v>
      </c>
      <c r="S947" t="str" cm="1">
        <f t="array" ref="S94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947">
        <v>99</v>
      </c>
      <c r="U947" t="str" cm="1">
        <f t="array" ref="U94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947">
        <v>98</v>
      </c>
      <c r="W947" t="str" cm="1">
        <f t="array" ref="W94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947">
        <v>71</v>
      </c>
      <c r="Y947" t="str" cm="1">
        <f t="array" ref="Y94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947">
        <f>SUM(Table1[[#This Row],[Math 
Score]],Table1[[#This Row],[History 
Score]],Table1[[#This Row],[Physics 
Score]],Table1[[#This Row],[Chemistry 
Score]],Table1[[#This Row],[Biology 
Score]],Table1[[#This Row],[English 
Score]],Table1[[#This Row],[Geography 
Score]])</f>
        <v>565</v>
      </c>
      <c r="AA947" s="3">
        <f>AVERAGE(Table1[[#This Row],[Math 
Score]],Table1[[#This Row],[History 
Score]],Table1[[#This Row],[Physics 
Score]],Table1[[#This Row],[Chemistry 
Score]],Table1[[#This Row],[Biology 
Score]],Table1[[#This Row],[English 
Score]],Table1[[#This Row],[Geography 
Score]])</f>
        <v>80.714285714285708</v>
      </c>
      <c r="AB94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947">
        <f t="shared" si="14"/>
        <v>1035</v>
      </c>
      <c r="AD947" t="str">
        <f>_xlfn.IFS(Table1[[#This Row],[Absence 
Days]]&lt;3,"Excellent",Table1[[#This Row],[Absence 
Days]]&lt;=6,"Good",Table1[[#This Row],[Absence 
Days]]&gt;6,"Poor")</f>
        <v>Excellent</v>
      </c>
    </row>
    <row r="948" spans="1:30" x14ac:dyDescent="0.35">
      <c r="A948">
        <v>947</v>
      </c>
      <c r="B948" s="2" t="s">
        <v>151</v>
      </c>
      <c r="C948" t="s">
        <v>902</v>
      </c>
      <c r="D948" t="str">
        <f>_xlfn.TEXTJOIN(" ",TRUE,Table1[[#This Row],[First 
Name]:[Last 
Name]])</f>
        <v>Catherine Boyle</v>
      </c>
      <c r="E948" t="s">
        <v>2058</v>
      </c>
      <c r="F948" t="s">
        <v>3245</v>
      </c>
      <c r="G948" t="str">
        <f ca="1">PROPER(Table1[[#This Row],[Part Time 
Job]])</f>
        <v>False</v>
      </c>
      <c r="H948" s="3">
        <v>5</v>
      </c>
      <c r="I948" t="str">
        <f ca="1">PROPER(Table1[[#This Row],[Extracurricular 
Activities]])</f>
        <v>False</v>
      </c>
      <c r="J948">
        <v>0</v>
      </c>
      <c r="K948" t="s">
        <v>3128</v>
      </c>
      <c r="L948">
        <v>93</v>
      </c>
      <c r="M948" s="12" t="str" cm="1">
        <f t="array" ref="M94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948">
        <v>88</v>
      </c>
      <c r="O948" s="13" t="str" cm="1">
        <f t="array" ref="O94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948">
        <v>76</v>
      </c>
      <c r="Q948" s="13" t="str" cm="1">
        <f t="array" ref="Q94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948">
        <v>73</v>
      </c>
      <c r="S948" t="str" cm="1">
        <f t="array" ref="S94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948">
        <v>67</v>
      </c>
      <c r="U948" t="str" cm="1">
        <f t="array" ref="U94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948">
        <v>88</v>
      </c>
      <c r="W948" t="str" cm="1">
        <f t="array" ref="W94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948">
        <v>76</v>
      </c>
      <c r="Y948" t="str" cm="1">
        <f t="array" ref="Y94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948">
        <f>SUM(Table1[[#This Row],[Math 
Score]],Table1[[#This Row],[History 
Score]],Table1[[#This Row],[Physics 
Score]],Table1[[#This Row],[Chemistry 
Score]],Table1[[#This Row],[Biology 
Score]],Table1[[#This Row],[English 
Score]],Table1[[#This Row],[Geography 
Score]])</f>
        <v>561</v>
      </c>
      <c r="AA948" s="3">
        <f>AVERAGE(Table1[[#This Row],[Math 
Score]],Table1[[#This Row],[History 
Score]],Table1[[#This Row],[Physics 
Score]],Table1[[#This Row],[Chemistry 
Score]],Table1[[#This Row],[Biology 
Score]],Table1[[#This Row],[English 
Score]],Table1[[#This Row],[Geography 
Score]])</f>
        <v>80.142857142857139</v>
      </c>
      <c r="AB94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948">
        <f t="shared" si="14"/>
        <v>1120</v>
      </c>
      <c r="AD948" t="str">
        <f>_xlfn.IFS(Table1[[#This Row],[Absence 
Days]]&lt;3,"Excellent",Table1[[#This Row],[Absence 
Days]]&lt;=6,"Good",Table1[[#This Row],[Absence 
Days]]&gt;6,"Poor")</f>
        <v>Good</v>
      </c>
    </row>
    <row r="949" spans="1:30" x14ac:dyDescent="0.35">
      <c r="A949">
        <v>948</v>
      </c>
      <c r="B949" s="2" t="s">
        <v>99</v>
      </c>
      <c r="C949" t="s">
        <v>877</v>
      </c>
      <c r="D949" t="str">
        <f>_xlfn.TEXTJOIN(" ",TRUE,Table1[[#This Row],[First 
Name]:[Last 
Name]])</f>
        <v>Amanda Bush</v>
      </c>
      <c r="E949" t="s">
        <v>2059</v>
      </c>
      <c r="F949" t="s">
        <v>3245</v>
      </c>
      <c r="G949" t="str">
        <f ca="1">PROPER(Table1[[#This Row],[Part Time 
Job]])</f>
        <v>False</v>
      </c>
      <c r="H949" s="3">
        <v>1</v>
      </c>
      <c r="I949" t="str">
        <f ca="1">PROPER(Table1[[#This Row],[Extracurricular 
Activities]])</f>
        <v>False</v>
      </c>
      <c r="J949">
        <v>10</v>
      </c>
      <c r="K949" t="s">
        <v>3128</v>
      </c>
      <c r="L949">
        <v>84</v>
      </c>
      <c r="M949" s="12" t="str" cm="1">
        <f t="array" ref="M94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949">
        <v>68</v>
      </c>
      <c r="O949" s="13" t="str" cm="1">
        <f t="array" ref="O94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949">
        <v>60</v>
      </c>
      <c r="Q949" s="13" t="str" cm="1">
        <f t="array" ref="Q94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949">
        <v>86</v>
      </c>
      <c r="S949" t="str" cm="1">
        <f t="array" ref="S94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949">
        <v>90</v>
      </c>
      <c r="U949" t="str" cm="1">
        <f t="array" ref="U94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949">
        <v>84</v>
      </c>
      <c r="W949" t="str" cm="1">
        <f t="array" ref="W94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949">
        <v>81</v>
      </c>
      <c r="Y949" t="str" cm="1">
        <f t="array" ref="Y94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949">
        <f>SUM(Table1[[#This Row],[Math 
Score]],Table1[[#This Row],[History 
Score]],Table1[[#This Row],[Physics 
Score]],Table1[[#This Row],[Chemistry 
Score]],Table1[[#This Row],[Biology 
Score]],Table1[[#This Row],[English 
Score]],Table1[[#This Row],[Geography 
Score]])</f>
        <v>553</v>
      </c>
      <c r="AA949" s="3">
        <f>AVERAGE(Table1[[#This Row],[Math 
Score]],Table1[[#This Row],[History 
Score]],Table1[[#This Row],[Physics 
Score]],Table1[[#This Row],[Chemistry 
Score]],Table1[[#This Row],[Biology 
Score]],Table1[[#This Row],[English 
Score]],Table1[[#This Row],[Geography 
Score]])</f>
        <v>79</v>
      </c>
      <c r="AB94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949">
        <f t="shared" si="14"/>
        <v>1284</v>
      </c>
      <c r="AD949" t="str">
        <f>_xlfn.IFS(Table1[[#This Row],[Absence 
Days]]&lt;3,"Excellent",Table1[[#This Row],[Absence 
Days]]&lt;=6,"Good",Table1[[#This Row],[Absence 
Days]]&gt;6,"Poor")</f>
        <v>Excellent</v>
      </c>
    </row>
    <row r="950" spans="1:30" x14ac:dyDescent="0.35">
      <c r="A950">
        <v>949</v>
      </c>
      <c r="B950" s="2" t="s">
        <v>84</v>
      </c>
      <c r="C950" t="s">
        <v>903</v>
      </c>
      <c r="D950" t="str">
        <f>_xlfn.TEXTJOIN(" ",TRUE,Table1[[#This Row],[First 
Name]:[Last 
Name]])</f>
        <v>Emma Copeland</v>
      </c>
      <c r="E950" t="s">
        <v>2060</v>
      </c>
      <c r="F950" t="s">
        <v>3245</v>
      </c>
      <c r="G950" t="str">
        <f ca="1">PROPER(Table1[[#This Row],[Part Time 
Job]])</f>
        <v>True</v>
      </c>
      <c r="H950" s="3">
        <v>5</v>
      </c>
      <c r="I950" t="str">
        <f ca="1">PROPER(Table1[[#This Row],[Extracurricular 
Activities]])</f>
        <v>False</v>
      </c>
      <c r="J950">
        <v>2</v>
      </c>
      <c r="K950" t="s">
        <v>3119</v>
      </c>
      <c r="L950">
        <v>62</v>
      </c>
      <c r="M950" s="12" t="str" cm="1">
        <f t="array" ref="M950">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950">
        <v>65</v>
      </c>
      <c r="O950" s="13" t="str" cm="1">
        <f t="array" ref="O95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950">
        <v>98</v>
      </c>
      <c r="Q950" s="13" t="str" cm="1">
        <f t="array" ref="Q95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950">
        <v>52</v>
      </c>
      <c r="S950" t="str" cm="1">
        <f t="array" ref="S95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C</v>
      </c>
      <c r="T950">
        <v>66</v>
      </c>
      <c r="U950" t="str" cm="1">
        <f t="array" ref="U95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950">
        <v>94</v>
      </c>
      <c r="W950" t="str" cm="1">
        <f t="array" ref="W95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950">
        <v>82</v>
      </c>
      <c r="Y950" t="str" cm="1">
        <f t="array" ref="Y95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950">
        <f>SUM(Table1[[#This Row],[Math 
Score]],Table1[[#This Row],[History 
Score]],Table1[[#This Row],[Physics 
Score]],Table1[[#This Row],[Chemistry 
Score]],Table1[[#This Row],[Biology 
Score]],Table1[[#This Row],[English 
Score]],Table1[[#This Row],[Geography 
Score]])</f>
        <v>519</v>
      </c>
      <c r="AA950" s="3">
        <f>AVERAGE(Table1[[#This Row],[Math 
Score]],Table1[[#This Row],[History 
Score]],Table1[[#This Row],[Physics 
Score]],Table1[[#This Row],[Chemistry 
Score]],Table1[[#This Row],[Biology 
Score]],Table1[[#This Row],[English 
Score]],Table1[[#This Row],[Geography 
Score]])</f>
        <v>74.142857142857139</v>
      </c>
      <c r="AB95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950">
        <f t="shared" si="14"/>
        <v>1766</v>
      </c>
      <c r="AD950" t="str">
        <f>_xlfn.IFS(Table1[[#This Row],[Absence 
Days]]&lt;3,"Excellent",Table1[[#This Row],[Absence 
Days]]&lt;=6,"Good",Table1[[#This Row],[Absence 
Days]]&gt;6,"Poor")</f>
        <v>Good</v>
      </c>
    </row>
    <row r="951" spans="1:30" x14ac:dyDescent="0.35">
      <c r="A951">
        <v>950</v>
      </c>
      <c r="B951" s="2" t="s">
        <v>256</v>
      </c>
      <c r="C951" t="s">
        <v>904</v>
      </c>
      <c r="D951" t="str">
        <f>_xlfn.TEXTJOIN(" ",TRUE,Table1[[#This Row],[First 
Name]:[Last 
Name]])</f>
        <v>Bradley Avery</v>
      </c>
      <c r="E951" t="s">
        <v>2061</v>
      </c>
      <c r="F951" t="s">
        <v>3244</v>
      </c>
      <c r="G951" t="str">
        <f ca="1">PROPER(Table1[[#This Row],[Part Time 
Job]])</f>
        <v>False</v>
      </c>
      <c r="H951" s="3">
        <v>3</v>
      </c>
      <c r="I951" t="str">
        <f ca="1">PROPER(Table1[[#This Row],[Extracurricular 
Activities]])</f>
        <v>False</v>
      </c>
      <c r="J951">
        <v>30</v>
      </c>
      <c r="K951" t="s">
        <v>3112</v>
      </c>
      <c r="L951">
        <v>80</v>
      </c>
      <c r="M951" s="12" t="str" cm="1">
        <f t="array" ref="M95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951">
        <v>81</v>
      </c>
      <c r="O951" s="13" t="str" cm="1">
        <f t="array" ref="O95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951">
        <v>75</v>
      </c>
      <c r="Q951" s="13" t="str" cm="1">
        <f t="array" ref="Q95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951">
        <v>72</v>
      </c>
      <c r="S951" t="str" cm="1">
        <f t="array" ref="S95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951">
        <v>71</v>
      </c>
      <c r="U951" t="str" cm="1">
        <f t="array" ref="U95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951">
        <v>84</v>
      </c>
      <c r="W951" t="str" cm="1">
        <f t="array" ref="W95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951">
        <v>87</v>
      </c>
      <c r="Y951" t="str" cm="1">
        <f t="array" ref="Y95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951">
        <f>SUM(Table1[[#This Row],[Math 
Score]],Table1[[#This Row],[History 
Score]],Table1[[#This Row],[Physics 
Score]],Table1[[#This Row],[Chemistry 
Score]],Table1[[#This Row],[Biology 
Score]],Table1[[#This Row],[English 
Score]],Table1[[#This Row],[Geography 
Score]])</f>
        <v>550</v>
      </c>
      <c r="AA951" s="3">
        <f>AVERAGE(Table1[[#This Row],[Math 
Score]],Table1[[#This Row],[History 
Score]],Table1[[#This Row],[Physics 
Score]],Table1[[#This Row],[Chemistry 
Score]],Table1[[#This Row],[Biology 
Score]],Table1[[#This Row],[English 
Score]],Table1[[#This Row],[Geography 
Score]])</f>
        <v>78.571428571428569</v>
      </c>
      <c r="AB95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951">
        <f t="shared" si="14"/>
        <v>1338</v>
      </c>
      <c r="AD951" t="str">
        <f>_xlfn.IFS(Table1[[#This Row],[Absence 
Days]]&lt;3,"Excellent",Table1[[#This Row],[Absence 
Days]]&lt;=6,"Good",Table1[[#This Row],[Absence 
Days]]&gt;6,"Poor")</f>
        <v>Good</v>
      </c>
    </row>
    <row r="952" spans="1:30" x14ac:dyDescent="0.35">
      <c r="A952">
        <v>951</v>
      </c>
      <c r="B952" s="2" t="s">
        <v>1</v>
      </c>
      <c r="C952" t="s">
        <v>486</v>
      </c>
      <c r="D952" t="str">
        <f>_xlfn.TEXTJOIN(" ",TRUE,Table1[[#This Row],[First 
Name]:[Last 
Name]])</f>
        <v>Danielle Martinez</v>
      </c>
      <c r="E952" t="s">
        <v>2062</v>
      </c>
      <c r="F952" t="s">
        <v>3245</v>
      </c>
      <c r="G952" t="str">
        <f ca="1">PROPER(Table1[[#This Row],[Part Time 
Job]])</f>
        <v>False</v>
      </c>
      <c r="H952" s="3">
        <v>7</v>
      </c>
      <c r="I952" t="str">
        <f ca="1">PROPER(Table1[[#This Row],[Extracurricular 
Activities]])</f>
        <v>False</v>
      </c>
      <c r="J952">
        <v>28</v>
      </c>
      <c r="K952" t="s">
        <v>3113</v>
      </c>
      <c r="L952">
        <v>93</v>
      </c>
      <c r="M952" s="12" t="str" cm="1">
        <f t="array" ref="M95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952">
        <v>84</v>
      </c>
      <c r="O952" s="13" t="str" cm="1">
        <f t="array" ref="O95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952">
        <v>85</v>
      </c>
      <c r="Q952" s="13" t="str" cm="1">
        <f t="array" ref="Q95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952">
        <v>94</v>
      </c>
      <c r="S952" t="str" cm="1">
        <f t="array" ref="S95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952">
        <v>95</v>
      </c>
      <c r="U952" t="str" cm="1">
        <f t="array" ref="U95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952">
        <v>74</v>
      </c>
      <c r="W952" t="str" cm="1">
        <f t="array" ref="W95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952">
        <v>83</v>
      </c>
      <c r="Y952" t="str" cm="1">
        <f t="array" ref="Y95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952">
        <f>SUM(Table1[[#This Row],[Math 
Score]],Table1[[#This Row],[History 
Score]],Table1[[#This Row],[Physics 
Score]],Table1[[#This Row],[Chemistry 
Score]],Table1[[#This Row],[Biology 
Score]],Table1[[#This Row],[English 
Score]],Table1[[#This Row],[Geography 
Score]])</f>
        <v>608</v>
      </c>
      <c r="AA952" s="3">
        <f>AVERAGE(Table1[[#This Row],[Math 
Score]],Table1[[#This Row],[History 
Score]],Table1[[#This Row],[Physics 
Score]],Table1[[#This Row],[Chemistry 
Score]],Table1[[#This Row],[Biology 
Score]],Table1[[#This Row],[English 
Score]],Table1[[#This Row],[Geography 
Score]])</f>
        <v>86.857142857142861</v>
      </c>
      <c r="AB95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952">
        <f t="shared" si="14"/>
        <v>318</v>
      </c>
      <c r="AD952" t="str">
        <f>_xlfn.IFS(Table1[[#This Row],[Absence 
Days]]&lt;3,"Excellent",Table1[[#This Row],[Absence 
Days]]&lt;=6,"Good",Table1[[#This Row],[Absence 
Days]]&gt;6,"Poor")</f>
        <v>Poor</v>
      </c>
    </row>
    <row r="953" spans="1:30" x14ac:dyDescent="0.35">
      <c r="A953">
        <v>952</v>
      </c>
      <c r="B953" s="2" t="s">
        <v>65</v>
      </c>
      <c r="C953" t="s">
        <v>905</v>
      </c>
      <c r="D953" t="str">
        <f>_xlfn.TEXTJOIN(" ",TRUE,Table1[[#This Row],[First 
Name]:[Last 
Name]])</f>
        <v>Anna Wolf</v>
      </c>
      <c r="E953" t="s">
        <v>2063</v>
      </c>
      <c r="F953" t="s">
        <v>3245</v>
      </c>
      <c r="G953" t="str">
        <f ca="1">PROPER(Table1[[#This Row],[Part Time 
Job]])</f>
        <v>False</v>
      </c>
      <c r="H953" s="3">
        <v>0</v>
      </c>
      <c r="I953" t="str">
        <f ca="1">PROPER(Table1[[#This Row],[Extracurricular 
Activities]])</f>
        <v>True</v>
      </c>
      <c r="J953">
        <v>29</v>
      </c>
      <c r="K953" t="s">
        <v>3112</v>
      </c>
      <c r="L953">
        <v>92</v>
      </c>
      <c r="M953" s="12" t="str" cm="1">
        <f t="array" ref="M95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953">
        <v>82</v>
      </c>
      <c r="O953" s="13" t="str" cm="1">
        <f t="array" ref="O95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953">
        <v>63</v>
      </c>
      <c r="Q953" s="13" t="str" cm="1">
        <f t="array" ref="Q95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953">
        <v>61</v>
      </c>
      <c r="S953" t="str" cm="1">
        <f t="array" ref="S95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953">
        <v>66</v>
      </c>
      <c r="U953" t="str" cm="1">
        <f t="array" ref="U95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953">
        <v>84</v>
      </c>
      <c r="W953" t="str" cm="1">
        <f t="array" ref="W95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953">
        <v>98</v>
      </c>
      <c r="Y953" t="str" cm="1">
        <f t="array" ref="Y95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953">
        <f>SUM(Table1[[#This Row],[Math 
Score]],Table1[[#This Row],[History 
Score]],Table1[[#This Row],[Physics 
Score]],Table1[[#This Row],[Chemistry 
Score]],Table1[[#This Row],[Biology 
Score]],Table1[[#This Row],[English 
Score]],Table1[[#This Row],[Geography 
Score]])</f>
        <v>546</v>
      </c>
      <c r="AA953" s="3">
        <f>AVERAGE(Table1[[#This Row],[Math 
Score]],Table1[[#This Row],[History 
Score]],Table1[[#This Row],[Physics 
Score]],Table1[[#This Row],[Chemistry 
Score]],Table1[[#This Row],[Biology 
Score]],Table1[[#This Row],[English 
Score]],Table1[[#This Row],[Geography 
Score]])</f>
        <v>78</v>
      </c>
      <c r="AB95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953">
        <f t="shared" si="14"/>
        <v>1411</v>
      </c>
      <c r="AD953" t="str">
        <f>_xlfn.IFS(Table1[[#This Row],[Absence 
Days]]&lt;3,"Excellent",Table1[[#This Row],[Absence 
Days]]&lt;=6,"Good",Table1[[#This Row],[Absence 
Days]]&gt;6,"Poor")</f>
        <v>Excellent</v>
      </c>
    </row>
    <row r="954" spans="1:30" x14ac:dyDescent="0.35">
      <c r="A954">
        <v>953</v>
      </c>
      <c r="B954" s="2" t="s">
        <v>226</v>
      </c>
      <c r="C954" t="s">
        <v>906</v>
      </c>
      <c r="D954" t="str">
        <f>_xlfn.TEXTJOIN(" ",TRUE,Table1[[#This Row],[First 
Name]:[Last 
Name]])</f>
        <v>Megan Whitaker</v>
      </c>
      <c r="E954" t="s">
        <v>2064</v>
      </c>
      <c r="F954" t="s">
        <v>3245</v>
      </c>
      <c r="G954" t="str">
        <f ca="1">PROPER(Table1[[#This Row],[Part Time 
Job]])</f>
        <v>False</v>
      </c>
      <c r="H954" s="3">
        <v>0</v>
      </c>
      <c r="I954" t="str">
        <f ca="1">PROPER(Table1[[#This Row],[Extracurricular 
Activities]])</f>
        <v>False</v>
      </c>
      <c r="J954">
        <v>35</v>
      </c>
      <c r="K954" t="s">
        <v>3117</v>
      </c>
      <c r="L954">
        <v>87</v>
      </c>
      <c r="M954" s="12" t="str" cm="1">
        <f t="array" ref="M95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954">
        <v>89</v>
      </c>
      <c r="O954" s="13" t="str" cm="1">
        <f t="array" ref="O95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954">
        <v>91</v>
      </c>
      <c r="Q954" s="13" t="str" cm="1">
        <f t="array" ref="Q95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954">
        <v>89</v>
      </c>
      <c r="S954" t="str" cm="1">
        <f t="array" ref="S95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954">
        <v>93</v>
      </c>
      <c r="U954" t="str" cm="1">
        <f t="array" ref="U95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954">
        <v>92</v>
      </c>
      <c r="W954" t="str" cm="1">
        <f t="array" ref="W95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954">
        <v>95</v>
      </c>
      <c r="Y954" t="str" cm="1">
        <f t="array" ref="Y95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954">
        <f>SUM(Table1[[#This Row],[Math 
Score]],Table1[[#This Row],[History 
Score]],Table1[[#This Row],[Physics 
Score]],Table1[[#This Row],[Chemistry 
Score]],Table1[[#This Row],[Biology 
Score]],Table1[[#This Row],[English 
Score]],Table1[[#This Row],[Geography 
Score]])</f>
        <v>636</v>
      </c>
      <c r="AA954" s="3">
        <f>AVERAGE(Table1[[#This Row],[Math 
Score]],Table1[[#This Row],[History 
Score]],Table1[[#This Row],[Physics 
Score]],Table1[[#This Row],[Chemistry 
Score]],Table1[[#This Row],[Biology 
Score]],Table1[[#This Row],[English 
Score]],Table1[[#This Row],[Geography 
Score]])</f>
        <v>90.857142857142861</v>
      </c>
      <c r="AB95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954">
        <f t="shared" si="14"/>
        <v>124</v>
      </c>
      <c r="AD954" t="str">
        <f>_xlfn.IFS(Table1[[#This Row],[Absence 
Days]]&lt;3,"Excellent",Table1[[#This Row],[Absence 
Days]]&lt;=6,"Good",Table1[[#This Row],[Absence 
Days]]&gt;6,"Poor")</f>
        <v>Excellent</v>
      </c>
    </row>
    <row r="955" spans="1:30" x14ac:dyDescent="0.35">
      <c r="A955">
        <v>954</v>
      </c>
      <c r="B955" s="2" t="s">
        <v>51</v>
      </c>
      <c r="C955" t="s">
        <v>235</v>
      </c>
      <c r="D955" t="str">
        <f>_xlfn.TEXTJOIN(" ",TRUE,Table1[[#This Row],[First 
Name]:[Last 
Name]])</f>
        <v>Melissa Richard</v>
      </c>
      <c r="E955" t="s">
        <v>2065</v>
      </c>
      <c r="F955" t="s">
        <v>3245</v>
      </c>
      <c r="G955" t="str">
        <f ca="1">PROPER(Table1[[#This Row],[Part Time 
Job]])</f>
        <v>False</v>
      </c>
      <c r="H955" s="3">
        <v>1</v>
      </c>
      <c r="I955" t="str">
        <f ca="1">PROPER(Table1[[#This Row],[Extracurricular 
Activities]])</f>
        <v>False</v>
      </c>
      <c r="J955">
        <v>12</v>
      </c>
      <c r="K955" t="s">
        <v>3121</v>
      </c>
      <c r="L955">
        <v>83</v>
      </c>
      <c r="M955" s="12" t="str" cm="1">
        <f t="array" ref="M95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955">
        <v>69</v>
      </c>
      <c r="O955" s="13" t="str" cm="1">
        <f t="array" ref="O95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955">
        <v>93</v>
      </c>
      <c r="Q955" s="13" t="str" cm="1">
        <f t="array" ref="Q95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955">
        <v>60</v>
      </c>
      <c r="S955" t="str" cm="1">
        <f t="array" ref="S95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955">
        <v>98</v>
      </c>
      <c r="U955" t="str" cm="1">
        <f t="array" ref="U95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955">
        <v>83</v>
      </c>
      <c r="W955" t="str" cm="1">
        <f t="array" ref="W95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955">
        <v>88</v>
      </c>
      <c r="Y955" t="str" cm="1">
        <f t="array" ref="Y95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955">
        <f>SUM(Table1[[#This Row],[Math 
Score]],Table1[[#This Row],[History 
Score]],Table1[[#This Row],[Physics 
Score]],Table1[[#This Row],[Chemistry 
Score]],Table1[[#This Row],[Biology 
Score]],Table1[[#This Row],[English 
Score]],Table1[[#This Row],[Geography 
Score]])</f>
        <v>574</v>
      </c>
      <c r="AA955" s="3">
        <f>AVERAGE(Table1[[#This Row],[Math 
Score]],Table1[[#This Row],[History 
Score]],Table1[[#This Row],[Physics 
Score]],Table1[[#This Row],[Chemistry 
Score]],Table1[[#This Row],[Biology 
Score]],Table1[[#This Row],[English 
Score]],Table1[[#This Row],[Geography 
Score]])</f>
        <v>82</v>
      </c>
      <c r="AB95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955">
        <f t="shared" si="14"/>
        <v>832</v>
      </c>
      <c r="AD955" t="str">
        <f>_xlfn.IFS(Table1[[#This Row],[Absence 
Days]]&lt;3,"Excellent",Table1[[#This Row],[Absence 
Days]]&lt;=6,"Good",Table1[[#This Row],[Absence 
Days]]&gt;6,"Poor")</f>
        <v>Excellent</v>
      </c>
    </row>
    <row r="956" spans="1:30" x14ac:dyDescent="0.35">
      <c r="A956">
        <v>955</v>
      </c>
      <c r="B956" s="2" t="s">
        <v>235</v>
      </c>
      <c r="C956" t="s">
        <v>861</v>
      </c>
      <c r="D956" t="str">
        <f>_xlfn.TEXTJOIN(" ",TRUE,Table1[[#This Row],[First 
Name]:[Last 
Name]])</f>
        <v>Richard Small</v>
      </c>
      <c r="E956" t="s">
        <v>2066</v>
      </c>
      <c r="F956" t="s">
        <v>3244</v>
      </c>
      <c r="G956" t="str">
        <f ca="1">PROPER(Table1[[#This Row],[Part Time 
Job]])</f>
        <v>True</v>
      </c>
      <c r="H956" s="3">
        <v>3</v>
      </c>
      <c r="I956" t="str">
        <f ca="1">PROPER(Table1[[#This Row],[Extracurricular 
Activities]])</f>
        <v>False</v>
      </c>
      <c r="J956">
        <v>32</v>
      </c>
      <c r="K956" t="s">
        <v>3127</v>
      </c>
      <c r="L956">
        <v>95</v>
      </c>
      <c r="M956" s="12" t="str" cm="1">
        <f t="array" ref="M95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956">
        <v>75</v>
      </c>
      <c r="O956" s="13" t="str" cm="1">
        <f t="array" ref="O95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956">
        <v>87</v>
      </c>
      <c r="Q956" s="13" t="str" cm="1">
        <f t="array" ref="Q95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956">
        <v>67</v>
      </c>
      <c r="S956" t="str" cm="1">
        <f t="array" ref="S95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956">
        <v>96</v>
      </c>
      <c r="U956" t="str" cm="1">
        <f t="array" ref="U95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956">
        <v>86</v>
      </c>
      <c r="W956" t="str" cm="1">
        <f t="array" ref="W95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956">
        <v>85</v>
      </c>
      <c r="Y956" t="str" cm="1">
        <f t="array" ref="Y95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956">
        <f>SUM(Table1[[#This Row],[Math 
Score]],Table1[[#This Row],[History 
Score]],Table1[[#This Row],[Physics 
Score]],Table1[[#This Row],[Chemistry 
Score]],Table1[[#This Row],[Biology 
Score]],Table1[[#This Row],[English 
Score]],Table1[[#This Row],[Geography 
Score]])</f>
        <v>591</v>
      </c>
      <c r="AA956" s="3">
        <f>AVERAGE(Table1[[#This Row],[Math 
Score]],Table1[[#This Row],[History 
Score]],Table1[[#This Row],[Physics 
Score]],Table1[[#This Row],[Chemistry 
Score]],Table1[[#This Row],[Biology 
Score]],Table1[[#This Row],[English 
Score]],Table1[[#This Row],[Geography 
Score]])</f>
        <v>84.428571428571431</v>
      </c>
      <c r="AB95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956">
        <f t="shared" si="14"/>
        <v>515</v>
      </c>
      <c r="AD956" t="str">
        <f>_xlfn.IFS(Table1[[#This Row],[Absence 
Days]]&lt;3,"Excellent",Table1[[#This Row],[Absence 
Days]]&lt;=6,"Good",Table1[[#This Row],[Absence 
Days]]&gt;6,"Poor")</f>
        <v>Good</v>
      </c>
    </row>
    <row r="957" spans="1:30" x14ac:dyDescent="0.35">
      <c r="A957">
        <v>956</v>
      </c>
      <c r="B957" s="2" t="s">
        <v>108</v>
      </c>
      <c r="C957" t="s">
        <v>563</v>
      </c>
      <c r="D957" t="str">
        <f>_xlfn.TEXTJOIN(" ",TRUE,Table1[[#This Row],[First 
Name]:[Last 
Name]])</f>
        <v>Victor Phillips</v>
      </c>
      <c r="E957" t="s">
        <v>2067</v>
      </c>
      <c r="F957" t="s">
        <v>3244</v>
      </c>
      <c r="G957" t="str">
        <f ca="1">PROPER(Table1[[#This Row],[Part Time 
Job]])</f>
        <v>False</v>
      </c>
      <c r="H957" s="3">
        <v>2</v>
      </c>
      <c r="I957" t="str">
        <f ca="1">PROPER(Table1[[#This Row],[Extracurricular 
Activities]])</f>
        <v>False</v>
      </c>
      <c r="J957">
        <v>27</v>
      </c>
      <c r="K957" t="s">
        <v>3123</v>
      </c>
      <c r="L957">
        <v>79</v>
      </c>
      <c r="M957" s="12" t="str" cm="1">
        <f t="array" ref="M95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957">
        <v>65</v>
      </c>
      <c r="O957" s="13" t="str" cm="1">
        <f t="array" ref="O95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957">
        <v>92</v>
      </c>
      <c r="Q957" s="13" t="str" cm="1">
        <f t="array" ref="Q95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957">
        <v>67</v>
      </c>
      <c r="S957" t="str" cm="1">
        <f t="array" ref="S95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957">
        <v>78</v>
      </c>
      <c r="U957" t="str" cm="1">
        <f t="array" ref="U95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957">
        <v>66</v>
      </c>
      <c r="W957" t="str" cm="1">
        <f t="array" ref="W95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957">
        <v>98</v>
      </c>
      <c r="Y957" t="str" cm="1">
        <f t="array" ref="Y95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957">
        <f>SUM(Table1[[#This Row],[Math 
Score]],Table1[[#This Row],[History 
Score]],Table1[[#This Row],[Physics 
Score]],Table1[[#This Row],[Chemistry 
Score]],Table1[[#This Row],[Biology 
Score]],Table1[[#This Row],[English 
Score]],Table1[[#This Row],[Geography 
Score]])</f>
        <v>545</v>
      </c>
      <c r="AA957" s="3">
        <f>AVERAGE(Table1[[#This Row],[Math 
Score]],Table1[[#This Row],[History 
Score]],Table1[[#This Row],[Physics 
Score]],Table1[[#This Row],[Chemistry 
Score]],Table1[[#This Row],[Biology 
Score]],Table1[[#This Row],[English 
Score]],Table1[[#This Row],[Geography 
Score]])</f>
        <v>77.857142857142861</v>
      </c>
      <c r="AB95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957">
        <f t="shared" si="14"/>
        <v>1432</v>
      </c>
      <c r="AD957" t="str">
        <f>_xlfn.IFS(Table1[[#This Row],[Absence 
Days]]&lt;3,"Excellent",Table1[[#This Row],[Absence 
Days]]&lt;=6,"Good",Table1[[#This Row],[Absence 
Days]]&gt;6,"Poor")</f>
        <v>Excellent</v>
      </c>
    </row>
    <row r="958" spans="1:30" x14ac:dyDescent="0.35">
      <c r="A958">
        <v>957</v>
      </c>
      <c r="B958" s="2" t="s">
        <v>241</v>
      </c>
      <c r="C958" t="s">
        <v>907</v>
      </c>
      <c r="D958" t="str">
        <f>_xlfn.TEXTJOIN(" ",TRUE,Table1[[#This Row],[First 
Name]:[Last 
Name]])</f>
        <v>Madison Callahan</v>
      </c>
      <c r="E958" t="s">
        <v>2068</v>
      </c>
      <c r="F958" t="s">
        <v>3245</v>
      </c>
      <c r="G958" t="str">
        <f ca="1">PROPER(Table1[[#This Row],[Part Time 
Job]])</f>
        <v>False</v>
      </c>
      <c r="H958" s="3">
        <v>4</v>
      </c>
      <c r="I958" t="str">
        <f ca="1">PROPER(Table1[[#This Row],[Extracurricular 
Activities]])</f>
        <v>False</v>
      </c>
      <c r="J958">
        <v>25</v>
      </c>
      <c r="K958" t="s">
        <v>3116</v>
      </c>
      <c r="L958">
        <v>87</v>
      </c>
      <c r="M958" s="12" t="str" cm="1">
        <f t="array" ref="M95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958">
        <v>68</v>
      </c>
      <c r="O958" s="13" t="str" cm="1">
        <f t="array" ref="O95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958">
        <v>84</v>
      </c>
      <c r="Q958" s="13" t="str" cm="1">
        <f t="array" ref="Q95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958">
        <v>92</v>
      </c>
      <c r="S958" t="str" cm="1">
        <f t="array" ref="S95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958">
        <v>96</v>
      </c>
      <c r="U958" t="str" cm="1">
        <f t="array" ref="U95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958">
        <v>88</v>
      </c>
      <c r="W958" t="str" cm="1">
        <f t="array" ref="W95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958">
        <v>60</v>
      </c>
      <c r="Y958" t="str" cm="1">
        <f t="array" ref="Y95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958">
        <f>SUM(Table1[[#This Row],[Math 
Score]],Table1[[#This Row],[History 
Score]],Table1[[#This Row],[Physics 
Score]],Table1[[#This Row],[Chemistry 
Score]],Table1[[#This Row],[Biology 
Score]],Table1[[#This Row],[English 
Score]],Table1[[#This Row],[Geography 
Score]])</f>
        <v>575</v>
      </c>
      <c r="AA958" s="3">
        <f>AVERAGE(Table1[[#This Row],[Math 
Score]],Table1[[#This Row],[History 
Score]],Table1[[#This Row],[Physics 
Score]],Table1[[#This Row],[Chemistry 
Score]],Table1[[#This Row],[Biology 
Score]],Table1[[#This Row],[English 
Score]],Table1[[#This Row],[Geography 
Score]])</f>
        <v>82.142857142857139</v>
      </c>
      <c r="AB95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958">
        <f t="shared" si="14"/>
        <v>807</v>
      </c>
      <c r="AD958" t="str">
        <f>_xlfn.IFS(Table1[[#This Row],[Absence 
Days]]&lt;3,"Excellent",Table1[[#This Row],[Absence 
Days]]&lt;=6,"Good",Table1[[#This Row],[Absence 
Days]]&gt;6,"Poor")</f>
        <v>Good</v>
      </c>
    </row>
    <row r="959" spans="1:30" x14ac:dyDescent="0.35">
      <c r="A959">
        <v>958</v>
      </c>
      <c r="B959" s="2" t="s">
        <v>339</v>
      </c>
      <c r="C959" t="s">
        <v>744</v>
      </c>
      <c r="D959" t="str">
        <f>_xlfn.TEXTJOIN(" ",TRUE,Table1[[#This Row],[First 
Name]:[Last 
Name]])</f>
        <v>Connor Olson</v>
      </c>
      <c r="E959" t="s">
        <v>2069</v>
      </c>
      <c r="F959" t="s">
        <v>3244</v>
      </c>
      <c r="G959" t="str">
        <f ca="1">PROPER(Table1[[#This Row],[Part Time 
Job]])</f>
        <v>False</v>
      </c>
      <c r="H959" s="3">
        <v>10</v>
      </c>
      <c r="I959" t="str">
        <f ca="1">PROPER(Table1[[#This Row],[Extracurricular 
Activities]])</f>
        <v>False</v>
      </c>
      <c r="J959">
        <v>11</v>
      </c>
      <c r="K959" t="s">
        <v>3116</v>
      </c>
      <c r="L959">
        <v>94</v>
      </c>
      <c r="M959" s="12" t="str" cm="1">
        <f t="array" ref="M95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959">
        <v>92</v>
      </c>
      <c r="O959" s="13" t="str" cm="1">
        <f t="array" ref="O95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959">
        <v>76</v>
      </c>
      <c r="Q959" s="13" t="str" cm="1">
        <f t="array" ref="Q95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959">
        <v>74</v>
      </c>
      <c r="S959" t="str" cm="1">
        <f t="array" ref="S95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959">
        <v>65</v>
      </c>
      <c r="U959" t="str" cm="1">
        <f t="array" ref="U95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959">
        <v>96</v>
      </c>
      <c r="W959" t="str" cm="1">
        <f t="array" ref="W95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959">
        <v>87</v>
      </c>
      <c r="Y959" t="str" cm="1">
        <f t="array" ref="Y95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959">
        <f>SUM(Table1[[#This Row],[Math 
Score]],Table1[[#This Row],[History 
Score]],Table1[[#This Row],[Physics 
Score]],Table1[[#This Row],[Chemistry 
Score]],Table1[[#This Row],[Biology 
Score]],Table1[[#This Row],[English 
Score]],Table1[[#This Row],[Geography 
Score]])</f>
        <v>584</v>
      </c>
      <c r="AA959" s="3">
        <f>AVERAGE(Table1[[#This Row],[Math 
Score]],Table1[[#This Row],[History 
Score]],Table1[[#This Row],[Physics 
Score]],Table1[[#This Row],[Chemistry 
Score]],Table1[[#This Row],[Biology 
Score]],Table1[[#This Row],[English 
Score]],Table1[[#This Row],[Geography 
Score]])</f>
        <v>83.428571428571431</v>
      </c>
      <c r="AB95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959">
        <f t="shared" si="14"/>
        <v>635</v>
      </c>
      <c r="AD959" t="str">
        <f>_xlfn.IFS(Table1[[#This Row],[Absence 
Days]]&lt;3,"Excellent",Table1[[#This Row],[Absence 
Days]]&lt;=6,"Good",Table1[[#This Row],[Absence 
Days]]&gt;6,"Poor")</f>
        <v>Poor</v>
      </c>
    </row>
    <row r="960" spans="1:30" x14ac:dyDescent="0.35">
      <c r="A960">
        <v>959</v>
      </c>
      <c r="B960" s="2" t="s">
        <v>340</v>
      </c>
      <c r="C960" t="s">
        <v>194</v>
      </c>
      <c r="D960" t="str">
        <f>_xlfn.TEXTJOIN(" ",TRUE,Table1[[#This Row],[First 
Name]:[Last 
Name]])</f>
        <v>Hunter Allen</v>
      </c>
      <c r="E960" t="s">
        <v>2070</v>
      </c>
      <c r="F960" t="s">
        <v>3244</v>
      </c>
      <c r="G960" t="str">
        <f ca="1">PROPER(Table1[[#This Row],[Part Time 
Job]])</f>
        <v>False</v>
      </c>
      <c r="H960" s="3">
        <v>3</v>
      </c>
      <c r="I960" t="str">
        <f ca="1">PROPER(Table1[[#This Row],[Extracurricular 
Activities]])</f>
        <v>False</v>
      </c>
      <c r="J960">
        <v>2</v>
      </c>
      <c r="K960" t="s">
        <v>3126</v>
      </c>
      <c r="L960">
        <v>82</v>
      </c>
      <c r="M960" s="12" t="str" cm="1">
        <f t="array" ref="M96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960">
        <v>77</v>
      </c>
      <c r="O960" s="13" t="str" cm="1">
        <f t="array" ref="O96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960">
        <v>95</v>
      </c>
      <c r="Q960" s="13" t="str" cm="1">
        <f t="array" ref="Q96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960">
        <v>81</v>
      </c>
      <c r="S960" t="str" cm="1">
        <f t="array" ref="S96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960">
        <v>83</v>
      </c>
      <c r="U960" t="str" cm="1">
        <f t="array" ref="U96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960">
        <v>73</v>
      </c>
      <c r="W960" t="str" cm="1">
        <f t="array" ref="W96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960">
        <v>76</v>
      </c>
      <c r="Y960" t="str" cm="1">
        <f t="array" ref="Y96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960">
        <f>SUM(Table1[[#This Row],[Math 
Score]],Table1[[#This Row],[History 
Score]],Table1[[#This Row],[Physics 
Score]],Table1[[#This Row],[Chemistry 
Score]],Table1[[#This Row],[Biology 
Score]],Table1[[#This Row],[English 
Score]],Table1[[#This Row],[Geography 
Score]])</f>
        <v>567</v>
      </c>
      <c r="AA960" s="3">
        <f>AVERAGE(Table1[[#This Row],[Math 
Score]],Table1[[#This Row],[History 
Score]],Table1[[#This Row],[Physics 
Score]],Table1[[#This Row],[Chemistry 
Score]],Table1[[#This Row],[Biology 
Score]],Table1[[#This Row],[English 
Score]],Table1[[#This Row],[Geography 
Score]])</f>
        <v>81</v>
      </c>
      <c r="AB96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960">
        <f t="shared" si="14"/>
        <v>994</v>
      </c>
      <c r="AD960" t="str">
        <f>_xlfn.IFS(Table1[[#This Row],[Absence 
Days]]&lt;3,"Excellent",Table1[[#This Row],[Absence 
Days]]&lt;=6,"Good",Table1[[#This Row],[Absence 
Days]]&gt;6,"Poor")</f>
        <v>Good</v>
      </c>
    </row>
    <row r="961" spans="1:30" x14ac:dyDescent="0.35">
      <c r="A961">
        <v>960</v>
      </c>
      <c r="B961" s="2" t="s">
        <v>21</v>
      </c>
      <c r="C961" t="s">
        <v>592</v>
      </c>
      <c r="D961" t="str">
        <f>_xlfn.TEXTJOIN(" ",TRUE,Table1[[#This Row],[First 
Name]:[Last 
Name]])</f>
        <v>Shannon Johnson</v>
      </c>
      <c r="E961" t="s">
        <v>2071</v>
      </c>
      <c r="F961" t="s">
        <v>3245</v>
      </c>
      <c r="G961" t="str">
        <f ca="1">PROPER(Table1[[#This Row],[Part Time 
Job]])</f>
        <v>False</v>
      </c>
      <c r="H961" s="3">
        <v>2</v>
      </c>
      <c r="I961" t="str">
        <f ca="1">PROPER(Table1[[#This Row],[Extracurricular 
Activities]])</f>
        <v>False</v>
      </c>
      <c r="J961">
        <v>24</v>
      </c>
      <c r="K961" t="s">
        <v>3121</v>
      </c>
      <c r="L961">
        <v>90</v>
      </c>
      <c r="M961" s="12" t="str" cm="1">
        <f t="array" ref="M96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961">
        <v>98</v>
      </c>
      <c r="O961" s="13" t="str" cm="1">
        <f t="array" ref="O96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961">
        <v>89</v>
      </c>
      <c r="Q961" s="13" t="str" cm="1">
        <f t="array" ref="Q96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961">
        <v>78</v>
      </c>
      <c r="S961" t="str" cm="1">
        <f t="array" ref="S96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961">
        <v>74</v>
      </c>
      <c r="U961" t="str" cm="1">
        <f t="array" ref="U96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961">
        <v>93</v>
      </c>
      <c r="W961" t="str" cm="1">
        <f t="array" ref="W96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961">
        <v>65</v>
      </c>
      <c r="Y961" t="str" cm="1">
        <f t="array" ref="Y96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961">
        <f>SUM(Table1[[#This Row],[Math 
Score]],Table1[[#This Row],[History 
Score]],Table1[[#This Row],[Physics 
Score]],Table1[[#This Row],[Chemistry 
Score]],Table1[[#This Row],[Biology 
Score]],Table1[[#This Row],[English 
Score]],Table1[[#This Row],[Geography 
Score]])</f>
        <v>587</v>
      </c>
      <c r="AA961" s="3">
        <f>AVERAGE(Table1[[#This Row],[Math 
Score]],Table1[[#This Row],[History 
Score]],Table1[[#This Row],[Physics 
Score]],Table1[[#This Row],[Chemistry 
Score]],Table1[[#This Row],[Biology 
Score]],Table1[[#This Row],[English 
Score]],Table1[[#This Row],[Geography 
Score]])</f>
        <v>83.857142857142861</v>
      </c>
      <c r="AB96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961">
        <f t="shared" si="14"/>
        <v>583</v>
      </c>
      <c r="AD961" t="str">
        <f>_xlfn.IFS(Table1[[#This Row],[Absence 
Days]]&lt;3,"Excellent",Table1[[#This Row],[Absence 
Days]]&lt;=6,"Good",Table1[[#This Row],[Absence 
Days]]&gt;6,"Poor")</f>
        <v>Excellent</v>
      </c>
    </row>
    <row r="962" spans="1:30" x14ac:dyDescent="0.35">
      <c r="A962">
        <v>961</v>
      </c>
      <c r="B962" s="2" t="s">
        <v>146</v>
      </c>
      <c r="C962" t="s">
        <v>261</v>
      </c>
      <c r="D962" t="str">
        <f>_xlfn.TEXTJOIN(" ",TRUE,Table1[[#This Row],[First 
Name]:[Last 
Name]])</f>
        <v>Samantha Alexander</v>
      </c>
      <c r="E962" t="s">
        <v>2072</v>
      </c>
      <c r="F962" t="s">
        <v>3245</v>
      </c>
      <c r="G962" t="str">
        <f ca="1">PROPER(Table1[[#This Row],[Part Time 
Job]])</f>
        <v>False</v>
      </c>
      <c r="H962" s="3">
        <v>4</v>
      </c>
      <c r="I962" t="str">
        <f ca="1">PROPER(Table1[[#This Row],[Extracurricular 
Activities]])</f>
        <v>False</v>
      </c>
      <c r="J962">
        <v>16</v>
      </c>
      <c r="K962" t="s">
        <v>3123</v>
      </c>
      <c r="L962">
        <v>100</v>
      </c>
      <c r="M962" s="12" t="str" cm="1">
        <f t="array" ref="M96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962">
        <v>68</v>
      </c>
      <c r="O962" s="13" t="str" cm="1">
        <f t="array" ref="O96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962">
        <v>62</v>
      </c>
      <c r="Q962" s="13" t="str" cm="1">
        <f t="array" ref="Q96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962">
        <v>76</v>
      </c>
      <c r="S962" t="str" cm="1">
        <f t="array" ref="S96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962">
        <v>72</v>
      </c>
      <c r="U962" t="str" cm="1">
        <f t="array" ref="U96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962">
        <v>94</v>
      </c>
      <c r="W962" t="str" cm="1">
        <f t="array" ref="W96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962">
        <v>89</v>
      </c>
      <c r="Y962" t="str" cm="1">
        <f t="array" ref="Y96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962">
        <f>SUM(Table1[[#This Row],[Math 
Score]],Table1[[#This Row],[History 
Score]],Table1[[#This Row],[Physics 
Score]],Table1[[#This Row],[Chemistry 
Score]],Table1[[#This Row],[Biology 
Score]],Table1[[#This Row],[English 
Score]],Table1[[#This Row],[Geography 
Score]])</f>
        <v>561</v>
      </c>
      <c r="AA962" s="3">
        <f>AVERAGE(Table1[[#This Row],[Math 
Score]],Table1[[#This Row],[History 
Score]],Table1[[#This Row],[Physics 
Score]],Table1[[#This Row],[Chemistry 
Score]],Table1[[#This Row],[Biology 
Score]],Table1[[#This Row],[English 
Score]],Table1[[#This Row],[Geography 
Score]])</f>
        <v>80.142857142857139</v>
      </c>
      <c r="AB96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962">
        <f t="shared" ref="AC962:AC1025" si="15">RANK(AA962,$AA$2:$AA$2001,0)</f>
        <v>1120</v>
      </c>
      <c r="AD962" t="str">
        <f>_xlfn.IFS(Table1[[#This Row],[Absence 
Days]]&lt;3,"Excellent",Table1[[#This Row],[Absence 
Days]]&lt;=6,"Good",Table1[[#This Row],[Absence 
Days]]&gt;6,"Poor")</f>
        <v>Good</v>
      </c>
    </row>
    <row r="963" spans="1:30" x14ac:dyDescent="0.35">
      <c r="A963">
        <v>962</v>
      </c>
      <c r="B963" s="2" t="s">
        <v>262</v>
      </c>
      <c r="C963" t="s">
        <v>837</v>
      </c>
      <c r="D963" t="str">
        <f>_xlfn.TEXTJOIN(" ",TRUE,Table1[[#This Row],[First 
Name]:[Last 
Name]])</f>
        <v>Justin Lester</v>
      </c>
      <c r="E963" t="s">
        <v>2073</v>
      </c>
      <c r="F963" t="s">
        <v>3244</v>
      </c>
      <c r="G963" t="str">
        <f ca="1">PROPER(Table1[[#This Row],[Part Time 
Job]])</f>
        <v>False</v>
      </c>
      <c r="H963" s="3">
        <v>7</v>
      </c>
      <c r="I963" t="str">
        <f ca="1">PROPER(Table1[[#This Row],[Extracurricular 
Activities]])</f>
        <v>True</v>
      </c>
      <c r="J963">
        <v>1</v>
      </c>
      <c r="K963" t="s">
        <v>3115</v>
      </c>
      <c r="L963">
        <v>98</v>
      </c>
      <c r="M963" s="12" t="str" cm="1">
        <f t="array" ref="M96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963">
        <v>85</v>
      </c>
      <c r="O963" s="13" t="str" cm="1">
        <f t="array" ref="O96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963">
        <v>75</v>
      </c>
      <c r="Q963" s="13" t="str" cm="1">
        <f t="array" ref="Q96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963">
        <v>66</v>
      </c>
      <c r="S963" t="str" cm="1">
        <f t="array" ref="S96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963">
        <v>73</v>
      </c>
      <c r="U963" t="str" cm="1">
        <f t="array" ref="U96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963">
        <v>88</v>
      </c>
      <c r="W963" t="str" cm="1">
        <f t="array" ref="W96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963">
        <v>85</v>
      </c>
      <c r="Y963" t="str" cm="1">
        <f t="array" ref="Y96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963">
        <f>SUM(Table1[[#This Row],[Math 
Score]],Table1[[#This Row],[History 
Score]],Table1[[#This Row],[Physics 
Score]],Table1[[#This Row],[Chemistry 
Score]],Table1[[#This Row],[Biology 
Score]],Table1[[#This Row],[English 
Score]],Table1[[#This Row],[Geography 
Score]])</f>
        <v>570</v>
      </c>
      <c r="AA963" s="3">
        <f>AVERAGE(Table1[[#This Row],[Math 
Score]],Table1[[#This Row],[History 
Score]],Table1[[#This Row],[Physics 
Score]],Table1[[#This Row],[Chemistry 
Score]],Table1[[#This Row],[Biology 
Score]],Table1[[#This Row],[English 
Score]],Table1[[#This Row],[Geography 
Score]])</f>
        <v>81.428571428571431</v>
      </c>
      <c r="AB96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963">
        <f t="shared" si="15"/>
        <v>937</v>
      </c>
      <c r="AD963" t="str">
        <f>_xlfn.IFS(Table1[[#This Row],[Absence 
Days]]&lt;3,"Excellent",Table1[[#This Row],[Absence 
Days]]&lt;=6,"Good",Table1[[#This Row],[Absence 
Days]]&gt;6,"Poor")</f>
        <v>Poor</v>
      </c>
    </row>
    <row r="964" spans="1:30" x14ac:dyDescent="0.35">
      <c r="A964">
        <v>963</v>
      </c>
      <c r="B964" s="2" t="s">
        <v>340</v>
      </c>
      <c r="C964" t="s">
        <v>479</v>
      </c>
      <c r="D964" t="str">
        <f>_xlfn.TEXTJOIN(" ",TRUE,Table1[[#This Row],[First 
Name]:[Last 
Name]])</f>
        <v>Hunter Miller</v>
      </c>
      <c r="E964" t="s">
        <v>2074</v>
      </c>
      <c r="F964" t="s">
        <v>3244</v>
      </c>
      <c r="G964" t="str">
        <f ca="1">PROPER(Table1[[#This Row],[Part Time 
Job]])</f>
        <v>False</v>
      </c>
      <c r="H964" s="3">
        <v>0</v>
      </c>
      <c r="I964" t="str">
        <f ca="1">PROPER(Table1[[#This Row],[Extracurricular 
Activities]])</f>
        <v>False</v>
      </c>
      <c r="J964">
        <v>2</v>
      </c>
      <c r="K964" t="s">
        <v>3126</v>
      </c>
      <c r="L964">
        <v>80</v>
      </c>
      <c r="M964" s="12" t="str" cm="1">
        <f t="array" ref="M96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964">
        <v>84</v>
      </c>
      <c r="O964" s="13" t="str" cm="1">
        <f t="array" ref="O96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964">
        <v>94</v>
      </c>
      <c r="Q964" s="13" t="str" cm="1">
        <f t="array" ref="Q96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964">
        <v>63</v>
      </c>
      <c r="S964" t="str" cm="1">
        <f t="array" ref="S96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964">
        <v>62</v>
      </c>
      <c r="U964" t="str" cm="1">
        <f t="array" ref="U96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964">
        <v>72</v>
      </c>
      <c r="W964" t="str" cm="1">
        <f t="array" ref="W96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964">
        <v>68</v>
      </c>
      <c r="Y964" t="str" cm="1">
        <f t="array" ref="Y96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964">
        <f>SUM(Table1[[#This Row],[Math 
Score]],Table1[[#This Row],[History 
Score]],Table1[[#This Row],[Physics 
Score]],Table1[[#This Row],[Chemistry 
Score]],Table1[[#This Row],[Biology 
Score]],Table1[[#This Row],[English 
Score]],Table1[[#This Row],[Geography 
Score]])</f>
        <v>523</v>
      </c>
      <c r="AA964" s="3">
        <f>AVERAGE(Table1[[#This Row],[Math 
Score]],Table1[[#This Row],[History 
Score]],Table1[[#This Row],[Physics 
Score]],Table1[[#This Row],[Chemistry 
Score]],Table1[[#This Row],[Biology 
Score]],Table1[[#This Row],[English 
Score]],Table1[[#This Row],[Geography 
Score]])</f>
        <v>74.714285714285708</v>
      </c>
      <c r="AB96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964">
        <f t="shared" si="15"/>
        <v>1727</v>
      </c>
      <c r="AD964" t="str">
        <f>_xlfn.IFS(Table1[[#This Row],[Absence 
Days]]&lt;3,"Excellent",Table1[[#This Row],[Absence 
Days]]&lt;=6,"Good",Table1[[#This Row],[Absence 
Days]]&gt;6,"Poor")</f>
        <v>Excellent</v>
      </c>
    </row>
    <row r="965" spans="1:30" x14ac:dyDescent="0.35">
      <c r="A965">
        <v>964</v>
      </c>
      <c r="B965" s="2" t="s">
        <v>341</v>
      </c>
      <c r="C965" t="s">
        <v>908</v>
      </c>
      <c r="D965" t="str">
        <f>_xlfn.TEXTJOIN(" ",TRUE,Table1[[#This Row],[First 
Name]:[Last 
Name]])</f>
        <v>Shelia Rogers</v>
      </c>
      <c r="E965" t="s">
        <v>2075</v>
      </c>
      <c r="F965" t="s">
        <v>3245</v>
      </c>
      <c r="G965" t="str">
        <f ca="1">PROPER(Table1[[#This Row],[Part Time 
Job]])</f>
        <v>False</v>
      </c>
      <c r="H965" s="3">
        <v>1</v>
      </c>
      <c r="I965" t="str">
        <f ca="1">PROPER(Table1[[#This Row],[Extracurricular 
Activities]])</f>
        <v>False</v>
      </c>
      <c r="J965">
        <v>35</v>
      </c>
      <c r="K965" t="s">
        <v>3122</v>
      </c>
      <c r="L965">
        <v>89</v>
      </c>
      <c r="M965" s="12" t="str" cm="1">
        <f t="array" ref="M96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965">
        <v>91</v>
      </c>
      <c r="O965" s="13" t="str" cm="1">
        <f t="array" ref="O96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965">
        <v>96</v>
      </c>
      <c r="Q965" s="13" t="str" cm="1">
        <f t="array" ref="Q96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965">
        <v>100</v>
      </c>
      <c r="S965" t="str" cm="1">
        <f t="array" ref="S96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965">
        <v>95</v>
      </c>
      <c r="U965" t="str" cm="1">
        <f t="array" ref="U96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965">
        <v>93</v>
      </c>
      <c r="W965" t="str" cm="1">
        <f t="array" ref="W96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965">
        <v>86</v>
      </c>
      <c r="Y965" t="str" cm="1">
        <f t="array" ref="Y96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965">
        <f>SUM(Table1[[#This Row],[Math 
Score]],Table1[[#This Row],[History 
Score]],Table1[[#This Row],[Physics 
Score]],Table1[[#This Row],[Chemistry 
Score]],Table1[[#This Row],[Biology 
Score]],Table1[[#This Row],[English 
Score]],Table1[[#This Row],[Geography 
Score]])</f>
        <v>650</v>
      </c>
      <c r="AA965" s="3">
        <f>AVERAGE(Table1[[#This Row],[Math 
Score]],Table1[[#This Row],[History 
Score]],Table1[[#This Row],[Physics 
Score]],Table1[[#This Row],[Chemistry 
Score]],Table1[[#This Row],[Biology 
Score]],Table1[[#This Row],[English 
Score]],Table1[[#This Row],[Geography 
Score]])</f>
        <v>92.857142857142861</v>
      </c>
      <c r="AB96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965">
        <f t="shared" si="15"/>
        <v>56</v>
      </c>
      <c r="AD965" t="str">
        <f>_xlfn.IFS(Table1[[#This Row],[Absence 
Days]]&lt;3,"Excellent",Table1[[#This Row],[Absence 
Days]]&lt;=6,"Good",Table1[[#This Row],[Absence 
Days]]&gt;6,"Poor")</f>
        <v>Excellent</v>
      </c>
    </row>
    <row r="966" spans="1:30" x14ac:dyDescent="0.35">
      <c r="A966">
        <v>965</v>
      </c>
      <c r="B966" s="2" t="s">
        <v>13</v>
      </c>
      <c r="C966" t="s">
        <v>548</v>
      </c>
      <c r="D966" t="str">
        <f>_xlfn.TEXTJOIN(" ",TRUE,Table1[[#This Row],[First 
Name]:[Last 
Name]])</f>
        <v>Laura Walker</v>
      </c>
      <c r="E966" t="s">
        <v>2076</v>
      </c>
      <c r="F966" t="s">
        <v>3245</v>
      </c>
      <c r="G966" t="str">
        <f ca="1">PROPER(Table1[[#This Row],[Part Time 
Job]])</f>
        <v>False</v>
      </c>
      <c r="H966" s="3">
        <v>0</v>
      </c>
      <c r="I966" t="str">
        <f ca="1">PROPER(Table1[[#This Row],[Extracurricular 
Activities]])</f>
        <v>False</v>
      </c>
      <c r="J966">
        <v>5</v>
      </c>
      <c r="K966" t="s">
        <v>3116</v>
      </c>
      <c r="L966">
        <v>96</v>
      </c>
      <c r="M966" s="12" t="str" cm="1">
        <f t="array" ref="M96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966">
        <v>67</v>
      </c>
      <c r="O966" s="13" t="str" cm="1">
        <f t="array" ref="O96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966">
        <v>74</v>
      </c>
      <c r="Q966" s="13" t="str" cm="1">
        <f t="array" ref="Q96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966">
        <v>90</v>
      </c>
      <c r="S966" t="str" cm="1">
        <f t="array" ref="S96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966">
        <v>75</v>
      </c>
      <c r="U966" t="str" cm="1">
        <f t="array" ref="U96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966">
        <v>95</v>
      </c>
      <c r="W966" t="str" cm="1">
        <f t="array" ref="W96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966">
        <v>83</v>
      </c>
      <c r="Y966" t="str" cm="1">
        <f t="array" ref="Y96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966">
        <f>SUM(Table1[[#This Row],[Math 
Score]],Table1[[#This Row],[History 
Score]],Table1[[#This Row],[Physics 
Score]],Table1[[#This Row],[Chemistry 
Score]],Table1[[#This Row],[Biology 
Score]],Table1[[#This Row],[English 
Score]],Table1[[#This Row],[Geography 
Score]])</f>
        <v>580</v>
      </c>
      <c r="AA966" s="3">
        <f>AVERAGE(Table1[[#This Row],[Math 
Score]],Table1[[#This Row],[History 
Score]],Table1[[#This Row],[Physics 
Score]],Table1[[#This Row],[Chemistry 
Score]],Table1[[#This Row],[Biology 
Score]],Table1[[#This Row],[English 
Score]],Table1[[#This Row],[Geography 
Score]])</f>
        <v>82.857142857142861</v>
      </c>
      <c r="AB96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966">
        <f t="shared" si="15"/>
        <v>709</v>
      </c>
      <c r="AD966" t="str">
        <f>_xlfn.IFS(Table1[[#This Row],[Absence 
Days]]&lt;3,"Excellent",Table1[[#This Row],[Absence 
Days]]&lt;=6,"Good",Table1[[#This Row],[Absence 
Days]]&gt;6,"Poor")</f>
        <v>Excellent</v>
      </c>
    </row>
    <row r="967" spans="1:30" x14ac:dyDescent="0.35">
      <c r="A967">
        <v>966</v>
      </c>
      <c r="B967" s="2" t="s">
        <v>182</v>
      </c>
      <c r="C967" t="s">
        <v>722</v>
      </c>
      <c r="D967" t="str">
        <f>_xlfn.TEXTJOIN(" ",TRUE,Table1[[#This Row],[First 
Name]:[Last 
Name]])</f>
        <v>Ashley Green</v>
      </c>
      <c r="E967" t="s">
        <v>2077</v>
      </c>
      <c r="F967" t="s">
        <v>3245</v>
      </c>
      <c r="G967" t="str">
        <f ca="1">PROPER(Table1[[#This Row],[Part Time 
Job]])</f>
        <v>False</v>
      </c>
      <c r="H967" s="3">
        <v>4</v>
      </c>
      <c r="I967" t="str">
        <f ca="1">PROPER(Table1[[#This Row],[Extracurricular 
Activities]])</f>
        <v>False</v>
      </c>
      <c r="J967">
        <v>14</v>
      </c>
      <c r="K967" t="s">
        <v>3123</v>
      </c>
      <c r="L967">
        <v>94</v>
      </c>
      <c r="M967" s="12" t="str" cm="1">
        <f t="array" ref="M96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967">
        <v>82</v>
      </c>
      <c r="O967" s="13" t="str" cm="1">
        <f t="array" ref="O96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967">
        <v>80</v>
      </c>
      <c r="Q967" s="13" t="str" cm="1">
        <f t="array" ref="Q96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967">
        <v>80</v>
      </c>
      <c r="S967" t="str" cm="1">
        <f t="array" ref="S96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967">
        <v>33</v>
      </c>
      <c r="U967" t="str" cm="1">
        <f t="array" ref="U96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F</v>
      </c>
      <c r="V967">
        <v>93</v>
      </c>
      <c r="W967" t="str" cm="1">
        <f t="array" ref="W96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967">
        <v>78</v>
      </c>
      <c r="Y967" t="str" cm="1">
        <f t="array" ref="Y96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967">
        <f>SUM(Table1[[#This Row],[Math 
Score]],Table1[[#This Row],[History 
Score]],Table1[[#This Row],[Physics 
Score]],Table1[[#This Row],[Chemistry 
Score]],Table1[[#This Row],[Biology 
Score]],Table1[[#This Row],[English 
Score]],Table1[[#This Row],[Geography 
Score]])</f>
        <v>540</v>
      </c>
      <c r="AA967" s="3">
        <f>AVERAGE(Table1[[#This Row],[Math 
Score]],Table1[[#This Row],[History 
Score]],Table1[[#This Row],[Physics 
Score]],Table1[[#This Row],[Chemistry 
Score]],Table1[[#This Row],[Biology 
Score]],Table1[[#This Row],[English 
Score]],Table1[[#This Row],[Geography 
Score]])</f>
        <v>77.142857142857139</v>
      </c>
      <c r="AB96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967">
        <f t="shared" si="15"/>
        <v>1513</v>
      </c>
      <c r="AD967" t="str">
        <f>_xlfn.IFS(Table1[[#This Row],[Absence 
Days]]&lt;3,"Excellent",Table1[[#This Row],[Absence 
Days]]&lt;=6,"Good",Table1[[#This Row],[Absence 
Days]]&gt;6,"Poor")</f>
        <v>Good</v>
      </c>
    </row>
    <row r="968" spans="1:30" x14ac:dyDescent="0.35">
      <c r="A968">
        <v>967</v>
      </c>
      <c r="B968" s="2" t="s">
        <v>92</v>
      </c>
      <c r="C968" t="s">
        <v>511</v>
      </c>
      <c r="D968" t="str">
        <f>_xlfn.TEXTJOIN(" ",TRUE,Table1[[#This Row],[First 
Name]:[Last 
Name]])</f>
        <v>Beth Bonilla</v>
      </c>
      <c r="E968" t="s">
        <v>2078</v>
      </c>
      <c r="F968" t="s">
        <v>3245</v>
      </c>
      <c r="G968" t="str">
        <f ca="1">PROPER(Table1[[#This Row],[Part Time 
Job]])</f>
        <v>False</v>
      </c>
      <c r="H968" s="3">
        <v>2</v>
      </c>
      <c r="I968" t="str">
        <f ca="1">PROPER(Table1[[#This Row],[Extracurricular 
Activities]])</f>
        <v>False</v>
      </c>
      <c r="J968">
        <v>26</v>
      </c>
      <c r="K968" t="s">
        <v>3116</v>
      </c>
      <c r="L968">
        <v>64</v>
      </c>
      <c r="M968" s="12" t="str" cm="1">
        <f t="array" ref="M968">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968">
        <v>65</v>
      </c>
      <c r="O968" s="13" t="str" cm="1">
        <f t="array" ref="O96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968">
        <v>97</v>
      </c>
      <c r="Q968" s="13" t="str" cm="1">
        <f t="array" ref="Q96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968">
        <v>96</v>
      </c>
      <c r="S968" t="str" cm="1">
        <f t="array" ref="S96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968">
        <v>80</v>
      </c>
      <c r="U968" t="str" cm="1">
        <f t="array" ref="U96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968">
        <v>80</v>
      </c>
      <c r="W968" t="str" cm="1">
        <f t="array" ref="W96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968">
        <v>78</v>
      </c>
      <c r="Y968" t="str" cm="1">
        <f t="array" ref="Y96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968">
        <f>SUM(Table1[[#This Row],[Math 
Score]],Table1[[#This Row],[History 
Score]],Table1[[#This Row],[Physics 
Score]],Table1[[#This Row],[Chemistry 
Score]],Table1[[#This Row],[Biology 
Score]],Table1[[#This Row],[English 
Score]],Table1[[#This Row],[Geography 
Score]])</f>
        <v>560</v>
      </c>
      <c r="AA968" s="3">
        <f>AVERAGE(Table1[[#This Row],[Math 
Score]],Table1[[#This Row],[History 
Score]],Table1[[#This Row],[Physics 
Score]],Table1[[#This Row],[Chemistry 
Score]],Table1[[#This Row],[Biology 
Score]],Table1[[#This Row],[English 
Score]],Table1[[#This Row],[Geography 
Score]])</f>
        <v>80</v>
      </c>
      <c r="AB96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968">
        <f t="shared" si="15"/>
        <v>1134</v>
      </c>
      <c r="AD968" t="str">
        <f>_xlfn.IFS(Table1[[#This Row],[Absence 
Days]]&lt;3,"Excellent",Table1[[#This Row],[Absence 
Days]]&lt;=6,"Good",Table1[[#This Row],[Absence 
Days]]&gt;6,"Poor")</f>
        <v>Excellent</v>
      </c>
    </row>
    <row r="969" spans="1:30" x14ac:dyDescent="0.35">
      <c r="A969">
        <v>968</v>
      </c>
      <c r="B969" s="2" t="s">
        <v>342</v>
      </c>
      <c r="C969" t="s">
        <v>635</v>
      </c>
      <c r="D969" t="str">
        <f>_xlfn.TEXTJOIN(" ",TRUE,Table1[[#This Row],[First 
Name]:[Last 
Name]])</f>
        <v>Ray Padilla</v>
      </c>
      <c r="E969" t="s">
        <v>2079</v>
      </c>
      <c r="F969" t="s">
        <v>3244</v>
      </c>
      <c r="G969" t="str">
        <f ca="1">PROPER(Table1[[#This Row],[Part Time 
Job]])</f>
        <v>False</v>
      </c>
      <c r="H969" s="3">
        <v>3</v>
      </c>
      <c r="I969" t="str">
        <f ca="1">PROPER(Table1[[#This Row],[Extracurricular 
Activities]])</f>
        <v>False</v>
      </c>
      <c r="J969">
        <v>41</v>
      </c>
      <c r="K969" t="s">
        <v>3113</v>
      </c>
      <c r="L969">
        <v>89</v>
      </c>
      <c r="M969" s="12" t="str" cm="1">
        <f t="array" ref="M96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969">
        <v>89</v>
      </c>
      <c r="O969" s="13" t="str" cm="1">
        <f t="array" ref="O96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969">
        <v>100</v>
      </c>
      <c r="Q969" s="13" t="str" cm="1">
        <f t="array" ref="Q96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969">
        <v>96</v>
      </c>
      <c r="S969" t="str" cm="1">
        <f t="array" ref="S96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969">
        <v>96</v>
      </c>
      <c r="U969" t="str" cm="1">
        <f t="array" ref="U96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969">
        <v>85</v>
      </c>
      <c r="W969" t="str" cm="1">
        <f t="array" ref="W96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969">
        <v>92</v>
      </c>
      <c r="Y969" t="str" cm="1">
        <f t="array" ref="Y96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969">
        <f>SUM(Table1[[#This Row],[Math 
Score]],Table1[[#This Row],[History 
Score]],Table1[[#This Row],[Physics 
Score]],Table1[[#This Row],[Chemistry 
Score]],Table1[[#This Row],[Biology 
Score]],Table1[[#This Row],[English 
Score]],Table1[[#This Row],[Geography 
Score]])</f>
        <v>647</v>
      </c>
      <c r="AA969" s="3">
        <f>AVERAGE(Table1[[#This Row],[Math 
Score]],Table1[[#This Row],[History 
Score]],Table1[[#This Row],[Physics 
Score]],Table1[[#This Row],[Chemistry 
Score]],Table1[[#This Row],[Biology 
Score]],Table1[[#This Row],[English 
Score]],Table1[[#This Row],[Geography 
Score]])</f>
        <v>92.428571428571431</v>
      </c>
      <c r="AB96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969">
        <f t="shared" si="15"/>
        <v>68</v>
      </c>
      <c r="AD969" t="str">
        <f>_xlfn.IFS(Table1[[#This Row],[Absence 
Days]]&lt;3,"Excellent",Table1[[#This Row],[Absence 
Days]]&lt;=6,"Good",Table1[[#This Row],[Absence 
Days]]&gt;6,"Poor")</f>
        <v>Good</v>
      </c>
    </row>
    <row r="970" spans="1:30" x14ac:dyDescent="0.35">
      <c r="A970">
        <v>969</v>
      </c>
      <c r="B970" s="2" t="s">
        <v>50</v>
      </c>
      <c r="C970" t="s">
        <v>909</v>
      </c>
      <c r="D970" t="str">
        <f>_xlfn.TEXTJOIN(" ",TRUE,Table1[[#This Row],[First 
Name]:[Last 
Name]])</f>
        <v>Jennifer Cummings</v>
      </c>
      <c r="E970" t="s">
        <v>2080</v>
      </c>
      <c r="F970" t="s">
        <v>3245</v>
      </c>
      <c r="G970" t="str">
        <f ca="1">PROPER(Table1[[#This Row],[Part Time 
Job]])</f>
        <v>False</v>
      </c>
      <c r="H970" s="3">
        <v>2</v>
      </c>
      <c r="I970" t="str">
        <f ca="1">PROPER(Table1[[#This Row],[Extracurricular 
Activities]])</f>
        <v>True</v>
      </c>
      <c r="J970">
        <v>6</v>
      </c>
      <c r="K970" t="s">
        <v>3116</v>
      </c>
      <c r="L970">
        <v>97</v>
      </c>
      <c r="M970" s="12" t="str" cm="1">
        <f t="array" ref="M97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970">
        <v>78</v>
      </c>
      <c r="O970" s="13" t="str" cm="1">
        <f t="array" ref="O97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970">
        <v>99</v>
      </c>
      <c r="Q970" s="13" t="str" cm="1">
        <f t="array" ref="Q97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970">
        <v>88</v>
      </c>
      <c r="S970" t="str" cm="1">
        <f t="array" ref="S97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970">
        <v>69</v>
      </c>
      <c r="U970" t="str" cm="1">
        <f t="array" ref="U97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970">
        <v>98</v>
      </c>
      <c r="W970" t="str" cm="1">
        <f t="array" ref="W97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970">
        <v>60</v>
      </c>
      <c r="Y970" t="str" cm="1">
        <f t="array" ref="Y97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970">
        <f>SUM(Table1[[#This Row],[Math 
Score]],Table1[[#This Row],[History 
Score]],Table1[[#This Row],[Physics 
Score]],Table1[[#This Row],[Chemistry 
Score]],Table1[[#This Row],[Biology 
Score]],Table1[[#This Row],[English 
Score]],Table1[[#This Row],[Geography 
Score]])</f>
        <v>589</v>
      </c>
      <c r="AA970" s="3">
        <f>AVERAGE(Table1[[#This Row],[Math 
Score]],Table1[[#This Row],[History 
Score]],Table1[[#This Row],[Physics 
Score]],Table1[[#This Row],[Chemistry 
Score]],Table1[[#This Row],[Biology 
Score]],Table1[[#This Row],[English 
Score]],Table1[[#This Row],[Geography 
Score]])</f>
        <v>84.142857142857139</v>
      </c>
      <c r="AB97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970">
        <f t="shared" si="15"/>
        <v>548</v>
      </c>
      <c r="AD970" t="str">
        <f>_xlfn.IFS(Table1[[#This Row],[Absence 
Days]]&lt;3,"Excellent",Table1[[#This Row],[Absence 
Days]]&lt;=6,"Good",Table1[[#This Row],[Absence 
Days]]&gt;6,"Poor")</f>
        <v>Excellent</v>
      </c>
    </row>
    <row r="971" spans="1:30" x14ac:dyDescent="0.35">
      <c r="A971">
        <v>970</v>
      </c>
      <c r="B971" s="2" t="s">
        <v>231</v>
      </c>
      <c r="C971" t="s">
        <v>578</v>
      </c>
      <c r="D971" t="str">
        <f>_xlfn.TEXTJOIN(" ",TRUE,Table1[[#This Row],[First 
Name]:[Last 
Name]])</f>
        <v>Daniel Peterson</v>
      </c>
      <c r="E971" t="s">
        <v>2081</v>
      </c>
      <c r="F971" t="s">
        <v>3244</v>
      </c>
      <c r="G971" t="str">
        <f ca="1">PROPER(Table1[[#This Row],[Part Time 
Job]])</f>
        <v>False</v>
      </c>
      <c r="H971" s="3">
        <v>3</v>
      </c>
      <c r="I971" t="str">
        <f ca="1">PROPER(Table1[[#This Row],[Extracurricular 
Activities]])</f>
        <v>False</v>
      </c>
      <c r="J971">
        <v>35</v>
      </c>
      <c r="K971" t="s">
        <v>3117</v>
      </c>
      <c r="L971">
        <v>91</v>
      </c>
      <c r="M971" s="12" t="str" cm="1">
        <f t="array" ref="M97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971">
        <v>97</v>
      </c>
      <c r="O971" s="13" t="str" cm="1">
        <f t="array" ref="O97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971">
        <v>87</v>
      </c>
      <c r="Q971" s="13" t="str" cm="1">
        <f t="array" ref="Q97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971">
        <v>93</v>
      </c>
      <c r="S971" t="str" cm="1">
        <f t="array" ref="S97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971">
        <v>94</v>
      </c>
      <c r="U971" t="str" cm="1">
        <f t="array" ref="U97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971">
        <v>90</v>
      </c>
      <c r="W971" t="str" cm="1">
        <f t="array" ref="W97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971">
        <v>88</v>
      </c>
      <c r="Y971" t="str" cm="1">
        <f t="array" ref="Y97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971">
        <f>SUM(Table1[[#This Row],[Math 
Score]],Table1[[#This Row],[History 
Score]],Table1[[#This Row],[Physics 
Score]],Table1[[#This Row],[Chemistry 
Score]],Table1[[#This Row],[Biology 
Score]],Table1[[#This Row],[English 
Score]],Table1[[#This Row],[Geography 
Score]])</f>
        <v>640</v>
      </c>
      <c r="AA971" s="3">
        <f>AVERAGE(Table1[[#This Row],[Math 
Score]],Table1[[#This Row],[History 
Score]],Table1[[#This Row],[Physics 
Score]],Table1[[#This Row],[Chemistry 
Score]],Table1[[#This Row],[Biology 
Score]],Table1[[#This Row],[English 
Score]],Table1[[#This Row],[Geography 
Score]])</f>
        <v>91.428571428571431</v>
      </c>
      <c r="AB97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971">
        <f t="shared" si="15"/>
        <v>98</v>
      </c>
      <c r="AD971" t="str">
        <f>_xlfn.IFS(Table1[[#This Row],[Absence 
Days]]&lt;3,"Excellent",Table1[[#This Row],[Absence 
Days]]&lt;=6,"Good",Table1[[#This Row],[Absence 
Days]]&gt;6,"Poor")</f>
        <v>Good</v>
      </c>
    </row>
    <row r="972" spans="1:30" x14ac:dyDescent="0.35">
      <c r="A972">
        <v>971</v>
      </c>
      <c r="B972" s="2" t="s">
        <v>93</v>
      </c>
      <c r="C972" t="s">
        <v>479</v>
      </c>
      <c r="D972" t="str">
        <f>_xlfn.TEXTJOIN(" ",TRUE,Table1[[#This Row],[First 
Name]:[Last 
Name]])</f>
        <v>Andrew Miller</v>
      </c>
      <c r="E972" t="s">
        <v>2082</v>
      </c>
      <c r="F972" t="s">
        <v>3244</v>
      </c>
      <c r="G972" t="str">
        <f ca="1">PROPER(Table1[[#This Row],[Part Time 
Job]])</f>
        <v>False</v>
      </c>
      <c r="H972" s="3">
        <v>0</v>
      </c>
      <c r="I972" t="str">
        <f ca="1">PROPER(Table1[[#This Row],[Extracurricular 
Activities]])</f>
        <v>True</v>
      </c>
      <c r="J972">
        <v>30</v>
      </c>
      <c r="K972" t="s">
        <v>3125</v>
      </c>
      <c r="L972">
        <v>96</v>
      </c>
      <c r="M972" s="12" t="str" cm="1">
        <f t="array" ref="M97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972">
        <v>98</v>
      </c>
      <c r="O972" s="13" t="str" cm="1">
        <f t="array" ref="O97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972">
        <v>99</v>
      </c>
      <c r="Q972" s="13" t="str" cm="1">
        <f t="array" ref="Q97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972">
        <v>65</v>
      </c>
      <c r="S972" t="str" cm="1">
        <f t="array" ref="S97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972">
        <v>95</v>
      </c>
      <c r="U972" t="str" cm="1">
        <f t="array" ref="U97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972">
        <v>76</v>
      </c>
      <c r="W972" t="str" cm="1">
        <f t="array" ref="W97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972">
        <v>68</v>
      </c>
      <c r="Y972" t="str" cm="1">
        <f t="array" ref="Y97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972">
        <f>SUM(Table1[[#This Row],[Math 
Score]],Table1[[#This Row],[History 
Score]],Table1[[#This Row],[Physics 
Score]],Table1[[#This Row],[Chemistry 
Score]],Table1[[#This Row],[Biology 
Score]],Table1[[#This Row],[English 
Score]],Table1[[#This Row],[Geography 
Score]])</f>
        <v>597</v>
      </c>
      <c r="AA972" s="3">
        <f>AVERAGE(Table1[[#This Row],[Math 
Score]],Table1[[#This Row],[History 
Score]],Table1[[#This Row],[Physics 
Score]],Table1[[#This Row],[Chemistry 
Score]],Table1[[#This Row],[Biology 
Score]],Table1[[#This Row],[English 
Score]],Table1[[#This Row],[Geography 
Score]])</f>
        <v>85.285714285714292</v>
      </c>
      <c r="AB97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972">
        <f t="shared" si="15"/>
        <v>446</v>
      </c>
      <c r="AD972" t="str">
        <f>_xlfn.IFS(Table1[[#This Row],[Absence 
Days]]&lt;3,"Excellent",Table1[[#This Row],[Absence 
Days]]&lt;=6,"Good",Table1[[#This Row],[Absence 
Days]]&gt;6,"Poor")</f>
        <v>Excellent</v>
      </c>
    </row>
    <row r="973" spans="1:30" x14ac:dyDescent="0.35">
      <c r="A973">
        <v>972</v>
      </c>
      <c r="B973" s="2" t="s">
        <v>192</v>
      </c>
      <c r="C973" t="s">
        <v>886</v>
      </c>
      <c r="D973" t="str">
        <f>_xlfn.TEXTJOIN(" ",TRUE,Table1[[#This Row],[First 
Name]:[Last 
Name]])</f>
        <v>Scott Jacobson</v>
      </c>
      <c r="E973" t="s">
        <v>2083</v>
      </c>
      <c r="F973" t="s">
        <v>3244</v>
      </c>
      <c r="G973" t="str">
        <f ca="1">PROPER(Table1[[#This Row],[Part Time 
Job]])</f>
        <v>False</v>
      </c>
      <c r="H973" s="3">
        <v>2</v>
      </c>
      <c r="I973" t="str">
        <f ca="1">PROPER(Table1[[#This Row],[Extracurricular 
Activities]])</f>
        <v>True</v>
      </c>
      <c r="J973">
        <v>12</v>
      </c>
      <c r="K973" t="s">
        <v>3121</v>
      </c>
      <c r="L973">
        <v>81</v>
      </c>
      <c r="M973" s="12" t="str" cm="1">
        <f t="array" ref="M97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973">
        <v>68</v>
      </c>
      <c r="O973" s="13" t="str" cm="1">
        <f t="array" ref="O97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973">
        <v>97</v>
      </c>
      <c r="Q973" s="13" t="str" cm="1">
        <f t="array" ref="Q97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973">
        <v>86</v>
      </c>
      <c r="S973" t="str" cm="1">
        <f t="array" ref="S97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973">
        <v>90</v>
      </c>
      <c r="U973" t="str" cm="1">
        <f t="array" ref="U97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973">
        <v>78</v>
      </c>
      <c r="W973" t="str" cm="1">
        <f t="array" ref="W97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973">
        <v>80</v>
      </c>
      <c r="Y973" t="str" cm="1">
        <f t="array" ref="Y97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973">
        <f>SUM(Table1[[#This Row],[Math 
Score]],Table1[[#This Row],[History 
Score]],Table1[[#This Row],[Physics 
Score]],Table1[[#This Row],[Chemistry 
Score]],Table1[[#This Row],[Biology 
Score]],Table1[[#This Row],[English 
Score]],Table1[[#This Row],[Geography 
Score]])</f>
        <v>580</v>
      </c>
      <c r="AA973" s="3">
        <f>AVERAGE(Table1[[#This Row],[Math 
Score]],Table1[[#This Row],[History 
Score]],Table1[[#This Row],[Physics 
Score]],Table1[[#This Row],[Chemistry 
Score]],Table1[[#This Row],[Biology 
Score]],Table1[[#This Row],[English 
Score]],Table1[[#This Row],[Geography 
Score]])</f>
        <v>82.857142857142861</v>
      </c>
      <c r="AB97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973">
        <f t="shared" si="15"/>
        <v>709</v>
      </c>
      <c r="AD973" t="str">
        <f>_xlfn.IFS(Table1[[#This Row],[Absence 
Days]]&lt;3,"Excellent",Table1[[#This Row],[Absence 
Days]]&lt;=6,"Good",Table1[[#This Row],[Absence 
Days]]&gt;6,"Poor")</f>
        <v>Excellent</v>
      </c>
    </row>
    <row r="974" spans="1:30" x14ac:dyDescent="0.35">
      <c r="A974">
        <v>973</v>
      </c>
      <c r="B974" s="2" t="s">
        <v>50</v>
      </c>
      <c r="C974" t="s">
        <v>708</v>
      </c>
      <c r="D974" t="str">
        <f>_xlfn.TEXTJOIN(" ",TRUE,Table1[[#This Row],[First 
Name]:[Last 
Name]])</f>
        <v>Jennifer Baker</v>
      </c>
      <c r="E974" t="s">
        <v>2084</v>
      </c>
      <c r="F974" t="s">
        <v>3245</v>
      </c>
      <c r="G974" t="str">
        <f ca="1">PROPER(Table1[[#This Row],[Part Time 
Job]])</f>
        <v>False</v>
      </c>
      <c r="H974" s="3">
        <v>2</v>
      </c>
      <c r="I974" t="str">
        <f ca="1">PROPER(Table1[[#This Row],[Extracurricular 
Activities]])</f>
        <v>False</v>
      </c>
      <c r="J974">
        <v>29</v>
      </c>
      <c r="K974" t="s">
        <v>3117</v>
      </c>
      <c r="L974">
        <v>87</v>
      </c>
      <c r="M974" s="12" t="str" cm="1">
        <f t="array" ref="M97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974">
        <v>89</v>
      </c>
      <c r="O974" s="13" t="str" cm="1">
        <f t="array" ref="O97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974">
        <v>61</v>
      </c>
      <c r="Q974" s="13" t="str" cm="1">
        <f t="array" ref="Q97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974">
        <v>66</v>
      </c>
      <c r="S974" t="str" cm="1">
        <f t="array" ref="S97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974">
        <v>72</v>
      </c>
      <c r="U974" t="str" cm="1">
        <f t="array" ref="U97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974">
        <v>90</v>
      </c>
      <c r="W974" t="str" cm="1">
        <f t="array" ref="W97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974">
        <v>61</v>
      </c>
      <c r="Y974" t="str" cm="1">
        <f t="array" ref="Y97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974">
        <f>SUM(Table1[[#This Row],[Math 
Score]],Table1[[#This Row],[History 
Score]],Table1[[#This Row],[Physics 
Score]],Table1[[#This Row],[Chemistry 
Score]],Table1[[#This Row],[Biology 
Score]],Table1[[#This Row],[English 
Score]],Table1[[#This Row],[Geography 
Score]])</f>
        <v>526</v>
      </c>
      <c r="AA974" s="3">
        <f>AVERAGE(Table1[[#This Row],[Math 
Score]],Table1[[#This Row],[History 
Score]],Table1[[#This Row],[Physics 
Score]],Table1[[#This Row],[Chemistry 
Score]],Table1[[#This Row],[Biology 
Score]],Table1[[#This Row],[English 
Score]],Table1[[#This Row],[Geography 
Score]])</f>
        <v>75.142857142857139</v>
      </c>
      <c r="AB97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974">
        <f t="shared" si="15"/>
        <v>1688</v>
      </c>
      <c r="AD974" t="str">
        <f>_xlfn.IFS(Table1[[#This Row],[Absence 
Days]]&lt;3,"Excellent",Table1[[#This Row],[Absence 
Days]]&lt;=6,"Good",Table1[[#This Row],[Absence 
Days]]&gt;6,"Poor")</f>
        <v>Excellent</v>
      </c>
    </row>
    <row r="975" spans="1:30" x14ac:dyDescent="0.35">
      <c r="A975">
        <v>974</v>
      </c>
      <c r="B975" s="2" t="s">
        <v>343</v>
      </c>
      <c r="C975" t="s">
        <v>816</v>
      </c>
      <c r="D975" t="str">
        <f>_xlfn.TEXTJOIN(" ",TRUE,Table1[[#This Row],[First 
Name]:[Last 
Name]])</f>
        <v>Suzanne Morrow</v>
      </c>
      <c r="E975" t="s">
        <v>2085</v>
      </c>
      <c r="F975" t="s">
        <v>3245</v>
      </c>
      <c r="G975" t="str">
        <f ca="1">PROPER(Table1[[#This Row],[Part Time 
Job]])</f>
        <v>True</v>
      </c>
      <c r="H975" s="3">
        <v>9</v>
      </c>
      <c r="I975" t="str">
        <f ca="1">PROPER(Table1[[#This Row],[Extracurricular 
Activities]])</f>
        <v>True</v>
      </c>
      <c r="J975">
        <v>4</v>
      </c>
      <c r="K975" t="s">
        <v>3119</v>
      </c>
      <c r="L975">
        <v>67</v>
      </c>
      <c r="M975" s="12" t="str" cm="1">
        <f t="array" ref="M975">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975">
        <v>56</v>
      </c>
      <c r="O975" s="13" t="str" cm="1">
        <f t="array" ref="O97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C</v>
      </c>
      <c r="P975">
        <v>77</v>
      </c>
      <c r="Q975" s="13" t="str" cm="1">
        <f t="array" ref="Q97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975">
        <v>93</v>
      </c>
      <c r="S975" t="str" cm="1">
        <f t="array" ref="S97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975">
        <v>95</v>
      </c>
      <c r="U975" t="str" cm="1">
        <f t="array" ref="U97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975">
        <v>50</v>
      </c>
      <c r="W975" t="str" cm="1">
        <f t="array" ref="W97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C</v>
      </c>
      <c r="X975">
        <v>74</v>
      </c>
      <c r="Y975" t="str" cm="1">
        <f t="array" ref="Y97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975">
        <f>SUM(Table1[[#This Row],[Math 
Score]],Table1[[#This Row],[History 
Score]],Table1[[#This Row],[Physics 
Score]],Table1[[#This Row],[Chemistry 
Score]],Table1[[#This Row],[Biology 
Score]],Table1[[#This Row],[English 
Score]],Table1[[#This Row],[Geography 
Score]])</f>
        <v>512</v>
      </c>
      <c r="AA975" s="3">
        <f>AVERAGE(Table1[[#This Row],[Math 
Score]],Table1[[#This Row],[History 
Score]],Table1[[#This Row],[Physics 
Score]],Table1[[#This Row],[Chemistry 
Score]],Table1[[#This Row],[Biology 
Score]],Table1[[#This Row],[English 
Score]],Table1[[#This Row],[Geography 
Score]])</f>
        <v>73.142857142857139</v>
      </c>
      <c r="AB97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975">
        <f t="shared" si="15"/>
        <v>1815</v>
      </c>
      <c r="AD975" t="str">
        <f>_xlfn.IFS(Table1[[#This Row],[Absence 
Days]]&lt;3,"Excellent",Table1[[#This Row],[Absence 
Days]]&lt;=6,"Good",Table1[[#This Row],[Absence 
Days]]&gt;6,"Poor")</f>
        <v>Poor</v>
      </c>
    </row>
    <row r="976" spans="1:30" x14ac:dyDescent="0.35">
      <c r="A976">
        <v>975</v>
      </c>
      <c r="B976" s="2" t="s">
        <v>51</v>
      </c>
      <c r="C976" t="s">
        <v>769</v>
      </c>
      <c r="D976" t="str">
        <f>_xlfn.TEXTJOIN(" ",TRUE,Table1[[#This Row],[First 
Name]:[Last 
Name]])</f>
        <v>Melissa Gonzales</v>
      </c>
      <c r="E976" t="s">
        <v>2086</v>
      </c>
      <c r="F976" t="s">
        <v>3245</v>
      </c>
      <c r="G976" t="str">
        <f ca="1">PROPER(Table1[[#This Row],[Part Time 
Job]])</f>
        <v>True</v>
      </c>
      <c r="H976" s="3">
        <v>2</v>
      </c>
      <c r="I976" t="str">
        <f ca="1">PROPER(Table1[[#This Row],[Extracurricular 
Activities]])</f>
        <v>False</v>
      </c>
      <c r="J976">
        <v>0</v>
      </c>
      <c r="K976" t="s">
        <v>3115</v>
      </c>
      <c r="L976">
        <v>100</v>
      </c>
      <c r="M976" s="12" t="str" cm="1">
        <f t="array" ref="M97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976">
        <v>95</v>
      </c>
      <c r="O976" s="13" t="str" cm="1">
        <f t="array" ref="O97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976">
        <v>60</v>
      </c>
      <c r="Q976" s="13" t="str" cm="1">
        <f t="array" ref="Q97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976">
        <v>89</v>
      </c>
      <c r="S976" t="str" cm="1">
        <f t="array" ref="S97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976">
        <v>77</v>
      </c>
      <c r="U976" t="str" cm="1">
        <f t="array" ref="U97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976">
        <v>89</v>
      </c>
      <c r="W976" t="str" cm="1">
        <f t="array" ref="W97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976">
        <v>67</v>
      </c>
      <c r="Y976" t="str" cm="1">
        <f t="array" ref="Y97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976">
        <f>SUM(Table1[[#This Row],[Math 
Score]],Table1[[#This Row],[History 
Score]],Table1[[#This Row],[Physics 
Score]],Table1[[#This Row],[Chemistry 
Score]],Table1[[#This Row],[Biology 
Score]],Table1[[#This Row],[English 
Score]],Table1[[#This Row],[Geography 
Score]])</f>
        <v>577</v>
      </c>
      <c r="AA976" s="3">
        <f>AVERAGE(Table1[[#This Row],[Math 
Score]],Table1[[#This Row],[History 
Score]],Table1[[#This Row],[Physics 
Score]],Table1[[#This Row],[Chemistry 
Score]],Table1[[#This Row],[Biology 
Score]],Table1[[#This Row],[English 
Score]],Table1[[#This Row],[Geography 
Score]])</f>
        <v>82.428571428571431</v>
      </c>
      <c r="AB97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976">
        <f t="shared" si="15"/>
        <v>769</v>
      </c>
      <c r="AD976" t="str">
        <f>_xlfn.IFS(Table1[[#This Row],[Absence 
Days]]&lt;3,"Excellent",Table1[[#This Row],[Absence 
Days]]&lt;=6,"Good",Table1[[#This Row],[Absence 
Days]]&gt;6,"Poor")</f>
        <v>Excellent</v>
      </c>
    </row>
    <row r="977" spans="1:30" x14ac:dyDescent="0.35">
      <c r="A977">
        <v>976</v>
      </c>
      <c r="B977" s="2" t="s">
        <v>184</v>
      </c>
      <c r="C977" t="s">
        <v>479</v>
      </c>
      <c r="D977" t="str">
        <f>_xlfn.TEXTJOIN(" ",TRUE,Table1[[#This Row],[First 
Name]:[Last 
Name]])</f>
        <v>Erik Miller</v>
      </c>
      <c r="E977" t="s">
        <v>2087</v>
      </c>
      <c r="F977" t="s">
        <v>3244</v>
      </c>
      <c r="G977" t="str">
        <f ca="1">PROPER(Table1[[#This Row],[Part Time 
Job]])</f>
        <v>False</v>
      </c>
      <c r="H977" s="3">
        <v>3</v>
      </c>
      <c r="I977" t="str">
        <f ca="1">PROPER(Table1[[#This Row],[Extracurricular 
Activities]])</f>
        <v>False</v>
      </c>
      <c r="J977">
        <v>17</v>
      </c>
      <c r="K977" t="s">
        <v>3117</v>
      </c>
      <c r="L977">
        <v>88</v>
      </c>
      <c r="M977" s="12" t="str" cm="1">
        <f t="array" ref="M97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977">
        <v>74</v>
      </c>
      <c r="O977" s="13" t="str" cm="1">
        <f t="array" ref="O97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977">
        <v>60</v>
      </c>
      <c r="Q977" s="13" t="str" cm="1">
        <f t="array" ref="Q97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977">
        <v>60</v>
      </c>
      <c r="S977" t="str" cm="1">
        <f t="array" ref="S97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977">
        <v>78</v>
      </c>
      <c r="U977" t="str" cm="1">
        <f t="array" ref="U97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977">
        <v>94</v>
      </c>
      <c r="W977" t="str" cm="1">
        <f t="array" ref="W97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977">
        <v>69</v>
      </c>
      <c r="Y977" t="str" cm="1">
        <f t="array" ref="Y97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977">
        <f>SUM(Table1[[#This Row],[Math 
Score]],Table1[[#This Row],[History 
Score]],Table1[[#This Row],[Physics 
Score]],Table1[[#This Row],[Chemistry 
Score]],Table1[[#This Row],[Biology 
Score]],Table1[[#This Row],[English 
Score]],Table1[[#This Row],[Geography 
Score]])</f>
        <v>523</v>
      </c>
      <c r="AA977" s="3">
        <f>AVERAGE(Table1[[#This Row],[Math 
Score]],Table1[[#This Row],[History 
Score]],Table1[[#This Row],[Physics 
Score]],Table1[[#This Row],[Chemistry 
Score]],Table1[[#This Row],[Biology 
Score]],Table1[[#This Row],[English 
Score]],Table1[[#This Row],[Geography 
Score]])</f>
        <v>74.714285714285708</v>
      </c>
      <c r="AB97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977">
        <f t="shared" si="15"/>
        <v>1727</v>
      </c>
      <c r="AD977" t="str">
        <f>_xlfn.IFS(Table1[[#This Row],[Absence 
Days]]&lt;3,"Excellent",Table1[[#This Row],[Absence 
Days]]&lt;=6,"Good",Table1[[#This Row],[Absence 
Days]]&gt;6,"Poor")</f>
        <v>Good</v>
      </c>
    </row>
    <row r="978" spans="1:30" x14ac:dyDescent="0.35">
      <c r="A978">
        <v>977</v>
      </c>
      <c r="B978" s="2" t="s">
        <v>12</v>
      </c>
      <c r="C978" t="s">
        <v>645</v>
      </c>
      <c r="D978" t="str">
        <f>_xlfn.TEXTJOIN(" ",TRUE,Table1[[#This Row],[First 
Name]:[Last 
Name]])</f>
        <v>Pamela Flores</v>
      </c>
      <c r="E978" t="s">
        <v>2088</v>
      </c>
      <c r="F978" t="s">
        <v>3245</v>
      </c>
      <c r="G978" t="str">
        <f ca="1">PROPER(Table1[[#This Row],[Part Time 
Job]])</f>
        <v>False</v>
      </c>
      <c r="H978" s="3">
        <v>1</v>
      </c>
      <c r="I978" t="str">
        <f ca="1">PROPER(Table1[[#This Row],[Extracurricular 
Activities]])</f>
        <v>True</v>
      </c>
      <c r="J978">
        <v>20</v>
      </c>
      <c r="K978" t="s">
        <v>3117</v>
      </c>
      <c r="L978">
        <v>86</v>
      </c>
      <c r="M978" s="12" t="str" cm="1">
        <f t="array" ref="M97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978">
        <v>64</v>
      </c>
      <c r="O978" s="13" t="str" cm="1">
        <f t="array" ref="O97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978">
        <v>100</v>
      </c>
      <c r="Q978" s="13" t="str" cm="1">
        <f t="array" ref="Q97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978">
        <v>76</v>
      </c>
      <c r="S978" t="str" cm="1">
        <f t="array" ref="S97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978">
        <v>99</v>
      </c>
      <c r="U978" t="str" cm="1">
        <f t="array" ref="U97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978">
        <v>77</v>
      </c>
      <c r="W978" t="str" cm="1">
        <f t="array" ref="W97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978">
        <v>86</v>
      </c>
      <c r="Y978" t="str" cm="1">
        <f t="array" ref="Y97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978">
        <f>SUM(Table1[[#This Row],[Math 
Score]],Table1[[#This Row],[History 
Score]],Table1[[#This Row],[Physics 
Score]],Table1[[#This Row],[Chemistry 
Score]],Table1[[#This Row],[Biology 
Score]],Table1[[#This Row],[English 
Score]],Table1[[#This Row],[Geography 
Score]])</f>
        <v>588</v>
      </c>
      <c r="AA978" s="3">
        <f>AVERAGE(Table1[[#This Row],[Math 
Score]],Table1[[#This Row],[History 
Score]],Table1[[#This Row],[Physics 
Score]],Table1[[#This Row],[Chemistry 
Score]],Table1[[#This Row],[Biology 
Score]],Table1[[#This Row],[English 
Score]],Table1[[#This Row],[Geography 
Score]])</f>
        <v>84</v>
      </c>
      <c r="AB97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978">
        <f t="shared" si="15"/>
        <v>565</v>
      </c>
      <c r="AD978" t="str">
        <f>_xlfn.IFS(Table1[[#This Row],[Absence 
Days]]&lt;3,"Excellent",Table1[[#This Row],[Absence 
Days]]&lt;=6,"Good",Table1[[#This Row],[Absence 
Days]]&gt;6,"Poor")</f>
        <v>Excellent</v>
      </c>
    </row>
    <row r="979" spans="1:30" x14ac:dyDescent="0.35">
      <c r="A979">
        <v>978</v>
      </c>
      <c r="B979" s="2" t="s">
        <v>99</v>
      </c>
      <c r="C979" t="s">
        <v>593</v>
      </c>
      <c r="D979" t="str">
        <f>_xlfn.TEXTJOIN(" ",TRUE,Table1[[#This Row],[First 
Name]:[Last 
Name]])</f>
        <v>Amanda Hernandez</v>
      </c>
      <c r="E979" t="s">
        <v>2089</v>
      </c>
      <c r="F979" t="s">
        <v>3245</v>
      </c>
      <c r="G979" t="str">
        <f ca="1">PROPER(Table1[[#This Row],[Part Time 
Job]])</f>
        <v>False</v>
      </c>
      <c r="H979" s="3">
        <v>2</v>
      </c>
      <c r="I979" t="str">
        <f ca="1">PROPER(Table1[[#This Row],[Extracurricular 
Activities]])</f>
        <v>False</v>
      </c>
      <c r="J979">
        <v>35</v>
      </c>
      <c r="K979" t="s">
        <v>3120</v>
      </c>
      <c r="L979">
        <v>85</v>
      </c>
      <c r="M979" s="12" t="str" cm="1">
        <f t="array" ref="M97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979">
        <v>87</v>
      </c>
      <c r="O979" s="13" t="str" cm="1">
        <f t="array" ref="O97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979">
        <v>90</v>
      </c>
      <c r="Q979" s="13" t="str" cm="1">
        <f t="array" ref="Q97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979">
        <v>88</v>
      </c>
      <c r="S979" t="str" cm="1">
        <f t="array" ref="S97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979">
        <v>87</v>
      </c>
      <c r="U979" t="str" cm="1">
        <f t="array" ref="U97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979">
        <v>97</v>
      </c>
      <c r="W979" t="str" cm="1">
        <f t="array" ref="W97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979">
        <v>100</v>
      </c>
      <c r="Y979" t="str" cm="1">
        <f t="array" ref="Y97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979">
        <f>SUM(Table1[[#This Row],[Math 
Score]],Table1[[#This Row],[History 
Score]],Table1[[#This Row],[Physics 
Score]],Table1[[#This Row],[Chemistry 
Score]],Table1[[#This Row],[Biology 
Score]],Table1[[#This Row],[English 
Score]],Table1[[#This Row],[Geography 
Score]])</f>
        <v>634</v>
      </c>
      <c r="AA979" s="3">
        <f>AVERAGE(Table1[[#This Row],[Math 
Score]],Table1[[#This Row],[History 
Score]],Table1[[#This Row],[Physics 
Score]],Table1[[#This Row],[Chemistry 
Score]],Table1[[#This Row],[Biology 
Score]],Table1[[#This Row],[English 
Score]],Table1[[#This Row],[Geography 
Score]])</f>
        <v>90.571428571428569</v>
      </c>
      <c r="AB97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979">
        <f t="shared" si="15"/>
        <v>131</v>
      </c>
      <c r="AD979" t="str">
        <f>_xlfn.IFS(Table1[[#This Row],[Absence 
Days]]&lt;3,"Excellent",Table1[[#This Row],[Absence 
Days]]&lt;=6,"Good",Table1[[#This Row],[Absence 
Days]]&gt;6,"Poor")</f>
        <v>Excellent</v>
      </c>
    </row>
    <row r="980" spans="1:30" x14ac:dyDescent="0.35">
      <c r="A980">
        <v>979</v>
      </c>
      <c r="B980" s="2" t="s">
        <v>257</v>
      </c>
      <c r="C980" t="s">
        <v>772</v>
      </c>
      <c r="D980" t="str">
        <f>_xlfn.TEXTJOIN(" ",TRUE,Table1[[#This Row],[First 
Name]:[Last 
Name]])</f>
        <v>Gregory Schaefer</v>
      </c>
      <c r="E980" t="s">
        <v>2090</v>
      </c>
      <c r="F980" t="s">
        <v>3244</v>
      </c>
      <c r="G980" t="str">
        <f ca="1">PROPER(Table1[[#This Row],[Part Time 
Job]])</f>
        <v>False</v>
      </c>
      <c r="H980" s="3">
        <v>2</v>
      </c>
      <c r="I980" t="str">
        <f ca="1">PROPER(Table1[[#This Row],[Extracurricular 
Activities]])</f>
        <v>False</v>
      </c>
      <c r="J980">
        <v>26</v>
      </c>
      <c r="K980" t="s">
        <v>3117</v>
      </c>
      <c r="L980">
        <v>93</v>
      </c>
      <c r="M980" s="12" t="str" cm="1">
        <f t="array" ref="M98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980">
        <v>95</v>
      </c>
      <c r="O980" s="13" t="str" cm="1">
        <f t="array" ref="O98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980">
        <v>80</v>
      </c>
      <c r="Q980" s="13" t="str" cm="1">
        <f t="array" ref="Q98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980">
        <v>88</v>
      </c>
      <c r="S980" t="str" cm="1">
        <f t="array" ref="S98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980">
        <v>83</v>
      </c>
      <c r="U980" t="str" cm="1">
        <f t="array" ref="U98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980">
        <v>62</v>
      </c>
      <c r="W980" t="str" cm="1">
        <f t="array" ref="W98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980">
        <v>65</v>
      </c>
      <c r="Y980" t="str" cm="1">
        <f t="array" ref="Y98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980">
        <f>SUM(Table1[[#This Row],[Math 
Score]],Table1[[#This Row],[History 
Score]],Table1[[#This Row],[Physics 
Score]],Table1[[#This Row],[Chemistry 
Score]],Table1[[#This Row],[Biology 
Score]],Table1[[#This Row],[English 
Score]],Table1[[#This Row],[Geography 
Score]])</f>
        <v>566</v>
      </c>
      <c r="AA980" s="3">
        <f>AVERAGE(Table1[[#This Row],[Math 
Score]],Table1[[#This Row],[History 
Score]],Table1[[#This Row],[Physics 
Score]],Table1[[#This Row],[Chemistry 
Score]],Table1[[#This Row],[Biology 
Score]],Table1[[#This Row],[English 
Score]],Table1[[#This Row],[Geography 
Score]])</f>
        <v>80.857142857142861</v>
      </c>
      <c r="AB98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980">
        <f t="shared" si="15"/>
        <v>1019</v>
      </c>
      <c r="AD980" t="str">
        <f>_xlfn.IFS(Table1[[#This Row],[Absence 
Days]]&lt;3,"Excellent",Table1[[#This Row],[Absence 
Days]]&lt;=6,"Good",Table1[[#This Row],[Absence 
Days]]&gt;6,"Poor")</f>
        <v>Excellent</v>
      </c>
    </row>
    <row r="981" spans="1:30" x14ac:dyDescent="0.35">
      <c r="A981">
        <v>980</v>
      </c>
      <c r="B981" s="2" t="s">
        <v>304</v>
      </c>
      <c r="C981" t="s">
        <v>128</v>
      </c>
      <c r="D981" t="str">
        <f>_xlfn.TEXTJOIN(" ",TRUE,Table1[[#This Row],[First 
Name]:[Last 
Name]])</f>
        <v>Annette Logan</v>
      </c>
      <c r="E981" t="s">
        <v>2091</v>
      </c>
      <c r="F981" t="s">
        <v>3245</v>
      </c>
      <c r="G981" t="str">
        <f ca="1">PROPER(Table1[[#This Row],[Part Time 
Job]])</f>
        <v>False</v>
      </c>
      <c r="H981" s="3">
        <v>3</v>
      </c>
      <c r="I981" t="str">
        <f ca="1">PROPER(Table1[[#This Row],[Extracurricular 
Activities]])</f>
        <v>True</v>
      </c>
      <c r="J981">
        <v>24</v>
      </c>
      <c r="K981" t="s">
        <v>3116</v>
      </c>
      <c r="L981">
        <v>80</v>
      </c>
      <c r="M981" s="12" t="str" cm="1">
        <f t="array" ref="M98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981">
        <v>66</v>
      </c>
      <c r="O981" s="13" t="str" cm="1">
        <f t="array" ref="O98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981">
        <v>77</v>
      </c>
      <c r="Q981" s="13" t="str" cm="1">
        <f t="array" ref="Q98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981">
        <v>81</v>
      </c>
      <c r="S981" t="str" cm="1">
        <f t="array" ref="S98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981">
        <v>99</v>
      </c>
      <c r="U981" t="str" cm="1">
        <f t="array" ref="U98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981">
        <v>99</v>
      </c>
      <c r="W981" t="str" cm="1">
        <f t="array" ref="W98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981">
        <v>83</v>
      </c>
      <c r="Y981" t="str" cm="1">
        <f t="array" ref="Y98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981">
        <f>SUM(Table1[[#This Row],[Math 
Score]],Table1[[#This Row],[History 
Score]],Table1[[#This Row],[Physics 
Score]],Table1[[#This Row],[Chemistry 
Score]],Table1[[#This Row],[Biology 
Score]],Table1[[#This Row],[English 
Score]],Table1[[#This Row],[Geography 
Score]])</f>
        <v>585</v>
      </c>
      <c r="AA981" s="3">
        <f>AVERAGE(Table1[[#This Row],[Math 
Score]],Table1[[#This Row],[History 
Score]],Table1[[#This Row],[Physics 
Score]],Table1[[#This Row],[Chemistry 
Score]],Table1[[#This Row],[Biology 
Score]],Table1[[#This Row],[English 
Score]],Table1[[#This Row],[Geography 
Score]])</f>
        <v>83.571428571428569</v>
      </c>
      <c r="AB98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981">
        <f t="shared" si="15"/>
        <v>615</v>
      </c>
      <c r="AD981" t="str">
        <f>_xlfn.IFS(Table1[[#This Row],[Absence 
Days]]&lt;3,"Excellent",Table1[[#This Row],[Absence 
Days]]&lt;=6,"Good",Table1[[#This Row],[Absence 
Days]]&gt;6,"Poor")</f>
        <v>Good</v>
      </c>
    </row>
    <row r="982" spans="1:30" x14ac:dyDescent="0.35">
      <c r="A982">
        <v>981</v>
      </c>
      <c r="B982" s="2" t="s">
        <v>249</v>
      </c>
      <c r="C982" t="s">
        <v>826</v>
      </c>
      <c r="D982" t="str">
        <f>_xlfn.TEXTJOIN(" ",TRUE,Table1[[#This Row],[First 
Name]:[Last 
Name]])</f>
        <v>Tamara Long</v>
      </c>
      <c r="E982" t="s">
        <v>2092</v>
      </c>
      <c r="F982" t="s">
        <v>3245</v>
      </c>
      <c r="G982" t="str">
        <f ca="1">PROPER(Table1[[#This Row],[Part Time 
Job]])</f>
        <v>True</v>
      </c>
      <c r="H982" s="3">
        <v>6</v>
      </c>
      <c r="I982" t="str">
        <f ca="1">PROPER(Table1[[#This Row],[Extracurricular 
Activities]])</f>
        <v>False</v>
      </c>
      <c r="J982">
        <v>0</v>
      </c>
      <c r="K982" t="s">
        <v>3119</v>
      </c>
      <c r="L982">
        <v>56</v>
      </c>
      <c r="M982" s="12" t="str" cm="1">
        <f t="array" ref="M982">_xlfn.IFS(Table1[[#This Row],[Math 
Score]]&gt;=90,"A+",Table1[[#This Row],[Math 
Score]]&gt;=80,"A", Table1[[#This Row],[Math 
Score]]&gt;=75,"A-",Table1[[#This Row],[Math 
Score]]&gt;=70,"B+",Table1[[#This Row],[Math 
Score]]&gt;=65,"B",Table1[[#This Row],[Math 
Score]]&gt;=60,"B-",Table1[[#This Row],[Math 
Score]]&gt;=50,"C",Table1[[#This Row],[Math 
Score]]&gt;=40,"D",Table1[[#This Row],[Math 
Score]]&lt;40,"F")</f>
        <v>C</v>
      </c>
      <c r="N982">
        <v>67</v>
      </c>
      <c r="O982" s="13" t="str" cm="1">
        <f t="array" ref="O98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982">
        <v>57</v>
      </c>
      <c r="Q982" s="13" t="str" cm="1">
        <f t="array" ref="Q98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C</v>
      </c>
      <c r="R982">
        <v>79</v>
      </c>
      <c r="S982" t="str" cm="1">
        <f t="array" ref="S98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982">
        <v>87</v>
      </c>
      <c r="U982" t="str" cm="1">
        <f t="array" ref="U98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982">
        <v>89</v>
      </c>
      <c r="W982" t="str" cm="1">
        <f t="array" ref="W98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982">
        <v>89</v>
      </c>
      <c r="Y982" t="str" cm="1">
        <f t="array" ref="Y98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982">
        <f>SUM(Table1[[#This Row],[Math 
Score]],Table1[[#This Row],[History 
Score]],Table1[[#This Row],[Physics 
Score]],Table1[[#This Row],[Chemistry 
Score]],Table1[[#This Row],[Biology 
Score]],Table1[[#This Row],[English 
Score]],Table1[[#This Row],[Geography 
Score]])</f>
        <v>524</v>
      </c>
      <c r="AA982" s="3">
        <f>AVERAGE(Table1[[#This Row],[Math 
Score]],Table1[[#This Row],[History 
Score]],Table1[[#This Row],[Physics 
Score]],Table1[[#This Row],[Chemistry 
Score]],Table1[[#This Row],[Biology 
Score]],Table1[[#This Row],[English 
Score]],Table1[[#This Row],[Geography 
Score]])</f>
        <v>74.857142857142861</v>
      </c>
      <c r="AB98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982">
        <f t="shared" si="15"/>
        <v>1715</v>
      </c>
      <c r="AD982" t="str">
        <f>_xlfn.IFS(Table1[[#This Row],[Absence 
Days]]&lt;3,"Excellent",Table1[[#This Row],[Absence 
Days]]&lt;=6,"Good",Table1[[#This Row],[Absence 
Days]]&gt;6,"Poor")</f>
        <v>Good</v>
      </c>
    </row>
    <row r="983" spans="1:30" x14ac:dyDescent="0.35">
      <c r="A983">
        <v>982</v>
      </c>
      <c r="B983" s="2" t="s">
        <v>124</v>
      </c>
      <c r="C983" t="s">
        <v>708</v>
      </c>
      <c r="D983" t="str">
        <f>_xlfn.TEXTJOIN(" ",TRUE,Table1[[#This Row],[First 
Name]:[Last 
Name]])</f>
        <v>John Baker</v>
      </c>
      <c r="E983" t="s">
        <v>2093</v>
      </c>
      <c r="F983" t="s">
        <v>3244</v>
      </c>
      <c r="G983" t="str">
        <f ca="1">PROPER(Table1[[#This Row],[Part Time 
Job]])</f>
        <v>False</v>
      </c>
      <c r="H983" s="3">
        <v>7</v>
      </c>
      <c r="I983" t="str">
        <f ca="1">PROPER(Table1[[#This Row],[Extracurricular 
Activities]])</f>
        <v>False</v>
      </c>
      <c r="J983">
        <v>32</v>
      </c>
      <c r="K983" t="s">
        <v>3125</v>
      </c>
      <c r="L983">
        <v>87</v>
      </c>
      <c r="M983" s="12" t="str" cm="1">
        <f t="array" ref="M98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983">
        <v>62</v>
      </c>
      <c r="O983" s="13" t="str" cm="1">
        <f t="array" ref="O98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983">
        <v>84</v>
      </c>
      <c r="Q983" s="13" t="str" cm="1">
        <f t="array" ref="Q98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983">
        <v>96</v>
      </c>
      <c r="S983" t="str" cm="1">
        <f t="array" ref="S98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983">
        <v>69</v>
      </c>
      <c r="U983" t="str" cm="1">
        <f t="array" ref="U98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983">
        <v>98</v>
      </c>
      <c r="W983" t="str" cm="1">
        <f t="array" ref="W98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983">
        <v>64</v>
      </c>
      <c r="Y983" t="str" cm="1">
        <f t="array" ref="Y98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983">
        <f>SUM(Table1[[#This Row],[Math 
Score]],Table1[[#This Row],[History 
Score]],Table1[[#This Row],[Physics 
Score]],Table1[[#This Row],[Chemistry 
Score]],Table1[[#This Row],[Biology 
Score]],Table1[[#This Row],[English 
Score]],Table1[[#This Row],[Geography 
Score]])</f>
        <v>560</v>
      </c>
      <c r="AA983" s="3">
        <f>AVERAGE(Table1[[#This Row],[Math 
Score]],Table1[[#This Row],[History 
Score]],Table1[[#This Row],[Physics 
Score]],Table1[[#This Row],[Chemistry 
Score]],Table1[[#This Row],[Biology 
Score]],Table1[[#This Row],[English 
Score]],Table1[[#This Row],[Geography 
Score]])</f>
        <v>80</v>
      </c>
      <c r="AB98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983">
        <f t="shared" si="15"/>
        <v>1134</v>
      </c>
      <c r="AD983" t="str">
        <f>_xlfn.IFS(Table1[[#This Row],[Absence 
Days]]&lt;3,"Excellent",Table1[[#This Row],[Absence 
Days]]&lt;=6,"Good",Table1[[#This Row],[Absence 
Days]]&gt;6,"Poor")</f>
        <v>Poor</v>
      </c>
    </row>
    <row r="984" spans="1:30" x14ac:dyDescent="0.35">
      <c r="A984">
        <v>983</v>
      </c>
      <c r="B984" s="2" t="s">
        <v>262</v>
      </c>
      <c r="C984" t="s">
        <v>786</v>
      </c>
      <c r="D984" t="str">
        <f>_xlfn.TEXTJOIN(" ",TRUE,Table1[[#This Row],[First 
Name]:[Last 
Name]])</f>
        <v>Justin Lynch</v>
      </c>
      <c r="E984" t="s">
        <v>2094</v>
      </c>
      <c r="F984" t="s">
        <v>3244</v>
      </c>
      <c r="G984" t="str">
        <f ca="1">PROPER(Table1[[#This Row],[Part Time 
Job]])</f>
        <v>False</v>
      </c>
      <c r="H984" s="3">
        <v>4</v>
      </c>
      <c r="I984" t="str">
        <f ca="1">PROPER(Table1[[#This Row],[Extracurricular 
Activities]])</f>
        <v>True</v>
      </c>
      <c r="J984">
        <v>4</v>
      </c>
      <c r="K984" t="s">
        <v>3128</v>
      </c>
      <c r="L984">
        <v>97</v>
      </c>
      <c r="M984" s="12" t="str" cm="1">
        <f t="array" ref="M98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984">
        <v>85</v>
      </c>
      <c r="O984" s="13" t="str" cm="1">
        <f t="array" ref="O98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984">
        <v>96</v>
      </c>
      <c r="Q984" s="13" t="str" cm="1">
        <f t="array" ref="Q98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984">
        <v>61</v>
      </c>
      <c r="S984" t="str" cm="1">
        <f t="array" ref="S98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984">
        <v>97</v>
      </c>
      <c r="U984" t="str" cm="1">
        <f t="array" ref="U98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984">
        <v>79</v>
      </c>
      <c r="W984" t="str" cm="1">
        <f t="array" ref="W98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984">
        <v>70</v>
      </c>
      <c r="Y984" t="str" cm="1">
        <f t="array" ref="Y98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984">
        <f>SUM(Table1[[#This Row],[Math 
Score]],Table1[[#This Row],[History 
Score]],Table1[[#This Row],[Physics 
Score]],Table1[[#This Row],[Chemistry 
Score]],Table1[[#This Row],[Biology 
Score]],Table1[[#This Row],[English 
Score]],Table1[[#This Row],[Geography 
Score]])</f>
        <v>585</v>
      </c>
      <c r="AA984" s="3">
        <f>AVERAGE(Table1[[#This Row],[Math 
Score]],Table1[[#This Row],[History 
Score]],Table1[[#This Row],[Physics 
Score]],Table1[[#This Row],[Chemistry 
Score]],Table1[[#This Row],[Biology 
Score]],Table1[[#This Row],[English 
Score]],Table1[[#This Row],[Geography 
Score]])</f>
        <v>83.571428571428569</v>
      </c>
      <c r="AB98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984">
        <f t="shared" si="15"/>
        <v>615</v>
      </c>
      <c r="AD984" t="str">
        <f>_xlfn.IFS(Table1[[#This Row],[Absence 
Days]]&lt;3,"Excellent",Table1[[#This Row],[Absence 
Days]]&lt;=6,"Good",Table1[[#This Row],[Absence 
Days]]&gt;6,"Poor")</f>
        <v>Good</v>
      </c>
    </row>
    <row r="985" spans="1:30" x14ac:dyDescent="0.35">
      <c r="A985">
        <v>984</v>
      </c>
      <c r="B985" s="2" t="s">
        <v>231</v>
      </c>
      <c r="C985" t="s">
        <v>736</v>
      </c>
      <c r="D985" t="str">
        <f>_xlfn.TEXTJOIN(" ",TRUE,Table1[[#This Row],[First 
Name]:[Last 
Name]])</f>
        <v>Daniel Knight</v>
      </c>
      <c r="E985" t="s">
        <v>2095</v>
      </c>
      <c r="F985" t="s">
        <v>3244</v>
      </c>
      <c r="G985" t="str">
        <f ca="1">PROPER(Table1[[#This Row],[Part Time 
Job]])</f>
        <v>False</v>
      </c>
      <c r="H985" s="3">
        <v>3</v>
      </c>
      <c r="I985" t="str">
        <f ca="1">PROPER(Table1[[#This Row],[Extracurricular 
Activities]])</f>
        <v>False</v>
      </c>
      <c r="J985">
        <v>34</v>
      </c>
      <c r="K985" t="s">
        <v>3120</v>
      </c>
      <c r="L985">
        <v>86</v>
      </c>
      <c r="M985" s="12" t="str" cm="1">
        <f t="array" ref="M98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985">
        <v>67</v>
      </c>
      <c r="O985" s="13" t="str" cm="1">
        <f t="array" ref="O98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985">
        <v>98</v>
      </c>
      <c r="Q985" s="13" t="str" cm="1">
        <f t="array" ref="Q98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985">
        <v>86</v>
      </c>
      <c r="S985" t="str" cm="1">
        <f t="array" ref="S98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985">
        <v>86</v>
      </c>
      <c r="U985" t="str" cm="1">
        <f t="array" ref="U98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985">
        <v>83</v>
      </c>
      <c r="W985" t="str" cm="1">
        <f t="array" ref="W98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985">
        <v>89</v>
      </c>
      <c r="Y985" t="str" cm="1">
        <f t="array" ref="Y98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985">
        <f>SUM(Table1[[#This Row],[Math 
Score]],Table1[[#This Row],[History 
Score]],Table1[[#This Row],[Physics 
Score]],Table1[[#This Row],[Chemistry 
Score]],Table1[[#This Row],[Biology 
Score]],Table1[[#This Row],[English 
Score]],Table1[[#This Row],[Geography 
Score]])</f>
        <v>595</v>
      </c>
      <c r="AA985" s="3">
        <f>AVERAGE(Table1[[#This Row],[Math 
Score]],Table1[[#This Row],[History 
Score]],Table1[[#This Row],[Physics 
Score]],Table1[[#This Row],[Chemistry 
Score]],Table1[[#This Row],[Biology 
Score]],Table1[[#This Row],[English 
Score]],Table1[[#This Row],[Geography 
Score]])</f>
        <v>85</v>
      </c>
      <c r="AB98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985">
        <f t="shared" si="15"/>
        <v>465</v>
      </c>
      <c r="AD985" t="str">
        <f>_xlfn.IFS(Table1[[#This Row],[Absence 
Days]]&lt;3,"Excellent",Table1[[#This Row],[Absence 
Days]]&lt;=6,"Good",Table1[[#This Row],[Absence 
Days]]&gt;6,"Poor")</f>
        <v>Good</v>
      </c>
    </row>
    <row r="986" spans="1:30" x14ac:dyDescent="0.35">
      <c r="A986">
        <v>985</v>
      </c>
      <c r="B986" s="2" t="s">
        <v>135</v>
      </c>
      <c r="C986" t="s">
        <v>532</v>
      </c>
      <c r="D986" t="str">
        <f>_xlfn.TEXTJOIN(" ",TRUE,Table1[[#This Row],[First 
Name]:[Last 
Name]])</f>
        <v>Angelica Jones</v>
      </c>
      <c r="E986" t="s">
        <v>2096</v>
      </c>
      <c r="F986" t="s">
        <v>3245</v>
      </c>
      <c r="G986" t="str">
        <f ca="1">PROPER(Table1[[#This Row],[Part Time 
Job]])</f>
        <v>True</v>
      </c>
      <c r="H986" s="3">
        <v>3</v>
      </c>
      <c r="I986" t="str">
        <f ca="1">PROPER(Table1[[#This Row],[Extracurricular 
Activities]])</f>
        <v>False</v>
      </c>
      <c r="J986">
        <v>29</v>
      </c>
      <c r="K986" t="s">
        <v>3117</v>
      </c>
      <c r="L986">
        <v>97</v>
      </c>
      <c r="M986" s="12" t="str" cm="1">
        <f t="array" ref="M98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986">
        <v>85</v>
      </c>
      <c r="O986" s="13" t="str" cm="1">
        <f t="array" ref="O98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986">
        <v>81</v>
      </c>
      <c r="Q986" s="13" t="str" cm="1">
        <f t="array" ref="Q98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986">
        <v>71</v>
      </c>
      <c r="S986" t="str" cm="1">
        <f t="array" ref="S98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986">
        <v>62</v>
      </c>
      <c r="U986" t="str" cm="1">
        <f t="array" ref="U98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986">
        <v>62</v>
      </c>
      <c r="W986" t="str" cm="1">
        <f t="array" ref="W98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986">
        <v>82</v>
      </c>
      <c r="Y986" t="str" cm="1">
        <f t="array" ref="Y98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986">
        <f>SUM(Table1[[#This Row],[Math 
Score]],Table1[[#This Row],[History 
Score]],Table1[[#This Row],[Physics 
Score]],Table1[[#This Row],[Chemistry 
Score]],Table1[[#This Row],[Biology 
Score]],Table1[[#This Row],[English 
Score]],Table1[[#This Row],[Geography 
Score]])</f>
        <v>540</v>
      </c>
      <c r="AA986" s="3">
        <f>AVERAGE(Table1[[#This Row],[Math 
Score]],Table1[[#This Row],[History 
Score]],Table1[[#This Row],[Physics 
Score]],Table1[[#This Row],[Chemistry 
Score]],Table1[[#This Row],[Biology 
Score]],Table1[[#This Row],[English 
Score]],Table1[[#This Row],[Geography 
Score]])</f>
        <v>77.142857142857139</v>
      </c>
      <c r="AB98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986">
        <f t="shared" si="15"/>
        <v>1513</v>
      </c>
      <c r="AD986" t="str">
        <f>_xlfn.IFS(Table1[[#This Row],[Absence 
Days]]&lt;3,"Excellent",Table1[[#This Row],[Absence 
Days]]&lt;=6,"Good",Table1[[#This Row],[Absence 
Days]]&gt;6,"Poor")</f>
        <v>Good</v>
      </c>
    </row>
    <row r="987" spans="1:30" x14ac:dyDescent="0.35">
      <c r="A987">
        <v>986</v>
      </c>
      <c r="B987" s="2" t="s">
        <v>209</v>
      </c>
      <c r="C987" t="s">
        <v>653</v>
      </c>
      <c r="D987" t="str">
        <f>_xlfn.TEXTJOIN(" ",TRUE,Table1[[#This Row],[First 
Name]:[Last 
Name]])</f>
        <v>Lance Nelson</v>
      </c>
      <c r="E987" t="s">
        <v>2097</v>
      </c>
      <c r="F987" t="s">
        <v>3244</v>
      </c>
      <c r="G987" t="str">
        <f ca="1">PROPER(Table1[[#This Row],[Part Time 
Job]])</f>
        <v>False</v>
      </c>
      <c r="H987" s="3">
        <v>2</v>
      </c>
      <c r="I987" t="str">
        <f ca="1">PROPER(Table1[[#This Row],[Extracurricular 
Activities]])</f>
        <v>True</v>
      </c>
      <c r="J987">
        <v>35</v>
      </c>
      <c r="K987" t="s">
        <v>3116</v>
      </c>
      <c r="L987">
        <v>91</v>
      </c>
      <c r="M987" s="12" t="str" cm="1">
        <f t="array" ref="M98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987">
        <v>94</v>
      </c>
      <c r="O987" s="13" t="str" cm="1">
        <f t="array" ref="O98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987">
        <v>97</v>
      </c>
      <c r="Q987" s="13" t="str" cm="1">
        <f t="array" ref="Q98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987">
        <v>97</v>
      </c>
      <c r="S987" t="str" cm="1">
        <f t="array" ref="S98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987">
        <v>100</v>
      </c>
      <c r="U987" t="str" cm="1">
        <f t="array" ref="U98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987">
        <v>88</v>
      </c>
      <c r="W987" t="str" cm="1">
        <f t="array" ref="W98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987">
        <v>99</v>
      </c>
      <c r="Y987" t="str" cm="1">
        <f t="array" ref="Y98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987">
        <f>SUM(Table1[[#This Row],[Math 
Score]],Table1[[#This Row],[History 
Score]],Table1[[#This Row],[Physics 
Score]],Table1[[#This Row],[Chemistry 
Score]],Table1[[#This Row],[Biology 
Score]],Table1[[#This Row],[English 
Score]],Table1[[#This Row],[Geography 
Score]])</f>
        <v>666</v>
      </c>
      <c r="AA987" s="3">
        <f>AVERAGE(Table1[[#This Row],[Math 
Score]],Table1[[#This Row],[History 
Score]],Table1[[#This Row],[Physics 
Score]],Table1[[#This Row],[Chemistry 
Score]],Table1[[#This Row],[Biology 
Score]],Table1[[#This Row],[English 
Score]],Table1[[#This Row],[Geography 
Score]])</f>
        <v>95.142857142857139</v>
      </c>
      <c r="AB98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987">
        <f t="shared" si="15"/>
        <v>8</v>
      </c>
      <c r="AD987" t="str">
        <f>_xlfn.IFS(Table1[[#This Row],[Absence 
Days]]&lt;3,"Excellent",Table1[[#This Row],[Absence 
Days]]&lt;=6,"Good",Table1[[#This Row],[Absence 
Days]]&gt;6,"Poor")</f>
        <v>Excellent</v>
      </c>
    </row>
    <row r="988" spans="1:30" x14ac:dyDescent="0.35">
      <c r="A988">
        <v>987</v>
      </c>
      <c r="B988" s="2" t="s">
        <v>282</v>
      </c>
      <c r="C988" t="s">
        <v>886</v>
      </c>
      <c r="D988" t="str">
        <f>_xlfn.TEXTJOIN(" ",TRUE,Table1[[#This Row],[First 
Name]:[Last 
Name]])</f>
        <v>Katherine Jacobson</v>
      </c>
      <c r="E988" t="s">
        <v>2098</v>
      </c>
      <c r="F988" t="s">
        <v>3245</v>
      </c>
      <c r="G988" t="str">
        <f ca="1">PROPER(Table1[[#This Row],[Part Time 
Job]])</f>
        <v>False</v>
      </c>
      <c r="H988" s="3">
        <v>5</v>
      </c>
      <c r="I988" t="str">
        <f ca="1">PROPER(Table1[[#This Row],[Extracurricular 
Activities]])</f>
        <v>False</v>
      </c>
      <c r="J988">
        <v>23</v>
      </c>
      <c r="K988" t="s">
        <v>3117</v>
      </c>
      <c r="L988">
        <v>86</v>
      </c>
      <c r="M988" s="12" t="str" cm="1">
        <f t="array" ref="M98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988">
        <v>64</v>
      </c>
      <c r="O988" s="13" t="str" cm="1">
        <f t="array" ref="O98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988">
        <v>96</v>
      </c>
      <c r="Q988" s="13" t="str" cm="1">
        <f t="array" ref="Q98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988">
        <v>84</v>
      </c>
      <c r="S988" t="str" cm="1">
        <f t="array" ref="S98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988">
        <v>86</v>
      </c>
      <c r="U988" t="str" cm="1">
        <f t="array" ref="U98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988">
        <v>96</v>
      </c>
      <c r="W988" t="str" cm="1">
        <f t="array" ref="W98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988">
        <v>92</v>
      </c>
      <c r="Y988" t="str" cm="1">
        <f t="array" ref="Y98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988">
        <f>SUM(Table1[[#This Row],[Math 
Score]],Table1[[#This Row],[History 
Score]],Table1[[#This Row],[Physics 
Score]],Table1[[#This Row],[Chemistry 
Score]],Table1[[#This Row],[Biology 
Score]],Table1[[#This Row],[English 
Score]],Table1[[#This Row],[Geography 
Score]])</f>
        <v>604</v>
      </c>
      <c r="AA988" s="3">
        <f>AVERAGE(Table1[[#This Row],[Math 
Score]],Table1[[#This Row],[History 
Score]],Table1[[#This Row],[Physics 
Score]],Table1[[#This Row],[Chemistry 
Score]],Table1[[#This Row],[Biology 
Score]],Table1[[#This Row],[English 
Score]],Table1[[#This Row],[Geography 
Score]])</f>
        <v>86.285714285714292</v>
      </c>
      <c r="AB98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988">
        <f t="shared" si="15"/>
        <v>353</v>
      </c>
      <c r="AD988" t="str">
        <f>_xlfn.IFS(Table1[[#This Row],[Absence 
Days]]&lt;3,"Excellent",Table1[[#This Row],[Absence 
Days]]&lt;=6,"Good",Table1[[#This Row],[Absence 
Days]]&gt;6,"Poor")</f>
        <v>Good</v>
      </c>
    </row>
    <row r="989" spans="1:30" x14ac:dyDescent="0.35">
      <c r="A989">
        <v>988</v>
      </c>
      <c r="B989" s="2" t="s">
        <v>247</v>
      </c>
      <c r="C989" t="s">
        <v>188</v>
      </c>
      <c r="D989" t="str">
        <f>_xlfn.TEXTJOIN(" ",TRUE,Table1[[#This Row],[First 
Name]:[Last 
Name]])</f>
        <v>Corey Taylor</v>
      </c>
      <c r="E989" t="s">
        <v>2099</v>
      </c>
      <c r="F989" t="s">
        <v>3244</v>
      </c>
      <c r="G989" t="str">
        <f ca="1">PROPER(Table1[[#This Row],[Part Time 
Job]])</f>
        <v>True</v>
      </c>
      <c r="H989" s="3">
        <v>8</v>
      </c>
      <c r="I989" t="str">
        <f ca="1">PROPER(Table1[[#This Row],[Extracurricular 
Activities]])</f>
        <v>False</v>
      </c>
      <c r="J989">
        <v>5</v>
      </c>
      <c r="K989" t="s">
        <v>3119</v>
      </c>
      <c r="L989">
        <v>90</v>
      </c>
      <c r="M989" s="12" t="str" cm="1">
        <f t="array" ref="M98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989">
        <v>97</v>
      </c>
      <c r="O989" s="13" t="str" cm="1">
        <f t="array" ref="O98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989">
        <v>54</v>
      </c>
      <c r="Q989" s="13" t="str" cm="1">
        <f t="array" ref="Q98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C</v>
      </c>
      <c r="R989">
        <v>59</v>
      </c>
      <c r="S989" t="str" cm="1">
        <f t="array" ref="S98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C</v>
      </c>
      <c r="T989">
        <v>82</v>
      </c>
      <c r="U989" t="str" cm="1">
        <f t="array" ref="U98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989">
        <v>76</v>
      </c>
      <c r="W989" t="str" cm="1">
        <f t="array" ref="W98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989">
        <v>72</v>
      </c>
      <c r="Y989" t="str" cm="1">
        <f t="array" ref="Y98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989">
        <f>SUM(Table1[[#This Row],[Math 
Score]],Table1[[#This Row],[History 
Score]],Table1[[#This Row],[Physics 
Score]],Table1[[#This Row],[Chemistry 
Score]],Table1[[#This Row],[Biology 
Score]],Table1[[#This Row],[English 
Score]],Table1[[#This Row],[Geography 
Score]])</f>
        <v>530</v>
      </c>
      <c r="AA989" s="3">
        <f>AVERAGE(Table1[[#This Row],[Math 
Score]],Table1[[#This Row],[History 
Score]],Table1[[#This Row],[Physics 
Score]],Table1[[#This Row],[Chemistry 
Score]],Table1[[#This Row],[Biology 
Score]],Table1[[#This Row],[English 
Score]],Table1[[#This Row],[Geography 
Score]])</f>
        <v>75.714285714285708</v>
      </c>
      <c r="AB98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989">
        <f t="shared" si="15"/>
        <v>1646</v>
      </c>
      <c r="AD989" t="str">
        <f>_xlfn.IFS(Table1[[#This Row],[Absence 
Days]]&lt;3,"Excellent",Table1[[#This Row],[Absence 
Days]]&lt;=6,"Good",Table1[[#This Row],[Absence 
Days]]&gt;6,"Poor")</f>
        <v>Poor</v>
      </c>
    </row>
    <row r="990" spans="1:30" x14ac:dyDescent="0.35">
      <c r="A990">
        <v>989</v>
      </c>
      <c r="B990" s="2" t="s">
        <v>13</v>
      </c>
      <c r="C990" t="s">
        <v>559</v>
      </c>
      <c r="D990" t="str">
        <f>_xlfn.TEXTJOIN(" ",TRUE,Table1[[#This Row],[First 
Name]:[Last 
Name]])</f>
        <v>Laura Russell</v>
      </c>
      <c r="E990" t="s">
        <v>2100</v>
      </c>
      <c r="F990" t="s">
        <v>3245</v>
      </c>
      <c r="G990" t="str">
        <f ca="1">PROPER(Table1[[#This Row],[Part Time 
Job]])</f>
        <v>False</v>
      </c>
      <c r="H990" s="3">
        <v>0</v>
      </c>
      <c r="I990" t="str">
        <f ca="1">PROPER(Table1[[#This Row],[Extracurricular 
Activities]])</f>
        <v>False</v>
      </c>
      <c r="J990">
        <v>1</v>
      </c>
      <c r="K990" t="s">
        <v>3126</v>
      </c>
      <c r="L990">
        <v>95</v>
      </c>
      <c r="M990" s="12" t="str" cm="1">
        <f t="array" ref="M99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990">
        <v>87</v>
      </c>
      <c r="O990" s="13" t="str" cm="1">
        <f t="array" ref="O99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990">
        <v>87</v>
      </c>
      <c r="Q990" s="13" t="str" cm="1">
        <f t="array" ref="Q99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990">
        <v>84</v>
      </c>
      <c r="S990" t="str" cm="1">
        <f t="array" ref="S99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990">
        <v>95</v>
      </c>
      <c r="U990" t="str" cm="1">
        <f t="array" ref="U99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990">
        <v>84</v>
      </c>
      <c r="W990" t="str" cm="1">
        <f t="array" ref="W99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990">
        <v>65</v>
      </c>
      <c r="Y990" t="str" cm="1">
        <f t="array" ref="Y99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990">
        <f>SUM(Table1[[#This Row],[Math 
Score]],Table1[[#This Row],[History 
Score]],Table1[[#This Row],[Physics 
Score]],Table1[[#This Row],[Chemistry 
Score]],Table1[[#This Row],[Biology 
Score]],Table1[[#This Row],[English 
Score]],Table1[[#This Row],[Geography 
Score]])</f>
        <v>597</v>
      </c>
      <c r="AA990" s="3">
        <f>AVERAGE(Table1[[#This Row],[Math 
Score]],Table1[[#This Row],[History 
Score]],Table1[[#This Row],[Physics 
Score]],Table1[[#This Row],[Chemistry 
Score]],Table1[[#This Row],[Biology 
Score]],Table1[[#This Row],[English 
Score]],Table1[[#This Row],[Geography 
Score]])</f>
        <v>85.285714285714292</v>
      </c>
      <c r="AB99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990">
        <f t="shared" si="15"/>
        <v>446</v>
      </c>
      <c r="AD990" t="str">
        <f>_xlfn.IFS(Table1[[#This Row],[Absence 
Days]]&lt;3,"Excellent",Table1[[#This Row],[Absence 
Days]]&lt;=6,"Good",Table1[[#This Row],[Absence 
Days]]&gt;6,"Poor")</f>
        <v>Excellent</v>
      </c>
    </row>
    <row r="991" spans="1:30" x14ac:dyDescent="0.35">
      <c r="A991">
        <v>990</v>
      </c>
      <c r="B991" s="2" t="s">
        <v>344</v>
      </c>
      <c r="C991" t="s">
        <v>520</v>
      </c>
      <c r="D991" t="str">
        <f>_xlfn.TEXTJOIN(" ",TRUE,Table1[[#This Row],[First 
Name]:[Last 
Name]])</f>
        <v>Arthur Harris</v>
      </c>
      <c r="E991" t="s">
        <v>2101</v>
      </c>
      <c r="F991" t="s">
        <v>3244</v>
      </c>
      <c r="G991" t="str">
        <f ca="1">PROPER(Table1[[#This Row],[Part Time 
Job]])</f>
        <v>False</v>
      </c>
      <c r="H991" s="3">
        <v>1</v>
      </c>
      <c r="I991" t="str">
        <f ca="1">PROPER(Table1[[#This Row],[Extracurricular 
Activities]])</f>
        <v>False</v>
      </c>
      <c r="J991">
        <v>31</v>
      </c>
      <c r="K991" t="s">
        <v>3121</v>
      </c>
      <c r="L991">
        <v>90</v>
      </c>
      <c r="M991" s="12" t="str" cm="1">
        <f t="array" ref="M99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991">
        <v>100</v>
      </c>
      <c r="O991" s="13" t="str" cm="1">
        <f t="array" ref="O99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991">
        <v>76</v>
      </c>
      <c r="Q991" s="13" t="str" cm="1">
        <f t="array" ref="Q99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991">
        <v>76</v>
      </c>
      <c r="S991" t="str" cm="1">
        <f t="array" ref="S99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991">
        <v>84</v>
      </c>
      <c r="U991" t="str" cm="1">
        <f t="array" ref="U99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991">
        <v>79</v>
      </c>
      <c r="W991" t="str" cm="1">
        <f t="array" ref="W99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991">
        <v>84</v>
      </c>
      <c r="Y991" t="str" cm="1">
        <f t="array" ref="Y99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991">
        <f>SUM(Table1[[#This Row],[Math 
Score]],Table1[[#This Row],[History 
Score]],Table1[[#This Row],[Physics 
Score]],Table1[[#This Row],[Chemistry 
Score]],Table1[[#This Row],[Biology 
Score]],Table1[[#This Row],[English 
Score]],Table1[[#This Row],[Geography 
Score]])</f>
        <v>589</v>
      </c>
      <c r="AA991" s="3">
        <f>AVERAGE(Table1[[#This Row],[Math 
Score]],Table1[[#This Row],[History 
Score]],Table1[[#This Row],[Physics 
Score]],Table1[[#This Row],[Chemistry 
Score]],Table1[[#This Row],[Biology 
Score]],Table1[[#This Row],[English 
Score]],Table1[[#This Row],[Geography 
Score]])</f>
        <v>84.142857142857139</v>
      </c>
      <c r="AB99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991">
        <f t="shared" si="15"/>
        <v>548</v>
      </c>
      <c r="AD991" t="str">
        <f>_xlfn.IFS(Table1[[#This Row],[Absence 
Days]]&lt;3,"Excellent",Table1[[#This Row],[Absence 
Days]]&lt;=6,"Good",Table1[[#This Row],[Absence 
Days]]&gt;6,"Poor")</f>
        <v>Excellent</v>
      </c>
    </row>
    <row r="992" spans="1:30" x14ac:dyDescent="0.35">
      <c r="A992">
        <v>991</v>
      </c>
      <c r="B992" s="2" t="s">
        <v>78</v>
      </c>
      <c r="C992" t="s">
        <v>516</v>
      </c>
      <c r="D992" t="str">
        <f>_xlfn.TEXTJOIN(" ",TRUE,Table1[[#This Row],[First 
Name]:[Last 
Name]])</f>
        <v>Victoria Garcia</v>
      </c>
      <c r="E992" t="s">
        <v>2102</v>
      </c>
      <c r="F992" t="s">
        <v>3245</v>
      </c>
      <c r="G992" t="str">
        <f ca="1">PROPER(Table1[[#This Row],[Part Time 
Job]])</f>
        <v>False</v>
      </c>
      <c r="H992" s="3">
        <v>1</v>
      </c>
      <c r="I992" t="str">
        <f ca="1">PROPER(Table1[[#This Row],[Extracurricular 
Activities]])</f>
        <v>True</v>
      </c>
      <c r="J992">
        <v>14</v>
      </c>
      <c r="K992" t="s">
        <v>3116</v>
      </c>
      <c r="L992">
        <v>66</v>
      </c>
      <c r="M992" s="12" t="str" cm="1">
        <f t="array" ref="M992">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992">
        <v>68</v>
      </c>
      <c r="O992" s="13" t="str" cm="1">
        <f t="array" ref="O99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992">
        <v>87</v>
      </c>
      <c r="Q992" s="13" t="str" cm="1">
        <f t="array" ref="Q99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992">
        <v>70</v>
      </c>
      <c r="S992" t="str" cm="1">
        <f t="array" ref="S99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992">
        <v>77</v>
      </c>
      <c r="U992" t="str" cm="1">
        <f t="array" ref="U99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992">
        <v>76</v>
      </c>
      <c r="W992" t="str" cm="1">
        <f t="array" ref="W99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992">
        <v>89</v>
      </c>
      <c r="Y992" t="str" cm="1">
        <f t="array" ref="Y99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992">
        <f>SUM(Table1[[#This Row],[Math 
Score]],Table1[[#This Row],[History 
Score]],Table1[[#This Row],[Physics 
Score]],Table1[[#This Row],[Chemistry 
Score]],Table1[[#This Row],[Biology 
Score]],Table1[[#This Row],[English 
Score]],Table1[[#This Row],[Geography 
Score]])</f>
        <v>533</v>
      </c>
      <c r="AA992" s="3">
        <f>AVERAGE(Table1[[#This Row],[Math 
Score]],Table1[[#This Row],[History 
Score]],Table1[[#This Row],[Physics 
Score]],Table1[[#This Row],[Chemistry 
Score]],Table1[[#This Row],[Biology 
Score]],Table1[[#This Row],[English 
Score]],Table1[[#This Row],[Geography 
Score]])</f>
        <v>76.142857142857139</v>
      </c>
      <c r="AB99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992">
        <f t="shared" si="15"/>
        <v>1613</v>
      </c>
      <c r="AD992" t="str">
        <f>_xlfn.IFS(Table1[[#This Row],[Absence 
Days]]&lt;3,"Excellent",Table1[[#This Row],[Absence 
Days]]&lt;=6,"Good",Table1[[#This Row],[Absence 
Days]]&gt;6,"Poor")</f>
        <v>Excellent</v>
      </c>
    </row>
    <row r="993" spans="1:30" x14ac:dyDescent="0.35">
      <c r="A993">
        <v>992</v>
      </c>
      <c r="B993" s="2" t="s">
        <v>40</v>
      </c>
      <c r="C993" t="s">
        <v>769</v>
      </c>
      <c r="D993" t="str">
        <f>_xlfn.TEXTJOIN(" ",TRUE,Table1[[#This Row],[First 
Name]:[Last 
Name]])</f>
        <v>David Gonzales</v>
      </c>
      <c r="E993" t="s">
        <v>2103</v>
      </c>
      <c r="F993" t="s">
        <v>3244</v>
      </c>
      <c r="G993" t="str">
        <f ca="1">PROPER(Table1[[#This Row],[Part Time 
Job]])</f>
        <v>False</v>
      </c>
      <c r="H993" s="3">
        <v>6</v>
      </c>
      <c r="I993" t="str">
        <f ca="1">PROPER(Table1[[#This Row],[Extracurricular 
Activities]])</f>
        <v>False</v>
      </c>
      <c r="J993">
        <v>3</v>
      </c>
      <c r="K993" t="s">
        <v>3119</v>
      </c>
      <c r="L993">
        <v>81</v>
      </c>
      <c r="M993" s="12" t="str" cm="1">
        <f t="array" ref="M99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993">
        <v>92</v>
      </c>
      <c r="O993" s="13" t="str" cm="1">
        <f t="array" ref="O99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993">
        <v>72</v>
      </c>
      <c r="Q993" s="13" t="str" cm="1">
        <f t="array" ref="Q99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993">
        <v>91</v>
      </c>
      <c r="S993" t="str" cm="1">
        <f t="array" ref="S99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993">
        <v>67</v>
      </c>
      <c r="U993" t="str" cm="1">
        <f t="array" ref="U99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993">
        <v>71</v>
      </c>
      <c r="W993" t="str" cm="1">
        <f t="array" ref="W99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993">
        <v>88</v>
      </c>
      <c r="Y993" t="str" cm="1">
        <f t="array" ref="Y99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993">
        <f>SUM(Table1[[#This Row],[Math 
Score]],Table1[[#This Row],[History 
Score]],Table1[[#This Row],[Physics 
Score]],Table1[[#This Row],[Chemistry 
Score]],Table1[[#This Row],[Biology 
Score]],Table1[[#This Row],[English 
Score]],Table1[[#This Row],[Geography 
Score]])</f>
        <v>562</v>
      </c>
      <c r="AA993" s="3">
        <f>AVERAGE(Table1[[#This Row],[Math 
Score]],Table1[[#This Row],[History 
Score]],Table1[[#This Row],[Physics 
Score]],Table1[[#This Row],[Chemistry 
Score]],Table1[[#This Row],[Biology 
Score]],Table1[[#This Row],[English 
Score]],Table1[[#This Row],[Geography 
Score]])</f>
        <v>80.285714285714292</v>
      </c>
      <c r="AB99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993">
        <f t="shared" si="15"/>
        <v>1099</v>
      </c>
      <c r="AD993" t="str">
        <f>_xlfn.IFS(Table1[[#This Row],[Absence 
Days]]&lt;3,"Excellent",Table1[[#This Row],[Absence 
Days]]&lt;=6,"Good",Table1[[#This Row],[Absence 
Days]]&gt;6,"Poor")</f>
        <v>Good</v>
      </c>
    </row>
    <row r="994" spans="1:30" x14ac:dyDescent="0.35">
      <c r="A994">
        <v>993</v>
      </c>
      <c r="B994" s="2" t="s">
        <v>70</v>
      </c>
      <c r="C994" t="s">
        <v>80</v>
      </c>
      <c r="D994" t="str">
        <f>_xlfn.TEXTJOIN(" ",TRUE,Table1[[#This Row],[First 
Name]:[Last 
Name]])</f>
        <v>Charles Thomas</v>
      </c>
      <c r="E994" t="s">
        <v>2104</v>
      </c>
      <c r="F994" t="s">
        <v>3244</v>
      </c>
      <c r="G994" t="str">
        <f ca="1">PROPER(Table1[[#This Row],[Part Time 
Job]])</f>
        <v>True</v>
      </c>
      <c r="H994" s="3">
        <v>2</v>
      </c>
      <c r="I994" t="str">
        <f ca="1">PROPER(Table1[[#This Row],[Extracurricular 
Activities]])</f>
        <v>False</v>
      </c>
      <c r="J994">
        <v>18</v>
      </c>
      <c r="K994" t="s">
        <v>3117</v>
      </c>
      <c r="L994">
        <v>85</v>
      </c>
      <c r="M994" s="12" t="str" cm="1">
        <f t="array" ref="M99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994">
        <v>99</v>
      </c>
      <c r="O994" s="13" t="str" cm="1">
        <f t="array" ref="O99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994">
        <v>86</v>
      </c>
      <c r="Q994" s="13" t="str" cm="1">
        <f t="array" ref="Q99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994">
        <v>69</v>
      </c>
      <c r="S994" t="str" cm="1">
        <f t="array" ref="S99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994">
        <v>68</v>
      </c>
      <c r="U994" t="str" cm="1">
        <f t="array" ref="U99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994">
        <v>98</v>
      </c>
      <c r="W994" t="str" cm="1">
        <f t="array" ref="W99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994">
        <v>62</v>
      </c>
      <c r="Y994" t="str" cm="1">
        <f t="array" ref="Y99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994">
        <f>SUM(Table1[[#This Row],[Math 
Score]],Table1[[#This Row],[History 
Score]],Table1[[#This Row],[Physics 
Score]],Table1[[#This Row],[Chemistry 
Score]],Table1[[#This Row],[Biology 
Score]],Table1[[#This Row],[English 
Score]],Table1[[#This Row],[Geography 
Score]])</f>
        <v>567</v>
      </c>
      <c r="AA994" s="3">
        <f>AVERAGE(Table1[[#This Row],[Math 
Score]],Table1[[#This Row],[History 
Score]],Table1[[#This Row],[Physics 
Score]],Table1[[#This Row],[Chemistry 
Score]],Table1[[#This Row],[Biology 
Score]],Table1[[#This Row],[English 
Score]],Table1[[#This Row],[Geography 
Score]])</f>
        <v>81</v>
      </c>
      <c r="AB99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994">
        <f t="shared" si="15"/>
        <v>994</v>
      </c>
      <c r="AD994" t="str">
        <f>_xlfn.IFS(Table1[[#This Row],[Absence 
Days]]&lt;3,"Excellent",Table1[[#This Row],[Absence 
Days]]&lt;=6,"Good",Table1[[#This Row],[Absence 
Days]]&gt;6,"Poor")</f>
        <v>Excellent</v>
      </c>
    </row>
    <row r="995" spans="1:30" x14ac:dyDescent="0.35">
      <c r="A995">
        <v>994</v>
      </c>
      <c r="B995" s="2" t="s">
        <v>345</v>
      </c>
      <c r="C995" t="s">
        <v>542</v>
      </c>
      <c r="D995" t="str">
        <f>_xlfn.TEXTJOIN(" ",TRUE,Table1[[#This Row],[First 
Name]:[Last 
Name]])</f>
        <v>Oscar Gonzalez</v>
      </c>
      <c r="E995" t="s">
        <v>2105</v>
      </c>
      <c r="F995" t="s">
        <v>3244</v>
      </c>
      <c r="G995" t="str">
        <f ca="1">PROPER(Table1[[#This Row],[Part Time 
Job]])</f>
        <v>False</v>
      </c>
      <c r="H995" s="3">
        <v>1</v>
      </c>
      <c r="I995" t="str">
        <f ca="1">PROPER(Table1[[#This Row],[Extracurricular 
Activities]])</f>
        <v>True</v>
      </c>
      <c r="J995">
        <v>47</v>
      </c>
      <c r="K995" t="s">
        <v>3113</v>
      </c>
      <c r="L995">
        <v>94</v>
      </c>
      <c r="M995" s="12" t="str" cm="1">
        <f t="array" ref="M99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995">
        <v>90</v>
      </c>
      <c r="O995" s="13" t="str" cm="1">
        <f t="array" ref="O99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995">
        <v>95</v>
      </c>
      <c r="Q995" s="13" t="str" cm="1">
        <f t="array" ref="Q99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995">
        <v>85</v>
      </c>
      <c r="S995" t="str" cm="1">
        <f t="array" ref="S99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995">
        <v>98</v>
      </c>
      <c r="U995" t="str" cm="1">
        <f t="array" ref="U99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995">
        <v>91</v>
      </c>
      <c r="W995" t="str" cm="1">
        <f t="array" ref="W99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995">
        <v>96</v>
      </c>
      <c r="Y995" t="str" cm="1">
        <f t="array" ref="Y99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995">
        <f>SUM(Table1[[#This Row],[Math 
Score]],Table1[[#This Row],[History 
Score]],Table1[[#This Row],[Physics 
Score]],Table1[[#This Row],[Chemistry 
Score]],Table1[[#This Row],[Biology 
Score]],Table1[[#This Row],[English 
Score]],Table1[[#This Row],[Geography 
Score]])</f>
        <v>649</v>
      </c>
      <c r="AA995" s="3">
        <f>AVERAGE(Table1[[#This Row],[Math 
Score]],Table1[[#This Row],[History 
Score]],Table1[[#This Row],[Physics 
Score]],Table1[[#This Row],[Chemistry 
Score]],Table1[[#This Row],[Biology 
Score]],Table1[[#This Row],[English 
Score]],Table1[[#This Row],[Geography 
Score]])</f>
        <v>92.714285714285708</v>
      </c>
      <c r="AB99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995">
        <f t="shared" si="15"/>
        <v>62</v>
      </c>
      <c r="AD995" t="str">
        <f>_xlfn.IFS(Table1[[#This Row],[Absence 
Days]]&lt;3,"Excellent",Table1[[#This Row],[Absence 
Days]]&lt;=6,"Good",Table1[[#This Row],[Absence 
Days]]&gt;6,"Poor")</f>
        <v>Excellent</v>
      </c>
    </row>
    <row r="996" spans="1:30" x14ac:dyDescent="0.35">
      <c r="A996">
        <v>995</v>
      </c>
      <c r="B996" s="2" t="s">
        <v>165</v>
      </c>
      <c r="C996" t="s">
        <v>479</v>
      </c>
      <c r="D996" t="str">
        <f>_xlfn.TEXTJOIN(" ",TRUE,Table1[[#This Row],[First 
Name]:[Last 
Name]])</f>
        <v>Sarah Miller</v>
      </c>
      <c r="E996" t="s">
        <v>2106</v>
      </c>
      <c r="F996" t="s">
        <v>3245</v>
      </c>
      <c r="G996" t="str">
        <f ca="1">PROPER(Table1[[#This Row],[Part Time 
Job]])</f>
        <v>False</v>
      </c>
      <c r="H996" s="3">
        <v>2</v>
      </c>
      <c r="I996" t="str">
        <f ca="1">PROPER(Table1[[#This Row],[Extracurricular 
Activities]])</f>
        <v>False</v>
      </c>
      <c r="J996">
        <v>4</v>
      </c>
      <c r="K996" t="s">
        <v>3126</v>
      </c>
      <c r="L996">
        <v>81</v>
      </c>
      <c r="M996" s="12" t="str" cm="1">
        <f t="array" ref="M99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996">
        <v>71</v>
      </c>
      <c r="O996" s="13" t="str" cm="1">
        <f t="array" ref="O99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996">
        <v>83</v>
      </c>
      <c r="Q996" s="13" t="str" cm="1">
        <f t="array" ref="Q99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996">
        <v>63</v>
      </c>
      <c r="S996" t="str" cm="1">
        <f t="array" ref="S99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996">
        <v>80</v>
      </c>
      <c r="U996" t="str" cm="1">
        <f t="array" ref="U99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996">
        <v>79</v>
      </c>
      <c r="W996" t="str" cm="1">
        <f t="array" ref="W99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996">
        <v>83</v>
      </c>
      <c r="Y996" t="str" cm="1">
        <f t="array" ref="Y99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996">
        <f>SUM(Table1[[#This Row],[Math 
Score]],Table1[[#This Row],[History 
Score]],Table1[[#This Row],[Physics 
Score]],Table1[[#This Row],[Chemistry 
Score]],Table1[[#This Row],[Biology 
Score]],Table1[[#This Row],[English 
Score]],Table1[[#This Row],[Geography 
Score]])</f>
        <v>540</v>
      </c>
      <c r="AA996" s="3">
        <f>AVERAGE(Table1[[#This Row],[Math 
Score]],Table1[[#This Row],[History 
Score]],Table1[[#This Row],[Physics 
Score]],Table1[[#This Row],[Chemistry 
Score]],Table1[[#This Row],[Biology 
Score]],Table1[[#This Row],[English 
Score]],Table1[[#This Row],[Geography 
Score]])</f>
        <v>77.142857142857139</v>
      </c>
      <c r="AB99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996">
        <f t="shared" si="15"/>
        <v>1513</v>
      </c>
      <c r="AD996" t="str">
        <f>_xlfn.IFS(Table1[[#This Row],[Absence 
Days]]&lt;3,"Excellent",Table1[[#This Row],[Absence 
Days]]&lt;=6,"Good",Table1[[#This Row],[Absence 
Days]]&gt;6,"Poor")</f>
        <v>Excellent</v>
      </c>
    </row>
    <row r="997" spans="1:30" x14ac:dyDescent="0.35">
      <c r="A997">
        <v>996</v>
      </c>
      <c r="B997" s="2" t="s">
        <v>58</v>
      </c>
      <c r="C997" t="s">
        <v>492</v>
      </c>
      <c r="D997" t="str">
        <f>_xlfn.TEXTJOIN(" ",TRUE,Table1[[#This Row],[First 
Name]:[Last 
Name]])</f>
        <v>Eric Davis</v>
      </c>
      <c r="E997" t="s">
        <v>2107</v>
      </c>
      <c r="F997" t="s">
        <v>3244</v>
      </c>
      <c r="G997" t="str">
        <f ca="1">PROPER(Table1[[#This Row],[Part Time 
Job]])</f>
        <v>True</v>
      </c>
      <c r="H997" s="3">
        <v>1</v>
      </c>
      <c r="I997" t="str">
        <f ca="1">PROPER(Table1[[#This Row],[Extracurricular 
Activities]])</f>
        <v>True</v>
      </c>
      <c r="J997">
        <v>32</v>
      </c>
      <c r="K997" t="s">
        <v>3117</v>
      </c>
      <c r="L997">
        <v>97</v>
      </c>
      <c r="M997" s="12" t="str" cm="1">
        <f t="array" ref="M99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997">
        <v>87</v>
      </c>
      <c r="O997" s="13" t="str" cm="1">
        <f t="array" ref="O99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997">
        <v>95</v>
      </c>
      <c r="Q997" s="13" t="str" cm="1">
        <f t="array" ref="Q99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997">
        <v>67</v>
      </c>
      <c r="S997" t="str" cm="1">
        <f t="array" ref="S99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997">
        <v>98</v>
      </c>
      <c r="U997" t="str" cm="1">
        <f t="array" ref="U99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997">
        <v>93</v>
      </c>
      <c r="W997" t="str" cm="1">
        <f t="array" ref="W99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997">
        <v>89</v>
      </c>
      <c r="Y997" t="str" cm="1">
        <f t="array" ref="Y99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997">
        <f>SUM(Table1[[#This Row],[Math 
Score]],Table1[[#This Row],[History 
Score]],Table1[[#This Row],[Physics 
Score]],Table1[[#This Row],[Chemistry 
Score]],Table1[[#This Row],[Biology 
Score]],Table1[[#This Row],[English 
Score]],Table1[[#This Row],[Geography 
Score]])</f>
        <v>626</v>
      </c>
      <c r="AA997" s="3">
        <f>AVERAGE(Table1[[#This Row],[Math 
Score]],Table1[[#This Row],[History 
Score]],Table1[[#This Row],[Physics 
Score]],Table1[[#This Row],[Chemistry 
Score]],Table1[[#This Row],[Biology 
Score]],Table1[[#This Row],[English 
Score]],Table1[[#This Row],[Geography 
Score]])</f>
        <v>89.428571428571431</v>
      </c>
      <c r="AB99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997">
        <f t="shared" si="15"/>
        <v>179</v>
      </c>
      <c r="AD997" t="str">
        <f>_xlfn.IFS(Table1[[#This Row],[Absence 
Days]]&lt;3,"Excellent",Table1[[#This Row],[Absence 
Days]]&lt;=6,"Good",Table1[[#This Row],[Absence 
Days]]&gt;6,"Poor")</f>
        <v>Excellent</v>
      </c>
    </row>
    <row r="998" spans="1:30" x14ac:dyDescent="0.35">
      <c r="A998">
        <v>997</v>
      </c>
      <c r="B998" s="2" t="s">
        <v>76</v>
      </c>
      <c r="C998" t="s">
        <v>353</v>
      </c>
      <c r="D998" t="str">
        <f>_xlfn.TEXTJOIN(" ",TRUE,Table1[[#This Row],[First 
Name]:[Last 
Name]])</f>
        <v>Patrick Martin</v>
      </c>
      <c r="E998" t="s">
        <v>2108</v>
      </c>
      <c r="F998" t="s">
        <v>3244</v>
      </c>
      <c r="G998" t="str">
        <f ca="1">PROPER(Table1[[#This Row],[Part Time 
Job]])</f>
        <v>False</v>
      </c>
      <c r="H998" s="3">
        <v>3</v>
      </c>
      <c r="I998" t="str">
        <f ca="1">PROPER(Table1[[#This Row],[Extracurricular 
Activities]])</f>
        <v>True</v>
      </c>
      <c r="J998">
        <v>20</v>
      </c>
      <c r="K998" t="s">
        <v>3123</v>
      </c>
      <c r="L998">
        <v>100</v>
      </c>
      <c r="M998" s="12" t="str" cm="1">
        <f t="array" ref="M99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998">
        <v>79</v>
      </c>
      <c r="O998" s="13" t="str" cm="1">
        <f t="array" ref="O99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998">
        <v>72</v>
      </c>
      <c r="Q998" s="13" t="str" cm="1">
        <f t="array" ref="Q99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998">
        <v>98</v>
      </c>
      <c r="S998" t="str" cm="1">
        <f t="array" ref="S99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998">
        <v>87</v>
      </c>
      <c r="U998" t="str" cm="1">
        <f t="array" ref="U99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998">
        <v>76</v>
      </c>
      <c r="W998" t="str" cm="1">
        <f t="array" ref="W99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998">
        <v>76</v>
      </c>
      <c r="Y998" t="str" cm="1">
        <f t="array" ref="Y99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998">
        <f>SUM(Table1[[#This Row],[Math 
Score]],Table1[[#This Row],[History 
Score]],Table1[[#This Row],[Physics 
Score]],Table1[[#This Row],[Chemistry 
Score]],Table1[[#This Row],[Biology 
Score]],Table1[[#This Row],[English 
Score]],Table1[[#This Row],[Geography 
Score]])</f>
        <v>588</v>
      </c>
      <c r="AA998" s="3">
        <f>AVERAGE(Table1[[#This Row],[Math 
Score]],Table1[[#This Row],[History 
Score]],Table1[[#This Row],[Physics 
Score]],Table1[[#This Row],[Chemistry 
Score]],Table1[[#This Row],[Biology 
Score]],Table1[[#This Row],[English 
Score]],Table1[[#This Row],[Geography 
Score]])</f>
        <v>84</v>
      </c>
      <c r="AB99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998">
        <f t="shared" si="15"/>
        <v>565</v>
      </c>
      <c r="AD998" t="str">
        <f>_xlfn.IFS(Table1[[#This Row],[Absence 
Days]]&lt;3,"Excellent",Table1[[#This Row],[Absence 
Days]]&lt;=6,"Good",Table1[[#This Row],[Absence 
Days]]&gt;6,"Poor")</f>
        <v>Good</v>
      </c>
    </row>
    <row r="999" spans="1:30" x14ac:dyDescent="0.35">
      <c r="A999">
        <v>998</v>
      </c>
      <c r="B999" s="2" t="s">
        <v>229</v>
      </c>
      <c r="C999" t="s">
        <v>729</v>
      </c>
      <c r="D999" t="str">
        <f>_xlfn.TEXTJOIN(" ",TRUE,Table1[[#This Row],[First 
Name]:[Last 
Name]])</f>
        <v>Susan Schmidt</v>
      </c>
      <c r="E999" t="s">
        <v>2109</v>
      </c>
      <c r="F999" t="s">
        <v>3245</v>
      </c>
      <c r="G999" t="str">
        <f ca="1">PROPER(Table1[[#This Row],[Part Time 
Job]])</f>
        <v>True</v>
      </c>
      <c r="H999" s="3">
        <v>6</v>
      </c>
      <c r="I999" t="str">
        <f ca="1">PROPER(Table1[[#This Row],[Extracurricular 
Activities]])</f>
        <v>False</v>
      </c>
      <c r="J999">
        <v>3</v>
      </c>
      <c r="K999" t="s">
        <v>3119</v>
      </c>
      <c r="L999">
        <v>54</v>
      </c>
      <c r="M999" s="12" t="str" cm="1">
        <f t="array" ref="M999">_xlfn.IFS(Table1[[#This Row],[Math 
Score]]&gt;=90,"A+",Table1[[#This Row],[Math 
Score]]&gt;=80,"A", Table1[[#This Row],[Math 
Score]]&gt;=75,"A-",Table1[[#This Row],[Math 
Score]]&gt;=70,"B+",Table1[[#This Row],[Math 
Score]]&gt;=65,"B",Table1[[#This Row],[Math 
Score]]&gt;=60,"B-",Table1[[#This Row],[Math 
Score]]&gt;=50,"C",Table1[[#This Row],[Math 
Score]]&gt;=40,"D",Table1[[#This Row],[Math 
Score]]&lt;40,"F")</f>
        <v>C</v>
      </c>
      <c r="N999">
        <v>64</v>
      </c>
      <c r="O999" s="13" t="str" cm="1">
        <f t="array" ref="O99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999">
        <v>72</v>
      </c>
      <c r="Q999" s="13" t="str" cm="1">
        <f t="array" ref="Q99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999">
        <v>80</v>
      </c>
      <c r="S999" t="str" cm="1">
        <f t="array" ref="S99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999">
        <v>98</v>
      </c>
      <c r="U999" t="str" cm="1">
        <f t="array" ref="U99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999">
        <v>83</v>
      </c>
      <c r="W999" t="str" cm="1">
        <f t="array" ref="W99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999">
        <v>85</v>
      </c>
      <c r="Y999" t="str" cm="1">
        <f t="array" ref="Y99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999">
        <f>SUM(Table1[[#This Row],[Math 
Score]],Table1[[#This Row],[History 
Score]],Table1[[#This Row],[Physics 
Score]],Table1[[#This Row],[Chemistry 
Score]],Table1[[#This Row],[Biology 
Score]],Table1[[#This Row],[English 
Score]],Table1[[#This Row],[Geography 
Score]])</f>
        <v>536</v>
      </c>
      <c r="AA999" s="3">
        <f>AVERAGE(Table1[[#This Row],[Math 
Score]],Table1[[#This Row],[History 
Score]],Table1[[#This Row],[Physics 
Score]],Table1[[#This Row],[Chemistry 
Score]],Table1[[#This Row],[Biology 
Score]],Table1[[#This Row],[English 
Score]],Table1[[#This Row],[Geography 
Score]])</f>
        <v>76.571428571428569</v>
      </c>
      <c r="AB99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999">
        <f t="shared" si="15"/>
        <v>1567</v>
      </c>
      <c r="AD999" t="str">
        <f>_xlfn.IFS(Table1[[#This Row],[Absence 
Days]]&lt;3,"Excellent",Table1[[#This Row],[Absence 
Days]]&lt;=6,"Good",Table1[[#This Row],[Absence 
Days]]&gt;6,"Poor")</f>
        <v>Good</v>
      </c>
    </row>
    <row r="1000" spans="1:30" x14ac:dyDescent="0.35">
      <c r="A1000">
        <v>999</v>
      </c>
      <c r="B1000" s="2" t="s">
        <v>346</v>
      </c>
      <c r="C1000" t="s">
        <v>546</v>
      </c>
      <c r="D1000" t="str">
        <f>_xlfn.TEXTJOIN(" ",TRUE,Table1[[#This Row],[First 
Name]:[Last 
Name]])</f>
        <v>Brett Bell</v>
      </c>
      <c r="E1000" t="s">
        <v>2110</v>
      </c>
      <c r="F1000" t="s">
        <v>3244</v>
      </c>
      <c r="G1000" t="str">
        <f ca="1">PROPER(Table1[[#This Row],[Part Time 
Job]])</f>
        <v>True</v>
      </c>
      <c r="H1000" s="3">
        <v>5</v>
      </c>
      <c r="I1000" t="str">
        <f ca="1">PROPER(Table1[[#This Row],[Extracurricular 
Activities]])</f>
        <v>False</v>
      </c>
      <c r="J1000">
        <v>19</v>
      </c>
      <c r="K1000" t="s">
        <v>3117</v>
      </c>
      <c r="L1000">
        <v>97</v>
      </c>
      <c r="M1000" s="12" t="str" cm="1">
        <f t="array" ref="M100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000">
        <v>87</v>
      </c>
      <c r="O1000" s="13" t="str" cm="1">
        <f t="array" ref="O100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000">
        <v>70</v>
      </c>
      <c r="Q1000" s="13" t="str" cm="1">
        <f t="array" ref="Q100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000">
        <v>74</v>
      </c>
      <c r="S1000" t="str" cm="1">
        <f t="array" ref="S100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000">
        <v>73</v>
      </c>
      <c r="U1000" t="str" cm="1">
        <f t="array" ref="U100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000">
        <v>74</v>
      </c>
      <c r="W1000" t="str" cm="1">
        <f t="array" ref="W100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000">
        <v>81</v>
      </c>
      <c r="Y1000" t="str" cm="1">
        <f t="array" ref="Y100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000">
        <f>SUM(Table1[[#This Row],[Math 
Score]],Table1[[#This Row],[History 
Score]],Table1[[#This Row],[Physics 
Score]],Table1[[#This Row],[Chemistry 
Score]],Table1[[#This Row],[Biology 
Score]],Table1[[#This Row],[English 
Score]],Table1[[#This Row],[Geography 
Score]])</f>
        <v>556</v>
      </c>
      <c r="AA1000" s="3">
        <f>AVERAGE(Table1[[#This Row],[Math 
Score]],Table1[[#This Row],[History 
Score]],Table1[[#This Row],[Physics 
Score]],Table1[[#This Row],[Chemistry 
Score]],Table1[[#This Row],[Biology 
Score]],Table1[[#This Row],[English 
Score]],Table1[[#This Row],[Geography 
Score]])</f>
        <v>79.428571428571431</v>
      </c>
      <c r="AB100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000">
        <f t="shared" si="15"/>
        <v>1224</v>
      </c>
      <c r="AD1000" t="str">
        <f>_xlfn.IFS(Table1[[#This Row],[Absence 
Days]]&lt;3,"Excellent",Table1[[#This Row],[Absence 
Days]]&lt;=6,"Good",Table1[[#This Row],[Absence 
Days]]&gt;6,"Poor")</f>
        <v>Good</v>
      </c>
    </row>
    <row r="1001" spans="1:30" x14ac:dyDescent="0.35">
      <c r="A1001">
        <v>1000</v>
      </c>
      <c r="B1001" s="2" t="s">
        <v>72</v>
      </c>
      <c r="C1001" t="s">
        <v>617</v>
      </c>
      <c r="D1001" t="str">
        <f>_xlfn.TEXTJOIN(" ",TRUE,Table1[[#This Row],[First 
Name]:[Last 
Name]])</f>
        <v>Dennis Summers</v>
      </c>
      <c r="E1001" t="s">
        <v>2111</v>
      </c>
      <c r="F1001" t="s">
        <v>3244</v>
      </c>
      <c r="G1001" t="str">
        <f ca="1">PROPER(Table1[[#This Row],[Part Time 
Job]])</f>
        <v>False</v>
      </c>
      <c r="H1001" s="3">
        <v>1</v>
      </c>
      <c r="I1001" t="str">
        <f ca="1">PROPER(Table1[[#This Row],[Extracurricular 
Activities]])</f>
        <v>True</v>
      </c>
      <c r="J1001">
        <v>5</v>
      </c>
      <c r="K1001" t="s">
        <v>3128</v>
      </c>
      <c r="L1001">
        <v>65</v>
      </c>
      <c r="M1001" s="12" t="str" cm="1">
        <f t="array" ref="M1001">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001">
        <v>83</v>
      </c>
      <c r="O1001" s="13" t="str" cm="1">
        <f t="array" ref="O100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001">
        <v>67</v>
      </c>
      <c r="Q1001" s="13" t="str" cm="1">
        <f t="array" ref="Q100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001">
        <v>84</v>
      </c>
      <c r="S1001" t="str" cm="1">
        <f t="array" ref="S100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001">
        <v>89</v>
      </c>
      <c r="U1001" t="str" cm="1">
        <f t="array" ref="U100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001">
        <v>65</v>
      </c>
      <c r="W1001" t="str" cm="1">
        <f t="array" ref="W100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001">
        <v>73</v>
      </c>
      <c r="Y1001" t="str" cm="1">
        <f t="array" ref="Y100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001">
        <f>SUM(Table1[[#This Row],[Math 
Score]],Table1[[#This Row],[History 
Score]],Table1[[#This Row],[Physics 
Score]],Table1[[#This Row],[Chemistry 
Score]],Table1[[#This Row],[Biology 
Score]],Table1[[#This Row],[English 
Score]],Table1[[#This Row],[Geography 
Score]])</f>
        <v>526</v>
      </c>
      <c r="AA1001" s="3">
        <f>AVERAGE(Table1[[#This Row],[Math 
Score]],Table1[[#This Row],[History 
Score]],Table1[[#This Row],[Physics 
Score]],Table1[[#This Row],[Chemistry 
Score]],Table1[[#This Row],[Biology 
Score]],Table1[[#This Row],[English 
Score]],Table1[[#This Row],[Geography 
Score]])</f>
        <v>75.142857142857139</v>
      </c>
      <c r="AB100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001">
        <f t="shared" si="15"/>
        <v>1688</v>
      </c>
      <c r="AD1001" t="str">
        <f>_xlfn.IFS(Table1[[#This Row],[Absence 
Days]]&lt;3,"Excellent",Table1[[#This Row],[Absence 
Days]]&lt;=6,"Good",Table1[[#This Row],[Absence 
Days]]&gt;6,"Poor")</f>
        <v>Excellent</v>
      </c>
    </row>
    <row r="1002" spans="1:30" x14ac:dyDescent="0.35">
      <c r="A1002">
        <v>1001</v>
      </c>
      <c r="B1002" s="2" t="s">
        <v>191</v>
      </c>
      <c r="C1002" t="s">
        <v>458</v>
      </c>
      <c r="D1002" t="str">
        <f>_xlfn.TEXTJOIN(" ",TRUE,Table1[[#This Row],[First 
Name]:[Last 
Name]])</f>
        <v>Brandon Smith</v>
      </c>
      <c r="E1002" t="s">
        <v>2112</v>
      </c>
      <c r="F1002" t="s">
        <v>3244</v>
      </c>
      <c r="G1002" t="str">
        <f ca="1">PROPER(Table1[[#This Row],[Part Time 
Job]])</f>
        <v>False</v>
      </c>
      <c r="H1002" s="3">
        <v>10</v>
      </c>
      <c r="I1002" t="str">
        <f ca="1">PROPER(Table1[[#This Row],[Extracurricular 
Activities]])</f>
        <v>True</v>
      </c>
      <c r="J1002">
        <v>0</v>
      </c>
      <c r="K1002" t="s">
        <v>3119</v>
      </c>
      <c r="L1002">
        <v>53</v>
      </c>
      <c r="M1002" s="12" t="str" cm="1">
        <f t="array" ref="M1002">_xlfn.IFS(Table1[[#This Row],[Math 
Score]]&gt;=90,"A+",Table1[[#This Row],[Math 
Score]]&gt;=80,"A", Table1[[#This Row],[Math 
Score]]&gt;=75,"A-",Table1[[#This Row],[Math 
Score]]&gt;=70,"B+",Table1[[#This Row],[Math 
Score]]&gt;=65,"B",Table1[[#This Row],[Math 
Score]]&gt;=60,"B-",Table1[[#This Row],[Math 
Score]]&gt;=50,"C",Table1[[#This Row],[Math 
Score]]&gt;=40,"D",Table1[[#This Row],[Math 
Score]]&lt;40,"F")</f>
        <v>C</v>
      </c>
      <c r="N1002">
        <v>51</v>
      </c>
      <c r="O1002" s="13" t="str" cm="1">
        <f t="array" ref="O100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C</v>
      </c>
      <c r="P1002">
        <v>57</v>
      </c>
      <c r="Q1002" s="13" t="str" cm="1">
        <f t="array" ref="Q100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C</v>
      </c>
      <c r="R1002">
        <v>72</v>
      </c>
      <c r="S1002" t="str" cm="1">
        <f t="array" ref="S100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002">
        <v>77</v>
      </c>
      <c r="U1002" t="str" cm="1">
        <f t="array" ref="U100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002">
        <v>78</v>
      </c>
      <c r="W1002" t="str" cm="1">
        <f t="array" ref="W100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002">
        <v>79</v>
      </c>
      <c r="Y1002" t="str" cm="1">
        <f t="array" ref="Y100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002">
        <f>SUM(Table1[[#This Row],[Math 
Score]],Table1[[#This Row],[History 
Score]],Table1[[#This Row],[Physics 
Score]],Table1[[#This Row],[Chemistry 
Score]],Table1[[#This Row],[Biology 
Score]],Table1[[#This Row],[English 
Score]],Table1[[#This Row],[Geography 
Score]])</f>
        <v>467</v>
      </c>
      <c r="AA1002" s="3">
        <f>AVERAGE(Table1[[#This Row],[Math 
Score]],Table1[[#This Row],[History 
Score]],Table1[[#This Row],[Physics 
Score]],Table1[[#This Row],[Chemistry 
Score]],Table1[[#This Row],[Biology 
Score]],Table1[[#This Row],[English 
Score]],Table1[[#This Row],[Geography 
Score]])</f>
        <v>66.714285714285708</v>
      </c>
      <c r="AB100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002">
        <f t="shared" si="15"/>
        <v>1967</v>
      </c>
      <c r="AD1002" t="str">
        <f>_xlfn.IFS(Table1[[#This Row],[Absence 
Days]]&lt;3,"Excellent",Table1[[#This Row],[Absence 
Days]]&lt;=6,"Good",Table1[[#This Row],[Absence 
Days]]&gt;6,"Poor")</f>
        <v>Poor</v>
      </c>
    </row>
    <row r="1003" spans="1:30" x14ac:dyDescent="0.35">
      <c r="A1003">
        <v>1002</v>
      </c>
      <c r="B1003" s="2" t="s">
        <v>203</v>
      </c>
      <c r="C1003" t="s">
        <v>475</v>
      </c>
      <c r="D1003" t="str">
        <f>_xlfn.TEXTJOIN(" ",TRUE,Table1[[#This Row],[First 
Name]:[Last 
Name]])</f>
        <v>Nicole Williams</v>
      </c>
      <c r="E1003" t="s">
        <v>2113</v>
      </c>
      <c r="F1003" t="s">
        <v>3245</v>
      </c>
      <c r="G1003" t="str">
        <f ca="1">PROPER(Table1[[#This Row],[Part Time 
Job]])</f>
        <v>False</v>
      </c>
      <c r="H1003" s="3">
        <v>10</v>
      </c>
      <c r="I1003" t="str">
        <f ca="1">PROPER(Table1[[#This Row],[Extracurricular 
Activities]])</f>
        <v>True</v>
      </c>
      <c r="J1003">
        <v>9</v>
      </c>
      <c r="K1003" t="s">
        <v>3128</v>
      </c>
      <c r="L1003">
        <v>82</v>
      </c>
      <c r="M1003" s="12" t="str" cm="1">
        <f t="array" ref="M100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003">
        <v>74</v>
      </c>
      <c r="O1003" s="13" t="str" cm="1">
        <f t="array" ref="O100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003">
        <v>80</v>
      </c>
      <c r="Q1003" s="13" t="str" cm="1">
        <f t="array" ref="Q100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003">
        <v>88</v>
      </c>
      <c r="S1003" t="str" cm="1">
        <f t="array" ref="S100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003">
        <v>92</v>
      </c>
      <c r="U1003" t="str" cm="1">
        <f t="array" ref="U100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003">
        <v>96</v>
      </c>
      <c r="W1003" t="str" cm="1">
        <f t="array" ref="W100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003">
        <v>95</v>
      </c>
      <c r="Y1003" t="str" cm="1">
        <f t="array" ref="Y100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003">
        <f>SUM(Table1[[#This Row],[Math 
Score]],Table1[[#This Row],[History 
Score]],Table1[[#This Row],[Physics 
Score]],Table1[[#This Row],[Chemistry 
Score]],Table1[[#This Row],[Biology 
Score]],Table1[[#This Row],[English 
Score]],Table1[[#This Row],[Geography 
Score]])</f>
        <v>607</v>
      </c>
      <c r="AA1003" s="3">
        <f>AVERAGE(Table1[[#This Row],[Math 
Score]],Table1[[#This Row],[History 
Score]],Table1[[#This Row],[Physics 
Score]],Table1[[#This Row],[Chemistry 
Score]],Table1[[#This Row],[Biology 
Score]],Table1[[#This Row],[English 
Score]],Table1[[#This Row],[Geography 
Score]])</f>
        <v>86.714285714285708</v>
      </c>
      <c r="AB100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003">
        <f t="shared" si="15"/>
        <v>325</v>
      </c>
      <c r="AD1003" t="str">
        <f>_xlfn.IFS(Table1[[#This Row],[Absence 
Days]]&lt;3,"Excellent",Table1[[#This Row],[Absence 
Days]]&lt;=6,"Good",Table1[[#This Row],[Absence 
Days]]&gt;6,"Poor")</f>
        <v>Poor</v>
      </c>
    </row>
    <row r="1004" spans="1:30" x14ac:dyDescent="0.35">
      <c r="A1004">
        <v>1003</v>
      </c>
      <c r="B1004" s="2" t="s">
        <v>129</v>
      </c>
      <c r="C1004" t="s">
        <v>910</v>
      </c>
      <c r="D1004" t="str">
        <f>_xlfn.TEXTJOIN(" ",TRUE,Table1[[#This Row],[First 
Name]:[Last 
Name]])</f>
        <v>Rachel Frye</v>
      </c>
      <c r="E1004" t="s">
        <v>2114</v>
      </c>
      <c r="F1004" t="s">
        <v>3245</v>
      </c>
      <c r="G1004" t="str">
        <f ca="1">PROPER(Table1[[#This Row],[Part Time 
Job]])</f>
        <v>False</v>
      </c>
      <c r="H1004" s="3">
        <v>10</v>
      </c>
      <c r="I1004" t="str">
        <f ca="1">PROPER(Table1[[#This Row],[Extracurricular 
Activities]])</f>
        <v>False</v>
      </c>
      <c r="J1004">
        <v>4</v>
      </c>
      <c r="K1004" t="s">
        <v>3119</v>
      </c>
      <c r="L1004">
        <v>93</v>
      </c>
      <c r="M1004" s="12" t="str" cm="1">
        <f t="array" ref="M100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004">
        <v>90</v>
      </c>
      <c r="O1004" s="13" t="str" cm="1">
        <f t="array" ref="O100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004">
        <v>79</v>
      </c>
      <c r="Q1004" s="13" t="str" cm="1">
        <f t="array" ref="Q100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004">
        <v>54</v>
      </c>
      <c r="S1004" t="str" cm="1">
        <f t="array" ref="S100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C</v>
      </c>
      <c r="T1004">
        <v>53</v>
      </c>
      <c r="U1004" t="str" cm="1">
        <f t="array" ref="U100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C</v>
      </c>
      <c r="V1004">
        <v>99</v>
      </c>
      <c r="W1004" t="str" cm="1">
        <f t="array" ref="W100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004">
        <v>79</v>
      </c>
      <c r="Y1004" t="str" cm="1">
        <f t="array" ref="Y100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004">
        <f>SUM(Table1[[#This Row],[Math 
Score]],Table1[[#This Row],[History 
Score]],Table1[[#This Row],[Physics 
Score]],Table1[[#This Row],[Chemistry 
Score]],Table1[[#This Row],[Biology 
Score]],Table1[[#This Row],[English 
Score]],Table1[[#This Row],[Geography 
Score]])</f>
        <v>547</v>
      </c>
      <c r="AA1004" s="3">
        <f>AVERAGE(Table1[[#This Row],[Math 
Score]],Table1[[#This Row],[History 
Score]],Table1[[#This Row],[Physics 
Score]],Table1[[#This Row],[Chemistry 
Score]],Table1[[#This Row],[Biology 
Score]],Table1[[#This Row],[English 
Score]],Table1[[#This Row],[Geography 
Score]])</f>
        <v>78.142857142857139</v>
      </c>
      <c r="AB100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004">
        <f t="shared" si="15"/>
        <v>1388</v>
      </c>
      <c r="AD1004" t="str">
        <f>_xlfn.IFS(Table1[[#This Row],[Absence 
Days]]&lt;3,"Excellent",Table1[[#This Row],[Absence 
Days]]&lt;=6,"Good",Table1[[#This Row],[Absence 
Days]]&gt;6,"Poor")</f>
        <v>Poor</v>
      </c>
    </row>
    <row r="1005" spans="1:30" x14ac:dyDescent="0.35">
      <c r="A1005">
        <v>1004</v>
      </c>
      <c r="B1005" s="2" t="s">
        <v>267</v>
      </c>
      <c r="C1005" t="s">
        <v>911</v>
      </c>
      <c r="D1005" t="str">
        <f>_xlfn.TEXTJOIN(" ",TRUE,Table1[[#This Row],[First 
Name]:[Last 
Name]])</f>
        <v>Tyler Cabrera</v>
      </c>
      <c r="E1005" t="s">
        <v>2115</v>
      </c>
      <c r="F1005" t="s">
        <v>3244</v>
      </c>
      <c r="G1005" t="str">
        <f ca="1">PROPER(Table1[[#This Row],[Part Time 
Job]])</f>
        <v>False</v>
      </c>
      <c r="H1005" s="3">
        <v>3</v>
      </c>
      <c r="I1005" t="str">
        <f ca="1">PROPER(Table1[[#This Row],[Extracurricular 
Activities]])</f>
        <v>False</v>
      </c>
      <c r="J1005">
        <v>22</v>
      </c>
      <c r="K1005" t="s">
        <v>3117</v>
      </c>
      <c r="L1005">
        <v>93</v>
      </c>
      <c r="M1005" s="12" t="str" cm="1">
        <f t="array" ref="M100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005">
        <v>90</v>
      </c>
      <c r="O1005" s="13" t="str" cm="1">
        <f t="array" ref="O100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005">
        <v>73</v>
      </c>
      <c r="Q1005" s="13" t="str" cm="1">
        <f t="array" ref="Q100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005">
        <v>94</v>
      </c>
      <c r="S1005" t="str" cm="1">
        <f t="array" ref="S100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005">
        <v>81</v>
      </c>
      <c r="U1005" t="str" cm="1">
        <f t="array" ref="U100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005">
        <v>84</v>
      </c>
      <c r="W1005" t="str" cm="1">
        <f t="array" ref="W100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005">
        <v>74</v>
      </c>
      <c r="Y1005" t="str" cm="1">
        <f t="array" ref="Y100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005">
        <f>SUM(Table1[[#This Row],[Math 
Score]],Table1[[#This Row],[History 
Score]],Table1[[#This Row],[Physics 
Score]],Table1[[#This Row],[Chemistry 
Score]],Table1[[#This Row],[Biology 
Score]],Table1[[#This Row],[English 
Score]],Table1[[#This Row],[Geography 
Score]])</f>
        <v>589</v>
      </c>
      <c r="AA1005" s="3">
        <f>AVERAGE(Table1[[#This Row],[Math 
Score]],Table1[[#This Row],[History 
Score]],Table1[[#This Row],[Physics 
Score]],Table1[[#This Row],[Chemistry 
Score]],Table1[[#This Row],[Biology 
Score]],Table1[[#This Row],[English 
Score]],Table1[[#This Row],[Geography 
Score]])</f>
        <v>84.142857142857139</v>
      </c>
      <c r="AB100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005">
        <f t="shared" si="15"/>
        <v>548</v>
      </c>
      <c r="AD1005" t="str">
        <f>_xlfn.IFS(Table1[[#This Row],[Absence 
Days]]&lt;3,"Excellent",Table1[[#This Row],[Absence 
Days]]&lt;=6,"Good",Table1[[#This Row],[Absence 
Days]]&gt;6,"Poor")</f>
        <v>Good</v>
      </c>
    </row>
    <row r="1006" spans="1:30" x14ac:dyDescent="0.35">
      <c r="A1006">
        <v>1005</v>
      </c>
      <c r="B1006" s="2" t="s">
        <v>347</v>
      </c>
      <c r="C1006" t="s">
        <v>532</v>
      </c>
      <c r="D1006" t="str">
        <f>_xlfn.TEXTJOIN(" ",TRUE,Table1[[#This Row],[First 
Name]:[Last 
Name]])</f>
        <v>Maureen Jones</v>
      </c>
      <c r="E1006" t="s">
        <v>2116</v>
      </c>
      <c r="F1006" t="s">
        <v>3245</v>
      </c>
      <c r="G1006" t="str">
        <f ca="1">PROPER(Table1[[#This Row],[Part Time 
Job]])</f>
        <v>False</v>
      </c>
      <c r="H1006" s="3">
        <v>9</v>
      </c>
      <c r="I1006" t="str">
        <f ca="1">PROPER(Table1[[#This Row],[Extracurricular 
Activities]])</f>
        <v>False</v>
      </c>
      <c r="J1006">
        <v>3</v>
      </c>
      <c r="K1006" t="s">
        <v>3119</v>
      </c>
      <c r="L1006">
        <v>91</v>
      </c>
      <c r="M1006" s="12" t="str" cm="1">
        <f t="array" ref="M100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006">
        <v>95</v>
      </c>
      <c r="O1006" s="13" t="str" cm="1">
        <f t="array" ref="O100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006">
        <v>88</v>
      </c>
      <c r="Q1006" s="13" t="str" cm="1">
        <f t="array" ref="Q100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006">
        <v>89</v>
      </c>
      <c r="S1006" t="str" cm="1">
        <f t="array" ref="S100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006">
        <v>58</v>
      </c>
      <c r="U1006" t="str" cm="1">
        <f t="array" ref="U100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C</v>
      </c>
      <c r="V1006">
        <v>81</v>
      </c>
      <c r="W1006" t="str" cm="1">
        <f t="array" ref="W100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006">
        <v>69</v>
      </c>
      <c r="Y1006" t="str" cm="1">
        <f t="array" ref="Y100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006">
        <f>SUM(Table1[[#This Row],[Math 
Score]],Table1[[#This Row],[History 
Score]],Table1[[#This Row],[Physics 
Score]],Table1[[#This Row],[Chemistry 
Score]],Table1[[#This Row],[Biology 
Score]],Table1[[#This Row],[English 
Score]],Table1[[#This Row],[Geography 
Score]])</f>
        <v>571</v>
      </c>
      <c r="AA1006" s="3">
        <f>AVERAGE(Table1[[#This Row],[Math 
Score]],Table1[[#This Row],[History 
Score]],Table1[[#This Row],[Physics 
Score]],Table1[[#This Row],[Chemistry 
Score]],Table1[[#This Row],[Biology 
Score]],Table1[[#This Row],[English 
Score]],Table1[[#This Row],[Geography 
Score]])</f>
        <v>81.571428571428569</v>
      </c>
      <c r="AB100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006">
        <f t="shared" si="15"/>
        <v>915</v>
      </c>
      <c r="AD1006" t="str">
        <f>_xlfn.IFS(Table1[[#This Row],[Absence 
Days]]&lt;3,"Excellent",Table1[[#This Row],[Absence 
Days]]&lt;=6,"Good",Table1[[#This Row],[Absence 
Days]]&gt;6,"Poor")</f>
        <v>Poor</v>
      </c>
    </row>
    <row r="1007" spans="1:30" x14ac:dyDescent="0.35">
      <c r="A1007">
        <v>1006</v>
      </c>
      <c r="B1007" s="2" t="s">
        <v>12</v>
      </c>
      <c r="C1007" t="s">
        <v>722</v>
      </c>
      <c r="D1007" t="str">
        <f>_xlfn.TEXTJOIN(" ",TRUE,Table1[[#This Row],[First 
Name]:[Last 
Name]])</f>
        <v>Pamela Green</v>
      </c>
      <c r="E1007" t="s">
        <v>2117</v>
      </c>
      <c r="F1007" t="s">
        <v>3245</v>
      </c>
      <c r="G1007" t="str">
        <f ca="1">PROPER(Table1[[#This Row],[Part Time 
Job]])</f>
        <v>False</v>
      </c>
      <c r="H1007" s="3">
        <v>3</v>
      </c>
      <c r="I1007" t="str">
        <f ca="1">PROPER(Table1[[#This Row],[Extracurricular 
Activities]])</f>
        <v>False</v>
      </c>
      <c r="J1007">
        <v>33</v>
      </c>
      <c r="K1007" t="s">
        <v>3120</v>
      </c>
      <c r="L1007">
        <v>99</v>
      </c>
      <c r="M1007" s="12" t="str" cm="1">
        <f t="array" ref="M100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007">
        <v>91</v>
      </c>
      <c r="O1007" s="13" t="str" cm="1">
        <f t="array" ref="O100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007">
        <v>85</v>
      </c>
      <c r="Q1007" s="13" t="str" cm="1">
        <f t="array" ref="Q100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007">
        <v>100</v>
      </c>
      <c r="S1007" t="str" cm="1">
        <f t="array" ref="S100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007">
        <v>84</v>
      </c>
      <c r="U1007" t="str" cm="1">
        <f t="array" ref="U100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007">
        <v>77</v>
      </c>
      <c r="W1007" t="str" cm="1">
        <f t="array" ref="W100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007">
        <v>98</v>
      </c>
      <c r="Y1007" t="str" cm="1">
        <f t="array" ref="Y100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007">
        <f>SUM(Table1[[#This Row],[Math 
Score]],Table1[[#This Row],[History 
Score]],Table1[[#This Row],[Physics 
Score]],Table1[[#This Row],[Chemistry 
Score]],Table1[[#This Row],[Biology 
Score]],Table1[[#This Row],[English 
Score]],Table1[[#This Row],[Geography 
Score]])</f>
        <v>634</v>
      </c>
      <c r="AA1007" s="3">
        <f>AVERAGE(Table1[[#This Row],[Math 
Score]],Table1[[#This Row],[History 
Score]],Table1[[#This Row],[Physics 
Score]],Table1[[#This Row],[Chemistry 
Score]],Table1[[#This Row],[Biology 
Score]],Table1[[#This Row],[English 
Score]],Table1[[#This Row],[Geography 
Score]])</f>
        <v>90.571428571428569</v>
      </c>
      <c r="AB100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007">
        <f t="shared" si="15"/>
        <v>131</v>
      </c>
      <c r="AD1007" t="str">
        <f>_xlfn.IFS(Table1[[#This Row],[Absence 
Days]]&lt;3,"Excellent",Table1[[#This Row],[Absence 
Days]]&lt;=6,"Good",Table1[[#This Row],[Absence 
Days]]&gt;6,"Poor")</f>
        <v>Good</v>
      </c>
    </row>
    <row r="1008" spans="1:30" x14ac:dyDescent="0.35">
      <c r="A1008">
        <v>1007</v>
      </c>
      <c r="B1008" s="2" t="s">
        <v>280</v>
      </c>
      <c r="C1008" t="s">
        <v>888</v>
      </c>
      <c r="D1008" t="str">
        <f>_xlfn.TEXTJOIN(" ",TRUE,Table1[[#This Row],[First 
Name]:[Last 
Name]])</f>
        <v>Jeffery Mcdonald</v>
      </c>
      <c r="E1008" t="s">
        <v>2118</v>
      </c>
      <c r="F1008" t="s">
        <v>3244</v>
      </c>
      <c r="G1008" t="str">
        <f ca="1">PROPER(Table1[[#This Row],[Part Time 
Job]])</f>
        <v>False</v>
      </c>
      <c r="H1008" s="3">
        <v>0</v>
      </c>
      <c r="I1008" t="str">
        <f ca="1">PROPER(Table1[[#This Row],[Extracurricular 
Activities]])</f>
        <v>False</v>
      </c>
      <c r="J1008">
        <v>13</v>
      </c>
      <c r="K1008" t="s">
        <v>3125</v>
      </c>
      <c r="L1008">
        <v>87</v>
      </c>
      <c r="M1008" s="12" t="str" cm="1">
        <f t="array" ref="M100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008">
        <v>63</v>
      </c>
      <c r="O1008" s="13" t="str" cm="1">
        <f t="array" ref="O100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008">
        <v>81</v>
      </c>
      <c r="Q1008" s="13" t="str" cm="1">
        <f t="array" ref="Q100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008">
        <v>85</v>
      </c>
      <c r="S1008" t="str" cm="1">
        <f t="array" ref="S100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008">
        <v>62</v>
      </c>
      <c r="U1008" t="str" cm="1">
        <f t="array" ref="U100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008">
        <v>98</v>
      </c>
      <c r="W1008" t="str" cm="1">
        <f t="array" ref="W100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008">
        <v>81</v>
      </c>
      <c r="Y1008" t="str" cm="1">
        <f t="array" ref="Y100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008">
        <f>SUM(Table1[[#This Row],[Math 
Score]],Table1[[#This Row],[History 
Score]],Table1[[#This Row],[Physics 
Score]],Table1[[#This Row],[Chemistry 
Score]],Table1[[#This Row],[Biology 
Score]],Table1[[#This Row],[English 
Score]],Table1[[#This Row],[Geography 
Score]])</f>
        <v>557</v>
      </c>
      <c r="AA1008" s="3">
        <f>AVERAGE(Table1[[#This Row],[Math 
Score]],Table1[[#This Row],[History 
Score]],Table1[[#This Row],[Physics 
Score]],Table1[[#This Row],[Chemistry 
Score]],Table1[[#This Row],[Biology 
Score]],Table1[[#This Row],[English 
Score]],Table1[[#This Row],[Geography 
Score]])</f>
        <v>79.571428571428569</v>
      </c>
      <c r="AB100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008">
        <f t="shared" si="15"/>
        <v>1200</v>
      </c>
      <c r="AD1008" t="str">
        <f>_xlfn.IFS(Table1[[#This Row],[Absence 
Days]]&lt;3,"Excellent",Table1[[#This Row],[Absence 
Days]]&lt;=6,"Good",Table1[[#This Row],[Absence 
Days]]&gt;6,"Poor")</f>
        <v>Excellent</v>
      </c>
    </row>
    <row r="1009" spans="1:30" x14ac:dyDescent="0.35">
      <c r="A1009">
        <v>1008</v>
      </c>
      <c r="B1009" s="2" t="s">
        <v>219</v>
      </c>
      <c r="C1009" t="s">
        <v>912</v>
      </c>
      <c r="D1009" t="str">
        <f>_xlfn.TEXTJOIN(" ",TRUE,Table1[[#This Row],[First 
Name]:[Last 
Name]])</f>
        <v>Austin Matthews</v>
      </c>
      <c r="E1009" t="s">
        <v>2119</v>
      </c>
      <c r="F1009" t="s">
        <v>3244</v>
      </c>
      <c r="G1009" t="str">
        <f ca="1">PROPER(Table1[[#This Row],[Part Time 
Job]])</f>
        <v>False</v>
      </c>
      <c r="H1009" s="3">
        <v>0</v>
      </c>
      <c r="I1009" t="str">
        <f ca="1">PROPER(Table1[[#This Row],[Extracurricular 
Activities]])</f>
        <v>False</v>
      </c>
      <c r="J1009">
        <v>19</v>
      </c>
      <c r="K1009" t="s">
        <v>3116</v>
      </c>
      <c r="L1009">
        <v>83</v>
      </c>
      <c r="M1009" s="12" t="str" cm="1">
        <f t="array" ref="M100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009">
        <v>79</v>
      </c>
      <c r="O1009" s="13" t="str" cm="1">
        <f t="array" ref="O100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009">
        <v>91</v>
      </c>
      <c r="Q1009" s="13" t="str" cm="1">
        <f t="array" ref="Q100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009">
        <v>62</v>
      </c>
      <c r="S1009" t="str" cm="1">
        <f t="array" ref="S100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009">
        <v>63</v>
      </c>
      <c r="U1009" t="str" cm="1">
        <f t="array" ref="U100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009">
        <v>76</v>
      </c>
      <c r="W1009" t="str" cm="1">
        <f t="array" ref="W100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009">
        <v>93</v>
      </c>
      <c r="Y1009" t="str" cm="1">
        <f t="array" ref="Y100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009">
        <f>SUM(Table1[[#This Row],[Math 
Score]],Table1[[#This Row],[History 
Score]],Table1[[#This Row],[Physics 
Score]],Table1[[#This Row],[Chemistry 
Score]],Table1[[#This Row],[Biology 
Score]],Table1[[#This Row],[English 
Score]],Table1[[#This Row],[Geography 
Score]])</f>
        <v>547</v>
      </c>
      <c r="AA1009" s="3">
        <f>AVERAGE(Table1[[#This Row],[Math 
Score]],Table1[[#This Row],[History 
Score]],Table1[[#This Row],[Physics 
Score]],Table1[[#This Row],[Chemistry 
Score]],Table1[[#This Row],[Biology 
Score]],Table1[[#This Row],[English 
Score]],Table1[[#This Row],[Geography 
Score]])</f>
        <v>78.142857142857139</v>
      </c>
      <c r="AB100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009">
        <f t="shared" si="15"/>
        <v>1388</v>
      </c>
      <c r="AD1009" t="str">
        <f>_xlfn.IFS(Table1[[#This Row],[Absence 
Days]]&lt;3,"Excellent",Table1[[#This Row],[Absence 
Days]]&lt;=6,"Good",Table1[[#This Row],[Absence 
Days]]&gt;6,"Poor")</f>
        <v>Excellent</v>
      </c>
    </row>
    <row r="1010" spans="1:30" x14ac:dyDescent="0.35">
      <c r="A1010">
        <v>1009</v>
      </c>
      <c r="B1010" s="2" t="s">
        <v>307</v>
      </c>
      <c r="C1010" t="s">
        <v>194</v>
      </c>
      <c r="D1010" t="str">
        <f>_xlfn.TEXTJOIN(" ",TRUE,Table1[[#This Row],[First 
Name]:[Last 
Name]])</f>
        <v>Jacqueline Allen</v>
      </c>
      <c r="E1010" t="s">
        <v>2120</v>
      </c>
      <c r="F1010" t="s">
        <v>3245</v>
      </c>
      <c r="G1010" t="str">
        <f ca="1">PROPER(Table1[[#This Row],[Part Time 
Job]])</f>
        <v>False</v>
      </c>
      <c r="H1010" s="3">
        <v>2</v>
      </c>
      <c r="I1010" t="str">
        <f ca="1">PROPER(Table1[[#This Row],[Extracurricular 
Activities]])</f>
        <v>True</v>
      </c>
      <c r="J1010">
        <v>10</v>
      </c>
      <c r="K1010" t="s">
        <v>3128</v>
      </c>
      <c r="L1010">
        <v>59</v>
      </c>
      <c r="M1010" s="12" t="str" cm="1">
        <f t="array" ref="M1010">_xlfn.IFS(Table1[[#This Row],[Math 
Score]]&gt;=90,"A+",Table1[[#This Row],[Math 
Score]]&gt;=80,"A", Table1[[#This Row],[Math 
Score]]&gt;=75,"A-",Table1[[#This Row],[Math 
Score]]&gt;=70,"B+",Table1[[#This Row],[Math 
Score]]&gt;=65,"B",Table1[[#This Row],[Math 
Score]]&gt;=60,"B-",Table1[[#This Row],[Math 
Score]]&gt;=50,"C",Table1[[#This Row],[Math 
Score]]&gt;=40,"D",Table1[[#This Row],[Math 
Score]]&lt;40,"F")</f>
        <v>C</v>
      </c>
      <c r="N1010">
        <v>73</v>
      </c>
      <c r="O1010" s="13" t="str" cm="1">
        <f t="array" ref="O101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010">
        <v>90</v>
      </c>
      <c r="Q1010" s="13" t="str" cm="1">
        <f t="array" ref="Q101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010">
        <v>74</v>
      </c>
      <c r="S1010" t="str" cm="1">
        <f t="array" ref="S101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010">
        <v>95</v>
      </c>
      <c r="U1010" t="str" cm="1">
        <f t="array" ref="U101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010">
        <v>77</v>
      </c>
      <c r="W1010" t="str" cm="1">
        <f t="array" ref="W101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010">
        <v>81</v>
      </c>
      <c r="Y1010" t="str" cm="1">
        <f t="array" ref="Y101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010">
        <f>SUM(Table1[[#This Row],[Math 
Score]],Table1[[#This Row],[History 
Score]],Table1[[#This Row],[Physics 
Score]],Table1[[#This Row],[Chemistry 
Score]],Table1[[#This Row],[Biology 
Score]],Table1[[#This Row],[English 
Score]],Table1[[#This Row],[Geography 
Score]])</f>
        <v>549</v>
      </c>
      <c r="AA1010" s="3">
        <f>AVERAGE(Table1[[#This Row],[Math 
Score]],Table1[[#This Row],[History 
Score]],Table1[[#This Row],[Physics 
Score]],Table1[[#This Row],[Chemistry 
Score]],Table1[[#This Row],[Biology 
Score]],Table1[[#This Row],[English 
Score]],Table1[[#This Row],[Geography 
Score]])</f>
        <v>78.428571428571431</v>
      </c>
      <c r="AB101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010">
        <f t="shared" si="15"/>
        <v>1355</v>
      </c>
      <c r="AD1010" t="str">
        <f>_xlfn.IFS(Table1[[#This Row],[Absence 
Days]]&lt;3,"Excellent",Table1[[#This Row],[Absence 
Days]]&lt;=6,"Good",Table1[[#This Row],[Absence 
Days]]&gt;6,"Poor")</f>
        <v>Excellent</v>
      </c>
    </row>
    <row r="1011" spans="1:30" x14ac:dyDescent="0.35">
      <c r="A1011">
        <v>1010</v>
      </c>
      <c r="B1011" s="2" t="s">
        <v>348</v>
      </c>
      <c r="C1011" t="s">
        <v>815</v>
      </c>
      <c r="D1011" t="str">
        <f>_xlfn.TEXTJOIN(" ",TRUE,Table1[[#This Row],[First 
Name]:[Last 
Name]])</f>
        <v>Joanna Dominguez</v>
      </c>
      <c r="E1011" t="s">
        <v>2121</v>
      </c>
      <c r="F1011" t="s">
        <v>3245</v>
      </c>
      <c r="G1011" t="str">
        <f ca="1">PROPER(Table1[[#This Row],[Part Time 
Job]])</f>
        <v>True</v>
      </c>
      <c r="H1011" s="3">
        <v>2</v>
      </c>
      <c r="I1011" t="str">
        <f ca="1">PROPER(Table1[[#This Row],[Extracurricular 
Activities]])</f>
        <v>False</v>
      </c>
      <c r="J1011">
        <v>29</v>
      </c>
      <c r="K1011" t="s">
        <v>3116</v>
      </c>
      <c r="L1011">
        <v>74</v>
      </c>
      <c r="M1011" s="12" t="str" cm="1">
        <f t="array" ref="M1011">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011">
        <v>68</v>
      </c>
      <c r="O1011" s="13" t="str" cm="1">
        <f t="array" ref="O101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011">
        <v>71</v>
      </c>
      <c r="Q1011" s="13" t="str" cm="1">
        <f t="array" ref="Q101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011">
        <v>60</v>
      </c>
      <c r="S1011" t="str" cm="1">
        <f t="array" ref="S101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011">
        <v>97</v>
      </c>
      <c r="U1011" t="str" cm="1">
        <f t="array" ref="U101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011">
        <v>64</v>
      </c>
      <c r="W1011" t="str" cm="1">
        <f t="array" ref="W101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011">
        <v>63</v>
      </c>
      <c r="Y1011" t="str" cm="1">
        <f t="array" ref="Y101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011">
        <f>SUM(Table1[[#This Row],[Math 
Score]],Table1[[#This Row],[History 
Score]],Table1[[#This Row],[Physics 
Score]],Table1[[#This Row],[Chemistry 
Score]],Table1[[#This Row],[Biology 
Score]],Table1[[#This Row],[English 
Score]],Table1[[#This Row],[Geography 
Score]])</f>
        <v>497</v>
      </c>
      <c r="AA1011" s="3">
        <f>AVERAGE(Table1[[#This Row],[Math 
Score]],Table1[[#This Row],[History 
Score]],Table1[[#This Row],[Physics 
Score]],Table1[[#This Row],[Chemistry 
Score]],Table1[[#This Row],[Biology 
Score]],Table1[[#This Row],[English 
Score]],Table1[[#This Row],[Geography 
Score]])</f>
        <v>71</v>
      </c>
      <c r="AB101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011">
        <f t="shared" si="15"/>
        <v>1888</v>
      </c>
      <c r="AD1011" t="str">
        <f>_xlfn.IFS(Table1[[#This Row],[Absence 
Days]]&lt;3,"Excellent",Table1[[#This Row],[Absence 
Days]]&lt;=6,"Good",Table1[[#This Row],[Absence 
Days]]&gt;6,"Poor")</f>
        <v>Excellent</v>
      </c>
    </row>
    <row r="1012" spans="1:30" x14ac:dyDescent="0.35">
      <c r="A1012">
        <v>1011</v>
      </c>
      <c r="B1012" s="2" t="s">
        <v>56</v>
      </c>
      <c r="C1012" t="s">
        <v>472</v>
      </c>
      <c r="D1012" t="str">
        <f>_xlfn.TEXTJOIN(" ",TRUE,Table1[[#This Row],[First 
Name]:[Last 
Name]])</f>
        <v>Brian Griffin</v>
      </c>
      <c r="E1012" t="s">
        <v>2122</v>
      </c>
      <c r="F1012" t="s">
        <v>3244</v>
      </c>
      <c r="G1012" t="str">
        <f ca="1">PROPER(Table1[[#This Row],[Part Time 
Job]])</f>
        <v>False</v>
      </c>
      <c r="H1012" s="3">
        <v>3</v>
      </c>
      <c r="I1012" t="str">
        <f ca="1">PROPER(Table1[[#This Row],[Extracurricular 
Activities]])</f>
        <v>True</v>
      </c>
      <c r="J1012">
        <v>31</v>
      </c>
      <c r="K1012" t="s">
        <v>3112</v>
      </c>
      <c r="L1012">
        <v>81</v>
      </c>
      <c r="M1012" s="12" t="str" cm="1">
        <f t="array" ref="M101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012">
        <v>98</v>
      </c>
      <c r="O1012" s="13" t="str" cm="1">
        <f t="array" ref="O101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012">
        <v>71</v>
      </c>
      <c r="Q1012" s="13" t="str" cm="1">
        <f t="array" ref="Q101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012">
        <v>92</v>
      </c>
      <c r="S1012" t="str" cm="1">
        <f t="array" ref="S101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012">
        <v>74</v>
      </c>
      <c r="U1012" t="str" cm="1">
        <f t="array" ref="U101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012">
        <v>93</v>
      </c>
      <c r="W1012" t="str" cm="1">
        <f t="array" ref="W101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012">
        <v>63</v>
      </c>
      <c r="Y1012" t="str" cm="1">
        <f t="array" ref="Y101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012">
        <f>SUM(Table1[[#This Row],[Math 
Score]],Table1[[#This Row],[History 
Score]],Table1[[#This Row],[Physics 
Score]],Table1[[#This Row],[Chemistry 
Score]],Table1[[#This Row],[Biology 
Score]],Table1[[#This Row],[English 
Score]],Table1[[#This Row],[Geography 
Score]])</f>
        <v>572</v>
      </c>
      <c r="AA1012" s="3">
        <f>AVERAGE(Table1[[#This Row],[Math 
Score]],Table1[[#This Row],[History 
Score]],Table1[[#This Row],[Physics 
Score]],Table1[[#This Row],[Chemistry 
Score]],Table1[[#This Row],[Biology 
Score]],Table1[[#This Row],[English 
Score]],Table1[[#This Row],[Geography 
Score]])</f>
        <v>81.714285714285708</v>
      </c>
      <c r="AB101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012">
        <f t="shared" si="15"/>
        <v>890</v>
      </c>
      <c r="AD1012" t="str">
        <f>_xlfn.IFS(Table1[[#This Row],[Absence 
Days]]&lt;3,"Excellent",Table1[[#This Row],[Absence 
Days]]&lt;=6,"Good",Table1[[#This Row],[Absence 
Days]]&gt;6,"Poor")</f>
        <v>Good</v>
      </c>
    </row>
    <row r="1013" spans="1:30" x14ac:dyDescent="0.35">
      <c r="A1013">
        <v>1012</v>
      </c>
      <c r="B1013" s="2" t="s">
        <v>349</v>
      </c>
      <c r="C1013" t="s">
        <v>326</v>
      </c>
      <c r="D1013" t="str">
        <f>_xlfn.TEXTJOIN(" ",TRUE,Table1[[#This Row],[First 
Name]:[Last 
Name]])</f>
        <v>Dean Lee</v>
      </c>
      <c r="E1013" t="s">
        <v>2123</v>
      </c>
      <c r="F1013" t="s">
        <v>3244</v>
      </c>
      <c r="G1013" t="str">
        <f ca="1">PROPER(Table1[[#This Row],[Part Time 
Job]])</f>
        <v>False</v>
      </c>
      <c r="H1013" s="3">
        <v>3</v>
      </c>
      <c r="I1013" t="str">
        <f ca="1">PROPER(Table1[[#This Row],[Extracurricular 
Activities]])</f>
        <v>True</v>
      </c>
      <c r="J1013">
        <v>3</v>
      </c>
      <c r="K1013" t="s">
        <v>3126</v>
      </c>
      <c r="L1013">
        <v>80</v>
      </c>
      <c r="M1013" s="12" t="str" cm="1">
        <f t="array" ref="M101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013">
        <v>92</v>
      </c>
      <c r="O1013" s="13" t="str" cm="1">
        <f t="array" ref="O101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013">
        <v>85</v>
      </c>
      <c r="Q1013" s="13" t="str" cm="1">
        <f t="array" ref="Q101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013">
        <v>81</v>
      </c>
      <c r="S1013" t="str" cm="1">
        <f t="array" ref="S101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013">
        <v>94</v>
      </c>
      <c r="U1013" t="str" cm="1">
        <f t="array" ref="U101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013">
        <v>75</v>
      </c>
      <c r="W1013" t="str" cm="1">
        <f t="array" ref="W101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013">
        <v>72</v>
      </c>
      <c r="Y1013" t="str" cm="1">
        <f t="array" ref="Y101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013">
        <f>SUM(Table1[[#This Row],[Math 
Score]],Table1[[#This Row],[History 
Score]],Table1[[#This Row],[Physics 
Score]],Table1[[#This Row],[Chemistry 
Score]],Table1[[#This Row],[Biology 
Score]],Table1[[#This Row],[English 
Score]],Table1[[#This Row],[Geography 
Score]])</f>
        <v>579</v>
      </c>
      <c r="AA1013" s="3">
        <f>AVERAGE(Table1[[#This Row],[Math 
Score]],Table1[[#This Row],[History 
Score]],Table1[[#This Row],[Physics 
Score]],Table1[[#This Row],[Chemistry 
Score]],Table1[[#This Row],[Biology 
Score]],Table1[[#This Row],[English 
Score]],Table1[[#This Row],[Geography 
Score]])</f>
        <v>82.714285714285708</v>
      </c>
      <c r="AB101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013">
        <f t="shared" si="15"/>
        <v>730</v>
      </c>
      <c r="AD1013" t="str">
        <f>_xlfn.IFS(Table1[[#This Row],[Absence 
Days]]&lt;3,"Excellent",Table1[[#This Row],[Absence 
Days]]&lt;=6,"Good",Table1[[#This Row],[Absence 
Days]]&gt;6,"Poor")</f>
        <v>Good</v>
      </c>
    </row>
    <row r="1014" spans="1:30" x14ac:dyDescent="0.35">
      <c r="A1014">
        <v>1013</v>
      </c>
      <c r="B1014" s="2" t="s">
        <v>118</v>
      </c>
      <c r="C1014" t="s">
        <v>567</v>
      </c>
      <c r="D1014" t="str">
        <f>_xlfn.TEXTJOIN(" ",TRUE,Table1[[#This Row],[First 
Name]:[Last 
Name]])</f>
        <v>Denise Rodriguez</v>
      </c>
      <c r="E1014" t="s">
        <v>2124</v>
      </c>
      <c r="F1014" t="s">
        <v>3245</v>
      </c>
      <c r="G1014" t="str">
        <f ca="1">PROPER(Table1[[#This Row],[Part Time 
Job]])</f>
        <v>False</v>
      </c>
      <c r="H1014" s="3">
        <v>0</v>
      </c>
      <c r="I1014" t="str">
        <f ca="1">PROPER(Table1[[#This Row],[Extracurricular 
Activities]])</f>
        <v>True</v>
      </c>
      <c r="J1014">
        <v>29</v>
      </c>
      <c r="K1014" t="s">
        <v>3121</v>
      </c>
      <c r="L1014">
        <v>89</v>
      </c>
      <c r="M1014" s="12" t="str" cm="1">
        <f t="array" ref="M101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014">
        <v>66</v>
      </c>
      <c r="O1014" s="13" t="str" cm="1">
        <f t="array" ref="O101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014">
        <v>72</v>
      </c>
      <c r="Q1014" s="13" t="str" cm="1">
        <f t="array" ref="Q101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014">
        <v>77</v>
      </c>
      <c r="S1014" t="str" cm="1">
        <f t="array" ref="S101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014">
        <v>79</v>
      </c>
      <c r="U1014" t="str" cm="1">
        <f t="array" ref="U101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014">
        <v>95</v>
      </c>
      <c r="W1014" t="str" cm="1">
        <f t="array" ref="W101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014">
        <v>92</v>
      </c>
      <c r="Y1014" t="str" cm="1">
        <f t="array" ref="Y101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014">
        <f>SUM(Table1[[#This Row],[Math 
Score]],Table1[[#This Row],[History 
Score]],Table1[[#This Row],[Physics 
Score]],Table1[[#This Row],[Chemistry 
Score]],Table1[[#This Row],[Biology 
Score]],Table1[[#This Row],[English 
Score]],Table1[[#This Row],[Geography 
Score]])</f>
        <v>570</v>
      </c>
      <c r="AA1014" s="3">
        <f>AVERAGE(Table1[[#This Row],[Math 
Score]],Table1[[#This Row],[History 
Score]],Table1[[#This Row],[Physics 
Score]],Table1[[#This Row],[Chemistry 
Score]],Table1[[#This Row],[Biology 
Score]],Table1[[#This Row],[English 
Score]],Table1[[#This Row],[Geography 
Score]])</f>
        <v>81.428571428571431</v>
      </c>
      <c r="AB101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014">
        <f t="shared" si="15"/>
        <v>937</v>
      </c>
      <c r="AD1014" t="str">
        <f>_xlfn.IFS(Table1[[#This Row],[Absence 
Days]]&lt;3,"Excellent",Table1[[#This Row],[Absence 
Days]]&lt;=6,"Good",Table1[[#This Row],[Absence 
Days]]&gt;6,"Poor")</f>
        <v>Excellent</v>
      </c>
    </row>
    <row r="1015" spans="1:30" x14ac:dyDescent="0.35">
      <c r="A1015">
        <v>1014</v>
      </c>
      <c r="B1015" s="2" t="s">
        <v>350</v>
      </c>
      <c r="C1015" t="s">
        <v>780</v>
      </c>
      <c r="D1015" t="str">
        <f>_xlfn.TEXTJOIN(" ",TRUE,Table1[[#This Row],[First 
Name]:[Last 
Name]])</f>
        <v>Brendan Rivera</v>
      </c>
      <c r="E1015" t="s">
        <v>2125</v>
      </c>
      <c r="F1015" t="s">
        <v>3244</v>
      </c>
      <c r="G1015" t="str">
        <f ca="1">PROPER(Table1[[#This Row],[Part Time 
Job]])</f>
        <v>True</v>
      </c>
      <c r="H1015" s="3">
        <v>3</v>
      </c>
      <c r="I1015" t="str">
        <f ca="1">PROPER(Table1[[#This Row],[Extracurricular 
Activities]])</f>
        <v>False</v>
      </c>
      <c r="J1015">
        <v>34</v>
      </c>
      <c r="K1015" t="s">
        <v>3116</v>
      </c>
      <c r="L1015">
        <v>65</v>
      </c>
      <c r="M1015" s="12" t="str" cm="1">
        <f t="array" ref="M1015">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015">
        <v>78</v>
      </c>
      <c r="O1015" s="13" t="str" cm="1">
        <f t="array" ref="O101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015">
        <v>82</v>
      </c>
      <c r="Q1015" s="13" t="str" cm="1">
        <f t="array" ref="Q101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015">
        <v>65</v>
      </c>
      <c r="S1015" t="str" cm="1">
        <f t="array" ref="S101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015">
        <v>100</v>
      </c>
      <c r="U1015" t="str" cm="1">
        <f t="array" ref="U101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015">
        <v>92</v>
      </c>
      <c r="W1015" t="str" cm="1">
        <f t="array" ref="W101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015">
        <v>64</v>
      </c>
      <c r="Y1015" t="str" cm="1">
        <f t="array" ref="Y101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015">
        <f>SUM(Table1[[#This Row],[Math 
Score]],Table1[[#This Row],[History 
Score]],Table1[[#This Row],[Physics 
Score]],Table1[[#This Row],[Chemistry 
Score]],Table1[[#This Row],[Biology 
Score]],Table1[[#This Row],[English 
Score]],Table1[[#This Row],[Geography 
Score]])</f>
        <v>546</v>
      </c>
      <c r="AA1015" s="3">
        <f>AVERAGE(Table1[[#This Row],[Math 
Score]],Table1[[#This Row],[History 
Score]],Table1[[#This Row],[Physics 
Score]],Table1[[#This Row],[Chemistry 
Score]],Table1[[#This Row],[Biology 
Score]],Table1[[#This Row],[English 
Score]],Table1[[#This Row],[Geography 
Score]])</f>
        <v>78</v>
      </c>
      <c r="AB101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015">
        <f t="shared" si="15"/>
        <v>1411</v>
      </c>
      <c r="AD1015" t="str">
        <f>_xlfn.IFS(Table1[[#This Row],[Absence 
Days]]&lt;3,"Excellent",Table1[[#This Row],[Absence 
Days]]&lt;=6,"Good",Table1[[#This Row],[Absence 
Days]]&gt;6,"Poor")</f>
        <v>Good</v>
      </c>
    </row>
    <row r="1016" spans="1:30" x14ac:dyDescent="0.35">
      <c r="A1016">
        <v>1015</v>
      </c>
      <c r="B1016" s="2" t="s">
        <v>294</v>
      </c>
      <c r="C1016" t="s">
        <v>458</v>
      </c>
      <c r="D1016" t="str">
        <f>_xlfn.TEXTJOIN(" ",TRUE,Table1[[#This Row],[First 
Name]:[Last 
Name]])</f>
        <v>Jackson Smith</v>
      </c>
      <c r="E1016" t="s">
        <v>2126</v>
      </c>
      <c r="F1016" t="s">
        <v>3244</v>
      </c>
      <c r="G1016" t="str">
        <f ca="1">PROPER(Table1[[#This Row],[Part Time 
Job]])</f>
        <v>True</v>
      </c>
      <c r="H1016" s="3">
        <v>10</v>
      </c>
      <c r="I1016" t="str">
        <f ca="1">PROPER(Table1[[#This Row],[Extracurricular 
Activities]])</f>
        <v>False</v>
      </c>
      <c r="J1016">
        <v>4</v>
      </c>
      <c r="K1016" t="s">
        <v>3119</v>
      </c>
      <c r="L1016">
        <v>94</v>
      </c>
      <c r="M1016" s="12" t="str" cm="1">
        <f t="array" ref="M101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016">
        <v>61</v>
      </c>
      <c r="O1016" s="13" t="str" cm="1">
        <f t="array" ref="O101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016">
        <v>60</v>
      </c>
      <c r="Q1016" s="13" t="str" cm="1">
        <f t="array" ref="Q101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016">
        <v>77</v>
      </c>
      <c r="S1016" t="str" cm="1">
        <f t="array" ref="S101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016">
        <v>75</v>
      </c>
      <c r="U1016" t="str" cm="1">
        <f t="array" ref="U101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016">
        <v>93</v>
      </c>
      <c r="W1016" t="str" cm="1">
        <f t="array" ref="W101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016">
        <v>60</v>
      </c>
      <c r="Y1016" t="str" cm="1">
        <f t="array" ref="Y101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016">
        <f>SUM(Table1[[#This Row],[Math 
Score]],Table1[[#This Row],[History 
Score]],Table1[[#This Row],[Physics 
Score]],Table1[[#This Row],[Chemistry 
Score]],Table1[[#This Row],[Biology 
Score]],Table1[[#This Row],[English 
Score]],Table1[[#This Row],[Geography 
Score]])</f>
        <v>520</v>
      </c>
      <c r="AA1016" s="3">
        <f>AVERAGE(Table1[[#This Row],[Math 
Score]],Table1[[#This Row],[History 
Score]],Table1[[#This Row],[Physics 
Score]],Table1[[#This Row],[Chemistry 
Score]],Table1[[#This Row],[Biology 
Score]],Table1[[#This Row],[English 
Score]],Table1[[#This Row],[Geography 
Score]])</f>
        <v>74.285714285714292</v>
      </c>
      <c r="AB101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016">
        <f t="shared" si="15"/>
        <v>1753</v>
      </c>
      <c r="AD1016" t="str">
        <f>_xlfn.IFS(Table1[[#This Row],[Absence 
Days]]&lt;3,"Excellent",Table1[[#This Row],[Absence 
Days]]&lt;=6,"Good",Table1[[#This Row],[Absence 
Days]]&gt;6,"Poor")</f>
        <v>Poor</v>
      </c>
    </row>
    <row r="1017" spans="1:30" x14ac:dyDescent="0.35">
      <c r="A1017">
        <v>1016</v>
      </c>
      <c r="B1017" s="2" t="s">
        <v>318</v>
      </c>
      <c r="C1017" t="s">
        <v>507</v>
      </c>
      <c r="D1017" t="str">
        <f>_xlfn.TEXTJOIN(" ",TRUE,Table1[[#This Row],[First 
Name]:[Last 
Name]])</f>
        <v>Craig Weber</v>
      </c>
      <c r="E1017" t="s">
        <v>2127</v>
      </c>
      <c r="F1017" t="s">
        <v>3244</v>
      </c>
      <c r="G1017" t="str">
        <f ca="1">PROPER(Table1[[#This Row],[Part Time 
Job]])</f>
        <v>False</v>
      </c>
      <c r="H1017" s="3">
        <v>3</v>
      </c>
      <c r="I1017" t="str">
        <f ca="1">PROPER(Table1[[#This Row],[Extracurricular 
Activities]])</f>
        <v>False</v>
      </c>
      <c r="J1017">
        <v>34</v>
      </c>
      <c r="K1017" t="s">
        <v>3124</v>
      </c>
      <c r="L1017">
        <v>93</v>
      </c>
      <c r="M1017" s="12" t="str" cm="1">
        <f t="array" ref="M101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017">
        <v>70</v>
      </c>
      <c r="O1017" s="13" t="str" cm="1">
        <f t="array" ref="O101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017">
        <v>80</v>
      </c>
      <c r="Q1017" s="13" t="str" cm="1">
        <f t="array" ref="Q101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017">
        <v>67</v>
      </c>
      <c r="S1017" t="str" cm="1">
        <f t="array" ref="S101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017">
        <v>77</v>
      </c>
      <c r="U1017" t="str" cm="1">
        <f t="array" ref="U101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017">
        <v>80</v>
      </c>
      <c r="W1017" t="str" cm="1">
        <f t="array" ref="W101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017">
        <v>91</v>
      </c>
      <c r="Y1017" t="str" cm="1">
        <f t="array" ref="Y101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017">
        <f>SUM(Table1[[#This Row],[Math 
Score]],Table1[[#This Row],[History 
Score]],Table1[[#This Row],[Physics 
Score]],Table1[[#This Row],[Chemistry 
Score]],Table1[[#This Row],[Biology 
Score]],Table1[[#This Row],[English 
Score]],Table1[[#This Row],[Geography 
Score]])</f>
        <v>558</v>
      </c>
      <c r="AA1017" s="3">
        <f>AVERAGE(Table1[[#This Row],[Math 
Score]],Table1[[#This Row],[History 
Score]],Table1[[#This Row],[Physics 
Score]],Table1[[#This Row],[Chemistry 
Score]],Table1[[#This Row],[Biology 
Score]],Table1[[#This Row],[English 
Score]],Table1[[#This Row],[Geography 
Score]])</f>
        <v>79.714285714285708</v>
      </c>
      <c r="AB101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017">
        <f t="shared" si="15"/>
        <v>1178</v>
      </c>
      <c r="AD1017" t="str">
        <f>_xlfn.IFS(Table1[[#This Row],[Absence 
Days]]&lt;3,"Excellent",Table1[[#This Row],[Absence 
Days]]&lt;=6,"Good",Table1[[#This Row],[Absence 
Days]]&gt;6,"Poor")</f>
        <v>Good</v>
      </c>
    </row>
    <row r="1018" spans="1:30" x14ac:dyDescent="0.35">
      <c r="A1018">
        <v>1017</v>
      </c>
      <c r="B1018" s="2" t="s">
        <v>149</v>
      </c>
      <c r="C1018" t="s">
        <v>913</v>
      </c>
      <c r="D1018" t="str">
        <f>_xlfn.TEXTJOIN(" ",TRUE,Table1[[#This Row],[First 
Name]:[Last 
Name]])</f>
        <v>Joseph Carpenter</v>
      </c>
      <c r="E1018" t="s">
        <v>2128</v>
      </c>
      <c r="F1018" t="s">
        <v>3244</v>
      </c>
      <c r="G1018" t="str">
        <f ca="1">PROPER(Table1[[#This Row],[Part Time 
Job]])</f>
        <v>False</v>
      </c>
      <c r="H1018" s="3">
        <v>2</v>
      </c>
      <c r="I1018" t="str">
        <f ca="1">PROPER(Table1[[#This Row],[Extracurricular 
Activities]])</f>
        <v>False</v>
      </c>
      <c r="J1018">
        <v>30</v>
      </c>
      <c r="K1018" t="s">
        <v>3117</v>
      </c>
      <c r="L1018">
        <v>90</v>
      </c>
      <c r="M1018" s="12" t="str" cm="1">
        <f t="array" ref="M101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018">
        <v>69</v>
      </c>
      <c r="O1018" s="13" t="str" cm="1">
        <f t="array" ref="O101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018">
        <v>91</v>
      </c>
      <c r="Q1018" s="13" t="str" cm="1">
        <f t="array" ref="Q101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018">
        <v>84</v>
      </c>
      <c r="S1018" t="str" cm="1">
        <f t="array" ref="S101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018">
        <v>65</v>
      </c>
      <c r="U1018" t="str" cm="1">
        <f t="array" ref="U101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018">
        <v>86</v>
      </c>
      <c r="W1018" t="str" cm="1">
        <f t="array" ref="W101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018">
        <v>93</v>
      </c>
      <c r="Y1018" t="str" cm="1">
        <f t="array" ref="Y101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018">
        <f>SUM(Table1[[#This Row],[Math 
Score]],Table1[[#This Row],[History 
Score]],Table1[[#This Row],[Physics 
Score]],Table1[[#This Row],[Chemistry 
Score]],Table1[[#This Row],[Biology 
Score]],Table1[[#This Row],[English 
Score]],Table1[[#This Row],[Geography 
Score]])</f>
        <v>578</v>
      </c>
      <c r="AA1018" s="3">
        <f>AVERAGE(Table1[[#This Row],[Math 
Score]],Table1[[#This Row],[History 
Score]],Table1[[#This Row],[Physics 
Score]],Table1[[#This Row],[Chemistry 
Score]],Table1[[#This Row],[Biology 
Score]],Table1[[#This Row],[English 
Score]],Table1[[#This Row],[Geography 
Score]])</f>
        <v>82.571428571428569</v>
      </c>
      <c r="AB101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018">
        <f t="shared" si="15"/>
        <v>752</v>
      </c>
      <c r="AD1018" t="str">
        <f>_xlfn.IFS(Table1[[#This Row],[Absence 
Days]]&lt;3,"Excellent",Table1[[#This Row],[Absence 
Days]]&lt;=6,"Good",Table1[[#This Row],[Absence 
Days]]&gt;6,"Poor")</f>
        <v>Excellent</v>
      </c>
    </row>
    <row r="1019" spans="1:30" x14ac:dyDescent="0.35">
      <c r="A1019">
        <v>1018</v>
      </c>
      <c r="B1019" s="2" t="s">
        <v>165</v>
      </c>
      <c r="C1019" t="s">
        <v>605</v>
      </c>
      <c r="D1019" t="str">
        <f>_xlfn.TEXTJOIN(" ",TRUE,Table1[[#This Row],[First 
Name]:[Last 
Name]])</f>
        <v>Sarah Tucker</v>
      </c>
      <c r="E1019" t="s">
        <v>2129</v>
      </c>
      <c r="F1019" t="s">
        <v>3245</v>
      </c>
      <c r="G1019" t="str">
        <f ca="1">PROPER(Table1[[#This Row],[Part Time 
Job]])</f>
        <v>False</v>
      </c>
      <c r="H1019" s="3">
        <v>3</v>
      </c>
      <c r="I1019" t="str">
        <f ca="1">PROPER(Table1[[#This Row],[Extracurricular 
Activities]])</f>
        <v>False</v>
      </c>
      <c r="J1019">
        <v>18</v>
      </c>
      <c r="K1019" t="s">
        <v>3116</v>
      </c>
      <c r="L1019">
        <v>67</v>
      </c>
      <c r="M1019" s="12" t="str" cm="1">
        <f t="array" ref="M1019">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019">
        <v>60</v>
      </c>
      <c r="O1019" s="13" t="str" cm="1">
        <f t="array" ref="O101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019">
        <v>87</v>
      </c>
      <c r="Q1019" s="13" t="str" cm="1">
        <f t="array" ref="Q101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019">
        <v>73</v>
      </c>
      <c r="S1019" t="str" cm="1">
        <f t="array" ref="S101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019">
        <v>92</v>
      </c>
      <c r="U1019" t="str" cm="1">
        <f t="array" ref="U101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019">
        <v>82</v>
      </c>
      <c r="W1019" t="str" cm="1">
        <f t="array" ref="W101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019">
        <v>70</v>
      </c>
      <c r="Y1019" t="str" cm="1">
        <f t="array" ref="Y101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019">
        <f>SUM(Table1[[#This Row],[Math 
Score]],Table1[[#This Row],[History 
Score]],Table1[[#This Row],[Physics 
Score]],Table1[[#This Row],[Chemistry 
Score]],Table1[[#This Row],[Biology 
Score]],Table1[[#This Row],[English 
Score]],Table1[[#This Row],[Geography 
Score]])</f>
        <v>531</v>
      </c>
      <c r="AA1019" s="3">
        <f>AVERAGE(Table1[[#This Row],[Math 
Score]],Table1[[#This Row],[History 
Score]],Table1[[#This Row],[Physics 
Score]],Table1[[#This Row],[Chemistry 
Score]],Table1[[#This Row],[Biology 
Score]],Table1[[#This Row],[English 
Score]],Table1[[#This Row],[Geography 
Score]])</f>
        <v>75.857142857142861</v>
      </c>
      <c r="AB101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019">
        <f t="shared" si="15"/>
        <v>1637</v>
      </c>
      <c r="AD1019" t="str">
        <f>_xlfn.IFS(Table1[[#This Row],[Absence 
Days]]&lt;3,"Excellent",Table1[[#This Row],[Absence 
Days]]&lt;=6,"Good",Table1[[#This Row],[Absence 
Days]]&gt;6,"Poor")</f>
        <v>Good</v>
      </c>
    </row>
    <row r="1020" spans="1:30" x14ac:dyDescent="0.35">
      <c r="A1020">
        <v>1019</v>
      </c>
      <c r="B1020" s="2" t="s">
        <v>60</v>
      </c>
      <c r="C1020" t="s">
        <v>593</v>
      </c>
      <c r="D1020" t="str">
        <f>_xlfn.TEXTJOIN(" ",TRUE,Table1[[#This Row],[First 
Name]:[Last 
Name]])</f>
        <v>Steven Hernandez</v>
      </c>
      <c r="E1020" t="s">
        <v>2130</v>
      </c>
      <c r="F1020" t="s">
        <v>3244</v>
      </c>
      <c r="G1020" t="str">
        <f ca="1">PROPER(Table1[[#This Row],[Part Time 
Job]])</f>
        <v>False</v>
      </c>
      <c r="H1020" s="3">
        <v>3</v>
      </c>
      <c r="I1020" t="str">
        <f ca="1">PROPER(Table1[[#This Row],[Extracurricular 
Activities]])</f>
        <v>False</v>
      </c>
      <c r="J1020">
        <v>32</v>
      </c>
      <c r="K1020" t="s">
        <v>3123</v>
      </c>
      <c r="L1020">
        <v>81</v>
      </c>
      <c r="M1020" s="12" t="str" cm="1">
        <f t="array" ref="M102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020">
        <v>91</v>
      </c>
      <c r="O1020" s="13" t="str" cm="1">
        <f t="array" ref="O102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020">
        <v>73</v>
      </c>
      <c r="Q1020" s="13" t="str" cm="1">
        <f t="array" ref="Q102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020">
        <v>72</v>
      </c>
      <c r="S1020" t="str" cm="1">
        <f t="array" ref="S102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020">
        <v>49</v>
      </c>
      <c r="U1020" t="str" cm="1">
        <f t="array" ref="U102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D</v>
      </c>
      <c r="V1020">
        <v>81</v>
      </c>
      <c r="W1020" t="str" cm="1">
        <f t="array" ref="W102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020">
        <v>72</v>
      </c>
      <c r="Y1020" t="str" cm="1">
        <f t="array" ref="Y102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020">
        <f>SUM(Table1[[#This Row],[Math 
Score]],Table1[[#This Row],[History 
Score]],Table1[[#This Row],[Physics 
Score]],Table1[[#This Row],[Chemistry 
Score]],Table1[[#This Row],[Biology 
Score]],Table1[[#This Row],[English 
Score]],Table1[[#This Row],[Geography 
Score]])</f>
        <v>519</v>
      </c>
      <c r="AA1020" s="3">
        <f>AVERAGE(Table1[[#This Row],[Math 
Score]],Table1[[#This Row],[History 
Score]],Table1[[#This Row],[Physics 
Score]],Table1[[#This Row],[Chemistry 
Score]],Table1[[#This Row],[Biology 
Score]],Table1[[#This Row],[English 
Score]],Table1[[#This Row],[Geography 
Score]])</f>
        <v>74.142857142857139</v>
      </c>
      <c r="AB102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020">
        <f t="shared" si="15"/>
        <v>1766</v>
      </c>
      <c r="AD1020" t="str">
        <f>_xlfn.IFS(Table1[[#This Row],[Absence 
Days]]&lt;3,"Excellent",Table1[[#This Row],[Absence 
Days]]&lt;=6,"Good",Table1[[#This Row],[Absence 
Days]]&gt;6,"Poor")</f>
        <v>Good</v>
      </c>
    </row>
    <row r="1021" spans="1:30" x14ac:dyDescent="0.35">
      <c r="A1021">
        <v>1020</v>
      </c>
      <c r="B1021" s="2" t="s">
        <v>74</v>
      </c>
      <c r="C1021" t="s">
        <v>914</v>
      </c>
      <c r="D1021" t="str">
        <f>_xlfn.TEXTJOIN(" ",TRUE,Table1[[#This Row],[First 
Name]:[Last 
Name]])</f>
        <v>Robert Foley</v>
      </c>
      <c r="E1021" t="s">
        <v>2131</v>
      </c>
      <c r="F1021" t="s">
        <v>3244</v>
      </c>
      <c r="G1021" t="str">
        <f ca="1">PROPER(Table1[[#This Row],[Part Time 
Job]])</f>
        <v>False</v>
      </c>
      <c r="H1021" s="3">
        <v>1</v>
      </c>
      <c r="I1021" t="str">
        <f ca="1">PROPER(Table1[[#This Row],[Extracurricular 
Activities]])</f>
        <v>False</v>
      </c>
      <c r="J1021">
        <v>31</v>
      </c>
      <c r="K1021" t="s">
        <v>3117</v>
      </c>
      <c r="L1021">
        <v>95</v>
      </c>
      <c r="M1021" s="12" t="str" cm="1">
        <f t="array" ref="M102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021">
        <v>71</v>
      </c>
      <c r="O1021" s="13" t="str" cm="1">
        <f t="array" ref="O102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021">
        <v>88</v>
      </c>
      <c r="Q1021" s="13" t="str" cm="1">
        <f t="array" ref="Q102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021">
        <v>96</v>
      </c>
      <c r="S1021" t="str" cm="1">
        <f t="array" ref="S102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021">
        <v>82</v>
      </c>
      <c r="U1021" t="str" cm="1">
        <f t="array" ref="U102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021">
        <v>65</v>
      </c>
      <c r="W1021" t="str" cm="1">
        <f t="array" ref="W102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021">
        <v>80</v>
      </c>
      <c r="Y1021" t="str" cm="1">
        <f t="array" ref="Y102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021">
        <f>SUM(Table1[[#This Row],[Math 
Score]],Table1[[#This Row],[History 
Score]],Table1[[#This Row],[Physics 
Score]],Table1[[#This Row],[Chemistry 
Score]],Table1[[#This Row],[Biology 
Score]],Table1[[#This Row],[English 
Score]],Table1[[#This Row],[Geography 
Score]])</f>
        <v>577</v>
      </c>
      <c r="AA1021" s="3">
        <f>AVERAGE(Table1[[#This Row],[Math 
Score]],Table1[[#This Row],[History 
Score]],Table1[[#This Row],[Physics 
Score]],Table1[[#This Row],[Chemistry 
Score]],Table1[[#This Row],[Biology 
Score]],Table1[[#This Row],[English 
Score]],Table1[[#This Row],[Geography 
Score]])</f>
        <v>82.428571428571431</v>
      </c>
      <c r="AB102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021">
        <f t="shared" si="15"/>
        <v>769</v>
      </c>
      <c r="AD1021" t="str">
        <f>_xlfn.IFS(Table1[[#This Row],[Absence 
Days]]&lt;3,"Excellent",Table1[[#This Row],[Absence 
Days]]&lt;=6,"Good",Table1[[#This Row],[Absence 
Days]]&gt;6,"Poor")</f>
        <v>Excellent</v>
      </c>
    </row>
    <row r="1022" spans="1:30" x14ac:dyDescent="0.35">
      <c r="A1022">
        <v>1021</v>
      </c>
      <c r="B1022" s="2" t="s">
        <v>34</v>
      </c>
      <c r="C1022" t="s">
        <v>915</v>
      </c>
      <c r="D1022" t="str">
        <f>_xlfn.TEXTJOIN(" ",TRUE,Table1[[#This Row],[First 
Name]:[Last 
Name]])</f>
        <v>Michael Carr</v>
      </c>
      <c r="E1022" t="s">
        <v>2132</v>
      </c>
      <c r="F1022" t="s">
        <v>3244</v>
      </c>
      <c r="G1022" t="str">
        <f ca="1">PROPER(Table1[[#This Row],[Part Time 
Job]])</f>
        <v>False</v>
      </c>
      <c r="H1022" s="3">
        <v>10</v>
      </c>
      <c r="I1022" t="str">
        <f ca="1">PROPER(Table1[[#This Row],[Extracurricular 
Activities]])</f>
        <v>False</v>
      </c>
      <c r="J1022">
        <v>0</v>
      </c>
      <c r="K1022" t="s">
        <v>3119</v>
      </c>
      <c r="L1022">
        <v>67</v>
      </c>
      <c r="M1022" s="12" t="str" cm="1">
        <f t="array" ref="M1022">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022">
        <v>50</v>
      </c>
      <c r="O1022" s="13" t="str" cm="1">
        <f t="array" ref="O102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C</v>
      </c>
      <c r="P1022">
        <v>93</v>
      </c>
      <c r="Q1022" s="13" t="str" cm="1">
        <f t="array" ref="Q102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022">
        <v>86</v>
      </c>
      <c r="S1022" t="str" cm="1">
        <f t="array" ref="S102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022">
        <v>66</v>
      </c>
      <c r="U1022" t="str" cm="1">
        <f t="array" ref="U102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022">
        <v>73</v>
      </c>
      <c r="W1022" t="str" cm="1">
        <f t="array" ref="W102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022">
        <v>85</v>
      </c>
      <c r="Y1022" t="str" cm="1">
        <f t="array" ref="Y102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022">
        <f>SUM(Table1[[#This Row],[Math 
Score]],Table1[[#This Row],[History 
Score]],Table1[[#This Row],[Physics 
Score]],Table1[[#This Row],[Chemistry 
Score]],Table1[[#This Row],[Biology 
Score]],Table1[[#This Row],[English 
Score]],Table1[[#This Row],[Geography 
Score]])</f>
        <v>520</v>
      </c>
      <c r="AA1022" s="3">
        <f>AVERAGE(Table1[[#This Row],[Math 
Score]],Table1[[#This Row],[History 
Score]],Table1[[#This Row],[Physics 
Score]],Table1[[#This Row],[Chemistry 
Score]],Table1[[#This Row],[Biology 
Score]],Table1[[#This Row],[English 
Score]],Table1[[#This Row],[Geography 
Score]])</f>
        <v>74.285714285714292</v>
      </c>
      <c r="AB102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022">
        <f t="shared" si="15"/>
        <v>1753</v>
      </c>
      <c r="AD1022" t="str">
        <f>_xlfn.IFS(Table1[[#This Row],[Absence 
Days]]&lt;3,"Excellent",Table1[[#This Row],[Absence 
Days]]&lt;=6,"Good",Table1[[#This Row],[Absence 
Days]]&gt;6,"Poor")</f>
        <v>Poor</v>
      </c>
    </row>
    <row r="1023" spans="1:30" x14ac:dyDescent="0.35">
      <c r="A1023">
        <v>1022</v>
      </c>
      <c r="B1023" s="2" t="s">
        <v>274</v>
      </c>
      <c r="C1023" t="s">
        <v>916</v>
      </c>
      <c r="D1023" t="str">
        <f>_xlfn.TEXTJOIN(" ",TRUE,Table1[[#This Row],[First 
Name]:[Last 
Name]])</f>
        <v>Walter Herrera</v>
      </c>
      <c r="E1023" t="s">
        <v>2133</v>
      </c>
      <c r="F1023" t="s">
        <v>3244</v>
      </c>
      <c r="G1023" t="str">
        <f ca="1">PROPER(Table1[[#This Row],[Part Time 
Job]])</f>
        <v>False</v>
      </c>
      <c r="H1023" s="3">
        <v>7</v>
      </c>
      <c r="I1023" t="str">
        <f ca="1">PROPER(Table1[[#This Row],[Extracurricular 
Activities]])</f>
        <v>False</v>
      </c>
      <c r="J1023">
        <v>3</v>
      </c>
      <c r="K1023" t="s">
        <v>3126</v>
      </c>
      <c r="L1023">
        <v>83</v>
      </c>
      <c r="M1023" s="12" t="str" cm="1">
        <f t="array" ref="M102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023">
        <v>69</v>
      </c>
      <c r="O1023" s="13" t="str" cm="1">
        <f t="array" ref="O102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023">
        <v>99</v>
      </c>
      <c r="Q1023" s="13" t="str" cm="1">
        <f t="array" ref="Q102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023">
        <v>88</v>
      </c>
      <c r="S1023" t="str" cm="1">
        <f t="array" ref="S102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023">
        <v>87</v>
      </c>
      <c r="U1023" t="str" cm="1">
        <f t="array" ref="U102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023">
        <v>81</v>
      </c>
      <c r="W1023" t="str" cm="1">
        <f t="array" ref="W102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023">
        <v>68</v>
      </c>
      <c r="Y1023" t="str" cm="1">
        <f t="array" ref="Y102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023">
        <f>SUM(Table1[[#This Row],[Math 
Score]],Table1[[#This Row],[History 
Score]],Table1[[#This Row],[Physics 
Score]],Table1[[#This Row],[Chemistry 
Score]],Table1[[#This Row],[Biology 
Score]],Table1[[#This Row],[English 
Score]],Table1[[#This Row],[Geography 
Score]])</f>
        <v>575</v>
      </c>
      <c r="AA1023" s="3">
        <f>AVERAGE(Table1[[#This Row],[Math 
Score]],Table1[[#This Row],[History 
Score]],Table1[[#This Row],[Physics 
Score]],Table1[[#This Row],[Chemistry 
Score]],Table1[[#This Row],[Biology 
Score]],Table1[[#This Row],[English 
Score]],Table1[[#This Row],[Geography 
Score]])</f>
        <v>82.142857142857139</v>
      </c>
      <c r="AB102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023">
        <f t="shared" si="15"/>
        <v>807</v>
      </c>
      <c r="AD1023" t="str">
        <f>_xlfn.IFS(Table1[[#This Row],[Absence 
Days]]&lt;3,"Excellent",Table1[[#This Row],[Absence 
Days]]&lt;=6,"Good",Table1[[#This Row],[Absence 
Days]]&gt;6,"Poor")</f>
        <v>Poor</v>
      </c>
    </row>
    <row r="1024" spans="1:30" x14ac:dyDescent="0.35">
      <c r="A1024">
        <v>1023</v>
      </c>
      <c r="B1024" s="2" t="s">
        <v>165</v>
      </c>
      <c r="C1024" t="s">
        <v>917</v>
      </c>
      <c r="D1024" t="str">
        <f>_xlfn.TEXTJOIN(" ",TRUE,Table1[[#This Row],[First 
Name]:[Last 
Name]])</f>
        <v>Sarah Mckinney</v>
      </c>
      <c r="E1024" t="s">
        <v>2134</v>
      </c>
      <c r="F1024" t="s">
        <v>3245</v>
      </c>
      <c r="G1024" t="str">
        <f ca="1">PROPER(Table1[[#This Row],[Part Time 
Job]])</f>
        <v>False</v>
      </c>
      <c r="H1024" s="3">
        <v>3</v>
      </c>
      <c r="I1024" t="str">
        <f ca="1">PROPER(Table1[[#This Row],[Extracurricular 
Activities]])</f>
        <v>True</v>
      </c>
      <c r="J1024">
        <v>5</v>
      </c>
      <c r="K1024" t="s">
        <v>3115</v>
      </c>
      <c r="L1024">
        <v>87</v>
      </c>
      <c r="M1024" s="12" t="str" cm="1">
        <f t="array" ref="M102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024">
        <v>96</v>
      </c>
      <c r="O1024" s="13" t="str" cm="1">
        <f t="array" ref="O102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024">
        <v>67</v>
      </c>
      <c r="Q1024" s="13" t="str" cm="1">
        <f t="array" ref="Q102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024">
        <v>64</v>
      </c>
      <c r="S1024" t="str" cm="1">
        <f t="array" ref="S102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024">
        <v>67</v>
      </c>
      <c r="U1024" t="str" cm="1">
        <f t="array" ref="U102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024">
        <v>81</v>
      </c>
      <c r="W1024" t="str" cm="1">
        <f t="array" ref="W102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024">
        <v>90</v>
      </c>
      <c r="Y1024" t="str" cm="1">
        <f t="array" ref="Y102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024">
        <f>SUM(Table1[[#This Row],[Math 
Score]],Table1[[#This Row],[History 
Score]],Table1[[#This Row],[Physics 
Score]],Table1[[#This Row],[Chemistry 
Score]],Table1[[#This Row],[Biology 
Score]],Table1[[#This Row],[English 
Score]],Table1[[#This Row],[Geography 
Score]])</f>
        <v>552</v>
      </c>
      <c r="AA1024" s="3">
        <f>AVERAGE(Table1[[#This Row],[Math 
Score]],Table1[[#This Row],[History 
Score]],Table1[[#This Row],[Physics 
Score]],Table1[[#This Row],[Chemistry 
Score]],Table1[[#This Row],[Biology 
Score]],Table1[[#This Row],[English 
Score]],Table1[[#This Row],[Geography 
Score]])</f>
        <v>78.857142857142861</v>
      </c>
      <c r="AB102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024">
        <f t="shared" si="15"/>
        <v>1306</v>
      </c>
      <c r="AD1024" t="str">
        <f>_xlfn.IFS(Table1[[#This Row],[Absence 
Days]]&lt;3,"Excellent",Table1[[#This Row],[Absence 
Days]]&lt;=6,"Good",Table1[[#This Row],[Absence 
Days]]&gt;6,"Poor")</f>
        <v>Good</v>
      </c>
    </row>
    <row r="1025" spans="1:30" x14ac:dyDescent="0.35">
      <c r="A1025">
        <v>1024</v>
      </c>
      <c r="B1025" s="2" t="s">
        <v>52</v>
      </c>
      <c r="C1025" t="s">
        <v>711</v>
      </c>
      <c r="D1025" t="str">
        <f>_xlfn.TEXTJOIN(" ",TRUE,Table1[[#This Row],[First 
Name]:[Last 
Name]])</f>
        <v>Jacob Nguyen</v>
      </c>
      <c r="E1025" t="s">
        <v>2135</v>
      </c>
      <c r="F1025" t="s">
        <v>3244</v>
      </c>
      <c r="G1025" t="str">
        <f ca="1">PROPER(Table1[[#This Row],[Part Time 
Job]])</f>
        <v>False</v>
      </c>
      <c r="H1025" s="3">
        <v>3</v>
      </c>
      <c r="I1025" t="str">
        <f ca="1">PROPER(Table1[[#This Row],[Extracurricular 
Activities]])</f>
        <v>True</v>
      </c>
      <c r="J1025">
        <v>24</v>
      </c>
      <c r="K1025" t="s">
        <v>3125</v>
      </c>
      <c r="L1025">
        <v>82</v>
      </c>
      <c r="M1025" s="12" t="str" cm="1">
        <f t="array" ref="M102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025">
        <v>71</v>
      </c>
      <c r="O1025" s="13" t="str" cm="1">
        <f t="array" ref="O102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025">
        <v>84</v>
      </c>
      <c r="Q1025" s="13" t="str" cm="1">
        <f t="array" ref="Q102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025">
        <v>68</v>
      </c>
      <c r="S1025" t="str" cm="1">
        <f t="array" ref="S102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025">
        <v>74</v>
      </c>
      <c r="U1025" t="str" cm="1">
        <f t="array" ref="U102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025">
        <v>64</v>
      </c>
      <c r="W1025" t="str" cm="1">
        <f t="array" ref="W102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025">
        <v>73</v>
      </c>
      <c r="Y1025" t="str" cm="1">
        <f t="array" ref="Y102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025">
        <f>SUM(Table1[[#This Row],[Math 
Score]],Table1[[#This Row],[History 
Score]],Table1[[#This Row],[Physics 
Score]],Table1[[#This Row],[Chemistry 
Score]],Table1[[#This Row],[Biology 
Score]],Table1[[#This Row],[English 
Score]],Table1[[#This Row],[Geography 
Score]])</f>
        <v>516</v>
      </c>
      <c r="AA1025" s="3">
        <f>AVERAGE(Table1[[#This Row],[Math 
Score]],Table1[[#This Row],[History 
Score]],Table1[[#This Row],[Physics 
Score]],Table1[[#This Row],[Chemistry 
Score]],Table1[[#This Row],[Biology 
Score]],Table1[[#This Row],[English 
Score]],Table1[[#This Row],[Geography 
Score]])</f>
        <v>73.714285714285708</v>
      </c>
      <c r="AB102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025">
        <f t="shared" si="15"/>
        <v>1792</v>
      </c>
      <c r="AD1025" t="str">
        <f>_xlfn.IFS(Table1[[#This Row],[Absence 
Days]]&lt;3,"Excellent",Table1[[#This Row],[Absence 
Days]]&lt;=6,"Good",Table1[[#This Row],[Absence 
Days]]&gt;6,"Poor")</f>
        <v>Good</v>
      </c>
    </row>
    <row r="1026" spans="1:30" x14ac:dyDescent="0.35">
      <c r="A1026">
        <v>1025</v>
      </c>
      <c r="B1026" s="2" t="s">
        <v>270</v>
      </c>
      <c r="C1026" t="s">
        <v>918</v>
      </c>
      <c r="D1026" t="str">
        <f>_xlfn.TEXTJOIN(" ",TRUE,Table1[[#This Row],[First 
Name]:[Last 
Name]])</f>
        <v>Mary Garza</v>
      </c>
      <c r="E1026" t="s">
        <v>2136</v>
      </c>
      <c r="F1026" t="s">
        <v>3245</v>
      </c>
      <c r="G1026" t="str">
        <f ca="1">PROPER(Table1[[#This Row],[Part Time 
Job]])</f>
        <v>False</v>
      </c>
      <c r="H1026" s="3">
        <v>4</v>
      </c>
      <c r="I1026" t="str">
        <f ca="1">PROPER(Table1[[#This Row],[Extracurricular 
Activities]])</f>
        <v>False</v>
      </c>
      <c r="J1026">
        <v>27</v>
      </c>
      <c r="K1026" t="s">
        <v>3123</v>
      </c>
      <c r="L1026">
        <v>97</v>
      </c>
      <c r="M1026" s="12" t="str" cm="1">
        <f t="array" ref="M102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026">
        <v>87</v>
      </c>
      <c r="O1026" s="13" t="str" cm="1">
        <f t="array" ref="O102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026">
        <v>65</v>
      </c>
      <c r="Q1026" s="13" t="str" cm="1">
        <f t="array" ref="Q102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026">
        <v>90</v>
      </c>
      <c r="S1026" t="str" cm="1">
        <f t="array" ref="S102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026">
        <v>66</v>
      </c>
      <c r="U1026" t="str" cm="1">
        <f t="array" ref="U102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026">
        <v>84</v>
      </c>
      <c r="W1026" t="str" cm="1">
        <f t="array" ref="W102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026">
        <v>75</v>
      </c>
      <c r="Y1026" t="str" cm="1">
        <f t="array" ref="Y102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026">
        <f>SUM(Table1[[#This Row],[Math 
Score]],Table1[[#This Row],[History 
Score]],Table1[[#This Row],[Physics 
Score]],Table1[[#This Row],[Chemistry 
Score]],Table1[[#This Row],[Biology 
Score]],Table1[[#This Row],[English 
Score]],Table1[[#This Row],[Geography 
Score]])</f>
        <v>564</v>
      </c>
      <c r="AA1026" s="3">
        <f>AVERAGE(Table1[[#This Row],[Math 
Score]],Table1[[#This Row],[History 
Score]],Table1[[#This Row],[Physics 
Score]],Table1[[#This Row],[Chemistry 
Score]],Table1[[#This Row],[Biology 
Score]],Table1[[#This Row],[English 
Score]],Table1[[#This Row],[Geography 
Score]])</f>
        <v>80.571428571428569</v>
      </c>
      <c r="AB102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026">
        <f t="shared" ref="AC1026:AC1089" si="16">RANK(AA1026,$AA$2:$AA$2001,0)</f>
        <v>1056</v>
      </c>
      <c r="AD1026" t="str">
        <f>_xlfn.IFS(Table1[[#This Row],[Absence 
Days]]&lt;3,"Excellent",Table1[[#This Row],[Absence 
Days]]&lt;=6,"Good",Table1[[#This Row],[Absence 
Days]]&gt;6,"Poor")</f>
        <v>Good</v>
      </c>
    </row>
    <row r="1027" spans="1:30" x14ac:dyDescent="0.35">
      <c r="A1027">
        <v>1026</v>
      </c>
      <c r="B1027" s="2" t="s">
        <v>308</v>
      </c>
      <c r="C1027" t="s">
        <v>626</v>
      </c>
      <c r="D1027" t="str">
        <f>_xlfn.TEXTJOIN(" ",TRUE,Table1[[#This Row],[First 
Name]:[Last 
Name]])</f>
        <v>Jesse Hawkins</v>
      </c>
      <c r="E1027" t="s">
        <v>2137</v>
      </c>
      <c r="F1027" t="s">
        <v>3244</v>
      </c>
      <c r="G1027" t="str">
        <f ca="1">PROPER(Table1[[#This Row],[Part Time 
Job]])</f>
        <v>False</v>
      </c>
      <c r="H1027" s="3">
        <v>1</v>
      </c>
      <c r="I1027" t="str">
        <f ca="1">PROPER(Table1[[#This Row],[Extracurricular 
Activities]])</f>
        <v>True</v>
      </c>
      <c r="J1027">
        <v>21</v>
      </c>
      <c r="K1027" t="s">
        <v>3117</v>
      </c>
      <c r="L1027">
        <v>88</v>
      </c>
      <c r="M1027" s="12" t="str" cm="1">
        <f t="array" ref="M102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027">
        <v>67</v>
      </c>
      <c r="O1027" s="13" t="str" cm="1">
        <f t="array" ref="O102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027">
        <v>77</v>
      </c>
      <c r="Q1027" s="13" t="str" cm="1">
        <f t="array" ref="Q102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027">
        <v>89</v>
      </c>
      <c r="S1027" t="str" cm="1">
        <f t="array" ref="S102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027">
        <v>97</v>
      </c>
      <c r="U1027" t="str" cm="1">
        <f t="array" ref="U102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027">
        <v>70</v>
      </c>
      <c r="W1027" t="str" cm="1">
        <f t="array" ref="W102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027">
        <v>71</v>
      </c>
      <c r="Y1027" t="str" cm="1">
        <f t="array" ref="Y102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027">
        <f>SUM(Table1[[#This Row],[Math 
Score]],Table1[[#This Row],[History 
Score]],Table1[[#This Row],[Physics 
Score]],Table1[[#This Row],[Chemistry 
Score]],Table1[[#This Row],[Biology 
Score]],Table1[[#This Row],[English 
Score]],Table1[[#This Row],[Geography 
Score]])</f>
        <v>559</v>
      </c>
      <c r="AA1027" s="3">
        <f>AVERAGE(Table1[[#This Row],[Math 
Score]],Table1[[#This Row],[History 
Score]],Table1[[#This Row],[Physics 
Score]],Table1[[#This Row],[Chemistry 
Score]],Table1[[#This Row],[Biology 
Score]],Table1[[#This Row],[English 
Score]],Table1[[#This Row],[Geography 
Score]])</f>
        <v>79.857142857142861</v>
      </c>
      <c r="AB102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027">
        <f t="shared" si="16"/>
        <v>1155</v>
      </c>
      <c r="AD1027" t="str">
        <f>_xlfn.IFS(Table1[[#This Row],[Absence 
Days]]&lt;3,"Excellent",Table1[[#This Row],[Absence 
Days]]&lt;=6,"Good",Table1[[#This Row],[Absence 
Days]]&gt;6,"Poor")</f>
        <v>Excellent</v>
      </c>
    </row>
    <row r="1028" spans="1:30" x14ac:dyDescent="0.35">
      <c r="A1028">
        <v>1027</v>
      </c>
      <c r="B1028" s="2" t="s">
        <v>95</v>
      </c>
      <c r="C1028" t="s">
        <v>558</v>
      </c>
      <c r="D1028" t="str">
        <f>_xlfn.TEXTJOIN(" ",TRUE,Table1[[#This Row],[First 
Name]:[Last 
Name]])</f>
        <v>Jordan Boyd</v>
      </c>
      <c r="E1028" t="s">
        <v>2138</v>
      </c>
      <c r="F1028" t="s">
        <v>3245</v>
      </c>
      <c r="G1028" t="str">
        <f ca="1">PROPER(Table1[[#This Row],[Part Time 
Job]])</f>
        <v>False</v>
      </c>
      <c r="H1028" s="3">
        <v>4</v>
      </c>
      <c r="I1028" t="str">
        <f ca="1">PROPER(Table1[[#This Row],[Extracurricular 
Activities]])</f>
        <v>False</v>
      </c>
      <c r="J1028">
        <v>32</v>
      </c>
      <c r="K1028" t="s">
        <v>3121</v>
      </c>
      <c r="L1028">
        <v>91</v>
      </c>
      <c r="M1028" s="12" t="str" cm="1">
        <f t="array" ref="M102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028">
        <v>94</v>
      </c>
      <c r="O1028" s="13" t="str" cm="1">
        <f t="array" ref="O102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028">
        <v>81</v>
      </c>
      <c r="Q1028" s="13" t="str" cm="1">
        <f t="array" ref="Q102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028">
        <v>61</v>
      </c>
      <c r="S1028" t="str" cm="1">
        <f t="array" ref="S102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028">
        <v>61</v>
      </c>
      <c r="U1028" t="str" cm="1">
        <f t="array" ref="U102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028">
        <v>82</v>
      </c>
      <c r="W1028" t="str" cm="1">
        <f t="array" ref="W102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028">
        <v>73</v>
      </c>
      <c r="Y1028" t="str" cm="1">
        <f t="array" ref="Y102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028">
        <f>SUM(Table1[[#This Row],[Math 
Score]],Table1[[#This Row],[History 
Score]],Table1[[#This Row],[Physics 
Score]],Table1[[#This Row],[Chemistry 
Score]],Table1[[#This Row],[Biology 
Score]],Table1[[#This Row],[English 
Score]],Table1[[#This Row],[Geography 
Score]])</f>
        <v>543</v>
      </c>
      <c r="AA1028" s="3">
        <f>AVERAGE(Table1[[#This Row],[Math 
Score]],Table1[[#This Row],[History 
Score]],Table1[[#This Row],[Physics 
Score]],Table1[[#This Row],[Chemistry 
Score]],Table1[[#This Row],[Biology 
Score]],Table1[[#This Row],[English 
Score]],Table1[[#This Row],[Geography 
Score]])</f>
        <v>77.571428571428569</v>
      </c>
      <c r="AB102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028">
        <f t="shared" si="16"/>
        <v>1464</v>
      </c>
      <c r="AD1028" t="str">
        <f>_xlfn.IFS(Table1[[#This Row],[Absence 
Days]]&lt;3,"Excellent",Table1[[#This Row],[Absence 
Days]]&lt;=6,"Good",Table1[[#This Row],[Absence 
Days]]&gt;6,"Poor")</f>
        <v>Good</v>
      </c>
    </row>
    <row r="1029" spans="1:30" x14ac:dyDescent="0.35">
      <c r="A1029">
        <v>1028</v>
      </c>
      <c r="B1029" s="2" t="s">
        <v>351</v>
      </c>
      <c r="C1029" t="s">
        <v>732</v>
      </c>
      <c r="D1029" t="str">
        <f>_xlfn.TEXTJOIN(" ",TRUE,Table1[[#This Row],[First 
Name]:[Last 
Name]])</f>
        <v>Latoya Mullins</v>
      </c>
      <c r="E1029" t="s">
        <v>2139</v>
      </c>
      <c r="F1029" t="s">
        <v>3245</v>
      </c>
      <c r="G1029" t="str">
        <f ca="1">PROPER(Table1[[#This Row],[Part Time 
Job]])</f>
        <v>True</v>
      </c>
      <c r="H1029" s="3">
        <v>7</v>
      </c>
      <c r="I1029" t="str">
        <f ca="1">PROPER(Table1[[#This Row],[Extracurricular 
Activities]])</f>
        <v>False</v>
      </c>
      <c r="J1029">
        <v>5</v>
      </c>
      <c r="K1029" t="s">
        <v>3119</v>
      </c>
      <c r="L1029">
        <v>77</v>
      </c>
      <c r="M1029" s="12" t="str" cm="1">
        <f t="array" ref="M102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029">
        <v>60</v>
      </c>
      <c r="O1029" s="13" t="str" cm="1">
        <f t="array" ref="O102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029">
        <v>83</v>
      </c>
      <c r="Q1029" s="13" t="str" cm="1">
        <f t="array" ref="Q102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029">
        <v>65</v>
      </c>
      <c r="S1029" t="str" cm="1">
        <f t="array" ref="S102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029">
        <v>81</v>
      </c>
      <c r="U1029" t="str" cm="1">
        <f t="array" ref="U102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029">
        <v>80</v>
      </c>
      <c r="W1029" t="str" cm="1">
        <f t="array" ref="W102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029">
        <v>88</v>
      </c>
      <c r="Y1029" t="str" cm="1">
        <f t="array" ref="Y102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029">
        <f>SUM(Table1[[#This Row],[Math 
Score]],Table1[[#This Row],[History 
Score]],Table1[[#This Row],[Physics 
Score]],Table1[[#This Row],[Chemistry 
Score]],Table1[[#This Row],[Biology 
Score]],Table1[[#This Row],[English 
Score]],Table1[[#This Row],[Geography 
Score]])</f>
        <v>534</v>
      </c>
      <c r="AA1029" s="3">
        <f>AVERAGE(Table1[[#This Row],[Math 
Score]],Table1[[#This Row],[History 
Score]],Table1[[#This Row],[Physics 
Score]],Table1[[#This Row],[Chemistry 
Score]],Table1[[#This Row],[Biology 
Score]],Table1[[#This Row],[English 
Score]],Table1[[#This Row],[Geography 
Score]])</f>
        <v>76.285714285714292</v>
      </c>
      <c r="AB102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029">
        <f t="shared" si="16"/>
        <v>1595</v>
      </c>
      <c r="AD1029" t="str">
        <f>_xlfn.IFS(Table1[[#This Row],[Absence 
Days]]&lt;3,"Excellent",Table1[[#This Row],[Absence 
Days]]&lt;=6,"Good",Table1[[#This Row],[Absence 
Days]]&gt;6,"Poor")</f>
        <v>Poor</v>
      </c>
    </row>
    <row r="1030" spans="1:30" x14ac:dyDescent="0.35">
      <c r="A1030">
        <v>1029</v>
      </c>
      <c r="B1030" s="2" t="s">
        <v>63</v>
      </c>
      <c r="C1030" t="s">
        <v>718</v>
      </c>
      <c r="D1030" t="str">
        <f>_xlfn.TEXTJOIN(" ",TRUE,Table1[[#This Row],[First 
Name]:[Last 
Name]])</f>
        <v>Jill Armstrong</v>
      </c>
      <c r="E1030" t="s">
        <v>2140</v>
      </c>
      <c r="F1030" t="s">
        <v>3245</v>
      </c>
      <c r="G1030" t="str">
        <f ca="1">PROPER(Table1[[#This Row],[Part Time 
Job]])</f>
        <v>False</v>
      </c>
      <c r="H1030" s="3">
        <v>7</v>
      </c>
      <c r="I1030" t="str">
        <f ca="1">PROPER(Table1[[#This Row],[Extracurricular 
Activities]])</f>
        <v>False</v>
      </c>
      <c r="J1030">
        <v>7</v>
      </c>
      <c r="K1030" t="s">
        <v>3116</v>
      </c>
      <c r="L1030">
        <v>94</v>
      </c>
      <c r="M1030" s="12" t="str" cm="1">
        <f t="array" ref="M103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030">
        <v>65</v>
      </c>
      <c r="O1030" s="13" t="str" cm="1">
        <f t="array" ref="O103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030">
        <v>96</v>
      </c>
      <c r="Q1030" s="13" t="str" cm="1">
        <f t="array" ref="Q103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030">
        <v>77</v>
      </c>
      <c r="S1030" t="str" cm="1">
        <f t="array" ref="S103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030">
        <v>83</v>
      </c>
      <c r="U1030" t="str" cm="1">
        <f t="array" ref="U103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030">
        <v>75</v>
      </c>
      <c r="W1030" t="str" cm="1">
        <f t="array" ref="W103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030">
        <v>98</v>
      </c>
      <c r="Y1030" t="str" cm="1">
        <f t="array" ref="Y103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030">
        <f>SUM(Table1[[#This Row],[Math 
Score]],Table1[[#This Row],[History 
Score]],Table1[[#This Row],[Physics 
Score]],Table1[[#This Row],[Chemistry 
Score]],Table1[[#This Row],[Biology 
Score]],Table1[[#This Row],[English 
Score]],Table1[[#This Row],[Geography 
Score]])</f>
        <v>588</v>
      </c>
      <c r="AA1030" s="3">
        <f>AVERAGE(Table1[[#This Row],[Math 
Score]],Table1[[#This Row],[History 
Score]],Table1[[#This Row],[Physics 
Score]],Table1[[#This Row],[Chemistry 
Score]],Table1[[#This Row],[Biology 
Score]],Table1[[#This Row],[English 
Score]],Table1[[#This Row],[Geography 
Score]])</f>
        <v>84</v>
      </c>
      <c r="AB103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030">
        <f t="shared" si="16"/>
        <v>565</v>
      </c>
      <c r="AD1030" t="str">
        <f>_xlfn.IFS(Table1[[#This Row],[Absence 
Days]]&lt;3,"Excellent",Table1[[#This Row],[Absence 
Days]]&lt;=6,"Good",Table1[[#This Row],[Absence 
Days]]&gt;6,"Poor")</f>
        <v>Poor</v>
      </c>
    </row>
    <row r="1031" spans="1:30" x14ac:dyDescent="0.35">
      <c r="A1031">
        <v>1030</v>
      </c>
      <c r="B1031" s="2" t="s">
        <v>292</v>
      </c>
      <c r="C1031" t="s">
        <v>578</v>
      </c>
      <c r="D1031" t="str">
        <f>_xlfn.TEXTJOIN(" ",TRUE,Table1[[#This Row],[First 
Name]:[Last 
Name]])</f>
        <v>Aaron Peterson</v>
      </c>
      <c r="E1031" t="s">
        <v>2141</v>
      </c>
      <c r="F1031" t="s">
        <v>3244</v>
      </c>
      <c r="G1031" t="str">
        <f ca="1">PROPER(Table1[[#This Row],[Part Time 
Job]])</f>
        <v>True</v>
      </c>
      <c r="H1031" s="3">
        <v>8</v>
      </c>
      <c r="I1031" t="str">
        <f ca="1">PROPER(Table1[[#This Row],[Extracurricular 
Activities]])</f>
        <v>False</v>
      </c>
      <c r="J1031">
        <v>1</v>
      </c>
      <c r="K1031" t="s">
        <v>3119</v>
      </c>
      <c r="L1031">
        <v>100</v>
      </c>
      <c r="M1031" s="12" t="str" cm="1">
        <f t="array" ref="M103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031">
        <v>82</v>
      </c>
      <c r="O1031" s="13" t="str" cm="1">
        <f t="array" ref="O103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031">
        <v>91</v>
      </c>
      <c r="Q1031" s="13" t="str" cm="1">
        <f t="array" ref="Q103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031">
        <v>82</v>
      </c>
      <c r="S1031" t="str" cm="1">
        <f t="array" ref="S103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031">
        <v>70</v>
      </c>
      <c r="U1031" t="str" cm="1">
        <f t="array" ref="U103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031">
        <v>51</v>
      </c>
      <c r="W1031" t="str" cm="1">
        <f t="array" ref="W103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C</v>
      </c>
      <c r="X1031">
        <v>77</v>
      </c>
      <c r="Y1031" t="str" cm="1">
        <f t="array" ref="Y103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031">
        <f>SUM(Table1[[#This Row],[Math 
Score]],Table1[[#This Row],[History 
Score]],Table1[[#This Row],[Physics 
Score]],Table1[[#This Row],[Chemistry 
Score]],Table1[[#This Row],[Biology 
Score]],Table1[[#This Row],[English 
Score]],Table1[[#This Row],[Geography 
Score]])</f>
        <v>553</v>
      </c>
      <c r="AA1031" s="3">
        <f>AVERAGE(Table1[[#This Row],[Math 
Score]],Table1[[#This Row],[History 
Score]],Table1[[#This Row],[Physics 
Score]],Table1[[#This Row],[Chemistry 
Score]],Table1[[#This Row],[Biology 
Score]],Table1[[#This Row],[English 
Score]],Table1[[#This Row],[Geography 
Score]])</f>
        <v>79</v>
      </c>
      <c r="AB103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031">
        <f t="shared" si="16"/>
        <v>1284</v>
      </c>
      <c r="AD1031" t="str">
        <f>_xlfn.IFS(Table1[[#This Row],[Absence 
Days]]&lt;3,"Excellent",Table1[[#This Row],[Absence 
Days]]&lt;=6,"Good",Table1[[#This Row],[Absence 
Days]]&gt;6,"Poor")</f>
        <v>Poor</v>
      </c>
    </row>
    <row r="1032" spans="1:30" x14ac:dyDescent="0.35">
      <c r="A1032">
        <v>1031</v>
      </c>
      <c r="B1032" s="2" t="s">
        <v>140</v>
      </c>
      <c r="C1032" t="s">
        <v>919</v>
      </c>
      <c r="D1032" t="str">
        <f>_xlfn.TEXTJOIN(" ",TRUE,Table1[[#This Row],[First 
Name]:[Last 
Name]])</f>
        <v>April Greene</v>
      </c>
      <c r="E1032" t="s">
        <v>2142</v>
      </c>
      <c r="F1032" t="s">
        <v>3245</v>
      </c>
      <c r="G1032" t="str">
        <f ca="1">PROPER(Table1[[#This Row],[Part Time 
Job]])</f>
        <v>False</v>
      </c>
      <c r="H1032" s="3">
        <v>3</v>
      </c>
      <c r="I1032" t="str">
        <f ca="1">PROPER(Table1[[#This Row],[Extracurricular 
Activities]])</f>
        <v>False</v>
      </c>
      <c r="J1032">
        <v>22</v>
      </c>
      <c r="K1032" t="s">
        <v>3121</v>
      </c>
      <c r="L1032">
        <v>96</v>
      </c>
      <c r="M1032" s="12" t="str" cm="1">
        <f t="array" ref="M103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032">
        <v>75</v>
      </c>
      <c r="O1032" s="13" t="str" cm="1">
        <f t="array" ref="O103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032">
        <v>79</v>
      </c>
      <c r="Q1032" s="13" t="str" cm="1">
        <f t="array" ref="Q103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032">
        <v>72</v>
      </c>
      <c r="S1032" t="str" cm="1">
        <f t="array" ref="S103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032">
        <v>69</v>
      </c>
      <c r="U1032" t="str" cm="1">
        <f t="array" ref="U103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032">
        <v>94</v>
      </c>
      <c r="W1032" t="str" cm="1">
        <f t="array" ref="W103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032">
        <v>64</v>
      </c>
      <c r="Y1032" t="str" cm="1">
        <f t="array" ref="Y103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032">
        <f>SUM(Table1[[#This Row],[Math 
Score]],Table1[[#This Row],[History 
Score]],Table1[[#This Row],[Physics 
Score]],Table1[[#This Row],[Chemistry 
Score]],Table1[[#This Row],[Biology 
Score]],Table1[[#This Row],[English 
Score]],Table1[[#This Row],[Geography 
Score]])</f>
        <v>549</v>
      </c>
      <c r="AA1032" s="3">
        <f>AVERAGE(Table1[[#This Row],[Math 
Score]],Table1[[#This Row],[History 
Score]],Table1[[#This Row],[Physics 
Score]],Table1[[#This Row],[Chemistry 
Score]],Table1[[#This Row],[Biology 
Score]],Table1[[#This Row],[English 
Score]],Table1[[#This Row],[Geography 
Score]])</f>
        <v>78.428571428571431</v>
      </c>
      <c r="AB103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032">
        <f t="shared" si="16"/>
        <v>1355</v>
      </c>
      <c r="AD1032" t="str">
        <f>_xlfn.IFS(Table1[[#This Row],[Absence 
Days]]&lt;3,"Excellent",Table1[[#This Row],[Absence 
Days]]&lt;=6,"Good",Table1[[#This Row],[Absence 
Days]]&gt;6,"Poor")</f>
        <v>Good</v>
      </c>
    </row>
    <row r="1033" spans="1:30" x14ac:dyDescent="0.35">
      <c r="A1033">
        <v>1032</v>
      </c>
      <c r="B1033" s="2" t="s">
        <v>264</v>
      </c>
      <c r="C1033" t="s">
        <v>464</v>
      </c>
      <c r="D1033" t="str">
        <f>_xlfn.TEXTJOIN(" ",TRUE,Table1[[#This Row],[First 
Name]:[Last 
Name]])</f>
        <v>Theodore Gomez</v>
      </c>
      <c r="E1033" t="s">
        <v>2143</v>
      </c>
      <c r="F1033" t="s">
        <v>3244</v>
      </c>
      <c r="G1033" t="str">
        <f ca="1">PROPER(Table1[[#This Row],[Part Time 
Job]])</f>
        <v>False</v>
      </c>
      <c r="H1033" s="3">
        <v>5</v>
      </c>
      <c r="I1033" t="str">
        <f ca="1">PROPER(Table1[[#This Row],[Extracurricular 
Activities]])</f>
        <v>True</v>
      </c>
      <c r="J1033">
        <v>15</v>
      </c>
      <c r="K1033" t="s">
        <v>3123</v>
      </c>
      <c r="L1033">
        <v>75</v>
      </c>
      <c r="M1033" s="12" t="str" cm="1">
        <f t="array" ref="M103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033">
        <v>64</v>
      </c>
      <c r="O1033" s="13" t="str" cm="1">
        <f t="array" ref="O103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033">
        <v>76</v>
      </c>
      <c r="Q1033" s="13" t="str" cm="1">
        <f t="array" ref="Q103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033">
        <v>65</v>
      </c>
      <c r="S1033" t="str" cm="1">
        <f t="array" ref="S103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033">
        <v>44</v>
      </c>
      <c r="U1033" t="str" cm="1">
        <f t="array" ref="U103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D</v>
      </c>
      <c r="V1033">
        <v>80</v>
      </c>
      <c r="W1033" t="str" cm="1">
        <f t="array" ref="W103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033">
        <v>91</v>
      </c>
      <c r="Y1033" t="str" cm="1">
        <f t="array" ref="Y103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033">
        <f>SUM(Table1[[#This Row],[Math 
Score]],Table1[[#This Row],[History 
Score]],Table1[[#This Row],[Physics 
Score]],Table1[[#This Row],[Chemistry 
Score]],Table1[[#This Row],[Biology 
Score]],Table1[[#This Row],[English 
Score]],Table1[[#This Row],[Geography 
Score]])</f>
        <v>495</v>
      </c>
      <c r="AA1033" s="3">
        <f>AVERAGE(Table1[[#This Row],[Math 
Score]],Table1[[#This Row],[History 
Score]],Table1[[#This Row],[Physics 
Score]],Table1[[#This Row],[Chemistry 
Score]],Table1[[#This Row],[Biology 
Score]],Table1[[#This Row],[English 
Score]],Table1[[#This Row],[Geography 
Score]])</f>
        <v>70.714285714285708</v>
      </c>
      <c r="AB103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033">
        <f t="shared" si="16"/>
        <v>1896</v>
      </c>
      <c r="AD1033" t="str">
        <f>_xlfn.IFS(Table1[[#This Row],[Absence 
Days]]&lt;3,"Excellent",Table1[[#This Row],[Absence 
Days]]&lt;=6,"Good",Table1[[#This Row],[Absence 
Days]]&gt;6,"Poor")</f>
        <v>Good</v>
      </c>
    </row>
    <row r="1034" spans="1:30" x14ac:dyDescent="0.35">
      <c r="A1034">
        <v>1033</v>
      </c>
      <c r="B1034" s="2" t="s">
        <v>124</v>
      </c>
      <c r="C1034" t="s">
        <v>615</v>
      </c>
      <c r="D1034" t="str">
        <f>_xlfn.TEXTJOIN(" ",TRUE,Table1[[#This Row],[First 
Name]:[Last 
Name]])</f>
        <v>John Gardner</v>
      </c>
      <c r="E1034" t="s">
        <v>2144</v>
      </c>
      <c r="F1034" t="s">
        <v>3244</v>
      </c>
      <c r="G1034" t="str">
        <f ca="1">PROPER(Table1[[#This Row],[Part Time 
Job]])</f>
        <v>False</v>
      </c>
      <c r="H1034" s="3">
        <v>1</v>
      </c>
      <c r="I1034" t="str">
        <f ca="1">PROPER(Table1[[#This Row],[Extracurricular 
Activities]])</f>
        <v>False</v>
      </c>
      <c r="J1034">
        <v>12</v>
      </c>
      <c r="K1034" t="s">
        <v>3114</v>
      </c>
      <c r="L1034">
        <v>94</v>
      </c>
      <c r="M1034" s="12" t="str" cm="1">
        <f t="array" ref="M103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034">
        <v>84</v>
      </c>
      <c r="O1034" s="13" t="str" cm="1">
        <f t="array" ref="O103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034">
        <v>85</v>
      </c>
      <c r="Q1034" s="13" t="str" cm="1">
        <f t="array" ref="Q103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034">
        <v>63</v>
      </c>
      <c r="S1034" t="str" cm="1">
        <f t="array" ref="S103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034">
        <v>67</v>
      </c>
      <c r="U1034" t="str" cm="1">
        <f t="array" ref="U103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034">
        <v>89</v>
      </c>
      <c r="W1034" t="str" cm="1">
        <f t="array" ref="W103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034">
        <v>66</v>
      </c>
      <c r="Y1034" t="str" cm="1">
        <f t="array" ref="Y103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034">
        <f>SUM(Table1[[#This Row],[Math 
Score]],Table1[[#This Row],[History 
Score]],Table1[[#This Row],[Physics 
Score]],Table1[[#This Row],[Chemistry 
Score]],Table1[[#This Row],[Biology 
Score]],Table1[[#This Row],[English 
Score]],Table1[[#This Row],[Geography 
Score]])</f>
        <v>548</v>
      </c>
      <c r="AA1034" s="3">
        <f>AVERAGE(Table1[[#This Row],[Math 
Score]],Table1[[#This Row],[History 
Score]],Table1[[#This Row],[Physics 
Score]],Table1[[#This Row],[Chemistry 
Score]],Table1[[#This Row],[Biology 
Score]],Table1[[#This Row],[English 
Score]],Table1[[#This Row],[Geography 
Score]])</f>
        <v>78.285714285714292</v>
      </c>
      <c r="AB103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034">
        <f t="shared" si="16"/>
        <v>1374</v>
      </c>
      <c r="AD1034" t="str">
        <f>_xlfn.IFS(Table1[[#This Row],[Absence 
Days]]&lt;3,"Excellent",Table1[[#This Row],[Absence 
Days]]&lt;=6,"Good",Table1[[#This Row],[Absence 
Days]]&gt;6,"Poor")</f>
        <v>Excellent</v>
      </c>
    </row>
    <row r="1035" spans="1:30" x14ac:dyDescent="0.35">
      <c r="A1035">
        <v>1034</v>
      </c>
      <c r="B1035" s="2" t="s">
        <v>149</v>
      </c>
      <c r="C1035" t="s">
        <v>824</v>
      </c>
      <c r="D1035" t="str">
        <f>_xlfn.TEXTJOIN(" ",TRUE,Table1[[#This Row],[First 
Name]:[Last 
Name]])</f>
        <v>Joseph Petersen</v>
      </c>
      <c r="E1035" t="s">
        <v>2145</v>
      </c>
      <c r="F1035" t="s">
        <v>3244</v>
      </c>
      <c r="G1035" t="str">
        <f ca="1">PROPER(Table1[[#This Row],[Part Time 
Job]])</f>
        <v>False</v>
      </c>
      <c r="H1035" s="3">
        <v>3</v>
      </c>
      <c r="I1035" t="str">
        <f ca="1">PROPER(Table1[[#This Row],[Extracurricular 
Activities]])</f>
        <v>True</v>
      </c>
      <c r="J1035">
        <v>21</v>
      </c>
      <c r="K1035" t="s">
        <v>3116</v>
      </c>
      <c r="L1035">
        <v>89</v>
      </c>
      <c r="M1035" s="12" t="str" cm="1">
        <f t="array" ref="M103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035">
        <v>100</v>
      </c>
      <c r="O1035" s="13" t="str" cm="1">
        <f t="array" ref="O103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035">
        <v>89</v>
      </c>
      <c r="Q1035" s="13" t="str" cm="1">
        <f t="array" ref="Q103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035">
        <v>65</v>
      </c>
      <c r="S1035" t="str" cm="1">
        <f t="array" ref="S103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035">
        <v>91</v>
      </c>
      <c r="U1035" t="str" cm="1">
        <f t="array" ref="U103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035">
        <v>83</v>
      </c>
      <c r="W1035" t="str" cm="1">
        <f t="array" ref="W103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035">
        <v>61</v>
      </c>
      <c r="Y1035" t="str" cm="1">
        <f t="array" ref="Y103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035">
        <f>SUM(Table1[[#This Row],[Math 
Score]],Table1[[#This Row],[History 
Score]],Table1[[#This Row],[Physics 
Score]],Table1[[#This Row],[Chemistry 
Score]],Table1[[#This Row],[Biology 
Score]],Table1[[#This Row],[English 
Score]],Table1[[#This Row],[Geography 
Score]])</f>
        <v>578</v>
      </c>
      <c r="AA1035" s="3">
        <f>AVERAGE(Table1[[#This Row],[Math 
Score]],Table1[[#This Row],[History 
Score]],Table1[[#This Row],[Physics 
Score]],Table1[[#This Row],[Chemistry 
Score]],Table1[[#This Row],[Biology 
Score]],Table1[[#This Row],[English 
Score]],Table1[[#This Row],[Geography 
Score]])</f>
        <v>82.571428571428569</v>
      </c>
      <c r="AB103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035">
        <f t="shared" si="16"/>
        <v>752</v>
      </c>
      <c r="AD1035" t="str">
        <f>_xlfn.IFS(Table1[[#This Row],[Absence 
Days]]&lt;3,"Excellent",Table1[[#This Row],[Absence 
Days]]&lt;=6,"Good",Table1[[#This Row],[Absence 
Days]]&gt;6,"Poor")</f>
        <v>Good</v>
      </c>
    </row>
    <row r="1036" spans="1:30" x14ac:dyDescent="0.35">
      <c r="A1036">
        <v>1035</v>
      </c>
      <c r="B1036" s="2" t="s">
        <v>110</v>
      </c>
      <c r="C1036" t="s">
        <v>920</v>
      </c>
      <c r="D1036" t="str">
        <f>_xlfn.TEXTJOIN(" ",TRUE,Table1[[#This Row],[First 
Name]:[Last 
Name]])</f>
        <v>Matthew Potter</v>
      </c>
      <c r="E1036" t="s">
        <v>2146</v>
      </c>
      <c r="F1036" t="s">
        <v>3244</v>
      </c>
      <c r="G1036" t="str">
        <f ca="1">PROPER(Table1[[#This Row],[Part Time 
Job]])</f>
        <v>True</v>
      </c>
      <c r="H1036" s="3">
        <v>5</v>
      </c>
      <c r="I1036" t="str">
        <f ca="1">PROPER(Table1[[#This Row],[Extracurricular 
Activities]])</f>
        <v>False</v>
      </c>
      <c r="J1036">
        <v>24</v>
      </c>
      <c r="K1036" t="s">
        <v>3127</v>
      </c>
      <c r="L1036">
        <v>100</v>
      </c>
      <c r="M1036" s="12" t="str" cm="1">
        <f t="array" ref="M103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036">
        <v>80</v>
      </c>
      <c r="O1036" s="13" t="str" cm="1">
        <f t="array" ref="O103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036">
        <v>74</v>
      </c>
      <c r="Q1036" s="13" t="str" cm="1">
        <f t="array" ref="Q103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036">
        <v>87</v>
      </c>
      <c r="S1036" t="str" cm="1">
        <f t="array" ref="S103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036">
        <v>77</v>
      </c>
      <c r="U1036" t="str" cm="1">
        <f t="array" ref="U103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036">
        <v>95</v>
      </c>
      <c r="W1036" t="str" cm="1">
        <f t="array" ref="W103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036">
        <v>92</v>
      </c>
      <c r="Y1036" t="str" cm="1">
        <f t="array" ref="Y103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036">
        <f>SUM(Table1[[#This Row],[Math 
Score]],Table1[[#This Row],[History 
Score]],Table1[[#This Row],[Physics 
Score]],Table1[[#This Row],[Chemistry 
Score]],Table1[[#This Row],[Biology 
Score]],Table1[[#This Row],[English 
Score]],Table1[[#This Row],[Geography 
Score]])</f>
        <v>605</v>
      </c>
      <c r="AA1036" s="3">
        <f>AVERAGE(Table1[[#This Row],[Math 
Score]],Table1[[#This Row],[History 
Score]],Table1[[#This Row],[Physics 
Score]],Table1[[#This Row],[Chemistry 
Score]],Table1[[#This Row],[Biology 
Score]],Table1[[#This Row],[English 
Score]],Table1[[#This Row],[Geography 
Score]])</f>
        <v>86.428571428571431</v>
      </c>
      <c r="AB103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036">
        <f t="shared" si="16"/>
        <v>344</v>
      </c>
      <c r="AD1036" t="str">
        <f>_xlfn.IFS(Table1[[#This Row],[Absence 
Days]]&lt;3,"Excellent",Table1[[#This Row],[Absence 
Days]]&lt;=6,"Good",Table1[[#This Row],[Absence 
Days]]&gt;6,"Poor")</f>
        <v>Good</v>
      </c>
    </row>
    <row r="1037" spans="1:30" x14ac:dyDescent="0.35">
      <c r="A1037">
        <v>1036</v>
      </c>
      <c r="B1037" s="2" t="s">
        <v>153</v>
      </c>
      <c r="C1037" t="s">
        <v>710</v>
      </c>
      <c r="D1037" t="str">
        <f>_xlfn.TEXTJOIN(" ",TRUE,Table1[[#This Row],[First 
Name]:[Last 
Name]])</f>
        <v>Linda Munoz</v>
      </c>
      <c r="E1037" t="s">
        <v>2147</v>
      </c>
      <c r="F1037" t="s">
        <v>3245</v>
      </c>
      <c r="G1037" t="str">
        <f ca="1">PROPER(Table1[[#This Row],[Part Time 
Job]])</f>
        <v>False</v>
      </c>
      <c r="H1037" s="3">
        <v>7</v>
      </c>
      <c r="I1037" t="str">
        <f ca="1">PROPER(Table1[[#This Row],[Extracurricular 
Activities]])</f>
        <v>False</v>
      </c>
      <c r="J1037">
        <v>18</v>
      </c>
      <c r="K1037" t="s">
        <v>3123</v>
      </c>
      <c r="L1037">
        <v>94</v>
      </c>
      <c r="M1037" s="12" t="str" cm="1">
        <f t="array" ref="M103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037">
        <v>97</v>
      </c>
      <c r="O1037" s="13" t="str" cm="1">
        <f t="array" ref="O103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037">
        <v>61</v>
      </c>
      <c r="Q1037" s="13" t="str" cm="1">
        <f t="array" ref="Q103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037">
        <v>67</v>
      </c>
      <c r="S1037" t="str" cm="1">
        <f t="array" ref="S103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037">
        <v>77</v>
      </c>
      <c r="U1037" t="str" cm="1">
        <f t="array" ref="U103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037">
        <v>88</v>
      </c>
      <c r="W1037" t="str" cm="1">
        <f t="array" ref="W103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037">
        <v>70</v>
      </c>
      <c r="Y1037" t="str" cm="1">
        <f t="array" ref="Y103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037">
        <f>SUM(Table1[[#This Row],[Math 
Score]],Table1[[#This Row],[History 
Score]],Table1[[#This Row],[Physics 
Score]],Table1[[#This Row],[Chemistry 
Score]],Table1[[#This Row],[Biology 
Score]],Table1[[#This Row],[English 
Score]],Table1[[#This Row],[Geography 
Score]])</f>
        <v>554</v>
      </c>
      <c r="AA1037" s="3">
        <f>AVERAGE(Table1[[#This Row],[Math 
Score]],Table1[[#This Row],[History 
Score]],Table1[[#This Row],[Physics 
Score]],Table1[[#This Row],[Chemistry 
Score]],Table1[[#This Row],[Biology 
Score]],Table1[[#This Row],[English 
Score]],Table1[[#This Row],[Geography 
Score]])</f>
        <v>79.142857142857139</v>
      </c>
      <c r="AB103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037">
        <f t="shared" si="16"/>
        <v>1264</v>
      </c>
      <c r="AD1037" t="str">
        <f>_xlfn.IFS(Table1[[#This Row],[Absence 
Days]]&lt;3,"Excellent",Table1[[#This Row],[Absence 
Days]]&lt;=6,"Good",Table1[[#This Row],[Absence 
Days]]&gt;6,"Poor")</f>
        <v>Poor</v>
      </c>
    </row>
    <row r="1038" spans="1:30" x14ac:dyDescent="0.35">
      <c r="A1038">
        <v>1037</v>
      </c>
      <c r="B1038" s="2" t="s">
        <v>146</v>
      </c>
      <c r="C1038" t="s">
        <v>495</v>
      </c>
      <c r="D1038" t="str">
        <f>_xlfn.TEXTJOIN(" ",TRUE,Table1[[#This Row],[First 
Name]:[Last 
Name]])</f>
        <v>Samantha Stewart</v>
      </c>
      <c r="E1038" t="s">
        <v>2148</v>
      </c>
      <c r="F1038" t="s">
        <v>3245</v>
      </c>
      <c r="G1038" t="str">
        <f ca="1">PROPER(Table1[[#This Row],[Part Time 
Job]])</f>
        <v>False</v>
      </c>
      <c r="H1038" s="3">
        <v>6</v>
      </c>
      <c r="I1038" t="str">
        <f ca="1">PROPER(Table1[[#This Row],[Extracurricular 
Activities]])</f>
        <v>False</v>
      </c>
      <c r="J1038">
        <v>4</v>
      </c>
      <c r="K1038" t="s">
        <v>3114</v>
      </c>
      <c r="L1038">
        <v>78</v>
      </c>
      <c r="M1038" s="12" t="str" cm="1">
        <f t="array" ref="M103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038">
        <v>78</v>
      </c>
      <c r="O1038" s="13" t="str" cm="1">
        <f t="array" ref="O103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038">
        <v>100</v>
      </c>
      <c r="Q1038" s="13" t="str" cm="1">
        <f t="array" ref="Q103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038">
        <v>87</v>
      </c>
      <c r="S1038" t="str" cm="1">
        <f t="array" ref="S103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038">
        <v>98</v>
      </c>
      <c r="U1038" t="str" cm="1">
        <f t="array" ref="U103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038">
        <v>80</v>
      </c>
      <c r="W1038" t="str" cm="1">
        <f t="array" ref="W103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038">
        <v>98</v>
      </c>
      <c r="Y1038" t="str" cm="1">
        <f t="array" ref="Y103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038">
        <f>SUM(Table1[[#This Row],[Math 
Score]],Table1[[#This Row],[History 
Score]],Table1[[#This Row],[Physics 
Score]],Table1[[#This Row],[Chemistry 
Score]],Table1[[#This Row],[Biology 
Score]],Table1[[#This Row],[English 
Score]],Table1[[#This Row],[Geography 
Score]])</f>
        <v>619</v>
      </c>
      <c r="AA1038" s="3">
        <f>AVERAGE(Table1[[#This Row],[Math 
Score]],Table1[[#This Row],[History 
Score]],Table1[[#This Row],[Physics 
Score]],Table1[[#This Row],[Chemistry 
Score]],Table1[[#This Row],[Biology 
Score]],Table1[[#This Row],[English 
Score]],Table1[[#This Row],[Geography 
Score]])</f>
        <v>88.428571428571431</v>
      </c>
      <c r="AB103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038">
        <f t="shared" si="16"/>
        <v>221</v>
      </c>
      <c r="AD1038" t="str">
        <f>_xlfn.IFS(Table1[[#This Row],[Absence 
Days]]&lt;3,"Excellent",Table1[[#This Row],[Absence 
Days]]&lt;=6,"Good",Table1[[#This Row],[Absence 
Days]]&gt;6,"Poor")</f>
        <v>Good</v>
      </c>
    </row>
    <row r="1039" spans="1:30" x14ac:dyDescent="0.35">
      <c r="A1039">
        <v>1038</v>
      </c>
      <c r="B1039" s="2" t="s">
        <v>34</v>
      </c>
      <c r="C1039" t="s">
        <v>506</v>
      </c>
      <c r="D1039" t="str">
        <f>_xlfn.TEXTJOIN(" ",TRUE,Table1[[#This Row],[First 
Name]:[Last 
Name]])</f>
        <v>Michael Reyes</v>
      </c>
      <c r="E1039" t="s">
        <v>2149</v>
      </c>
      <c r="F1039" t="s">
        <v>3244</v>
      </c>
      <c r="G1039" t="str">
        <f ca="1">PROPER(Table1[[#This Row],[Part Time 
Job]])</f>
        <v>True</v>
      </c>
      <c r="H1039" s="3">
        <v>6</v>
      </c>
      <c r="I1039" t="str">
        <f ca="1">PROPER(Table1[[#This Row],[Extracurricular 
Activities]])</f>
        <v>False</v>
      </c>
      <c r="J1039">
        <v>5</v>
      </c>
      <c r="K1039" t="s">
        <v>3119</v>
      </c>
      <c r="L1039">
        <v>65</v>
      </c>
      <c r="M1039" s="12" t="str" cm="1">
        <f t="array" ref="M1039">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039">
        <v>71</v>
      </c>
      <c r="O1039" s="13" t="str" cm="1">
        <f t="array" ref="O103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039">
        <v>88</v>
      </c>
      <c r="Q1039" s="13" t="str" cm="1">
        <f t="array" ref="Q103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039">
        <v>57</v>
      </c>
      <c r="S1039" t="str" cm="1">
        <f t="array" ref="S103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C</v>
      </c>
      <c r="T1039">
        <v>75</v>
      </c>
      <c r="U1039" t="str" cm="1">
        <f t="array" ref="U103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039">
        <v>62</v>
      </c>
      <c r="W1039" t="str" cm="1">
        <f t="array" ref="W103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039">
        <v>62</v>
      </c>
      <c r="Y1039" t="str" cm="1">
        <f t="array" ref="Y103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039">
        <f>SUM(Table1[[#This Row],[Math 
Score]],Table1[[#This Row],[History 
Score]],Table1[[#This Row],[Physics 
Score]],Table1[[#This Row],[Chemistry 
Score]],Table1[[#This Row],[Biology 
Score]],Table1[[#This Row],[English 
Score]],Table1[[#This Row],[Geography 
Score]])</f>
        <v>480</v>
      </c>
      <c r="AA1039" s="3">
        <f>AVERAGE(Table1[[#This Row],[Math 
Score]],Table1[[#This Row],[History 
Score]],Table1[[#This Row],[Physics 
Score]],Table1[[#This Row],[Chemistry 
Score]],Table1[[#This Row],[Biology 
Score]],Table1[[#This Row],[English 
Score]],Table1[[#This Row],[Geography 
Score]])</f>
        <v>68.571428571428569</v>
      </c>
      <c r="AB103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039">
        <f t="shared" si="16"/>
        <v>1935</v>
      </c>
      <c r="AD1039" t="str">
        <f>_xlfn.IFS(Table1[[#This Row],[Absence 
Days]]&lt;3,"Excellent",Table1[[#This Row],[Absence 
Days]]&lt;=6,"Good",Table1[[#This Row],[Absence 
Days]]&gt;6,"Poor")</f>
        <v>Good</v>
      </c>
    </row>
    <row r="1040" spans="1:30" x14ac:dyDescent="0.35">
      <c r="A1040">
        <v>1039</v>
      </c>
      <c r="B1040" s="2" t="s">
        <v>165</v>
      </c>
      <c r="C1040" t="s">
        <v>498</v>
      </c>
      <c r="D1040" t="str">
        <f>_xlfn.TEXTJOIN(" ",TRUE,Table1[[#This Row],[First 
Name]:[Last 
Name]])</f>
        <v>Sarah Murphy</v>
      </c>
      <c r="E1040" t="s">
        <v>2150</v>
      </c>
      <c r="F1040" t="s">
        <v>3245</v>
      </c>
      <c r="G1040" t="str">
        <f ca="1">PROPER(Table1[[#This Row],[Part Time 
Job]])</f>
        <v>True</v>
      </c>
      <c r="H1040" s="3">
        <v>7</v>
      </c>
      <c r="I1040" t="str">
        <f ca="1">PROPER(Table1[[#This Row],[Extracurricular 
Activities]])</f>
        <v>False</v>
      </c>
      <c r="J1040">
        <v>32</v>
      </c>
      <c r="K1040" t="s">
        <v>3122</v>
      </c>
      <c r="L1040">
        <v>68</v>
      </c>
      <c r="M1040" s="12" t="str" cm="1">
        <f t="array" ref="M1040">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040">
        <v>81</v>
      </c>
      <c r="O1040" s="13" t="str" cm="1">
        <f t="array" ref="O104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040">
        <v>72</v>
      </c>
      <c r="Q1040" s="13" t="str" cm="1">
        <f t="array" ref="Q104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040">
        <v>76</v>
      </c>
      <c r="S1040" t="str" cm="1">
        <f t="array" ref="S104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040">
        <v>93</v>
      </c>
      <c r="U1040" t="str" cm="1">
        <f t="array" ref="U104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040">
        <v>94</v>
      </c>
      <c r="W1040" t="str" cm="1">
        <f t="array" ref="W104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040">
        <v>97</v>
      </c>
      <c r="Y1040" t="str" cm="1">
        <f t="array" ref="Y104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040">
        <f>SUM(Table1[[#This Row],[Math 
Score]],Table1[[#This Row],[History 
Score]],Table1[[#This Row],[Physics 
Score]],Table1[[#This Row],[Chemistry 
Score]],Table1[[#This Row],[Biology 
Score]],Table1[[#This Row],[English 
Score]],Table1[[#This Row],[Geography 
Score]])</f>
        <v>581</v>
      </c>
      <c r="AA1040" s="3">
        <f>AVERAGE(Table1[[#This Row],[Math 
Score]],Table1[[#This Row],[History 
Score]],Table1[[#This Row],[Physics 
Score]],Table1[[#This Row],[Chemistry 
Score]],Table1[[#This Row],[Biology 
Score]],Table1[[#This Row],[English 
Score]],Table1[[#This Row],[Geography 
Score]])</f>
        <v>83</v>
      </c>
      <c r="AB104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040">
        <f t="shared" si="16"/>
        <v>688</v>
      </c>
      <c r="AD1040" t="str">
        <f>_xlfn.IFS(Table1[[#This Row],[Absence 
Days]]&lt;3,"Excellent",Table1[[#This Row],[Absence 
Days]]&lt;=6,"Good",Table1[[#This Row],[Absence 
Days]]&gt;6,"Poor")</f>
        <v>Poor</v>
      </c>
    </row>
    <row r="1041" spans="1:30" x14ac:dyDescent="0.35">
      <c r="A1041">
        <v>1040</v>
      </c>
      <c r="B1041" s="2" t="s">
        <v>81</v>
      </c>
      <c r="C1041" t="s">
        <v>921</v>
      </c>
      <c r="D1041" t="str">
        <f>_xlfn.TEXTJOIN(" ",TRUE,Table1[[#This Row],[First 
Name]:[Last 
Name]])</f>
        <v>Derrick Melton</v>
      </c>
      <c r="E1041" t="s">
        <v>2151</v>
      </c>
      <c r="F1041" t="s">
        <v>3244</v>
      </c>
      <c r="G1041" t="str">
        <f ca="1">PROPER(Table1[[#This Row],[Part Time 
Job]])</f>
        <v>False</v>
      </c>
      <c r="H1041" s="3">
        <v>8</v>
      </c>
      <c r="I1041" t="str">
        <f ca="1">PROPER(Table1[[#This Row],[Extracurricular 
Activities]])</f>
        <v>True</v>
      </c>
      <c r="J1041">
        <v>0</v>
      </c>
      <c r="K1041" t="s">
        <v>3115</v>
      </c>
      <c r="L1041">
        <v>93</v>
      </c>
      <c r="M1041" s="12" t="str" cm="1">
        <f t="array" ref="M104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041">
        <v>78</v>
      </c>
      <c r="O1041" s="13" t="str" cm="1">
        <f t="array" ref="O104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041">
        <v>98</v>
      </c>
      <c r="Q1041" s="13" t="str" cm="1">
        <f t="array" ref="Q104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041">
        <v>76</v>
      </c>
      <c r="S1041" t="str" cm="1">
        <f t="array" ref="S104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041">
        <v>86</v>
      </c>
      <c r="U1041" t="str" cm="1">
        <f t="array" ref="U104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041">
        <v>89</v>
      </c>
      <c r="W1041" t="str" cm="1">
        <f t="array" ref="W104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041">
        <v>92</v>
      </c>
      <c r="Y1041" t="str" cm="1">
        <f t="array" ref="Y104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041">
        <f>SUM(Table1[[#This Row],[Math 
Score]],Table1[[#This Row],[History 
Score]],Table1[[#This Row],[Physics 
Score]],Table1[[#This Row],[Chemistry 
Score]],Table1[[#This Row],[Biology 
Score]],Table1[[#This Row],[English 
Score]],Table1[[#This Row],[Geography 
Score]])</f>
        <v>612</v>
      </c>
      <c r="AA1041" s="3">
        <f>AVERAGE(Table1[[#This Row],[Math 
Score]],Table1[[#This Row],[History 
Score]],Table1[[#This Row],[Physics 
Score]],Table1[[#This Row],[Chemistry 
Score]],Table1[[#This Row],[Biology 
Score]],Table1[[#This Row],[English 
Score]],Table1[[#This Row],[Geography 
Score]])</f>
        <v>87.428571428571431</v>
      </c>
      <c r="AB104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041">
        <f t="shared" si="16"/>
        <v>283</v>
      </c>
      <c r="AD1041" t="str">
        <f>_xlfn.IFS(Table1[[#This Row],[Absence 
Days]]&lt;3,"Excellent",Table1[[#This Row],[Absence 
Days]]&lt;=6,"Good",Table1[[#This Row],[Absence 
Days]]&gt;6,"Poor")</f>
        <v>Poor</v>
      </c>
    </row>
    <row r="1042" spans="1:30" x14ac:dyDescent="0.35">
      <c r="A1042">
        <v>1041</v>
      </c>
      <c r="B1042" s="2" t="s">
        <v>352</v>
      </c>
      <c r="C1042" t="s">
        <v>771</v>
      </c>
      <c r="D1042" t="str">
        <f>_xlfn.TEXTJOIN(" ",TRUE,Table1[[#This Row],[First 
Name]:[Last 
Name]])</f>
        <v>Donna Horne</v>
      </c>
      <c r="E1042" t="s">
        <v>2152</v>
      </c>
      <c r="F1042" t="s">
        <v>3245</v>
      </c>
      <c r="G1042" t="str">
        <f ca="1">PROPER(Table1[[#This Row],[Part Time 
Job]])</f>
        <v>False</v>
      </c>
      <c r="H1042" s="3">
        <v>2</v>
      </c>
      <c r="I1042" t="str">
        <f ca="1">PROPER(Table1[[#This Row],[Extracurricular 
Activities]])</f>
        <v>False</v>
      </c>
      <c r="J1042">
        <v>34</v>
      </c>
      <c r="K1042" t="s">
        <v>3120</v>
      </c>
      <c r="L1042">
        <v>100</v>
      </c>
      <c r="M1042" s="12" t="str" cm="1">
        <f t="array" ref="M104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042">
        <v>64</v>
      </c>
      <c r="O1042" s="13" t="str" cm="1">
        <f t="array" ref="O104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042">
        <v>95</v>
      </c>
      <c r="Q1042" s="13" t="str" cm="1">
        <f t="array" ref="Q104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042">
        <v>83</v>
      </c>
      <c r="S1042" t="str" cm="1">
        <f t="array" ref="S104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042">
        <v>83</v>
      </c>
      <c r="U1042" t="str" cm="1">
        <f t="array" ref="U104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042">
        <v>94</v>
      </c>
      <c r="W1042" t="str" cm="1">
        <f t="array" ref="W104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042">
        <v>83</v>
      </c>
      <c r="Y1042" t="str" cm="1">
        <f t="array" ref="Y104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042">
        <f>SUM(Table1[[#This Row],[Math 
Score]],Table1[[#This Row],[History 
Score]],Table1[[#This Row],[Physics 
Score]],Table1[[#This Row],[Chemistry 
Score]],Table1[[#This Row],[Biology 
Score]],Table1[[#This Row],[English 
Score]],Table1[[#This Row],[Geography 
Score]])</f>
        <v>602</v>
      </c>
      <c r="AA1042" s="3">
        <f>AVERAGE(Table1[[#This Row],[Math 
Score]],Table1[[#This Row],[History 
Score]],Table1[[#This Row],[Physics 
Score]],Table1[[#This Row],[Chemistry 
Score]],Table1[[#This Row],[Biology 
Score]],Table1[[#This Row],[English 
Score]],Table1[[#This Row],[Geography 
Score]])</f>
        <v>86</v>
      </c>
      <c r="AB104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042">
        <f t="shared" si="16"/>
        <v>380</v>
      </c>
      <c r="AD1042" t="str">
        <f>_xlfn.IFS(Table1[[#This Row],[Absence 
Days]]&lt;3,"Excellent",Table1[[#This Row],[Absence 
Days]]&lt;=6,"Good",Table1[[#This Row],[Absence 
Days]]&gt;6,"Poor")</f>
        <v>Excellent</v>
      </c>
    </row>
    <row r="1043" spans="1:30" x14ac:dyDescent="0.35">
      <c r="A1043">
        <v>1042</v>
      </c>
      <c r="B1043" s="2" t="s">
        <v>79</v>
      </c>
      <c r="C1043" t="s">
        <v>522</v>
      </c>
      <c r="D1043" t="str">
        <f>_xlfn.TEXTJOIN(" ",TRUE,Table1[[#This Row],[First 
Name]:[Last 
Name]])</f>
        <v>Natasha Butler</v>
      </c>
      <c r="E1043" t="s">
        <v>2153</v>
      </c>
      <c r="F1043" t="s">
        <v>3245</v>
      </c>
      <c r="G1043" t="str">
        <f ca="1">PROPER(Table1[[#This Row],[Part Time 
Job]])</f>
        <v>False</v>
      </c>
      <c r="H1043" s="3">
        <v>5</v>
      </c>
      <c r="I1043" t="str">
        <f ca="1">PROPER(Table1[[#This Row],[Extracurricular 
Activities]])</f>
        <v>False</v>
      </c>
      <c r="J1043">
        <v>28</v>
      </c>
      <c r="K1043" t="s">
        <v>3112</v>
      </c>
      <c r="L1043">
        <v>85</v>
      </c>
      <c r="M1043" s="12" t="str" cm="1">
        <f t="array" ref="M104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043">
        <v>99</v>
      </c>
      <c r="O1043" s="13" t="str" cm="1">
        <f t="array" ref="O104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043">
        <v>64</v>
      </c>
      <c r="Q1043" s="13" t="str" cm="1">
        <f t="array" ref="Q104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043">
        <v>78</v>
      </c>
      <c r="S1043" t="str" cm="1">
        <f t="array" ref="S104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043">
        <v>63</v>
      </c>
      <c r="U1043" t="str" cm="1">
        <f t="array" ref="U104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043">
        <v>95</v>
      </c>
      <c r="W1043" t="str" cm="1">
        <f t="array" ref="W104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043">
        <v>91</v>
      </c>
      <c r="Y1043" t="str" cm="1">
        <f t="array" ref="Y104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043">
        <f>SUM(Table1[[#This Row],[Math 
Score]],Table1[[#This Row],[History 
Score]],Table1[[#This Row],[Physics 
Score]],Table1[[#This Row],[Chemistry 
Score]],Table1[[#This Row],[Biology 
Score]],Table1[[#This Row],[English 
Score]],Table1[[#This Row],[Geography 
Score]])</f>
        <v>575</v>
      </c>
      <c r="AA1043" s="3">
        <f>AVERAGE(Table1[[#This Row],[Math 
Score]],Table1[[#This Row],[History 
Score]],Table1[[#This Row],[Physics 
Score]],Table1[[#This Row],[Chemistry 
Score]],Table1[[#This Row],[Biology 
Score]],Table1[[#This Row],[English 
Score]],Table1[[#This Row],[Geography 
Score]])</f>
        <v>82.142857142857139</v>
      </c>
      <c r="AB104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043">
        <f t="shared" si="16"/>
        <v>807</v>
      </c>
      <c r="AD1043" t="str">
        <f>_xlfn.IFS(Table1[[#This Row],[Absence 
Days]]&lt;3,"Excellent",Table1[[#This Row],[Absence 
Days]]&lt;=6,"Good",Table1[[#This Row],[Absence 
Days]]&gt;6,"Poor")</f>
        <v>Good</v>
      </c>
    </row>
    <row r="1044" spans="1:30" x14ac:dyDescent="0.35">
      <c r="A1044">
        <v>1043</v>
      </c>
      <c r="B1044" s="2" t="s">
        <v>40</v>
      </c>
      <c r="C1044" t="s">
        <v>553</v>
      </c>
      <c r="D1044" t="str">
        <f>_xlfn.TEXTJOIN(" ",TRUE,Table1[[#This Row],[First 
Name]:[Last 
Name]])</f>
        <v>David Vasquez</v>
      </c>
      <c r="E1044" t="s">
        <v>2154</v>
      </c>
      <c r="F1044" t="s">
        <v>3244</v>
      </c>
      <c r="G1044" t="str">
        <f ca="1">PROPER(Table1[[#This Row],[Part Time 
Job]])</f>
        <v>True</v>
      </c>
      <c r="H1044" s="3">
        <v>1</v>
      </c>
      <c r="I1044" t="str">
        <f ca="1">PROPER(Table1[[#This Row],[Extracurricular 
Activities]])</f>
        <v>True</v>
      </c>
      <c r="J1044">
        <v>30</v>
      </c>
      <c r="K1044" t="s">
        <v>3113</v>
      </c>
      <c r="L1044">
        <v>80</v>
      </c>
      <c r="M1044" s="12" t="str" cm="1">
        <f t="array" ref="M104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044">
        <v>93</v>
      </c>
      <c r="O1044" s="13" t="str" cm="1">
        <f t="array" ref="O104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044">
        <v>82</v>
      </c>
      <c r="Q1044" s="13" t="str" cm="1">
        <f t="array" ref="Q104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044">
        <v>89</v>
      </c>
      <c r="S1044" t="str" cm="1">
        <f t="array" ref="S104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044">
        <v>94</v>
      </c>
      <c r="U1044" t="str" cm="1">
        <f t="array" ref="U104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044">
        <v>95</v>
      </c>
      <c r="W1044" t="str" cm="1">
        <f t="array" ref="W104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044">
        <v>70</v>
      </c>
      <c r="Y1044" t="str" cm="1">
        <f t="array" ref="Y104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044">
        <f>SUM(Table1[[#This Row],[Math 
Score]],Table1[[#This Row],[History 
Score]],Table1[[#This Row],[Physics 
Score]],Table1[[#This Row],[Chemistry 
Score]],Table1[[#This Row],[Biology 
Score]],Table1[[#This Row],[English 
Score]],Table1[[#This Row],[Geography 
Score]])</f>
        <v>603</v>
      </c>
      <c r="AA1044" s="3">
        <f>AVERAGE(Table1[[#This Row],[Math 
Score]],Table1[[#This Row],[History 
Score]],Table1[[#This Row],[Physics 
Score]],Table1[[#This Row],[Chemistry 
Score]],Table1[[#This Row],[Biology 
Score]],Table1[[#This Row],[English 
Score]],Table1[[#This Row],[Geography 
Score]])</f>
        <v>86.142857142857139</v>
      </c>
      <c r="AB104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044">
        <f t="shared" si="16"/>
        <v>370</v>
      </c>
      <c r="AD1044" t="str">
        <f>_xlfn.IFS(Table1[[#This Row],[Absence 
Days]]&lt;3,"Excellent",Table1[[#This Row],[Absence 
Days]]&lt;=6,"Good",Table1[[#This Row],[Absence 
Days]]&gt;6,"Poor")</f>
        <v>Excellent</v>
      </c>
    </row>
    <row r="1045" spans="1:30" x14ac:dyDescent="0.35">
      <c r="A1045">
        <v>1044</v>
      </c>
      <c r="B1045" s="2" t="s">
        <v>36</v>
      </c>
      <c r="C1045" t="s">
        <v>837</v>
      </c>
      <c r="D1045" t="str">
        <f>_xlfn.TEXTJOIN(" ",TRUE,Table1[[#This Row],[First 
Name]:[Last 
Name]])</f>
        <v>Christopher Lester</v>
      </c>
      <c r="E1045" t="s">
        <v>2155</v>
      </c>
      <c r="F1045" t="s">
        <v>3244</v>
      </c>
      <c r="G1045" t="str">
        <f ca="1">PROPER(Table1[[#This Row],[Part Time 
Job]])</f>
        <v>False</v>
      </c>
      <c r="H1045" s="3">
        <v>8</v>
      </c>
      <c r="I1045" t="str">
        <f ca="1">PROPER(Table1[[#This Row],[Extracurricular 
Activities]])</f>
        <v>False</v>
      </c>
      <c r="J1045">
        <v>31</v>
      </c>
      <c r="K1045" t="s">
        <v>3112</v>
      </c>
      <c r="L1045">
        <v>97</v>
      </c>
      <c r="M1045" s="12" t="str" cm="1">
        <f t="array" ref="M104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045">
        <v>80</v>
      </c>
      <c r="O1045" s="13" t="str" cm="1">
        <f t="array" ref="O104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045">
        <v>60</v>
      </c>
      <c r="Q1045" s="13" t="str" cm="1">
        <f t="array" ref="Q104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045">
        <v>98</v>
      </c>
      <c r="S1045" t="str" cm="1">
        <f t="array" ref="S104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045">
        <v>86</v>
      </c>
      <c r="U1045" t="str" cm="1">
        <f t="array" ref="U104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045">
        <v>83</v>
      </c>
      <c r="W1045" t="str" cm="1">
        <f t="array" ref="W104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045">
        <v>75</v>
      </c>
      <c r="Y1045" t="str" cm="1">
        <f t="array" ref="Y104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045">
        <f>SUM(Table1[[#This Row],[Math 
Score]],Table1[[#This Row],[History 
Score]],Table1[[#This Row],[Physics 
Score]],Table1[[#This Row],[Chemistry 
Score]],Table1[[#This Row],[Biology 
Score]],Table1[[#This Row],[English 
Score]],Table1[[#This Row],[Geography 
Score]])</f>
        <v>579</v>
      </c>
      <c r="AA1045" s="3">
        <f>AVERAGE(Table1[[#This Row],[Math 
Score]],Table1[[#This Row],[History 
Score]],Table1[[#This Row],[Physics 
Score]],Table1[[#This Row],[Chemistry 
Score]],Table1[[#This Row],[Biology 
Score]],Table1[[#This Row],[English 
Score]],Table1[[#This Row],[Geography 
Score]])</f>
        <v>82.714285714285708</v>
      </c>
      <c r="AB104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045">
        <f t="shared" si="16"/>
        <v>730</v>
      </c>
      <c r="AD1045" t="str">
        <f>_xlfn.IFS(Table1[[#This Row],[Absence 
Days]]&lt;3,"Excellent",Table1[[#This Row],[Absence 
Days]]&lt;=6,"Good",Table1[[#This Row],[Absence 
Days]]&gt;6,"Poor")</f>
        <v>Poor</v>
      </c>
    </row>
    <row r="1046" spans="1:30" x14ac:dyDescent="0.35">
      <c r="A1046">
        <v>1045</v>
      </c>
      <c r="B1046" s="2" t="s">
        <v>353</v>
      </c>
      <c r="C1046" t="s">
        <v>922</v>
      </c>
      <c r="D1046" t="str">
        <f>_xlfn.TEXTJOIN(" ",TRUE,Table1[[#This Row],[First 
Name]:[Last 
Name]])</f>
        <v>Martin Franco</v>
      </c>
      <c r="E1046" t="s">
        <v>2156</v>
      </c>
      <c r="F1046" t="s">
        <v>3244</v>
      </c>
      <c r="G1046" t="str">
        <f ca="1">PROPER(Table1[[#This Row],[Part Time 
Job]])</f>
        <v>False</v>
      </c>
      <c r="H1046" s="3">
        <v>3</v>
      </c>
      <c r="I1046" t="str">
        <f ca="1">PROPER(Table1[[#This Row],[Extracurricular 
Activities]])</f>
        <v>True</v>
      </c>
      <c r="J1046">
        <v>33</v>
      </c>
      <c r="K1046" t="s">
        <v>3117</v>
      </c>
      <c r="L1046">
        <v>85</v>
      </c>
      <c r="M1046" s="12" t="str" cm="1">
        <f t="array" ref="M104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046">
        <v>90</v>
      </c>
      <c r="O1046" s="13" t="str" cm="1">
        <f t="array" ref="O104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046">
        <v>100</v>
      </c>
      <c r="Q1046" s="13" t="str" cm="1">
        <f t="array" ref="Q104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046">
        <v>84</v>
      </c>
      <c r="S1046" t="str" cm="1">
        <f t="array" ref="S104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046">
        <v>95</v>
      </c>
      <c r="U1046" t="str" cm="1">
        <f t="array" ref="U104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046">
        <v>77</v>
      </c>
      <c r="W1046" t="str" cm="1">
        <f t="array" ref="W104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046">
        <v>62</v>
      </c>
      <c r="Y1046" t="str" cm="1">
        <f t="array" ref="Y104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046">
        <f>SUM(Table1[[#This Row],[Math 
Score]],Table1[[#This Row],[History 
Score]],Table1[[#This Row],[Physics 
Score]],Table1[[#This Row],[Chemistry 
Score]],Table1[[#This Row],[Biology 
Score]],Table1[[#This Row],[English 
Score]],Table1[[#This Row],[Geography 
Score]])</f>
        <v>593</v>
      </c>
      <c r="AA1046" s="3">
        <f>AVERAGE(Table1[[#This Row],[Math 
Score]],Table1[[#This Row],[History 
Score]],Table1[[#This Row],[Physics 
Score]],Table1[[#This Row],[Chemistry 
Score]],Table1[[#This Row],[Biology 
Score]],Table1[[#This Row],[English 
Score]],Table1[[#This Row],[Geography 
Score]])</f>
        <v>84.714285714285708</v>
      </c>
      <c r="AB104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046">
        <f t="shared" si="16"/>
        <v>494</v>
      </c>
      <c r="AD1046" t="str">
        <f>_xlfn.IFS(Table1[[#This Row],[Absence 
Days]]&lt;3,"Excellent",Table1[[#This Row],[Absence 
Days]]&lt;=6,"Good",Table1[[#This Row],[Absence 
Days]]&gt;6,"Poor")</f>
        <v>Good</v>
      </c>
    </row>
    <row r="1047" spans="1:30" x14ac:dyDescent="0.35">
      <c r="A1047">
        <v>1046</v>
      </c>
      <c r="B1047" s="2" t="s">
        <v>282</v>
      </c>
      <c r="C1047" t="s">
        <v>585</v>
      </c>
      <c r="D1047" t="str">
        <f>_xlfn.TEXTJOIN(" ",TRUE,Table1[[#This Row],[First 
Name]:[Last 
Name]])</f>
        <v>Katherine Donaldson</v>
      </c>
      <c r="E1047" t="s">
        <v>2157</v>
      </c>
      <c r="F1047" t="s">
        <v>3245</v>
      </c>
      <c r="G1047" t="str">
        <f ca="1">PROPER(Table1[[#This Row],[Part Time 
Job]])</f>
        <v>False</v>
      </c>
      <c r="H1047" s="3">
        <v>2</v>
      </c>
      <c r="I1047" t="str">
        <f ca="1">PROPER(Table1[[#This Row],[Extracurricular 
Activities]])</f>
        <v>False</v>
      </c>
      <c r="J1047">
        <v>28</v>
      </c>
      <c r="K1047" t="s">
        <v>3121</v>
      </c>
      <c r="L1047">
        <v>87</v>
      </c>
      <c r="M1047" s="12" t="str" cm="1">
        <f t="array" ref="M104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047">
        <v>76</v>
      </c>
      <c r="O1047" s="13" t="str" cm="1">
        <f t="array" ref="O104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047">
        <v>87</v>
      </c>
      <c r="Q1047" s="13" t="str" cm="1">
        <f t="array" ref="Q104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047">
        <v>98</v>
      </c>
      <c r="S1047" t="str" cm="1">
        <f t="array" ref="S104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047">
        <v>61</v>
      </c>
      <c r="U1047" t="str" cm="1">
        <f t="array" ref="U104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047">
        <v>92</v>
      </c>
      <c r="W1047" t="str" cm="1">
        <f t="array" ref="W104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047">
        <v>81</v>
      </c>
      <c r="Y1047" t="str" cm="1">
        <f t="array" ref="Y104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047">
        <f>SUM(Table1[[#This Row],[Math 
Score]],Table1[[#This Row],[History 
Score]],Table1[[#This Row],[Physics 
Score]],Table1[[#This Row],[Chemistry 
Score]],Table1[[#This Row],[Biology 
Score]],Table1[[#This Row],[English 
Score]],Table1[[#This Row],[Geography 
Score]])</f>
        <v>582</v>
      </c>
      <c r="AA1047" s="3">
        <f>AVERAGE(Table1[[#This Row],[Math 
Score]],Table1[[#This Row],[History 
Score]],Table1[[#This Row],[Physics 
Score]],Table1[[#This Row],[Chemistry 
Score]],Table1[[#This Row],[Biology 
Score]],Table1[[#This Row],[English 
Score]],Table1[[#This Row],[Geography 
Score]])</f>
        <v>83.142857142857139</v>
      </c>
      <c r="AB104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047">
        <f t="shared" si="16"/>
        <v>670</v>
      </c>
      <c r="AD1047" t="str">
        <f>_xlfn.IFS(Table1[[#This Row],[Absence 
Days]]&lt;3,"Excellent",Table1[[#This Row],[Absence 
Days]]&lt;=6,"Good",Table1[[#This Row],[Absence 
Days]]&gt;6,"Poor")</f>
        <v>Excellent</v>
      </c>
    </row>
    <row r="1048" spans="1:30" x14ac:dyDescent="0.35">
      <c r="A1048">
        <v>1047</v>
      </c>
      <c r="B1048" s="2" t="s">
        <v>232</v>
      </c>
      <c r="C1048" t="s">
        <v>623</v>
      </c>
      <c r="D1048" t="str">
        <f>_xlfn.TEXTJOIN(" ",TRUE,Table1[[#This Row],[First 
Name]:[Last 
Name]])</f>
        <v>Harold Daniels</v>
      </c>
      <c r="E1048" t="s">
        <v>2158</v>
      </c>
      <c r="F1048" t="s">
        <v>3244</v>
      </c>
      <c r="G1048" t="str">
        <f ca="1">PROPER(Table1[[#This Row],[Part Time 
Job]])</f>
        <v>False</v>
      </c>
      <c r="H1048" s="3">
        <v>2</v>
      </c>
      <c r="I1048" t="str">
        <f ca="1">PROPER(Table1[[#This Row],[Extracurricular 
Activities]])</f>
        <v>False</v>
      </c>
      <c r="J1048">
        <v>31</v>
      </c>
      <c r="K1048" t="s">
        <v>3121</v>
      </c>
      <c r="L1048">
        <v>79</v>
      </c>
      <c r="M1048" s="12" t="str" cm="1">
        <f t="array" ref="M104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048">
        <v>70</v>
      </c>
      <c r="O1048" s="13" t="str" cm="1">
        <f t="array" ref="O104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048">
        <v>82</v>
      </c>
      <c r="Q1048" s="13" t="str" cm="1">
        <f t="array" ref="Q104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048">
        <v>63</v>
      </c>
      <c r="S1048" t="str" cm="1">
        <f t="array" ref="S104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048">
        <v>90</v>
      </c>
      <c r="U1048" t="str" cm="1">
        <f t="array" ref="U104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048">
        <v>89</v>
      </c>
      <c r="W1048" t="str" cm="1">
        <f t="array" ref="W104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048">
        <v>96</v>
      </c>
      <c r="Y1048" t="str" cm="1">
        <f t="array" ref="Y104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048">
        <f>SUM(Table1[[#This Row],[Math 
Score]],Table1[[#This Row],[History 
Score]],Table1[[#This Row],[Physics 
Score]],Table1[[#This Row],[Chemistry 
Score]],Table1[[#This Row],[Biology 
Score]],Table1[[#This Row],[English 
Score]],Table1[[#This Row],[Geography 
Score]])</f>
        <v>569</v>
      </c>
      <c r="AA1048" s="3">
        <f>AVERAGE(Table1[[#This Row],[Math 
Score]],Table1[[#This Row],[History 
Score]],Table1[[#This Row],[Physics 
Score]],Table1[[#This Row],[Chemistry 
Score]],Table1[[#This Row],[Biology 
Score]],Table1[[#This Row],[English 
Score]],Table1[[#This Row],[Geography 
Score]])</f>
        <v>81.285714285714292</v>
      </c>
      <c r="AB104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048">
        <f t="shared" si="16"/>
        <v>957</v>
      </c>
      <c r="AD1048" t="str">
        <f>_xlfn.IFS(Table1[[#This Row],[Absence 
Days]]&lt;3,"Excellent",Table1[[#This Row],[Absence 
Days]]&lt;=6,"Good",Table1[[#This Row],[Absence 
Days]]&gt;6,"Poor")</f>
        <v>Excellent</v>
      </c>
    </row>
    <row r="1049" spans="1:30" x14ac:dyDescent="0.35">
      <c r="A1049">
        <v>1048</v>
      </c>
      <c r="B1049" s="2" t="s">
        <v>34</v>
      </c>
      <c r="C1049" t="s">
        <v>673</v>
      </c>
      <c r="D1049" t="str">
        <f>_xlfn.TEXTJOIN(" ",TRUE,Table1[[#This Row],[First 
Name]:[Last 
Name]])</f>
        <v>Michael Anderson</v>
      </c>
      <c r="E1049" t="s">
        <v>2159</v>
      </c>
      <c r="F1049" t="s">
        <v>3244</v>
      </c>
      <c r="G1049" t="str">
        <f ca="1">PROPER(Table1[[#This Row],[Part Time 
Job]])</f>
        <v>True</v>
      </c>
      <c r="H1049" s="3">
        <v>3</v>
      </c>
      <c r="I1049" t="str">
        <f ca="1">PROPER(Table1[[#This Row],[Extracurricular 
Activities]])</f>
        <v>False</v>
      </c>
      <c r="J1049">
        <v>7</v>
      </c>
      <c r="K1049" t="s">
        <v>3114</v>
      </c>
      <c r="L1049">
        <v>87</v>
      </c>
      <c r="M1049" s="12" t="str" cm="1">
        <f t="array" ref="M104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049">
        <v>86</v>
      </c>
      <c r="O1049" s="13" t="str" cm="1">
        <f t="array" ref="O104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049">
        <v>73</v>
      </c>
      <c r="Q1049" s="13" t="str" cm="1">
        <f t="array" ref="Q104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049">
        <v>88</v>
      </c>
      <c r="S1049" t="str" cm="1">
        <f t="array" ref="S104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049">
        <v>98</v>
      </c>
      <c r="U1049" t="str" cm="1">
        <f t="array" ref="U104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049">
        <v>71</v>
      </c>
      <c r="W1049" t="str" cm="1">
        <f t="array" ref="W104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049">
        <v>85</v>
      </c>
      <c r="Y1049" t="str" cm="1">
        <f t="array" ref="Y104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049">
        <f>SUM(Table1[[#This Row],[Math 
Score]],Table1[[#This Row],[History 
Score]],Table1[[#This Row],[Physics 
Score]],Table1[[#This Row],[Chemistry 
Score]],Table1[[#This Row],[Biology 
Score]],Table1[[#This Row],[English 
Score]],Table1[[#This Row],[Geography 
Score]])</f>
        <v>588</v>
      </c>
      <c r="AA1049" s="3">
        <f>AVERAGE(Table1[[#This Row],[Math 
Score]],Table1[[#This Row],[History 
Score]],Table1[[#This Row],[Physics 
Score]],Table1[[#This Row],[Chemistry 
Score]],Table1[[#This Row],[Biology 
Score]],Table1[[#This Row],[English 
Score]],Table1[[#This Row],[Geography 
Score]])</f>
        <v>84</v>
      </c>
      <c r="AB104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049">
        <f t="shared" si="16"/>
        <v>565</v>
      </c>
      <c r="AD1049" t="str">
        <f>_xlfn.IFS(Table1[[#This Row],[Absence 
Days]]&lt;3,"Excellent",Table1[[#This Row],[Absence 
Days]]&lt;=6,"Good",Table1[[#This Row],[Absence 
Days]]&gt;6,"Poor")</f>
        <v>Good</v>
      </c>
    </row>
    <row r="1050" spans="1:30" x14ac:dyDescent="0.35">
      <c r="A1050">
        <v>1049</v>
      </c>
      <c r="B1050" s="2" t="s">
        <v>354</v>
      </c>
      <c r="C1050" t="s">
        <v>758</v>
      </c>
      <c r="D1050" t="str">
        <f>_xlfn.TEXTJOIN(" ",TRUE,Table1[[#This Row],[First 
Name]:[Last 
Name]])</f>
        <v>Nichole Harrington</v>
      </c>
      <c r="E1050" t="s">
        <v>2160</v>
      </c>
      <c r="F1050" t="s">
        <v>3245</v>
      </c>
      <c r="G1050" t="str">
        <f ca="1">PROPER(Table1[[#This Row],[Part Time 
Job]])</f>
        <v>False</v>
      </c>
      <c r="H1050" s="3">
        <v>6</v>
      </c>
      <c r="I1050" t="str">
        <f ca="1">PROPER(Table1[[#This Row],[Extracurricular 
Activities]])</f>
        <v>False</v>
      </c>
      <c r="J1050">
        <v>28</v>
      </c>
      <c r="K1050" t="s">
        <v>3112</v>
      </c>
      <c r="L1050">
        <v>72</v>
      </c>
      <c r="M1050" s="12" t="str" cm="1">
        <f t="array" ref="M1050">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050">
        <v>88</v>
      </c>
      <c r="O1050" s="13" t="str" cm="1">
        <f t="array" ref="O105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050">
        <v>62</v>
      </c>
      <c r="Q1050" s="13" t="str" cm="1">
        <f t="array" ref="Q105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050">
        <v>60</v>
      </c>
      <c r="S1050" t="str" cm="1">
        <f t="array" ref="S105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050">
        <v>97</v>
      </c>
      <c r="U1050" t="str" cm="1">
        <f t="array" ref="U105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050">
        <v>86</v>
      </c>
      <c r="W1050" t="str" cm="1">
        <f t="array" ref="W105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050">
        <v>64</v>
      </c>
      <c r="Y1050" t="str" cm="1">
        <f t="array" ref="Y105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050">
        <f>SUM(Table1[[#This Row],[Math 
Score]],Table1[[#This Row],[History 
Score]],Table1[[#This Row],[Physics 
Score]],Table1[[#This Row],[Chemistry 
Score]],Table1[[#This Row],[Biology 
Score]],Table1[[#This Row],[English 
Score]],Table1[[#This Row],[Geography 
Score]])</f>
        <v>529</v>
      </c>
      <c r="AA1050" s="3">
        <f>AVERAGE(Table1[[#This Row],[Math 
Score]],Table1[[#This Row],[History 
Score]],Table1[[#This Row],[Physics 
Score]],Table1[[#This Row],[Chemistry 
Score]],Table1[[#This Row],[Biology 
Score]],Table1[[#This Row],[English 
Score]],Table1[[#This Row],[Geography 
Score]])</f>
        <v>75.571428571428569</v>
      </c>
      <c r="AB105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050">
        <f t="shared" si="16"/>
        <v>1664</v>
      </c>
      <c r="AD1050" t="str">
        <f>_xlfn.IFS(Table1[[#This Row],[Absence 
Days]]&lt;3,"Excellent",Table1[[#This Row],[Absence 
Days]]&lt;=6,"Good",Table1[[#This Row],[Absence 
Days]]&gt;6,"Poor")</f>
        <v>Good</v>
      </c>
    </row>
    <row r="1051" spans="1:30" x14ac:dyDescent="0.35">
      <c r="A1051">
        <v>1050</v>
      </c>
      <c r="B1051" s="2" t="s">
        <v>97</v>
      </c>
      <c r="C1051" t="s">
        <v>455</v>
      </c>
      <c r="D1051" t="str">
        <f>_xlfn.TEXTJOIN(" ",TRUE,Table1[[#This Row],[First 
Name]:[Last 
Name]])</f>
        <v>Wendy Clark</v>
      </c>
      <c r="E1051" t="s">
        <v>2161</v>
      </c>
      <c r="F1051" t="s">
        <v>3245</v>
      </c>
      <c r="G1051" t="str">
        <f ca="1">PROPER(Table1[[#This Row],[Part Time 
Job]])</f>
        <v>False</v>
      </c>
      <c r="H1051" s="3">
        <v>4</v>
      </c>
      <c r="I1051" t="str">
        <f ca="1">PROPER(Table1[[#This Row],[Extracurricular 
Activities]])</f>
        <v>True</v>
      </c>
      <c r="J1051">
        <v>44</v>
      </c>
      <c r="K1051" t="s">
        <v>3113</v>
      </c>
      <c r="L1051">
        <v>89</v>
      </c>
      <c r="M1051" s="12" t="str" cm="1">
        <f t="array" ref="M105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051">
        <v>99</v>
      </c>
      <c r="O1051" s="13" t="str" cm="1">
        <f t="array" ref="O105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051">
        <v>93</v>
      </c>
      <c r="Q1051" s="13" t="str" cm="1">
        <f t="array" ref="Q105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051">
        <v>99</v>
      </c>
      <c r="S1051" t="str" cm="1">
        <f t="array" ref="S105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051">
        <v>87</v>
      </c>
      <c r="U1051" t="str" cm="1">
        <f t="array" ref="U105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051">
        <v>89</v>
      </c>
      <c r="W1051" t="str" cm="1">
        <f t="array" ref="W105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051">
        <v>98</v>
      </c>
      <c r="Y1051" t="str" cm="1">
        <f t="array" ref="Y105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051">
        <f>SUM(Table1[[#This Row],[Math 
Score]],Table1[[#This Row],[History 
Score]],Table1[[#This Row],[Physics 
Score]],Table1[[#This Row],[Chemistry 
Score]],Table1[[#This Row],[Biology 
Score]],Table1[[#This Row],[English 
Score]],Table1[[#This Row],[Geography 
Score]])</f>
        <v>654</v>
      </c>
      <c r="AA1051" s="3">
        <f>AVERAGE(Table1[[#This Row],[Math 
Score]],Table1[[#This Row],[History 
Score]],Table1[[#This Row],[Physics 
Score]],Table1[[#This Row],[Chemistry 
Score]],Table1[[#This Row],[Biology 
Score]],Table1[[#This Row],[English 
Score]],Table1[[#This Row],[Geography 
Score]])</f>
        <v>93.428571428571431</v>
      </c>
      <c r="AB105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051">
        <f t="shared" si="16"/>
        <v>37</v>
      </c>
      <c r="AD1051" t="str">
        <f>_xlfn.IFS(Table1[[#This Row],[Absence 
Days]]&lt;3,"Excellent",Table1[[#This Row],[Absence 
Days]]&lt;=6,"Good",Table1[[#This Row],[Absence 
Days]]&gt;6,"Poor")</f>
        <v>Good</v>
      </c>
    </row>
    <row r="1052" spans="1:30" x14ac:dyDescent="0.35">
      <c r="A1052">
        <v>1051</v>
      </c>
      <c r="B1052" s="2" t="s">
        <v>68</v>
      </c>
      <c r="C1052" t="s">
        <v>188</v>
      </c>
      <c r="D1052" t="str">
        <f>_xlfn.TEXTJOIN(" ",TRUE,Table1[[#This Row],[First 
Name]:[Last 
Name]])</f>
        <v>Chelsea Taylor</v>
      </c>
      <c r="E1052" t="s">
        <v>2162</v>
      </c>
      <c r="F1052" t="s">
        <v>3245</v>
      </c>
      <c r="G1052" t="str">
        <f ca="1">PROPER(Table1[[#This Row],[Part Time 
Job]])</f>
        <v>True</v>
      </c>
      <c r="H1052" s="3">
        <v>0</v>
      </c>
      <c r="I1052" t="str">
        <f ca="1">PROPER(Table1[[#This Row],[Extracurricular 
Activities]])</f>
        <v>False</v>
      </c>
      <c r="J1052">
        <v>13</v>
      </c>
      <c r="K1052" t="s">
        <v>3116</v>
      </c>
      <c r="L1052">
        <v>62</v>
      </c>
      <c r="M1052" s="12" t="str" cm="1">
        <f t="array" ref="M1052">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052">
        <v>88</v>
      </c>
      <c r="O1052" s="13" t="str" cm="1">
        <f t="array" ref="O105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052">
        <v>87</v>
      </c>
      <c r="Q1052" s="13" t="str" cm="1">
        <f t="array" ref="Q105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052">
        <v>90</v>
      </c>
      <c r="S1052" t="str" cm="1">
        <f t="array" ref="S105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052">
        <v>84</v>
      </c>
      <c r="U1052" t="str" cm="1">
        <f t="array" ref="U105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052">
        <v>88</v>
      </c>
      <c r="W1052" t="str" cm="1">
        <f t="array" ref="W105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052">
        <v>95</v>
      </c>
      <c r="Y1052" t="str" cm="1">
        <f t="array" ref="Y105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052">
        <f>SUM(Table1[[#This Row],[Math 
Score]],Table1[[#This Row],[History 
Score]],Table1[[#This Row],[Physics 
Score]],Table1[[#This Row],[Chemistry 
Score]],Table1[[#This Row],[Biology 
Score]],Table1[[#This Row],[English 
Score]],Table1[[#This Row],[Geography 
Score]])</f>
        <v>594</v>
      </c>
      <c r="AA1052" s="3">
        <f>AVERAGE(Table1[[#This Row],[Math 
Score]],Table1[[#This Row],[History 
Score]],Table1[[#This Row],[Physics 
Score]],Table1[[#This Row],[Chemistry 
Score]],Table1[[#This Row],[Biology 
Score]],Table1[[#This Row],[English 
Score]],Table1[[#This Row],[Geography 
Score]])</f>
        <v>84.857142857142861</v>
      </c>
      <c r="AB105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052">
        <f t="shared" si="16"/>
        <v>479</v>
      </c>
      <c r="AD1052" t="str">
        <f>_xlfn.IFS(Table1[[#This Row],[Absence 
Days]]&lt;3,"Excellent",Table1[[#This Row],[Absence 
Days]]&lt;=6,"Good",Table1[[#This Row],[Absence 
Days]]&gt;6,"Poor")</f>
        <v>Excellent</v>
      </c>
    </row>
    <row r="1053" spans="1:30" x14ac:dyDescent="0.35">
      <c r="A1053">
        <v>1052</v>
      </c>
      <c r="B1053" s="2" t="s">
        <v>26</v>
      </c>
      <c r="C1053" t="s">
        <v>736</v>
      </c>
      <c r="D1053" t="str">
        <f>_xlfn.TEXTJOIN(" ",TRUE,Table1[[#This Row],[First 
Name]:[Last 
Name]])</f>
        <v>Jeffrey Knight</v>
      </c>
      <c r="E1053" t="s">
        <v>2163</v>
      </c>
      <c r="F1053" t="s">
        <v>3244</v>
      </c>
      <c r="G1053" t="str">
        <f ca="1">PROPER(Table1[[#This Row],[Part Time 
Job]])</f>
        <v>False</v>
      </c>
      <c r="H1053" s="3">
        <v>2</v>
      </c>
      <c r="I1053" t="str">
        <f ca="1">PROPER(Table1[[#This Row],[Extracurricular 
Activities]])</f>
        <v>False</v>
      </c>
      <c r="J1053">
        <v>15</v>
      </c>
      <c r="K1053" t="s">
        <v>3121</v>
      </c>
      <c r="L1053">
        <v>93</v>
      </c>
      <c r="M1053" s="12" t="str" cm="1">
        <f t="array" ref="M105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053">
        <v>84</v>
      </c>
      <c r="O1053" s="13" t="str" cm="1">
        <f t="array" ref="O105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053">
        <v>86</v>
      </c>
      <c r="Q1053" s="13" t="str" cm="1">
        <f t="array" ref="Q105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053">
        <v>82</v>
      </c>
      <c r="S1053" t="str" cm="1">
        <f t="array" ref="S105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053">
        <v>62</v>
      </c>
      <c r="U1053" t="str" cm="1">
        <f t="array" ref="U105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053">
        <v>87</v>
      </c>
      <c r="W1053" t="str" cm="1">
        <f t="array" ref="W105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053">
        <v>84</v>
      </c>
      <c r="Y1053" t="str" cm="1">
        <f t="array" ref="Y105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053">
        <f>SUM(Table1[[#This Row],[Math 
Score]],Table1[[#This Row],[History 
Score]],Table1[[#This Row],[Physics 
Score]],Table1[[#This Row],[Chemistry 
Score]],Table1[[#This Row],[Biology 
Score]],Table1[[#This Row],[English 
Score]],Table1[[#This Row],[Geography 
Score]])</f>
        <v>578</v>
      </c>
      <c r="AA1053" s="3">
        <f>AVERAGE(Table1[[#This Row],[Math 
Score]],Table1[[#This Row],[History 
Score]],Table1[[#This Row],[Physics 
Score]],Table1[[#This Row],[Chemistry 
Score]],Table1[[#This Row],[Biology 
Score]],Table1[[#This Row],[English 
Score]],Table1[[#This Row],[Geography 
Score]])</f>
        <v>82.571428571428569</v>
      </c>
      <c r="AB105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053">
        <f t="shared" si="16"/>
        <v>752</v>
      </c>
      <c r="AD1053" t="str">
        <f>_xlfn.IFS(Table1[[#This Row],[Absence 
Days]]&lt;3,"Excellent",Table1[[#This Row],[Absence 
Days]]&lt;=6,"Good",Table1[[#This Row],[Absence 
Days]]&gt;6,"Poor")</f>
        <v>Excellent</v>
      </c>
    </row>
    <row r="1054" spans="1:30" x14ac:dyDescent="0.35">
      <c r="A1054">
        <v>1053</v>
      </c>
      <c r="B1054" s="2" t="s">
        <v>246</v>
      </c>
      <c r="C1054" t="s">
        <v>923</v>
      </c>
      <c r="D1054" t="str">
        <f>_xlfn.TEXTJOIN(" ",TRUE,Table1[[#This Row],[First 
Name]:[Last 
Name]])</f>
        <v>Katelyn Watkins</v>
      </c>
      <c r="E1054" t="s">
        <v>2164</v>
      </c>
      <c r="F1054" t="s">
        <v>3245</v>
      </c>
      <c r="G1054" t="str">
        <f ca="1">PROPER(Table1[[#This Row],[Part Time 
Job]])</f>
        <v>False</v>
      </c>
      <c r="H1054" s="3">
        <v>3</v>
      </c>
      <c r="I1054" t="str">
        <f ca="1">PROPER(Table1[[#This Row],[Extracurricular 
Activities]])</f>
        <v>False</v>
      </c>
      <c r="J1054">
        <v>16</v>
      </c>
      <c r="K1054" t="s">
        <v>3123</v>
      </c>
      <c r="L1054">
        <v>75</v>
      </c>
      <c r="M1054" s="12" t="str" cm="1">
        <f t="array" ref="M105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054">
        <v>97</v>
      </c>
      <c r="O1054" s="13" t="str" cm="1">
        <f t="array" ref="O105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054">
        <v>97</v>
      </c>
      <c r="Q1054" s="13" t="str" cm="1">
        <f t="array" ref="Q105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054">
        <v>83</v>
      </c>
      <c r="S1054" t="str" cm="1">
        <f t="array" ref="S105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054">
        <v>74</v>
      </c>
      <c r="U1054" t="str" cm="1">
        <f t="array" ref="U105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054">
        <v>74</v>
      </c>
      <c r="W1054" t="str" cm="1">
        <f t="array" ref="W105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054">
        <v>74</v>
      </c>
      <c r="Y1054" t="str" cm="1">
        <f t="array" ref="Y105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054">
        <f>SUM(Table1[[#This Row],[Math 
Score]],Table1[[#This Row],[History 
Score]],Table1[[#This Row],[Physics 
Score]],Table1[[#This Row],[Chemistry 
Score]],Table1[[#This Row],[Biology 
Score]],Table1[[#This Row],[English 
Score]],Table1[[#This Row],[Geography 
Score]])</f>
        <v>574</v>
      </c>
      <c r="AA1054" s="3">
        <f>AVERAGE(Table1[[#This Row],[Math 
Score]],Table1[[#This Row],[History 
Score]],Table1[[#This Row],[Physics 
Score]],Table1[[#This Row],[Chemistry 
Score]],Table1[[#This Row],[Biology 
Score]],Table1[[#This Row],[English 
Score]],Table1[[#This Row],[Geography 
Score]])</f>
        <v>82</v>
      </c>
      <c r="AB105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054">
        <f t="shared" si="16"/>
        <v>832</v>
      </c>
      <c r="AD1054" t="str">
        <f>_xlfn.IFS(Table1[[#This Row],[Absence 
Days]]&lt;3,"Excellent",Table1[[#This Row],[Absence 
Days]]&lt;=6,"Good",Table1[[#This Row],[Absence 
Days]]&gt;6,"Poor")</f>
        <v>Good</v>
      </c>
    </row>
    <row r="1055" spans="1:30" x14ac:dyDescent="0.35">
      <c r="A1055">
        <v>1054</v>
      </c>
      <c r="B1055" s="2" t="s">
        <v>355</v>
      </c>
      <c r="C1055" t="s">
        <v>663</v>
      </c>
      <c r="D1055" t="str">
        <f>_xlfn.TEXTJOIN(" ",TRUE,Table1[[#This Row],[First 
Name]:[Last 
Name]])</f>
        <v>Anne Johnston</v>
      </c>
      <c r="E1055" t="s">
        <v>2165</v>
      </c>
      <c r="F1055" t="s">
        <v>3245</v>
      </c>
      <c r="G1055" t="str">
        <f ca="1">PROPER(Table1[[#This Row],[Part Time 
Job]])</f>
        <v>False</v>
      </c>
      <c r="H1055" s="3">
        <v>1</v>
      </c>
      <c r="I1055" t="str">
        <f ca="1">PROPER(Table1[[#This Row],[Extracurricular 
Activities]])</f>
        <v>False</v>
      </c>
      <c r="J1055">
        <v>18</v>
      </c>
      <c r="K1055" t="s">
        <v>3121</v>
      </c>
      <c r="L1055">
        <v>75</v>
      </c>
      <c r="M1055" s="12" t="str" cm="1">
        <f t="array" ref="M105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055">
        <v>66</v>
      </c>
      <c r="O1055" s="13" t="str" cm="1">
        <f t="array" ref="O105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055">
        <v>61</v>
      </c>
      <c r="Q1055" s="13" t="str" cm="1">
        <f t="array" ref="Q105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055">
        <v>69</v>
      </c>
      <c r="S1055" t="str" cm="1">
        <f t="array" ref="S105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055">
        <v>68</v>
      </c>
      <c r="U1055" t="str" cm="1">
        <f t="array" ref="U105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055">
        <v>96</v>
      </c>
      <c r="W1055" t="str" cm="1">
        <f t="array" ref="W105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055">
        <v>63</v>
      </c>
      <c r="Y1055" t="str" cm="1">
        <f t="array" ref="Y105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055">
        <f>SUM(Table1[[#This Row],[Math 
Score]],Table1[[#This Row],[History 
Score]],Table1[[#This Row],[Physics 
Score]],Table1[[#This Row],[Chemistry 
Score]],Table1[[#This Row],[Biology 
Score]],Table1[[#This Row],[English 
Score]],Table1[[#This Row],[Geography 
Score]])</f>
        <v>498</v>
      </c>
      <c r="AA1055" s="3">
        <f>AVERAGE(Table1[[#This Row],[Math 
Score]],Table1[[#This Row],[History 
Score]],Table1[[#This Row],[Physics 
Score]],Table1[[#This Row],[Chemistry 
Score]],Table1[[#This Row],[Biology 
Score]],Table1[[#This Row],[English 
Score]],Table1[[#This Row],[Geography 
Score]])</f>
        <v>71.142857142857139</v>
      </c>
      <c r="AB105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055">
        <f t="shared" si="16"/>
        <v>1884</v>
      </c>
      <c r="AD1055" t="str">
        <f>_xlfn.IFS(Table1[[#This Row],[Absence 
Days]]&lt;3,"Excellent",Table1[[#This Row],[Absence 
Days]]&lt;=6,"Good",Table1[[#This Row],[Absence 
Days]]&gt;6,"Poor")</f>
        <v>Excellent</v>
      </c>
    </row>
    <row r="1056" spans="1:30" x14ac:dyDescent="0.35">
      <c r="A1056">
        <v>1055</v>
      </c>
      <c r="B1056" s="2" t="s">
        <v>122</v>
      </c>
      <c r="C1056" t="s">
        <v>913</v>
      </c>
      <c r="D1056" t="str">
        <f>_xlfn.TEXTJOIN(" ",TRUE,Table1[[#This Row],[First 
Name]:[Last 
Name]])</f>
        <v>Rebecca Carpenter</v>
      </c>
      <c r="E1056" t="s">
        <v>2166</v>
      </c>
      <c r="F1056" t="s">
        <v>3245</v>
      </c>
      <c r="G1056" t="str">
        <f ca="1">PROPER(Table1[[#This Row],[Part Time 
Job]])</f>
        <v>False</v>
      </c>
      <c r="H1056" s="3">
        <v>1</v>
      </c>
      <c r="I1056" t="str">
        <f ca="1">PROPER(Table1[[#This Row],[Extracurricular 
Activities]])</f>
        <v>False</v>
      </c>
      <c r="J1056">
        <v>28</v>
      </c>
      <c r="K1056" t="s">
        <v>3116</v>
      </c>
      <c r="L1056">
        <v>88</v>
      </c>
      <c r="M1056" s="12" t="str" cm="1">
        <f t="array" ref="M105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056">
        <v>93</v>
      </c>
      <c r="O1056" s="13" t="str" cm="1">
        <f t="array" ref="O105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056">
        <v>92</v>
      </c>
      <c r="Q1056" s="13" t="str" cm="1">
        <f t="array" ref="Q105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056">
        <v>70</v>
      </c>
      <c r="S1056" t="str" cm="1">
        <f t="array" ref="S105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056">
        <v>90</v>
      </c>
      <c r="U1056" t="str" cm="1">
        <f t="array" ref="U105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056">
        <v>94</v>
      </c>
      <c r="W1056" t="str" cm="1">
        <f t="array" ref="W105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056">
        <v>85</v>
      </c>
      <c r="Y1056" t="str" cm="1">
        <f t="array" ref="Y105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056">
        <f>SUM(Table1[[#This Row],[Math 
Score]],Table1[[#This Row],[History 
Score]],Table1[[#This Row],[Physics 
Score]],Table1[[#This Row],[Chemistry 
Score]],Table1[[#This Row],[Biology 
Score]],Table1[[#This Row],[English 
Score]],Table1[[#This Row],[Geography 
Score]])</f>
        <v>612</v>
      </c>
      <c r="AA1056" s="3">
        <f>AVERAGE(Table1[[#This Row],[Math 
Score]],Table1[[#This Row],[History 
Score]],Table1[[#This Row],[Physics 
Score]],Table1[[#This Row],[Chemistry 
Score]],Table1[[#This Row],[Biology 
Score]],Table1[[#This Row],[English 
Score]],Table1[[#This Row],[Geography 
Score]])</f>
        <v>87.428571428571431</v>
      </c>
      <c r="AB105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056">
        <f t="shared" si="16"/>
        <v>283</v>
      </c>
      <c r="AD1056" t="str">
        <f>_xlfn.IFS(Table1[[#This Row],[Absence 
Days]]&lt;3,"Excellent",Table1[[#This Row],[Absence 
Days]]&lt;=6,"Good",Table1[[#This Row],[Absence 
Days]]&gt;6,"Poor")</f>
        <v>Excellent</v>
      </c>
    </row>
    <row r="1057" spans="1:30" x14ac:dyDescent="0.35">
      <c r="A1057">
        <v>1056</v>
      </c>
      <c r="B1057" s="2" t="s">
        <v>182</v>
      </c>
      <c r="C1057" t="s">
        <v>708</v>
      </c>
      <c r="D1057" t="str">
        <f>_xlfn.TEXTJOIN(" ",TRUE,Table1[[#This Row],[First 
Name]:[Last 
Name]])</f>
        <v>Ashley Baker</v>
      </c>
      <c r="E1057" t="s">
        <v>2167</v>
      </c>
      <c r="F1057" t="s">
        <v>3245</v>
      </c>
      <c r="G1057" t="str">
        <f ca="1">PROPER(Table1[[#This Row],[Part Time 
Job]])</f>
        <v>False</v>
      </c>
      <c r="H1057" s="3">
        <v>5</v>
      </c>
      <c r="I1057" t="str">
        <f ca="1">PROPER(Table1[[#This Row],[Extracurricular 
Activities]])</f>
        <v>False</v>
      </c>
      <c r="J1057">
        <v>29</v>
      </c>
      <c r="K1057" t="s">
        <v>3112</v>
      </c>
      <c r="L1057">
        <v>86</v>
      </c>
      <c r="M1057" s="12" t="str" cm="1">
        <f t="array" ref="M105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057">
        <v>95</v>
      </c>
      <c r="O1057" s="13" t="str" cm="1">
        <f t="array" ref="O105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057">
        <v>95</v>
      </c>
      <c r="Q1057" s="13" t="str" cm="1">
        <f t="array" ref="Q105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057">
        <v>72</v>
      </c>
      <c r="S1057" t="str" cm="1">
        <f t="array" ref="S105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057">
        <v>72</v>
      </c>
      <c r="U1057" t="str" cm="1">
        <f t="array" ref="U105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057">
        <v>80</v>
      </c>
      <c r="W1057" t="str" cm="1">
        <f t="array" ref="W105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057">
        <v>65</v>
      </c>
      <c r="Y1057" t="str" cm="1">
        <f t="array" ref="Y105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057">
        <f>SUM(Table1[[#This Row],[Math 
Score]],Table1[[#This Row],[History 
Score]],Table1[[#This Row],[Physics 
Score]],Table1[[#This Row],[Chemistry 
Score]],Table1[[#This Row],[Biology 
Score]],Table1[[#This Row],[English 
Score]],Table1[[#This Row],[Geography 
Score]])</f>
        <v>565</v>
      </c>
      <c r="AA1057" s="3">
        <f>AVERAGE(Table1[[#This Row],[Math 
Score]],Table1[[#This Row],[History 
Score]],Table1[[#This Row],[Physics 
Score]],Table1[[#This Row],[Chemistry 
Score]],Table1[[#This Row],[Biology 
Score]],Table1[[#This Row],[English 
Score]],Table1[[#This Row],[Geography 
Score]])</f>
        <v>80.714285714285708</v>
      </c>
      <c r="AB105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057">
        <f t="shared" si="16"/>
        <v>1035</v>
      </c>
      <c r="AD1057" t="str">
        <f>_xlfn.IFS(Table1[[#This Row],[Absence 
Days]]&lt;3,"Excellent",Table1[[#This Row],[Absence 
Days]]&lt;=6,"Good",Table1[[#This Row],[Absence 
Days]]&gt;6,"Poor")</f>
        <v>Good</v>
      </c>
    </row>
    <row r="1058" spans="1:30" x14ac:dyDescent="0.35">
      <c r="A1058">
        <v>1057</v>
      </c>
      <c r="B1058" s="2" t="s">
        <v>356</v>
      </c>
      <c r="C1058" t="s">
        <v>580</v>
      </c>
      <c r="D1058" t="str">
        <f>_xlfn.TEXTJOIN(" ",TRUE,Table1[[#This Row],[First 
Name]:[Last 
Name]])</f>
        <v>Lacey Norris</v>
      </c>
      <c r="E1058" t="s">
        <v>2168</v>
      </c>
      <c r="F1058" t="s">
        <v>3245</v>
      </c>
      <c r="G1058" t="str">
        <f ca="1">PROPER(Table1[[#This Row],[Part Time 
Job]])</f>
        <v>False</v>
      </c>
      <c r="H1058" s="3">
        <v>8</v>
      </c>
      <c r="I1058" t="str">
        <f ca="1">PROPER(Table1[[#This Row],[Extracurricular 
Activities]])</f>
        <v>False</v>
      </c>
      <c r="J1058">
        <v>30</v>
      </c>
      <c r="K1058" t="s">
        <v>3112</v>
      </c>
      <c r="L1058">
        <v>86</v>
      </c>
      <c r="M1058" s="12" t="str" cm="1">
        <f t="array" ref="M105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058">
        <v>98</v>
      </c>
      <c r="O1058" s="13" t="str" cm="1">
        <f t="array" ref="O105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058">
        <v>97</v>
      </c>
      <c r="Q1058" s="13" t="str" cm="1">
        <f t="array" ref="Q105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058">
        <v>75</v>
      </c>
      <c r="S1058" t="str" cm="1">
        <f t="array" ref="S105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058">
        <v>83</v>
      </c>
      <c r="U1058" t="str" cm="1">
        <f t="array" ref="U105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058">
        <v>95</v>
      </c>
      <c r="W1058" t="str" cm="1">
        <f t="array" ref="W105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058">
        <v>80</v>
      </c>
      <c r="Y1058" t="str" cm="1">
        <f t="array" ref="Y105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058">
        <f>SUM(Table1[[#This Row],[Math 
Score]],Table1[[#This Row],[History 
Score]],Table1[[#This Row],[Physics 
Score]],Table1[[#This Row],[Chemistry 
Score]],Table1[[#This Row],[Biology 
Score]],Table1[[#This Row],[English 
Score]],Table1[[#This Row],[Geography 
Score]])</f>
        <v>614</v>
      </c>
      <c r="AA1058" s="3">
        <f>AVERAGE(Table1[[#This Row],[Math 
Score]],Table1[[#This Row],[History 
Score]],Table1[[#This Row],[Physics 
Score]],Table1[[#This Row],[Chemistry 
Score]],Table1[[#This Row],[Biology 
Score]],Table1[[#This Row],[English 
Score]],Table1[[#This Row],[Geography 
Score]])</f>
        <v>87.714285714285708</v>
      </c>
      <c r="AB105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058">
        <f t="shared" si="16"/>
        <v>260</v>
      </c>
      <c r="AD1058" t="str">
        <f>_xlfn.IFS(Table1[[#This Row],[Absence 
Days]]&lt;3,"Excellent",Table1[[#This Row],[Absence 
Days]]&lt;=6,"Good",Table1[[#This Row],[Absence 
Days]]&gt;6,"Poor")</f>
        <v>Poor</v>
      </c>
    </row>
    <row r="1059" spans="1:30" x14ac:dyDescent="0.35">
      <c r="A1059">
        <v>1058</v>
      </c>
      <c r="B1059" s="2" t="s">
        <v>18</v>
      </c>
      <c r="C1059" t="s">
        <v>569</v>
      </c>
      <c r="D1059" t="str">
        <f>_xlfn.TEXTJOIN(" ",TRUE,Table1[[#This Row],[First 
Name]:[Last 
Name]])</f>
        <v>Angela Moore</v>
      </c>
      <c r="E1059" t="s">
        <v>2169</v>
      </c>
      <c r="F1059" t="s">
        <v>3245</v>
      </c>
      <c r="G1059" t="str">
        <f ca="1">PROPER(Table1[[#This Row],[Part Time 
Job]])</f>
        <v>False</v>
      </c>
      <c r="H1059" s="3">
        <v>1</v>
      </c>
      <c r="I1059" t="str">
        <f ca="1">PROPER(Table1[[#This Row],[Extracurricular 
Activities]])</f>
        <v>True</v>
      </c>
      <c r="J1059">
        <v>32</v>
      </c>
      <c r="K1059" t="s">
        <v>3117</v>
      </c>
      <c r="L1059">
        <v>99</v>
      </c>
      <c r="M1059" s="12" t="str" cm="1">
        <f t="array" ref="M105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059">
        <v>95</v>
      </c>
      <c r="O1059" s="13" t="str" cm="1">
        <f t="array" ref="O105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059">
        <v>88</v>
      </c>
      <c r="Q1059" s="13" t="str" cm="1">
        <f t="array" ref="Q105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059">
        <v>68</v>
      </c>
      <c r="S1059" t="str" cm="1">
        <f t="array" ref="S105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059">
        <v>91</v>
      </c>
      <c r="U1059" t="str" cm="1">
        <f t="array" ref="U105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059">
        <v>62</v>
      </c>
      <c r="W1059" t="str" cm="1">
        <f t="array" ref="W105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059">
        <v>75</v>
      </c>
      <c r="Y1059" t="str" cm="1">
        <f t="array" ref="Y105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059">
        <f>SUM(Table1[[#This Row],[Math 
Score]],Table1[[#This Row],[History 
Score]],Table1[[#This Row],[Physics 
Score]],Table1[[#This Row],[Chemistry 
Score]],Table1[[#This Row],[Biology 
Score]],Table1[[#This Row],[English 
Score]],Table1[[#This Row],[Geography 
Score]])</f>
        <v>578</v>
      </c>
      <c r="AA1059" s="3">
        <f>AVERAGE(Table1[[#This Row],[Math 
Score]],Table1[[#This Row],[History 
Score]],Table1[[#This Row],[Physics 
Score]],Table1[[#This Row],[Chemistry 
Score]],Table1[[#This Row],[Biology 
Score]],Table1[[#This Row],[English 
Score]],Table1[[#This Row],[Geography 
Score]])</f>
        <v>82.571428571428569</v>
      </c>
      <c r="AB105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059">
        <f t="shared" si="16"/>
        <v>752</v>
      </c>
      <c r="AD1059" t="str">
        <f>_xlfn.IFS(Table1[[#This Row],[Absence 
Days]]&lt;3,"Excellent",Table1[[#This Row],[Absence 
Days]]&lt;=6,"Good",Table1[[#This Row],[Absence 
Days]]&gt;6,"Poor")</f>
        <v>Excellent</v>
      </c>
    </row>
    <row r="1060" spans="1:30" x14ac:dyDescent="0.35">
      <c r="A1060">
        <v>1059</v>
      </c>
      <c r="B1060" s="2" t="s">
        <v>244</v>
      </c>
      <c r="C1060" t="s">
        <v>554</v>
      </c>
      <c r="D1060" t="str">
        <f>_xlfn.TEXTJOIN(" ",TRUE,Table1[[#This Row],[First 
Name]:[Last 
Name]])</f>
        <v>Maria Obrien</v>
      </c>
      <c r="E1060" t="s">
        <v>2170</v>
      </c>
      <c r="F1060" t="s">
        <v>3245</v>
      </c>
      <c r="G1060" t="str">
        <f ca="1">PROPER(Table1[[#This Row],[Part Time 
Job]])</f>
        <v>False</v>
      </c>
      <c r="H1060" s="3">
        <v>0</v>
      </c>
      <c r="I1060" t="str">
        <f ca="1">PROPER(Table1[[#This Row],[Extracurricular 
Activities]])</f>
        <v>False</v>
      </c>
      <c r="J1060">
        <v>19</v>
      </c>
      <c r="K1060" t="s">
        <v>3117</v>
      </c>
      <c r="L1060">
        <v>95</v>
      </c>
      <c r="M1060" s="12" t="str" cm="1">
        <f t="array" ref="M106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060">
        <v>85</v>
      </c>
      <c r="O1060" s="13" t="str" cm="1">
        <f t="array" ref="O106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060">
        <v>76</v>
      </c>
      <c r="Q1060" s="13" t="str" cm="1">
        <f t="array" ref="Q106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060">
        <v>96</v>
      </c>
      <c r="S1060" t="str" cm="1">
        <f t="array" ref="S106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060">
        <v>68</v>
      </c>
      <c r="U1060" t="str" cm="1">
        <f t="array" ref="U106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060">
        <v>74</v>
      </c>
      <c r="W1060" t="str" cm="1">
        <f t="array" ref="W106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060">
        <v>93</v>
      </c>
      <c r="Y1060" t="str" cm="1">
        <f t="array" ref="Y106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060">
        <f>SUM(Table1[[#This Row],[Math 
Score]],Table1[[#This Row],[History 
Score]],Table1[[#This Row],[Physics 
Score]],Table1[[#This Row],[Chemistry 
Score]],Table1[[#This Row],[Biology 
Score]],Table1[[#This Row],[English 
Score]],Table1[[#This Row],[Geography 
Score]])</f>
        <v>587</v>
      </c>
      <c r="AA1060" s="3">
        <f>AVERAGE(Table1[[#This Row],[Math 
Score]],Table1[[#This Row],[History 
Score]],Table1[[#This Row],[Physics 
Score]],Table1[[#This Row],[Chemistry 
Score]],Table1[[#This Row],[Biology 
Score]],Table1[[#This Row],[English 
Score]],Table1[[#This Row],[Geography 
Score]])</f>
        <v>83.857142857142861</v>
      </c>
      <c r="AB106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060">
        <f t="shared" si="16"/>
        <v>583</v>
      </c>
      <c r="AD1060" t="str">
        <f>_xlfn.IFS(Table1[[#This Row],[Absence 
Days]]&lt;3,"Excellent",Table1[[#This Row],[Absence 
Days]]&lt;=6,"Good",Table1[[#This Row],[Absence 
Days]]&gt;6,"Poor")</f>
        <v>Excellent</v>
      </c>
    </row>
    <row r="1061" spans="1:30" x14ac:dyDescent="0.35">
      <c r="A1061">
        <v>1060</v>
      </c>
      <c r="B1061" s="2" t="s">
        <v>122</v>
      </c>
      <c r="C1061" t="s">
        <v>924</v>
      </c>
      <c r="D1061" t="str">
        <f>_xlfn.TEXTJOIN(" ",TRUE,Table1[[#This Row],[First 
Name]:[Last 
Name]])</f>
        <v>Rebecca Larsen</v>
      </c>
      <c r="E1061" t="s">
        <v>2171</v>
      </c>
      <c r="F1061" t="s">
        <v>3245</v>
      </c>
      <c r="G1061" t="str">
        <f ca="1">PROPER(Table1[[#This Row],[Part Time 
Job]])</f>
        <v>False</v>
      </c>
      <c r="H1061" s="3">
        <v>2</v>
      </c>
      <c r="I1061" t="str">
        <f ca="1">PROPER(Table1[[#This Row],[Extracurricular 
Activities]])</f>
        <v>False</v>
      </c>
      <c r="J1061">
        <v>18</v>
      </c>
      <c r="K1061" t="s">
        <v>3117</v>
      </c>
      <c r="L1061">
        <v>92</v>
      </c>
      <c r="M1061" s="12" t="str" cm="1">
        <f t="array" ref="M106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061">
        <v>72</v>
      </c>
      <c r="O1061" s="13" t="str" cm="1">
        <f t="array" ref="O106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061">
        <v>61</v>
      </c>
      <c r="Q1061" s="13" t="str" cm="1">
        <f t="array" ref="Q106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061">
        <v>93</v>
      </c>
      <c r="S1061" t="str" cm="1">
        <f t="array" ref="S106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061">
        <v>86</v>
      </c>
      <c r="U1061" t="str" cm="1">
        <f t="array" ref="U106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061">
        <v>97</v>
      </c>
      <c r="W1061" t="str" cm="1">
        <f t="array" ref="W106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061">
        <v>79</v>
      </c>
      <c r="Y1061" t="str" cm="1">
        <f t="array" ref="Y106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061">
        <f>SUM(Table1[[#This Row],[Math 
Score]],Table1[[#This Row],[History 
Score]],Table1[[#This Row],[Physics 
Score]],Table1[[#This Row],[Chemistry 
Score]],Table1[[#This Row],[Biology 
Score]],Table1[[#This Row],[English 
Score]],Table1[[#This Row],[Geography 
Score]])</f>
        <v>580</v>
      </c>
      <c r="AA1061" s="3">
        <f>AVERAGE(Table1[[#This Row],[Math 
Score]],Table1[[#This Row],[History 
Score]],Table1[[#This Row],[Physics 
Score]],Table1[[#This Row],[Chemistry 
Score]],Table1[[#This Row],[Biology 
Score]],Table1[[#This Row],[English 
Score]],Table1[[#This Row],[Geography 
Score]])</f>
        <v>82.857142857142861</v>
      </c>
      <c r="AB106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061">
        <f t="shared" si="16"/>
        <v>709</v>
      </c>
      <c r="AD1061" t="str">
        <f>_xlfn.IFS(Table1[[#This Row],[Absence 
Days]]&lt;3,"Excellent",Table1[[#This Row],[Absence 
Days]]&lt;=6,"Good",Table1[[#This Row],[Absence 
Days]]&gt;6,"Poor")</f>
        <v>Excellent</v>
      </c>
    </row>
    <row r="1062" spans="1:30" x14ac:dyDescent="0.35">
      <c r="A1062">
        <v>1061</v>
      </c>
      <c r="B1062" s="2" t="s">
        <v>99</v>
      </c>
      <c r="C1062" t="s">
        <v>567</v>
      </c>
      <c r="D1062" t="str">
        <f>_xlfn.TEXTJOIN(" ",TRUE,Table1[[#This Row],[First 
Name]:[Last 
Name]])</f>
        <v>Amanda Rodriguez</v>
      </c>
      <c r="E1062" t="s">
        <v>2172</v>
      </c>
      <c r="F1062" t="s">
        <v>3245</v>
      </c>
      <c r="G1062" t="str">
        <f ca="1">PROPER(Table1[[#This Row],[Part Time 
Job]])</f>
        <v>False</v>
      </c>
      <c r="H1062" s="3">
        <v>5</v>
      </c>
      <c r="I1062" t="str">
        <f ca="1">PROPER(Table1[[#This Row],[Extracurricular 
Activities]])</f>
        <v>False</v>
      </c>
      <c r="J1062">
        <v>23</v>
      </c>
      <c r="K1062" t="s">
        <v>3113</v>
      </c>
      <c r="L1062">
        <v>88</v>
      </c>
      <c r="M1062" s="12" t="str" cm="1">
        <f t="array" ref="M106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062">
        <v>91</v>
      </c>
      <c r="O1062" s="13" t="str" cm="1">
        <f t="array" ref="O106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062">
        <v>96</v>
      </c>
      <c r="Q1062" s="13" t="str" cm="1">
        <f t="array" ref="Q106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062">
        <v>99</v>
      </c>
      <c r="S1062" t="str" cm="1">
        <f t="array" ref="S106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062">
        <v>85</v>
      </c>
      <c r="U1062" t="str" cm="1">
        <f t="array" ref="U106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062">
        <v>62</v>
      </c>
      <c r="W1062" t="str" cm="1">
        <f t="array" ref="W106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062">
        <v>86</v>
      </c>
      <c r="Y1062" t="str" cm="1">
        <f t="array" ref="Y106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062">
        <f>SUM(Table1[[#This Row],[Math 
Score]],Table1[[#This Row],[History 
Score]],Table1[[#This Row],[Physics 
Score]],Table1[[#This Row],[Chemistry 
Score]],Table1[[#This Row],[Biology 
Score]],Table1[[#This Row],[English 
Score]],Table1[[#This Row],[Geography 
Score]])</f>
        <v>607</v>
      </c>
      <c r="AA1062" s="3">
        <f>AVERAGE(Table1[[#This Row],[Math 
Score]],Table1[[#This Row],[History 
Score]],Table1[[#This Row],[Physics 
Score]],Table1[[#This Row],[Chemistry 
Score]],Table1[[#This Row],[Biology 
Score]],Table1[[#This Row],[English 
Score]],Table1[[#This Row],[Geography 
Score]])</f>
        <v>86.714285714285708</v>
      </c>
      <c r="AB106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062">
        <f t="shared" si="16"/>
        <v>325</v>
      </c>
      <c r="AD1062" t="str">
        <f>_xlfn.IFS(Table1[[#This Row],[Absence 
Days]]&lt;3,"Excellent",Table1[[#This Row],[Absence 
Days]]&lt;=6,"Good",Table1[[#This Row],[Absence 
Days]]&gt;6,"Poor")</f>
        <v>Good</v>
      </c>
    </row>
    <row r="1063" spans="1:30" x14ac:dyDescent="0.35">
      <c r="A1063">
        <v>1062</v>
      </c>
      <c r="B1063" s="2" t="s">
        <v>76</v>
      </c>
      <c r="C1063" t="s">
        <v>455</v>
      </c>
      <c r="D1063" t="str">
        <f>_xlfn.TEXTJOIN(" ",TRUE,Table1[[#This Row],[First 
Name]:[Last 
Name]])</f>
        <v>Patrick Clark</v>
      </c>
      <c r="E1063" t="s">
        <v>2173</v>
      </c>
      <c r="F1063" t="s">
        <v>3244</v>
      </c>
      <c r="G1063" t="str">
        <f ca="1">PROPER(Table1[[#This Row],[Part Time 
Job]])</f>
        <v>False</v>
      </c>
      <c r="H1063" s="3">
        <v>7</v>
      </c>
      <c r="I1063" t="str">
        <f ca="1">PROPER(Table1[[#This Row],[Extracurricular 
Activities]])</f>
        <v>False</v>
      </c>
      <c r="J1063">
        <v>16</v>
      </c>
      <c r="K1063" t="s">
        <v>3121</v>
      </c>
      <c r="L1063">
        <v>92</v>
      </c>
      <c r="M1063" s="12" t="str" cm="1">
        <f t="array" ref="M106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063">
        <v>60</v>
      </c>
      <c r="O1063" s="13" t="str" cm="1">
        <f t="array" ref="O106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063">
        <v>76</v>
      </c>
      <c r="Q1063" s="13" t="str" cm="1">
        <f t="array" ref="Q106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063">
        <v>61</v>
      </c>
      <c r="S1063" t="str" cm="1">
        <f t="array" ref="S106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063">
        <v>94</v>
      </c>
      <c r="U1063" t="str" cm="1">
        <f t="array" ref="U106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063">
        <v>93</v>
      </c>
      <c r="W1063" t="str" cm="1">
        <f t="array" ref="W106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063">
        <v>94</v>
      </c>
      <c r="Y1063" t="str" cm="1">
        <f t="array" ref="Y106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063">
        <f>SUM(Table1[[#This Row],[Math 
Score]],Table1[[#This Row],[History 
Score]],Table1[[#This Row],[Physics 
Score]],Table1[[#This Row],[Chemistry 
Score]],Table1[[#This Row],[Biology 
Score]],Table1[[#This Row],[English 
Score]],Table1[[#This Row],[Geography 
Score]])</f>
        <v>570</v>
      </c>
      <c r="AA1063" s="3">
        <f>AVERAGE(Table1[[#This Row],[Math 
Score]],Table1[[#This Row],[History 
Score]],Table1[[#This Row],[Physics 
Score]],Table1[[#This Row],[Chemistry 
Score]],Table1[[#This Row],[Biology 
Score]],Table1[[#This Row],[English 
Score]],Table1[[#This Row],[Geography 
Score]])</f>
        <v>81.428571428571431</v>
      </c>
      <c r="AB106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063">
        <f t="shared" si="16"/>
        <v>937</v>
      </c>
      <c r="AD1063" t="str">
        <f>_xlfn.IFS(Table1[[#This Row],[Absence 
Days]]&lt;3,"Excellent",Table1[[#This Row],[Absence 
Days]]&lt;=6,"Good",Table1[[#This Row],[Absence 
Days]]&gt;6,"Poor")</f>
        <v>Poor</v>
      </c>
    </row>
    <row r="1064" spans="1:30" x14ac:dyDescent="0.35">
      <c r="A1064">
        <v>1063</v>
      </c>
      <c r="B1064" s="2" t="s">
        <v>243</v>
      </c>
      <c r="C1064" t="s">
        <v>925</v>
      </c>
      <c r="D1064" t="str">
        <f>_xlfn.TEXTJOIN(" ",TRUE,Table1[[#This Row],[First 
Name]:[Last 
Name]])</f>
        <v>Janet Morrison</v>
      </c>
      <c r="E1064" t="s">
        <v>2174</v>
      </c>
      <c r="F1064" t="s">
        <v>3245</v>
      </c>
      <c r="G1064" t="str">
        <f ca="1">PROPER(Table1[[#This Row],[Part Time 
Job]])</f>
        <v>True</v>
      </c>
      <c r="H1064" s="3">
        <v>8</v>
      </c>
      <c r="I1064" t="str">
        <f ca="1">PROPER(Table1[[#This Row],[Extracurricular 
Activities]])</f>
        <v>False</v>
      </c>
      <c r="J1064">
        <v>1</v>
      </c>
      <c r="K1064" t="s">
        <v>3119</v>
      </c>
      <c r="L1064">
        <v>70</v>
      </c>
      <c r="M1064" s="12" t="str" cm="1">
        <f t="array" ref="M1064">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064">
        <v>70</v>
      </c>
      <c r="O1064" s="13" t="str" cm="1">
        <f t="array" ref="O106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064">
        <v>75</v>
      </c>
      <c r="Q1064" s="13" t="str" cm="1">
        <f t="array" ref="Q106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064">
        <v>83</v>
      </c>
      <c r="S1064" t="str" cm="1">
        <f t="array" ref="S106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064">
        <v>60</v>
      </c>
      <c r="U1064" t="str" cm="1">
        <f t="array" ref="U106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064">
        <v>86</v>
      </c>
      <c r="W1064" t="str" cm="1">
        <f t="array" ref="W106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064">
        <v>62</v>
      </c>
      <c r="Y1064" t="str" cm="1">
        <f t="array" ref="Y106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064">
        <f>SUM(Table1[[#This Row],[Math 
Score]],Table1[[#This Row],[History 
Score]],Table1[[#This Row],[Physics 
Score]],Table1[[#This Row],[Chemistry 
Score]],Table1[[#This Row],[Biology 
Score]],Table1[[#This Row],[English 
Score]],Table1[[#This Row],[Geography 
Score]])</f>
        <v>506</v>
      </c>
      <c r="AA1064" s="3">
        <f>AVERAGE(Table1[[#This Row],[Math 
Score]],Table1[[#This Row],[History 
Score]],Table1[[#This Row],[Physics 
Score]],Table1[[#This Row],[Chemistry 
Score]],Table1[[#This Row],[Biology 
Score]],Table1[[#This Row],[English 
Score]],Table1[[#This Row],[Geography 
Score]])</f>
        <v>72.285714285714292</v>
      </c>
      <c r="AB106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064">
        <f t="shared" si="16"/>
        <v>1848</v>
      </c>
      <c r="AD1064" t="str">
        <f>_xlfn.IFS(Table1[[#This Row],[Absence 
Days]]&lt;3,"Excellent",Table1[[#This Row],[Absence 
Days]]&lt;=6,"Good",Table1[[#This Row],[Absence 
Days]]&gt;6,"Poor")</f>
        <v>Poor</v>
      </c>
    </row>
    <row r="1065" spans="1:30" x14ac:dyDescent="0.35">
      <c r="A1065">
        <v>1064</v>
      </c>
      <c r="B1065" s="2" t="s">
        <v>71</v>
      </c>
      <c r="C1065" t="s">
        <v>834</v>
      </c>
      <c r="D1065" t="str">
        <f>_xlfn.TEXTJOIN(" ",TRUE,Table1[[#This Row],[First 
Name]:[Last 
Name]])</f>
        <v>James Acosta</v>
      </c>
      <c r="E1065" t="s">
        <v>2175</v>
      </c>
      <c r="F1065" t="s">
        <v>3244</v>
      </c>
      <c r="G1065" t="str">
        <f ca="1">PROPER(Table1[[#This Row],[Part Time 
Job]])</f>
        <v>True</v>
      </c>
      <c r="H1065" s="3">
        <v>1</v>
      </c>
      <c r="I1065" t="str">
        <f ca="1">PROPER(Table1[[#This Row],[Extracurricular 
Activities]])</f>
        <v>False</v>
      </c>
      <c r="J1065">
        <v>35</v>
      </c>
      <c r="K1065" t="s">
        <v>3120</v>
      </c>
      <c r="L1065">
        <v>85</v>
      </c>
      <c r="M1065" s="12" t="str" cm="1">
        <f t="array" ref="M106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065">
        <v>90</v>
      </c>
      <c r="O1065" s="13" t="str" cm="1">
        <f t="array" ref="O106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065">
        <v>98</v>
      </c>
      <c r="Q1065" s="13" t="str" cm="1">
        <f t="array" ref="Q106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065">
        <v>92</v>
      </c>
      <c r="S1065" t="str" cm="1">
        <f t="array" ref="S106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065">
        <v>89</v>
      </c>
      <c r="U1065" t="str" cm="1">
        <f t="array" ref="U106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065">
        <v>88</v>
      </c>
      <c r="W1065" t="str" cm="1">
        <f t="array" ref="W106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065">
        <v>95</v>
      </c>
      <c r="Y1065" t="str" cm="1">
        <f t="array" ref="Y106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065">
        <f>SUM(Table1[[#This Row],[Math 
Score]],Table1[[#This Row],[History 
Score]],Table1[[#This Row],[Physics 
Score]],Table1[[#This Row],[Chemistry 
Score]],Table1[[#This Row],[Biology 
Score]],Table1[[#This Row],[English 
Score]],Table1[[#This Row],[Geography 
Score]])</f>
        <v>637</v>
      </c>
      <c r="AA1065" s="3">
        <f>AVERAGE(Table1[[#This Row],[Math 
Score]],Table1[[#This Row],[History 
Score]],Table1[[#This Row],[Physics 
Score]],Table1[[#This Row],[Chemistry 
Score]],Table1[[#This Row],[Biology 
Score]],Table1[[#This Row],[English 
Score]],Table1[[#This Row],[Geography 
Score]])</f>
        <v>91</v>
      </c>
      <c r="AB106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065">
        <f t="shared" si="16"/>
        <v>115</v>
      </c>
      <c r="AD1065" t="str">
        <f>_xlfn.IFS(Table1[[#This Row],[Absence 
Days]]&lt;3,"Excellent",Table1[[#This Row],[Absence 
Days]]&lt;=6,"Good",Table1[[#This Row],[Absence 
Days]]&gt;6,"Poor")</f>
        <v>Excellent</v>
      </c>
    </row>
    <row r="1066" spans="1:30" x14ac:dyDescent="0.35">
      <c r="A1066">
        <v>1065</v>
      </c>
      <c r="B1066" s="2" t="s">
        <v>235</v>
      </c>
      <c r="C1066" t="s">
        <v>926</v>
      </c>
      <c r="D1066" t="str">
        <f>_xlfn.TEXTJOIN(" ",TRUE,Table1[[#This Row],[First 
Name]:[Last 
Name]])</f>
        <v>Richard Burke</v>
      </c>
      <c r="E1066" t="s">
        <v>2176</v>
      </c>
      <c r="F1066" t="s">
        <v>3244</v>
      </c>
      <c r="G1066" t="str">
        <f ca="1">PROPER(Table1[[#This Row],[Part Time 
Job]])</f>
        <v>False</v>
      </c>
      <c r="H1066" s="3">
        <v>3</v>
      </c>
      <c r="I1066" t="str">
        <f ca="1">PROPER(Table1[[#This Row],[Extracurricular 
Activities]])</f>
        <v>False</v>
      </c>
      <c r="J1066">
        <v>32</v>
      </c>
      <c r="K1066" t="s">
        <v>3116</v>
      </c>
      <c r="L1066">
        <v>79</v>
      </c>
      <c r="M1066" s="12" t="str" cm="1">
        <f t="array" ref="M106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066">
        <v>78</v>
      </c>
      <c r="O1066" s="13" t="str" cm="1">
        <f t="array" ref="O106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066">
        <v>69</v>
      </c>
      <c r="Q1066" s="13" t="str" cm="1">
        <f t="array" ref="Q106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066">
        <v>80</v>
      </c>
      <c r="S1066" t="str" cm="1">
        <f t="array" ref="S106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066">
        <v>72</v>
      </c>
      <c r="U1066" t="str" cm="1">
        <f t="array" ref="U106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066">
        <v>71</v>
      </c>
      <c r="W1066" t="str" cm="1">
        <f t="array" ref="W106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066">
        <v>88</v>
      </c>
      <c r="Y1066" t="str" cm="1">
        <f t="array" ref="Y106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066">
        <f>SUM(Table1[[#This Row],[Math 
Score]],Table1[[#This Row],[History 
Score]],Table1[[#This Row],[Physics 
Score]],Table1[[#This Row],[Chemistry 
Score]],Table1[[#This Row],[Biology 
Score]],Table1[[#This Row],[English 
Score]],Table1[[#This Row],[Geography 
Score]])</f>
        <v>537</v>
      </c>
      <c r="AA1066" s="3">
        <f>AVERAGE(Table1[[#This Row],[Math 
Score]],Table1[[#This Row],[History 
Score]],Table1[[#This Row],[Physics 
Score]],Table1[[#This Row],[Chemistry 
Score]],Table1[[#This Row],[Biology 
Score]],Table1[[#This Row],[English 
Score]],Table1[[#This Row],[Geography 
Score]])</f>
        <v>76.714285714285708</v>
      </c>
      <c r="AB106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066">
        <f t="shared" si="16"/>
        <v>1553</v>
      </c>
      <c r="AD1066" t="str">
        <f>_xlfn.IFS(Table1[[#This Row],[Absence 
Days]]&lt;3,"Excellent",Table1[[#This Row],[Absence 
Days]]&lt;=6,"Good",Table1[[#This Row],[Absence 
Days]]&gt;6,"Poor")</f>
        <v>Good</v>
      </c>
    </row>
    <row r="1067" spans="1:30" x14ac:dyDescent="0.35">
      <c r="A1067">
        <v>1066</v>
      </c>
      <c r="B1067" s="2" t="s">
        <v>195</v>
      </c>
      <c r="C1067" t="s">
        <v>927</v>
      </c>
      <c r="D1067" t="str">
        <f>_xlfn.TEXTJOIN(" ",TRUE,Table1[[#This Row],[First 
Name]:[Last 
Name]])</f>
        <v>Donald Contreras</v>
      </c>
      <c r="E1067" t="s">
        <v>2177</v>
      </c>
      <c r="F1067" t="s">
        <v>3244</v>
      </c>
      <c r="G1067" t="str">
        <f ca="1">PROPER(Table1[[#This Row],[Part Time 
Job]])</f>
        <v>False</v>
      </c>
      <c r="H1067" s="3">
        <v>0</v>
      </c>
      <c r="I1067" t="str">
        <f ca="1">PROPER(Table1[[#This Row],[Extracurricular 
Activities]])</f>
        <v>False</v>
      </c>
      <c r="J1067">
        <v>31</v>
      </c>
      <c r="K1067" t="s">
        <v>3116</v>
      </c>
      <c r="L1067">
        <v>60</v>
      </c>
      <c r="M1067" s="12" t="str" cm="1">
        <f t="array" ref="M1067">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067">
        <v>88</v>
      </c>
      <c r="O1067" s="13" t="str" cm="1">
        <f t="array" ref="O106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067">
        <v>75</v>
      </c>
      <c r="Q1067" s="13" t="str" cm="1">
        <f t="array" ref="Q106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067">
        <v>94</v>
      </c>
      <c r="S1067" t="str" cm="1">
        <f t="array" ref="S106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067">
        <v>87</v>
      </c>
      <c r="U1067" t="str" cm="1">
        <f t="array" ref="U106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067">
        <v>82</v>
      </c>
      <c r="W1067" t="str" cm="1">
        <f t="array" ref="W106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067">
        <v>79</v>
      </c>
      <c r="Y1067" t="str" cm="1">
        <f t="array" ref="Y106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067">
        <f>SUM(Table1[[#This Row],[Math 
Score]],Table1[[#This Row],[History 
Score]],Table1[[#This Row],[Physics 
Score]],Table1[[#This Row],[Chemistry 
Score]],Table1[[#This Row],[Biology 
Score]],Table1[[#This Row],[English 
Score]],Table1[[#This Row],[Geography 
Score]])</f>
        <v>565</v>
      </c>
      <c r="AA1067" s="3">
        <f>AVERAGE(Table1[[#This Row],[Math 
Score]],Table1[[#This Row],[History 
Score]],Table1[[#This Row],[Physics 
Score]],Table1[[#This Row],[Chemistry 
Score]],Table1[[#This Row],[Biology 
Score]],Table1[[#This Row],[English 
Score]],Table1[[#This Row],[Geography 
Score]])</f>
        <v>80.714285714285708</v>
      </c>
      <c r="AB106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067">
        <f t="shared" si="16"/>
        <v>1035</v>
      </c>
      <c r="AD1067" t="str">
        <f>_xlfn.IFS(Table1[[#This Row],[Absence 
Days]]&lt;3,"Excellent",Table1[[#This Row],[Absence 
Days]]&lt;=6,"Good",Table1[[#This Row],[Absence 
Days]]&gt;6,"Poor")</f>
        <v>Excellent</v>
      </c>
    </row>
    <row r="1068" spans="1:30" x14ac:dyDescent="0.35">
      <c r="A1068">
        <v>1067</v>
      </c>
      <c r="B1068" s="2" t="s">
        <v>41</v>
      </c>
      <c r="C1068" t="s">
        <v>690</v>
      </c>
      <c r="D1068" t="str">
        <f>_xlfn.TEXTJOIN(" ",TRUE,Table1[[#This Row],[First 
Name]:[Last 
Name]])</f>
        <v>Kenneth Mendez</v>
      </c>
      <c r="E1068" t="s">
        <v>2178</v>
      </c>
      <c r="F1068" t="s">
        <v>3244</v>
      </c>
      <c r="G1068" t="str">
        <f ca="1">PROPER(Table1[[#This Row],[Part Time 
Job]])</f>
        <v>False</v>
      </c>
      <c r="H1068" s="3">
        <v>10</v>
      </c>
      <c r="I1068" t="str">
        <f ca="1">PROPER(Table1[[#This Row],[Extracurricular 
Activities]])</f>
        <v>False</v>
      </c>
      <c r="J1068">
        <v>0</v>
      </c>
      <c r="K1068" t="s">
        <v>3119</v>
      </c>
      <c r="L1068">
        <v>63</v>
      </c>
      <c r="M1068" s="12" t="str" cm="1">
        <f t="array" ref="M1068">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068">
        <v>86</v>
      </c>
      <c r="O1068" s="13" t="str" cm="1">
        <f t="array" ref="O106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068">
        <v>89</v>
      </c>
      <c r="Q1068" s="13" t="str" cm="1">
        <f t="array" ref="Q106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068">
        <v>87</v>
      </c>
      <c r="S1068" t="str" cm="1">
        <f t="array" ref="S106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068">
        <v>67</v>
      </c>
      <c r="U1068" t="str" cm="1">
        <f t="array" ref="U106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068">
        <v>73</v>
      </c>
      <c r="W1068" t="str" cm="1">
        <f t="array" ref="W106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068">
        <v>80</v>
      </c>
      <c r="Y1068" t="str" cm="1">
        <f t="array" ref="Y106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068">
        <f>SUM(Table1[[#This Row],[Math 
Score]],Table1[[#This Row],[History 
Score]],Table1[[#This Row],[Physics 
Score]],Table1[[#This Row],[Chemistry 
Score]],Table1[[#This Row],[Biology 
Score]],Table1[[#This Row],[English 
Score]],Table1[[#This Row],[Geography 
Score]])</f>
        <v>545</v>
      </c>
      <c r="AA1068" s="3">
        <f>AVERAGE(Table1[[#This Row],[Math 
Score]],Table1[[#This Row],[History 
Score]],Table1[[#This Row],[Physics 
Score]],Table1[[#This Row],[Chemistry 
Score]],Table1[[#This Row],[Biology 
Score]],Table1[[#This Row],[English 
Score]],Table1[[#This Row],[Geography 
Score]])</f>
        <v>77.857142857142861</v>
      </c>
      <c r="AB106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068">
        <f t="shared" si="16"/>
        <v>1432</v>
      </c>
      <c r="AD1068" t="str">
        <f>_xlfn.IFS(Table1[[#This Row],[Absence 
Days]]&lt;3,"Excellent",Table1[[#This Row],[Absence 
Days]]&lt;=6,"Good",Table1[[#This Row],[Absence 
Days]]&gt;6,"Poor")</f>
        <v>Poor</v>
      </c>
    </row>
    <row r="1069" spans="1:30" x14ac:dyDescent="0.35">
      <c r="A1069">
        <v>1068</v>
      </c>
      <c r="B1069" s="2" t="s">
        <v>41</v>
      </c>
      <c r="C1069" t="s">
        <v>775</v>
      </c>
      <c r="D1069" t="str">
        <f>_xlfn.TEXTJOIN(" ",TRUE,Table1[[#This Row],[First 
Name]:[Last 
Name]])</f>
        <v>Kenneth Sparks</v>
      </c>
      <c r="E1069" t="s">
        <v>2179</v>
      </c>
      <c r="F1069" t="s">
        <v>3244</v>
      </c>
      <c r="G1069" t="str">
        <f ca="1">PROPER(Table1[[#This Row],[Part Time 
Job]])</f>
        <v>False</v>
      </c>
      <c r="H1069" s="3">
        <v>3</v>
      </c>
      <c r="I1069" t="str">
        <f ca="1">PROPER(Table1[[#This Row],[Extracurricular 
Activities]])</f>
        <v>False</v>
      </c>
      <c r="J1069">
        <v>24</v>
      </c>
      <c r="K1069" t="s">
        <v>3121</v>
      </c>
      <c r="L1069">
        <v>99</v>
      </c>
      <c r="M1069" s="12" t="str" cm="1">
        <f t="array" ref="M106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069">
        <v>77</v>
      </c>
      <c r="O1069" s="13" t="str" cm="1">
        <f t="array" ref="O106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069">
        <v>82</v>
      </c>
      <c r="Q1069" s="13" t="str" cm="1">
        <f t="array" ref="Q106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069">
        <v>60</v>
      </c>
      <c r="S1069" t="str" cm="1">
        <f t="array" ref="S106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069">
        <v>88</v>
      </c>
      <c r="U1069" t="str" cm="1">
        <f t="array" ref="U106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069">
        <v>91</v>
      </c>
      <c r="W1069" t="str" cm="1">
        <f t="array" ref="W106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069">
        <v>93</v>
      </c>
      <c r="Y1069" t="str" cm="1">
        <f t="array" ref="Y106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069">
        <f>SUM(Table1[[#This Row],[Math 
Score]],Table1[[#This Row],[History 
Score]],Table1[[#This Row],[Physics 
Score]],Table1[[#This Row],[Chemistry 
Score]],Table1[[#This Row],[Biology 
Score]],Table1[[#This Row],[English 
Score]],Table1[[#This Row],[Geography 
Score]])</f>
        <v>590</v>
      </c>
      <c r="AA1069" s="3">
        <f>AVERAGE(Table1[[#This Row],[Math 
Score]],Table1[[#This Row],[History 
Score]],Table1[[#This Row],[Physics 
Score]],Table1[[#This Row],[Chemistry 
Score]],Table1[[#This Row],[Biology 
Score]],Table1[[#This Row],[English 
Score]],Table1[[#This Row],[Geography 
Score]])</f>
        <v>84.285714285714292</v>
      </c>
      <c r="AB106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069">
        <f t="shared" si="16"/>
        <v>531</v>
      </c>
      <c r="AD1069" t="str">
        <f>_xlfn.IFS(Table1[[#This Row],[Absence 
Days]]&lt;3,"Excellent",Table1[[#This Row],[Absence 
Days]]&lt;=6,"Good",Table1[[#This Row],[Absence 
Days]]&gt;6,"Poor")</f>
        <v>Good</v>
      </c>
    </row>
    <row r="1070" spans="1:30" x14ac:dyDescent="0.35">
      <c r="A1070">
        <v>1069</v>
      </c>
      <c r="B1070" s="2" t="s">
        <v>79</v>
      </c>
      <c r="C1070" t="s">
        <v>784</v>
      </c>
      <c r="D1070" t="str">
        <f>_xlfn.TEXTJOIN(" ",TRUE,Table1[[#This Row],[First 
Name]:[Last 
Name]])</f>
        <v>Natasha Morales</v>
      </c>
      <c r="E1070" t="s">
        <v>2180</v>
      </c>
      <c r="F1070" t="s">
        <v>3245</v>
      </c>
      <c r="G1070" t="str">
        <f ca="1">PROPER(Table1[[#This Row],[Part Time 
Job]])</f>
        <v>False</v>
      </c>
      <c r="H1070" s="3">
        <v>4</v>
      </c>
      <c r="I1070" t="str">
        <f ca="1">PROPER(Table1[[#This Row],[Extracurricular 
Activities]])</f>
        <v>False</v>
      </c>
      <c r="J1070">
        <v>13</v>
      </c>
      <c r="K1070" t="s">
        <v>3123</v>
      </c>
      <c r="L1070">
        <v>93</v>
      </c>
      <c r="M1070" s="12" t="str" cm="1">
        <f t="array" ref="M107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070">
        <v>61</v>
      </c>
      <c r="O1070" s="13" t="str" cm="1">
        <f t="array" ref="O107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070">
        <v>71</v>
      </c>
      <c r="Q1070" s="13" t="str" cm="1">
        <f t="array" ref="Q107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070">
        <v>82</v>
      </c>
      <c r="S1070" t="str" cm="1">
        <f t="array" ref="S107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070">
        <v>43</v>
      </c>
      <c r="U1070" t="str" cm="1">
        <f t="array" ref="U107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D</v>
      </c>
      <c r="V1070">
        <v>94</v>
      </c>
      <c r="W1070" t="str" cm="1">
        <f t="array" ref="W107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070">
        <v>88</v>
      </c>
      <c r="Y1070" t="str" cm="1">
        <f t="array" ref="Y107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070">
        <f>SUM(Table1[[#This Row],[Math 
Score]],Table1[[#This Row],[History 
Score]],Table1[[#This Row],[Physics 
Score]],Table1[[#This Row],[Chemistry 
Score]],Table1[[#This Row],[Biology 
Score]],Table1[[#This Row],[English 
Score]],Table1[[#This Row],[Geography 
Score]])</f>
        <v>532</v>
      </c>
      <c r="AA1070" s="3">
        <f>AVERAGE(Table1[[#This Row],[Math 
Score]],Table1[[#This Row],[History 
Score]],Table1[[#This Row],[Physics 
Score]],Table1[[#This Row],[Chemistry 
Score]],Table1[[#This Row],[Biology 
Score]],Table1[[#This Row],[English 
Score]],Table1[[#This Row],[Geography 
Score]])</f>
        <v>76</v>
      </c>
      <c r="AB107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070">
        <f t="shared" si="16"/>
        <v>1622</v>
      </c>
      <c r="AD1070" t="str">
        <f>_xlfn.IFS(Table1[[#This Row],[Absence 
Days]]&lt;3,"Excellent",Table1[[#This Row],[Absence 
Days]]&lt;=6,"Good",Table1[[#This Row],[Absence 
Days]]&gt;6,"Poor")</f>
        <v>Good</v>
      </c>
    </row>
    <row r="1071" spans="1:30" x14ac:dyDescent="0.35">
      <c r="A1071">
        <v>1070</v>
      </c>
      <c r="B1071" s="2" t="s">
        <v>40</v>
      </c>
      <c r="C1071" t="s">
        <v>728</v>
      </c>
      <c r="D1071" t="str">
        <f>_xlfn.TEXTJOIN(" ",TRUE,Table1[[#This Row],[First 
Name]:[Last 
Name]])</f>
        <v>David Mendoza</v>
      </c>
      <c r="E1071" t="s">
        <v>2181</v>
      </c>
      <c r="F1071" t="s">
        <v>3244</v>
      </c>
      <c r="G1071" t="str">
        <f ca="1">PROPER(Table1[[#This Row],[Part Time 
Job]])</f>
        <v>False</v>
      </c>
      <c r="H1071" s="3">
        <v>1</v>
      </c>
      <c r="I1071" t="str">
        <f ca="1">PROPER(Table1[[#This Row],[Extracurricular 
Activities]])</f>
        <v>False</v>
      </c>
      <c r="J1071">
        <v>4</v>
      </c>
      <c r="K1071" t="s">
        <v>3116</v>
      </c>
      <c r="L1071">
        <v>63</v>
      </c>
      <c r="M1071" s="12" t="str" cm="1">
        <f t="array" ref="M1071">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071">
        <v>72</v>
      </c>
      <c r="O1071" s="13" t="str" cm="1">
        <f t="array" ref="O107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071">
        <v>92</v>
      </c>
      <c r="Q1071" s="13" t="str" cm="1">
        <f t="array" ref="Q107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071">
        <v>82</v>
      </c>
      <c r="S1071" t="str" cm="1">
        <f t="array" ref="S107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071">
        <v>84</v>
      </c>
      <c r="U1071" t="str" cm="1">
        <f t="array" ref="U107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071">
        <v>82</v>
      </c>
      <c r="W1071" t="str" cm="1">
        <f t="array" ref="W107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071">
        <v>60</v>
      </c>
      <c r="Y1071" t="str" cm="1">
        <f t="array" ref="Y107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071">
        <f>SUM(Table1[[#This Row],[Math 
Score]],Table1[[#This Row],[History 
Score]],Table1[[#This Row],[Physics 
Score]],Table1[[#This Row],[Chemistry 
Score]],Table1[[#This Row],[Biology 
Score]],Table1[[#This Row],[English 
Score]],Table1[[#This Row],[Geography 
Score]])</f>
        <v>535</v>
      </c>
      <c r="AA1071" s="3">
        <f>AVERAGE(Table1[[#This Row],[Math 
Score]],Table1[[#This Row],[History 
Score]],Table1[[#This Row],[Physics 
Score]],Table1[[#This Row],[Chemistry 
Score]],Table1[[#This Row],[Biology 
Score]],Table1[[#This Row],[English 
Score]],Table1[[#This Row],[Geography 
Score]])</f>
        <v>76.428571428571431</v>
      </c>
      <c r="AB107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071">
        <f t="shared" si="16"/>
        <v>1578</v>
      </c>
      <c r="AD1071" t="str">
        <f>_xlfn.IFS(Table1[[#This Row],[Absence 
Days]]&lt;3,"Excellent",Table1[[#This Row],[Absence 
Days]]&lt;=6,"Good",Table1[[#This Row],[Absence 
Days]]&gt;6,"Poor")</f>
        <v>Excellent</v>
      </c>
    </row>
    <row r="1072" spans="1:30" x14ac:dyDescent="0.35">
      <c r="A1072">
        <v>1071</v>
      </c>
      <c r="B1072" s="2" t="s">
        <v>51</v>
      </c>
      <c r="C1072" t="s">
        <v>538</v>
      </c>
      <c r="D1072" t="str">
        <f>_xlfn.TEXTJOIN(" ",TRUE,Table1[[#This Row],[First 
Name]:[Last 
Name]])</f>
        <v>Melissa Wright</v>
      </c>
      <c r="E1072" t="s">
        <v>2182</v>
      </c>
      <c r="F1072" t="s">
        <v>3245</v>
      </c>
      <c r="G1072" t="str">
        <f ca="1">PROPER(Table1[[#This Row],[Part Time 
Job]])</f>
        <v>False</v>
      </c>
      <c r="H1072" s="3">
        <v>1</v>
      </c>
      <c r="I1072" t="str">
        <f ca="1">PROPER(Table1[[#This Row],[Extracurricular 
Activities]])</f>
        <v>False</v>
      </c>
      <c r="J1072">
        <v>1</v>
      </c>
      <c r="K1072" t="s">
        <v>3119</v>
      </c>
      <c r="L1072">
        <v>81</v>
      </c>
      <c r="M1072" s="12" t="str" cm="1">
        <f t="array" ref="M107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072">
        <v>86</v>
      </c>
      <c r="O1072" s="13" t="str" cm="1">
        <f t="array" ref="O107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072">
        <v>84</v>
      </c>
      <c r="Q1072" s="13" t="str" cm="1">
        <f t="array" ref="Q107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072">
        <v>78</v>
      </c>
      <c r="S1072" t="str" cm="1">
        <f t="array" ref="S107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072">
        <v>63</v>
      </c>
      <c r="U1072" t="str" cm="1">
        <f t="array" ref="U107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072">
        <v>86</v>
      </c>
      <c r="W1072" t="str" cm="1">
        <f t="array" ref="W107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072">
        <v>73</v>
      </c>
      <c r="Y1072" t="str" cm="1">
        <f t="array" ref="Y107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072">
        <f>SUM(Table1[[#This Row],[Math 
Score]],Table1[[#This Row],[History 
Score]],Table1[[#This Row],[Physics 
Score]],Table1[[#This Row],[Chemistry 
Score]],Table1[[#This Row],[Biology 
Score]],Table1[[#This Row],[English 
Score]],Table1[[#This Row],[Geography 
Score]])</f>
        <v>551</v>
      </c>
      <c r="AA1072" s="3">
        <f>AVERAGE(Table1[[#This Row],[Math 
Score]],Table1[[#This Row],[History 
Score]],Table1[[#This Row],[Physics 
Score]],Table1[[#This Row],[Chemistry 
Score]],Table1[[#This Row],[Biology 
Score]],Table1[[#This Row],[English 
Score]],Table1[[#This Row],[Geography 
Score]])</f>
        <v>78.714285714285708</v>
      </c>
      <c r="AB107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072">
        <f t="shared" si="16"/>
        <v>1317</v>
      </c>
      <c r="AD1072" t="str">
        <f>_xlfn.IFS(Table1[[#This Row],[Absence 
Days]]&lt;3,"Excellent",Table1[[#This Row],[Absence 
Days]]&lt;=6,"Good",Table1[[#This Row],[Absence 
Days]]&gt;6,"Poor")</f>
        <v>Excellent</v>
      </c>
    </row>
    <row r="1073" spans="1:30" x14ac:dyDescent="0.35">
      <c r="A1073">
        <v>1072</v>
      </c>
      <c r="B1073" s="2" t="s">
        <v>357</v>
      </c>
      <c r="C1073" t="s">
        <v>640</v>
      </c>
      <c r="D1073" t="str">
        <f>_xlfn.TEXTJOIN(" ",TRUE,Table1[[#This Row],[First 
Name]:[Last 
Name]])</f>
        <v>Cindy Hamilton</v>
      </c>
      <c r="E1073" t="s">
        <v>2183</v>
      </c>
      <c r="F1073" t="s">
        <v>3245</v>
      </c>
      <c r="G1073" t="str">
        <f ca="1">PROPER(Table1[[#This Row],[Part Time 
Job]])</f>
        <v>False</v>
      </c>
      <c r="H1073" s="3">
        <v>5</v>
      </c>
      <c r="I1073" t="str">
        <f ca="1">PROPER(Table1[[#This Row],[Extracurricular 
Activities]])</f>
        <v>False</v>
      </c>
      <c r="J1073">
        <v>27</v>
      </c>
      <c r="K1073" t="s">
        <v>3116</v>
      </c>
      <c r="L1073">
        <v>60</v>
      </c>
      <c r="M1073" s="12" t="str" cm="1">
        <f t="array" ref="M1073">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073">
        <v>61</v>
      </c>
      <c r="O1073" s="13" t="str" cm="1">
        <f t="array" ref="O107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073">
        <v>66</v>
      </c>
      <c r="Q1073" s="13" t="str" cm="1">
        <f t="array" ref="Q107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073">
        <v>82</v>
      </c>
      <c r="S1073" t="str" cm="1">
        <f t="array" ref="S107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073">
        <v>100</v>
      </c>
      <c r="U1073" t="str" cm="1">
        <f t="array" ref="U107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073">
        <v>76</v>
      </c>
      <c r="W1073" t="str" cm="1">
        <f t="array" ref="W107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073">
        <v>79</v>
      </c>
      <c r="Y1073" t="str" cm="1">
        <f t="array" ref="Y107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073">
        <f>SUM(Table1[[#This Row],[Math 
Score]],Table1[[#This Row],[History 
Score]],Table1[[#This Row],[Physics 
Score]],Table1[[#This Row],[Chemistry 
Score]],Table1[[#This Row],[Biology 
Score]],Table1[[#This Row],[English 
Score]],Table1[[#This Row],[Geography 
Score]])</f>
        <v>524</v>
      </c>
      <c r="AA1073" s="3">
        <f>AVERAGE(Table1[[#This Row],[Math 
Score]],Table1[[#This Row],[History 
Score]],Table1[[#This Row],[Physics 
Score]],Table1[[#This Row],[Chemistry 
Score]],Table1[[#This Row],[Biology 
Score]],Table1[[#This Row],[English 
Score]],Table1[[#This Row],[Geography 
Score]])</f>
        <v>74.857142857142861</v>
      </c>
      <c r="AB107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073">
        <f t="shared" si="16"/>
        <v>1715</v>
      </c>
      <c r="AD1073" t="str">
        <f>_xlfn.IFS(Table1[[#This Row],[Absence 
Days]]&lt;3,"Excellent",Table1[[#This Row],[Absence 
Days]]&lt;=6,"Good",Table1[[#This Row],[Absence 
Days]]&gt;6,"Poor")</f>
        <v>Good</v>
      </c>
    </row>
    <row r="1074" spans="1:30" x14ac:dyDescent="0.35">
      <c r="A1074">
        <v>1073</v>
      </c>
      <c r="B1074" s="2" t="s">
        <v>114</v>
      </c>
      <c r="C1074" t="s">
        <v>548</v>
      </c>
      <c r="D1074" t="str">
        <f>_xlfn.TEXTJOIN(" ",TRUE,Table1[[#This Row],[First 
Name]:[Last 
Name]])</f>
        <v>Nancy Walker</v>
      </c>
      <c r="E1074" t="s">
        <v>2184</v>
      </c>
      <c r="F1074" t="s">
        <v>3245</v>
      </c>
      <c r="G1074" t="str">
        <f ca="1">PROPER(Table1[[#This Row],[Part Time 
Job]])</f>
        <v>True</v>
      </c>
      <c r="H1074" s="3">
        <v>7</v>
      </c>
      <c r="I1074" t="str">
        <f ca="1">PROPER(Table1[[#This Row],[Extracurricular 
Activities]])</f>
        <v>False</v>
      </c>
      <c r="J1074">
        <v>4</v>
      </c>
      <c r="K1074" t="s">
        <v>3119</v>
      </c>
      <c r="L1074">
        <v>68</v>
      </c>
      <c r="M1074" s="12" t="str" cm="1">
        <f t="array" ref="M1074">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074">
        <v>50</v>
      </c>
      <c r="O1074" s="13" t="str" cm="1">
        <f t="array" ref="O107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C</v>
      </c>
      <c r="P1074">
        <v>68</v>
      </c>
      <c r="Q1074" s="13" t="str" cm="1">
        <f t="array" ref="Q107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074">
        <v>53</v>
      </c>
      <c r="S1074" t="str" cm="1">
        <f t="array" ref="S107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C</v>
      </c>
      <c r="T1074">
        <v>58</v>
      </c>
      <c r="U1074" t="str" cm="1">
        <f t="array" ref="U107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C</v>
      </c>
      <c r="V1074">
        <v>87</v>
      </c>
      <c r="W1074" t="str" cm="1">
        <f t="array" ref="W107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074">
        <v>74</v>
      </c>
      <c r="Y1074" t="str" cm="1">
        <f t="array" ref="Y107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074">
        <f>SUM(Table1[[#This Row],[Math 
Score]],Table1[[#This Row],[History 
Score]],Table1[[#This Row],[Physics 
Score]],Table1[[#This Row],[Chemistry 
Score]],Table1[[#This Row],[Biology 
Score]],Table1[[#This Row],[English 
Score]],Table1[[#This Row],[Geography 
Score]])</f>
        <v>458</v>
      </c>
      <c r="AA1074" s="3">
        <f>AVERAGE(Table1[[#This Row],[Math 
Score]],Table1[[#This Row],[History 
Score]],Table1[[#This Row],[Physics 
Score]],Table1[[#This Row],[Chemistry 
Score]],Table1[[#This Row],[Biology 
Score]],Table1[[#This Row],[English 
Score]],Table1[[#This Row],[Geography 
Score]])</f>
        <v>65.428571428571431</v>
      </c>
      <c r="AB107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074">
        <f t="shared" si="16"/>
        <v>1983</v>
      </c>
      <c r="AD1074" t="str">
        <f>_xlfn.IFS(Table1[[#This Row],[Absence 
Days]]&lt;3,"Excellent",Table1[[#This Row],[Absence 
Days]]&lt;=6,"Good",Table1[[#This Row],[Absence 
Days]]&gt;6,"Poor")</f>
        <v>Poor</v>
      </c>
    </row>
    <row r="1075" spans="1:30" x14ac:dyDescent="0.35">
      <c r="A1075">
        <v>1074</v>
      </c>
      <c r="B1075" s="2" t="s">
        <v>110</v>
      </c>
      <c r="C1075" t="s">
        <v>578</v>
      </c>
      <c r="D1075" t="str">
        <f>_xlfn.TEXTJOIN(" ",TRUE,Table1[[#This Row],[First 
Name]:[Last 
Name]])</f>
        <v>Matthew Peterson</v>
      </c>
      <c r="E1075" t="s">
        <v>2185</v>
      </c>
      <c r="F1075" t="s">
        <v>3244</v>
      </c>
      <c r="G1075" t="str">
        <f ca="1">PROPER(Table1[[#This Row],[Part Time 
Job]])</f>
        <v>False</v>
      </c>
      <c r="H1075" s="3">
        <v>7</v>
      </c>
      <c r="I1075" t="str">
        <f ca="1">PROPER(Table1[[#This Row],[Extracurricular 
Activities]])</f>
        <v>False</v>
      </c>
      <c r="J1075">
        <v>8</v>
      </c>
      <c r="K1075" t="s">
        <v>3127</v>
      </c>
      <c r="L1075">
        <v>89</v>
      </c>
      <c r="M1075" s="12" t="str" cm="1">
        <f t="array" ref="M107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075">
        <v>97</v>
      </c>
      <c r="O1075" s="13" t="str" cm="1">
        <f t="array" ref="O107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075">
        <v>65</v>
      </c>
      <c r="Q1075" s="13" t="str" cm="1">
        <f t="array" ref="Q107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075">
        <v>75</v>
      </c>
      <c r="S1075" t="str" cm="1">
        <f t="array" ref="S107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075">
        <v>61</v>
      </c>
      <c r="U1075" t="str" cm="1">
        <f t="array" ref="U107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075">
        <v>60</v>
      </c>
      <c r="W1075" t="str" cm="1">
        <f t="array" ref="W107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075">
        <v>60</v>
      </c>
      <c r="Y1075" t="str" cm="1">
        <f t="array" ref="Y107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075">
        <f>SUM(Table1[[#This Row],[Math 
Score]],Table1[[#This Row],[History 
Score]],Table1[[#This Row],[Physics 
Score]],Table1[[#This Row],[Chemistry 
Score]],Table1[[#This Row],[Biology 
Score]],Table1[[#This Row],[English 
Score]],Table1[[#This Row],[Geography 
Score]])</f>
        <v>507</v>
      </c>
      <c r="AA1075" s="3">
        <f>AVERAGE(Table1[[#This Row],[Math 
Score]],Table1[[#This Row],[History 
Score]],Table1[[#This Row],[Physics 
Score]],Table1[[#This Row],[Chemistry 
Score]],Table1[[#This Row],[Biology 
Score]],Table1[[#This Row],[English 
Score]],Table1[[#This Row],[Geography 
Score]])</f>
        <v>72.428571428571431</v>
      </c>
      <c r="AB107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075">
        <f t="shared" si="16"/>
        <v>1844</v>
      </c>
      <c r="AD1075" t="str">
        <f>_xlfn.IFS(Table1[[#This Row],[Absence 
Days]]&lt;3,"Excellent",Table1[[#This Row],[Absence 
Days]]&lt;=6,"Good",Table1[[#This Row],[Absence 
Days]]&gt;6,"Poor")</f>
        <v>Poor</v>
      </c>
    </row>
    <row r="1076" spans="1:30" x14ac:dyDescent="0.35">
      <c r="A1076">
        <v>1075</v>
      </c>
      <c r="B1076" s="2" t="s">
        <v>358</v>
      </c>
      <c r="C1076" t="s">
        <v>807</v>
      </c>
      <c r="D1076" t="str">
        <f>_xlfn.TEXTJOIN(" ",TRUE,Table1[[#This Row],[First 
Name]:[Last 
Name]])</f>
        <v>Grant Mason</v>
      </c>
      <c r="E1076" t="s">
        <v>2186</v>
      </c>
      <c r="F1076" t="s">
        <v>3244</v>
      </c>
      <c r="G1076" t="str">
        <f ca="1">PROPER(Table1[[#This Row],[Part Time 
Job]])</f>
        <v>False</v>
      </c>
      <c r="H1076" s="3">
        <v>1</v>
      </c>
      <c r="I1076" t="str">
        <f ca="1">PROPER(Table1[[#This Row],[Extracurricular 
Activities]])</f>
        <v>True</v>
      </c>
      <c r="J1076">
        <v>35</v>
      </c>
      <c r="K1076" t="s">
        <v>3120</v>
      </c>
      <c r="L1076">
        <v>86</v>
      </c>
      <c r="M1076" s="12" t="str" cm="1">
        <f t="array" ref="M107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076">
        <v>87</v>
      </c>
      <c r="O1076" s="13" t="str" cm="1">
        <f t="array" ref="O107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076">
        <v>89</v>
      </c>
      <c r="Q1076" s="13" t="str" cm="1">
        <f t="array" ref="Q107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076">
        <v>91</v>
      </c>
      <c r="S1076" t="str" cm="1">
        <f t="array" ref="S107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076">
        <v>90</v>
      </c>
      <c r="U1076" t="str" cm="1">
        <f t="array" ref="U107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076">
        <v>85</v>
      </c>
      <c r="W1076" t="str" cm="1">
        <f t="array" ref="W107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076">
        <v>92</v>
      </c>
      <c r="Y1076" t="str" cm="1">
        <f t="array" ref="Y107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076">
        <f>SUM(Table1[[#This Row],[Math 
Score]],Table1[[#This Row],[History 
Score]],Table1[[#This Row],[Physics 
Score]],Table1[[#This Row],[Chemistry 
Score]],Table1[[#This Row],[Biology 
Score]],Table1[[#This Row],[English 
Score]],Table1[[#This Row],[Geography 
Score]])</f>
        <v>620</v>
      </c>
      <c r="AA1076" s="3">
        <f>AVERAGE(Table1[[#This Row],[Math 
Score]],Table1[[#This Row],[History 
Score]],Table1[[#This Row],[Physics 
Score]],Table1[[#This Row],[Chemistry 
Score]],Table1[[#This Row],[Biology 
Score]],Table1[[#This Row],[English 
Score]],Table1[[#This Row],[Geography 
Score]])</f>
        <v>88.571428571428569</v>
      </c>
      <c r="AB107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076">
        <f t="shared" si="16"/>
        <v>215</v>
      </c>
      <c r="AD1076" t="str">
        <f>_xlfn.IFS(Table1[[#This Row],[Absence 
Days]]&lt;3,"Excellent",Table1[[#This Row],[Absence 
Days]]&lt;=6,"Good",Table1[[#This Row],[Absence 
Days]]&gt;6,"Poor")</f>
        <v>Excellent</v>
      </c>
    </row>
    <row r="1077" spans="1:30" x14ac:dyDescent="0.35">
      <c r="A1077">
        <v>1076</v>
      </c>
      <c r="B1077" s="2" t="s">
        <v>40</v>
      </c>
      <c r="C1077" t="s">
        <v>928</v>
      </c>
      <c r="D1077" t="str">
        <f>_xlfn.TEXTJOIN(" ",TRUE,Table1[[#This Row],[First 
Name]:[Last 
Name]])</f>
        <v>David Mays</v>
      </c>
      <c r="E1077" t="s">
        <v>2187</v>
      </c>
      <c r="F1077" t="s">
        <v>3244</v>
      </c>
      <c r="G1077" t="str">
        <f ca="1">PROPER(Table1[[#This Row],[Part Time 
Job]])</f>
        <v>False</v>
      </c>
      <c r="H1077" s="3">
        <v>2</v>
      </c>
      <c r="I1077" t="str">
        <f ca="1">PROPER(Table1[[#This Row],[Extracurricular 
Activities]])</f>
        <v>True</v>
      </c>
      <c r="J1077">
        <v>7</v>
      </c>
      <c r="K1077" t="s">
        <v>3128</v>
      </c>
      <c r="L1077">
        <v>71</v>
      </c>
      <c r="M1077" s="12" t="str" cm="1">
        <f t="array" ref="M1077">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077">
        <v>96</v>
      </c>
      <c r="O1077" s="13" t="str" cm="1">
        <f t="array" ref="O107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077">
        <v>83</v>
      </c>
      <c r="Q1077" s="13" t="str" cm="1">
        <f t="array" ref="Q107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077">
        <v>76</v>
      </c>
      <c r="S1077" t="str" cm="1">
        <f t="array" ref="S107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077">
        <v>60</v>
      </c>
      <c r="U1077" t="str" cm="1">
        <f t="array" ref="U107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077">
        <v>87</v>
      </c>
      <c r="W1077" t="str" cm="1">
        <f t="array" ref="W107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077">
        <v>74</v>
      </c>
      <c r="Y1077" t="str" cm="1">
        <f t="array" ref="Y107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077">
        <f>SUM(Table1[[#This Row],[Math 
Score]],Table1[[#This Row],[History 
Score]],Table1[[#This Row],[Physics 
Score]],Table1[[#This Row],[Chemistry 
Score]],Table1[[#This Row],[Biology 
Score]],Table1[[#This Row],[English 
Score]],Table1[[#This Row],[Geography 
Score]])</f>
        <v>547</v>
      </c>
      <c r="AA1077" s="3">
        <f>AVERAGE(Table1[[#This Row],[Math 
Score]],Table1[[#This Row],[History 
Score]],Table1[[#This Row],[Physics 
Score]],Table1[[#This Row],[Chemistry 
Score]],Table1[[#This Row],[Biology 
Score]],Table1[[#This Row],[English 
Score]],Table1[[#This Row],[Geography 
Score]])</f>
        <v>78.142857142857139</v>
      </c>
      <c r="AB107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077">
        <f t="shared" si="16"/>
        <v>1388</v>
      </c>
      <c r="AD1077" t="str">
        <f>_xlfn.IFS(Table1[[#This Row],[Absence 
Days]]&lt;3,"Excellent",Table1[[#This Row],[Absence 
Days]]&lt;=6,"Good",Table1[[#This Row],[Absence 
Days]]&gt;6,"Poor")</f>
        <v>Excellent</v>
      </c>
    </row>
    <row r="1078" spans="1:30" x14ac:dyDescent="0.35">
      <c r="A1078">
        <v>1077</v>
      </c>
      <c r="B1078" s="2" t="s">
        <v>359</v>
      </c>
      <c r="C1078" t="s">
        <v>528</v>
      </c>
      <c r="D1078" t="str">
        <f>_xlfn.TEXTJOIN(" ",TRUE,Table1[[#This Row],[First 
Name]:[Last 
Name]])</f>
        <v>Sheryl Parker</v>
      </c>
      <c r="E1078" t="s">
        <v>2188</v>
      </c>
      <c r="F1078" t="s">
        <v>3245</v>
      </c>
      <c r="G1078" t="str">
        <f ca="1">PROPER(Table1[[#This Row],[Part Time 
Job]])</f>
        <v>False</v>
      </c>
      <c r="H1078" s="3">
        <v>9</v>
      </c>
      <c r="I1078" t="str">
        <f ca="1">PROPER(Table1[[#This Row],[Extracurricular 
Activities]])</f>
        <v>False</v>
      </c>
      <c r="J1078">
        <v>4</v>
      </c>
      <c r="K1078" t="s">
        <v>3119</v>
      </c>
      <c r="L1078">
        <v>72</v>
      </c>
      <c r="M1078" s="12" t="str" cm="1">
        <f t="array" ref="M1078">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078">
        <v>69</v>
      </c>
      <c r="O1078" s="13" t="str" cm="1">
        <f t="array" ref="O107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078">
        <v>58</v>
      </c>
      <c r="Q1078" s="13" t="str" cm="1">
        <f t="array" ref="Q107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C</v>
      </c>
      <c r="R1078">
        <v>79</v>
      </c>
      <c r="S1078" t="str" cm="1">
        <f t="array" ref="S107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078">
        <v>70</v>
      </c>
      <c r="U1078" t="str" cm="1">
        <f t="array" ref="U107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078">
        <v>50</v>
      </c>
      <c r="W1078" t="str" cm="1">
        <f t="array" ref="W107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C</v>
      </c>
      <c r="X1078">
        <v>98</v>
      </c>
      <c r="Y1078" t="str" cm="1">
        <f t="array" ref="Y107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078">
        <f>SUM(Table1[[#This Row],[Math 
Score]],Table1[[#This Row],[History 
Score]],Table1[[#This Row],[Physics 
Score]],Table1[[#This Row],[Chemistry 
Score]],Table1[[#This Row],[Biology 
Score]],Table1[[#This Row],[English 
Score]],Table1[[#This Row],[Geography 
Score]])</f>
        <v>496</v>
      </c>
      <c r="AA1078" s="3">
        <f>AVERAGE(Table1[[#This Row],[Math 
Score]],Table1[[#This Row],[History 
Score]],Table1[[#This Row],[Physics 
Score]],Table1[[#This Row],[Chemistry 
Score]],Table1[[#This Row],[Biology 
Score]],Table1[[#This Row],[English 
Score]],Table1[[#This Row],[Geography 
Score]])</f>
        <v>70.857142857142861</v>
      </c>
      <c r="AB107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078">
        <f t="shared" si="16"/>
        <v>1892</v>
      </c>
      <c r="AD1078" t="str">
        <f>_xlfn.IFS(Table1[[#This Row],[Absence 
Days]]&lt;3,"Excellent",Table1[[#This Row],[Absence 
Days]]&lt;=6,"Good",Table1[[#This Row],[Absence 
Days]]&gt;6,"Poor")</f>
        <v>Poor</v>
      </c>
    </row>
    <row r="1079" spans="1:30" x14ac:dyDescent="0.35">
      <c r="A1079">
        <v>1078</v>
      </c>
      <c r="B1079" s="2" t="s">
        <v>293</v>
      </c>
      <c r="C1079" t="s">
        <v>571</v>
      </c>
      <c r="D1079" t="str">
        <f>_xlfn.TEXTJOIN(" ",TRUE,Table1[[#This Row],[First 
Name]:[Last 
Name]])</f>
        <v>Ross Sanchez</v>
      </c>
      <c r="E1079" t="s">
        <v>2189</v>
      </c>
      <c r="F1079" t="s">
        <v>3244</v>
      </c>
      <c r="G1079" t="str">
        <f ca="1">PROPER(Table1[[#This Row],[Part Time 
Job]])</f>
        <v>False</v>
      </c>
      <c r="H1079" s="3">
        <v>2</v>
      </c>
      <c r="I1079" t="str">
        <f ca="1">PROPER(Table1[[#This Row],[Extracurricular 
Activities]])</f>
        <v>False</v>
      </c>
      <c r="J1079">
        <v>25</v>
      </c>
      <c r="K1079" t="s">
        <v>3116</v>
      </c>
      <c r="L1079">
        <v>74</v>
      </c>
      <c r="M1079" s="12" t="str" cm="1">
        <f t="array" ref="M1079">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079">
        <v>67</v>
      </c>
      <c r="O1079" s="13" t="str" cm="1">
        <f t="array" ref="O107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079">
        <v>90</v>
      </c>
      <c r="Q1079" s="13" t="str" cm="1">
        <f t="array" ref="Q107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079">
        <v>69</v>
      </c>
      <c r="S1079" t="str" cm="1">
        <f t="array" ref="S107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079">
        <v>83</v>
      </c>
      <c r="U1079" t="str" cm="1">
        <f t="array" ref="U107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079">
        <v>89</v>
      </c>
      <c r="W1079" t="str" cm="1">
        <f t="array" ref="W107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079">
        <v>68</v>
      </c>
      <c r="Y1079" t="str" cm="1">
        <f t="array" ref="Y107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079">
        <f>SUM(Table1[[#This Row],[Math 
Score]],Table1[[#This Row],[History 
Score]],Table1[[#This Row],[Physics 
Score]],Table1[[#This Row],[Chemistry 
Score]],Table1[[#This Row],[Biology 
Score]],Table1[[#This Row],[English 
Score]],Table1[[#This Row],[Geography 
Score]])</f>
        <v>540</v>
      </c>
      <c r="AA1079" s="3">
        <f>AVERAGE(Table1[[#This Row],[Math 
Score]],Table1[[#This Row],[History 
Score]],Table1[[#This Row],[Physics 
Score]],Table1[[#This Row],[Chemistry 
Score]],Table1[[#This Row],[Biology 
Score]],Table1[[#This Row],[English 
Score]],Table1[[#This Row],[Geography 
Score]])</f>
        <v>77.142857142857139</v>
      </c>
      <c r="AB107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079">
        <f t="shared" si="16"/>
        <v>1513</v>
      </c>
      <c r="AD1079" t="str">
        <f>_xlfn.IFS(Table1[[#This Row],[Absence 
Days]]&lt;3,"Excellent",Table1[[#This Row],[Absence 
Days]]&lt;=6,"Good",Table1[[#This Row],[Absence 
Days]]&gt;6,"Poor")</f>
        <v>Excellent</v>
      </c>
    </row>
    <row r="1080" spans="1:30" x14ac:dyDescent="0.35">
      <c r="A1080">
        <v>1079</v>
      </c>
      <c r="B1080" s="2" t="s">
        <v>74</v>
      </c>
      <c r="C1080" t="s">
        <v>621</v>
      </c>
      <c r="D1080" t="str">
        <f>_xlfn.TEXTJOIN(" ",TRUE,Table1[[#This Row],[First 
Name]:[Last 
Name]])</f>
        <v>Robert Barnett</v>
      </c>
      <c r="E1080" t="s">
        <v>2190</v>
      </c>
      <c r="F1080" t="s">
        <v>3244</v>
      </c>
      <c r="G1080" t="str">
        <f ca="1">PROPER(Table1[[#This Row],[Part Time 
Job]])</f>
        <v>False</v>
      </c>
      <c r="H1080" s="3">
        <v>2</v>
      </c>
      <c r="I1080" t="str">
        <f ca="1">PROPER(Table1[[#This Row],[Extracurricular 
Activities]])</f>
        <v>False</v>
      </c>
      <c r="J1080">
        <v>28</v>
      </c>
      <c r="K1080" t="s">
        <v>3117</v>
      </c>
      <c r="L1080">
        <v>99</v>
      </c>
      <c r="M1080" s="12" t="str" cm="1">
        <f t="array" ref="M108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080">
        <v>84</v>
      </c>
      <c r="O1080" s="13" t="str" cm="1">
        <f t="array" ref="O108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080">
        <v>75</v>
      </c>
      <c r="Q1080" s="13" t="str" cm="1">
        <f t="array" ref="Q108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080">
        <v>81</v>
      </c>
      <c r="S1080" t="str" cm="1">
        <f t="array" ref="S108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080">
        <v>91</v>
      </c>
      <c r="U1080" t="str" cm="1">
        <f t="array" ref="U108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080">
        <v>87</v>
      </c>
      <c r="W1080" t="str" cm="1">
        <f t="array" ref="W108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080">
        <v>63</v>
      </c>
      <c r="Y1080" t="str" cm="1">
        <f t="array" ref="Y108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080">
        <f>SUM(Table1[[#This Row],[Math 
Score]],Table1[[#This Row],[History 
Score]],Table1[[#This Row],[Physics 
Score]],Table1[[#This Row],[Chemistry 
Score]],Table1[[#This Row],[Biology 
Score]],Table1[[#This Row],[English 
Score]],Table1[[#This Row],[Geography 
Score]])</f>
        <v>580</v>
      </c>
      <c r="AA1080" s="3">
        <f>AVERAGE(Table1[[#This Row],[Math 
Score]],Table1[[#This Row],[History 
Score]],Table1[[#This Row],[Physics 
Score]],Table1[[#This Row],[Chemistry 
Score]],Table1[[#This Row],[Biology 
Score]],Table1[[#This Row],[English 
Score]],Table1[[#This Row],[Geography 
Score]])</f>
        <v>82.857142857142861</v>
      </c>
      <c r="AB108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080">
        <f t="shared" si="16"/>
        <v>709</v>
      </c>
      <c r="AD1080" t="str">
        <f>_xlfn.IFS(Table1[[#This Row],[Absence 
Days]]&lt;3,"Excellent",Table1[[#This Row],[Absence 
Days]]&lt;=6,"Good",Table1[[#This Row],[Absence 
Days]]&gt;6,"Poor")</f>
        <v>Excellent</v>
      </c>
    </row>
    <row r="1081" spans="1:30" x14ac:dyDescent="0.35">
      <c r="A1081">
        <v>1080</v>
      </c>
      <c r="B1081" s="2" t="s">
        <v>349</v>
      </c>
      <c r="C1081" t="s">
        <v>929</v>
      </c>
      <c r="D1081" t="str">
        <f>_xlfn.TEXTJOIN(" ",TRUE,Table1[[#This Row],[First 
Name]:[Last 
Name]])</f>
        <v>Dean Sims</v>
      </c>
      <c r="E1081" t="s">
        <v>2191</v>
      </c>
      <c r="F1081" t="s">
        <v>3244</v>
      </c>
      <c r="G1081" t="str">
        <f ca="1">PROPER(Table1[[#This Row],[Part Time 
Job]])</f>
        <v>False</v>
      </c>
      <c r="H1081" s="3">
        <v>4</v>
      </c>
      <c r="I1081" t="str">
        <f ca="1">PROPER(Table1[[#This Row],[Extracurricular 
Activities]])</f>
        <v>False</v>
      </c>
      <c r="J1081">
        <v>19</v>
      </c>
      <c r="K1081" t="s">
        <v>3127</v>
      </c>
      <c r="L1081">
        <v>99</v>
      </c>
      <c r="M1081" s="12" t="str" cm="1">
        <f t="array" ref="M108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081">
        <v>78</v>
      </c>
      <c r="O1081" s="13" t="str" cm="1">
        <f t="array" ref="O108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081">
        <v>74</v>
      </c>
      <c r="Q1081" s="13" t="str" cm="1">
        <f t="array" ref="Q108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081">
        <v>95</v>
      </c>
      <c r="S1081" t="str" cm="1">
        <f t="array" ref="S108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081">
        <v>72</v>
      </c>
      <c r="U1081" t="str" cm="1">
        <f t="array" ref="U108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081">
        <v>65</v>
      </c>
      <c r="W1081" t="str" cm="1">
        <f t="array" ref="W108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081">
        <v>91</v>
      </c>
      <c r="Y1081" t="str" cm="1">
        <f t="array" ref="Y108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081">
        <f>SUM(Table1[[#This Row],[Math 
Score]],Table1[[#This Row],[History 
Score]],Table1[[#This Row],[Physics 
Score]],Table1[[#This Row],[Chemistry 
Score]],Table1[[#This Row],[Biology 
Score]],Table1[[#This Row],[English 
Score]],Table1[[#This Row],[Geography 
Score]])</f>
        <v>574</v>
      </c>
      <c r="AA1081" s="3">
        <f>AVERAGE(Table1[[#This Row],[Math 
Score]],Table1[[#This Row],[History 
Score]],Table1[[#This Row],[Physics 
Score]],Table1[[#This Row],[Chemistry 
Score]],Table1[[#This Row],[Biology 
Score]],Table1[[#This Row],[English 
Score]],Table1[[#This Row],[Geography 
Score]])</f>
        <v>82</v>
      </c>
      <c r="AB108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081">
        <f t="shared" si="16"/>
        <v>832</v>
      </c>
      <c r="AD1081" t="str">
        <f>_xlfn.IFS(Table1[[#This Row],[Absence 
Days]]&lt;3,"Excellent",Table1[[#This Row],[Absence 
Days]]&lt;=6,"Good",Table1[[#This Row],[Absence 
Days]]&gt;6,"Poor")</f>
        <v>Good</v>
      </c>
    </row>
    <row r="1082" spans="1:30" x14ac:dyDescent="0.35">
      <c r="A1082">
        <v>1081</v>
      </c>
      <c r="B1082" s="2" t="s">
        <v>360</v>
      </c>
      <c r="C1082" t="s">
        <v>925</v>
      </c>
      <c r="D1082" t="str">
        <f>_xlfn.TEXTJOIN(" ",TRUE,Table1[[#This Row],[First 
Name]:[Last 
Name]])</f>
        <v>Jaime Morrison</v>
      </c>
      <c r="E1082" t="s">
        <v>2192</v>
      </c>
      <c r="F1082" t="s">
        <v>3244</v>
      </c>
      <c r="G1082" t="str">
        <f ca="1">PROPER(Table1[[#This Row],[Part Time 
Job]])</f>
        <v>False</v>
      </c>
      <c r="H1082" s="3">
        <v>2</v>
      </c>
      <c r="I1082" t="str">
        <f ca="1">PROPER(Table1[[#This Row],[Extracurricular 
Activities]])</f>
        <v>False</v>
      </c>
      <c r="J1082">
        <v>16</v>
      </c>
      <c r="K1082" t="s">
        <v>3117</v>
      </c>
      <c r="L1082">
        <v>88</v>
      </c>
      <c r="M1082" s="12" t="str" cm="1">
        <f t="array" ref="M108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082">
        <v>71</v>
      </c>
      <c r="O1082" s="13" t="str" cm="1">
        <f t="array" ref="O108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082">
        <v>82</v>
      </c>
      <c r="Q1082" s="13" t="str" cm="1">
        <f t="array" ref="Q108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082">
        <v>98</v>
      </c>
      <c r="S1082" t="str" cm="1">
        <f t="array" ref="S108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082">
        <v>91</v>
      </c>
      <c r="U1082" t="str" cm="1">
        <f t="array" ref="U108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082">
        <v>73</v>
      </c>
      <c r="W1082" t="str" cm="1">
        <f t="array" ref="W108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082">
        <v>74</v>
      </c>
      <c r="Y1082" t="str" cm="1">
        <f t="array" ref="Y108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082">
        <f>SUM(Table1[[#This Row],[Math 
Score]],Table1[[#This Row],[History 
Score]],Table1[[#This Row],[Physics 
Score]],Table1[[#This Row],[Chemistry 
Score]],Table1[[#This Row],[Biology 
Score]],Table1[[#This Row],[English 
Score]],Table1[[#This Row],[Geography 
Score]])</f>
        <v>577</v>
      </c>
      <c r="AA1082" s="3">
        <f>AVERAGE(Table1[[#This Row],[Math 
Score]],Table1[[#This Row],[History 
Score]],Table1[[#This Row],[Physics 
Score]],Table1[[#This Row],[Chemistry 
Score]],Table1[[#This Row],[Biology 
Score]],Table1[[#This Row],[English 
Score]],Table1[[#This Row],[Geography 
Score]])</f>
        <v>82.428571428571431</v>
      </c>
      <c r="AB108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082">
        <f t="shared" si="16"/>
        <v>769</v>
      </c>
      <c r="AD1082" t="str">
        <f>_xlfn.IFS(Table1[[#This Row],[Absence 
Days]]&lt;3,"Excellent",Table1[[#This Row],[Absence 
Days]]&lt;=6,"Good",Table1[[#This Row],[Absence 
Days]]&gt;6,"Poor")</f>
        <v>Excellent</v>
      </c>
    </row>
    <row r="1083" spans="1:30" x14ac:dyDescent="0.35">
      <c r="A1083">
        <v>1082</v>
      </c>
      <c r="B1083" s="2" t="s">
        <v>333</v>
      </c>
      <c r="C1083" t="s">
        <v>593</v>
      </c>
      <c r="D1083" t="str">
        <f>_xlfn.TEXTJOIN(" ",TRUE,Table1[[#This Row],[First 
Name]:[Last 
Name]])</f>
        <v>Regina Hernandez</v>
      </c>
      <c r="E1083" t="s">
        <v>2193</v>
      </c>
      <c r="F1083" t="s">
        <v>3245</v>
      </c>
      <c r="G1083" t="str">
        <f ca="1">PROPER(Table1[[#This Row],[Part Time 
Job]])</f>
        <v>False</v>
      </c>
      <c r="H1083" s="3">
        <v>3</v>
      </c>
      <c r="I1083" t="str">
        <f ca="1">PROPER(Table1[[#This Row],[Extracurricular 
Activities]])</f>
        <v>False</v>
      </c>
      <c r="J1083">
        <v>6</v>
      </c>
      <c r="K1083" t="s">
        <v>3116</v>
      </c>
      <c r="L1083">
        <v>65</v>
      </c>
      <c r="M1083" s="12" t="str" cm="1">
        <f t="array" ref="M1083">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083">
        <v>72</v>
      </c>
      <c r="O1083" s="13" t="str" cm="1">
        <f t="array" ref="O108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083">
        <v>77</v>
      </c>
      <c r="Q1083" s="13" t="str" cm="1">
        <f t="array" ref="Q108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083">
        <v>89</v>
      </c>
      <c r="S1083" t="str" cm="1">
        <f t="array" ref="S108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083">
        <v>74</v>
      </c>
      <c r="U1083" t="str" cm="1">
        <f t="array" ref="U108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083">
        <v>76</v>
      </c>
      <c r="W1083" t="str" cm="1">
        <f t="array" ref="W108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083">
        <v>61</v>
      </c>
      <c r="Y1083" t="str" cm="1">
        <f t="array" ref="Y108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083">
        <f>SUM(Table1[[#This Row],[Math 
Score]],Table1[[#This Row],[History 
Score]],Table1[[#This Row],[Physics 
Score]],Table1[[#This Row],[Chemistry 
Score]],Table1[[#This Row],[Biology 
Score]],Table1[[#This Row],[English 
Score]],Table1[[#This Row],[Geography 
Score]])</f>
        <v>514</v>
      </c>
      <c r="AA1083" s="3">
        <f>AVERAGE(Table1[[#This Row],[Math 
Score]],Table1[[#This Row],[History 
Score]],Table1[[#This Row],[Physics 
Score]],Table1[[#This Row],[Chemistry 
Score]],Table1[[#This Row],[Biology 
Score]],Table1[[#This Row],[English 
Score]],Table1[[#This Row],[Geography 
Score]])</f>
        <v>73.428571428571431</v>
      </c>
      <c r="AB108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083">
        <f t="shared" si="16"/>
        <v>1805</v>
      </c>
      <c r="AD1083" t="str">
        <f>_xlfn.IFS(Table1[[#This Row],[Absence 
Days]]&lt;3,"Excellent",Table1[[#This Row],[Absence 
Days]]&lt;=6,"Good",Table1[[#This Row],[Absence 
Days]]&gt;6,"Poor")</f>
        <v>Good</v>
      </c>
    </row>
    <row r="1084" spans="1:30" x14ac:dyDescent="0.35">
      <c r="A1084">
        <v>1083</v>
      </c>
      <c r="B1084" s="2" t="s">
        <v>236</v>
      </c>
      <c r="C1084" t="s">
        <v>458</v>
      </c>
      <c r="D1084" t="str">
        <f>_xlfn.TEXTJOIN(" ",TRUE,Table1[[#This Row],[First 
Name]:[Last 
Name]])</f>
        <v>Margaret Smith</v>
      </c>
      <c r="E1084" t="s">
        <v>2194</v>
      </c>
      <c r="F1084" t="s">
        <v>3245</v>
      </c>
      <c r="G1084" t="str">
        <f ca="1">PROPER(Table1[[#This Row],[Part Time 
Job]])</f>
        <v>True</v>
      </c>
      <c r="H1084" s="3">
        <v>5</v>
      </c>
      <c r="I1084" t="str">
        <f ca="1">PROPER(Table1[[#This Row],[Extracurricular 
Activities]])</f>
        <v>False</v>
      </c>
      <c r="J1084">
        <v>4</v>
      </c>
      <c r="K1084" t="s">
        <v>3119</v>
      </c>
      <c r="L1084">
        <v>90</v>
      </c>
      <c r="M1084" s="12" t="str" cm="1">
        <f t="array" ref="M108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084">
        <v>99</v>
      </c>
      <c r="O1084" s="13" t="str" cm="1">
        <f t="array" ref="O108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084">
        <v>87</v>
      </c>
      <c r="Q1084" s="13" t="str" cm="1">
        <f t="array" ref="Q108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084">
        <v>81</v>
      </c>
      <c r="S1084" t="str" cm="1">
        <f t="array" ref="S108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084">
        <v>90</v>
      </c>
      <c r="U1084" t="str" cm="1">
        <f t="array" ref="U108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084">
        <v>80</v>
      </c>
      <c r="W1084" t="str" cm="1">
        <f t="array" ref="W108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084">
        <v>92</v>
      </c>
      <c r="Y1084" t="str" cm="1">
        <f t="array" ref="Y108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084">
        <f>SUM(Table1[[#This Row],[Math 
Score]],Table1[[#This Row],[History 
Score]],Table1[[#This Row],[Physics 
Score]],Table1[[#This Row],[Chemistry 
Score]],Table1[[#This Row],[Biology 
Score]],Table1[[#This Row],[English 
Score]],Table1[[#This Row],[Geography 
Score]])</f>
        <v>619</v>
      </c>
      <c r="AA1084" s="3">
        <f>AVERAGE(Table1[[#This Row],[Math 
Score]],Table1[[#This Row],[History 
Score]],Table1[[#This Row],[Physics 
Score]],Table1[[#This Row],[Chemistry 
Score]],Table1[[#This Row],[Biology 
Score]],Table1[[#This Row],[English 
Score]],Table1[[#This Row],[Geography 
Score]])</f>
        <v>88.428571428571431</v>
      </c>
      <c r="AB108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084">
        <f t="shared" si="16"/>
        <v>221</v>
      </c>
      <c r="AD1084" t="str">
        <f>_xlfn.IFS(Table1[[#This Row],[Absence 
Days]]&lt;3,"Excellent",Table1[[#This Row],[Absence 
Days]]&lt;=6,"Good",Table1[[#This Row],[Absence 
Days]]&gt;6,"Poor")</f>
        <v>Good</v>
      </c>
    </row>
    <row r="1085" spans="1:30" x14ac:dyDescent="0.35">
      <c r="A1085">
        <v>1084</v>
      </c>
      <c r="B1085" s="2" t="s">
        <v>20</v>
      </c>
      <c r="C1085" t="s">
        <v>516</v>
      </c>
      <c r="D1085" t="str">
        <f>_xlfn.TEXTJOIN(" ",TRUE,Table1[[#This Row],[First 
Name]:[Last 
Name]])</f>
        <v>Kyle Garcia</v>
      </c>
      <c r="E1085" t="s">
        <v>2195</v>
      </c>
      <c r="F1085" t="s">
        <v>3244</v>
      </c>
      <c r="G1085" t="str">
        <f ca="1">PROPER(Table1[[#This Row],[Part Time 
Job]])</f>
        <v>False</v>
      </c>
      <c r="H1085" s="3">
        <v>9</v>
      </c>
      <c r="I1085" t="str">
        <f ca="1">PROPER(Table1[[#This Row],[Extracurricular 
Activities]])</f>
        <v>False</v>
      </c>
      <c r="J1085">
        <v>34</v>
      </c>
      <c r="K1085" t="s">
        <v>3112</v>
      </c>
      <c r="L1085">
        <v>91</v>
      </c>
      <c r="M1085" s="12" t="str" cm="1">
        <f t="array" ref="M108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085">
        <v>88</v>
      </c>
      <c r="O1085" s="13" t="str" cm="1">
        <f t="array" ref="O108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085">
        <v>79</v>
      </c>
      <c r="Q1085" s="13" t="str" cm="1">
        <f t="array" ref="Q108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085">
        <v>60</v>
      </c>
      <c r="S1085" t="str" cm="1">
        <f t="array" ref="S108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085">
        <v>82</v>
      </c>
      <c r="U1085" t="str" cm="1">
        <f t="array" ref="U108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085">
        <v>96</v>
      </c>
      <c r="W1085" t="str" cm="1">
        <f t="array" ref="W108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085">
        <v>83</v>
      </c>
      <c r="Y1085" t="str" cm="1">
        <f t="array" ref="Y108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085">
        <f>SUM(Table1[[#This Row],[Math 
Score]],Table1[[#This Row],[History 
Score]],Table1[[#This Row],[Physics 
Score]],Table1[[#This Row],[Chemistry 
Score]],Table1[[#This Row],[Biology 
Score]],Table1[[#This Row],[English 
Score]],Table1[[#This Row],[Geography 
Score]])</f>
        <v>579</v>
      </c>
      <c r="AA1085" s="3">
        <f>AVERAGE(Table1[[#This Row],[Math 
Score]],Table1[[#This Row],[History 
Score]],Table1[[#This Row],[Physics 
Score]],Table1[[#This Row],[Chemistry 
Score]],Table1[[#This Row],[Biology 
Score]],Table1[[#This Row],[English 
Score]],Table1[[#This Row],[Geography 
Score]])</f>
        <v>82.714285714285708</v>
      </c>
      <c r="AB108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085">
        <f t="shared" si="16"/>
        <v>730</v>
      </c>
      <c r="AD1085" t="str">
        <f>_xlfn.IFS(Table1[[#This Row],[Absence 
Days]]&lt;3,"Excellent",Table1[[#This Row],[Absence 
Days]]&lt;=6,"Good",Table1[[#This Row],[Absence 
Days]]&gt;6,"Poor")</f>
        <v>Poor</v>
      </c>
    </row>
    <row r="1086" spans="1:30" x14ac:dyDescent="0.35">
      <c r="A1086">
        <v>1085</v>
      </c>
      <c r="B1086" s="2" t="s">
        <v>143</v>
      </c>
      <c r="C1086" t="s">
        <v>930</v>
      </c>
      <c r="D1086" t="str">
        <f>_xlfn.TEXTJOIN(" ",TRUE,Table1[[#This Row],[First 
Name]:[Last 
Name]])</f>
        <v>Trevor Stark</v>
      </c>
      <c r="E1086" t="s">
        <v>2196</v>
      </c>
      <c r="F1086" t="s">
        <v>3244</v>
      </c>
      <c r="G1086" t="str">
        <f ca="1">PROPER(Table1[[#This Row],[Part Time 
Job]])</f>
        <v>True</v>
      </c>
      <c r="H1086" s="3">
        <v>3</v>
      </c>
      <c r="I1086" t="str">
        <f ca="1">PROPER(Table1[[#This Row],[Extracurricular 
Activities]])</f>
        <v>False</v>
      </c>
      <c r="J1086">
        <v>31</v>
      </c>
      <c r="K1086" t="s">
        <v>3112</v>
      </c>
      <c r="L1086">
        <v>86</v>
      </c>
      <c r="M1086" s="12" t="str" cm="1">
        <f t="array" ref="M108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086">
        <v>92</v>
      </c>
      <c r="O1086" s="13" t="str" cm="1">
        <f t="array" ref="O108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086">
        <v>66</v>
      </c>
      <c r="Q1086" s="13" t="str" cm="1">
        <f t="array" ref="Q108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086">
        <v>66</v>
      </c>
      <c r="S1086" t="str" cm="1">
        <f t="array" ref="S108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086">
        <v>100</v>
      </c>
      <c r="U1086" t="str" cm="1">
        <f t="array" ref="U108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086">
        <v>99</v>
      </c>
      <c r="W1086" t="str" cm="1">
        <f t="array" ref="W108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086">
        <v>91</v>
      </c>
      <c r="Y1086" t="str" cm="1">
        <f t="array" ref="Y108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086">
        <f>SUM(Table1[[#This Row],[Math 
Score]],Table1[[#This Row],[History 
Score]],Table1[[#This Row],[Physics 
Score]],Table1[[#This Row],[Chemistry 
Score]],Table1[[#This Row],[Biology 
Score]],Table1[[#This Row],[English 
Score]],Table1[[#This Row],[Geography 
Score]])</f>
        <v>600</v>
      </c>
      <c r="AA1086" s="3">
        <f>AVERAGE(Table1[[#This Row],[Math 
Score]],Table1[[#This Row],[History 
Score]],Table1[[#This Row],[Physics 
Score]],Table1[[#This Row],[Chemistry 
Score]],Table1[[#This Row],[Biology 
Score]],Table1[[#This Row],[English 
Score]],Table1[[#This Row],[Geography 
Score]])</f>
        <v>85.714285714285708</v>
      </c>
      <c r="AB108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086">
        <f t="shared" si="16"/>
        <v>406</v>
      </c>
      <c r="AD1086" t="str">
        <f>_xlfn.IFS(Table1[[#This Row],[Absence 
Days]]&lt;3,"Excellent",Table1[[#This Row],[Absence 
Days]]&lt;=6,"Good",Table1[[#This Row],[Absence 
Days]]&gt;6,"Poor")</f>
        <v>Good</v>
      </c>
    </row>
    <row r="1087" spans="1:30" x14ac:dyDescent="0.35">
      <c r="A1087">
        <v>1086</v>
      </c>
      <c r="B1087" s="2" t="s">
        <v>361</v>
      </c>
      <c r="C1087" t="s">
        <v>618</v>
      </c>
      <c r="D1087" t="str">
        <f>_xlfn.TEXTJOIN(" ",TRUE,Table1[[#This Row],[First 
Name]:[Last 
Name]])</f>
        <v>Nathaniel Adams</v>
      </c>
      <c r="E1087" t="s">
        <v>2197</v>
      </c>
      <c r="F1087" t="s">
        <v>3244</v>
      </c>
      <c r="G1087" t="str">
        <f ca="1">PROPER(Table1[[#This Row],[Part Time 
Job]])</f>
        <v>False</v>
      </c>
      <c r="H1087" s="3">
        <v>2</v>
      </c>
      <c r="I1087" t="str">
        <f ca="1">PROPER(Table1[[#This Row],[Extracurricular 
Activities]])</f>
        <v>False</v>
      </c>
      <c r="J1087">
        <v>27</v>
      </c>
      <c r="K1087" t="s">
        <v>3117</v>
      </c>
      <c r="L1087">
        <v>86</v>
      </c>
      <c r="M1087" s="12" t="str" cm="1">
        <f t="array" ref="M108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087">
        <v>84</v>
      </c>
      <c r="O1087" s="13" t="str" cm="1">
        <f t="array" ref="O108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087">
        <v>98</v>
      </c>
      <c r="Q1087" s="13" t="str" cm="1">
        <f t="array" ref="Q108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087">
        <v>67</v>
      </c>
      <c r="S1087" t="str" cm="1">
        <f t="array" ref="S108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087">
        <v>76</v>
      </c>
      <c r="U1087" t="str" cm="1">
        <f t="array" ref="U108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087">
        <v>75</v>
      </c>
      <c r="W1087" t="str" cm="1">
        <f t="array" ref="W108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087">
        <v>65</v>
      </c>
      <c r="Y1087" t="str" cm="1">
        <f t="array" ref="Y108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087">
        <f>SUM(Table1[[#This Row],[Math 
Score]],Table1[[#This Row],[History 
Score]],Table1[[#This Row],[Physics 
Score]],Table1[[#This Row],[Chemistry 
Score]],Table1[[#This Row],[Biology 
Score]],Table1[[#This Row],[English 
Score]],Table1[[#This Row],[Geography 
Score]])</f>
        <v>551</v>
      </c>
      <c r="AA1087" s="3">
        <f>AVERAGE(Table1[[#This Row],[Math 
Score]],Table1[[#This Row],[History 
Score]],Table1[[#This Row],[Physics 
Score]],Table1[[#This Row],[Chemistry 
Score]],Table1[[#This Row],[Biology 
Score]],Table1[[#This Row],[English 
Score]],Table1[[#This Row],[Geography 
Score]])</f>
        <v>78.714285714285708</v>
      </c>
      <c r="AB108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087">
        <f t="shared" si="16"/>
        <v>1317</v>
      </c>
      <c r="AD1087" t="str">
        <f>_xlfn.IFS(Table1[[#This Row],[Absence 
Days]]&lt;3,"Excellent",Table1[[#This Row],[Absence 
Days]]&lt;=6,"Good",Table1[[#This Row],[Absence 
Days]]&gt;6,"Poor")</f>
        <v>Excellent</v>
      </c>
    </row>
    <row r="1088" spans="1:30" x14ac:dyDescent="0.35">
      <c r="A1088">
        <v>1087</v>
      </c>
      <c r="B1088" s="2" t="s">
        <v>362</v>
      </c>
      <c r="C1088" t="s">
        <v>486</v>
      </c>
      <c r="D1088" t="str">
        <f>_xlfn.TEXTJOIN(" ",TRUE,Table1[[#This Row],[First 
Name]:[Last 
Name]])</f>
        <v>Gabriela Martinez</v>
      </c>
      <c r="E1088" t="s">
        <v>2198</v>
      </c>
      <c r="F1088" t="s">
        <v>3245</v>
      </c>
      <c r="G1088" t="str">
        <f ca="1">PROPER(Table1[[#This Row],[Part Time 
Job]])</f>
        <v>False</v>
      </c>
      <c r="H1088" s="3">
        <v>4</v>
      </c>
      <c r="I1088" t="str">
        <f ca="1">PROPER(Table1[[#This Row],[Extracurricular 
Activities]])</f>
        <v>False</v>
      </c>
      <c r="J1088">
        <v>22</v>
      </c>
      <c r="K1088" t="s">
        <v>3117</v>
      </c>
      <c r="L1088">
        <v>92</v>
      </c>
      <c r="M1088" s="12" t="str" cm="1">
        <f t="array" ref="M108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088">
        <v>91</v>
      </c>
      <c r="O1088" s="13" t="str" cm="1">
        <f t="array" ref="O108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088">
        <v>85</v>
      </c>
      <c r="Q1088" s="13" t="str" cm="1">
        <f t="array" ref="Q108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088">
        <v>94</v>
      </c>
      <c r="S1088" t="str" cm="1">
        <f t="array" ref="S108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088">
        <v>69</v>
      </c>
      <c r="U1088" t="str" cm="1">
        <f t="array" ref="U108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088">
        <v>80</v>
      </c>
      <c r="W1088" t="str" cm="1">
        <f t="array" ref="W108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088">
        <v>71</v>
      </c>
      <c r="Y1088" t="str" cm="1">
        <f t="array" ref="Y108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088">
        <f>SUM(Table1[[#This Row],[Math 
Score]],Table1[[#This Row],[History 
Score]],Table1[[#This Row],[Physics 
Score]],Table1[[#This Row],[Chemistry 
Score]],Table1[[#This Row],[Biology 
Score]],Table1[[#This Row],[English 
Score]],Table1[[#This Row],[Geography 
Score]])</f>
        <v>582</v>
      </c>
      <c r="AA1088" s="3">
        <f>AVERAGE(Table1[[#This Row],[Math 
Score]],Table1[[#This Row],[History 
Score]],Table1[[#This Row],[Physics 
Score]],Table1[[#This Row],[Chemistry 
Score]],Table1[[#This Row],[Biology 
Score]],Table1[[#This Row],[English 
Score]],Table1[[#This Row],[Geography 
Score]])</f>
        <v>83.142857142857139</v>
      </c>
      <c r="AB108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088">
        <f t="shared" si="16"/>
        <v>670</v>
      </c>
      <c r="AD1088" t="str">
        <f>_xlfn.IFS(Table1[[#This Row],[Absence 
Days]]&lt;3,"Excellent",Table1[[#This Row],[Absence 
Days]]&lt;=6,"Good",Table1[[#This Row],[Absence 
Days]]&gt;6,"Poor")</f>
        <v>Good</v>
      </c>
    </row>
    <row r="1089" spans="1:30" x14ac:dyDescent="0.35">
      <c r="A1089">
        <v>1088</v>
      </c>
      <c r="B1089" s="2" t="s">
        <v>160</v>
      </c>
      <c r="C1089" t="s">
        <v>274</v>
      </c>
      <c r="D1089" t="str">
        <f>_xlfn.TEXTJOIN(" ",TRUE,Table1[[#This Row],[First 
Name]:[Last 
Name]])</f>
        <v>Debra Walter</v>
      </c>
      <c r="E1089" t="s">
        <v>2199</v>
      </c>
      <c r="F1089" t="s">
        <v>3245</v>
      </c>
      <c r="G1089" t="str">
        <f ca="1">PROPER(Table1[[#This Row],[Part Time 
Job]])</f>
        <v>False</v>
      </c>
      <c r="H1089" s="3">
        <v>3</v>
      </c>
      <c r="I1089" t="str">
        <f ca="1">PROPER(Table1[[#This Row],[Extracurricular 
Activities]])</f>
        <v>True</v>
      </c>
      <c r="J1089">
        <v>25</v>
      </c>
      <c r="K1089" t="s">
        <v>3121</v>
      </c>
      <c r="L1089">
        <v>90</v>
      </c>
      <c r="M1089" s="12" t="str" cm="1">
        <f t="array" ref="M108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089">
        <v>97</v>
      </c>
      <c r="O1089" s="13" t="str" cm="1">
        <f t="array" ref="O108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089">
        <v>64</v>
      </c>
      <c r="Q1089" s="13" t="str" cm="1">
        <f t="array" ref="Q108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089">
        <v>64</v>
      </c>
      <c r="S1089" t="str" cm="1">
        <f t="array" ref="S108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089">
        <v>61</v>
      </c>
      <c r="U1089" t="str" cm="1">
        <f t="array" ref="U108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089">
        <v>81</v>
      </c>
      <c r="W1089" t="str" cm="1">
        <f t="array" ref="W108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089">
        <v>93</v>
      </c>
      <c r="Y1089" t="str" cm="1">
        <f t="array" ref="Y108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089">
        <f>SUM(Table1[[#This Row],[Math 
Score]],Table1[[#This Row],[History 
Score]],Table1[[#This Row],[Physics 
Score]],Table1[[#This Row],[Chemistry 
Score]],Table1[[#This Row],[Biology 
Score]],Table1[[#This Row],[English 
Score]],Table1[[#This Row],[Geography 
Score]])</f>
        <v>550</v>
      </c>
      <c r="AA1089" s="3">
        <f>AVERAGE(Table1[[#This Row],[Math 
Score]],Table1[[#This Row],[History 
Score]],Table1[[#This Row],[Physics 
Score]],Table1[[#This Row],[Chemistry 
Score]],Table1[[#This Row],[Biology 
Score]],Table1[[#This Row],[English 
Score]],Table1[[#This Row],[Geography 
Score]])</f>
        <v>78.571428571428569</v>
      </c>
      <c r="AB108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089">
        <f t="shared" si="16"/>
        <v>1338</v>
      </c>
      <c r="AD1089" t="str">
        <f>_xlfn.IFS(Table1[[#This Row],[Absence 
Days]]&lt;3,"Excellent",Table1[[#This Row],[Absence 
Days]]&lt;=6,"Good",Table1[[#This Row],[Absence 
Days]]&gt;6,"Poor")</f>
        <v>Good</v>
      </c>
    </row>
    <row r="1090" spans="1:30" x14ac:dyDescent="0.35">
      <c r="A1090">
        <v>1089</v>
      </c>
      <c r="B1090" s="2" t="s">
        <v>44</v>
      </c>
      <c r="C1090" t="s">
        <v>916</v>
      </c>
      <c r="D1090" t="str">
        <f>_xlfn.TEXTJOIN(" ",TRUE,Table1[[#This Row],[First 
Name]:[Last 
Name]])</f>
        <v>Kimberly Herrera</v>
      </c>
      <c r="E1090" t="s">
        <v>2200</v>
      </c>
      <c r="F1090" t="s">
        <v>3245</v>
      </c>
      <c r="G1090" t="str">
        <f ca="1">PROPER(Table1[[#This Row],[Part Time 
Job]])</f>
        <v>False</v>
      </c>
      <c r="H1090" s="3">
        <v>3</v>
      </c>
      <c r="I1090" t="str">
        <f ca="1">PROPER(Table1[[#This Row],[Extracurricular 
Activities]])</f>
        <v>False</v>
      </c>
      <c r="J1090">
        <v>19</v>
      </c>
      <c r="K1090" t="s">
        <v>3123</v>
      </c>
      <c r="L1090">
        <v>98</v>
      </c>
      <c r="M1090" s="12" t="str" cm="1">
        <f t="array" ref="M109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090">
        <v>69</v>
      </c>
      <c r="O1090" s="13" t="str" cm="1">
        <f t="array" ref="O109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090">
        <v>61</v>
      </c>
      <c r="Q1090" s="13" t="str" cm="1">
        <f t="array" ref="Q109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090">
        <v>62</v>
      </c>
      <c r="S1090" t="str" cm="1">
        <f t="array" ref="S109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090">
        <v>82</v>
      </c>
      <c r="U1090" t="str" cm="1">
        <f t="array" ref="U109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090">
        <v>87</v>
      </c>
      <c r="W1090" t="str" cm="1">
        <f t="array" ref="W109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090">
        <v>64</v>
      </c>
      <c r="Y1090" t="str" cm="1">
        <f t="array" ref="Y109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090">
        <f>SUM(Table1[[#This Row],[Math 
Score]],Table1[[#This Row],[History 
Score]],Table1[[#This Row],[Physics 
Score]],Table1[[#This Row],[Chemistry 
Score]],Table1[[#This Row],[Biology 
Score]],Table1[[#This Row],[English 
Score]],Table1[[#This Row],[Geography 
Score]])</f>
        <v>523</v>
      </c>
      <c r="AA1090" s="3">
        <f>AVERAGE(Table1[[#This Row],[Math 
Score]],Table1[[#This Row],[History 
Score]],Table1[[#This Row],[Physics 
Score]],Table1[[#This Row],[Chemistry 
Score]],Table1[[#This Row],[Biology 
Score]],Table1[[#This Row],[English 
Score]],Table1[[#This Row],[Geography 
Score]])</f>
        <v>74.714285714285708</v>
      </c>
      <c r="AB109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090">
        <f t="shared" ref="AC1090:AC1153" si="17">RANK(AA1090,$AA$2:$AA$2001,0)</f>
        <v>1727</v>
      </c>
      <c r="AD1090" t="str">
        <f>_xlfn.IFS(Table1[[#This Row],[Absence 
Days]]&lt;3,"Excellent",Table1[[#This Row],[Absence 
Days]]&lt;=6,"Good",Table1[[#This Row],[Absence 
Days]]&gt;6,"Poor")</f>
        <v>Good</v>
      </c>
    </row>
    <row r="1091" spans="1:30" x14ac:dyDescent="0.35">
      <c r="A1091">
        <v>1090</v>
      </c>
      <c r="B1091" s="2" t="s">
        <v>75</v>
      </c>
      <c r="C1091" t="s">
        <v>931</v>
      </c>
      <c r="D1091" t="str">
        <f>_xlfn.TEXTJOIN(" ",TRUE,Table1[[#This Row],[First 
Name]:[Last 
Name]])</f>
        <v>William Fleming</v>
      </c>
      <c r="E1091" t="s">
        <v>2201</v>
      </c>
      <c r="F1091" t="s">
        <v>3244</v>
      </c>
      <c r="G1091" t="str">
        <f ca="1">PROPER(Table1[[#This Row],[Part Time 
Job]])</f>
        <v>False</v>
      </c>
      <c r="H1091" s="3">
        <v>1</v>
      </c>
      <c r="I1091" t="str">
        <f ca="1">PROPER(Table1[[#This Row],[Extracurricular 
Activities]])</f>
        <v>False</v>
      </c>
      <c r="J1091">
        <v>28</v>
      </c>
      <c r="K1091" t="s">
        <v>3112</v>
      </c>
      <c r="L1091">
        <v>72</v>
      </c>
      <c r="M1091" s="12" t="str" cm="1">
        <f t="array" ref="M1091">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091">
        <v>93</v>
      </c>
      <c r="O1091" s="13" t="str" cm="1">
        <f t="array" ref="O109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091">
        <v>68</v>
      </c>
      <c r="Q1091" s="13" t="str" cm="1">
        <f t="array" ref="Q109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091">
        <v>62</v>
      </c>
      <c r="S1091" t="str" cm="1">
        <f t="array" ref="S109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091">
        <v>83</v>
      </c>
      <c r="U1091" t="str" cm="1">
        <f t="array" ref="U109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091">
        <v>98</v>
      </c>
      <c r="W1091" t="str" cm="1">
        <f t="array" ref="W109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091">
        <v>67</v>
      </c>
      <c r="Y1091" t="str" cm="1">
        <f t="array" ref="Y109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091">
        <f>SUM(Table1[[#This Row],[Math 
Score]],Table1[[#This Row],[History 
Score]],Table1[[#This Row],[Physics 
Score]],Table1[[#This Row],[Chemistry 
Score]],Table1[[#This Row],[Biology 
Score]],Table1[[#This Row],[English 
Score]],Table1[[#This Row],[Geography 
Score]])</f>
        <v>543</v>
      </c>
      <c r="AA1091" s="3">
        <f>AVERAGE(Table1[[#This Row],[Math 
Score]],Table1[[#This Row],[History 
Score]],Table1[[#This Row],[Physics 
Score]],Table1[[#This Row],[Chemistry 
Score]],Table1[[#This Row],[Biology 
Score]],Table1[[#This Row],[English 
Score]],Table1[[#This Row],[Geography 
Score]])</f>
        <v>77.571428571428569</v>
      </c>
      <c r="AB109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091">
        <f t="shared" si="17"/>
        <v>1464</v>
      </c>
      <c r="AD1091" t="str">
        <f>_xlfn.IFS(Table1[[#This Row],[Absence 
Days]]&lt;3,"Excellent",Table1[[#This Row],[Absence 
Days]]&lt;=6,"Good",Table1[[#This Row],[Absence 
Days]]&gt;6,"Poor")</f>
        <v>Excellent</v>
      </c>
    </row>
    <row r="1092" spans="1:30" x14ac:dyDescent="0.35">
      <c r="A1092">
        <v>1091</v>
      </c>
      <c r="B1092" s="2" t="s">
        <v>191</v>
      </c>
      <c r="C1092" t="s">
        <v>692</v>
      </c>
      <c r="D1092" t="str">
        <f>_xlfn.TEXTJOIN(" ",TRUE,Table1[[#This Row],[First 
Name]:[Last 
Name]])</f>
        <v>Brandon Foster</v>
      </c>
      <c r="E1092" t="s">
        <v>2202</v>
      </c>
      <c r="F1092" t="s">
        <v>3244</v>
      </c>
      <c r="G1092" t="str">
        <f ca="1">PROPER(Table1[[#This Row],[Part Time 
Job]])</f>
        <v>True</v>
      </c>
      <c r="H1092" s="3">
        <v>3</v>
      </c>
      <c r="I1092" t="str">
        <f ca="1">PROPER(Table1[[#This Row],[Extracurricular 
Activities]])</f>
        <v>True</v>
      </c>
      <c r="J1092">
        <v>34</v>
      </c>
      <c r="K1092" t="s">
        <v>3120</v>
      </c>
      <c r="L1092">
        <v>77</v>
      </c>
      <c r="M1092" s="12" t="str" cm="1">
        <f t="array" ref="M109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092">
        <v>93</v>
      </c>
      <c r="O1092" s="13" t="str" cm="1">
        <f t="array" ref="O109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092">
        <v>83</v>
      </c>
      <c r="Q1092" s="13" t="str" cm="1">
        <f t="array" ref="Q109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092">
        <v>84</v>
      </c>
      <c r="S1092" t="str" cm="1">
        <f t="array" ref="S109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092">
        <v>83</v>
      </c>
      <c r="U1092" t="str" cm="1">
        <f t="array" ref="U109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092">
        <v>84</v>
      </c>
      <c r="W1092" t="str" cm="1">
        <f t="array" ref="W109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092">
        <v>71</v>
      </c>
      <c r="Y1092" t="str" cm="1">
        <f t="array" ref="Y109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092">
        <f>SUM(Table1[[#This Row],[Math 
Score]],Table1[[#This Row],[History 
Score]],Table1[[#This Row],[Physics 
Score]],Table1[[#This Row],[Chemistry 
Score]],Table1[[#This Row],[Biology 
Score]],Table1[[#This Row],[English 
Score]],Table1[[#This Row],[Geography 
Score]])</f>
        <v>575</v>
      </c>
      <c r="AA1092" s="3">
        <f>AVERAGE(Table1[[#This Row],[Math 
Score]],Table1[[#This Row],[History 
Score]],Table1[[#This Row],[Physics 
Score]],Table1[[#This Row],[Chemistry 
Score]],Table1[[#This Row],[Biology 
Score]],Table1[[#This Row],[English 
Score]],Table1[[#This Row],[Geography 
Score]])</f>
        <v>82.142857142857139</v>
      </c>
      <c r="AB109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092">
        <f t="shared" si="17"/>
        <v>807</v>
      </c>
      <c r="AD1092" t="str">
        <f>_xlfn.IFS(Table1[[#This Row],[Absence 
Days]]&lt;3,"Excellent",Table1[[#This Row],[Absence 
Days]]&lt;=6,"Good",Table1[[#This Row],[Absence 
Days]]&gt;6,"Poor")</f>
        <v>Good</v>
      </c>
    </row>
    <row r="1093" spans="1:30" x14ac:dyDescent="0.35">
      <c r="A1093">
        <v>1092</v>
      </c>
      <c r="B1093" s="2" t="s">
        <v>124</v>
      </c>
      <c r="C1093" t="s">
        <v>562</v>
      </c>
      <c r="D1093" t="str">
        <f>_xlfn.TEXTJOIN(" ",TRUE,Table1[[#This Row],[First 
Name]:[Last 
Name]])</f>
        <v>John Wilson</v>
      </c>
      <c r="E1093" t="s">
        <v>2203</v>
      </c>
      <c r="F1093" t="s">
        <v>3244</v>
      </c>
      <c r="G1093" t="str">
        <f ca="1">PROPER(Table1[[#This Row],[Part Time 
Job]])</f>
        <v>False</v>
      </c>
      <c r="H1093" s="3">
        <v>10</v>
      </c>
      <c r="I1093" t="str">
        <f ca="1">PROPER(Table1[[#This Row],[Extracurricular 
Activities]])</f>
        <v>False</v>
      </c>
      <c r="J1093">
        <v>5</v>
      </c>
      <c r="K1093" t="s">
        <v>3119</v>
      </c>
      <c r="L1093">
        <v>75</v>
      </c>
      <c r="M1093" s="12" t="str" cm="1">
        <f t="array" ref="M109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093">
        <v>52</v>
      </c>
      <c r="O1093" s="13" t="str" cm="1">
        <f t="array" ref="O109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C</v>
      </c>
      <c r="P1093">
        <v>84</v>
      </c>
      <c r="Q1093" s="13" t="str" cm="1">
        <f t="array" ref="Q109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093">
        <v>70</v>
      </c>
      <c r="S1093" t="str" cm="1">
        <f t="array" ref="S109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093">
        <v>81</v>
      </c>
      <c r="U1093" t="str" cm="1">
        <f t="array" ref="U109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093">
        <v>99</v>
      </c>
      <c r="W1093" t="str" cm="1">
        <f t="array" ref="W109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093">
        <v>85</v>
      </c>
      <c r="Y1093" t="str" cm="1">
        <f t="array" ref="Y109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093">
        <f>SUM(Table1[[#This Row],[Math 
Score]],Table1[[#This Row],[History 
Score]],Table1[[#This Row],[Physics 
Score]],Table1[[#This Row],[Chemistry 
Score]],Table1[[#This Row],[Biology 
Score]],Table1[[#This Row],[English 
Score]],Table1[[#This Row],[Geography 
Score]])</f>
        <v>546</v>
      </c>
      <c r="AA1093" s="3">
        <f>AVERAGE(Table1[[#This Row],[Math 
Score]],Table1[[#This Row],[History 
Score]],Table1[[#This Row],[Physics 
Score]],Table1[[#This Row],[Chemistry 
Score]],Table1[[#This Row],[Biology 
Score]],Table1[[#This Row],[English 
Score]],Table1[[#This Row],[Geography 
Score]])</f>
        <v>78</v>
      </c>
      <c r="AB109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093">
        <f t="shared" si="17"/>
        <v>1411</v>
      </c>
      <c r="AD1093" t="str">
        <f>_xlfn.IFS(Table1[[#This Row],[Absence 
Days]]&lt;3,"Excellent",Table1[[#This Row],[Absence 
Days]]&lt;=6,"Good",Table1[[#This Row],[Absence 
Days]]&gt;6,"Poor")</f>
        <v>Poor</v>
      </c>
    </row>
    <row r="1094" spans="1:30" x14ac:dyDescent="0.35">
      <c r="A1094">
        <v>1093</v>
      </c>
      <c r="B1094" s="2" t="s">
        <v>6</v>
      </c>
      <c r="C1094" t="s">
        <v>830</v>
      </c>
      <c r="D1094" t="str">
        <f>_xlfn.TEXTJOIN(" ",TRUE,Table1[[#This Row],[First 
Name]:[Last 
Name]])</f>
        <v>George Kerr</v>
      </c>
      <c r="E1094" t="s">
        <v>2204</v>
      </c>
      <c r="F1094" t="s">
        <v>3244</v>
      </c>
      <c r="G1094" t="str">
        <f ca="1">PROPER(Table1[[#This Row],[Part Time 
Job]])</f>
        <v>True</v>
      </c>
      <c r="H1094" s="3">
        <v>1</v>
      </c>
      <c r="I1094" t="str">
        <f ca="1">PROPER(Table1[[#This Row],[Extracurricular 
Activities]])</f>
        <v>False</v>
      </c>
      <c r="J1094">
        <v>34</v>
      </c>
      <c r="K1094" t="s">
        <v>3112</v>
      </c>
      <c r="L1094">
        <v>94</v>
      </c>
      <c r="M1094" s="12" t="str" cm="1">
        <f t="array" ref="M109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094">
        <v>82</v>
      </c>
      <c r="O1094" s="13" t="str" cm="1">
        <f t="array" ref="O109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094">
        <v>83</v>
      </c>
      <c r="Q1094" s="13" t="str" cm="1">
        <f t="array" ref="Q109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094">
        <v>76</v>
      </c>
      <c r="S1094" t="str" cm="1">
        <f t="array" ref="S109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094">
        <v>83</v>
      </c>
      <c r="U1094" t="str" cm="1">
        <f t="array" ref="U109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094">
        <v>93</v>
      </c>
      <c r="W1094" t="str" cm="1">
        <f t="array" ref="W109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094">
        <v>94</v>
      </c>
      <c r="Y1094" t="str" cm="1">
        <f t="array" ref="Y109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094">
        <f>SUM(Table1[[#This Row],[Math 
Score]],Table1[[#This Row],[History 
Score]],Table1[[#This Row],[Physics 
Score]],Table1[[#This Row],[Chemistry 
Score]],Table1[[#This Row],[Biology 
Score]],Table1[[#This Row],[English 
Score]],Table1[[#This Row],[Geography 
Score]])</f>
        <v>605</v>
      </c>
      <c r="AA1094" s="3">
        <f>AVERAGE(Table1[[#This Row],[Math 
Score]],Table1[[#This Row],[History 
Score]],Table1[[#This Row],[Physics 
Score]],Table1[[#This Row],[Chemistry 
Score]],Table1[[#This Row],[Biology 
Score]],Table1[[#This Row],[English 
Score]],Table1[[#This Row],[Geography 
Score]])</f>
        <v>86.428571428571431</v>
      </c>
      <c r="AB109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094">
        <f t="shared" si="17"/>
        <v>344</v>
      </c>
      <c r="AD1094" t="str">
        <f>_xlfn.IFS(Table1[[#This Row],[Absence 
Days]]&lt;3,"Excellent",Table1[[#This Row],[Absence 
Days]]&lt;=6,"Good",Table1[[#This Row],[Absence 
Days]]&gt;6,"Poor")</f>
        <v>Excellent</v>
      </c>
    </row>
    <row r="1095" spans="1:30" x14ac:dyDescent="0.35">
      <c r="A1095">
        <v>1094</v>
      </c>
      <c r="B1095" s="2" t="s">
        <v>41</v>
      </c>
      <c r="C1095" t="s">
        <v>932</v>
      </c>
      <c r="D1095" t="str">
        <f>_xlfn.TEXTJOIN(" ",TRUE,Table1[[#This Row],[First 
Name]:[Last 
Name]])</f>
        <v>Kenneth Gilbert</v>
      </c>
      <c r="E1095" t="s">
        <v>2205</v>
      </c>
      <c r="F1095" t="s">
        <v>3244</v>
      </c>
      <c r="G1095" t="str">
        <f ca="1">PROPER(Table1[[#This Row],[Part Time 
Job]])</f>
        <v>False</v>
      </c>
      <c r="H1095" s="3">
        <v>7</v>
      </c>
      <c r="I1095" t="str">
        <f ca="1">PROPER(Table1[[#This Row],[Extracurricular 
Activities]])</f>
        <v>False</v>
      </c>
      <c r="J1095">
        <v>34</v>
      </c>
      <c r="K1095" t="s">
        <v>3121</v>
      </c>
      <c r="L1095">
        <v>75</v>
      </c>
      <c r="M1095" s="12" t="str" cm="1">
        <f t="array" ref="M109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095">
        <v>88</v>
      </c>
      <c r="O1095" s="13" t="str" cm="1">
        <f t="array" ref="O109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095">
        <v>71</v>
      </c>
      <c r="Q1095" s="13" t="str" cm="1">
        <f t="array" ref="Q109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095">
        <v>62</v>
      </c>
      <c r="S1095" t="str" cm="1">
        <f t="array" ref="S109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095">
        <v>90</v>
      </c>
      <c r="U1095" t="str" cm="1">
        <f t="array" ref="U109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095">
        <v>78</v>
      </c>
      <c r="W1095" t="str" cm="1">
        <f t="array" ref="W109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095">
        <v>95</v>
      </c>
      <c r="Y1095" t="str" cm="1">
        <f t="array" ref="Y109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095">
        <f>SUM(Table1[[#This Row],[Math 
Score]],Table1[[#This Row],[History 
Score]],Table1[[#This Row],[Physics 
Score]],Table1[[#This Row],[Chemistry 
Score]],Table1[[#This Row],[Biology 
Score]],Table1[[#This Row],[English 
Score]],Table1[[#This Row],[Geography 
Score]])</f>
        <v>559</v>
      </c>
      <c r="AA1095" s="3">
        <f>AVERAGE(Table1[[#This Row],[Math 
Score]],Table1[[#This Row],[History 
Score]],Table1[[#This Row],[Physics 
Score]],Table1[[#This Row],[Chemistry 
Score]],Table1[[#This Row],[Biology 
Score]],Table1[[#This Row],[English 
Score]],Table1[[#This Row],[Geography 
Score]])</f>
        <v>79.857142857142861</v>
      </c>
      <c r="AB109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095">
        <f t="shared" si="17"/>
        <v>1155</v>
      </c>
      <c r="AD1095" t="str">
        <f>_xlfn.IFS(Table1[[#This Row],[Absence 
Days]]&lt;3,"Excellent",Table1[[#This Row],[Absence 
Days]]&lt;=6,"Good",Table1[[#This Row],[Absence 
Days]]&gt;6,"Poor")</f>
        <v>Poor</v>
      </c>
    </row>
    <row r="1096" spans="1:30" x14ac:dyDescent="0.35">
      <c r="A1096">
        <v>1095</v>
      </c>
      <c r="B1096" s="2" t="s">
        <v>363</v>
      </c>
      <c r="C1096" t="s">
        <v>683</v>
      </c>
      <c r="D1096" t="str">
        <f>_xlfn.TEXTJOIN(" ",TRUE,Table1[[#This Row],[First 
Name]:[Last 
Name]])</f>
        <v>Jodi Price</v>
      </c>
      <c r="E1096" t="s">
        <v>2206</v>
      </c>
      <c r="F1096" t="s">
        <v>3245</v>
      </c>
      <c r="G1096" t="str">
        <f ca="1">PROPER(Table1[[#This Row],[Part Time 
Job]])</f>
        <v>False</v>
      </c>
      <c r="H1096" s="3">
        <v>0</v>
      </c>
      <c r="I1096" t="str">
        <f ca="1">PROPER(Table1[[#This Row],[Extracurricular 
Activities]])</f>
        <v>False</v>
      </c>
      <c r="J1096">
        <v>19</v>
      </c>
      <c r="K1096" t="s">
        <v>3117</v>
      </c>
      <c r="L1096">
        <v>91</v>
      </c>
      <c r="M1096" s="12" t="str" cm="1">
        <f t="array" ref="M109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096">
        <v>91</v>
      </c>
      <c r="O1096" s="13" t="str" cm="1">
        <f t="array" ref="O109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096">
        <v>66</v>
      </c>
      <c r="Q1096" s="13" t="str" cm="1">
        <f t="array" ref="Q109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096">
        <v>97</v>
      </c>
      <c r="S1096" t="str" cm="1">
        <f t="array" ref="S109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096">
        <v>62</v>
      </c>
      <c r="U1096" t="str" cm="1">
        <f t="array" ref="U109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096">
        <v>89</v>
      </c>
      <c r="W1096" t="str" cm="1">
        <f t="array" ref="W109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096">
        <v>82</v>
      </c>
      <c r="Y1096" t="str" cm="1">
        <f t="array" ref="Y109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096">
        <f>SUM(Table1[[#This Row],[Math 
Score]],Table1[[#This Row],[History 
Score]],Table1[[#This Row],[Physics 
Score]],Table1[[#This Row],[Chemistry 
Score]],Table1[[#This Row],[Biology 
Score]],Table1[[#This Row],[English 
Score]],Table1[[#This Row],[Geography 
Score]])</f>
        <v>578</v>
      </c>
      <c r="AA1096" s="3">
        <f>AVERAGE(Table1[[#This Row],[Math 
Score]],Table1[[#This Row],[History 
Score]],Table1[[#This Row],[Physics 
Score]],Table1[[#This Row],[Chemistry 
Score]],Table1[[#This Row],[Biology 
Score]],Table1[[#This Row],[English 
Score]],Table1[[#This Row],[Geography 
Score]])</f>
        <v>82.571428571428569</v>
      </c>
      <c r="AB109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096">
        <f t="shared" si="17"/>
        <v>752</v>
      </c>
      <c r="AD1096" t="str">
        <f>_xlfn.IFS(Table1[[#This Row],[Absence 
Days]]&lt;3,"Excellent",Table1[[#This Row],[Absence 
Days]]&lt;=6,"Good",Table1[[#This Row],[Absence 
Days]]&gt;6,"Poor")</f>
        <v>Excellent</v>
      </c>
    </row>
    <row r="1097" spans="1:30" x14ac:dyDescent="0.35">
      <c r="A1097">
        <v>1096</v>
      </c>
      <c r="B1097" s="2" t="s">
        <v>95</v>
      </c>
      <c r="C1097" t="s">
        <v>933</v>
      </c>
      <c r="D1097" t="str">
        <f>_xlfn.TEXTJOIN(" ",TRUE,Table1[[#This Row],[First 
Name]:[Last 
Name]])</f>
        <v>Jordan Sheppard</v>
      </c>
      <c r="E1097" t="s">
        <v>2207</v>
      </c>
      <c r="F1097" t="s">
        <v>3244</v>
      </c>
      <c r="G1097" t="str">
        <f ca="1">PROPER(Table1[[#This Row],[Part Time 
Job]])</f>
        <v>False</v>
      </c>
      <c r="H1097" s="3">
        <v>0</v>
      </c>
      <c r="I1097" t="str">
        <f ca="1">PROPER(Table1[[#This Row],[Extracurricular 
Activities]])</f>
        <v>False</v>
      </c>
      <c r="J1097">
        <v>13</v>
      </c>
      <c r="K1097" t="s">
        <v>3123</v>
      </c>
      <c r="L1097">
        <v>75</v>
      </c>
      <c r="M1097" s="12" t="str" cm="1">
        <f t="array" ref="M109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097">
        <v>64</v>
      </c>
      <c r="O1097" s="13" t="str" cm="1">
        <f t="array" ref="O109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097">
        <v>100</v>
      </c>
      <c r="Q1097" s="13" t="str" cm="1">
        <f t="array" ref="Q109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097">
        <v>63</v>
      </c>
      <c r="S1097" t="str" cm="1">
        <f t="array" ref="S109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097">
        <v>98</v>
      </c>
      <c r="U1097" t="str" cm="1">
        <f t="array" ref="U109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097">
        <v>71</v>
      </c>
      <c r="W1097" t="str" cm="1">
        <f t="array" ref="W109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097">
        <v>73</v>
      </c>
      <c r="Y1097" t="str" cm="1">
        <f t="array" ref="Y109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097">
        <f>SUM(Table1[[#This Row],[Math 
Score]],Table1[[#This Row],[History 
Score]],Table1[[#This Row],[Physics 
Score]],Table1[[#This Row],[Chemistry 
Score]],Table1[[#This Row],[Biology 
Score]],Table1[[#This Row],[English 
Score]],Table1[[#This Row],[Geography 
Score]])</f>
        <v>544</v>
      </c>
      <c r="AA1097" s="3">
        <f>AVERAGE(Table1[[#This Row],[Math 
Score]],Table1[[#This Row],[History 
Score]],Table1[[#This Row],[Physics 
Score]],Table1[[#This Row],[Chemistry 
Score]],Table1[[#This Row],[Biology 
Score]],Table1[[#This Row],[English 
Score]],Table1[[#This Row],[Geography 
Score]])</f>
        <v>77.714285714285708</v>
      </c>
      <c r="AB109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097">
        <f t="shared" si="17"/>
        <v>1446</v>
      </c>
      <c r="AD1097" t="str">
        <f>_xlfn.IFS(Table1[[#This Row],[Absence 
Days]]&lt;3,"Excellent",Table1[[#This Row],[Absence 
Days]]&lt;=6,"Good",Table1[[#This Row],[Absence 
Days]]&gt;6,"Poor")</f>
        <v>Excellent</v>
      </c>
    </row>
    <row r="1098" spans="1:30" x14ac:dyDescent="0.35">
      <c r="A1098">
        <v>1097</v>
      </c>
      <c r="B1098" s="2" t="s">
        <v>364</v>
      </c>
      <c r="C1098" t="s">
        <v>486</v>
      </c>
      <c r="D1098" t="str">
        <f>_xlfn.TEXTJOIN(" ",TRUE,Table1[[#This Row],[First 
Name]:[Last 
Name]])</f>
        <v>Tristan Martinez</v>
      </c>
      <c r="E1098" t="s">
        <v>2208</v>
      </c>
      <c r="F1098" t="s">
        <v>3244</v>
      </c>
      <c r="G1098" t="str">
        <f ca="1">PROPER(Table1[[#This Row],[Part Time 
Job]])</f>
        <v>False</v>
      </c>
      <c r="H1098" s="3">
        <v>3</v>
      </c>
      <c r="I1098" t="str">
        <f ca="1">PROPER(Table1[[#This Row],[Extracurricular 
Activities]])</f>
        <v>False</v>
      </c>
      <c r="J1098">
        <v>18</v>
      </c>
      <c r="K1098" t="s">
        <v>3123</v>
      </c>
      <c r="L1098">
        <v>93</v>
      </c>
      <c r="M1098" s="12" t="str" cm="1">
        <f t="array" ref="M109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098">
        <v>79</v>
      </c>
      <c r="O1098" s="13" t="str" cm="1">
        <f t="array" ref="O109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098">
        <v>86</v>
      </c>
      <c r="Q1098" s="13" t="str" cm="1">
        <f t="array" ref="Q109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098">
        <v>72</v>
      </c>
      <c r="S1098" t="str" cm="1">
        <f t="array" ref="S109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098">
        <v>89</v>
      </c>
      <c r="U1098" t="str" cm="1">
        <f t="array" ref="U109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098">
        <v>61</v>
      </c>
      <c r="W1098" t="str" cm="1">
        <f t="array" ref="W109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098">
        <v>98</v>
      </c>
      <c r="Y1098" t="str" cm="1">
        <f t="array" ref="Y109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098">
        <f>SUM(Table1[[#This Row],[Math 
Score]],Table1[[#This Row],[History 
Score]],Table1[[#This Row],[Physics 
Score]],Table1[[#This Row],[Chemistry 
Score]],Table1[[#This Row],[Biology 
Score]],Table1[[#This Row],[English 
Score]],Table1[[#This Row],[Geography 
Score]])</f>
        <v>578</v>
      </c>
      <c r="AA1098" s="3">
        <f>AVERAGE(Table1[[#This Row],[Math 
Score]],Table1[[#This Row],[History 
Score]],Table1[[#This Row],[Physics 
Score]],Table1[[#This Row],[Chemistry 
Score]],Table1[[#This Row],[Biology 
Score]],Table1[[#This Row],[English 
Score]],Table1[[#This Row],[Geography 
Score]])</f>
        <v>82.571428571428569</v>
      </c>
      <c r="AB109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098">
        <f t="shared" si="17"/>
        <v>752</v>
      </c>
      <c r="AD1098" t="str">
        <f>_xlfn.IFS(Table1[[#This Row],[Absence 
Days]]&lt;3,"Excellent",Table1[[#This Row],[Absence 
Days]]&lt;=6,"Good",Table1[[#This Row],[Absence 
Days]]&gt;6,"Poor")</f>
        <v>Good</v>
      </c>
    </row>
    <row r="1099" spans="1:30" x14ac:dyDescent="0.35">
      <c r="A1099">
        <v>1098</v>
      </c>
      <c r="B1099" s="2" t="s">
        <v>238</v>
      </c>
      <c r="C1099" t="s">
        <v>934</v>
      </c>
      <c r="D1099" t="str">
        <f>_xlfn.TEXTJOIN(" ",TRUE,Table1[[#This Row],[First 
Name]:[Last 
Name]])</f>
        <v>Sharon Chandler</v>
      </c>
      <c r="E1099" t="s">
        <v>2209</v>
      </c>
      <c r="F1099" t="s">
        <v>3245</v>
      </c>
      <c r="G1099" t="str">
        <f ca="1">PROPER(Table1[[#This Row],[Part Time 
Job]])</f>
        <v>False</v>
      </c>
      <c r="H1099" s="3">
        <v>5</v>
      </c>
      <c r="I1099" t="str">
        <f ca="1">PROPER(Table1[[#This Row],[Extracurricular 
Activities]])</f>
        <v>False</v>
      </c>
      <c r="J1099">
        <v>1</v>
      </c>
      <c r="K1099" t="s">
        <v>3126</v>
      </c>
      <c r="L1099">
        <v>86</v>
      </c>
      <c r="M1099" s="12" t="str" cm="1">
        <f t="array" ref="M109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099">
        <v>81</v>
      </c>
      <c r="O1099" s="13" t="str" cm="1">
        <f t="array" ref="O109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099">
        <v>80</v>
      </c>
      <c r="Q1099" s="13" t="str" cm="1">
        <f t="array" ref="Q109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099">
        <v>85</v>
      </c>
      <c r="S1099" t="str" cm="1">
        <f t="array" ref="S109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099">
        <v>62</v>
      </c>
      <c r="U1099" t="str" cm="1">
        <f t="array" ref="U109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099">
        <v>86</v>
      </c>
      <c r="W1099" t="str" cm="1">
        <f t="array" ref="W109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099">
        <v>69</v>
      </c>
      <c r="Y1099" t="str" cm="1">
        <f t="array" ref="Y109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099">
        <f>SUM(Table1[[#This Row],[Math 
Score]],Table1[[#This Row],[History 
Score]],Table1[[#This Row],[Physics 
Score]],Table1[[#This Row],[Chemistry 
Score]],Table1[[#This Row],[Biology 
Score]],Table1[[#This Row],[English 
Score]],Table1[[#This Row],[Geography 
Score]])</f>
        <v>549</v>
      </c>
      <c r="AA1099" s="3">
        <f>AVERAGE(Table1[[#This Row],[Math 
Score]],Table1[[#This Row],[History 
Score]],Table1[[#This Row],[Physics 
Score]],Table1[[#This Row],[Chemistry 
Score]],Table1[[#This Row],[Biology 
Score]],Table1[[#This Row],[English 
Score]],Table1[[#This Row],[Geography 
Score]])</f>
        <v>78.428571428571431</v>
      </c>
      <c r="AB109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099">
        <f t="shared" si="17"/>
        <v>1355</v>
      </c>
      <c r="AD1099" t="str">
        <f>_xlfn.IFS(Table1[[#This Row],[Absence 
Days]]&lt;3,"Excellent",Table1[[#This Row],[Absence 
Days]]&lt;=6,"Good",Table1[[#This Row],[Absence 
Days]]&gt;6,"Poor")</f>
        <v>Good</v>
      </c>
    </row>
    <row r="1100" spans="1:30" x14ac:dyDescent="0.35">
      <c r="A1100">
        <v>1099</v>
      </c>
      <c r="B1100" s="2" t="s">
        <v>60</v>
      </c>
      <c r="C1100" t="s">
        <v>194</v>
      </c>
      <c r="D1100" t="str">
        <f>_xlfn.TEXTJOIN(" ",TRUE,Table1[[#This Row],[First 
Name]:[Last 
Name]])</f>
        <v>Steven Allen</v>
      </c>
      <c r="E1100" t="s">
        <v>2210</v>
      </c>
      <c r="F1100" t="s">
        <v>3244</v>
      </c>
      <c r="G1100" t="str">
        <f ca="1">PROPER(Table1[[#This Row],[Part Time 
Job]])</f>
        <v>False</v>
      </c>
      <c r="H1100" s="3">
        <v>1</v>
      </c>
      <c r="I1100" t="str">
        <f ca="1">PROPER(Table1[[#This Row],[Extracurricular 
Activities]])</f>
        <v>False</v>
      </c>
      <c r="J1100">
        <v>29</v>
      </c>
      <c r="K1100" t="s">
        <v>3116</v>
      </c>
      <c r="L1100">
        <v>92</v>
      </c>
      <c r="M1100" s="12" t="str" cm="1">
        <f t="array" ref="M110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100">
        <v>61</v>
      </c>
      <c r="O1100" s="13" t="str" cm="1">
        <f t="array" ref="O110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100">
        <v>96</v>
      </c>
      <c r="Q1100" s="13" t="str" cm="1">
        <f t="array" ref="Q110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100">
        <v>79</v>
      </c>
      <c r="S1100" t="str" cm="1">
        <f t="array" ref="S110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100">
        <v>97</v>
      </c>
      <c r="U1100" t="str" cm="1">
        <f t="array" ref="U110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100">
        <v>89</v>
      </c>
      <c r="W1100" t="str" cm="1">
        <f t="array" ref="W110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100">
        <v>78</v>
      </c>
      <c r="Y1100" t="str" cm="1">
        <f t="array" ref="Y110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100">
        <f>SUM(Table1[[#This Row],[Math 
Score]],Table1[[#This Row],[History 
Score]],Table1[[#This Row],[Physics 
Score]],Table1[[#This Row],[Chemistry 
Score]],Table1[[#This Row],[Biology 
Score]],Table1[[#This Row],[English 
Score]],Table1[[#This Row],[Geography 
Score]])</f>
        <v>592</v>
      </c>
      <c r="AA1100" s="3">
        <f>AVERAGE(Table1[[#This Row],[Math 
Score]],Table1[[#This Row],[History 
Score]],Table1[[#This Row],[Physics 
Score]],Table1[[#This Row],[Chemistry 
Score]],Table1[[#This Row],[Biology 
Score]],Table1[[#This Row],[English 
Score]],Table1[[#This Row],[Geography 
Score]])</f>
        <v>84.571428571428569</v>
      </c>
      <c r="AB110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100">
        <f t="shared" si="17"/>
        <v>505</v>
      </c>
      <c r="AD1100" t="str">
        <f>_xlfn.IFS(Table1[[#This Row],[Absence 
Days]]&lt;3,"Excellent",Table1[[#This Row],[Absence 
Days]]&lt;=6,"Good",Table1[[#This Row],[Absence 
Days]]&gt;6,"Poor")</f>
        <v>Excellent</v>
      </c>
    </row>
    <row r="1101" spans="1:30" x14ac:dyDescent="0.35">
      <c r="A1101">
        <v>1100</v>
      </c>
      <c r="B1101" s="2" t="s">
        <v>154</v>
      </c>
      <c r="C1101" t="s">
        <v>608</v>
      </c>
      <c r="D1101" t="str">
        <f>_xlfn.TEXTJOIN(" ",TRUE,Table1[[#This Row],[First 
Name]:[Last 
Name]])</f>
        <v>Douglas Robertson</v>
      </c>
      <c r="E1101" t="s">
        <v>2211</v>
      </c>
      <c r="F1101" t="s">
        <v>3244</v>
      </c>
      <c r="G1101" t="str">
        <f ca="1">PROPER(Table1[[#This Row],[Part Time 
Job]])</f>
        <v>False</v>
      </c>
      <c r="H1101" s="3">
        <v>5</v>
      </c>
      <c r="I1101" t="str">
        <f ca="1">PROPER(Table1[[#This Row],[Extracurricular 
Activities]])</f>
        <v>False</v>
      </c>
      <c r="J1101">
        <v>34</v>
      </c>
      <c r="K1101" t="s">
        <v>3117</v>
      </c>
      <c r="L1101">
        <v>90</v>
      </c>
      <c r="M1101" s="12" t="str" cm="1">
        <f t="array" ref="M110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101">
        <v>91</v>
      </c>
      <c r="O1101" s="13" t="str" cm="1">
        <f t="array" ref="O110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101">
        <v>61</v>
      </c>
      <c r="Q1101" s="13" t="str" cm="1">
        <f t="array" ref="Q110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101">
        <v>72</v>
      </c>
      <c r="S1101" t="str" cm="1">
        <f t="array" ref="S110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101">
        <v>64</v>
      </c>
      <c r="U1101" t="str" cm="1">
        <f t="array" ref="U110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101">
        <v>84</v>
      </c>
      <c r="W1101" t="str" cm="1">
        <f t="array" ref="W110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101">
        <v>72</v>
      </c>
      <c r="Y1101" t="str" cm="1">
        <f t="array" ref="Y110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101">
        <f>SUM(Table1[[#This Row],[Math 
Score]],Table1[[#This Row],[History 
Score]],Table1[[#This Row],[Physics 
Score]],Table1[[#This Row],[Chemistry 
Score]],Table1[[#This Row],[Biology 
Score]],Table1[[#This Row],[English 
Score]],Table1[[#This Row],[Geography 
Score]])</f>
        <v>534</v>
      </c>
      <c r="AA1101" s="3">
        <f>AVERAGE(Table1[[#This Row],[Math 
Score]],Table1[[#This Row],[History 
Score]],Table1[[#This Row],[Physics 
Score]],Table1[[#This Row],[Chemistry 
Score]],Table1[[#This Row],[Biology 
Score]],Table1[[#This Row],[English 
Score]],Table1[[#This Row],[Geography 
Score]])</f>
        <v>76.285714285714292</v>
      </c>
      <c r="AB110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101">
        <f t="shared" si="17"/>
        <v>1595</v>
      </c>
      <c r="AD1101" t="str">
        <f>_xlfn.IFS(Table1[[#This Row],[Absence 
Days]]&lt;3,"Excellent",Table1[[#This Row],[Absence 
Days]]&lt;=6,"Good",Table1[[#This Row],[Absence 
Days]]&gt;6,"Poor")</f>
        <v>Good</v>
      </c>
    </row>
    <row r="1102" spans="1:30" x14ac:dyDescent="0.35">
      <c r="A1102">
        <v>1101</v>
      </c>
      <c r="B1102" s="2" t="s">
        <v>181</v>
      </c>
      <c r="C1102" t="s">
        <v>935</v>
      </c>
      <c r="D1102" t="str">
        <f>_xlfn.TEXTJOIN(" ",TRUE,Table1[[#This Row],[First 
Name]:[Last 
Name]])</f>
        <v>Sabrina Zavala</v>
      </c>
      <c r="E1102" t="s">
        <v>2212</v>
      </c>
      <c r="F1102" t="s">
        <v>3245</v>
      </c>
      <c r="G1102" t="str">
        <f ca="1">PROPER(Table1[[#This Row],[Part Time 
Job]])</f>
        <v>False</v>
      </c>
      <c r="H1102" s="3">
        <v>1</v>
      </c>
      <c r="I1102" t="str">
        <f ca="1">PROPER(Table1[[#This Row],[Extracurricular 
Activities]])</f>
        <v>False</v>
      </c>
      <c r="J1102">
        <v>31</v>
      </c>
      <c r="K1102" t="s">
        <v>3120</v>
      </c>
      <c r="L1102">
        <v>92</v>
      </c>
      <c r="M1102" s="12" t="str" cm="1">
        <f t="array" ref="M110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102">
        <v>78</v>
      </c>
      <c r="O1102" s="13" t="str" cm="1">
        <f t="array" ref="O110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102">
        <v>96</v>
      </c>
      <c r="Q1102" s="13" t="str" cm="1">
        <f t="array" ref="Q110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102">
        <v>91</v>
      </c>
      <c r="S1102" t="str" cm="1">
        <f t="array" ref="S110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102">
        <v>82</v>
      </c>
      <c r="U1102" t="str" cm="1">
        <f t="array" ref="U110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102">
        <v>98</v>
      </c>
      <c r="W1102" t="str" cm="1">
        <f t="array" ref="W110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102">
        <v>100</v>
      </c>
      <c r="Y1102" t="str" cm="1">
        <f t="array" ref="Y110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102">
        <f>SUM(Table1[[#This Row],[Math 
Score]],Table1[[#This Row],[History 
Score]],Table1[[#This Row],[Physics 
Score]],Table1[[#This Row],[Chemistry 
Score]],Table1[[#This Row],[Biology 
Score]],Table1[[#This Row],[English 
Score]],Table1[[#This Row],[Geography 
Score]])</f>
        <v>637</v>
      </c>
      <c r="AA1102" s="3">
        <f>AVERAGE(Table1[[#This Row],[Math 
Score]],Table1[[#This Row],[History 
Score]],Table1[[#This Row],[Physics 
Score]],Table1[[#This Row],[Chemistry 
Score]],Table1[[#This Row],[Biology 
Score]],Table1[[#This Row],[English 
Score]],Table1[[#This Row],[Geography 
Score]])</f>
        <v>91</v>
      </c>
      <c r="AB110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102">
        <f t="shared" si="17"/>
        <v>115</v>
      </c>
      <c r="AD1102" t="str">
        <f>_xlfn.IFS(Table1[[#This Row],[Absence 
Days]]&lt;3,"Excellent",Table1[[#This Row],[Absence 
Days]]&lt;=6,"Good",Table1[[#This Row],[Absence 
Days]]&gt;6,"Poor")</f>
        <v>Excellent</v>
      </c>
    </row>
    <row r="1103" spans="1:30" x14ac:dyDescent="0.35">
      <c r="A1103">
        <v>1102</v>
      </c>
      <c r="B1103" s="2" t="s">
        <v>247</v>
      </c>
      <c r="C1103" t="s">
        <v>936</v>
      </c>
      <c r="D1103" t="str">
        <f>_xlfn.TEXTJOIN(" ",TRUE,Table1[[#This Row],[First 
Name]:[Last 
Name]])</f>
        <v>Corey Merritt</v>
      </c>
      <c r="E1103" t="s">
        <v>2213</v>
      </c>
      <c r="F1103" t="s">
        <v>3244</v>
      </c>
      <c r="G1103" t="str">
        <f ca="1">PROPER(Table1[[#This Row],[Part Time 
Job]])</f>
        <v>False</v>
      </c>
      <c r="H1103" s="3">
        <v>2</v>
      </c>
      <c r="I1103" t="str">
        <f ca="1">PROPER(Table1[[#This Row],[Extracurricular 
Activities]])</f>
        <v>False</v>
      </c>
      <c r="J1103">
        <v>14</v>
      </c>
      <c r="K1103" t="s">
        <v>3123</v>
      </c>
      <c r="L1103">
        <v>90</v>
      </c>
      <c r="M1103" s="12" t="str" cm="1">
        <f t="array" ref="M110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103">
        <v>88</v>
      </c>
      <c r="O1103" s="13" t="str" cm="1">
        <f t="array" ref="O110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103">
        <v>71</v>
      </c>
      <c r="Q1103" s="13" t="str" cm="1">
        <f t="array" ref="Q110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103">
        <v>96</v>
      </c>
      <c r="S1103" t="str" cm="1">
        <f t="array" ref="S110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103">
        <v>72</v>
      </c>
      <c r="U1103" t="str" cm="1">
        <f t="array" ref="U110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103">
        <v>74</v>
      </c>
      <c r="W1103" t="str" cm="1">
        <f t="array" ref="W110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103">
        <v>80</v>
      </c>
      <c r="Y1103" t="str" cm="1">
        <f t="array" ref="Y110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103">
        <f>SUM(Table1[[#This Row],[Math 
Score]],Table1[[#This Row],[History 
Score]],Table1[[#This Row],[Physics 
Score]],Table1[[#This Row],[Chemistry 
Score]],Table1[[#This Row],[Biology 
Score]],Table1[[#This Row],[English 
Score]],Table1[[#This Row],[Geography 
Score]])</f>
        <v>571</v>
      </c>
      <c r="AA1103" s="3">
        <f>AVERAGE(Table1[[#This Row],[Math 
Score]],Table1[[#This Row],[History 
Score]],Table1[[#This Row],[Physics 
Score]],Table1[[#This Row],[Chemistry 
Score]],Table1[[#This Row],[Biology 
Score]],Table1[[#This Row],[English 
Score]],Table1[[#This Row],[Geography 
Score]])</f>
        <v>81.571428571428569</v>
      </c>
      <c r="AB110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103">
        <f t="shared" si="17"/>
        <v>915</v>
      </c>
      <c r="AD1103" t="str">
        <f>_xlfn.IFS(Table1[[#This Row],[Absence 
Days]]&lt;3,"Excellent",Table1[[#This Row],[Absence 
Days]]&lt;=6,"Good",Table1[[#This Row],[Absence 
Days]]&gt;6,"Poor")</f>
        <v>Excellent</v>
      </c>
    </row>
    <row r="1104" spans="1:30" x14ac:dyDescent="0.35">
      <c r="A1104">
        <v>1103</v>
      </c>
      <c r="B1104" s="2" t="s">
        <v>50</v>
      </c>
      <c r="C1104" t="s">
        <v>937</v>
      </c>
      <c r="D1104" t="str">
        <f>_xlfn.TEXTJOIN(" ",TRUE,Table1[[#This Row],[First 
Name]:[Last 
Name]])</f>
        <v>Jennifer Salas</v>
      </c>
      <c r="E1104" t="s">
        <v>2214</v>
      </c>
      <c r="F1104" t="s">
        <v>3245</v>
      </c>
      <c r="G1104" t="str">
        <f ca="1">PROPER(Table1[[#This Row],[Part Time 
Job]])</f>
        <v>False</v>
      </c>
      <c r="H1104" s="3">
        <v>6</v>
      </c>
      <c r="I1104" t="str">
        <f ca="1">PROPER(Table1[[#This Row],[Extracurricular 
Activities]])</f>
        <v>True</v>
      </c>
      <c r="J1104">
        <v>32</v>
      </c>
      <c r="K1104" t="s">
        <v>3112</v>
      </c>
      <c r="L1104">
        <v>78</v>
      </c>
      <c r="M1104" s="12" t="str" cm="1">
        <f t="array" ref="M110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104">
        <v>92</v>
      </c>
      <c r="O1104" s="13" t="str" cm="1">
        <f t="array" ref="O110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104">
        <v>77</v>
      </c>
      <c r="Q1104" s="13" t="str" cm="1">
        <f t="array" ref="Q110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104">
        <v>100</v>
      </c>
      <c r="S1104" t="str" cm="1">
        <f t="array" ref="S110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104">
        <v>61</v>
      </c>
      <c r="U1104" t="str" cm="1">
        <f t="array" ref="U110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104">
        <v>82</v>
      </c>
      <c r="W1104" t="str" cm="1">
        <f t="array" ref="W110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104">
        <v>61</v>
      </c>
      <c r="Y1104" t="str" cm="1">
        <f t="array" ref="Y110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104">
        <f>SUM(Table1[[#This Row],[Math 
Score]],Table1[[#This Row],[History 
Score]],Table1[[#This Row],[Physics 
Score]],Table1[[#This Row],[Chemistry 
Score]],Table1[[#This Row],[Biology 
Score]],Table1[[#This Row],[English 
Score]],Table1[[#This Row],[Geography 
Score]])</f>
        <v>551</v>
      </c>
      <c r="AA1104" s="3">
        <f>AVERAGE(Table1[[#This Row],[Math 
Score]],Table1[[#This Row],[History 
Score]],Table1[[#This Row],[Physics 
Score]],Table1[[#This Row],[Chemistry 
Score]],Table1[[#This Row],[Biology 
Score]],Table1[[#This Row],[English 
Score]],Table1[[#This Row],[Geography 
Score]])</f>
        <v>78.714285714285708</v>
      </c>
      <c r="AB110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104">
        <f t="shared" si="17"/>
        <v>1317</v>
      </c>
      <c r="AD1104" t="str">
        <f>_xlfn.IFS(Table1[[#This Row],[Absence 
Days]]&lt;3,"Excellent",Table1[[#This Row],[Absence 
Days]]&lt;=6,"Good",Table1[[#This Row],[Absence 
Days]]&gt;6,"Poor")</f>
        <v>Good</v>
      </c>
    </row>
    <row r="1105" spans="1:30" x14ac:dyDescent="0.35">
      <c r="A1105">
        <v>1104</v>
      </c>
      <c r="B1105" s="2" t="s">
        <v>124</v>
      </c>
      <c r="C1105" t="s">
        <v>668</v>
      </c>
      <c r="D1105" t="str">
        <f>_xlfn.TEXTJOIN(" ",TRUE,Table1[[#This Row],[First 
Name]:[Last 
Name]])</f>
        <v>John Klein</v>
      </c>
      <c r="E1105" t="s">
        <v>2215</v>
      </c>
      <c r="F1105" t="s">
        <v>3244</v>
      </c>
      <c r="G1105" t="str">
        <f ca="1">PROPER(Table1[[#This Row],[Part Time 
Job]])</f>
        <v>False</v>
      </c>
      <c r="H1105" s="3">
        <v>10</v>
      </c>
      <c r="I1105" t="str">
        <f ca="1">PROPER(Table1[[#This Row],[Extracurricular 
Activities]])</f>
        <v>False</v>
      </c>
      <c r="J1105">
        <v>5</v>
      </c>
      <c r="K1105" t="s">
        <v>3119</v>
      </c>
      <c r="L1105">
        <v>82</v>
      </c>
      <c r="M1105" s="12" t="str" cm="1">
        <f t="array" ref="M110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105">
        <v>58</v>
      </c>
      <c r="O1105" s="13" t="str" cm="1">
        <f t="array" ref="O110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C</v>
      </c>
      <c r="P1105">
        <v>58</v>
      </c>
      <c r="Q1105" s="13" t="str" cm="1">
        <f t="array" ref="Q110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C</v>
      </c>
      <c r="R1105">
        <v>91</v>
      </c>
      <c r="S1105" t="str" cm="1">
        <f t="array" ref="S110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105">
        <v>91</v>
      </c>
      <c r="U1105" t="str" cm="1">
        <f t="array" ref="U110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105">
        <v>55</v>
      </c>
      <c r="W1105" t="str" cm="1">
        <f t="array" ref="W110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C</v>
      </c>
      <c r="X1105">
        <v>98</v>
      </c>
      <c r="Y1105" t="str" cm="1">
        <f t="array" ref="Y110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105">
        <f>SUM(Table1[[#This Row],[Math 
Score]],Table1[[#This Row],[History 
Score]],Table1[[#This Row],[Physics 
Score]],Table1[[#This Row],[Chemistry 
Score]],Table1[[#This Row],[Biology 
Score]],Table1[[#This Row],[English 
Score]],Table1[[#This Row],[Geography 
Score]])</f>
        <v>533</v>
      </c>
      <c r="AA1105" s="3">
        <f>AVERAGE(Table1[[#This Row],[Math 
Score]],Table1[[#This Row],[History 
Score]],Table1[[#This Row],[Physics 
Score]],Table1[[#This Row],[Chemistry 
Score]],Table1[[#This Row],[Biology 
Score]],Table1[[#This Row],[English 
Score]],Table1[[#This Row],[Geography 
Score]])</f>
        <v>76.142857142857139</v>
      </c>
      <c r="AB110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105">
        <f t="shared" si="17"/>
        <v>1613</v>
      </c>
      <c r="AD1105" t="str">
        <f>_xlfn.IFS(Table1[[#This Row],[Absence 
Days]]&lt;3,"Excellent",Table1[[#This Row],[Absence 
Days]]&lt;=6,"Good",Table1[[#This Row],[Absence 
Days]]&gt;6,"Poor")</f>
        <v>Poor</v>
      </c>
    </row>
    <row r="1106" spans="1:30" x14ac:dyDescent="0.35">
      <c r="A1106">
        <v>1105</v>
      </c>
      <c r="B1106" s="2" t="s">
        <v>129</v>
      </c>
      <c r="C1106" t="s">
        <v>358</v>
      </c>
      <c r="D1106" t="str">
        <f>_xlfn.TEXTJOIN(" ",TRUE,Table1[[#This Row],[First 
Name]:[Last 
Name]])</f>
        <v>Rachel Grant</v>
      </c>
      <c r="E1106" t="s">
        <v>2216</v>
      </c>
      <c r="F1106" t="s">
        <v>3245</v>
      </c>
      <c r="G1106" t="str">
        <f ca="1">PROPER(Table1[[#This Row],[Part Time 
Job]])</f>
        <v>False</v>
      </c>
      <c r="H1106" s="3">
        <v>5</v>
      </c>
      <c r="I1106" t="str">
        <f ca="1">PROPER(Table1[[#This Row],[Extracurricular 
Activities]])</f>
        <v>False</v>
      </c>
      <c r="J1106">
        <v>33</v>
      </c>
      <c r="K1106" t="s">
        <v>3117</v>
      </c>
      <c r="L1106">
        <v>86</v>
      </c>
      <c r="M1106" s="12" t="str" cm="1">
        <f t="array" ref="M110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106">
        <v>62</v>
      </c>
      <c r="O1106" s="13" t="str" cm="1">
        <f t="array" ref="O110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106">
        <v>81</v>
      </c>
      <c r="Q1106" s="13" t="str" cm="1">
        <f t="array" ref="Q110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106">
        <v>63</v>
      </c>
      <c r="S1106" t="str" cm="1">
        <f t="array" ref="S110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106">
        <v>75</v>
      </c>
      <c r="U1106" t="str" cm="1">
        <f t="array" ref="U110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106">
        <v>92</v>
      </c>
      <c r="W1106" t="str" cm="1">
        <f t="array" ref="W110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106">
        <v>95</v>
      </c>
      <c r="Y1106" t="str" cm="1">
        <f t="array" ref="Y110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106">
        <f>SUM(Table1[[#This Row],[Math 
Score]],Table1[[#This Row],[History 
Score]],Table1[[#This Row],[Physics 
Score]],Table1[[#This Row],[Chemistry 
Score]],Table1[[#This Row],[Biology 
Score]],Table1[[#This Row],[English 
Score]],Table1[[#This Row],[Geography 
Score]])</f>
        <v>554</v>
      </c>
      <c r="AA1106" s="3">
        <f>AVERAGE(Table1[[#This Row],[Math 
Score]],Table1[[#This Row],[History 
Score]],Table1[[#This Row],[Physics 
Score]],Table1[[#This Row],[Chemistry 
Score]],Table1[[#This Row],[Biology 
Score]],Table1[[#This Row],[English 
Score]],Table1[[#This Row],[Geography 
Score]])</f>
        <v>79.142857142857139</v>
      </c>
      <c r="AB110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106">
        <f t="shared" si="17"/>
        <v>1264</v>
      </c>
      <c r="AD1106" t="str">
        <f>_xlfn.IFS(Table1[[#This Row],[Absence 
Days]]&lt;3,"Excellent",Table1[[#This Row],[Absence 
Days]]&lt;=6,"Good",Table1[[#This Row],[Absence 
Days]]&gt;6,"Poor")</f>
        <v>Good</v>
      </c>
    </row>
    <row r="1107" spans="1:30" x14ac:dyDescent="0.35">
      <c r="A1107">
        <v>1106</v>
      </c>
      <c r="B1107" s="2" t="s">
        <v>283</v>
      </c>
      <c r="C1107" t="s">
        <v>938</v>
      </c>
      <c r="D1107" t="str">
        <f>_xlfn.TEXTJOIN(" ",TRUE,Table1[[#This Row],[First 
Name]:[Last 
Name]])</f>
        <v>Jose Wood</v>
      </c>
      <c r="E1107" t="s">
        <v>2217</v>
      </c>
      <c r="F1107" t="s">
        <v>3244</v>
      </c>
      <c r="G1107" t="str">
        <f ca="1">PROPER(Table1[[#This Row],[Part Time 
Job]])</f>
        <v>False</v>
      </c>
      <c r="H1107" s="3">
        <v>1</v>
      </c>
      <c r="I1107" t="str">
        <f ca="1">PROPER(Table1[[#This Row],[Extracurricular 
Activities]])</f>
        <v>False</v>
      </c>
      <c r="J1107">
        <v>32</v>
      </c>
      <c r="K1107" t="s">
        <v>3120</v>
      </c>
      <c r="L1107">
        <v>83</v>
      </c>
      <c r="M1107" s="12" t="str" cm="1">
        <f t="array" ref="M110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107">
        <v>63</v>
      </c>
      <c r="O1107" s="13" t="str" cm="1">
        <f t="array" ref="O110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107">
        <v>93</v>
      </c>
      <c r="Q1107" s="13" t="str" cm="1">
        <f t="array" ref="Q110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107">
        <v>94</v>
      </c>
      <c r="S1107" t="str" cm="1">
        <f t="array" ref="S110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107">
        <v>93</v>
      </c>
      <c r="U1107" t="str" cm="1">
        <f t="array" ref="U110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107">
        <v>90</v>
      </c>
      <c r="W1107" t="str" cm="1">
        <f t="array" ref="W110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107">
        <v>78</v>
      </c>
      <c r="Y1107" t="str" cm="1">
        <f t="array" ref="Y110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107">
        <f>SUM(Table1[[#This Row],[Math 
Score]],Table1[[#This Row],[History 
Score]],Table1[[#This Row],[Physics 
Score]],Table1[[#This Row],[Chemistry 
Score]],Table1[[#This Row],[Biology 
Score]],Table1[[#This Row],[English 
Score]],Table1[[#This Row],[Geography 
Score]])</f>
        <v>594</v>
      </c>
      <c r="AA1107" s="3">
        <f>AVERAGE(Table1[[#This Row],[Math 
Score]],Table1[[#This Row],[History 
Score]],Table1[[#This Row],[Physics 
Score]],Table1[[#This Row],[Chemistry 
Score]],Table1[[#This Row],[Biology 
Score]],Table1[[#This Row],[English 
Score]],Table1[[#This Row],[Geography 
Score]])</f>
        <v>84.857142857142861</v>
      </c>
      <c r="AB110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107">
        <f t="shared" si="17"/>
        <v>479</v>
      </c>
      <c r="AD1107" t="str">
        <f>_xlfn.IFS(Table1[[#This Row],[Absence 
Days]]&lt;3,"Excellent",Table1[[#This Row],[Absence 
Days]]&lt;=6,"Good",Table1[[#This Row],[Absence 
Days]]&gt;6,"Poor")</f>
        <v>Excellent</v>
      </c>
    </row>
    <row r="1108" spans="1:30" x14ac:dyDescent="0.35">
      <c r="A1108">
        <v>1107</v>
      </c>
      <c r="B1108" s="2" t="s">
        <v>54</v>
      </c>
      <c r="C1108" t="s">
        <v>888</v>
      </c>
      <c r="D1108" t="str">
        <f>_xlfn.TEXTJOIN(" ",TRUE,Table1[[#This Row],[First 
Name]:[Last 
Name]])</f>
        <v>Michelle Mcdonald</v>
      </c>
      <c r="E1108" t="s">
        <v>2218</v>
      </c>
      <c r="F1108" t="s">
        <v>3245</v>
      </c>
      <c r="G1108" t="str">
        <f ca="1">PROPER(Table1[[#This Row],[Part Time 
Job]])</f>
        <v>False</v>
      </c>
      <c r="H1108" s="3">
        <v>0</v>
      </c>
      <c r="I1108" t="str">
        <f ca="1">PROPER(Table1[[#This Row],[Extracurricular 
Activities]])</f>
        <v>False</v>
      </c>
      <c r="J1108">
        <v>11</v>
      </c>
      <c r="K1108" t="s">
        <v>3118</v>
      </c>
      <c r="L1108">
        <v>69</v>
      </c>
      <c r="M1108" s="12" t="str" cm="1">
        <f t="array" ref="M1108">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108">
        <v>85</v>
      </c>
      <c r="O1108" s="13" t="str" cm="1">
        <f t="array" ref="O110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108">
        <v>70</v>
      </c>
      <c r="Q1108" s="13" t="str" cm="1">
        <f t="array" ref="Q110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108">
        <v>79</v>
      </c>
      <c r="S1108" t="str" cm="1">
        <f t="array" ref="S110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108">
        <v>68</v>
      </c>
      <c r="U1108" t="str" cm="1">
        <f t="array" ref="U110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108">
        <v>81</v>
      </c>
      <c r="W1108" t="str" cm="1">
        <f t="array" ref="W110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108">
        <v>89</v>
      </c>
      <c r="Y1108" t="str" cm="1">
        <f t="array" ref="Y110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108">
        <f>SUM(Table1[[#This Row],[Math 
Score]],Table1[[#This Row],[History 
Score]],Table1[[#This Row],[Physics 
Score]],Table1[[#This Row],[Chemistry 
Score]],Table1[[#This Row],[Biology 
Score]],Table1[[#This Row],[English 
Score]],Table1[[#This Row],[Geography 
Score]])</f>
        <v>541</v>
      </c>
      <c r="AA1108" s="3">
        <f>AVERAGE(Table1[[#This Row],[Math 
Score]],Table1[[#This Row],[History 
Score]],Table1[[#This Row],[Physics 
Score]],Table1[[#This Row],[Chemistry 
Score]],Table1[[#This Row],[Biology 
Score]],Table1[[#This Row],[English 
Score]],Table1[[#This Row],[Geography 
Score]])</f>
        <v>77.285714285714292</v>
      </c>
      <c r="AB110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108">
        <f t="shared" si="17"/>
        <v>1493</v>
      </c>
      <c r="AD1108" t="str">
        <f>_xlfn.IFS(Table1[[#This Row],[Absence 
Days]]&lt;3,"Excellent",Table1[[#This Row],[Absence 
Days]]&lt;=6,"Good",Table1[[#This Row],[Absence 
Days]]&gt;6,"Poor")</f>
        <v>Excellent</v>
      </c>
    </row>
    <row r="1109" spans="1:30" x14ac:dyDescent="0.35">
      <c r="A1109">
        <v>1108</v>
      </c>
      <c r="B1109" s="2" t="s">
        <v>80</v>
      </c>
      <c r="C1109" t="s">
        <v>6</v>
      </c>
      <c r="D1109" t="str">
        <f>_xlfn.TEXTJOIN(" ",TRUE,Table1[[#This Row],[First 
Name]:[Last 
Name]])</f>
        <v>Thomas George</v>
      </c>
      <c r="E1109" t="s">
        <v>2219</v>
      </c>
      <c r="F1109" t="s">
        <v>3244</v>
      </c>
      <c r="G1109" t="str">
        <f ca="1">PROPER(Table1[[#This Row],[Part Time 
Job]])</f>
        <v>False</v>
      </c>
      <c r="H1109" s="3">
        <v>0</v>
      </c>
      <c r="I1109" t="str">
        <f ca="1">PROPER(Table1[[#This Row],[Extracurricular 
Activities]])</f>
        <v>False</v>
      </c>
      <c r="J1109">
        <v>12</v>
      </c>
      <c r="K1109" t="s">
        <v>3121</v>
      </c>
      <c r="L1109">
        <v>83</v>
      </c>
      <c r="M1109" s="12" t="str" cm="1">
        <f t="array" ref="M110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109">
        <v>81</v>
      </c>
      <c r="O1109" s="13" t="str" cm="1">
        <f t="array" ref="O110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109">
        <v>96</v>
      </c>
      <c r="Q1109" s="13" t="str" cm="1">
        <f t="array" ref="Q110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109">
        <v>96</v>
      </c>
      <c r="S1109" t="str" cm="1">
        <f t="array" ref="S110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109">
        <v>62</v>
      </c>
      <c r="U1109" t="str" cm="1">
        <f t="array" ref="U110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109">
        <v>82</v>
      </c>
      <c r="W1109" t="str" cm="1">
        <f t="array" ref="W110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109">
        <v>77</v>
      </c>
      <c r="Y1109" t="str" cm="1">
        <f t="array" ref="Y110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109">
        <f>SUM(Table1[[#This Row],[Math 
Score]],Table1[[#This Row],[History 
Score]],Table1[[#This Row],[Physics 
Score]],Table1[[#This Row],[Chemistry 
Score]],Table1[[#This Row],[Biology 
Score]],Table1[[#This Row],[English 
Score]],Table1[[#This Row],[Geography 
Score]])</f>
        <v>577</v>
      </c>
      <c r="AA1109" s="3">
        <f>AVERAGE(Table1[[#This Row],[Math 
Score]],Table1[[#This Row],[History 
Score]],Table1[[#This Row],[Physics 
Score]],Table1[[#This Row],[Chemistry 
Score]],Table1[[#This Row],[Biology 
Score]],Table1[[#This Row],[English 
Score]],Table1[[#This Row],[Geography 
Score]])</f>
        <v>82.428571428571431</v>
      </c>
      <c r="AB110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109">
        <f t="shared" si="17"/>
        <v>769</v>
      </c>
      <c r="AD1109" t="str">
        <f>_xlfn.IFS(Table1[[#This Row],[Absence 
Days]]&lt;3,"Excellent",Table1[[#This Row],[Absence 
Days]]&lt;=6,"Good",Table1[[#This Row],[Absence 
Days]]&gt;6,"Poor")</f>
        <v>Excellent</v>
      </c>
    </row>
    <row r="1110" spans="1:30" x14ac:dyDescent="0.35">
      <c r="A1110">
        <v>1109</v>
      </c>
      <c r="B1110" s="2" t="s">
        <v>70</v>
      </c>
      <c r="C1110" t="s">
        <v>614</v>
      </c>
      <c r="D1110" t="str">
        <f>_xlfn.TEXTJOIN(" ",TRUE,Table1[[#This Row],[First 
Name]:[Last 
Name]])</f>
        <v>Charles Torres</v>
      </c>
      <c r="E1110" t="s">
        <v>2220</v>
      </c>
      <c r="F1110" t="s">
        <v>3244</v>
      </c>
      <c r="G1110" t="str">
        <f ca="1">PROPER(Table1[[#This Row],[Part Time 
Job]])</f>
        <v>False</v>
      </c>
      <c r="H1110" s="3">
        <v>2</v>
      </c>
      <c r="I1110" t="str">
        <f ca="1">PROPER(Table1[[#This Row],[Extracurricular 
Activities]])</f>
        <v>False</v>
      </c>
      <c r="J1110">
        <v>24</v>
      </c>
      <c r="K1110" t="s">
        <v>3121</v>
      </c>
      <c r="L1110">
        <v>84</v>
      </c>
      <c r="M1110" s="12" t="str" cm="1">
        <f t="array" ref="M111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110">
        <v>63</v>
      </c>
      <c r="O1110" s="13" t="str" cm="1">
        <f t="array" ref="O111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110">
        <v>98</v>
      </c>
      <c r="Q1110" s="13" t="str" cm="1">
        <f t="array" ref="Q111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110">
        <v>70</v>
      </c>
      <c r="S1110" t="str" cm="1">
        <f t="array" ref="S111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110">
        <v>92</v>
      </c>
      <c r="U1110" t="str" cm="1">
        <f t="array" ref="U111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110">
        <v>78</v>
      </c>
      <c r="W1110" t="str" cm="1">
        <f t="array" ref="W111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110">
        <v>93</v>
      </c>
      <c r="Y1110" t="str" cm="1">
        <f t="array" ref="Y111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110">
        <f>SUM(Table1[[#This Row],[Math 
Score]],Table1[[#This Row],[History 
Score]],Table1[[#This Row],[Physics 
Score]],Table1[[#This Row],[Chemistry 
Score]],Table1[[#This Row],[Biology 
Score]],Table1[[#This Row],[English 
Score]],Table1[[#This Row],[Geography 
Score]])</f>
        <v>578</v>
      </c>
      <c r="AA1110" s="3">
        <f>AVERAGE(Table1[[#This Row],[Math 
Score]],Table1[[#This Row],[History 
Score]],Table1[[#This Row],[Physics 
Score]],Table1[[#This Row],[Chemistry 
Score]],Table1[[#This Row],[Biology 
Score]],Table1[[#This Row],[English 
Score]],Table1[[#This Row],[Geography 
Score]])</f>
        <v>82.571428571428569</v>
      </c>
      <c r="AB111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110">
        <f t="shared" si="17"/>
        <v>752</v>
      </c>
      <c r="AD1110" t="str">
        <f>_xlfn.IFS(Table1[[#This Row],[Absence 
Days]]&lt;3,"Excellent",Table1[[#This Row],[Absence 
Days]]&lt;=6,"Good",Table1[[#This Row],[Absence 
Days]]&gt;6,"Poor")</f>
        <v>Excellent</v>
      </c>
    </row>
    <row r="1111" spans="1:30" x14ac:dyDescent="0.35">
      <c r="A1111">
        <v>1110</v>
      </c>
      <c r="B1111" s="2" t="s">
        <v>17</v>
      </c>
      <c r="C1111" t="s">
        <v>939</v>
      </c>
      <c r="D1111" t="str">
        <f>_xlfn.TEXTJOIN(" ",TRUE,Table1[[#This Row],[First 
Name]:[Last 
Name]])</f>
        <v>Jonathan Finley</v>
      </c>
      <c r="E1111" t="s">
        <v>2221</v>
      </c>
      <c r="F1111" t="s">
        <v>3244</v>
      </c>
      <c r="G1111" t="str">
        <f ca="1">PROPER(Table1[[#This Row],[Part Time 
Job]])</f>
        <v>False</v>
      </c>
      <c r="H1111" s="3">
        <v>2</v>
      </c>
      <c r="I1111" t="str">
        <f ca="1">PROPER(Table1[[#This Row],[Extracurricular 
Activities]])</f>
        <v>True</v>
      </c>
      <c r="J1111">
        <v>29</v>
      </c>
      <c r="K1111" t="s">
        <v>3121</v>
      </c>
      <c r="L1111">
        <v>89</v>
      </c>
      <c r="M1111" s="12" t="str" cm="1">
        <f t="array" ref="M111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111">
        <v>71</v>
      </c>
      <c r="O1111" s="13" t="str" cm="1">
        <f t="array" ref="O111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111">
        <v>77</v>
      </c>
      <c r="Q1111" s="13" t="str" cm="1">
        <f t="array" ref="Q111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111">
        <v>88</v>
      </c>
      <c r="S1111" t="str" cm="1">
        <f t="array" ref="S111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111">
        <v>66</v>
      </c>
      <c r="U1111" t="str" cm="1">
        <f t="array" ref="U111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111">
        <v>80</v>
      </c>
      <c r="W1111" t="str" cm="1">
        <f t="array" ref="W111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111">
        <v>87</v>
      </c>
      <c r="Y1111" t="str" cm="1">
        <f t="array" ref="Y111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111">
        <f>SUM(Table1[[#This Row],[Math 
Score]],Table1[[#This Row],[History 
Score]],Table1[[#This Row],[Physics 
Score]],Table1[[#This Row],[Chemistry 
Score]],Table1[[#This Row],[Biology 
Score]],Table1[[#This Row],[English 
Score]],Table1[[#This Row],[Geography 
Score]])</f>
        <v>558</v>
      </c>
      <c r="AA1111" s="3">
        <f>AVERAGE(Table1[[#This Row],[Math 
Score]],Table1[[#This Row],[History 
Score]],Table1[[#This Row],[Physics 
Score]],Table1[[#This Row],[Chemistry 
Score]],Table1[[#This Row],[Biology 
Score]],Table1[[#This Row],[English 
Score]],Table1[[#This Row],[Geography 
Score]])</f>
        <v>79.714285714285708</v>
      </c>
      <c r="AB111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111">
        <f t="shared" si="17"/>
        <v>1178</v>
      </c>
      <c r="AD1111" t="str">
        <f>_xlfn.IFS(Table1[[#This Row],[Absence 
Days]]&lt;3,"Excellent",Table1[[#This Row],[Absence 
Days]]&lt;=6,"Good",Table1[[#This Row],[Absence 
Days]]&gt;6,"Poor")</f>
        <v>Excellent</v>
      </c>
    </row>
    <row r="1112" spans="1:30" x14ac:dyDescent="0.35">
      <c r="A1112">
        <v>1111</v>
      </c>
      <c r="B1112" s="2" t="s">
        <v>201</v>
      </c>
      <c r="C1112" t="s">
        <v>826</v>
      </c>
      <c r="D1112" t="str">
        <f>_xlfn.TEXTJOIN(" ",TRUE,Table1[[#This Row],[First 
Name]:[Last 
Name]])</f>
        <v>Diana Long</v>
      </c>
      <c r="E1112" t="s">
        <v>2222</v>
      </c>
      <c r="F1112" t="s">
        <v>3245</v>
      </c>
      <c r="G1112" t="str">
        <f ca="1">PROPER(Table1[[#This Row],[Part Time 
Job]])</f>
        <v>False</v>
      </c>
      <c r="H1112" s="3">
        <v>0</v>
      </c>
      <c r="I1112" t="str">
        <f ca="1">PROPER(Table1[[#This Row],[Extracurricular 
Activities]])</f>
        <v>False</v>
      </c>
      <c r="J1112">
        <v>33</v>
      </c>
      <c r="K1112" t="s">
        <v>3123</v>
      </c>
      <c r="L1112">
        <v>77</v>
      </c>
      <c r="M1112" s="12" t="str" cm="1">
        <f t="array" ref="M111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112">
        <v>99</v>
      </c>
      <c r="O1112" s="13" t="str" cm="1">
        <f t="array" ref="O111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112">
        <v>73</v>
      </c>
      <c r="Q1112" s="13" t="str" cm="1">
        <f t="array" ref="Q111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112">
        <v>83</v>
      </c>
      <c r="S1112" t="str" cm="1">
        <f t="array" ref="S111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112">
        <v>71</v>
      </c>
      <c r="U1112" t="str" cm="1">
        <f t="array" ref="U111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112">
        <v>82</v>
      </c>
      <c r="W1112" t="str" cm="1">
        <f t="array" ref="W111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112">
        <v>80</v>
      </c>
      <c r="Y1112" t="str" cm="1">
        <f t="array" ref="Y111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112">
        <f>SUM(Table1[[#This Row],[Math 
Score]],Table1[[#This Row],[History 
Score]],Table1[[#This Row],[Physics 
Score]],Table1[[#This Row],[Chemistry 
Score]],Table1[[#This Row],[Biology 
Score]],Table1[[#This Row],[English 
Score]],Table1[[#This Row],[Geography 
Score]])</f>
        <v>565</v>
      </c>
      <c r="AA1112" s="3">
        <f>AVERAGE(Table1[[#This Row],[Math 
Score]],Table1[[#This Row],[History 
Score]],Table1[[#This Row],[Physics 
Score]],Table1[[#This Row],[Chemistry 
Score]],Table1[[#This Row],[Biology 
Score]],Table1[[#This Row],[English 
Score]],Table1[[#This Row],[Geography 
Score]])</f>
        <v>80.714285714285708</v>
      </c>
      <c r="AB111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112">
        <f t="shared" si="17"/>
        <v>1035</v>
      </c>
      <c r="AD1112" t="str">
        <f>_xlfn.IFS(Table1[[#This Row],[Absence 
Days]]&lt;3,"Excellent",Table1[[#This Row],[Absence 
Days]]&lt;=6,"Good",Table1[[#This Row],[Absence 
Days]]&gt;6,"Poor")</f>
        <v>Excellent</v>
      </c>
    </row>
    <row r="1113" spans="1:30" x14ac:dyDescent="0.35">
      <c r="A1113">
        <v>1112</v>
      </c>
      <c r="B1113" s="2" t="s">
        <v>17</v>
      </c>
      <c r="C1113" t="s">
        <v>592</v>
      </c>
      <c r="D1113" t="str">
        <f>_xlfn.TEXTJOIN(" ",TRUE,Table1[[#This Row],[First 
Name]:[Last 
Name]])</f>
        <v>Jonathan Johnson</v>
      </c>
      <c r="E1113" t="s">
        <v>2223</v>
      </c>
      <c r="F1113" t="s">
        <v>3244</v>
      </c>
      <c r="G1113" t="str">
        <f ca="1">PROPER(Table1[[#This Row],[Part Time 
Job]])</f>
        <v>False</v>
      </c>
      <c r="H1113" s="3">
        <v>0</v>
      </c>
      <c r="I1113" t="str">
        <f ca="1">PROPER(Table1[[#This Row],[Extracurricular 
Activities]])</f>
        <v>False</v>
      </c>
      <c r="J1113">
        <v>13</v>
      </c>
      <c r="K1113" t="s">
        <v>3125</v>
      </c>
      <c r="L1113">
        <v>94</v>
      </c>
      <c r="M1113" s="12" t="str" cm="1">
        <f t="array" ref="M111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113">
        <v>88</v>
      </c>
      <c r="O1113" s="13" t="str" cm="1">
        <f t="array" ref="O111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113">
        <v>98</v>
      </c>
      <c r="Q1113" s="13" t="str" cm="1">
        <f t="array" ref="Q111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113">
        <v>64</v>
      </c>
      <c r="S1113" t="str" cm="1">
        <f t="array" ref="S111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113">
        <v>99</v>
      </c>
      <c r="U1113" t="str" cm="1">
        <f t="array" ref="U111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113">
        <v>98</v>
      </c>
      <c r="W1113" t="str" cm="1">
        <f t="array" ref="W111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113">
        <v>96</v>
      </c>
      <c r="Y1113" t="str" cm="1">
        <f t="array" ref="Y111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113">
        <f>SUM(Table1[[#This Row],[Math 
Score]],Table1[[#This Row],[History 
Score]],Table1[[#This Row],[Physics 
Score]],Table1[[#This Row],[Chemistry 
Score]],Table1[[#This Row],[Biology 
Score]],Table1[[#This Row],[English 
Score]],Table1[[#This Row],[Geography 
Score]])</f>
        <v>637</v>
      </c>
      <c r="AA1113" s="3">
        <f>AVERAGE(Table1[[#This Row],[Math 
Score]],Table1[[#This Row],[History 
Score]],Table1[[#This Row],[Physics 
Score]],Table1[[#This Row],[Chemistry 
Score]],Table1[[#This Row],[Biology 
Score]],Table1[[#This Row],[English 
Score]],Table1[[#This Row],[Geography 
Score]])</f>
        <v>91</v>
      </c>
      <c r="AB111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113">
        <f t="shared" si="17"/>
        <v>115</v>
      </c>
      <c r="AD1113" t="str">
        <f>_xlfn.IFS(Table1[[#This Row],[Absence 
Days]]&lt;3,"Excellent",Table1[[#This Row],[Absence 
Days]]&lt;=6,"Good",Table1[[#This Row],[Absence 
Days]]&gt;6,"Poor")</f>
        <v>Excellent</v>
      </c>
    </row>
    <row r="1114" spans="1:30" x14ac:dyDescent="0.35">
      <c r="A1114">
        <v>1113</v>
      </c>
      <c r="B1114" s="2" t="s">
        <v>203</v>
      </c>
      <c r="C1114" t="s">
        <v>531</v>
      </c>
      <c r="D1114" t="str">
        <f>_xlfn.TEXTJOIN(" ",TRUE,Table1[[#This Row],[First 
Name]:[Last 
Name]])</f>
        <v>Nicole Robinson</v>
      </c>
      <c r="E1114" t="s">
        <v>2224</v>
      </c>
      <c r="F1114" t="s">
        <v>3245</v>
      </c>
      <c r="G1114" t="str">
        <f ca="1">PROPER(Table1[[#This Row],[Part Time 
Job]])</f>
        <v>False</v>
      </c>
      <c r="H1114" s="3">
        <v>3</v>
      </c>
      <c r="I1114" t="str">
        <f ca="1">PROPER(Table1[[#This Row],[Extracurricular 
Activities]])</f>
        <v>False</v>
      </c>
      <c r="J1114">
        <v>10</v>
      </c>
      <c r="K1114" t="s">
        <v>3118</v>
      </c>
      <c r="L1114">
        <v>93</v>
      </c>
      <c r="M1114" s="12" t="str" cm="1">
        <f t="array" ref="M111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114">
        <v>64</v>
      </c>
      <c r="O1114" s="13" t="str" cm="1">
        <f t="array" ref="O111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114">
        <v>81</v>
      </c>
      <c r="Q1114" s="13" t="str" cm="1">
        <f t="array" ref="Q111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114">
        <v>74</v>
      </c>
      <c r="S1114" t="str" cm="1">
        <f t="array" ref="S111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114">
        <v>96</v>
      </c>
      <c r="U1114" t="str" cm="1">
        <f t="array" ref="U111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114">
        <v>94</v>
      </c>
      <c r="W1114" t="str" cm="1">
        <f t="array" ref="W111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114">
        <v>98</v>
      </c>
      <c r="Y1114" t="str" cm="1">
        <f t="array" ref="Y111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114">
        <f>SUM(Table1[[#This Row],[Math 
Score]],Table1[[#This Row],[History 
Score]],Table1[[#This Row],[Physics 
Score]],Table1[[#This Row],[Chemistry 
Score]],Table1[[#This Row],[Biology 
Score]],Table1[[#This Row],[English 
Score]],Table1[[#This Row],[Geography 
Score]])</f>
        <v>600</v>
      </c>
      <c r="AA1114" s="3">
        <f>AVERAGE(Table1[[#This Row],[Math 
Score]],Table1[[#This Row],[History 
Score]],Table1[[#This Row],[Physics 
Score]],Table1[[#This Row],[Chemistry 
Score]],Table1[[#This Row],[Biology 
Score]],Table1[[#This Row],[English 
Score]],Table1[[#This Row],[Geography 
Score]])</f>
        <v>85.714285714285708</v>
      </c>
      <c r="AB111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114">
        <f t="shared" si="17"/>
        <v>406</v>
      </c>
      <c r="AD1114" t="str">
        <f>_xlfn.IFS(Table1[[#This Row],[Absence 
Days]]&lt;3,"Excellent",Table1[[#This Row],[Absence 
Days]]&lt;=6,"Good",Table1[[#This Row],[Absence 
Days]]&gt;6,"Poor")</f>
        <v>Good</v>
      </c>
    </row>
    <row r="1115" spans="1:30" x14ac:dyDescent="0.35">
      <c r="A1115">
        <v>1114</v>
      </c>
      <c r="B1115" s="2" t="s">
        <v>122</v>
      </c>
      <c r="C1115" t="s">
        <v>917</v>
      </c>
      <c r="D1115" t="str">
        <f>_xlfn.TEXTJOIN(" ",TRUE,Table1[[#This Row],[First 
Name]:[Last 
Name]])</f>
        <v>Rebecca Mckinney</v>
      </c>
      <c r="E1115" t="s">
        <v>2225</v>
      </c>
      <c r="F1115" t="s">
        <v>3245</v>
      </c>
      <c r="G1115" t="str">
        <f ca="1">PROPER(Table1[[#This Row],[Part Time 
Job]])</f>
        <v>False</v>
      </c>
      <c r="H1115" s="3">
        <v>3</v>
      </c>
      <c r="I1115" t="str">
        <f ca="1">PROPER(Table1[[#This Row],[Extracurricular 
Activities]])</f>
        <v>False</v>
      </c>
      <c r="J1115">
        <v>38</v>
      </c>
      <c r="K1115" t="s">
        <v>3113</v>
      </c>
      <c r="L1115">
        <v>92</v>
      </c>
      <c r="M1115" s="12" t="str" cm="1">
        <f t="array" ref="M111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115">
        <v>88</v>
      </c>
      <c r="O1115" s="13" t="str" cm="1">
        <f t="array" ref="O111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115">
        <v>90</v>
      </c>
      <c r="Q1115" s="13" t="str" cm="1">
        <f t="array" ref="Q111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115">
        <v>94</v>
      </c>
      <c r="S1115" t="str" cm="1">
        <f t="array" ref="S111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115">
        <v>88</v>
      </c>
      <c r="U1115" t="str" cm="1">
        <f t="array" ref="U111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115">
        <v>92</v>
      </c>
      <c r="W1115" t="str" cm="1">
        <f t="array" ref="W111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115">
        <v>96</v>
      </c>
      <c r="Y1115" t="str" cm="1">
        <f t="array" ref="Y111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115">
        <f>SUM(Table1[[#This Row],[Math 
Score]],Table1[[#This Row],[History 
Score]],Table1[[#This Row],[Physics 
Score]],Table1[[#This Row],[Chemistry 
Score]],Table1[[#This Row],[Biology 
Score]],Table1[[#This Row],[English 
Score]],Table1[[#This Row],[Geography 
Score]])</f>
        <v>640</v>
      </c>
      <c r="AA1115" s="3">
        <f>AVERAGE(Table1[[#This Row],[Math 
Score]],Table1[[#This Row],[History 
Score]],Table1[[#This Row],[Physics 
Score]],Table1[[#This Row],[Chemistry 
Score]],Table1[[#This Row],[Biology 
Score]],Table1[[#This Row],[English 
Score]],Table1[[#This Row],[Geography 
Score]])</f>
        <v>91.428571428571431</v>
      </c>
      <c r="AB111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115">
        <f t="shared" si="17"/>
        <v>98</v>
      </c>
      <c r="AD1115" t="str">
        <f>_xlfn.IFS(Table1[[#This Row],[Absence 
Days]]&lt;3,"Excellent",Table1[[#This Row],[Absence 
Days]]&lt;=6,"Good",Table1[[#This Row],[Absence 
Days]]&gt;6,"Poor")</f>
        <v>Good</v>
      </c>
    </row>
    <row r="1116" spans="1:30" x14ac:dyDescent="0.35">
      <c r="A1116">
        <v>1115</v>
      </c>
      <c r="B1116" s="2" t="s">
        <v>231</v>
      </c>
      <c r="C1116" t="s">
        <v>776</v>
      </c>
      <c r="D1116" t="str">
        <f>_xlfn.TEXTJOIN(" ",TRUE,Table1[[#This Row],[First 
Name]:[Last 
Name]])</f>
        <v>Daniel Guerrero</v>
      </c>
      <c r="E1116" t="s">
        <v>2226</v>
      </c>
      <c r="F1116" t="s">
        <v>3244</v>
      </c>
      <c r="G1116" t="str">
        <f ca="1">PROPER(Table1[[#This Row],[Part Time 
Job]])</f>
        <v>False</v>
      </c>
      <c r="H1116" s="3">
        <v>2</v>
      </c>
      <c r="I1116" t="str">
        <f ca="1">PROPER(Table1[[#This Row],[Extracurricular 
Activities]])</f>
        <v>False</v>
      </c>
      <c r="J1116">
        <v>5</v>
      </c>
      <c r="K1116" t="s">
        <v>3128</v>
      </c>
      <c r="L1116">
        <v>73</v>
      </c>
      <c r="M1116" s="12" t="str" cm="1">
        <f t="array" ref="M1116">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116">
        <v>87</v>
      </c>
      <c r="O1116" s="13" t="str" cm="1">
        <f t="array" ref="O111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116">
        <v>92</v>
      </c>
      <c r="Q1116" s="13" t="str" cm="1">
        <f t="array" ref="Q111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116">
        <v>99</v>
      </c>
      <c r="S1116" t="str" cm="1">
        <f t="array" ref="S111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116">
        <v>84</v>
      </c>
      <c r="U1116" t="str" cm="1">
        <f t="array" ref="U111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116">
        <v>91</v>
      </c>
      <c r="W1116" t="str" cm="1">
        <f t="array" ref="W111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116">
        <v>71</v>
      </c>
      <c r="Y1116" t="str" cm="1">
        <f t="array" ref="Y111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116">
        <f>SUM(Table1[[#This Row],[Math 
Score]],Table1[[#This Row],[History 
Score]],Table1[[#This Row],[Physics 
Score]],Table1[[#This Row],[Chemistry 
Score]],Table1[[#This Row],[Biology 
Score]],Table1[[#This Row],[English 
Score]],Table1[[#This Row],[Geography 
Score]])</f>
        <v>597</v>
      </c>
      <c r="AA1116" s="3">
        <f>AVERAGE(Table1[[#This Row],[Math 
Score]],Table1[[#This Row],[History 
Score]],Table1[[#This Row],[Physics 
Score]],Table1[[#This Row],[Chemistry 
Score]],Table1[[#This Row],[Biology 
Score]],Table1[[#This Row],[English 
Score]],Table1[[#This Row],[Geography 
Score]])</f>
        <v>85.285714285714292</v>
      </c>
      <c r="AB111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116">
        <f t="shared" si="17"/>
        <v>446</v>
      </c>
      <c r="AD1116" t="str">
        <f>_xlfn.IFS(Table1[[#This Row],[Absence 
Days]]&lt;3,"Excellent",Table1[[#This Row],[Absence 
Days]]&lt;=6,"Good",Table1[[#This Row],[Absence 
Days]]&gt;6,"Poor")</f>
        <v>Excellent</v>
      </c>
    </row>
    <row r="1117" spans="1:30" x14ac:dyDescent="0.35">
      <c r="A1117">
        <v>1116</v>
      </c>
      <c r="B1117" s="2" t="s">
        <v>365</v>
      </c>
      <c r="C1117" t="s">
        <v>815</v>
      </c>
      <c r="D1117" t="str">
        <f>_xlfn.TEXTJOIN(" ",TRUE,Table1[[#This Row],[First 
Name]:[Last 
Name]])</f>
        <v>Jillian Dominguez</v>
      </c>
      <c r="E1117" t="s">
        <v>2227</v>
      </c>
      <c r="F1117" t="s">
        <v>3245</v>
      </c>
      <c r="G1117" t="str">
        <f ca="1">PROPER(Table1[[#This Row],[Part Time 
Job]])</f>
        <v>False</v>
      </c>
      <c r="H1117" s="3">
        <v>3</v>
      </c>
      <c r="I1117" t="str">
        <f ca="1">PROPER(Table1[[#This Row],[Extracurricular 
Activities]])</f>
        <v>True</v>
      </c>
      <c r="J1117">
        <v>35</v>
      </c>
      <c r="K1117" t="s">
        <v>3116</v>
      </c>
      <c r="L1117">
        <v>90</v>
      </c>
      <c r="M1117" s="12" t="str" cm="1">
        <f t="array" ref="M111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117">
        <v>87</v>
      </c>
      <c r="O1117" s="13" t="str" cm="1">
        <f t="array" ref="O111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117">
        <v>100</v>
      </c>
      <c r="Q1117" s="13" t="str" cm="1">
        <f t="array" ref="Q111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117">
        <v>98</v>
      </c>
      <c r="S1117" t="str" cm="1">
        <f t="array" ref="S111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117">
        <v>91</v>
      </c>
      <c r="U1117" t="str" cm="1">
        <f t="array" ref="U111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117">
        <v>98</v>
      </c>
      <c r="W1117" t="str" cm="1">
        <f t="array" ref="W111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117">
        <v>96</v>
      </c>
      <c r="Y1117" t="str" cm="1">
        <f t="array" ref="Y111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117">
        <f>SUM(Table1[[#This Row],[Math 
Score]],Table1[[#This Row],[History 
Score]],Table1[[#This Row],[Physics 
Score]],Table1[[#This Row],[Chemistry 
Score]],Table1[[#This Row],[Biology 
Score]],Table1[[#This Row],[English 
Score]],Table1[[#This Row],[Geography 
Score]])</f>
        <v>660</v>
      </c>
      <c r="AA1117" s="3">
        <f>AVERAGE(Table1[[#This Row],[Math 
Score]],Table1[[#This Row],[History 
Score]],Table1[[#This Row],[Physics 
Score]],Table1[[#This Row],[Chemistry 
Score]],Table1[[#This Row],[Biology 
Score]],Table1[[#This Row],[English 
Score]],Table1[[#This Row],[Geography 
Score]])</f>
        <v>94.285714285714292</v>
      </c>
      <c r="AB111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117">
        <f t="shared" si="17"/>
        <v>17</v>
      </c>
      <c r="AD1117" t="str">
        <f>_xlfn.IFS(Table1[[#This Row],[Absence 
Days]]&lt;3,"Excellent",Table1[[#This Row],[Absence 
Days]]&lt;=6,"Good",Table1[[#This Row],[Absence 
Days]]&gt;6,"Poor")</f>
        <v>Good</v>
      </c>
    </row>
    <row r="1118" spans="1:30" x14ac:dyDescent="0.35">
      <c r="A1118">
        <v>1117</v>
      </c>
      <c r="B1118" s="2" t="s">
        <v>146</v>
      </c>
      <c r="C1118" t="s">
        <v>563</v>
      </c>
      <c r="D1118" t="str">
        <f>_xlfn.TEXTJOIN(" ",TRUE,Table1[[#This Row],[First 
Name]:[Last 
Name]])</f>
        <v>Samantha Phillips</v>
      </c>
      <c r="E1118" t="s">
        <v>2228</v>
      </c>
      <c r="F1118" t="s">
        <v>3245</v>
      </c>
      <c r="G1118" t="str">
        <f ca="1">PROPER(Table1[[#This Row],[Part Time 
Job]])</f>
        <v>True</v>
      </c>
      <c r="H1118" s="3">
        <v>10</v>
      </c>
      <c r="I1118" t="str">
        <f ca="1">PROPER(Table1[[#This Row],[Extracurricular 
Activities]])</f>
        <v>False</v>
      </c>
      <c r="J1118">
        <v>1</v>
      </c>
      <c r="K1118" t="s">
        <v>3119</v>
      </c>
      <c r="L1118">
        <v>87</v>
      </c>
      <c r="M1118" s="12" t="str" cm="1">
        <f t="array" ref="M111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118">
        <v>58</v>
      </c>
      <c r="O1118" s="13" t="str" cm="1">
        <f t="array" ref="O111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C</v>
      </c>
      <c r="P1118">
        <v>85</v>
      </c>
      <c r="Q1118" s="13" t="str" cm="1">
        <f t="array" ref="Q111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118">
        <v>82</v>
      </c>
      <c r="S1118" t="str" cm="1">
        <f t="array" ref="S111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118">
        <v>100</v>
      </c>
      <c r="U1118" t="str" cm="1">
        <f t="array" ref="U111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118">
        <v>87</v>
      </c>
      <c r="W1118" t="str" cm="1">
        <f t="array" ref="W111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118">
        <v>91</v>
      </c>
      <c r="Y1118" t="str" cm="1">
        <f t="array" ref="Y111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118">
        <f>SUM(Table1[[#This Row],[Math 
Score]],Table1[[#This Row],[History 
Score]],Table1[[#This Row],[Physics 
Score]],Table1[[#This Row],[Chemistry 
Score]],Table1[[#This Row],[Biology 
Score]],Table1[[#This Row],[English 
Score]],Table1[[#This Row],[Geography 
Score]])</f>
        <v>590</v>
      </c>
      <c r="AA1118" s="3">
        <f>AVERAGE(Table1[[#This Row],[Math 
Score]],Table1[[#This Row],[History 
Score]],Table1[[#This Row],[Physics 
Score]],Table1[[#This Row],[Chemistry 
Score]],Table1[[#This Row],[Biology 
Score]],Table1[[#This Row],[English 
Score]],Table1[[#This Row],[Geography 
Score]])</f>
        <v>84.285714285714292</v>
      </c>
      <c r="AB111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118">
        <f t="shared" si="17"/>
        <v>531</v>
      </c>
      <c r="AD1118" t="str">
        <f>_xlfn.IFS(Table1[[#This Row],[Absence 
Days]]&lt;3,"Excellent",Table1[[#This Row],[Absence 
Days]]&lt;=6,"Good",Table1[[#This Row],[Absence 
Days]]&gt;6,"Poor")</f>
        <v>Poor</v>
      </c>
    </row>
    <row r="1119" spans="1:30" x14ac:dyDescent="0.35">
      <c r="A1119">
        <v>1118</v>
      </c>
      <c r="B1119" s="2" t="s">
        <v>366</v>
      </c>
      <c r="C1119" t="s">
        <v>908</v>
      </c>
      <c r="D1119" t="str">
        <f>_xlfn.TEXTJOIN(" ",TRUE,Table1[[#This Row],[First 
Name]:[Last 
Name]])</f>
        <v>Dylan Rogers</v>
      </c>
      <c r="E1119" t="s">
        <v>2229</v>
      </c>
      <c r="F1119" t="s">
        <v>3244</v>
      </c>
      <c r="G1119" t="str">
        <f ca="1">PROPER(Table1[[#This Row],[Part Time 
Job]])</f>
        <v>False</v>
      </c>
      <c r="H1119" s="3">
        <v>2</v>
      </c>
      <c r="I1119" t="str">
        <f ca="1">PROPER(Table1[[#This Row],[Extracurricular 
Activities]])</f>
        <v>False</v>
      </c>
      <c r="J1119">
        <v>21</v>
      </c>
      <c r="K1119" t="s">
        <v>3117</v>
      </c>
      <c r="L1119">
        <v>88</v>
      </c>
      <c r="M1119" s="12" t="str" cm="1">
        <f t="array" ref="M111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119">
        <v>74</v>
      </c>
      <c r="O1119" s="13" t="str" cm="1">
        <f t="array" ref="O111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119">
        <v>99</v>
      </c>
      <c r="Q1119" s="13" t="str" cm="1">
        <f t="array" ref="Q111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119">
        <v>72</v>
      </c>
      <c r="S1119" t="str" cm="1">
        <f t="array" ref="S111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119">
        <v>63</v>
      </c>
      <c r="U1119" t="str" cm="1">
        <f t="array" ref="U111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119">
        <v>87</v>
      </c>
      <c r="W1119" t="str" cm="1">
        <f t="array" ref="W111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119">
        <v>79</v>
      </c>
      <c r="Y1119" t="str" cm="1">
        <f t="array" ref="Y111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119">
        <f>SUM(Table1[[#This Row],[Math 
Score]],Table1[[#This Row],[History 
Score]],Table1[[#This Row],[Physics 
Score]],Table1[[#This Row],[Chemistry 
Score]],Table1[[#This Row],[Biology 
Score]],Table1[[#This Row],[English 
Score]],Table1[[#This Row],[Geography 
Score]])</f>
        <v>562</v>
      </c>
      <c r="AA1119" s="3">
        <f>AVERAGE(Table1[[#This Row],[Math 
Score]],Table1[[#This Row],[History 
Score]],Table1[[#This Row],[Physics 
Score]],Table1[[#This Row],[Chemistry 
Score]],Table1[[#This Row],[Biology 
Score]],Table1[[#This Row],[English 
Score]],Table1[[#This Row],[Geography 
Score]])</f>
        <v>80.285714285714292</v>
      </c>
      <c r="AB111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119">
        <f t="shared" si="17"/>
        <v>1099</v>
      </c>
      <c r="AD1119" t="str">
        <f>_xlfn.IFS(Table1[[#This Row],[Absence 
Days]]&lt;3,"Excellent",Table1[[#This Row],[Absence 
Days]]&lt;=6,"Good",Table1[[#This Row],[Absence 
Days]]&gt;6,"Poor")</f>
        <v>Excellent</v>
      </c>
    </row>
    <row r="1120" spans="1:30" x14ac:dyDescent="0.35">
      <c r="A1120">
        <v>1119</v>
      </c>
      <c r="B1120" s="2" t="s">
        <v>55</v>
      </c>
      <c r="C1120" t="s">
        <v>630</v>
      </c>
      <c r="D1120" t="str">
        <f>_xlfn.TEXTJOIN(" ",TRUE,Table1[[#This Row],[First 
Name]:[Last 
Name]])</f>
        <v>Brittany Spencer</v>
      </c>
      <c r="E1120" t="s">
        <v>2230</v>
      </c>
      <c r="F1120" t="s">
        <v>3245</v>
      </c>
      <c r="G1120" t="str">
        <f ca="1">PROPER(Table1[[#This Row],[Part Time 
Job]])</f>
        <v>False</v>
      </c>
      <c r="H1120" s="3">
        <v>6</v>
      </c>
      <c r="I1120" t="str">
        <f ca="1">PROPER(Table1[[#This Row],[Extracurricular 
Activities]])</f>
        <v>False</v>
      </c>
      <c r="J1120">
        <v>5</v>
      </c>
      <c r="K1120" t="s">
        <v>3116</v>
      </c>
      <c r="L1120">
        <v>88</v>
      </c>
      <c r="M1120" s="12" t="str" cm="1">
        <f t="array" ref="M112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120">
        <v>99</v>
      </c>
      <c r="O1120" s="13" t="str" cm="1">
        <f t="array" ref="O112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120">
        <v>71</v>
      </c>
      <c r="Q1120" s="13" t="str" cm="1">
        <f t="array" ref="Q112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120">
        <v>85</v>
      </c>
      <c r="S1120" t="str" cm="1">
        <f t="array" ref="S112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120">
        <v>82</v>
      </c>
      <c r="U1120" t="str" cm="1">
        <f t="array" ref="U112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120">
        <v>94</v>
      </c>
      <c r="W1120" t="str" cm="1">
        <f t="array" ref="W112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120">
        <v>90</v>
      </c>
      <c r="Y1120" t="str" cm="1">
        <f t="array" ref="Y112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120">
        <f>SUM(Table1[[#This Row],[Math 
Score]],Table1[[#This Row],[History 
Score]],Table1[[#This Row],[Physics 
Score]],Table1[[#This Row],[Chemistry 
Score]],Table1[[#This Row],[Biology 
Score]],Table1[[#This Row],[English 
Score]],Table1[[#This Row],[Geography 
Score]])</f>
        <v>609</v>
      </c>
      <c r="AA1120" s="3">
        <f>AVERAGE(Table1[[#This Row],[Math 
Score]],Table1[[#This Row],[History 
Score]],Table1[[#This Row],[Physics 
Score]],Table1[[#This Row],[Chemistry 
Score]],Table1[[#This Row],[Biology 
Score]],Table1[[#This Row],[English 
Score]],Table1[[#This Row],[Geography 
Score]])</f>
        <v>87</v>
      </c>
      <c r="AB112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120">
        <f t="shared" si="17"/>
        <v>309</v>
      </c>
      <c r="AD1120" t="str">
        <f>_xlfn.IFS(Table1[[#This Row],[Absence 
Days]]&lt;3,"Excellent",Table1[[#This Row],[Absence 
Days]]&lt;=6,"Good",Table1[[#This Row],[Absence 
Days]]&gt;6,"Poor")</f>
        <v>Good</v>
      </c>
    </row>
    <row r="1121" spans="1:30" x14ac:dyDescent="0.35">
      <c r="A1121">
        <v>1120</v>
      </c>
      <c r="B1121" s="2" t="s">
        <v>51</v>
      </c>
      <c r="C1121" t="s">
        <v>177</v>
      </c>
      <c r="D1121" t="str">
        <f>_xlfn.TEXTJOIN(" ",TRUE,Table1[[#This Row],[First 
Name]:[Last 
Name]])</f>
        <v>Melissa Terry</v>
      </c>
      <c r="E1121" t="s">
        <v>2231</v>
      </c>
      <c r="F1121" t="s">
        <v>3245</v>
      </c>
      <c r="G1121" t="str">
        <f ca="1">PROPER(Table1[[#This Row],[Part Time 
Job]])</f>
        <v>True</v>
      </c>
      <c r="H1121" s="3">
        <v>1</v>
      </c>
      <c r="I1121" t="str">
        <f ca="1">PROPER(Table1[[#This Row],[Extracurricular 
Activities]])</f>
        <v>True</v>
      </c>
      <c r="J1121">
        <v>15</v>
      </c>
      <c r="K1121" t="s">
        <v>3121</v>
      </c>
      <c r="L1121">
        <v>96</v>
      </c>
      <c r="M1121" s="12" t="str" cm="1">
        <f t="array" ref="M112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121">
        <v>87</v>
      </c>
      <c r="O1121" s="13" t="str" cm="1">
        <f t="array" ref="O112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121">
        <v>64</v>
      </c>
      <c r="Q1121" s="13" t="str" cm="1">
        <f t="array" ref="Q112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121">
        <v>88</v>
      </c>
      <c r="S1121" t="str" cm="1">
        <f t="array" ref="S112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121">
        <v>64</v>
      </c>
      <c r="U1121" t="str" cm="1">
        <f t="array" ref="U112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121">
        <v>92</v>
      </c>
      <c r="W1121" t="str" cm="1">
        <f t="array" ref="W112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121">
        <v>77</v>
      </c>
      <c r="Y1121" t="str" cm="1">
        <f t="array" ref="Y112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121">
        <f>SUM(Table1[[#This Row],[Math 
Score]],Table1[[#This Row],[History 
Score]],Table1[[#This Row],[Physics 
Score]],Table1[[#This Row],[Chemistry 
Score]],Table1[[#This Row],[Biology 
Score]],Table1[[#This Row],[English 
Score]],Table1[[#This Row],[Geography 
Score]])</f>
        <v>568</v>
      </c>
      <c r="AA1121" s="3">
        <f>AVERAGE(Table1[[#This Row],[Math 
Score]],Table1[[#This Row],[History 
Score]],Table1[[#This Row],[Physics 
Score]],Table1[[#This Row],[Chemistry 
Score]],Table1[[#This Row],[Biology 
Score]],Table1[[#This Row],[English 
Score]],Table1[[#This Row],[Geography 
Score]])</f>
        <v>81.142857142857139</v>
      </c>
      <c r="AB112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121">
        <f t="shared" si="17"/>
        <v>975</v>
      </c>
      <c r="AD1121" t="str">
        <f>_xlfn.IFS(Table1[[#This Row],[Absence 
Days]]&lt;3,"Excellent",Table1[[#This Row],[Absence 
Days]]&lt;=6,"Good",Table1[[#This Row],[Absence 
Days]]&gt;6,"Poor")</f>
        <v>Excellent</v>
      </c>
    </row>
    <row r="1122" spans="1:30" x14ac:dyDescent="0.35">
      <c r="A1122">
        <v>1121</v>
      </c>
      <c r="B1122" s="2" t="s">
        <v>173</v>
      </c>
      <c r="C1122" t="s">
        <v>510</v>
      </c>
      <c r="D1122" t="str">
        <f>_xlfn.TEXTJOIN(" ",TRUE,Table1[[#This Row],[First 
Name]:[Last 
Name]])</f>
        <v>Robin Perez</v>
      </c>
      <c r="E1122" t="s">
        <v>2232</v>
      </c>
      <c r="F1122" t="s">
        <v>3245</v>
      </c>
      <c r="G1122" t="str">
        <f ca="1">PROPER(Table1[[#This Row],[Part Time 
Job]])</f>
        <v>False</v>
      </c>
      <c r="H1122" s="3">
        <v>3</v>
      </c>
      <c r="I1122" t="str">
        <f ca="1">PROPER(Table1[[#This Row],[Extracurricular 
Activities]])</f>
        <v>False</v>
      </c>
      <c r="J1122">
        <v>28</v>
      </c>
      <c r="K1122" t="s">
        <v>3113</v>
      </c>
      <c r="L1122">
        <v>89</v>
      </c>
      <c r="M1122" s="12" t="str" cm="1">
        <f t="array" ref="M112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122">
        <v>96</v>
      </c>
      <c r="O1122" s="13" t="str" cm="1">
        <f t="array" ref="O112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122">
        <v>85</v>
      </c>
      <c r="Q1122" s="13" t="str" cm="1">
        <f t="array" ref="Q112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122">
        <v>91</v>
      </c>
      <c r="S1122" t="str" cm="1">
        <f t="array" ref="S112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122">
        <v>100</v>
      </c>
      <c r="U1122" t="str" cm="1">
        <f t="array" ref="U112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122">
        <v>91</v>
      </c>
      <c r="W1122" t="str" cm="1">
        <f t="array" ref="W112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122">
        <v>91</v>
      </c>
      <c r="Y1122" t="str" cm="1">
        <f t="array" ref="Y112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122">
        <f>SUM(Table1[[#This Row],[Math 
Score]],Table1[[#This Row],[History 
Score]],Table1[[#This Row],[Physics 
Score]],Table1[[#This Row],[Chemistry 
Score]],Table1[[#This Row],[Biology 
Score]],Table1[[#This Row],[English 
Score]],Table1[[#This Row],[Geography 
Score]])</f>
        <v>643</v>
      </c>
      <c r="AA1122" s="3">
        <f>AVERAGE(Table1[[#This Row],[Math 
Score]],Table1[[#This Row],[History 
Score]],Table1[[#This Row],[Physics 
Score]],Table1[[#This Row],[Chemistry 
Score]],Table1[[#This Row],[Biology 
Score]],Table1[[#This Row],[English 
Score]],Table1[[#This Row],[Geography 
Score]])</f>
        <v>91.857142857142861</v>
      </c>
      <c r="AB112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122">
        <f t="shared" si="17"/>
        <v>87</v>
      </c>
      <c r="AD1122" t="str">
        <f>_xlfn.IFS(Table1[[#This Row],[Absence 
Days]]&lt;3,"Excellent",Table1[[#This Row],[Absence 
Days]]&lt;=6,"Good",Table1[[#This Row],[Absence 
Days]]&gt;6,"Poor")</f>
        <v>Good</v>
      </c>
    </row>
    <row r="1123" spans="1:30" x14ac:dyDescent="0.35">
      <c r="A1123">
        <v>1122</v>
      </c>
      <c r="B1123" s="2" t="s">
        <v>57</v>
      </c>
      <c r="C1123" t="s">
        <v>940</v>
      </c>
      <c r="D1123" t="str">
        <f>_xlfn.TEXTJOIN(" ",TRUE,Table1[[#This Row],[First 
Name]:[Last 
Name]])</f>
        <v>Veronica Hopkins</v>
      </c>
      <c r="E1123" t="s">
        <v>2233</v>
      </c>
      <c r="F1123" t="s">
        <v>3245</v>
      </c>
      <c r="G1123" t="str">
        <f ca="1">PROPER(Table1[[#This Row],[Part Time 
Job]])</f>
        <v>False</v>
      </c>
      <c r="H1123" s="3">
        <v>1</v>
      </c>
      <c r="I1123" t="str">
        <f ca="1">PROPER(Table1[[#This Row],[Extracurricular 
Activities]])</f>
        <v>False</v>
      </c>
      <c r="J1123">
        <v>5</v>
      </c>
      <c r="K1123" t="s">
        <v>3128</v>
      </c>
      <c r="L1123">
        <v>58</v>
      </c>
      <c r="M1123" s="12" t="str" cm="1">
        <f t="array" ref="M1123">_xlfn.IFS(Table1[[#This Row],[Math 
Score]]&gt;=90,"A+",Table1[[#This Row],[Math 
Score]]&gt;=80,"A", Table1[[#This Row],[Math 
Score]]&gt;=75,"A-",Table1[[#This Row],[Math 
Score]]&gt;=70,"B+",Table1[[#This Row],[Math 
Score]]&gt;=65,"B",Table1[[#This Row],[Math 
Score]]&gt;=60,"B-",Table1[[#This Row],[Math 
Score]]&gt;=50,"C",Table1[[#This Row],[Math 
Score]]&gt;=40,"D",Table1[[#This Row],[Math 
Score]]&lt;40,"F")</f>
        <v>C</v>
      </c>
      <c r="N1123">
        <v>77</v>
      </c>
      <c r="O1123" s="13" t="str" cm="1">
        <f t="array" ref="O112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123">
        <v>69</v>
      </c>
      <c r="Q1123" s="13" t="str" cm="1">
        <f t="array" ref="Q112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123">
        <v>83</v>
      </c>
      <c r="S1123" t="str" cm="1">
        <f t="array" ref="S112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123">
        <v>94</v>
      </c>
      <c r="U1123" t="str" cm="1">
        <f t="array" ref="U112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123">
        <v>70</v>
      </c>
      <c r="W1123" t="str" cm="1">
        <f t="array" ref="W112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123">
        <v>97</v>
      </c>
      <c r="Y1123" t="str" cm="1">
        <f t="array" ref="Y112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123">
        <f>SUM(Table1[[#This Row],[Math 
Score]],Table1[[#This Row],[History 
Score]],Table1[[#This Row],[Physics 
Score]],Table1[[#This Row],[Chemistry 
Score]],Table1[[#This Row],[Biology 
Score]],Table1[[#This Row],[English 
Score]],Table1[[#This Row],[Geography 
Score]])</f>
        <v>548</v>
      </c>
      <c r="AA1123" s="3">
        <f>AVERAGE(Table1[[#This Row],[Math 
Score]],Table1[[#This Row],[History 
Score]],Table1[[#This Row],[Physics 
Score]],Table1[[#This Row],[Chemistry 
Score]],Table1[[#This Row],[Biology 
Score]],Table1[[#This Row],[English 
Score]],Table1[[#This Row],[Geography 
Score]])</f>
        <v>78.285714285714292</v>
      </c>
      <c r="AB112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123">
        <f t="shared" si="17"/>
        <v>1374</v>
      </c>
      <c r="AD1123" t="str">
        <f>_xlfn.IFS(Table1[[#This Row],[Absence 
Days]]&lt;3,"Excellent",Table1[[#This Row],[Absence 
Days]]&lt;=6,"Good",Table1[[#This Row],[Absence 
Days]]&gt;6,"Poor")</f>
        <v>Excellent</v>
      </c>
    </row>
    <row r="1124" spans="1:30" x14ac:dyDescent="0.35">
      <c r="A1124">
        <v>1123</v>
      </c>
      <c r="B1124" s="2" t="s">
        <v>231</v>
      </c>
      <c r="C1124" t="s">
        <v>504</v>
      </c>
      <c r="D1124" t="str">
        <f>_xlfn.TEXTJOIN(" ",TRUE,Table1[[#This Row],[First 
Name]:[Last 
Name]])</f>
        <v>Daniel Lewis</v>
      </c>
      <c r="E1124" t="s">
        <v>2234</v>
      </c>
      <c r="F1124" t="s">
        <v>3244</v>
      </c>
      <c r="G1124" t="str">
        <f ca="1">PROPER(Table1[[#This Row],[Part Time 
Job]])</f>
        <v>False</v>
      </c>
      <c r="H1124" s="3">
        <v>2</v>
      </c>
      <c r="I1124" t="str">
        <f ca="1">PROPER(Table1[[#This Row],[Extracurricular 
Activities]])</f>
        <v>False</v>
      </c>
      <c r="J1124">
        <v>35</v>
      </c>
      <c r="K1124" t="s">
        <v>3113</v>
      </c>
      <c r="L1124">
        <v>95</v>
      </c>
      <c r="M1124" s="12" t="str" cm="1">
        <f t="array" ref="M112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124">
        <v>98</v>
      </c>
      <c r="O1124" s="13" t="str" cm="1">
        <f t="array" ref="O112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124">
        <v>97</v>
      </c>
      <c r="Q1124" s="13" t="str" cm="1">
        <f t="array" ref="Q112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124">
        <v>94</v>
      </c>
      <c r="S1124" t="str" cm="1">
        <f t="array" ref="S112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124">
        <v>88</v>
      </c>
      <c r="U1124" t="str" cm="1">
        <f t="array" ref="U112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124">
        <v>99</v>
      </c>
      <c r="W1124" t="str" cm="1">
        <f t="array" ref="W112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124">
        <v>96</v>
      </c>
      <c r="Y1124" t="str" cm="1">
        <f t="array" ref="Y112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124">
        <f>SUM(Table1[[#This Row],[Math 
Score]],Table1[[#This Row],[History 
Score]],Table1[[#This Row],[Physics 
Score]],Table1[[#This Row],[Chemistry 
Score]],Table1[[#This Row],[Biology 
Score]],Table1[[#This Row],[English 
Score]],Table1[[#This Row],[Geography 
Score]])</f>
        <v>667</v>
      </c>
      <c r="AA1124" s="3">
        <f>AVERAGE(Table1[[#This Row],[Math 
Score]],Table1[[#This Row],[History 
Score]],Table1[[#This Row],[Physics 
Score]],Table1[[#This Row],[Chemistry 
Score]],Table1[[#This Row],[Biology 
Score]],Table1[[#This Row],[English 
Score]],Table1[[#This Row],[Geography 
Score]])</f>
        <v>95.285714285714292</v>
      </c>
      <c r="AB112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124">
        <f t="shared" si="17"/>
        <v>6</v>
      </c>
      <c r="AD1124" t="str">
        <f>_xlfn.IFS(Table1[[#This Row],[Absence 
Days]]&lt;3,"Excellent",Table1[[#This Row],[Absence 
Days]]&lt;=6,"Good",Table1[[#This Row],[Absence 
Days]]&gt;6,"Poor")</f>
        <v>Excellent</v>
      </c>
    </row>
    <row r="1125" spans="1:30" x14ac:dyDescent="0.35">
      <c r="A1125">
        <v>1124</v>
      </c>
      <c r="B1125" s="2" t="s">
        <v>367</v>
      </c>
      <c r="C1125" t="s">
        <v>686</v>
      </c>
      <c r="D1125" t="str">
        <f>_xlfn.TEXTJOIN(" ",TRUE,Table1[[#This Row],[First 
Name]:[Last 
Name]])</f>
        <v>Mallory Collins</v>
      </c>
      <c r="E1125" t="s">
        <v>2235</v>
      </c>
      <c r="F1125" t="s">
        <v>3245</v>
      </c>
      <c r="G1125" t="str">
        <f ca="1">PROPER(Table1[[#This Row],[Part Time 
Job]])</f>
        <v>False</v>
      </c>
      <c r="H1125" s="3">
        <v>8</v>
      </c>
      <c r="I1125" t="str">
        <f ca="1">PROPER(Table1[[#This Row],[Extracurricular 
Activities]])</f>
        <v>True</v>
      </c>
      <c r="J1125">
        <v>28</v>
      </c>
      <c r="K1125" t="s">
        <v>3121</v>
      </c>
      <c r="L1125">
        <v>76</v>
      </c>
      <c r="M1125" s="12" t="str" cm="1">
        <f t="array" ref="M112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125">
        <v>69</v>
      </c>
      <c r="O1125" s="13" t="str" cm="1">
        <f t="array" ref="O112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125">
        <v>86</v>
      </c>
      <c r="Q1125" s="13" t="str" cm="1">
        <f t="array" ref="Q112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125">
        <v>72</v>
      </c>
      <c r="S1125" t="str" cm="1">
        <f t="array" ref="S112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125">
        <v>71</v>
      </c>
      <c r="U1125" t="str" cm="1">
        <f t="array" ref="U112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125">
        <v>79</v>
      </c>
      <c r="W1125" t="str" cm="1">
        <f t="array" ref="W112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125">
        <v>63</v>
      </c>
      <c r="Y1125" t="str" cm="1">
        <f t="array" ref="Y112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125">
        <f>SUM(Table1[[#This Row],[Math 
Score]],Table1[[#This Row],[History 
Score]],Table1[[#This Row],[Physics 
Score]],Table1[[#This Row],[Chemistry 
Score]],Table1[[#This Row],[Biology 
Score]],Table1[[#This Row],[English 
Score]],Table1[[#This Row],[Geography 
Score]])</f>
        <v>516</v>
      </c>
      <c r="AA1125" s="3">
        <f>AVERAGE(Table1[[#This Row],[Math 
Score]],Table1[[#This Row],[History 
Score]],Table1[[#This Row],[Physics 
Score]],Table1[[#This Row],[Chemistry 
Score]],Table1[[#This Row],[Biology 
Score]],Table1[[#This Row],[English 
Score]],Table1[[#This Row],[Geography 
Score]])</f>
        <v>73.714285714285708</v>
      </c>
      <c r="AB112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125">
        <f t="shared" si="17"/>
        <v>1792</v>
      </c>
      <c r="AD1125" t="str">
        <f>_xlfn.IFS(Table1[[#This Row],[Absence 
Days]]&lt;3,"Excellent",Table1[[#This Row],[Absence 
Days]]&lt;=6,"Good",Table1[[#This Row],[Absence 
Days]]&gt;6,"Poor")</f>
        <v>Poor</v>
      </c>
    </row>
    <row r="1126" spans="1:30" x14ac:dyDescent="0.35">
      <c r="A1126">
        <v>1125</v>
      </c>
      <c r="B1126" s="2" t="s">
        <v>83</v>
      </c>
      <c r="C1126" t="s">
        <v>689</v>
      </c>
      <c r="D1126" t="str">
        <f>_xlfn.TEXTJOIN(" ",TRUE,Table1[[#This Row],[First 
Name]:[Last 
Name]])</f>
        <v>Stephen Sosa</v>
      </c>
      <c r="E1126" t="s">
        <v>2236</v>
      </c>
      <c r="F1126" t="s">
        <v>3244</v>
      </c>
      <c r="G1126" t="str">
        <f ca="1">PROPER(Table1[[#This Row],[Part Time 
Job]])</f>
        <v>False</v>
      </c>
      <c r="H1126" s="3">
        <v>2</v>
      </c>
      <c r="I1126" t="str">
        <f ca="1">PROPER(Table1[[#This Row],[Extracurricular 
Activities]])</f>
        <v>False</v>
      </c>
      <c r="J1126">
        <v>16</v>
      </c>
      <c r="K1126" t="s">
        <v>3125</v>
      </c>
      <c r="L1126">
        <v>87</v>
      </c>
      <c r="M1126" s="12" t="str" cm="1">
        <f t="array" ref="M112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126">
        <v>89</v>
      </c>
      <c r="O1126" s="13" t="str" cm="1">
        <f t="array" ref="O112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126">
        <v>91</v>
      </c>
      <c r="Q1126" s="13" t="str" cm="1">
        <f t="array" ref="Q112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126">
        <v>76</v>
      </c>
      <c r="S1126" t="str" cm="1">
        <f t="array" ref="S112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126">
        <v>77</v>
      </c>
      <c r="U1126" t="str" cm="1">
        <f t="array" ref="U112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126">
        <v>97</v>
      </c>
      <c r="W1126" t="str" cm="1">
        <f t="array" ref="W112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126">
        <v>61</v>
      </c>
      <c r="Y1126" t="str" cm="1">
        <f t="array" ref="Y112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126">
        <f>SUM(Table1[[#This Row],[Math 
Score]],Table1[[#This Row],[History 
Score]],Table1[[#This Row],[Physics 
Score]],Table1[[#This Row],[Chemistry 
Score]],Table1[[#This Row],[Biology 
Score]],Table1[[#This Row],[English 
Score]],Table1[[#This Row],[Geography 
Score]])</f>
        <v>578</v>
      </c>
      <c r="AA1126" s="3">
        <f>AVERAGE(Table1[[#This Row],[Math 
Score]],Table1[[#This Row],[History 
Score]],Table1[[#This Row],[Physics 
Score]],Table1[[#This Row],[Chemistry 
Score]],Table1[[#This Row],[Biology 
Score]],Table1[[#This Row],[English 
Score]],Table1[[#This Row],[Geography 
Score]])</f>
        <v>82.571428571428569</v>
      </c>
      <c r="AB112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126">
        <f t="shared" si="17"/>
        <v>752</v>
      </c>
      <c r="AD1126" t="str">
        <f>_xlfn.IFS(Table1[[#This Row],[Absence 
Days]]&lt;3,"Excellent",Table1[[#This Row],[Absence 
Days]]&lt;=6,"Good",Table1[[#This Row],[Absence 
Days]]&gt;6,"Poor")</f>
        <v>Excellent</v>
      </c>
    </row>
    <row r="1127" spans="1:30" x14ac:dyDescent="0.35">
      <c r="A1127">
        <v>1126</v>
      </c>
      <c r="B1127" s="2" t="s">
        <v>93</v>
      </c>
      <c r="C1127" t="s">
        <v>340</v>
      </c>
      <c r="D1127" t="str">
        <f>_xlfn.TEXTJOIN(" ",TRUE,Table1[[#This Row],[First 
Name]:[Last 
Name]])</f>
        <v>Andrew Hunter</v>
      </c>
      <c r="E1127" t="s">
        <v>2237</v>
      </c>
      <c r="F1127" t="s">
        <v>3244</v>
      </c>
      <c r="G1127" t="str">
        <f ca="1">PROPER(Table1[[#This Row],[Part Time 
Job]])</f>
        <v>False</v>
      </c>
      <c r="H1127" s="3">
        <v>2</v>
      </c>
      <c r="I1127" t="str">
        <f ca="1">PROPER(Table1[[#This Row],[Extracurricular 
Activities]])</f>
        <v>False</v>
      </c>
      <c r="J1127">
        <v>29</v>
      </c>
      <c r="K1127" t="s">
        <v>3116</v>
      </c>
      <c r="L1127">
        <v>60</v>
      </c>
      <c r="M1127" s="12" t="str" cm="1">
        <f t="array" ref="M1127">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127">
        <v>65</v>
      </c>
      <c r="O1127" s="13" t="str" cm="1">
        <f t="array" ref="O112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127">
        <v>86</v>
      </c>
      <c r="Q1127" s="13" t="str" cm="1">
        <f t="array" ref="Q112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127">
        <v>66</v>
      </c>
      <c r="S1127" t="str" cm="1">
        <f t="array" ref="S112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127">
        <v>61</v>
      </c>
      <c r="U1127" t="str" cm="1">
        <f t="array" ref="U112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127">
        <v>99</v>
      </c>
      <c r="W1127" t="str" cm="1">
        <f t="array" ref="W112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127">
        <v>89</v>
      </c>
      <c r="Y1127" t="str" cm="1">
        <f t="array" ref="Y112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127">
        <f>SUM(Table1[[#This Row],[Math 
Score]],Table1[[#This Row],[History 
Score]],Table1[[#This Row],[Physics 
Score]],Table1[[#This Row],[Chemistry 
Score]],Table1[[#This Row],[Biology 
Score]],Table1[[#This Row],[English 
Score]],Table1[[#This Row],[Geography 
Score]])</f>
        <v>526</v>
      </c>
      <c r="AA1127" s="3">
        <f>AVERAGE(Table1[[#This Row],[Math 
Score]],Table1[[#This Row],[History 
Score]],Table1[[#This Row],[Physics 
Score]],Table1[[#This Row],[Chemistry 
Score]],Table1[[#This Row],[Biology 
Score]],Table1[[#This Row],[English 
Score]],Table1[[#This Row],[Geography 
Score]])</f>
        <v>75.142857142857139</v>
      </c>
      <c r="AB112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127">
        <f t="shared" si="17"/>
        <v>1688</v>
      </c>
      <c r="AD1127" t="str">
        <f>_xlfn.IFS(Table1[[#This Row],[Absence 
Days]]&lt;3,"Excellent",Table1[[#This Row],[Absence 
Days]]&lt;=6,"Good",Table1[[#This Row],[Absence 
Days]]&gt;6,"Poor")</f>
        <v>Excellent</v>
      </c>
    </row>
    <row r="1128" spans="1:30" x14ac:dyDescent="0.35">
      <c r="A1128">
        <v>1127</v>
      </c>
      <c r="B1128" s="2" t="s">
        <v>40</v>
      </c>
      <c r="C1128" t="s">
        <v>941</v>
      </c>
      <c r="D1128" t="str">
        <f>_xlfn.TEXTJOIN(" ",TRUE,Table1[[#This Row],[First 
Name]:[Last 
Name]])</f>
        <v>David Hartman</v>
      </c>
      <c r="E1128" t="s">
        <v>2238</v>
      </c>
      <c r="F1128" t="s">
        <v>3244</v>
      </c>
      <c r="G1128" t="str">
        <f ca="1">PROPER(Table1[[#This Row],[Part Time 
Job]])</f>
        <v>False</v>
      </c>
      <c r="H1128" s="3">
        <v>10</v>
      </c>
      <c r="I1128" t="str">
        <f ca="1">PROPER(Table1[[#This Row],[Extracurricular 
Activities]])</f>
        <v>False</v>
      </c>
      <c r="J1128">
        <v>3</v>
      </c>
      <c r="K1128" t="s">
        <v>3119</v>
      </c>
      <c r="L1128">
        <v>70</v>
      </c>
      <c r="M1128" s="12" t="str" cm="1">
        <f t="array" ref="M1128">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128">
        <v>61</v>
      </c>
      <c r="O1128" s="13" t="str" cm="1">
        <f t="array" ref="O112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128">
        <v>83</v>
      </c>
      <c r="Q1128" s="13" t="str" cm="1">
        <f t="array" ref="Q112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128">
        <v>52</v>
      </c>
      <c r="S1128" t="str" cm="1">
        <f t="array" ref="S112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C</v>
      </c>
      <c r="T1128">
        <v>81</v>
      </c>
      <c r="U1128" t="str" cm="1">
        <f t="array" ref="U112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128">
        <v>97</v>
      </c>
      <c r="W1128" t="str" cm="1">
        <f t="array" ref="W112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128">
        <v>69</v>
      </c>
      <c r="Y1128" t="str" cm="1">
        <f t="array" ref="Y112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128">
        <f>SUM(Table1[[#This Row],[Math 
Score]],Table1[[#This Row],[History 
Score]],Table1[[#This Row],[Physics 
Score]],Table1[[#This Row],[Chemistry 
Score]],Table1[[#This Row],[Biology 
Score]],Table1[[#This Row],[English 
Score]],Table1[[#This Row],[Geography 
Score]])</f>
        <v>513</v>
      </c>
      <c r="AA1128" s="3">
        <f>AVERAGE(Table1[[#This Row],[Math 
Score]],Table1[[#This Row],[History 
Score]],Table1[[#This Row],[Physics 
Score]],Table1[[#This Row],[Chemistry 
Score]],Table1[[#This Row],[Biology 
Score]],Table1[[#This Row],[English 
Score]],Table1[[#This Row],[Geography 
Score]])</f>
        <v>73.285714285714292</v>
      </c>
      <c r="AB112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128">
        <f t="shared" si="17"/>
        <v>1810</v>
      </c>
      <c r="AD1128" t="str">
        <f>_xlfn.IFS(Table1[[#This Row],[Absence 
Days]]&lt;3,"Excellent",Table1[[#This Row],[Absence 
Days]]&lt;=6,"Good",Table1[[#This Row],[Absence 
Days]]&gt;6,"Poor")</f>
        <v>Poor</v>
      </c>
    </row>
    <row r="1129" spans="1:30" x14ac:dyDescent="0.35">
      <c r="A1129">
        <v>1128</v>
      </c>
      <c r="B1129" s="2" t="s">
        <v>0</v>
      </c>
      <c r="C1129" t="s">
        <v>188</v>
      </c>
      <c r="D1129" t="str">
        <f>_xlfn.TEXTJOIN(" ",TRUE,Table1[[#This Row],[First 
Name]:[Last 
Name]])</f>
        <v>Paul Taylor</v>
      </c>
      <c r="E1129" t="s">
        <v>2239</v>
      </c>
      <c r="F1129" t="s">
        <v>3244</v>
      </c>
      <c r="G1129" t="str">
        <f ca="1">PROPER(Table1[[#This Row],[Part Time 
Job]])</f>
        <v>False</v>
      </c>
      <c r="H1129" s="3">
        <v>6</v>
      </c>
      <c r="I1129" t="str">
        <f ca="1">PROPER(Table1[[#This Row],[Extracurricular 
Activities]])</f>
        <v>False</v>
      </c>
      <c r="J1129">
        <v>35</v>
      </c>
      <c r="K1129" t="s">
        <v>3125</v>
      </c>
      <c r="L1129">
        <v>90</v>
      </c>
      <c r="M1129" s="12" t="str" cm="1">
        <f t="array" ref="M112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129">
        <v>86</v>
      </c>
      <c r="O1129" s="13" t="str" cm="1">
        <f t="array" ref="O112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129">
        <v>99</v>
      </c>
      <c r="Q1129" s="13" t="str" cm="1">
        <f t="array" ref="Q112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129">
        <v>94</v>
      </c>
      <c r="S1129" t="str" cm="1">
        <f t="array" ref="S112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129">
        <v>100</v>
      </c>
      <c r="U1129" t="str" cm="1">
        <f t="array" ref="U112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129">
        <v>89</v>
      </c>
      <c r="W1129" t="str" cm="1">
        <f t="array" ref="W112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129">
        <v>85</v>
      </c>
      <c r="Y1129" t="str" cm="1">
        <f t="array" ref="Y112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129">
        <f>SUM(Table1[[#This Row],[Math 
Score]],Table1[[#This Row],[History 
Score]],Table1[[#This Row],[Physics 
Score]],Table1[[#This Row],[Chemistry 
Score]],Table1[[#This Row],[Biology 
Score]],Table1[[#This Row],[English 
Score]],Table1[[#This Row],[Geography 
Score]])</f>
        <v>643</v>
      </c>
      <c r="AA1129" s="3">
        <f>AVERAGE(Table1[[#This Row],[Math 
Score]],Table1[[#This Row],[History 
Score]],Table1[[#This Row],[Physics 
Score]],Table1[[#This Row],[Chemistry 
Score]],Table1[[#This Row],[Biology 
Score]],Table1[[#This Row],[English 
Score]],Table1[[#This Row],[Geography 
Score]])</f>
        <v>91.857142857142861</v>
      </c>
      <c r="AB112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129">
        <f t="shared" si="17"/>
        <v>87</v>
      </c>
      <c r="AD1129" t="str">
        <f>_xlfn.IFS(Table1[[#This Row],[Absence 
Days]]&lt;3,"Excellent",Table1[[#This Row],[Absence 
Days]]&lt;=6,"Good",Table1[[#This Row],[Absence 
Days]]&gt;6,"Poor")</f>
        <v>Good</v>
      </c>
    </row>
    <row r="1130" spans="1:30" x14ac:dyDescent="0.35">
      <c r="A1130">
        <v>1129</v>
      </c>
      <c r="B1130" s="2" t="s">
        <v>55</v>
      </c>
      <c r="C1130" t="s">
        <v>942</v>
      </c>
      <c r="D1130" t="str">
        <f>_xlfn.TEXTJOIN(" ",TRUE,Table1[[#This Row],[First 
Name]:[Last 
Name]])</f>
        <v>Brittany Simmons</v>
      </c>
      <c r="E1130" t="s">
        <v>2240</v>
      </c>
      <c r="F1130" t="s">
        <v>3245</v>
      </c>
      <c r="G1130" t="str">
        <f ca="1">PROPER(Table1[[#This Row],[Part Time 
Job]])</f>
        <v>False</v>
      </c>
      <c r="H1130" s="3">
        <v>2</v>
      </c>
      <c r="I1130" t="str">
        <f ca="1">PROPER(Table1[[#This Row],[Extracurricular 
Activities]])</f>
        <v>False</v>
      </c>
      <c r="J1130">
        <v>29</v>
      </c>
      <c r="K1130" t="s">
        <v>3116</v>
      </c>
      <c r="L1130">
        <v>75</v>
      </c>
      <c r="M1130" s="12" t="str" cm="1">
        <f t="array" ref="M113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130">
        <v>96</v>
      </c>
      <c r="O1130" s="13" t="str" cm="1">
        <f t="array" ref="O113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130">
        <v>61</v>
      </c>
      <c r="Q1130" s="13" t="str" cm="1">
        <f t="array" ref="Q113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130">
        <v>73</v>
      </c>
      <c r="S1130" t="str" cm="1">
        <f t="array" ref="S113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130">
        <v>60</v>
      </c>
      <c r="U1130" t="str" cm="1">
        <f t="array" ref="U113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130">
        <v>77</v>
      </c>
      <c r="W1130" t="str" cm="1">
        <f t="array" ref="W113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130">
        <v>81</v>
      </c>
      <c r="Y1130" t="str" cm="1">
        <f t="array" ref="Y113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130">
        <f>SUM(Table1[[#This Row],[Math 
Score]],Table1[[#This Row],[History 
Score]],Table1[[#This Row],[Physics 
Score]],Table1[[#This Row],[Chemistry 
Score]],Table1[[#This Row],[Biology 
Score]],Table1[[#This Row],[English 
Score]],Table1[[#This Row],[Geography 
Score]])</f>
        <v>523</v>
      </c>
      <c r="AA1130" s="3">
        <f>AVERAGE(Table1[[#This Row],[Math 
Score]],Table1[[#This Row],[History 
Score]],Table1[[#This Row],[Physics 
Score]],Table1[[#This Row],[Chemistry 
Score]],Table1[[#This Row],[Biology 
Score]],Table1[[#This Row],[English 
Score]],Table1[[#This Row],[Geography 
Score]])</f>
        <v>74.714285714285708</v>
      </c>
      <c r="AB113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130">
        <f t="shared" si="17"/>
        <v>1727</v>
      </c>
      <c r="AD1130" t="str">
        <f>_xlfn.IFS(Table1[[#This Row],[Absence 
Days]]&lt;3,"Excellent",Table1[[#This Row],[Absence 
Days]]&lt;=6,"Good",Table1[[#This Row],[Absence 
Days]]&gt;6,"Poor")</f>
        <v>Excellent</v>
      </c>
    </row>
    <row r="1131" spans="1:30" x14ac:dyDescent="0.35">
      <c r="A1131">
        <v>1130</v>
      </c>
      <c r="B1131" s="2" t="s">
        <v>84</v>
      </c>
      <c r="C1131" t="s">
        <v>532</v>
      </c>
      <c r="D1131" t="str">
        <f>_xlfn.TEXTJOIN(" ",TRUE,Table1[[#This Row],[First 
Name]:[Last 
Name]])</f>
        <v>Emma Jones</v>
      </c>
      <c r="E1131" t="s">
        <v>2241</v>
      </c>
      <c r="F1131" t="s">
        <v>3245</v>
      </c>
      <c r="G1131" t="str">
        <f ca="1">PROPER(Table1[[#This Row],[Part Time 
Job]])</f>
        <v>False</v>
      </c>
      <c r="H1131" s="3">
        <v>3</v>
      </c>
      <c r="I1131" t="str">
        <f ca="1">PROPER(Table1[[#This Row],[Extracurricular 
Activities]])</f>
        <v>True</v>
      </c>
      <c r="J1131">
        <v>14</v>
      </c>
      <c r="K1131" t="s">
        <v>3123</v>
      </c>
      <c r="L1131">
        <v>96</v>
      </c>
      <c r="M1131" s="12" t="str" cm="1">
        <f t="array" ref="M113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131">
        <v>100</v>
      </c>
      <c r="O1131" s="13" t="str" cm="1">
        <f t="array" ref="O113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131">
        <v>96</v>
      </c>
      <c r="Q1131" s="13" t="str" cm="1">
        <f t="array" ref="Q113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131">
        <v>87</v>
      </c>
      <c r="S1131" t="str" cm="1">
        <f t="array" ref="S113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131">
        <v>83</v>
      </c>
      <c r="U1131" t="str" cm="1">
        <f t="array" ref="U113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131">
        <v>81</v>
      </c>
      <c r="W1131" t="str" cm="1">
        <f t="array" ref="W113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131">
        <v>95</v>
      </c>
      <c r="Y1131" t="str" cm="1">
        <f t="array" ref="Y113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131">
        <f>SUM(Table1[[#This Row],[Math 
Score]],Table1[[#This Row],[History 
Score]],Table1[[#This Row],[Physics 
Score]],Table1[[#This Row],[Chemistry 
Score]],Table1[[#This Row],[Biology 
Score]],Table1[[#This Row],[English 
Score]],Table1[[#This Row],[Geography 
Score]])</f>
        <v>638</v>
      </c>
      <c r="AA1131" s="3">
        <f>AVERAGE(Table1[[#This Row],[Math 
Score]],Table1[[#This Row],[History 
Score]],Table1[[#This Row],[Physics 
Score]],Table1[[#This Row],[Chemistry 
Score]],Table1[[#This Row],[Biology 
Score]],Table1[[#This Row],[English 
Score]],Table1[[#This Row],[Geography 
Score]])</f>
        <v>91.142857142857139</v>
      </c>
      <c r="AB113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131">
        <f t="shared" si="17"/>
        <v>110</v>
      </c>
      <c r="AD1131" t="str">
        <f>_xlfn.IFS(Table1[[#This Row],[Absence 
Days]]&lt;3,"Excellent",Table1[[#This Row],[Absence 
Days]]&lt;=6,"Good",Table1[[#This Row],[Absence 
Days]]&gt;6,"Poor")</f>
        <v>Good</v>
      </c>
    </row>
    <row r="1132" spans="1:30" x14ac:dyDescent="0.35">
      <c r="A1132">
        <v>1131</v>
      </c>
      <c r="B1132" s="2" t="s">
        <v>110</v>
      </c>
      <c r="C1132" t="s">
        <v>943</v>
      </c>
      <c r="D1132" t="str">
        <f>_xlfn.TEXTJOIN(" ",TRUE,Table1[[#This Row],[First 
Name]:[Last 
Name]])</f>
        <v>Matthew Aguilar</v>
      </c>
      <c r="E1132" t="s">
        <v>2242</v>
      </c>
      <c r="F1132" t="s">
        <v>3244</v>
      </c>
      <c r="G1132" t="str">
        <f ca="1">PROPER(Table1[[#This Row],[Part Time 
Job]])</f>
        <v>False</v>
      </c>
      <c r="H1132" s="3">
        <v>2</v>
      </c>
      <c r="I1132" t="str">
        <f ca="1">PROPER(Table1[[#This Row],[Extracurricular 
Activities]])</f>
        <v>False</v>
      </c>
      <c r="J1132">
        <v>11</v>
      </c>
      <c r="K1132" t="s">
        <v>3121</v>
      </c>
      <c r="L1132">
        <v>88</v>
      </c>
      <c r="M1132" s="12" t="str" cm="1">
        <f t="array" ref="M113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132">
        <v>98</v>
      </c>
      <c r="O1132" s="13" t="str" cm="1">
        <f t="array" ref="O113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132">
        <v>81</v>
      </c>
      <c r="Q1132" s="13" t="str" cm="1">
        <f t="array" ref="Q113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132">
        <v>61</v>
      </c>
      <c r="S1132" t="str" cm="1">
        <f t="array" ref="S113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132">
        <v>62</v>
      </c>
      <c r="U1132" t="str" cm="1">
        <f t="array" ref="U113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132">
        <v>96</v>
      </c>
      <c r="W1132" t="str" cm="1">
        <f t="array" ref="W113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132">
        <v>60</v>
      </c>
      <c r="Y1132" t="str" cm="1">
        <f t="array" ref="Y113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132">
        <f>SUM(Table1[[#This Row],[Math 
Score]],Table1[[#This Row],[History 
Score]],Table1[[#This Row],[Physics 
Score]],Table1[[#This Row],[Chemistry 
Score]],Table1[[#This Row],[Biology 
Score]],Table1[[#This Row],[English 
Score]],Table1[[#This Row],[Geography 
Score]])</f>
        <v>546</v>
      </c>
      <c r="AA1132" s="3">
        <f>AVERAGE(Table1[[#This Row],[Math 
Score]],Table1[[#This Row],[History 
Score]],Table1[[#This Row],[Physics 
Score]],Table1[[#This Row],[Chemistry 
Score]],Table1[[#This Row],[Biology 
Score]],Table1[[#This Row],[English 
Score]],Table1[[#This Row],[Geography 
Score]])</f>
        <v>78</v>
      </c>
      <c r="AB113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132">
        <f t="shared" si="17"/>
        <v>1411</v>
      </c>
      <c r="AD1132" t="str">
        <f>_xlfn.IFS(Table1[[#This Row],[Absence 
Days]]&lt;3,"Excellent",Table1[[#This Row],[Absence 
Days]]&lt;=6,"Good",Table1[[#This Row],[Absence 
Days]]&gt;6,"Poor")</f>
        <v>Excellent</v>
      </c>
    </row>
    <row r="1133" spans="1:30" x14ac:dyDescent="0.35">
      <c r="A1133">
        <v>1132</v>
      </c>
      <c r="B1133" s="2" t="s">
        <v>346</v>
      </c>
      <c r="C1133" t="s">
        <v>594</v>
      </c>
      <c r="D1133" t="str">
        <f>_xlfn.TEXTJOIN(" ",TRUE,Table1[[#This Row],[First 
Name]:[Last 
Name]])</f>
        <v>Brett Myers</v>
      </c>
      <c r="E1133" t="s">
        <v>2243</v>
      </c>
      <c r="F1133" t="s">
        <v>3244</v>
      </c>
      <c r="G1133" t="str">
        <f ca="1">PROPER(Table1[[#This Row],[Part Time 
Job]])</f>
        <v>False</v>
      </c>
      <c r="H1133" s="3">
        <v>2</v>
      </c>
      <c r="I1133" t="str">
        <f ca="1">PROPER(Table1[[#This Row],[Extracurricular 
Activities]])</f>
        <v>True</v>
      </c>
      <c r="J1133">
        <v>1</v>
      </c>
      <c r="K1133" t="s">
        <v>3126</v>
      </c>
      <c r="L1133">
        <v>99</v>
      </c>
      <c r="M1133" s="12" t="str" cm="1">
        <f t="array" ref="M113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133">
        <v>60</v>
      </c>
      <c r="O1133" s="13" t="str" cm="1">
        <f t="array" ref="O113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133">
        <v>87</v>
      </c>
      <c r="Q1133" s="13" t="str" cm="1">
        <f t="array" ref="Q113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133">
        <v>94</v>
      </c>
      <c r="S1133" t="str" cm="1">
        <f t="array" ref="S113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133">
        <v>71</v>
      </c>
      <c r="U1133" t="str" cm="1">
        <f t="array" ref="U113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133">
        <v>93</v>
      </c>
      <c r="W1133" t="str" cm="1">
        <f t="array" ref="W113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133">
        <v>93</v>
      </c>
      <c r="Y1133" t="str" cm="1">
        <f t="array" ref="Y113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133">
        <f>SUM(Table1[[#This Row],[Math 
Score]],Table1[[#This Row],[History 
Score]],Table1[[#This Row],[Physics 
Score]],Table1[[#This Row],[Chemistry 
Score]],Table1[[#This Row],[Biology 
Score]],Table1[[#This Row],[English 
Score]],Table1[[#This Row],[Geography 
Score]])</f>
        <v>597</v>
      </c>
      <c r="AA1133" s="3">
        <f>AVERAGE(Table1[[#This Row],[Math 
Score]],Table1[[#This Row],[History 
Score]],Table1[[#This Row],[Physics 
Score]],Table1[[#This Row],[Chemistry 
Score]],Table1[[#This Row],[Biology 
Score]],Table1[[#This Row],[English 
Score]],Table1[[#This Row],[Geography 
Score]])</f>
        <v>85.285714285714292</v>
      </c>
      <c r="AB113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133">
        <f t="shared" si="17"/>
        <v>446</v>
      </c>
      <c r="AD1133" t="str">
        <f>_xlfn.IFS(Table1[[#This Row],[Absence 
Days]]&lt;3,"Excellent",Table1[[#This Row],[Absence 
Days]]&lt;=6,"Good",Table1[[#This Row],[Absence 
Days]]&gt;6,"Poor")</f>
        <v>Excellent</v>
      </c>
    </row>
    <row r="1134" spans="1:30" x14ac:dyDescent="0.35">
      <c r="A1134">
        <v>1133</v>
      </c>
      <c r="B1134" s="2" t="s">
        <v>32</v>
      </c>
      <c r="C1134" t="s">
        <v>261</v>
      </c>
      <c r="D1134" t="str">
        <f>_xlfn.TEXTJOIN(" ",TRUE,Table1[[#This Row],[First 
Name]:[Last 
Name]])</f>
        <v>Lisa Alexander</v>
      </c>
      <c r="E1134" t="s">
        <v>2244</v>
      </c>
      <c r="F1134" t="s">
        <v>3245</v>
      </c>
      <c r="G1134" t="str">
        <f ca="1">PROPER(Table1[[#This Row],[Part Time 
Job]])</f>
        <v>False</v>
      </c>
      <c r="H1134" s="3">
        <v>4</v>
      </c>
      <c r="I1134" t="str">
        <f ca="1">PROPER(Table1[[#This Row],[Extracurricular 
Activities]])</f>
        <v>False</v>
      </c>
      <c r="J1134">
        <v>14</v>
      </c>
      <c r="K1134" t="s">
        <v>3118</v>
      </c>
      <c r="L1134">
        <v>86</v>
      </c>
      <c r="M1134" s="12" t="str" cm="1">
        <f t="array" ref="M113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134">
        <v>99</v>
      </c>
      <c r="O1134" s="13" t="str" cm="1">
        <f t="array" ref="O113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134">
        <v>64</v>
      </c>
      <c r="Q1134" s="13" t="str" cm="1">
        <f t="array" ref="Q113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134">
        <v>88</v>
      </c>
      <c r="S1134" t="str" cm="1">
        <f t="array" ref="S113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134">
        <v>84</v>
      </c>
      <c r="U1134" t="str" cm="1">
        <f t="array" ref="U113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134">
        <v>95</v>
      </c>
      <c r="W1134" t="str" cm="1">
        <f t="array" ref="W113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134">
        <v>97</v>
      </c>
      <c r="Y1134" t="str" cm="1">
        <f t="array" ref="Y113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134">
        <f>SUM(Table1[[#This Row],[Math 
Score]],Table1[[#This Row],[History 
Score]],Table1[[#This Row],[Physics 
Score]],Table1[[#This Row],[Chemistry 
Score]],Table1[[#This Row],[Biology 
Score]],Table1[[#This Row],[English 
Score]],Table1[[#This Row],[Geography 
Score]])</f>
        <v>613</v>
      </c>
      <c r="AA1134" s="3">
        <f>AVERAGE(Table1[[#This Row],[Math 
Score]],Table1[[#This Row],[History 
Score]],Table1[[#This Row],[Physics 
Score]],Table1[[#This Row],[Chemistry 
Score]],Table1[[#This Row],[Biology 
Score]],Table1[[#This Row],[English 
Score]],Table1[[#This Row],[Geography 
Score]])</f>
        <v>87.571428571428569</v>
      </c>
      <c r="AB113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134">
        <f t="shared" si="17"/>
        <v>271</v>
      </c>
      <c r="AD1134" t="str">
        <f>_xlfn.IFS(Table1[[#This Row],[Absence 
Days]]&lt;3,"Excellent",Table1[[#This Row],[Absence 
Days]]&lt;=6,"Good",Table1[[#This Row],[Absence 
Days]]&gt;6,"Poor")</f>
        <v>Good</v>
      </c>
    </row>
    <row r="1135" spans="1:30" x14ac:dyDescent="0.35">
      <c r="A1135">
        <v>1134</v>
      </c>
      <c r="B1135" s="2" t="s">
        <v>237</v>
      </c>
      <c r="C1135" t="s">
        <v>194</v>
      </c>
      <c r="D1135" t="str">
        <f>_xlfn.TEXTJOIN(" ",TRUE,Table1[[#This Row],[First 
Name]:[Last 
Name]])</f>
        <v>Stephanie Allen</v>
      </c>
      <c r="E1135" t="s">
        <v>2245</v>
      </c>
      <c r="F1135" t="s">
        <v>3245</v>
      </c>
      <c r="G1135" t="str">
        <f ca="1">PROPER(Table1[[#This Row],[Part Time 
Job]])</f>
        <v>False</v>
      </c>
      <c r="H1135" s="3">
        <v>4</v>
      </c>
      <c r="I1135" t="str">
        <f ca="1">PROPER(Table1[[#This Row],[Extracurricular 
Activities]])</f>
        <v>True</v>
      </c>
      <c r="J1135">
        <v>11</v>
      </c>
      <c r="K1135" t="s">
        <v>3124</v>
      </c>
      <c r="L1135">
        <v>96</v>
      </c>
      <c r="M1135" s="12" t="str" cm="1">
        <f t="array" ref="M113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135">
        <v>61</v>
      </c>
      <c r="O1135" s="13" t="str" cm="1">
        <f t="array" ref="O113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135">
        <v>85</v>
      </c>
      <c r="Q1135" s="13" t="str" cm="1">
        <f t="array" ref="Q113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135">
        <v>87</v>
      </c>
      <c r="S1135" t="str" cm="1">
        <f t="array" ref="S113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135">
        <v>83</v>
      </c>
      <c r="U1135" t="str" cm="1">
        <f t="array" ref="U113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135">
        <v>80</v>
      </c>
      <c r="W1135" t="str" cm="1">
        <f t="array" ref="W113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135">
        <v>79</v>
      </c>
      <c r="Y1135" t="str" cm="1">
        <f t="array" ref="Y113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135">
        <f>SUM(Table1[[#This Row],[Math 
Score]],Table1[[#This Row],[History 
Score]],Table1[[#This Row],[Physics 
Score]],Table1[[#This Row],[Chemistry 
Score]],Table1[[#This Row],[Biology 
Score]],Table1[[#This Row],[English 
Score]],Table1[[#This Row],[Geography 
Score]])</f>
        <v>571</v>
      </c>
      <c r="AA1135" s="3">
        <f>AVERAGE(Table1[[#This Row],[Math 
Score]],Table1[[#This Row],[History 
Score]],Table1[[#This Row],[Physics 
Score]],Table1[[#This Row],[Chemistry 
Score]],Table1[[#This Row],[Biology 
Score]],Table1[[#This Row],[English 
Score]],Table1[[#This Row],[Geography 
Score]])</f>
        <v>81.571428571428569</v>
      </c>
      <c r="AB113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135">
        <f t="shared" si="17"/>
        <v>915</v>
      </c>
      <c r="AD1135" t="str">
        <f>_xlfn.IFS(Table1[[#This Row],[Absence 
Days]]&lt;3,"Excellent",Table1[[#This Row],[Absence 
Days]]&lt;=6,"Good",Table1[[#This Row],[Absence 
Days]]&gt;6,"Poor")</f>
        <v>Good</v>
      </c>
    </row>
    <row r="1136" spans="1:30" x14ac:dyDescent="0.35">
      <c r="A1136">
        <v>1135</v>
      </c>
      <c r="B1136" s="2" t="s">
        <v>122</v>
      </c>
      <c r="C1136" t="s">
        <v>455</v>
      </c>
      <c r="D1136" t="str">
        <f>_xlfn.TEXTJOIN(" ",TRUE,Table1[[#This Row],[First 
Name]:[Last 
Name]])</f>
        <v>Rebecca Clark</v>
      </c>
      <c r="E1136" t="s">
        <v>2246</v>
      </c>
      <c r="F1136" t="s">
        <v>3245</v>
      </c>
      <c r="G1136" t="str">
        <f ca="1">PROPER(Table1[[#This Row],[Part Time 
Job]])</f>
        <v>False</v>
      </c>
      <c r="H1136" s="3">
        <v>3</v>
      </c>
      <c r="I1136" t="str">
        <f ca="1">PROPER(Table1[[#This Row],[Extracurricular 
Activities]])</f>
        <v>False</v>
      </c>
      <c r="J1136">
        <v>28</v>
      </c>
      <c r="K1136" t="s">
        <v>3112</v>
      </c>
      <c r="L1136">
        <v>87</v>
      </c>
      <c r="M1136" s="12" t="str" cm="1">
        <f t="array" ref="M113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136">
        <v>99</v>
      </c>
      <c r="O1136" s="13" t="str" cm="1">
        <f t="array" ref="O113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136">
        <v>70</v>
      </c>
      <c r="Q1136" s="13" t="str" cm="1">
        <f t="array" ref="Q113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136">
        <v>81</v>
      </c>
      <c r="S1136" t="str" cm="1">
        <f t="array" ref="S113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136">
        <v>62</v>
      </c>
      <c r="U1136" t="str" cm="1">
        <f t="array" ref="U113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136">
        <v>90</v>
      </c>
      <c r="W1136" t="str" cm="1">
        <f t="array" ref="W113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136">
        <v>91</v>
      </c>
      <c r="Y1136" t="str" cm="1">
        <f t="array" ref="Y113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136">
        <f>SUM(Table1[[#This Row],[Math 
Score]],Table1[[#This Row],[History 
Score]],Table1[[#This Row],[Physics 
Score]],Table1[[#This Row],[Chemistry 
Score]],Table1[[#This Row],[Biology 
Score]],Table1[[#This Row],[English 
Score]],Table1[[#This Row],[Geography 
Score]])</f>
        <v>580</v>
      </c>
      <c r="AA1136" s="3">
        <f>AVERAGE(Table1[[#This Row],[Math 
Score]],Table1[[#This Row],[History 
Score]],Table1[[#This Row],[Physics 
Score]],Table1[[#This Row],[Chemistry 
Score]],Table1[[#This Row],[Biology 
Score]],Table1[[#This Row],[English 
Score]],Table1[[#This Row],[Geography 
Score]])</f>
        <v>82.857142857142861</v>
      </c>
      <c r="AB113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136">
        <f t="shared" si="17"/>
        <v>709</v>
      </c>
      <c r="AD1136" t="str">
        <f>_xlfn.IFS(Table1[[#This Row],[Absence 
Days]]&lt;3,"Excellent",Table1[[#This Row],[Absence 
Days]]&lt;=6,"Good",Table1[[#This Row],[Absence 
Days]]&gt;6,"Poor")</f>
        <v>Good</v>
      </c>
    </row>
    <row r="1137" spans="1:30" x14ac:dyDescent="0.35">
      <c r="A1137">
        <v>1136</v>
      </c>
      <c r="B1137" s="2" t="s">
        <v>93</v>
      </c>
      <c r="C1137" t="s">
        <v>636</v>
      </c>
      <c r="D1137" t="str">
        <f>_xlfn.TEXTJOIN(" ",TRUE,Table1[[#This Row],[First 
Name]:[Last 
Name]])</f>
        <v>Andrew Sanders</v>
      </c>
      <c r="E1137" t="s">
        <v>2247</v>
      </c>
      <c r="F1137" t="s">
        <v>3244</v>
      </c>
      <c r="G1137" t="str">
        <f ca="1">PROPER(Table1[[#This Row],[Part Time 
Job]])</f>
        <v>False</v>
      </c>
      <c r="H1137" s="3">
        <v>6</v>
      </c>
      <c r="I1137" t="str">
        <f ca="1">PROPER(Table1[[#This Row],[Extracurricular 
Activities]])</f>
        <v>False</v>
      </c>
      <c r="J1137">
        <v>18</v>
      </c>
      <c r="K1137" t="s">
        <v>3117</v>
      </c>
      <c r="L1137">
        <v>89</v>
      </c>
      <c r="M1137" s="12" t="str" cm="1">
        <f t="array" ref="M113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137">
        <v>90</v>
      </c>
      <c r="O1137" s="13" t="str" cm="1">
        <f t="array" ref="O113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137">
        <v>96</v>
      </c>
      <c r="Q1137" s="13" t="str" cm="1">
        <f t="array" ref="Q113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137">
        <v>97</v>
      </c>
      <c r="S1137" t="str" cm="1">
        <f t="array" ref="S113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137">
        <v>87</v>
      </c>
      <c r="U1137" t="str" cm="1">
        <f t="array" ref="U113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137">
        <v>84</v>
      </c>
      <c r="W1137" t="str" cm="1">
        <f t="array" ref="W113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137">
        <v>63</v>
      </c>
      <c r="Y1137" t="str" cm="1">
        <f t="array" ref="Y113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137">
        <f>SUM(Table1[[#This Row],[Math 
Score]],Table1[[#This Row],[History 
Score]],Table1[[#This Row],[Physics 
Score]],Table1[[#This Row],[Chemistry 
Score]],Table1[[#This Row],[Biology 
Score]],Table1[[#This Row],[English 
Score]],Table1[[#This Row],[Geography 
Score]])</f>
        <v>606</v>
      </c>
      <c r="AA1137" s="3">
        <f>AVERAGE(Table1[[#This Row],[Math 
Score]],Table1[[#This Row],[History 
Score]],Table1[[#This Row],[Physics 
Score]],Table1[[#This Row],[Chemistry 
Score]],Table1[[#This Row],[Biology 
Score]],Table1[[#This Row],[English 
Score]],Table1[[#This Row],[Geography 
Score]])</f>
        <v>86.571428571428569</v>
      </c>
      <c r="AB113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137">
        <f t="shared" si="17"/>
        <v>333</v>
      </c>
      <c r="AD1137" t="str">
        <f>_xlfn.IFS(Table1[[#This Row],[Absence 
Days]]&lt;3,"Excellent",Table1[[#This Row],[Absence 
Days]]&lt;=6,"Good",Table1[[#This Row],[Absence 
Days]]&gt;6,"Poor")</f>
        <v>Good</v>
      </c>
    </row>
    <row r="1138" spans="1:30" x14ac:dyDescent="0.35">
      <c r="A1138">
        <v>1137</v>
      </c>
      <c r="B1138" s="2" t="s">
        <v>313</v>
      </c>
      <c r="C1138" t="s">
        <v>767</v>
      </c>
      <c r="D1138" t="str">
        <f>_xlfn.TEXTJOIN(" ",TRUE,Table1[[#This Row],[First 
Name]:[Last 
Name]])</f>
        <v>Julia Day</v>
      </c>
      <c r="E1138" t="s">
        <v>2248</v>
      </c>
      <c r="F1138" t="s">
        <v>3245</v>
      </c>
      <c r="G1138" t="str">
        <f ca="1">PROPER(Table1[[#This Row],[Part Time 
Job]])</f>
        <v>False</v>
      </c>
      <c r="H1138" s="3">
        <v>1</v>
      </c>
      <c r="I1138" t="str">
        <f ca="1">PROPER(Table1[[#This Row],[Extracurricular 
Activities]])</f>
        <v>False</v>
      </c>
      <c r="J1138">
        <v>31</v>
      </c>
      <c r="K1138" t="s">
        <v>3122</v>
      </c>
      <c r="L1138">
        <v>77</v>
      </c>
      <c r="M1138" s="12" t="str" cm="1">
        <f t="array" ref="M113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138">
        <v>98</v>
      </c>
      <c r="O1138" s="13" t="str" cm="1">
        <f t="array" ref="O113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138">
        <v>67</v>
      </c>
      <c r="Q1138" s="13" t="str" cm="1">
        <f t="array" ref="Q113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138">
        <v>67</v>
      </c>
      <c r="S1138" t="str" cm="1">
        <f t="array" ref="S113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138">
        <v>80</v>
      </c>
      <c r="U1138" t="str" cm="1">
        <f t="array" ref="U113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138">
        <v>90</v>
      </c>
      <c r="W1138" t="str" cm="1">
        <f t="array" ref="W113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138">
        <v>66</v>
      </c>
      <c r="Y1138" t="str" cm="1">
        <f t="array" ref="Y113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138">
        <f>SUM(Table1[[#This Row],[Math 
Score]],Table1[[#This Row],[History 
Score]],Table1[[#This Row],[Physics 
Score]],Table1[[#This Row],[Chemistry 
Score]],Table1[[#This Row],[Biology 
Score]],Table1[[#This Row],[English 
Score]],Table1[[#This Row],[Geography 
Score]])</f>
        <v>545</v>
      </c>
      <c r="AA1138" s="3">
        <f>AVERAGE(Table1[[#This Row],[Math 
Score]],Table1[[#This Row],[History 
Score]],Table1[[#This Row],[Physics 
Score]],Table1[[#This Row],[Chemistry 
Score]],Table1[[#This Row],[Biology 
Score]],Table1[[#This Row],[English 
Score]],Table1[[#This Row],[Geography 
Score]])</f>
        <v>77.857142857142861</v>
      </c>
      <c r="AB113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138">
        <f t="shared" si="17"/>
        <v>1432</v>
      </c>
      <c r="AD1138" t="str">
        <f>_xlfn.IFS(Table1[[#This Row],[Absence 
Days]]&lt;3,"Excellent",Table1[[#This Row],[Absence 
Days]]&lt;=6,"Good",Table1[[#This Row],[Absence 
Days]]&gt;6,"Poor")</f>
        <v>Excellent</v>
      </c>
    </row>
    <row r="1139" spans="1:30" x14ac:dyDescent="0.35">
      <c r="A1139">
        <v>1138</v>
      </c>
      <c r="B1139" s="2" t="s">
        <v>368</v>
      </c>
      <c r="C1139" t="s">
        <v>944</v>
      </c>
      <c r="D1139" t="str">
        <f>_xlfn.TEXTJOIN(" ",TRUE,Table1[[#This Row],[First 
Name]:[Last 
Name]])</f>
        <v>Amber Levy</v>
      </c>
      <c r="E1139" t="s">
        <v>2249</v>
      </c>
      <c r="F1139" t="s">
        <v>3245</v>
      </c>
      <c r="G1139" t="str">
        <f ca="1">PROPER(Table1[[#This Row],[Part Time 
Job]])</f>
        <v>True</v>
      </c>
      <c r="H1139" s="3">
        <v>6</v>
      </c>
      <c r="I1139" t="str">
        <f ca="1">PROPER(Table1[[#This Row],[Extracurricular 
Activities]])</f>
        <v>False</v>
      </c>
      <c r="J1139">
        <v>2</v>
      </c>
      <c r="K1139" t="s">
        <v>3119</v>
      </c>
      <c r="L1139">
        <v>57</v>
      </c>
      <c r="M1139" s="12" t="str" cm="1">
        <f t="array" ref="M1139">_xlfn.IFS(Table1[[#This Row],[Math 
Score]]&gt;=90,"A+",Table1[[#This Row],[Math 
Score]]&gt;=80,"A", Table1[[#This Row],[Math 
Score]]&gt;=75,"A-",Table1[[#This Row],[Math 
Score]]&gt;=70,"B+",Table1[[#This Row],[Math 
Score]]&gt;=65,"B",Table1[[#This Row],[Math 
Score]]&gt;=60,"B-",Table1[[#This Row],[Math 
Score]]&gt;=50,"C",Table1[[#This Row],[Math 
Score]]&gt;=40,"D",Table1[[#This Row],[Math 
Score]]&lt;40,"F")</f>
        <v>C</v>
      </c>
      <c r="N1139">
        <v>71</v>
      </c>
      <c r="O1139" s="13" t="str" cm="1">
        <f t="array" ref="O113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139">
        <v>51</v>
      </c>
      <c r="Q1139" s="13" t="str" cm="1">
        <f t="array" ref="Q113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C</v>
      </c>
      <c r="R1139">
        <v>59</v>
      </c>
      <c r="S1139" t="str" cm="1">
        <f t="array" ref="S113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C</v>
      </c>
      <c r="T1139">
        <v>84</v>
      </c>
      <c r="U1139" t="str" cm="1">
        <f t="array" ref="U113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139">
        <v>74</v>
      </c>
      <c r="W1139" t="str" cm="1">
        <f t="array" ref="W113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139">
        <v>68</v>
      </c>
      <c r="Y1139" t="str" cm="1">
        <f t="array" ref="Y113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139">
        <f>SUM(Table1[[#This Row],[Math 
Score]],Table1[[#This Row],[History 
Score]],Table1[[#This Row],[Physics 
Score]],Table1[[#This Row],[Chemistry 
Score]],Table1[[#This Row],[Biology 
Score]],Table1[[#This Row],[English 
Score]],Table1[[#This Row],[Geography 
Score]])</f>
        <v>464</v>
      </c>
      <c r="AA1139" s="3">
        <f>AVERAGE(Table1[[#This Row],[Math 
Score]],Table1[[#This Row],[History 
Score]],Table1[[#This Row],[Physics 
Score]],Table1[[#This Row],[Chemistry 
Score]],Table1[[#This Row],[Biology 
Score]],Table1[[#This Row],[English 
Score]],Table1[[#This Row],[Geography 
Score]])</f>
        <v>66.285714285714292</v>
      </c>
      <c r="AB113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139">
        <f t="shared" si="17"/>
        <v>1975</v>
      </c>
      <c r="AD1139" t="str">
        <f>_xlfn.IFS(Table1[[#This Row],[Absence 
Days]]&lt;3,"Excellent",Table1[[#This Row],[Absence 
Days]]&lt;=6,"Good",Table1[[#This Row],[Absence 
Days]]&gt;6,"Poor")</f>
        <v>Good</v>
      </c>
    </row>
    <row r="1140" spans="1:30" x14ac:dyDescent="0.35">
      <c r="A1140">
        <v>1139</v>
      </c>
      <c r="B1140" s="2" t="s">
        <v>203</v>
      </c>
      <c r="C1140" t="s">
        <v>231</v>
      </c>
      <c r="D1140" t="str">
        <f>_xlfn.TEXTJOIN(" ",TRUE,Table1[[#This Row],[First 
Name]:[Last 
Name]])</f>
        <v>Nicole Daniel</v>
      </c>
      <c r="E1140" t="s">
        <v>2250</v>
      </c>
      <c r="F1140" t="s">
        <v>3245</v>
      </c>
      <c r="G1140" t="str">
        <f ca="1">PROPER(Table1[[#This Row],[Part Time 
Job]])</f>
        <v>False</v>
      </c>
      <c r="H1140" s="3">
        <v>0</v>
      </c>
      <c r="I1140" t="str">
        <f ca="1">PROPER(Table1[[#This Row],[Extracurricular 
Activities]])</f>
        <v>False</v>
      </c>
      <c r="J1140">
        <v>32</v>
      </c>
      <c r="K1140" t="s">
        <v>3123</v>
      </c>
      <c r="L1140">
        <v>88</v>
      </c>
      <c r="M1140" s="12" t="str" cm="1">
        <f t="array" ref="M114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140">
        <v>93</v>
      </c>
      <c r="O1140" s="13" t="str" cm="1">
        <f t="array" ref="O114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140">
        <v>91</v>
      </c>
      <c r="Q1140" s="13" t="str" cm="1">
        <f t="array" ref="Q114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140">
        <v>92</v>
      </c>
      <c r="S1140" t="str" cm="1">
        <f t="array" ref="S114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140">
        <v>53</v>
      </c>
      <c r="U1140" t="str" cm="1">
        <f t="array" ref="U114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C</v>
      </c>
      <c r="V1140">
        <v>65</v>
      </c>
      <c r="W1140" t="str" cm="1">
        <f t="array" ref="W114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140">
        <v>88</v>
      </c>
      <c r="Y1140" t="str" cm="1">
        <f t="array" ref="Y114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140">
        <f>SUM(Table1[[#This Row],[Math 
Score]],Table1[[#This Row],[History 
Score]],Table1[[#This Row],[Physics 
Score]],Table1[[#This Row],[Chemistry 
Score]],Table1[[#This Row],[Biology 
Score]],Table1[[#This Row],[English 
Score]],Table1[[#This Row],[Geography 
Score]])</f>
        <v>570</v>
      </c>
      <c r="AA1140" s="3">
        <f>AVERAGE(Table1[[#This Row],[Math 
Score]],Table1[[#This Row],[History 
Score]],Table1[[#This Row],[Physics 
Score]],Table1[[#This Row],[Chemistry 
Score]],Table1[[#This Row],[Biology 
Score]],Table1[[#This Row],[English 
Score]],Table1[[#This Row],[Geography 
Score]])</f>
        <v>81.428571428571431</v>
      </c>
      <c r="AB114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140">
        <f t="shared" si="17"/>
        <v>937</v>
      </c>
      <c r="AD1140" t="str">
        <f>_xlfn.IFS(Table1[[#This Row],[Absence 
Days]]&lt;3,"Excellent",Table1[[#This Row],[Absence 
Days]]&lt;=6,"Good",Table1[[#This Row],[Absence 
Days]]&gt;6,"Poor")</f>
        <v>Excellent</v>
      </c>
    </row>
    <row r="1141" spans="1:30" x14ac:dyDescent="0.35">
      <c r="A1141">
        <v>1140</v>
      </c>
      <c r="B1141" s="2" t="s">
        <v>165</v>
      </c>
      <c r="C1141" t="s">
        <v>841</v>
      </c>
      <c r="D1141" t="str">
        <f>_xlfn.TEXTJOIN(" ",TRUE,Table1[[#This Row],[First 
Name]:[Last 
Name]])</f>
        <v>Sarah Wells</v>
      </c>
      <c r="E1141" t="s">
        <v>2251</v>
      </c>
      <c r="F1141" t="s">
        <v>3245</v>
      </c>
      <c r="G1141" t="str">
        <f ca="1">PROPER(Table1[[#This Row],[Part Time 
Job]])</f>
        <v>False</v>
      </c>
      <c r="H1141" s="3">
        <v>3</v>
      </c>
      <c r="I1141" t="str">
        <f ca="1">PROPER(Table1[[#This Row],[Extracurricular 
Activities]])</f>
        <v>False</v>
      </c>
      <c r="J1141">
        <v>3</v>
      </c>
      <c r="K1141" t="s">
        <v>3128</v>
      </c>
      <c r="L1141">
        <v>56</v>
      </c>
      <c r="M1141" s="12" t="str" cm="1">
        <f t="array" ref="M1141">_xlfn.IFS(Table1[[#This Row],[Math 
Score]]&gt;=90,"A+",Table1[[#This Row],[Math 
Score]]&gt;=80,"A", Table1[[#This Row],[Math 
Score]]&gt;=75,"A-",Table1[[#This Row],[Math 
Score]]&gt;=70,"B+",Table1[[#This Row],[Math 
Score]]&gt;=65,"B",Table1[[#This Row],[Math 
Score]]&gt;=60,"B-",Table1[[#This Row],[Math 
Score]]&gt;=50,"C",Table1[[#This Row],[Math 
Score]]&gt;=40,"D",Table1[[#This Row],[Math 
Score]]&lt;40,"F")</f>
        <v>C</v>
      </c>
      <c r="N1141">
        <v>75</v>
      </c>
      <c r="O1141" s="13" t="str" cm="1">
        <f t="array" ref="O114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141">
        <v>78</v>
      </c>
      <c r="Q1141" s="13" t="str" cm="1">
        <f t="array" ref="Q114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141">
        <v>82</v>
      </c>
      <c r="S1141" t="str" cm="1">
        <f t="array" ref="S114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141">
        <v>98</v>
      </c>
      <c r="U1141" t="str" cm="1">
        <f t="array" ref="U114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141">
        <v>99</v>
      </c>
      <c r="W1141" t="str" cm="1">
        <f t="array" ref="W114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141">
        <v>81</v>
      </c>
      <c r="Y1141" t="str" cm="1">
        <f t="array" ref="Y114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141">
        <f>SUM(Table1[[#This Row],[Math 
Score]],Table1[[#This Row],[History 
Score]],Table1[[#This Row],[Physics 
Score]],Table1[[#This Row],[Chemistry 
Score]],Table1[[#This Row],[Biology 
Score]],Table1[[#This Row],[English 
Score]],Table1[[#This Row],[Geography 
Score]])</f>
        <v>569</v>
      </c>
      <c r="AA1141" s="3">
        <f>AVERAGE(Table1[[#This Row],[Math 
Score]],Table1[[#This Row],[History 
Score]],Table1[[#This Row],[Physics 
Score]],Table1[[#This Row],[Chemistry 
Score]],Table1[[#This Row],[Biology 
Score]],Table1[[#This Row],[English 
Score]],Table1[[#This Row],[Geography 
Score]])</f>
        <v>81.285714285714292</v>
      </c>
      <c r="AB114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141">
        <f t="shared" si="17"/>
        <v>957</v>
      </c>
      <c r="AD1141" t="str">
        <f>_xlfn.IFS(Table1[[#This Row],[Absence 
Days]]&lt;3,"Excellent",Table1[[#This Row],[Absence 
Days]]&lt;=6,"Good",Table1[[#This Row],[Absence 
Days]]&gt;6,"Poor")</f>
        <v>Good</v>
      </c>
    </row>
    <row r="1142" spans="1:30" x14ac:dyDescent="0.35">
      <c r="A1142">
        <v>1141</v>
      </c>
      <c r="B1142" s="2" t="s">
        <v>13</v>
      </c>
      <c r="C1142" t="s">
        <v>727</v>
      </c>
      <c r="D1142" t="str">
        <f>_xlfn.TEXTJOIN(" ",TRUE,Table1[[#This Row],[First 
Name]:[Last 
Name]])</f>
        <v>Laura Stone</v>
      </c>
      <c r="E1142" t="s">
        <v>2252</v>
      </c>
      <c r="F1142" t="s">
        <v>3245</v>
      </c>
      <c r="G1142" t="str">
        <f ca="1">PROPER(Table1[[#This Row],[Part Time 
Job]])</f>
        <v>True</v>
      </c>
      <c r="H1142" s="3">
        <v>1</v>
      </c>
      <c r="I1142" t="str">
        <f ca="1">PROPER(Table1[[#This Row],[Extracurricular 
Activities]])</f>
        <v>False</v>
      </c>
      <c r="J1142">
        <v>33</v>
      </c>
      <c r="K1142" t="s">
        <v>3123</v>
      </c>
      <c r="L1142">
        <v>94</v>
      </c>
      <c r="M1142" s="12" t="str" cm="1">
        <f t="array" ref="M114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142">
        <v>79</v>
      </c>
      <c r="O1142" s="13" t="str" cm="1">
        <f t="array" ref="O114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142">
        <v>64</v>
      </c>
      <c r="Q1142" s="13" t="str" cm="1">
        <f t="array" ref="Q114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142">
        <v>79</v>
      </c>
      <c r="S1142" t="str" cm="1">
        <f t="array" ref="S114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142">
        <v>96</v>
      </c>
      <c r="U1142" t="str" cm="1">
        <f t="array" ref="U114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142">
        <v>98</v>
      </c>
      <c r="W1142" t="str" cm="1">
        <f t="array" ref="W114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142">
        <v>93</v>
      </c>
      <c r="Y1142" t="str" cm="1">
        <f t="array" ref="Y114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142">
        <f>SUM(Table1[[#This Row],[Math 
Score]],Table1[[#This Row],[History 
Score]],Table1[[#This Row],[Physics 
Score]],Table1[[#This Row],[Chemistry 
Score]],Table1[[#This Row],[Biology 
Score]],Table1[[#This Row],[English 
Score]],Table1[[#This Row],[Geography 
Score]])</f>
        <v>603</v>
      </c>
      <c r="AA1142" s="3">
        <f>AVERAGE(Table1[[#This Row],[Math 
Score]],Table1[[#This Row],[History 
Score]],Table1[[#This Row],[Physics 
Score]],Table1[[#This Row],[Chemistry 
Score]],Table1[[#This Row],[Biology 
Score]],Table1[[#This Row],[English 
Score]],Table1[[#This Row],[Geography 
Score]])</f>
        <v>86.142857142857139</v>
      </c>
      <c r="AB114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142">
        <f t="shared" si="17"/>
        <v>370</v>
      </c>
      <c r="AD1142" t="str">
        <f>_xlfn.IFS(Table1[[#This Row],[Absence 
Days]]&lt;3,"Excellent",Table1[[#This Row],[Absence 
Days]]&lt;=6,"Good",Table1[[#This Row],[Absence 
Days]]&gt;6,"Poor")</f>
        <v>Excellent</v>
      </c>
    </row>
    <row r="1143" spans="1:30" x14ac:dyDescent="0.35">
      <c r="A1143">
        <v>1142</v>
      </c>
      <c r="B1143" s="2" t="s">
        <v>282</v>
      </c>
      <c r="C1143" t="s">
        <v>945</v>
      </c>
      <c r="D1143" t="str">
        <f>_xlfn.TEXTJOIN(" ",TRUE,Table1[[#This Row],[First 
Name]:[Last 
Name]])</f>
        <v>Katherine Glenn</v>
      </c>
      <c r="E1143" t="s">
        <v>2253</v>
      </c>
      <c r="F1143" t="s">
        <v>3245</v>
      </c>
      <c r="G1143" t="str">
        <f ca="1">PROPER(Table1[[#This Row],[Part Time 
Job]])</f>
        <v>False</v>
      </c>
      <c r="H1143" s="3">
        <v>3</v>
      </c>
      <c r="I1143" t="str">
        <f ca="1">PROPER(Table1[[#This Row],[Extracurricular 
Activities]])</f>
        <v>False</v>
      </c>
      <c r="J1143">
        <v>4</v>
      </c>
      <c r="K1143" t="s">
        <v>3119</v>
      </c>
      <c r="L1143">
        <v>57</v>
      </c>
      <c r="M1143" s="12" t="str" cm="1">
        <f t="array" ref="M1143">_xlfn.IFS(Table1[[#This Row],[Math 
Score]]&gt;=90,"A+",Table1[[#This Row],[Math 
Score]]&gt;=80,"A", Table1[[#This Row],[Math 
Score]]&gt;=75,"A-",Table1[[#This Row],[Math 
Score]]&gt;=70,"B+",Table1[[#This Row],[Math 
Score]]&gt;=65,"B",Table1[[#This Row],[Math 
Score]]&gt;=60,"B-",Table1[[#This Row],[Math 
Score]]&gt;=50,"C",Table1[[#This Row],[Math 
Score]]&gt;=40,"D",Table1[[#This Row],[Math 
Score]]&lt;40,"F")</f>
        <v>C</v>
      </c>
      <c r="N1143">
        <v>71</v>
      </c>
      <c r="O1143" s="13" t="str" cm="1">
        <f t="array" ref="O114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143">
        <v>76</v>
      </c>
      <c r="Q1143" s="13" t="str" cm="1">
        <f t="array" ref="Q114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143">
        <v>59</v>
      </c>
      <c r="S1143" t="str" cm="1">
        <f t="array" ref="S114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C</v>
      </c>
      <c r="T1143">
        <v>58</v>
      </c>
      <c r="U1143" t="str" cm="1">
        <f t="array" ref="U114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C</v>
      </c>
      <c r="V1143">
        <v>84</v>
      </c>
      <c r="W1143" t="str" cm="1">
        <f t="array" ref="W114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143">
        <v>73</v>
      </c>
      <c r="Y1143" t="str" cm="1">
        <f t="array" ref="Y114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143">
        <f>SUM(Table1[[#This Row],[Math 
Score]],Table1[[#This Row],[History 
Score]],Table1[[#This Row],[Physics 
Score]],Table1[[#This Row],[Chemistry 
Score]],Table1[[#This Row],[Biology 
Score]],Table1[[#This Row],[English 
Score]],Table1[[#This Row],[Geography 
Score]])</f>
        <v>478</v>
      </c>
      <c r="AA1143" s="3">
        <f>AVERAGE(Table1[[#This Row],[Math 
Score]],Table1[[#This Row],[History 
Score]],Table1[[#This Row],[Physics 
Score]],Table1[[#This Row],[Chemistry 
Score]],Table1[[#This Row],[Biology 
Score]],Table1[[#This Row],[English 
Score]],Table1[[#This Row],[Geography 
Score]])</f>
        <v>68.285714285714292</v>
      </c>
      <c r="AB114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143">
        <f t="shared" si="17"/>
        <v>1940</v>
      </c>
      <c r="AD1143" t="str">
        <f>_xlfn.IFS(Table1[[#This Row],[Absence 
Days]]&lt;3,"Excellent",Table1[[#This Row],[Absence 
Days]]&lt;=6,"Good",Table1[[#This Row],[Absence 
Days]]&gt;6,"Poor")</f>
        <v>Good</v>
      </c>
    </row>
    <row r="1144" spans="1:30" x14ac:dyDescent="0.35">
      <c r="A1144">
        <v>1143</v>
      </c>
      <c r="B1144" s="2" t="s">
        <v>151</v>
      </c>
      <c r="C1144" t="s">
        <v>946</v>
      </c>
      <c r="D1144" t="str">
        <f>_xlfn.TEXTJOIN(" ",TRUE,Table1[[#This Row],[First 
Name]:[Last 
Name]])</f>
        <v>Catherine Mccall</v>
      </c>
      <c r="E1144" t="s">
        <v>2254</v>
      </c>
      <c r="F1144" t="s">
        <v>3245</v>
      </c>
      <c r="G1144" t="str">
        <f ca="1">PROPER(Table1[[#This Row],[Part Time 
Job]])</f>
        <v>True</v>
      </c>
      <c r="H1144" s="3">
        <v>4</v>
      </c>
      <c r="I1144" t="str">
        <f ca="1">PROPER(Table1[[#This Row],[Extracurricular 
Activities]])</f>
        <v>False</v>
      </c>
      <c r="J1144">
        <v>0</v>
      </c>
      <c r="K1144" t="s">
        <v>3119</v>
      </c>
      <c r="L1144">
        <v>81</v>
      </c>
      <c r="M1144" s="12" t="str" cm="1">
        <f t="array" ref="M114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144">
        <v>86</v>
      </c>
      <c r="O1144" s="13" t="str" cm="1">
        <f t="array" ref="O114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144">
        <v>68</v>
      </c>
      <c r="Q1144" s="13" t="str" cm="1">
        <f t="array" ref="Q114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144">
        <v>65</v>
      </c>
      <c r="S1144" t="str" cm="1">
        <f t="array" ref="S114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144">
        <v>87</v>
      </c>
      <c r="U1144" t="str" cm="1">
        <f t="array" ref="U114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144">
        <v>78</v>
      </c>
      <c r="W1144" t="str" cm="1">
        <f t="array" ref="W114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144">
        <v>82</v>
      </c>
      <c r="Y1144" t="str" cm="1">
        <f t="array" ref="Y114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144">
        <f>SUM(Table1[[#This Row],[Math 
Score]],Table1[[#This Row],[History 
Score]],Table1[[#This Row],[Physics 
Score]],Table1[[#This Row],[Chemistry 
Score]],Table1[[#This Row],[Biology 
Score]],Table1[[#This Row],[English 
Score]],Table1[[#This Row],[Geography 
Score]])</f>
        <v>547</v>
      </c>
      <c r="AA1144" s="3">
        <f>AVERAGE(Table1[[#This Row],[Math 
Score]],Table1[[#This Row],[History 
Score]],Table1[[#This Row],[Physics 
Score]],Table1[[#This Row],[Chemistry 
Score]],Table1[[#This Row],[Biology 
Score]],Table1[[#This Row],[English 
Score]],Table1[[#This Row],[Geography 
Score]])</f>
        <v>78.142857142857139</v>
      </c>
      <c r="AB114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144">
        <f t="shared" si="17"/>
        <v>1388</v>
      </c>
      <c r="AD1144" t="str">
        <f>_xlfn.IFS(Table1[[#This Row],[Absence 
Days]]&lt;3,"Excellent",Table1[[#This Row],[Absence 
Days]]&lt;=6,"Good",Table1[[#This Row],[Absence 
Days]]&gt;6,"Poor")</f>
        <v>Good</v>
      </c>
    </row>
    <row r="1145" spans="1:30" x14ac:dyDescent="0.35">
      <c r="A1145">
        <v>1144</v>
      </c>
      <c r="B1145" s="2" t="s">
        <v>144</v>
      </c>
      <c r="C1145" t="s">
        <v>454</v>
      </c>
      <c r="D1145" t="str">
        <f>_xlfn.TEXTJOIN(" ",TRUE,Table1[[#This Row],[First 
Name]:[Last 
Name]])</f>
        <v>Tammy Andrews</v>
      </c>
      <c r="E1145" t="s">
        <v>2255</v>
      </c>
      <c r="F1145" t="s">
        <v>3245</v>
      </c>
      <c r="G1145" t="str">
        <f ca="1">PROPER(Table1[[#This Row],[Part Time 
Job]])</f>
        <v>False</v>
      </c>
      <c r="H1145" s="3">
        <v>2</v>
      </c>
      <c r="I1145" t="str">
        <f ca="1">PROPER(Table1[[#This Row],[Extracurricular 
Activities]])</f>
        <v>False</v>
      </c>
      <c r="J1145">
        <v>10</v>
      </c>
      <c r="K1145" t="s">
        <v>3127</v>
      </c>
      <c r="L1145">
        <v>96</v>
      </c>
      <c r="M1145" s="12" t="str" cm="1">
        <f t="array" ref="M114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145">
        <v>83</v>
      </c>
      <c r="O1145" s="13" t="str" cm="1">
        <f t="array" ref="O114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145">
        <v>64</v>
      </c>
      <c r="Q1145" s="13" t="str" cm="1">
        <f t="array" ref="Q114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145">
        <v>84</v>
      </c>
      <c r="S1145" t="str" cm="1">
        <f t="array" ref="S114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145">
        <v>98</v>
      </c>
      <c r="U1145" t="str" cm="1">
        <f t="array" ref="U114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145">
        <v>79</v>
      </c>
      <c r="W1145" t="str" cm="1">
        <f t="array" ref="W114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145">
        <v>99</v>
      </c>
      <c r="Y1145" t="str" cm="1">
        <f t="array" ref="Y114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145">
        <f>SUM(Table1[[#This Row],[Math 
Score]],Table1[[#This Row],[History 
Score]],Table1[[#This Row],[Physics 
Score]],Table1[[#This Row],[Chemistry 
Score]],Table1[[#This Row],[Biology 
Score]],Table1[[#This Row],[English 
Score]],Table1[[#This Row],[Geography 
Score]])</f>
        <v>603</v>
      </c>
      <c r="AA1145" s="3">
        <f>AVERAGE(Table1[[#This Row],[Math 
Score]],Table1[[#This Row],[History 
Score]],Table1[[#This Row],[Physics 
Score]],Table1[[#This Row],[Chemistry 
Score]],Table1[[#This Row],[Biology 
Score]],Table1[[#This Row],[English 
Score]],Table1[[#This Row],[Geography 
Score]])</f>
        <v>86.142857142857139</v>
      </c>
      <c r="AB114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145">
        <f t="shared" si="17"/>
        <v>370</v>
      </c>
      <c r="AD1145" t="str">
        <f>_xlfn.IFS(Table1[[#This Row],[Absence 
Days]]&lt;3,"Excellent",Table1[[#This Row],[Absence 
Days]]&lt;=6,"Good",Table1[[#This Row],[Absence 
Days]]&gt;6,"Poor")</f>
        <v>Excellent</v>
      </c>
    </row>
    <row r="1146" spans="1:30" x14ac:dyDescent="0.35">
      <c r="A1146">
        <v>1145</v>
      </c>
      <c r="B1146" s="2" t="s">
        <v>138</v>
      </c>
      <c r="C1146" t="s">
        <v>661</v>
      </c>
      <c r="D1146" t="str">
        <f>_xlfn.TEXTJOIN(" ",TRUE,Table1[[#This Row],[First 
Name]:[Last 
Name]])</f>
        <v>Kathryn Powell</v>
      </c>
      <c r="E1146" t="s">
        <v>2256</v>
      </c>
      <c r="F1146" t="s">
        <v>3245</v>
      </c>
      <c r="G1146" t="str">
        <f ca="1">PROPER(Table1[[#This Row],[Part Time 
Job]])</f>
        <v>False</v>
      </c>
      <c r="H1146" s="3">
        <v>8</v>
      </c>
      <c r="I1146" t="str">
        <f ca="1">PROPER(Table1[[#This Row],[Extracurricular 
Activities]])</f>
        <v>False</v>
      </c>
      <c r="J1146">
        <v>11</v>
      </c>
      <c r="K1146" t="s">
        <v>3121</v>
      </c>
      <c r="L1146">
        <v>97</v>
      </c>
      <c r="M1146" s="12" t="str" cm="1">
        <f t="array" ref="M114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146">
        <v>66</v>
      </c>
      <c r="O1146" s="13" t="str" cm="1">
        <f t="array" ref="O114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146">
        <v>76</v>
      </c>
      <c r="Q1146" s="13" t="str" cm="1">
        <f t="array" ref="Q114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146">
        <v>80</v>
      </c>
      <c r="S1146" t="str" cm="1">
        <f t="array" ref="S114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146">
        <v>81</v>
      </c>
      <c r="U1146" t="str" cm="1">
        <f t="array" ref="U114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146">
        <v>82</v>
      </c>
      <c r="W1146" t="str" cm="1">
        <f t="array" ref="W114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146">
        <v>64</v>
      </c>
      <c r="Y1146" t="str" cm="1">
        <f t="array" ref="Y114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146">
        <f>SUM(Table1[[#This Row],[Math 
Score]],Table1[[#This Row],[History 
Score]],Table1[[#This Row],[Physics 
Score]],Table1[[#This Row],[Chemistry 
Score]],Table1[[#This Row],[Biology 
Score]],Table1[[#This Row],[English 
Score]],Table1[[#This Row],[Geography 
Score]])</f>
        <v>546</v>
      </c>
      <c r="AA1146" s="3">
        <f>AVERAGE(Table1[[#This Row],[Math 
Score]],Table1[[#This Row],[History 
Score]],Table1[[#This Row],[Physics 
Score]],Table1[[#This Row],[Chemistry 
Score]],Table1[[#This Row],[Biology 
Score]],Table1[[#This Row],[English 
Score]],Table1[[#This Row],[Geography 
Score]])</f>
        <v>78</v>
      </c>
      <c r="AB114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146">
        <f t="shared" si="17"/>
        <v>1411</v>
      </c>
      <c r="AD1146" t="str">
        <f>_xlfn.IFS(Table1[[#This Row],[Absence 
Days]]&lt;3,"Excellent",Table1[[#This Row],[Absence 
Days]]&lt;=6,"Good",Table1[[#This Row],[Absence 
Days]]&gt;6,"Poor")</f>
        <v>Poor</v>
      </c>
    </row>
    <row r="1147" spans="1:30" x14ac:dyDescent="0.35">
      <c r="A1147">
        <v>1146</v>
      </c>
      <c r="B1147" s="2" t="s">
        <v>34</v>
      </c>
      <c r="C1147" t="s">
        <v>947</v>
      </c>
      <c r="D1147" t="str">
        <f>_xlfn.TEXTJOIN(" ",TRUE,Table1[[#This Row],[First 
Name]:[Last 
Name]])</f>
        <v>Michael Lutz</v>
      </c>
      <c r="E1147" t="s">
        <v>2257</v>
      </c>
      <c r="F1147" t="s">
        <v>3244</v>
      </c>
      <c r="G1147" t="str">
        <f ca="1">PROPER(Table1[[#This Row],[Part Time 
Job]])</f>
        <v>False</v>
      </c>
      <c r="H1147" s="3">
        <v>3</v>
      </c>
      <c r="I1147" t="str">
        <f ca="1">PROPER(Table1[[#This Row],[Extracurricular 
Activities]])</f>
        <v>False</v>
      </c>
      <c r="J1147">
        <v>5</v>
      </c>
      <c r="K1147" t="s">
        <v>3126</v>
      </c>
      <c r="L1147">
        <v>86</v>
      </c>
      <c r="M1147" s="12" t="str" cm="1">
        <f t="array" ref="M114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147">
        <v>76</v>
      </c>
      <c r="O1147" s="13" t="str" cm="1">
        <f t="array" ref="O114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147">
        <v>92</v>
      </c>
      <c r="Q1147" s="13" t="str" cm="1">
        <f t="array" ref="Q114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147">
        <v>86</v>
      </c>
      <c r="S1147" t="str" cm="1">
        <f t="array" ref="S114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147">
        <v>75</v>
      </c>
      <c r="U1147" t="str" cm="1">
        <f t="array" ref="U114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147">
        <v>67</v>
      </c>
      <c r="W1147" t="str" cm="1">
        <f t="array" ref="W114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147">
        <v>79</v>
      </c>
      <c r="Y1147" t="str" cm="1">
        <f t="array" ref="Y114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147">
        <f>SUM(Table1[[#This Row],[Math 
Score]],Table1[[#This Row],[History 
Score]],Table1[[#This Row],[Physics 
Score]],Table1[[#This Row],[Chemistry 
Score]],Table1[[#This Row],[Biology 
Score]],Table1[[#This Row],[English 
Score]],Table1[[#This Row],[Geography 
Score]])</f>
        <v>561</v>
      </c>
      <c r="AA1147" s="3">
        <f>AVERAGE(Table1[[#This Row],[Math 
Score]],Table1[[#This Row],[History 
Score]],Table1[[#This Row],[Physics 
Score]],Table1[[#This Row],[Chemistry 
Score]],Table1[[#This Row],[Biology 
Score]],Table1[[#This Row],[English 
Score]],Table1[[#This Row],[Geography 
Score]])</f>
        <v>80.142857142857139</v>
      </c>
      <c r="AB114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147">
        <f t="shared" si="17"/>
        <v>1120</v>
      </c>
      <c r="AD1147" t="str">
        <f>_xlfn.IFS(Table1[[#This Row],[Absence 
Days]]&lt;3,"Excellent",Table1[[#This Row],[Absence 
Days]]&lt;=6,"Good",Table1[[#This Row],[Absence 
Days]]&gt;6,"Poor")</f>
        <v>Good</v>
      </c>
    </row>
    <row r="1148" spans="1:30" x14ac:dyDescent="0.35">
      <c r="A1148">
        <v>1147</v>
      </c>
      <c r="B1148" s="2" t="s">
        <v>56</v>
      </c>
      <c r="C1148" t="s">
        <v>594</v>
      </c>
      <c r="D1148" t="str">
        <f>_xlfn.TEXTJOIN(" ",TRUE,Table1[[#This Row],[First 
Name]:[Last 
Name]])</f>
        <v>Brian Myers</v>
      </c>
      <c r="E1148" t="s">
        <v>2258</v>
      </c>
      <c r="F1148" t="s">
        <v>3244</v>
      </c>
      <c r="G1148" t="str">
        <f ca="1">PROPER(Table1[[#This Row],[Part Time 
Job]])</f>
        <v>False</v>
      </c>
      <c r="H1148" s="3">
        <v>4</v>
      </c>
      <c r="I1148" t="str">
        <f ca="1">PROPER(Table1[[#This Row],[Extracurricular 
Activities]])</f>
        <v>False</v>
      </c>
      <c r="J1148">
        <v>33</v>
      </c>
      <c r="K1148" t="s">
        <v>3113</v>
      </c>
      <c r="L1148">
        <v>94</v>
      </c>
      <c r="M1148" s="12" t="str" cm="1">
        <f t="array" ref="M114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148">
        <v>74</v>
      </c>
      <c r="O1148" s="13" t="str" cm="1">
        <f t="array" ref="O114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148">
        <v>95</v>
      </c>
      <c r="Q1148" s="13" t="str" cm="1">
        <f t="array" ref="Q114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148">
        <v>82</v>
      </c>
      <c r="S1148" t="str" cm="1">
        <f t="array" ref="S114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148">
        <v>100</v>
      </c>
      <c r="U1148" t="str" cm="1">
        <f t="array" ref="U114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148">
        <v>63</v>
      </c>
      <c r="W1148" t="str" cm="1">
        <f t="array" ref="W114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148">
        <v>97</v>
      </c>
      <c r="Y1148" t="str" cm="1">
        <f t="array" ref="Y114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148">
        <f>SUM(Table1[[#This Row],[Math 
Score]],Table1[[#This Row],[History 
Score]],Table1[[#This Row],[Physics 
Score]],Table1[[#This Row],[Chemistry 
Score]],Table1[[#This Row],[Biology 
Score]],Table1[[#This Row],[English 
Score]],Table1[[#This Row],[Geography 
Score]])</f>
        <v>605</v>
      </c>
      <c r="AA1148" s="3">
        <f>AVERAGE(Table1[[#This Row],[Math 
Score]],Table1[[#This Row],[History 
Score]],Table1[[#This Row],[Physics 
Score]],Table1[[#This Row],[Chemistry 
Score]],Table1[[#This Row],[Biology 
Score]],Table1[[#This Row],[English 
Score]],Table1[[#This Row],[Geography 
Score]])</f>
        <v>86.428571428571431</v>
      </c>
      <c r="AB114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148">
        <f t="shared" si="17"/>
        <v>344</v>
      </c>
      <c r="AD1148" t="str">
        <f>_xlfn.IFS(Table1[[#This Row],[Absence 
Days]]&lt;3,"Excellent",Table1[[#This Row],[Absence 
Days]]&lt;=6,"Good",Table1[[#This Row],[Absence 
Days]]&gt;6,"Poor")</f>
        <v>Good</v>
      </c>
    </row>
    <row r="1149" spans="1:30" x14ac:dyDescent="0.35">
      <c r="A1149">
        <v>1148</v>
      </c>
      <c r="B1149" s="2" t="s">
        <v>244</v>
      </c>
      <c r="C1149" t="s">
        <v>618</v>
      </c>
      <c r="D1149" t="str">
        <f>_xlfn.TEXTJOIN(" ",TRUE,Table1[[#This Row],[First 
Name]:[Last 
Name]])</f>
        <v>Maria Adams</v>
      </c>
      <c r="E1149" t="s">
        <v>2259</v>
      </c>
      <c r="F1149" t="s">
        <v>3245</v>
      </c>
      <c r="G1149" t="str">
        <f ca="1">PROPER(Table1[[#This Row],[Part Time 
Job]])</f>
        <v>False</v>
      </c>
      <c r="H1149" s="3">
        <v>2</v>
      </c>
      <c r="I1149" t="str">
        <f ca="1">PROPER(Table1[[#This Row],[Extracurricular 
Activities]])</f>
        <v>True</v>
      </c>
      <c r="J1149">
        <v>29</v>
      </c>
      <c r="K1149" t="s">
        <v>3117</v>
      </c>
      <c r="L1149">
        <v>88</v>
      </c>
      <c r="M1149" s="12" t="str" cm="1">
        <f t="array" ref="M114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149">
        <v>83</v>
      </c>
      <c r="O1149" s="13" t="str" cm="1">
        <f t="array" ref="O114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149">
        <v>94</v>
      </c>
      <c r="Q1149" s="13" t="str" cm="1">
        <f t="array" ref="Q114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149">
        <v>80</v>
      </c>
      <c r="S1149" t="str" cm="1">
        <f t="array" ref="S114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149">
        <v>97</v>
      </c>
      <c r="U1149" t="str" cm="1">
        <f t="array" ref="U114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149">
        <v>95</v>
      </c>
      <c r="W1149" t="str" cm="1">
        <f t="array" ref="W114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149">
        <v>78</v>
      </c>
      <c r="Y1149" t="str" cm="1">
        <f t="array" ref="Y114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149">
        <f>SUM(Table1[[#This Row],[Math 
Score]],Table1[[#This Row],[History 
Score]],Table1[[#This Row],[Physics 
Score]],Table1[[#This Row],[Chemistry 
Score]],Table1[[#This Row],[Biology 
Score]],Table1[[#This Row],[English 
Score]],Table1[[#This Row],[Geography 
Score]])</f>
        <v>615</v>
      </c>
      <c r="AA1149" s="3">
        <f>AVERAGE(Table1[[#This Row],[Math 
Score]],Table1[[#This Row],[History 
Score]],Table1[[#This Row],[Physics 
Score]],Table1[[#This Row],[Chemistry 
Score]],Table1[[#This Row],[Biology 
Score]],Table1[[#This Row],[English 
Score]],Table1[[#This Row],[Geography 
Score]])</f>
        <v>87.857142857142861</v>
      </c>
      <c r="AB114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149">
        <f t="shared" si="17"/>
        <v>251</v>
      </c>
      <c r="AD1149" t="str">
        <f>_xlfn.IFS(Table1[[#This Row],[Absence 
Days]]&lt;3,"Excellent",Table1[[#This Row],[Absence 
Days]]&lt;=6,"Good",Table1[[#This Row],[Absence 
Days]]&gt;6,"Poor")</f>
        <v>Excellent</v>
      </c>
    </row>
    <row r="1150" spans="1:30" x14ac:dyDescent="0.35">
      <c r="A1150">
        <v>1149</v>
      </c>
      <c r="B1150" s="2" t="s">
        <v>369</v>
      </c>
      <c r="C1150" t="s">
        <v>711</v>
      </c>
      <c r="D1150" t="str">
        <f>_xlfn.TEXTJOIN(" ",TRUE,Table1[[#This Row],[First 
Name]:[Last 
Name]])</f>
        <v>Ronnie Nguyen</v>
      </c>
      <c r="E1150" t="s">
        <v>2260</v>
      </c>
      <c r="F1150" t="s">
        <v>3244</v>
      </c>
      <c r="G1150" t="str">
        <f ca="1">PROPER(Table1[[#This Row],[Part Time 
Job]])</f>
        <v>False</v>
      </c>
      <c r="H1150" s="3">
        <v>3</v>
      </c>
      <c r="I1150" t="str">
        <f ca="1">PROPER(Table1[[#This Row],[Extracurricular 
Activities]])</f>
        <v>False</v>
      </c>
      <c r="J1150">
        <v>26</v>
      </c>
      <c r="K1150" t="s">
        <v>3116</v>
      </c>
      <c r="L1150">
        <v>84</v>
      </c>
      <c r="M1150" s="12" t="str" cm="1">
        <f t="array" ref="M115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150">
        <v>74</v>
      </c>
      <c r="O1150" s="13" t="str" cm="1">
        <f t="array" ref="O115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150">
        <v>74</v>
      </c>
      <c r="Q1150" s="13" t="str" cm="1">
        <f t="array" ref="Q115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150">
        <v>67</v>
      </c>
      <c r="S1150" t="str" cm="1">
        <f t="array" ref="S115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150">
        <v>72</v>
      </c>
      <c r="U1150" t="str" cm="1">
        <f t="array" ref="U115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150">
        <v>99</v>
      </c>
      <c r="W1150" t="str" cm="1">
        <f t="array" ref="W115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150">
        <v>65</v>
      </c>
      <c r="Y1150" t="str" cm="1">
        <f t="array" ref="Y115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150">
        <f>SUM(Table1[[#This Row],[Math 
Score]],Table1[[#This Row],[History 
Score]],Table1[[#This Row],[Physics 
Score]],Table1[[#This Row],[Chemistry 
Score]],Table1[[#This Row],[Biology 
Score]],Table1[[#This Row],[English 
Score]],Table1[[#This Row],[Geography 
Score]])</f>
        <v>535</v>
      </c>
      <c r="AA1150" s="3">
        <f>AVERAGE(Table1[[#This Row],[Math 
Score]],Table1[[#This Row],[History 
Score]],Table1[[#This Row],[Physics 
Score]],Table1[[#This Row],[Chemistry 
Score]],Table1[[#This Row],[Biology 
Score]],Table1[[#This Row],[English 
Score]],Table1[[#This Row],[Geography 
Score]])</f>
        <v>76.428571428571431</v>
      </c>
      <c r="AB115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150">
        <f t="shared" si="17"/>
        <v>1578</v>
      </c>
      <c r="AD1150" t="str">
        <f>_xlfn.IFS(Table1[[#This Row],[Absence 
Days]]&lt;3,"Excellent",Table1[[#This Row],[Absence 
Days]]&lt;=6,"Good",Table1[[#This Row],[Absence 
Days]]&gt;6,"Poor")</f>
        <v>Good</v>
      </c>
    </row>
    <row r="1151" spans="1:30" x14ac:dyDescent="0.35">
      <c r="A1151">
        <v>1150</v>
      </c>
      <c r="B1151" s="2" t="s">
        <v>231</v>
      </c>
      <c r="C1151" t="s">
        <v>508</v>
      </c>
      <c r="D1151" t="str">
        <f>_xlfn.TEXTJOIN(" ",TRUE,Table1[[#This Row],[First 
Name]:[Last 
Name]])</f>
        <v>Daniel Stephens</v>
      </c>
      <c r="E1151" t="s">
        <v>2261</v>
      </c>
      <c r="F1151" t="s">
        <v>3244</v>
      </c>
      <c r="G1151" t="str">
        <f ca="1">PROPER(Table1[[#This Row],[Part Time 
Job]])</f>
        <v>False</v>
      </c>
      <c r="H1151" s="3">
        <v>1</v>
      </c>
      <c r="I1151" t="str">
        <f ca="1">PROPER(Table1[[#This Row],[Extracurricular 
Activities]])</f>
        <v>False</v>
      </c>
      <c r="J1151">
        <v>25</v>
      </c>
      <c r="K1151" t="s">
        <v>3127</v>
      </c>
      <c r="L1151">
        <v>85</v>
      </c>
      <c r="M1151" s="12" t="str" cm="1">
        <f t="array" ref="M115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151">
        <v>82</v>
      </c>
      <c r="O1151" s="13" t="str" cm="1">
        <f t="array" ref="O115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151">
        <v>88</v>
      </c>
      <c r="Q1151" s="13" t="str" cm="1">
        <f t="array" ref="Q115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151">
        <v>62</v>
      </c>
      <c r="S1151" t="str" cm="1">
        <f t="array" ref="S115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151">
        <v>71</v>
      </c>
      <c r="U1151" t="str" cm="1">
        <f t="array" ref="U115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151">
        <v>71</v>
      </c>
      <c r="W1151" t="str" cm="1">
        <f t="array" ref="W115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151">
        <v>75</v>
      </c>
      <c r="Y1151" t="str" cm="1">
        <f t="array" ref="Y115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151">
        <f>SUM(Table1[[#This Row],[Math 
Score]],Table1[[#This Row],[History 
Score]],Table1[[#This Row],[Physics 
Score]],Table1[[#This Row],[Chemistry 
Score]],Table1[[#This Row],[Biology 
Score]],Table1[[#This Row],[English 
Score]],Table1[[#This Row],[Geography 
Score]])</f>
        <v>534</v>
      </c>
      <c r="AA1151" s="3">
        <f>AVERAGE(Table1[[#This Row],[Math 
Score]],Table1[[#This Row],[History 
Score]],Table1[[#This Row],[Physics 
Score]],Table1[[#This Row],[Chemistry 
Score]],Table1[[#This Row],[Biology 
Score]],Table1[[#This Row],[English 
Score]],Table1[[#This Row],[Geography 
Score]])</f>
        <v>76.285714285714292</v>
      </c>
      <c r="AB115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151">
        <f t="shared" si="17"/>
        <v>1595</v>
      </c>
      <c r="AD1151" t="str">
        <f>_xlfn.IFS(Table1[[#This Row],[Absence 
Days]]&lt;3,"Excellent",Table1[[#This Row],[Absence 
Days]]&lt;=6,"Good",Table1[[#This Row],[Absence 
Days]]&gt;6,"Poor")</f>
        <v>Excellent</v>
      </c>
    </row>
    <row r="1152" spans="1:30" x14ac:dyDescent="0.35">
      <c r="A1152">
        <v>1151</v>
      </c>
      <c r="B1152" s="2" t="s">
        <v>191</v>
      </c>
      <c r="C1152" t="s">
        <v>948</v>
      </c>
      <c r="D1152" t="str">
        <f>_xlfn.TEXTJOIN(" ",TRUE,Table1[[#This Row],[First 
Name]:[Last 
Name]])</f>
        <v>Brandon Oliver</v>
      </c>
      <c r="E1152" t="s">
        <v>2262</v>
      </c>
      <c r="F1152" t="s">
        <v>3244</v>
      </c>
      <c r="G1152" t="str">
        <f ca="1">PROPER(Table1[[#This Row],[Part Time 
Job]])</f>
        <v>False</v>
      </c>
      <c r="H1152" s="3">
        <v>2</v>
      </c>
      <c r="I1152" t="str">
        <f ca="1">PROPER(Table1[[#This Row],[Extracurricular 
Activities]])</f>
        <v>True</v>
      </c>
      <c r="J1152">
        <v>30</v>
      </c>
      <c r="K1152" t="s">
        <v>3116</v>
      </c>
      <c r="L1152">
        <v>78</v>
      </c>
      <c r="M1152" s="12" t="str" cm="1">
        <f t="array" ref="M115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152">
        <v>89</v>
      </c>
      <c r="O1152" s="13" t="str" cm="1">
        <f t="array" ref="O115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152">
        <v>95</v>
      </c>
      <c r="Q1152" s="13" t="str" cm="1">
        <f t="array" ref="Q115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152">
        <v>71</v>
      </c>
      <c r="S1152" t="str" cm="1">
        <f t="array" ref="S115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152">
        <v>68</v>
      </c>
      <c r="U1152" t="str" cm="1">
        <f t="array" ref="U115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152">
        <v>71</v>
      </c>
      <c r="W1152" t="str" cm="1">
        <f t="array" ref="W115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152">
        <v>69</v>
      </c>
      <c r="Y1152" t="str" cm="1">
        <f t="array" ref="Y115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152">
        <f>SUM(Table1[[#This Row],[Math 
Score]],Table1[[#This Row],[History 
Score]],Table1[[#This Row],[Physics 
Score]],Table1[[#This Row],[Chemistry 
Score]],Table1[[#This Row],[Biology 
Score]],Table1[[#This Row],[English 
Score]],Table1[[#This Row],[Geography 
Score]])</f>
        <v>541</v>
      </c>
      <c r="AA1152" s="3">
        <f>AVERAGE(Table1[[#This Row],[Math 
Score]],Table1[[#This Row],[History 
Score]],Table1[[#This Row],[Physics 
Score]],Table1[[#This Row],[Chemistry 
Score]],Table1[[#This Row],[Biology 
Score]],Table1[[#This Row],[English 
Score]],Table1[[#This Row],[Geography 
Score]])</f>
        <v>77.285714285714292</v>
      </c>
      <c r="AB115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152">
        <f t="shared" si="17"/>
        <v>1493</v>
      </c>
      <c r="AD1152" t="str">
        <f>_xlfn.IFS(Table1[[#This Row],[Absence 
Days]]&lt;3,"Excellent",Table1[[#This Row],[Absence 
Days]]&lt;=6,"Good",Table1[[#This Row],[Absence 
Days]]&gt;6,"Poor")</f>
        <v>Excellent</v>
      </c>
    </row>
    <row r="1153" spans="1:30" x14ac:dyDescent="0.35">
      <c r="A1153">
        <v>1152</v>
      </c>
      <c r="B1153" s="2" t="s">
        <v>40</v>
      </c>
      <c r="C1153" t="s">
        <v>644</v>
      </c>
      <c r="D1153" t="str">
        <f>_xlfn.TEXTJOIN(" ",TRUE,Table1[[#This Row],[First 
Name]:[Last 
Name]])</f>
        <v>David Vazquez</v>
      </c>
      <c r="E1153" t="s">
        <v>2263</v>
      </c>
      <c r="F1153" t="s">
        <v>3244</v>
      </c>
      <c r="G1153" t="str">
        <f ca="1">PROPER(Table1[[#This Row],[Part Time 
Job]])</f>
        <v>False</v>
      </c>
      <c r="H1153" s="3">
        <v>2</v>
      </c>
      <c r="I1153" t="str">
        <f ca="1">PROPER(Table1[[#This Row],[Extracurricular 
Activities]])</f>
        <v>False</v>
      </c>
      <c r="J1153">
        <v>13</v>
      </c>
      <c r="K1153" t="s">
        <v>3116</v>
      </c>
      <c r="L1153">
        <v>86</v>
      </c>
      <c r="M1153" s="12" t="str" cm="1">
        <f t="array" ref="M115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153">
        <v>66</v>
      </c>
      <c r="O1153" s="13" t="str" cm="1">
        <f t="array" ref="O115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153">
        <v>77</v>
      </c>
      <c r="Q1153" s="13" t="str" cm="1">
        <f t="array" ref="Q115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153">
        <v>74</v>
      </c>
      <c r="S1153" t="str" cm="1">
        <f t="array" ref="S115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153">
        <v>84</v>
      </c>
      <c r="U1153" t="str" cm="1">
        <f t="array" ref="U115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153">
        <v>72</v>
      </c>
      <c r="W1153" t="str" cm="1">
        <f t="array" ref="W115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153">
        <v>95</v>
      </c>
      <c r="Y1153" t="str" cm="1">
        <f t="array" ref="Y115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153">
        <f>SUM(Table1[[#This Row],[Math 
Score]],Table1[[#This Row],[History 
Score]],Table1[[#This Row],[Physics 
Score]],Table1[[#This Row],[Chemistry 
Score]],Table1[[#This Row],[Biology 
Score]],Table1[[#This Row],[English 
Score]],Table1[[#This Row],[Geography 
Score]])</f>
        <v>554</v>
      </c>
      <c r="AA1153" s="3">
        <f>AVERAGE(Table1[[#This Row],[Math 
Score]],Table1[[#This Row],[History 
Score]],Table1[[#This Row],[Physics 
Score]],Table1[[#This Row],[Chemistry 
Score]],Table1[[#This Row],[Biology 
Score]],Table1[[#This Row],[English 
Score]],Table1[[#This Row],[Geography 
Score]])</f>
        <v>79.142857142857139</v>
      </c>
      <c r="AB115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153">
        <f t="shared" si="17"/>
        <v>1264</v>
      </c>
      <c r="AD1153" t="str">
        <f>_xlfn.IFS(Table1[[#This Row],[Absence 
Days]]&lt;3,"Excellent",Table1[[#This Row],[Absence 
Days]]&lt;=6,"Good",Table1[[#This Row],[Absence 
Days]]&gt;6,"Poor")</f>
        <v>Excellent</v>
      </c>
    </row>
    <row r="1154" spans="1:30" x14ac:dyDescent="0.35">
      <c r="A1154">
        <v>1153</v>
      </c>
      <c r="B1154" s="2" t="s">
        <v>370</v>
      </c>
      <c r="C1154" t="s">
        <v>569</v>
      </c>
      <c r="D1154" t="str">
        <f>_xlfn.TEXTJOIN(" ",TRUE,Table1[[#This Row],[First 
Name]:[Last 
Name]])</f>
        <v>Desiree Moore</v>
      </c>
      <c r="E1154" t="s">
        <v>2264</v>
      </c>
      <c r="F1154" t="s">
        <v>3245</v>
      </c>
      <c r="G1154" t="str">
        <f ca="1">PROPER(Table1[[#This Row],[Part Time 
Job]])</f>
        <v>False</v>
      </c>
      <c r="H1154" s="3">
        <v>1</v>
      </c>
      <c r="I1154" t="str">
        <f ca="1">PROPER(Table1[[#This Row],[Extracurricular 
Activities]])</f>
        <v>False</v>
      </c>
      <c r="J1154">
        <v>25</v>
      </c>
      <c r="K1154" t="s">
        <v>3117</v>
      </c>
      <c r="L1154">
        <v>99</v>
      </c>
      <c r="M1154" s="12" t="str" cm="1">
        <f t="array" ref="M115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154">
        <v>98</v>
      </c>
      <c r="O1154" s="13" t="str" cm="1">
        <f t="array" ref="O115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154">
        <v>80</v>
      </c>
      <c r="Q1154" s="13" t="str" cm="1">
        <f t="array" ref="Q115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154">
        <v>83</v>
      </c>
      <c r="S1154" t="str" cm="1">
        <f t="array" ref="S115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154">
        <v>89</v>
      </c>
      <c r="U1154" t="str" cm="1">
        <f t="array" ref="U115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154">
        <v>68</v>
      </c>
      <c r="W1154" t="str" cm="1">
        <f t="array" ref="W115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154">
        <v>61</v>
      </c>
      <c r="Y1154" t="str" cm="1">
        <f t="array" ref="Y115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154">
        <f>SUM(Table1[[#This Row],[Math 
Score]],Table1[[#This Row],[History 
Score]],Table1[[#This Row],[Physics 
Score]],Table1[[#This Row],[Chemistry 
Score]],Table1[[#This Row],[Biology 
Score]],Table1[[#This Row],[English 
Score]],Table1[[#This Row],[Geography 
Score]])</f>
        <v>578</v>
      </c>
      <c r="AA1154" s="3">
        <f>AVERAGE(Table1[[#This Row],[Math 
Score]],Table1[[#This Row],[History 
Score]],Table1[[#This Row],[Physics 
Score]],Table1[[#This Row],[Chemistry 
Score]],Table1[[#This Row],[Biology 
Score]],Table1[[#This Row],[English 
Score]],Table1[[#This Row],[Geography 
Score]])</f>
        <v>82.571428571428569</v>
      </c>
      <c r="AB115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154">
        <f t="shared" ref="AC1154:AC1217" si="18">RANK(AA1154,$AA$2:$AA$2001,0)</f>
        <v>752</v>
      </c>
      <c r="AD1154" t="str">
        <f>_xlfn.IFS(Table1[[#This Row],[Absence 
Days]]&lt;3,"Excellent",Table1[[#This Row],[Absence 
Days]]&lt;=6,"Good",Table1[[#This Row],[Absence 
Days]]&gt;6,"Poor")</f>
        <v>Excellent</v>
      </c>
    </row>
    <row r="1155" spans="1:30" x14ac:dyDescent="0.35">
      <c r="A1155">
        <v>1154</v>
      </c>
      <c r="B1155" s="2" t="s">
        <v>102</v>
      </c>
      <c r="C1155" t="s">
        <v>544</v>
      </c>
      <c r="D1155" t="str">
        <f>_xlfn.TEXTJOIN(" ",TRUE,Table1[[#This Row],[First 
Name]:[Last 
Name]])</f>
        <v>Jessica Turner</v>
      </c>
      <c r="E1155" t="s">
        <v>2265</v>
      </c>
      <c r="F1155" t="s">
        <v>3245</v>
      </c>
      <c r="G1155" t="str">
        <f ca="1">PROPER(Table1[[#This Row],[Part Time 
Job]])</f>
        <v>False</v>
      </c>
      <c r="H1155" s="3">
        <v>0</v>
      </c>
      <c r="I1155" t="str">
        <f ca="1">PROPER(Table1[[#This Row],[Extracurricular 
Activities]])</f>
        <v>False</v>
      </c>
      <c r="J1155">
        <v>15</v>
      </c>
      <c r="K1155" t="s">
        <v>3118</v>
      </c>
      <c r="L1155">
        <v>67</v>
      </c>
      <c r="M1155" s="12" t="str" cm="1">
        <f t="array" ref="M1155">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155">
        <v>64</v>
      </c>
      <c r="O1155" s="13" t="str" cm="1">
        <f t="array" ref="O115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155">
        <v>99</v>
      </c>
      <c r="Q1155" s="13" t="str" cm="1">
        <f t="array" ref="Q115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155">
        <v>84</v>
      </c>
      <c r="S1155" t="str" cm="1">
        <f t="array" ref="S115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155">
        <v>100</v>
      </c>
      <c r="U1155" t="str" cm="1">
        <f t="array" ref="U115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155">
        <v>81</v>
      </c>
      <c r="W1155" t="str" cm="1">
        <f t="array" ref="W115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155">
        <v>78</v>
      </c>
      <c r="Y1155" t="str" cm="1">
        <f t="array" ref="Y115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155">
        <f>SUM(Table1[[#This Row],[Math 
Score]],Table1[[#This Row],[History 
Score]],Table1[[#This Row],[Physics 
Score]],Table1[[#This Row],[Chemistry 
Score]],Table1[[#This Row],[Biology 
Score]],Table1[[#This Row],[English 
Score]],Table1[[#This Row],[Geography 
Score]])</f>
        <v>573</v>
      </c>
      <c r="AA1155" s="3">
        <f>AVERAGE(Table1[[#This Row],[Math 
Score]],Table1[[#This Row],[History 
Score]],Table1[[#This Row],[Physics 
Score]],Table1[[#This Row],[Chemistry 
Score]],Table1[[#This Row],[Biology 
Score]],Table1[[#This Row],[English 
Score]],Table1[[#This Row],[Geography 
Score]])</f>
        <v>81.857142857142861</v>
      </c>
      <c r="AB115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155">
        <f t="shared" si="18"/>
        <v>864</v>
      </c>
      <c r="AD1155" t="str">
        <f>_xlfn.IFS(Table1[[#This Row],[Absence 
Days]]&lt;3,"Excellent",Table1[[#This Row],[Absence 
Days]]&lt;=6,"Good",Table1[[#This Row],[Absence 
Days]]&gt;6,"Poor")</f>
        <v>Excellent</v>
      </c>
    </row>
    <row r="1156" spans="1:30" x14ac:dyDescent="0.35">
      <c r="A1156">
        <v>1155</v>
      </c>
      <c r="B1156" s="2" t="s">
        <v>192</v>
      </c>
      <c r="C1156" t="s">
        <v>949</v>
      </c>
      <c r="D1156" t="str">
        <f>_xlfn.TEXTJOIN(" ",TRUE,Table1[[#This Row],[First 
Name]:[Last 
Name]])</f>
        <v>Scott Bishop</v>
      </c>
      <c r="E1156" t="s">
        <v>2266</v>
      </c>
      <c r="F1156" t="s">
        <v>3244</v>
      </c>
      <c r="G1156" t="str">
        <f ca="1">PROPER(Table1[[#This Row],[Part Time 
Job]])</f>
        <v>False</v>
      </c>
      <c r="H1156" s="3">
        <v>6</v>
      </c>
      <c r="I1156" t="str">
        <f ca="1">PROPER(Table1[[#This Row],[Extracurricular 
Activities]])</f>
        <v>False</v>
      </c>
      <c r="J1156">
        <v>10</v>
      </c>
      <c r="K1156" t="s">
        <v>3121</v>
      </c>
      <c r="L1156">
        <v>84</v>
      </c>
      <c r="M1156" s="12" t="str" cm="1">
        <f t="array" ref="M115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156">
        <v>94</v>
      </c>
      <c r="O1156" s="13" t="str" cm="1">
        <f t="array" ref="O115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156">
        <v>60</v>
      </c>
      <c r="Q1156" s="13" t="str" cm="1">
        <f t="array" ref="Q115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156">
        <v>83</v>
      </c>
      <c r="S1156" t="str" cm="1">
        <f t="array" ref="S115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156">
        <v>97</v>
      </c>
      <c r="U1156" t="str" cm="1">
        <f t="array" ref="U115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156">
        <v>75</v>
      </c>
      <c r="W1156" t="str" cm="1">
        <f t="array" ref="W115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156">
        <v>97</v>
      </c>
      <c r="Y1156" t="str" cm="1">
        <f t="array" ref="Y115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156">
        <f>SUM(Table1[[#This Row],[Math 
Score]],Table1[[#This Row],[History 
Score]],Table1[[#This Row],[Physics 
Score]],Table1[[#This Row],[Chemistry 
Score]],Table1[[#This Row],[Biology 
Score]],Table1[[#This Row],[English 
Score]],Table1[[#This Row],[Geography 
Score]])</f>
        <v>590</v>
      </c>
      <c r="AA1156" s="3">
        <f>AVERAGE(Table1[[#This Row],[Math 
Score]],Table1[[#This Row],[History 
Score]],Table1[[#This Row],[Physics 
Score]],Table1[[#This Row],[Chemistry 
Score]],Table1[[#This Row],[Biology 
Score]],Table1[[#This Row],[English 
Score]],Table1[[#This Row],[Geography 
Score]])</f>
        <v>84.285714285714292</v>
      </c>
      <c r="AB115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156">
        <f t="shared" si="18"/>
        <v>531</v>
      </c>
      <c r="AD1156" t="str">
        <f>_xlfn.IFS(Table1[[#This Row],[Absence 
Days]]&lt;3,"Excellent",Table1[[#This Row],[Absence 
Days]]&lt;=6,"Good",Table1[[#This Row],[Absence 
Days]]&gt;6,"Poor")</f>
        <v>Good</v>
      </c>
    </row>
    <row r="1157" spans="1:30" x14ac:dyDescent="0.35">
      <c r="A1157">
        <v>1156</v>
      </c>
      <c r="B1157" s="2" t="s">
        <v>23</v>
      </c>
      <c r="C1157" t="s">
        <v>645</v>
      </c>
      <c r="D1157" t="str">
        <f>_xlfn.TEXTJOIN(" ",TRUE,Table1[[#This Row],[First 
Name]:[Last 
Name]])</f>
        <v>Cassandra Flores</v>
      </c>
      <c r="E1157" t="s">
        <v>2267</v>
      </c>
      <c r="F1157" t="s">
        <v>3245</v>
      </c>
      <c r="G1157" t="str">
        <f ca="1">PROPER(Table1[[#This Row],[Part Time 
Job]])</f>
        <v>True</v>
      </c>
      <c r="H1157" s="3">
        <v>3</v>
      </c>
      <c r="I1157" t="str">
        <f ca="1">PROPER(Table1[[#This Row],[Extracurricular 
Activities]])</f>
        <v>True</v>
      </c>
      <c r="J1157">
        <v>0</v>
      </c>
      <c r="K1157" t="s">
        <v>3115</v>
      </c>
      <c r="L1157">
        <v>72</v>
      </c>
      <c r="M1157" s="12" t="str" cm="1">
        <f t="array" ref="M1157">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157">
        <v>62</v>
      </c>
      <c r="O1157" s="13" t="str" cm="1">
        <f t="array" ref="O115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157">
        <v>96</v>
      </c>
      <c r="Q1157" s="13" t="str" cm="1">
        <f t="array" ref="Q115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157">
        <v>95</v>
      </c>
      <c r="S1157" t="str" cm="1">
        <f t="array" ref="S115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157">
        <v>97</v>
      </c>
      <c r="U1157" t="str" cm="1">
        <f t="array" ref="U115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157">
        <v>71</v>
      </c>
      <c r="W1157" t="str" cm="1">
        <f t="array" ref="W115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157">
        <v>83</v>
      </c>
      <c r="Y1157" t="str" cm="1">
        <f t="array" ref="Y115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157">
        <f>SUM(Table1[[#This Row],[Math 
Score]],Table1[[#This Row],[History 
Score]],Table1[[#This Row],[Physics 
Score]],Table1[[#This Row],[Chemistry 
Score]],Table1[[#This Row],[Biology 
Score]],Table1[[#This Row],[English 
Score]],Table1[[#This Row],[Geography 
Score]])</f>
        <v>576</v>
      </c>
      <c r="AA1157" s="3">
        <f>AVERAGE(Table1[[#This Row],[Math 
Score]],Table1[[#This Row],[History 
Score]],Table1[[#This Row],[Physics 
Score]],Table1[[#This Row],[Chemistry 
Score]],Table1[[#This Row],[Biology 
Score]],Table1[[#This Row],[English 
Score]],Table1[[#This Row],[Geography 
Score]])</f>
        <v>82.285714285714292</v>
      </c>
      <c r="AB115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157">
        <f t="shared" si="18"/>
        <v>789</v>
      </c>
      <c r="AD1157" t="str">
        <f>_xlfn.IFS(Table1[[#This Row],[Absence 
Days]]&lt;3,"Excellent",Table1[[#This Row],[Absence 
Days]]&lt;=6,"Good",Table1[[#This Row],[Absence 
Days]]&gt;6,"Poor")</f>
        <v>Good</v>
      </c>
    </row>
    <row r="1158" spans="1:30" x14ac:dyDescent="0.35">
      <c r="A1158">
        <v>1157</v>
      </c>
      <c r="B1158" s="2" t="s">
        <v>35</v>
      </c>
      <c r="C1158" t="s">
        <v>593</v>
      </c>
      <c r="D1158" t="str">
        <f>_xlfn.TEXTJOIN(" ",TRUE,Table1[[#This Row],[First 
Name]:[Last 
Name]])</f>
        <v>Miguel Hernandez</v>
      </c>
      <c r="E1158" t="s">
        <v>2268</v>
      </c>
      <c r="F1158" t="s">
        <v>3244</v>
      </c>
      <c r="G1158" t="str">
        <f ca="1">PROPER(Table1[[#This Row],[Part Time 
Job]])</f>
        <v>True</v>
      </c>
      <c r="H1158" s="3">
        <v>1</v>
      </c>
      <c r="I1158" t="str">
        <f ca="1">PROPER(Table1[[#This Row],[Extracurricular 
Activities]])</f>
        <v>False</v>
      </c>
      <c r="J1158">
        <v>17</v>
      </c>
      <c r="K1158" t="s">
        <v>3124</v>
      </c>
      <c r="L1158">
        <v>74</v>
      </c>
      <c r="M1158" s="12" t="str" cm="1">
        <f t="array" ref="M1158">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158">
        <v>88</v>
      </c>
      <c r="O1158" s="13" t="str" cm="1">
        <f t="array" ref="O115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158">
        <v>99</v>
      </c>
      <c r="Q1158" s="13" t="str" cm="1">
        <f t="array" ref="Q115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158">
        <v>92</v>
      </c>
      <c r="S1158" t="str" cm="1">
        <f t="array" ref="S115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158">
        <v>93</v>
      </c>
      <c r="U1158" t="str" cm="1">
        <f t="array" ref="U115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158">
        <v>85</v>
      </c>
      <c r="W1158" t="str" cm="1">
        <f t="array" ref="W115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158">
        <v>81</v>
      </c>
      <c r="Y1158" t="str" cm="1">
        <f t="array" ref="Y115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158">
        <f>SUM(Table1[[#This Row],[Math 
Score]],Table1[[#This Row],[History 
Score]],Table1[[#This Row],[Physics 
Score]],Table1[[#This Row],[Chemistry 
Score]],Table1[[#This Row],[Biology 
Score]],Table1[[#This Row],[English 
Score]],Table1[[#This Row],[Geography 
Score]])</f>
        <v>612</v>
      </c>
      <c r="AA1158" s="3">
        <f>AVERAGE(Table1[[#This Row],[Math 
Score]],Table1[[#This Row],[History 
Score]],Table1[[#This Row],[Physics 
Score]],Table1[[#This Row],[Chemistry 
Score]],Table1[[#This Row],[Biology 
Score]],Table1[[#This Row],[English 
Score]],Table1[[#This Row],[Geography 
Score]])</f>
        <v>87.428571428571431</v>
      </c>
      <c r="AB115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158">
        <f t="shared" si="18"/>
        <v>283</v>
      </c>
      <c r="AD1158" t="str">
        <f>_xlfn.IFS(Table1[[#This Row],[Absence 
Days]]&lt;3,"Excellent",Table1[[#This Row],[Absence 
Days]]&lt;=6,"Good",Table1[[#This Row],[Absence 
Days]]&gt;6,"Poor")</f>
        <v>Excellent</v>
      </c>
    </row>
    <row r="1159" spans="1:30" x14ac:dyDescent="0.35">
      <c r="A1159">
        <v>1158</v>
      </c>
      <c r="B1159" s="2" t="s">
        <v>55</v>
      </c>
      <c r="C1159" t="s">
        <v>856</v>
      </c>
      <c r="D1159" t="str">
        <f>_xlfn.TEXTJOIN(" ",TRUE,Table1[[#This Row],[First 
Name]:[Last 
Name]])</f>
        <v>Brittany Welch</v>
      </c>
      <c r="E1159" t="s">
        <v>2269</v>
      </c>
      <c r="F1159" t="s">
        <v>3245</v>
      </c>
      <c r="G1159" t="str">
        <f ca="1">PROPER(Table1[[#This Row],[Part Time 
Job]])</f>
        <v>True</v>
      </c>
      <c r="H1159" s="3">
        <v>5</v>
      </c>
      <c r="I1159" t="str">
        <f ca="1">PROPER(Table1[[#This Row],[Extracurricular 
Activities]])</f>
        <v>False</v>
      </c>
      <c r="J1159">
        <v>4</v>
      </c>
      <c r="K1159" t="s">
        <v>3119</v>
      </c>
      <c r="L1159">
        <v>74</v>
      </c>
      <c r="M1159" s="12" t="str" cm="1">
        <f t="array" ref="M1159">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159">
        <v>74</v>
      </c>
      <c r="O1159" s="13" t="str" cm="1">
        <f t="array" ref="O115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159">
        <v>83</v>
      </c>
      <c r="Q1159" s="13" t="str" cm="1">
        <f t="array" ref="Q115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159">
        <v>52</v>
      </c>
      <c r="S1159" t="str" cm="1">
        <f t="array" ref="S115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C</v>
      </c>
      <c r="T1159">
        <v>70</v>
      </c>
      <c r="U1159" t="str" cm="1">
        <f t="array" ref="U115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159">
        <v>87</v>
      </c>
      <c r="W1159" t="str" cm="1">
        <f t="array" ref="W115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159">
        <v>95</v>
      </c>
      <c r="Y1159" t="str" cm="1">
        <f t="array" ref="Y115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159">
        <f>SUM(Table1[[#This Row],[Math 
Score]],Table1[[#This Row],[History 
Score]],Table1[[#This Row],[Physics 
Score]],Table1[[#This Row],[Chemistry 
Score]],Table1[[#This Row],[Biology 
Score]],Table1[[#This Row],[English 
Score]],Table1[[#This Row],[Geography 
Score]])</f>
        <v>535</v>
      </c>
      <c r="AA1159" s="3">
        <f>AVERAGE(Table1[[#This Row],[Math 
Score]],Table1[[#This Row],[History 
Score]],Table1[[#This Row],[Physics 
Score]],Table1[[#This Row],[Chemistry 
Score]],Table1[[#This Row],[Biology 
Score]],Table1[[#This Row],[English 
Score]],Table1[[#This Row],[Geography 
Score]])</f>
        <v>76.428571428571431</v>
      </c>
      <c r="AB115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159">
        <f t="shared" si="18"/>
        <v>1578</v>
      </c>
      <c r="AD1159" t="str">
        <f>_xlfn.IFS(Table1[[#This Row],[Absence 
Days]]&lt;3,"Excellent",Table1[[#This Row],[Absence 
Days]]&lt;=6,"Good",Table1[[#This Row],[Absence 
Days]]&gt;6,"Poor")</f>
        <v>Good</v>
      </c>
    </row>
    <row r="1160" spans="1:30" x14ac:dyDescent="0.35">
      <c r="A1160">
        <v>1159</v>
      </c>
      <c r="B1160" s="2" t="s">
        <v>74</v>
      </c>
      <c r="C1160" t="s">
        <v>293</v>
      </c>
      <c r="D1160" t="str">
        <f>_xlfn.TEXTJOIN(" ",TRUE,Table1[[#This Row],[First 
Name]:[Last 
Name]])</f>
        <v>Robert Ross</v>
      </c>
      <c r="E1160" t="s">
        <v>2270</v>
      </c>
      <c r="F1160" t="s">
        <v>3244</v>
      </c>
      <c r="G1160" t="str">
        <f ca="1">PROPER(Table1[[#This Row],[Part Time 
Job]])</f>
        <v>False</v>
      </c>
      <c r="H1160" s="3">
        <v>3</v>
      </c>
      <c r="I1160" t="str">
        <f ca="1">PROPER(Table1[[#This Row],[Extracurricular 
Activities]])</f>
        <v>False</v>
      </c>
      <c r="J1160">
        <v>32</v>
      </c>
      <c r="K1160" t="s">
        <v>3112</v>
      </c>
      <c r="L1160">
        <v>91</v>
      </c>
      <c r="M1160" s="12" t="str" cm="1">
        <f t="array" ref="M116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160">
        <v>92</v>
      </c>
      <c r="O1160" s="13" t="str" cm="1">
        <f t="array" ref="O116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160">
        <v>64</v>
      </c>
      <c r="Q1160" s="13" t="str" cm="1">
        <f t="array" ref="Q116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160">
        <v>69</v>
      </c>
      <c r="S1160" t="str" cm="1">
        <f t="array" ref="S116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160">
        <v>82</v>
      </c>
      <c r="U1160" t="str" cm="1">
        <f t="array" ref="U116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160">
        <v>94</v>
      </c>
      <c r="W1160" t="str" cm="1">
        <f t="array" ref="W116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160">
        <v>61</v>
      </c>
      <c r="Y1160" t="str" cm="1">
        <f t="array" ref="Y116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160">
        <f>SUM(Table1[[#This Row],[Math 
Score]],Table1[[#This Row],[History 
Score]],Table1[[#This Row],[Physics 
Score]],Table1[[#This Row],[Chemistry 
Score]],Table1[[#This Row],[Biology 
Score]],Table1[[#This Row],[English 
Score]],Table1[[#This Row],[Geography 
Score]])</f>
        <v>553</v>
      </c>
      <c r="AA1160" s="3">
        <f>AVERAGE(Table1[[#This Row],[Math 
Score]],Table1[[#This Row],[History 
Score]],Table1[[#This Row],[Physics 
Score]],Table1[[#This Row],[Chemistry 
Score]],Table1[[#This Row],[Biology 
Score]],Table1[[#This Row],[English 
Score]],Table1[[#This Row],[Geography 
Score]])</f>
        <v>79</v>
      </c>
      <c r="AB116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160">
        <f t="shared" si="18"/>
        <v>1284</v>
      </c>
      <c r="AD1160" t="str">
        <f>_xlfn.IFS(Table1[[#This Row],[Absence 
Days]]&lt;3,"Excellent",Table1[[#This Row],[Absence 
Days]]&lt;=6,"Good",Table1[[#This Row],[Absence 
Days]]&gt;6,"Poor")</f>
        <v>Good</v>
      </c>
    </row>
    <row r="1161" spans="1:30" x14ac:dyDescent="0.35">
      <c r="A1161">
        <v>1160</v>
      </c>
      <c r="B1161" s="2" t="s">
        <v>50</v>
      </c>
      <c r="C1161" t="s">
        <v>462</v>
      </c>
      <c r="D1161" t="str">
        <f>_xlfn.TEXTJOIN(" ",TRUE,Table1[[#This Row],[First 
Name]:[Last 
Name]])</f>
        <v>Jennifer White</v>
      </c>
      <c r="E1161" t="s">
        <v>2271</v>
      </c>
      <c r="F1161" t="s">
        <v>3245</v>
      </c>
      <c r="G1161" t="str">
        <f ca="1">PROPER(Table1[[#This Row],[Part Time 
Job]])</f>
        <v>False</v>
      </c>
      <c r="H1161" s="3">
        <v>5</v>
      </c>
      <c r="I1161" t="str">
        <f ca="1">PROPER(Table1[[#This Row],[Extracurricular 
Activities]])</f>
        <v>False</v>
      </c>
      <c r="J1161">
        <v>34</v>
      </c>
      <c r="K1161" t="s">
        <v>3123</v>
      </c>
      <c r="L1161">
        <v>77</v>
      </c>
      <c r="M1161" s="12" t="str" cm="1">
        <f t="array" ref="M116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161">
        <v>66</v>
      </c>
      <c r="O1161" s="13" t="str" cm="1">
        <f t="array" ref="O116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161">
        <v>94</v>
      </c>
      <c r="Q1161" s="13" t="str" cm="1">
        <f t="array" ref="Q116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161">
        <v>77</v>
      </c>
      <c r="S1161" t="str" cm="1">
        <f t="array" ref="S116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161">
        <v>49</v>
      </c>
      <c r="U1161" t="str" cm="1">
        <f t="array" ref="U116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D</v>
      </c>
      <c r="V1161">
        <v>83</v>
      </c>
      <c r="W1161" t="str" cm="1">
        <f t="array" ref="W116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161">
        <v>64</v>
      </c>
      <c r="Y1161" t="str" cm="1">
        <f t="array" ref="Y116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161">
        <f>SUM(Table1[[#This Row],[Math 
Score]],Table1[[#This Row],[History 
Score]],Table1[[#This Row],[Physics 
Score]],Table1[[#This Row],[Chemistry 
Score]],Table1[[#This Row],[Biology 
Score]],Table1[[#This Row],[English 
Score]],Table1[[#This Row],[Geography 
Score]])</f>
        <v>510</v>
      </c>
      <c r="AA1161" s="3">
        <f>AVERAGE(Table1[[#This Row],[Math 
Score]],Table1[[#This Row],[History 
Score]],Table1[[#This Row],[Physics 
Score]],Table1[[#This Row],[Chemistry 
Score]],Table1[[#This Row],[Biology 
Score]],Table1[[#This Row],[English 
Score]],Table1[[#This Row],[Geography 
Score]])</f>
        <v>72.857142857142861</v>
      </c>
      <c r="AB116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161">
        <f t="shared" si="18"/>
        <v>1828</v>
      </c>
      <c r="AD1161" t="str">
        <f>_xlfn.IFS(Table1[[#This Row],[Absence 
Days]]&lt;3,"Excellent",Table1[[#This Row],[Absence 
Days]]&lt;=6,"Good",Table1[[#This Row],[Absence 
Days]]&gt;6,"Poor")</f>
        <v>Good</v>
      </c>
    </row>
    <row r="1162" spans="1:30" x14ac:dyDescent="0.35">
      <c r="A1162">
        <v>1161</v>
      </c>
      <c r="B1162" s="2" t="s">
        <v>122</v>
      </c>
      <c r="C1162" t="s">
        <v>458</v>
      </c>
      <c r="D1162" t="str">
        <f>_xlfn.TEXTJOIN(" ",TRUE,Table1[[#This Row],[First 
Name]:[Last 
Name]])</f>
        <v>Rebecca Smith</v>
      </c>
      <c r="E1162" t="s">
        <v>2272</v>
      </c>
      <c r="F1162" t="s">
        <v>3245</v>
      </c>
      <c r="G1162" t="str">
        <f ca="1">PROPER(Table1[[#This Row],[Part Time 
Job]])</f>
        <v>False</v>
      </c>
      <c r="H1162" s="3">
        <v>7</v>
      </c>
      <c r="I1162" t="str">
        <f ca="1">PROPER(Table1[[#This Row],[Extracurricular 
Activities]])</f>
        <v>False</v>
      </c>
      <c r="J1162">
        <v>8</v>
      </c>
      <c r="K1162" t="s">
        <v>3114</v>
      </c>
      <c r="L1162">
        <v>87</v>
      </c>
      <c r="M1162" s="12" t="str" cm="1">
        <f t="array" ref="M116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162">
        <v>90</v>
      </c>
      <c r="O1162" s="13" t="str" cm="1">
        <f t="array" ref="O116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162">
        <v>91</v>
      </c>
      <c r="Q1162" s="13" t="str" cm="1">
        <f t="array" ref="Q116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162">
        <v>60</v>
      </c>
      <c r="S1162" t="str" cm="1">
        <f t="array" ref="S116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162">
        <v>95</v>
      </c>
      <c r="U1162" t="str" cm="1">
        <f t="array" ref="U116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162">
        <v>67</v>
      </c>
      <c r="W1162" t="str" cm="1">
        <f t="array" ref="W116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162">
        <v>62</v>
      </c>
      <c r="Y1162" t="str" cm="1">
        <f t="array" ref="Y116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162">
        <f>SUM(Table1[[#This Row],[Math 
Score]],Table1[[#This Row],[History 
Score]],Table1[[#This Row],[Physics 
Score]],Table1[[#This Row],[Chemistry 
Score]],Table1[[#This Row],[Biology 
Score]],Table1[[#This Row],[English 
Score]],Table1[[#This Row],[Geography 
Score]])</f>
        <v>552</v>
      </c>
      <c r="AA1162" s="3">
        <f>AVERAGE(Table1[[#This Row],[Math 
Score]],Table1[[#This Row],[History 
Score]],Table1[[#This Row],[Physics 
Score]],Table1[[#This Row],[Chemistry 
Score]],Table1[[#This Row],[Biology 
Score]],Table1[[#This Row],[English 
Score]],Table1[[#This Row],[Geography 
Score]])</f>
        <v>78.857142857142861</v>
      </c>
      <c r="AB116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162">
        <f t="shared" si="18"/>
        <v>1306</v>
      </c>
      <c r="AD1162" t="str">
        <f>_xlfn.IFS(Table1[[#This Row],[Absence 
Days]]&lt;3,"Excellent",Table1[[#This Row],[Absence 
Days]]&lt;=6,"Good",Table1[[#This Row],[Absence 
Days]]&gt;6,"Poor")</f>
        <v>Poor</v>
      </c>
    </row>
    <row r="1163" spans="1:30" x14ac:dyDescent="0.35">
      <c r="A1163">
        <v>1162</v>
      </c>
      <c r="B1163" s="2" t="s">
        <v>102</v>
      </c>
      <c r="C1163" t="s">
        <v>950</v>
      </c>
      <c r="D1163" t="str">
        <f>_xlfn.TEXTJOIN(" ",TRUE,Table1[[#This Row],[First 
Name]:[Last 
Name]])</f>
        <v>Jessica Ferrell</v>
      </c>
      <c r="E1163" t="s">
        <v>2273</v>
      </c>
      <c r="F1163" t="s">
        <v>3245</v>
      </c>
      <c r="G1163" t="str">
        <f ca="1">PROPER(Table1[[#This Row],[Part Time 
Job]])</f>
        <v>False</v>
      </c>
      <c r="H1163" s="3">
        <v>1</v>
      </c>
      <c r="I1163" t="str">
        <f ca="1">PROPER(Table1[[#This Row],[Extracurricular 
Activities]])</f>
        <v>True</v>
      </c>
      <c r="J1163">
        <v>3</v>
      </c>
      <c r="K1163" t="s">
        <v>3116</v>
      </c>
      <c r="L1163">
        <v>60</v>
      </c>
      <c r="M1163" s="12" t="str" cm="1">
        <f t="array" ref="M1163">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163">
        <v>70</v>
      </c>
      <c r="O1163" s="13" t="str" cm="1">
        <f t="array" ref="O116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163">
        <v>61</v>
      </c>
      <c r="Q1163" s="13" t="str" cm="1">
        <f t="array" ref="Q116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163">
        <v>63</v>
      </c>
      <c r="S1163" t="str" cm="1">
        <f t="array" ref="S116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163">
        <v>61</v>
      </c>
      <c r="U1163" t="str" cm="1">
        <f t="array" ref="U116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163">
        <v>71</v>
      </c>
      <c r="W1163" t="str" cm="1">
        <f t="array" ref="W116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163">
        <v>73</v>
      </c>
      <c r="Y1163" t="str" cm="1">
        <f t="array" ref="Y116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163">
        <f>SUM(Table1[[#This Row],[Math 
Score]],Table1[[#This Row],[History 
Score]],Table1[[#This Row],[Physics 
Score]],Table1[[#This Row],[Chemistry 
Score]],Table1[[#This Row],[Biology 
Score]],Table1[[#This Row],[English 
Score]],Table1[[#This Row],[Geography 
Score]])</f>
        <v>459</v>
      </c>
      <c r="AA1163" s="3">
        <f>AVERAGE(Table1[[#This Row],[Math 
Score]],Table1[[#This Row],[History 
Score]],Table1[[#This Row],[Physics 
Score]],Table1[[#This Row],[Chemistry 
Score]],Table1[[#This Row],[Biology 
Score]],Table1[[#This Row],[English 
Score]],Table1[[#This Row],[Geography 
Score]])</f>
        <v>65.571428571428569</v>
      </c>
      <c r="AB116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163">
        <f t="shared" si="18"/>
        <v>1981</v>
      </c>
      <c r="AD1163" t="str">
        <f>_xlfn.IFS(Table1[[#This Row],[Absence 
Days]]&lt;3,"Excellent",Table1[[#This Row],[Absence 
Days]]&lt;=6,"Good",Table1[[#This Row],[Absence 
Days]]&gt;6,"Poor")</f>
        <v>Excellent</v>
      </c>
    </row>
    <row r="1164" spans="1:30" x14ac:dyDescent="0.35">
      <c r="A1164">
        <v>1163</v>
      </c>
      <c r="B1164" s="2" t="s">
        <v>125</v>
      </c>
      <c r="C1164" t="s">
        <v>951</v>
      </c>
      <c r="D1164" t="str">
        <f>_xlfn.TEXTJOIN(" ",TRUE,Table1[[#This Row],[First 
Name]:[Last 
Name]])</f>
        <v>Jeremy Montgomery</v>
      </c>
      <c r="E1164" t="s">
        <v>2274</v>
      </c>
      <c r="F1164" t="s">
        <v>3244</v>
      </c>
      <c r="G1164" t="str">
        <f ca="1">PROPER(Table1[[#This Row],[Part Time 
Job]])</f>
        <v>False</v>
      </c>
      <c r="H1164" s="3">
        <v>1</v>
      </c>
      <c r="I1164" t="str">
        <f ca="1">PROPER(Table1[[#This Row],[Extracurricular 
Activities]])</f>
        <v>True</v>
      </c>
      <c r="J1164">
        <v>3</v>
      </c>
      <c r="K1164" t="s">
        <v>3119</v>
      </c>
      <c r="L1164">
        <v>92</v>
      </c>
      <c r="M1164" s="12" t="str" cm="1">
        <f t="array" ref="M116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164">
        <v>84</v>
      </c>
      <c r="O1164" s="13" t="str" cm="1">
        <f t="array" ref="O116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164">
        <v>86</v>
      </c>
      <c r="Q1164" s="13" t="str" cm="1">
        <f t="array" ref="Q116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164">
        <v>80</v>
      </c>
      <c r="S1164" t="str" cm="1">
        <f t="array" ref="S116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164">
        <v>73</v>
      </c>
      <c r="U1164" t="str" cm="1">
        <f t="array" ref="U116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164">
        <v>97</v>
      </c>
      <c r="W1164" t="str" cm="1">
        <f t="array" ref="W116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164">
        <v>88</v>
      </c>
      <c r="Y1164" t="str" cm="1">
        <f t="array" ref="Y116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164">
        <f>SUM(Table1[[#This Row],[Math 
Score]],Table1[[#This Row],[History 
Score]],Table1[[#This Row],[Physics 
Score]],Table1[[#This Row],[Chemistry 
Score]],Table1[[#This Row],[Biology 
Score]],Table1[[#This Row],[English 
Score]],Table1[[#This Row],[Geography 
Score]])</f>
        <v>600</v>
      </c>
      <c r="AA1164" s="3">
        <f>AVERAGE(Table1[[#This Row],[Math 
Score]],Table1[[#This Row],[History 
Score]],Table1[[#This Row],[Physics 
Score]],Table1[[#This Row],[Chemistry 
Score]],Table1[[#This Row],[Biology 
Score]],Table1[[#This Row],[English 
Score]],Table1[[#This Row],[Geography 
Score]])</f>
        <v>85.714285714285708</v>
      </c>
      <c r="AB116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164">
        <f t="shared" si="18"/>
        <v>406</v>
      </c>
      <c r="AD1164" t="str">
        <f>_xlfn.IFS(Table1[[#This Row],[Absence 
Days]]&lt;3,"Excellent",Table1[[#This Row],[Absence 
Days]]&lt;=6,"Good",Table1[[#This Row],[Absence 
Days]]&gt;6,"Poor")</f>
        <v>Excellent</v>
      </c>
    </row>
    <row r="1165" spans="1:30" x14ac:dyDescent="0.35">
      <c r="A1165">
        <v>1164</v>
      </c>
      <c r="B1165" s="2" t="s">
        <v>303</v>
      </c>
      <c r="C1165" t="s">
        <v>932</v>
      </c>
      <c r="D1165" t="str">
        <f>_xlfn.TEXTJOIN(" ",TRUE,Table1[[#This Row],[First 
Name]:[Last 
Name]])</f>
        <v>Angel Gilbert</v>
      </c>
      <c r="E1165" t="s">
        <v>2275</v>
      </c>
      <c r="F1165" t="s">
        <v>3245</v>
      </c>
      <c r="G1165" t="str">
        <f ca="1">PROPER(Table1[[#This Row],[Part Time 
Job]])</f>
        <v>True</v>
      </c>
      <c r="H1165" s="3">
        <v>9</v>
      </c>
      <c r="I1165" t="str">
        <f ca="1">PROPER(Table1[[#This Row],[Extracurricular 
Activities]])</f>
        <v>False</v>
      </c>
      <c r="J1165">
        <v>4</v>
      </c>
      <c r="K1165" t="s">
        <v>3119</v>
      </c>
      <c r="L1165">
        <v>71</v>
      </c>
      <c r="M1165" s="12" t="str" cm="1">
        <f t="array" ref="M1165">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165">
        <v>89</v>
      </c>
      <c r="O1165" s="13" t="str" cm="1">
        <f t="array" ref="O116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165">
        <v>63</v>
      </c>
      <c r="Q1165" s="13" t="str" cm="1">
        <f t="array" ref="Q116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165">
        <v>50</v>
      </c>
      <c r="S1165" t="str" cm="1">
        <f t="array" ref="S116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C</v>
      </c>
      <c r="T1165">
        <v>63</v>
      </c>
      <c r="U1165" t="str" cm="1">
        <f t="array" ref="U116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165">
        <v>64</v>
      </c>
      <c r="W1165" t="str" cm="1">
        <f t="array" ref="W116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165">
        <v>69</v>
      </c>
      <c r="Y1165" t="str" cm="1">
        <f t="array" ref="Y116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165">
        <f>SUM(Table1[[#This Row],[Math 
Score]],Table1[[#This Row],[History 
Score]],Table1[[#This Row],[Physics 
Score]],Table1[[#This Row],[Chemistry 
Score]],Table1[[#This Row],[Biology 
Score]],Table1[[#This Row],[English 
Score]],Table1[[#This Row],[Geography 
Score]])</f>
        <v>469</v>
      </c>
      <c r="AA1165" s="3">
        <f>AVERAGE(Table1[[#This Row],[Math 
Score]],Table1[[#This Row],[History 
Score]],Table1[[#This Row],[Physics 
Score]],Table1[[#This Row],[Chemistry 
Score]],Table1[[#This Row],[Biology 
Score]],Table1[[#This Row],[English 
Score]],Table1[[#This Row],[Geography 
Score]])</f>
        <v>67</v>
      </c>
      <c r="AB116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165">
        <f t="shared" si="18"/>
        <v>1963</v>
      </c>
      <c r="AD1165" t="str">
        <f>_xlfn.IFS(Table1[[#This Row],[Absence 
Days]]&lt;3,"Excellent",Table1[[#This Row],[Absence 
Days]]&lt;=6,"Good",Table1[[#This Row],[Absence 
Days]]&gt;6,"Poor")</f>
        <v>Poor</v>
      </c>
    </row>
    <row r="1166" spans="1:30" x14ac:dyDescent="0.35">
      <c r="A1166">
        <v>1165</v>
      </c>
      <c r="B1166" s="2" t="s">
        <v>122</v>
      </c>
      <c r="C1166" t="s">
        <v>502</v>
      </c>
      <c r="D1166" t="str">
        <f>_xlfn.TEXTJOIN(" ",TRUE,Table1[[#This Row],[First 
Name]:[Last 
Name]])</f>
        <v>Rebecca Roman</v>
      </c>
      <c r="E1166" t="s">
        <v>2276</v>
      </c>
      <c r="F1166" t="s">
        <v>3245</v>
      </c>
      <c r="G1166" t="str">
        <f ca="1">PROPER(Table1[[#This Row],[Part Time 
Job]])</f>
        <v>False</v>
      </c>
      <c r="H1166" s="3">
        <v>1</v>
      </c>
      <c r="I1166" t="str">
        <f ca="1">PROPER(Table1[[#This Row],[Extracurricular 
Activities]])</f>
        <v>False</v>
      </c>
      <c r="J1166">
        <v>2</v>
      </c>
      <c r="K1166" t="s">
        <v>3115</v>
      </c>
      <c r="L1166">
        <v>62</v>
      </c>
      <c r="M1166" s="12" t="str" cm="1">
        <f t="array" ref="M1166">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166">
        <v>100</v>
      </c>
      <c r="O1166" s="13" t="str" cm="1">
        <f t="array" ref="O116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166">
        <v>91</v>
      </c>
      <c r="Q1166" s="13" t="str" cm="1">
        <f t="array" ref="Q116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166">
        <v>75</v>
      </c>
      <c r="S1166" t="str" cm="1">
        <f t="array" ref="S116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166">
        <v>99</v>
      </c>
      <c r="U1166" t="str" cm="1">
        <f t="array" ref="U116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166">
        <v>76</v>
      </c>
      <c r="W1166" t="str" cm="1">
        <f t="array" ref="W116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166">
        <v>78</v>
      </c>
      <c r="Y1166" t="str" cm="1">
        <f t="array" ref="Y116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166">
        <f>SUM(Table1[[#This Row],[Math 
Score]],Table1[[#This Row],[History 
Score]],Table1[[#This Row],[Physics 
Score]],Table1[[#This Row],[Chemistry 
Score]],Table1[[#This Row],[Biology 
Score]],Table1[[#This Row],[English 
Score]],Table1[[#This Row],[Geography 
Score]])</f>
        <v>581</v>
      </c>
      <c r="AA1166" s="3">
        <f>AVERAGE(Table1[[#This Row],[Math 
Score]],Table1[[#This Row],[History 
Score]],Table1[[#This Row],[Physics 
Score]],Table1[[#This Row],[Chemistry 
Score]],Table1[[#This Row],[Biology 
Score]],Table1[[#This Row],[English 
Score]],Table1[[#This Row],[Geography 
Score]])</f>
        <v>83</v>
      </c>
      <c r="AB116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166">
        <f t="shared" si="18"/>
        <v>688</v>
      </c>
      <c r="AD1166" t="str">
        <f>_xlfn.IFS(Table1[[#This Row],[Absence 
Days]]&lt;3,"Excellent",Table1[[#This Row],[Absence 
Days]]&lt;=6,"Good",Table1[[#This Row],[Absence 
Days]]&gt;6,"Poor")</f>
        <v>Excellent</v>
      </c>
    </row>
    <row r="1167" spans="1:30" x14ac:dyDescent="0.35">
      <c r="A1167">
        <v>1166</v>
      </c>
      <c r="B1167" s="2" t="s">
        <v>371</v>
      </c>
      <c r="C1167" t="s">
        <v>589</v>
      </c>
      <c r="D1167" t="str">
        <f>_xlfn.TEXTJOIN(" ",TRUE,Table1[[#This Row],[First 
Name]:[Last 
Name]])</f>
        <v>Frank Lopez</v>
      </c>
      <c r="E1167" t="s">
        <v>2277</v>
      </c>
      <c r="F1167" t="s">
        <v>3244</v>
      </c>
      <c r="G1167" t="str">
        <f ca="1">PROPER(Table1[[#This Row],[Part Time 
Job]])</f>
        <v>False</v>
      </c>
      <c r="H1167" s="3">
        <v>0</v>
      </c>
      <c r="I1167" t="str">
        <f ca="1">PROPER(Table1[[#This Row],[Extracurricular 
Activities]])</f>
        <v>False</v>
      </c>
      <c r="J1167">
        <v>0</v>
      </c>
      <c r="K1167" t="s">
        <v>3128</v>
      </c>
      <c r="L1167">
        <v>100</v>
      </c>
      <c r="M1167" s="12" t="str" cm="1">
        <f t="array" ref="M116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167">
        <v>85</v>
      </c>
      <c r="O1167" s="13" t="str" cm="1">
        <f t="array" ref="O116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167">
        <v>81</v>
      </c>
      <c r="Q1167" s="13" t="str" cm="1">
        <f t="array" ref="Q116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167">
        <v>91</v>
      </c>
      <c r="S1167" t="str" cm="1">
        <f t="array" ref="S116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167">
        <v>75</v>
      </c>
      <c r="U1167" t="str" cm="1">
        <f t="array" ref="U116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167">
        <v>64</v>
      </c>
      <c r="W1167" t="str" cm="1">
        <f t="array" ref="W116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167">
        <v>83</v>
      </c>
      <c r="Y1167" t="str" cm="1">
        <f t="array" ref="Y116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167">
        <f>SUM(Table1[[#This Row],[Math 
Score]],Table1[[#This Row],[History 
Score]],Table1[[#This Row],[Physics 
Score]],Table1[[#This Row],[Chemistry 
Score]],Table1[[#This Row],[Biology 
Score]],Table1[[#This Row],[English 
Score]],Table1[[#This Row],[Geography 
Score]])</f>
        <v>579</v>
      </c>
      <c r="AA1167" s="3">
        <f>AVERAGE(Table1[[#This Row],[Math 
Score]],Table1[[#This Row],[History 
Score]],Table1[[#This Row],[Physics 
Score]],Table1[[#This Row],[Chemistry 
Score]],Table1[[#This Row],[Biology 
Score]],Table1[[#This Row],[English 
Score]],Table1[[#This Row],[Geography 
Score]])</f>
        <v>82.714285714285708</v>
      </c>
      <c r="AB116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167">
        <f t="shared" si="18"/>
        <v>730</v>
      </c>
      <c r="AD1167" t="str">
        <f>_xlfn.IFS(Table1[[#This Row],[Absence 
Days]]&lt;3,"Excellent",Table1[[#This Row],[Absence 
Days]]&lt;=6,"Good",Table1[[#This Row],[Absence 
Days]]&gt;6,"Poor")</f>
        <v>Excellent</v>
      </c>
    </row>
    <row r="1168" spans="1:30" x14ac:dyDescent="0.35">
      <c r="A1168">
        <v>1167</v>
      </c>
      <c r="B1168" s="2" t="s">
        <v>80</v>
      </c>
      <c r="C1168" t="s">
        <v>593</v>
      </c>
      <c r="D1168" t="str">
        <f>_xlfn.TEXTJOIN(" ",TRUE,Table1[[#This Row],[First 
Name]:[Last 
Name]])</f>
        <v>Thomas Hernandez</v>
      </c>
      <c r="E1168" t="s">
        <v>2278</v>
      </c>
      <c r="F1168" t="s">
        <v>3244</v>
      </c>
      <c r="G1168" t="str">
        <f ca="1">PROPER(Table1[[#This Row],[Part Time 
Job]])</f>
        <v>False</v>
      </c>
      <c r="H1168" s="3">
        <v>5</v>
      </c>
      <c r="I1168" t="str">
        <f ca="1">PROPER(Table1[[#This Row],[Extracurricular 
Activities]])</f>
        <v>True</v>
      </c>
      <c r="J1168">
        <v>3</v>
      </c>
      <c r="K1168" t="s">
        <v>3126</v>
      </c>
      <c r="L1168">
        <v>94</v>
      </c>
      <c r="M1168" s="12" t="str" cm="1">
        <f t="array" ref="M116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168">
        <v>65</v>
      </c>
      <c r="O1168" s="13" t="str" cm="1">
        <f t="array" ref="O116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168">
        <v>100</v>
      </c>
      <c r="Q1168" s="13" t="str" cm="1">
        <f t="array" ref="Q116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168">
        <v>77</v>
      </c>
      <c r="S1168" t="str" cm="1">
        <f t="array" ref="S116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168">
        <v>66</v>
      </c>
      <c r="U1168" t="str" cm="1">
        <f t="array" ref="U116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168">
        <v>96</v>
      </c>
      <c r="W1168" t="str" cm="1">
        <f t="array" ref="W116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168">
        <v>68</v>
      </c>
      <c r="Y1168" t="str" cm="1">
        <f t="array" ref="Y116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168">
        <f>SUM(Table1[[#This Row],[Math 
Score]],Table1[[#This Row],[History 
Score]],Table1[[#This Row],[Physics 
Score]],Table1[[#This Row],[Chemistry 
Score]],Table1[[#This Row],[Biology 
Score]],Table1[[#This Row],[English 
Score]],Table1[[#This Row],[Geography 
Score]])</f>
        <v>566</v>
      </c>
      <c r="AA1168" s="3">
        <f>AVERAGE(Table1[[#This Row],[Math 
Score]],Table1[[#This Row],[History 
Score]],Table1[[#This Row],[Physics 
Score]],Table1[[#This Row],[Chemistry 
Score]],Table1[[#This Row],[Biology 
Score]],Table1[[#This Row],[English 
Score]],Table1[[#This Row],[Geography 
Score]])</f>
        <v>80.857142857142861</v>
      </c>
      <c r="AB116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168">
        <f t="shared" si="18"/>
        <v>1019</v>
      </c>
      <c r="AD1168" t="str">
        <f>_xlfn.IFS(Table1[[#This Row],[Absence 
Days]]&lt;3,"Excellent",Table1[[#This Row],[Absence 
Days]]&lt;=6,"Good",Table1[[#This Row],[Absence 
Days]]&gt;6,"Poor")</f>
        <v>Good</v>
      </c>
    </row>
    <row r="1169" spans="1:30" x14ac:dyDescent="0.35">
      <c r="A1169">
        <v>1168</v>
      </c>
      <c r="B1169" s="2" t="s">
        <v>94</v>
      </c>
      <c r="C1169" t="s">
        <v>479</v>
      </c>
      <c r="D1169" t="str">
        <f>_xlfn.TEXTJOIN(" ",TRUE,Table1[[#This Row],[First 
Name]:[Last 
Name]])</f>
        <v>Crystal Miller</v>
      </c>
      <c r="E1169" t="s">
        <v>2279</v>
      </c>
      <c r="F1169" t="s">
        <v>3245</v>
      </c>
      <c r="G1169" t="str">
        <f ca="1">PROPER(Table1[[#This Row],[Part Time 
Job]])</f>
        <v>False</v>
      </c>
      <c r="H1169" s="3">
        <v>4</v>
      </c>
      <c r="I1169" t="str">
        <f ca="1">PROPER(Table1[[#This Row],[Extracurricular 
Activities]])</f>
        <v>False</v>
      </c>
      <c r="J1169">
        <v>4</v>
      </c>
      <c r="K1169" t="s">
        <v>3115</v>
      </c>
      <c r="L1169">
        <v>98</v>
      </c>
      <c r="M1169" s="12" t="str" cm="1">
        <f t="array" ref="M116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169">
        <v>80</v>
      </c>
      <c r="O1169" s="13" t="str" cm="1">
        <f t="array" ref="O116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169">
        <v>66</v>
      </c>
      <c r="Q1169" s="13" t="str" cm="1">
        <f t="array" ref="Q116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169">
        <v>94</v>
      </c>
      <c r="S1169" t="str" cm="1">
        <f t="array" ref="S116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169">
        <v>86</v>
      </c>
      <c r="U1169" t="str" cm="1">
        <f t="array" ref="U116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169">
        <v>72</v>
      </c>
      <c r="W1169" t="str" cm="1">
        <f t="array" ref="W116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169">
        <v>86</v>
      </c>
      <c r="Y1169" t="str" cm="1">
        <f t="array" ref="Y116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169">
        <f>SUM(Table1[[#This Row],[Math 
Score]],Table1[[#This Row],[History 
Score]],Table1[[#This Row],[Physics 
Score]],Table1[[#This Row],[Chemistry 
Score]],Table1[[#This Row],[Biology 
Score]],Table1[[#This Row],[English 
Score]],Table1[[#This Row],[Geography 
Score]])</f>
        <v>582</v>
      </c>
      <c r="AA1169" s="3">
        <f>AVERAGE(Table1[[#This Row],[Math 
Score]],Table1[[#This Row],[History 
Score]],Table1[[#This Row],[Physics 
Score]],Table1[[#This Row],[Chemistry 
Score]],Table1[[#This Row],[Biology 
Score]],Table1[[#This Row],[English 
Score]],Table1[[#This Row],[Geography 
Score]])</f>
        <v>83.142857142857139</v>
      </c>
      <c r="AB116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169">
        <f t="shared" si="18"/>
        <v>670</v>
      </c>
      <c r="AD1169" t="str">
        <f>_xlfn.IFS(Table1[[#This Row],[Absence 
Days]]&lt;3,"Excellent",Table1[[#This Row],[Absence 
Days]]&lt;=6,"Good",Table1[[#This Row],[Absence 
Days]]&gt;6,"Poor")</f>
        <v>Good</v>
      </c>
    </row>
    <row r="1170" spans="1:30" x14ac:dyDescent="0.35">
      <c r="A1170">
        <v>1169</v>
      </c>
      <c r="B1170" s="2" t="s">
        <v>117</v>
      </c>
      <c r="C1170" t="s">
        <v>952</v>
      </c>
      <c r="D1170" t="str">
        <f>_xlfn.TEXTJOIN(" ",TRUE,Table1[[#This Row],[First 
Name]:[Last 
Name]])</f>
        <v>Nicholas Wallace</v>
      </c>
      <c r="E1170" t="s">
        <v>2280</v>
      </c>
      <c r="F1170" t="s">
        <v>3244</v>
      </c>
      <c r="G1170" t="str">
        <f ca="1">PROPER(Table1[[#This Row],[Part Time 
Job]])</f>
        <v>False</v>
      </c>
      <c r="H1170" s="3">
        <v>3</v>
      </c>
      <c r="I1170" t="str">
        <f ca="1">PROPER(Table1[[#This Row],[Extracurricular 
Activities]])</f>
        <v>False</v>
      </c>
      <c r="J1170">
        <v>21</v>
      </c>
      <c r="K1170" t="s">
        <v>3125</v>
      </c>
      <c r="L1170">
        <v>94</v>
      </c>
      <c r="M1170" s="12" t="str" cm="1">
        <f t="array" ref="M117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170">
        <v>81</v>
      </c>
      <c r="O1170" s="13" t="str" cm="1">
        <f t="array" ref="O117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170">
        <v>88</v>
      </c>
      <c r="Q1170" s="13" t="str" cm="1">
        <f t="array" ref="Q117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170">
        <v>81</v>
      </c>
      <c r="S1170" t="str" cm="1">
        <f t="array" ref="S117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170">
        <v>71</v>
      </c>
      <c r="U1170" t="str" cm="1">
        <f t="array" ref="U117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170">
        <v>92</v>
      </c>
      <c r="W1170" t="str" cm="1">
        <f t="array" ref="W117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170">
        <v>73</v>
      </c>
      <c r="Y1170" t="str" cm="1">
        <f t="array" ref="Y117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170">
        <f>SUM(Table1[[#This Row],[Math 
Score]],Table1[[#This Row],[History 
Score]],Table1[[#This Row],[Physics 
Score]],Table1[[#This Row],[Chemistry 
Score]],Table1[[#This Row],[Biology 
Score]],Table1[[#This Row],[English 
Score]],Table1[[#This Row],[Geography 
Score]])</f>
        <v>580</v>
      </c>
      <c r="AA1170" s="3">
        <f>AVERAGE(Table1[[#This Row],[Math 
Score]],Table1[[#This Row],[History 
Score]],Table1[[#This Row],[Physics 
Score]],Table1[[#This Row],[Chemistry 
Score]],Table1[[#This Row],[Biology 
Score]],Table1[[#This Row],[English 
Score]],Table1[[#This Row],[Geography 
Score]])</f>
        <v>82.857142857142861</v>
      </c>
      <c r="AB117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170">
        <f t="shared" si="18"/>
        <v>709</v>
      </c>
      <c r="AD1170" t="str">
        <f>_xlfn.IFS(Table1[[#This Row],[Absence 
Days]]&lt;3,"Excellent",Table1[[#This Row],[Absence 
Days]]&lt;=6,"Good",Table1[[#This Row],[Absence 
Days]]&gt;6,"Poor")</f>
        <v>Good</v>
      </c>
    </row>
    <row r="1171" spans="1:30" x14ac:dyDescent="0.35">
      <c r="A1171">
        <v>1170</v>
      </c>
      <c r="B1171" s="2" t="s">
        <v>344</v>
      </c>
      <c r="C1171" t="s">
        <v>527</v>
      </c>
      <c r="D1171" t="str">
        <f>_xlfn.TEXTJOIN(" ",TRUE,Table1[[#This Row],[First 
Name]:[Last 
Name]])</f>
        <v>Arthur Brown</v>
      </c>
      <c r="E1171" t="s">
        <v>2281</v>
      </c>
      <c r="F1171" t="s">
        <v>3244</v>
      </c>
      <c r="G1171" t="str">
        <f ca="1">PROPER(Table1[[#This Row],[Part Time 
Job]])</f>
        <v>False</v>
      </c>
      <c r="H1171" s="3">
        <v>3</v>
      </c>
      <c r="I1171" t="str">
        <f ca="1">PROPER(Table1[[#This Row],[Extracurricular 
Activities]])</f>
        <v>False</v>
      </c>
      <c r="J1171">
        <v>4</v>
      </c>
      <c r="K1171" t="s">
        <v>3126</v>
      </c>
      <c r="L1171">
        <v>92</v>
      </c>
      <c r="M1171" s="12" t="str" cm="1">
        <f t="array" ref="M117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171">
        <v>69</v>
      </c>
      <c r="O1171" s="13" t="str" cm="1">
        <f t="array" ref="O117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171">
        <v>93</v>
      </c>
      <c r="Q1171" s="13" t="str" cm="1">
        <f t="array" ref="Q117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171">
        <v>67</v>
      </c>
      <c r="S1171" t="str" cm="1">
        <f t="array" ref="S117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171">
        <v>79</v>
      </c>
      <c r="U1171" t="str" cm="1">
        <f t="array" ref="U117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171">
        <v>84</v>
      </c>
      <c r="W1171" t="str" cm="1">
        <f t="array" ref="W117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171">
        <v>69</v>
      </c>
      <c r="Y1171" t="str" cm="1">
        <f t="array" ref="Y117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171">
        <f>SUM(Table1[[#This Row],[Math 
Score]],Table1[[#This Row],[History 
Score]],Table1[[#This Row],[Physics 
Score]],Table1[[#This Row],[Chemistry 
Score]],Table1[[#This Row],[Biology 
Score]],Table1[[#This Row],[English 
Score]],Table1[[#This Row],[Geography 
Score]])</f>
        <v>553</v>
      </c>
      <c r="AA1171" s="3">
        <f>AVERAGE(Table1[[#This Row],[Math 
Score]],Table1[[#This Row],[History 
Score]],Table1[[#This Row],[Physics 
Score]],Table1[[#This Row],[Chemistry 
Score]],Table1[[#This Row],[Biology 
Score]],Table1[[#This Row],[English 
Score]],Table1[[#This Row],[Geography 
Score]])</f>
        <v>79</v>
      </c>
      <c r="AB117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171">
        <f t="shared" si="18"/>
        <v>1284</v>
      </c>
      <c r="AD1171" t="str">
        <f>_xlfn.IFS(Table1[[#This Row],[Absence 
Days]]&lt;3,"Excellent",Table1[[#This Row],[Absence 
Days]]&lt;=6,"Good",Table1[[#This Row],[Absence 
Days]]&gt;6,"Poor")</f>
        <v>Good</v>
      </c>
    </row>
    <row r="1172" spans="1:30" x14ac:dyDescent="0.35">
      <c r="A1172">
        <v>1171</v>
      </c>
      <c r="B1172" s="2" t="s">
        <v>247</v>
      </c>
      <c r="C1172" t="s">
        <v>953</v>
      </c>
      <c r="D1172" t="str">
        <f>_xlfn.TEXTJOIN(" ",TRUE,Table1[[#This Row],[First 
Name]:[Last 
Name]])</f>
        <v>Corey Monroe</v>
      </c>
      <c r="E1172" t="s">
        <v>2282</v>
      </c>
      <c r="F1172" t="s">
        <v>3244</v>
      </c>
      <c r="G1172" t="str">
        <f ca="1">PROPER(Table1[[#This Row],[Part Time 
Job]])</f>
        <v>False</v>
      </c>
      <c r="H1172" s="3">
        <v>5</v>
      </c>
      <c r="I1172" t="str">
        <f ca="1">PROPER(Table1[[#This Row],[Extracurricular 
Activities]])</f>
        <v>True</v>
      </c>
      <c r="J1172">
        <v>1</v>
      </c>
      <c r="K1172" t="s">
        <v>3119</v>
      </c>
      <c r="L1172">
        <v>50</v>
      </c>
      <c r="M1172" s="12" t="str" cm="1">
        <f t="array" ref="M1172">_xlfn.IFS(Table1[[#This Row],[Math 
Score]]&gt;=90,"A+",Table1[[#This Row],[Math 
Score]]&gt;=80,"A", Table1[[#This Row],[Math 
Score]]&gt;=75,"A-",Table1[[#This Row],[Math 
Score]]&gt;=70,"B+",Table1[[#This Row],[Math 
Score]]&gt;=65,"B",Table1[[#This Row],[Math 
Score]]&gt;=60,"B-",Table1[[#This Row],[Math 
Score]]&gt;=50,"C",Table1[[#This Row],[Math 
Score]]&gt;=40,"D",Table1[[#This Row],[Math 
Score]]&lt;40,"F")</f>
        <v>C</v>
      </c>
      <c r="N1172">
        <v>87</v>
      </c>
      <c r="O1172" s="13" t="str" cm="1">
        <f t="array" ref="O117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172">
        <v>93</v>
      </c>
      <c r="Q1172" s="13" t="str" cm="1">
        <f t="array" ref="Q117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172">
        <v>84</v>
      </c>
      <c r="S1172" t="str" cm="1">
        <f t="array" ref="S117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172">
        <v>86</v>
      </c>
      <c r="U1172" t="str" cm="1">
        <f t="array" ref="U117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172">
        <v>73</v>
      </c>
      <c r="W1172" t="str" cm="1">
        <f t="array" ref="W117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172">
        <v>74</v>
      </c>
      <c r="Y1172" t="str" cm="1">
        <f t="array" ref="Y117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172">
        <f>SUM(Table1[[#This Row],[Math 
Score]],Table1[[#This Row],[History 
Score]],Table1[[#This Row],[Physics 
Score]],Table1[[#This Row],[Chemistry 
Score]],Table1[[#This Row],[Biology 
Score]],Table1[[#This Row],[English 
Score]],Table1[[#This Row],[Geography 
Score]])</f>
        <v>547</v>
      </c>
      <c r="AA1172" s="3">
        <f>AVERAGE(Table1[[#This Row],[Math 
Score]],Table1[[#This Row],[History 
Score]],Table1[[#This Row],[Physics 
Score]],Table1[[#This Row],[Chemistry 
Score]],Table1[[#This Row],[Biology 
Score]],Table1[[#This Row],[English 
Score]],Table1[[#This Row],[Geography 
Score]])</f>
        <v>78.142857142857139</v>
      </c>
      <c r="AB117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172">
        <f t="shared" si="18"/>
        <v>1388</v>
      </c>
      <c r="AD1172" t="str">
        <f>_xlfn.IFS(Table1[[#This Row],[Absence 
Days]]&lt;3,"Excellent",Table1[[#This Row],[Absence 
Days]]&lt;=6,"Good",Table1[[#This Row],[Absence 
Days]]&gt;6,"Poor")</f>
        <v>Good</v>
      </c>
    </row>
    <row r="1173" spans="1:30" x14ac:dyDescent="0.35">
      <c r="A1173">
        <v>1172</v>
      </c>
      <c r="B1173" s="2" t="s">
        <v>303</v>
      </c>
      <c r="C1173" t="s">
        <v>722</v>
      </c>
      <c r="D1173" t="str">
        <f>_xlfn.TEXTJOIN(" ",TRUE,Table1[[#This Row],[First 
Name]:[Last 
Name]])</f>
        <v>Angel Green</v>
      </c>
      <c r="E1173" t="s">
        <v>2283</v>
      </c>
      <c r="F1173" t="s">
        <v>3245</v>
      </c>
      <c r="G1173" t="str">
        <f ca="1">PROPER(Table1[[#This Row],[Part Time 
Job]])</f>
        <v>False</v>
      </c>
      <c r="H1173" s="3">
        <v>7</v>
      </c>
      <c r="I1173" t="str">
        <f ca="1">PROPER(Table1[[#This Row],[Extracurricular 
Activities]])</f>
        <v>False</v>
      </c>
      <c r="J1173">
        <v>49</v>
      </c>
      <c r="K1173" t="s">
        <v>3113</v>
      </c>
      <c r="L1173">
        <v>99</v>
      </c>
      <c r="M1173" s="12" t="str" cm="1">
        <f t="array" ref="M117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173">
        <v>98</v>
      </c>
      <c r="O1173" s="13" t="str" cm="1">
        <f t="array" ref="O117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173">
        <v>94</v>
      </c>
      <c r="Q1173" s="13" t="str" cm="1">
        <f t="array" ref="Q117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173">
        <v>96</v>
      </c>
      <c r="S1173" t="str" cm="1">
        <f t="array" ref="S117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173">
        <v>95</v>
      </c>
      <c r="U1173" t="str" cm="1">
        <f t="array" ref="U117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173">
        <v>88</v>
      </c>
      <c r="W1173" t="str" cm="1">
        <f t="array" ref="W117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173">
        <v>92</v>
      </c>
      <c r="Y1173" t="str" cm="1">
        <f t="array" ref="Y117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173">
        <f>SUM(Table1[[#This Row],[Math 
Score]],Table1[[#This Row],[History 
Score]],Table1[[#This Row],[Physics 
Score]],Table1[[#This Row],[Chemistry 
Score]],Table1[[#This Row],[Biology 
Score]],Table1[[#This Row],[English 
Score]],Table1[[#This Row],[Geography 
Score]])</f>
        <v>662</v>
      </c>
      <c r="AA1173" s="3">
        <f>AVERAGE(Table1[[#This Row],[Math 
Score]],Table1[[#This Row],[History 
Score]],Table1[[#This Row],[Physics 
Score]],Table1[[#This Row],[Chemistry 
Score]],Table1[[#This Row],[Biology 
Score]],Table1[[#This Row],[English 
Score]],Table1[[#This Row],[Geography 
Score]])</f>
        <v>94.571428571428569</v>
      </c>
      <c r="AB117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173">
        <f t="shared" si="18"/>
        <v>13</v>
      </c>
      <c r="AD1173" t="str">
        <f>_xlfn.IFS(Table1[[#This Row],[Absence 
Days]]&lt;3,"Excellent",Table1[[#This Row],[Absence 
Days]]&lt;=6,"Good",Table1[[#This Row],[Absence 
Days]]&gt;6,"Poor")</f>
        <v>Poor</v>
      </c>
    </row>
    <row r="1174" spans="1:30" x14ac:dyDescent="0.35">
      <c r="A1174">
        <v>1173</v>
      </c>
      <c r="B1174" s="2" t="s">
        <v>2</v>
      </c>
      <c r="C1174" t="s">
        <v>673</v>
      </c>
      <c r="D1174" t="str">
        <f>_xlfn.TEXTJOIN(" ",TRUE,Table1[[#This Row],[First 
Name]:[Last 
Name]])</f>
        <v>Tina Anderson</v>
      </c>
      <c r="E1174" t="s">
        <v>2284</v>
      </c>
      <c r="F1174" t="s">
        <v>3245</v>
      </c>
      <c r="G1174" t="str">
        <f ca="1">PROPER(Table1[[#This Row],[Part Time 
Job]])</f>
        <v>False</v>
      </c>
      <c r="H1174" s="3">
        <v>3</v>
      </c>
      <c r="I1174" t="str">
        <f ca="1">PROPER(Table1[[#This Row],[Extracurricular 
Activities]])</f>
        <v>False</v>
      </c>
      <c r="J1174">
        <v>12</v>
      </c>
      <c r="K1174" t="s">
        <v>3118</v>
      </c>
      <c r="L1174">
        <v>70</v>
      </c>
      <c r="M1174" s="12" t="str" cm="1">
        <f t="array" ref="M1174">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174">
        <v>68</v>
      </c>
      <c r="O1174" s="13" t="str" cm="1">
        <f t="array" ref="O117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174">
        <v>89</v>
      </c>
      <c r="Q1174" s="13" t="str" cm="1">
        <f t="array" ref="Q117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174">
        <v>60</v>
      </c>
      <c r="S1174" t="str" cm="1">
        <f t="array" ref="S117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174">
        <v>79</v>
      </c>
      <c r="U1174" t="str" cm="1">
        <f t="array" ref="U117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174">
        <v>85</v>
      </c>
      <c r="W1174" t="str" cm="1">
        <f t="array" ref="W117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174">
        <v>66</v>
      </c>
      <c r="Y1174" t="str" cm="1">
        <f t="array" ref="Y117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174">
        <f>SUM(Table1[[#This Row],[Math 
Score]],Table1[[#This Row],[History 
Score]],Table1[[#This Row],[Physics 
Score]],Table1[[#This Row],[Chemistry 
Score]],Table1[[#This Row],[Biology 
Score]],Table1[[#This Row],[English 
Score]],Table1[[#This Row],[Geography 
Score]])</f>
        <v>517</v>
      </c>
      <c r="AA1174" s="3">
        <f>AVERAGE(Table1[[#This Row],[Math 
Score]],Table1[[#This Row],[History 
Score]],Table1[[#This Row],[Physics 
Score]],Table1[[#This Row],[Chemistry 
Score]],Table1[[#This Row],[Biology 
Score]],Table1[[#This Row],[English 
Score]],Table1[[#This Row],[Geography 
Score]])</f>
        <v>73.857142857142861</v>
      </c>
      <c r="AB117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174">
        <f t="shared" si="18"/>
        <v>1781</v>
      </c>
      <c r="AD1174" t="str">
        <f>_xlfn.IFS(Table1[[#This Row],[Absence 
Days]]&lt;3,"Excellent",Table1[[#This Row],[Absence 
Days]]&lt;=6,"Good",Table1[[#This Row],[Absence 
Days]]&gt;6,"Poor")</f>
        <v>Good</v>
      </c>
    </row>
    <row r="1175" spans="1:30" x14ac:dyDescent="0.35">
      <c r="A1175">
        <v>1174</v>
      </c>
      <c r="B1175" s="2" t="s">
        <v>122</v>
      </c>
      <c r="C1175" t="s">
        <v>954</v>
      </c>
      <c r="D1175" t="str">
        <f>_xlfn.TEXTJOIN(" ",TRUE,Table1[[#This Row],[First 
Name]:[Last 
Name]])</f>
        <v>Rebecca Khan</v>
      </c>
      <c r="E1175" t="s">
        <v>2285</v>
      </c>
      <c r="F1175" t="s">
        <v>3245</v>
      </c>
      <c r="G1175" t="str">
        <f ca="1">PROPER(Table1[[#This Row],[Part Time 
Job]])</f>
        <v>False</v>
      </c>
      <c r="H1175" s="3">
        <v>6</v>
      </c>
      <c r="I1175" t="str">
        <f ca="1">PROPER(Table1[[#This Row],[Extracurricular 
Activities]])</f>
        <v>False</v>
      </c>
      <c r="J1175">
        <v>9</v>
      </c>
      <c r="K1175" t="s">
        <v>3114</v>
      </c>
      <c r="L1175">
        <v>92</v>
      </c>
      <c r="M1175" s="12" t="str" cm="1">
        <f t="array" ref="M117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175">
        <v>93</v>
      </c>
      <c r="O1175" s="13" t="str" cm="1">
        <f t="array" ref="O117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175">
        <v>86</v>
      </c>
      <c r="Q1175" s="13" t="str" cm="1">
        <f t="array" ref="Q117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175">
        <v>61</v>
      </c>
      <c r="S1175" t="str" cm="1">
        <f t="array" ref="S117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175">
        <v>78</v>
      </c>
      <c r="U1175" t="str" cm="1">
        <f t="array" ref="U117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175">
        <v>80</v>
      </c>
      <c r="W1175" t="str" cm="1">
        <f t="array" ref="W117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175">
        <v>62</v>
      </c>
      <c r="Y1175" t="str" cm="1">
        <f t="array" ref="Y117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175">
        <f>SUM(Table1[[#This Row],[Math 
Score]],Table1[[#This Row],[History 
Score]],Table1[[#This Row],[Physics 
Score]],Table1[[#This Row],[Chemistry 
Score]],Table1[[#This Row],[Biology 
Score]],Table1[[#This Row],[English 
Score]],Table1[[#This Row],[Geography 
Score]])</f>
        <v>552</v>
      </c>
      <c r="AA1175" s="3">
        <f>AVERAGE(Table1[[#This Row],[Math 
Score]],Table1[[#This Row],[History 
Score]],Table1[[#This Row],[Physics 
Score]],Table1[[#This Row],[Chemistry 
Score]],Table1[[#This Row],[Biology 
Score]],Table1[[#This Row],[English 
Score]],Table1[[#This Row],[Geography 
Score]])</f>
        <v>78.857142857142861</v>
      </c>
      <c r="AB117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175">
        <f t="shared" si="18"/>
        <v>1306</v>
      </c>
      <c r="AD1175" t="str">
        <f>_xlfn.IFS(Table1[[#This Row],[Absence 
Days]]&lt;3,"Excellent",Table1[[#This Row],[Absence 
Days]]&lt;=6,"Good",Table1[[#This Row],[Absence 
Days]]&gt;6,"Poor")</f>
        <v>Good</v>
      </c>
    </row>
    <row r="1176" spans="1:30" x14ac:dyDescent="0.35">
      <c r="A1176">
        <v>1175</v>
      </c>
      <c r="B1176" s="2" t="s">
        <v>177</v>
      </c>
      <c r="C1176" t="s">
        <v>349</v>
      </c>
      <c r="D1176" t="str">
        <f>_xlfn.TEXTJOIN(" ",TRUE,Table1[[#This Row],[First 
Name]:[Last 
Name]])</f>
        <v>Terry Dean</v>
      </c>
      <c r="E1176" t="s">
        <v>2286</v>
      </c>
      <c r="F1176" t="s">
        <v>3244</v>
      </c>
      <c r="G1176" t="str">
        <f ca="1">PROPER(Table1[[#This Row],[Part Time 
Job]])</f>
        <v>True</v>
      </c>
      <c r="H1176" s="3">
        <v>1</v>
      </c>
      <c r="I1176" t="str">
        <f ca="1">PROPER(Table1[[#This Row],[Extracurricular 
Activities]])</f>
        <v>False</v>
      </c>
      <c r="J1176">
        <v>20</v>
      </c>
      <c r="K1176" t="s">
        <v>3121</v>
      </c>
      <c r="L1176">
        <v>82</v>
      </c>
      <c r="M1176" s="12" t="str" cm="1">
        <f t="array" ref="M117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176">
        <v>70</v>
      </c>
      <c r="O1176" s="13" t="str" cm="1">
        <f t="array" ref="O117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176">
        <v>86</v>
      </c>
      <c r="Q1176" s="13" t="str" cm="1">
        <f t="array" ref="Q117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176">
        <v>66</v>
      </c>
      <c r="S1176" t="str" cm="1">
        <f t="array" ref="S117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176">
        <v>97</v>
      </c>
      <c r="U1176" t="str" cm="1">
        <f t="array" ref="U117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176">
        <v>93</v>
      </c>
      <c r="W1176" t="str" cm="1">
        <f t="array" ref="W117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176">
        <v>91</v>
      </c>
      <c r="Y1176" t="str" cm="1">
        <f t="array" ref="Y117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176">
        <f>SUM(Table1[[#This Row],[Math 
Score]],Table1[[#This Row],[History 
Score]],Table1[[#This Row],[Physics 
Score]],Table1[[#This Row],[Chemistry 
Score]],Table1[[#This Row],[Biology 
Score]],Table1[[#This Row],[English 
Score]],Table1[[#This Row],[Geography 
Score]])</f>
        <v>585</v>
      </c>
      <c r="AA1176" s="3">
        <f>AVERAGE(Table1[[#This Row],[Math 
Score]],Table1[[#This Row],[History 
Score]],Table1[[#This Row],[Physics 
Score]],Table1[[#This Row],[Chemistry 
Score]],Table1[[#This Row],[Biology 
Score]],Table1[[#This Row],[English 
Score]],Table1[[#This Row],[Geography 
Score]])</f>
        <v>83.571428571428569</v>
      </c>
      <c r="AB117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176">
        <f t="shared" si="18"/>
        <v>615</v>
      </c>
      <c r="AD1176" t="str">
        <f>_xlfn.IFS(Table1[[#This Row],[Absence 
Days]]&lt;3,"Excellent",Table1[[#This Row],[Absence 
Days]]&lt;=6,"Good",Table1[[#This Row],[Absence 
Days]]&gt;6,"Poor")</f>
        <v>Excellent</v>
      </c>
    </row>
    <row r="1177" spans="1:30" x14ac:dyDescent="0.35">
      <c r="A1177">
        <v>1176</v>
      </c>
      <c r="B1177" s="2" t="s">
        <v>267</v>
      </c>
      <c r="C1177" t="s">
        <v>353</v>
      </c>
      <c r="D1177" t="str">
        <f>_xlfn.TEXTJOIN(" ",TRUE,Table1[[#This Row],[First 
Name]:[Last 
Name]])</f>
        <v>Tyler Martin</v>
      </c>
      <c r="E1177" t="s">
        <v>2287</v>
      </c>
      <c r="F1177" t="s">
        <v>3244</v>
      </c>
      <c r="G1177" t="str">
        <f ca="1">PROPER(Table1[[#This Row],[Part Time 
Job]])</f>
        <v>False</v>
      </c>
      <c r="H1177" s="3">
        <v>7</v>
      </c>
      <c r="I1177" t="str">
        <f ca="1">PROPER(Table1[[#This Row],[Extracurricular 
Activities]])</f>
        <v>True</v>
      </c>
      <c r="J1177">
        <v>16</v>
      </c>
      <c r="K1177" t="s">
        <v>3125</v>
      </c>
      <c r="L1177">
        <v>83</v>
      </c>
      <c r="M1177" s="12" t="str" cm="1">
        <f t="array" ref="M117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177">
        <v>73</v>
      </c>
      <c r="O1177" s="13" t="str" cm="1">
        <f t="array" ref="O117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177">
        <v>82</v>
      </c>
      <c r="Q1177" s="13" t="str" cm="1">
        <f t="array" ref="Q117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177">
        <v>62</v>
      </c>
      <c r="S1177" t="str" cm="1">
        <f t="array" ref="S117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177">
        <v>92</v>
      </c>
      <c r="U1177" t="str" cm="1">
        <f t="array" ref="U117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177">
        <v>68</v>
      </c>
      <c r="W1177" t="str" cm="1">
        <f t="array" ref="W117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177">
        <v>76</v>
      </c>
      <c r="Y1177" t="str" cm="1">
        <f t="array" ref="Y117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177">
        <f>SUM(Table1[[#This Row],[Math 
Score]],Table1[[#This Row],[History 
Score]],Table1[[#This Row],[Physics 
Score]],Table1[[#This Row],[Chemistry 
Score]],Table1[[#This Row],[Biology 
Score]],Table1[[#This Row],[English 
Score]],Table1[[#This Row],[Geography 
Score]])</f>
        <v>536</v>
      </c>
      <c r="AA1177" s="3">
        <f>AVERAGE(Table1[[#This Row],[Math 
Score]],Table1[[#This Row],[History 
Score]],Table1[[#This Row],[Physics 
Score]],Table1[[#This Row],[Chemistry 
Score]],Table1[[#This Row],[Biology 
Score]],Table1[[#This Row],[English 
Score]],Table1[[#This Row],[Geography 
Score]])</f>
        <v>76.571428571428569</v>
      </c>
      <c r="AB117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177">
        <f t="shared" si="18"/>
        <v>1567</v>
      </c>
      <c r="AD1177" t="str">
        <f>_xlfn.IFS(Table1[[#This Row],[Absence 
Days]]&lt;3,"Excellent",Table1[[#This Row],[Absence 
Days]]&lt;=6,"Good",Table1[[#This Row],[Absence 
Days]]&gt;6,"Poor")</f>
        <v>Poor</v>
      </c>
    </row>
    <row r="1178" spans="1:30" x14ac:dyDescent="0.35">
      <c r="A1178">
        <v>1177</v>
      </c>
      <c r="B1178" s="2" t="s">
        <v>81</v>
      </c>
      <c r="C1178" t="s">
        <v>941</v>
      </c>
      <c r="D1178" t="str">
        <f>_xlfn.TEXTJOIN(" ",TRUE,Table1[[#This Row],[First 
Name]:[Last 
Name]])</f>
        <v>Derrick Hartman</v>
      </c>
      <c r="E1178" t="s">
        <v>2288</v>
      </c>
      <c r="F1178" t="s">
        <v>3244</v>
      </c>
      <c r="G1178" t="str">
        <f ca="1">PROPER(Table1[[#This Row],[Part Time 
Job]])</f>
        <v>False</v>
      </c>
      <c r="H1178" s="3">
        <v>1</v>
      </c>
      <c r="I1178" t="str">
        <f ca="1">PROPER(Table1[[#This Row],[Extracurricular 
Activities]])</f>
        <v>False</v>
      </c>
      <c r="J1178">
        <v>13</v>
      </c>
      <c r="K1178" t="s">
        <v>3127</v>
      </c>
      <c r="L1178">
        <v>84</v>
      </c>
      <c r="M1178" s="12" t="str" cm="1">
        <f t="array" ref="M117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178">
        <v>85</v>
      </c>
      <c r="O1178" s="13" t="str" cm="1">
        <f t="array" ref="O117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178">
        <v>64</v>
      </c>
      <c r="Q1178" s="13" t="str" cm="1">
        <f t="array" ref="Q117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178">
        <v>74</v>
      </c>
      <c r="S1178" t="str" cm="1">
        <f t="array" ref="S117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178">
        <v>79</v>
      </c>
      <c r="U1178" t="str" cm="1">
        <f t="array" ref="U117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178">
        <v>92</v>
      </c>
      <c r="W1178" t="str" cm="1">
        <f t="array" ref="W117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178">
        <v>64</v>
      </c>
      <c r="Y1178" t="str" cm="1">
        <f t="array" ref="Y117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178">
        <f>SUM(Table1[[#This Row],[Math 
Score]],Table1[[#This Row],[History 
Score]],Table1[[#This Row],[Physics 
Score]],Table1[[#This Row],[Chemistry 
Score]],Table1[[#This Row],[Biology 
Score]],Table1[[#This Row],[English 
Score]],Table1[[#This Row],[Geography 
Score]])</f>
        <v>542</v>
      </c>
      <c r="AA1178" s="3">
        <f>AVERAGE(Table1[[#This Row],[Math 
Score]],Table1[[#This Row],[History 
Score]],Table1[[#This Row],[Physics 
Score]],Table1[[#This Row],[Chemistry 
Score]],Table1[[#This Row],[Biology 
Score]],Table1[[#This Row],[English 
Score]],Table1[[#This Row],[Geography 
Score]])</f>
        <v>77.428571428571431</v>
      </c>
      <c r="AB117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178">
        <f t="shared" si="18"/>
        <v>1478</v>
      </c>
      <c r="AD1178" t="str">
        <f>_xlfn.IFS(Table1[[#This Row],[Absence 
Days]]&lt;3,"Excellent",Table1[[#This Row],[Absence 
Days]]&lt;=6,"Good",Table1[[#This Row],[Absence 
Days]]&gt;6,"Poor")</f>
        <v>Excellent</v>
      </c>
    </row>
    <row r="1179" spans="1:30" x14ac:dyDescent="0.35">
      <c r="A1179">
        <v>1178</v>
      </c>
      <c r="B1179" s="2" t="s">
        <v>109</v>
      </c>
      <c r="C1179" t="s">
        <v>955</v>
      </c>
      <c r="D1179" t="str">
        <f>_xlfn.TEXTJOIN(" ",TRUE,Table1[[#This Row],[First 
Name]:[Last 
Name]])</f>
        <v>Mark Stevens</v>
      </c>
      <c r="E1179" t="s">
        <v>2289</v>
      </c>
      <c r="F1179" t="s">
        <v>3244</v>
      </c>
      <c r="G1179" t="str">
        <f ca="1">PROPER(Table1[[#This Row],[Part Time 
Job]])</f>
        <v>False</v>
      </c>
      <c r="H1179" s="3">
        <v>0</v>
      </c>
      <c r="I1179" t="str">
        <f ca="1">PROPER(Table1[[#This Row],[Extracurricular 
Activities]])</f>
        <v>False</v>
      </c>
      <c r="J1179">
        <v>30</v>
      </c>
      <c r="K1179" t="s">
        <v>3116</v>
      </c>
      <c r="L1179">
        <v>60</v>
      </c>
      <c r="M1179" s="12" t="str" cm="1">
        <f t="array" ref="M1179">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179">
        <v>71</v>
      </c>
      <c r="O1179" s="13" t="str" cm="1">
        <f t="array" ref="O117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179">
        <v>91</v>
      </c>
      <c r="Q1179" s="13" t="str" cm="1">
        <f t="array" ref="Q117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179">
        <v>83</v>
      </c>
      <c r="S1179" t="str" cm="1">
        <f t="array" ref="S117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179">
        <v>93</v>
      </c>
      <c r="U1179" t="str" cm="1">
        <f t="array" ref="U117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179">
        <v>88</v>
      </c>
      <c r="W1179" t="str" cm="1">
        <f t="array" ref="W117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179">
        <v>97</v>
      </c>
      <c r="Y1179" t="str" cm="1">
        <f t="array" ref="Y117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179">
        <f>SUM(Table1[[#This Row],[Math 
Score]],Table1[[#This Row],[History 
Score]],Table1[[#This Row],[Physics 
Score]],Table1[[#This Row],[Chemistry 
Score]],Table1[[#This Row],[Biology 
Score]],Table1[[#This Row],[English 
Score]],Table1[[#This Row],[Geography 
Score]])</f>
        <v>583</v>
      </c>
      <c r="AA1179" s="3">
        <f>AVERAGE(Table1[[#This Row],[Math 
Score]],Table1[[#This Row],[History 
Score]],Table1[[#This Row],[Physics 
Score]],Table1[[#This Row],[Chemistry 
Score]],Table1[[#This Row],[Biology 
Score]],Table1[[#This Row],[English 
Score]],Table1[[#This Row],[Geography 
Score]])</f>
        <v>83.285714285714292</v>
      </c>
      <c r="AB117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179">
        <f t="shared" si="18"/>
        <v>655</v>
      </c>
      <c r="AD1179" t="str">
        <f>_xlfn.IFS(Table1[[#This Row],[Absence 
Days]]&lt;3,"Excellent",Table1[[#This Row],[Absence 
Days]]&lt;=6,"Good",Table1[[#This Row],[Absence 
Days]]&gt;6,"Poor")</f>
        <v>Excellent</v>
      </c>
    </row>
    <row r="1180" spans="1:30" x14ac:dyDescent="0.35">
      <c r="A1180">
        <v>1179</v>
      </c>
      <c r="B1180" s="2" t="s">
        <v>192</v>
      </c>
      <c r="C1180" t="s">
        <v>956</v>
      </c>
      <c r="D1180" t="str">
        <f>_xlfn.TEXTJOIN(" ",TRUE,Table1[[#This Row],[First 
Name]:[Last 
Name]])</f>
        <v>Scott Tate</v>
      </c>
      <c r="E1180" t="s">
        <v>2290</v>
      </c>
      <c r="F1180" t="s">
        <v>3244</v>
      </c>
      <c r="G1180" t="str">
        <f ca="1">PROPER(Table1[[#This Row],[Part Time 
Job]])</f>
        <v>False</v>
      </c>
      <c r="H1180" s="3">
        <v>3</v>
      </c>
      <c r="I1180" t="str">
        <f ca="1">PROPER(Table1[[#This Row],[Extracurricular 
Activities]])</f>
        <v>False</v>
      </c>
      <c r="J1180">
        <v>7</v>
      </c>
      <c r="K1180" t="s">
        <v>3116</v>
      </c>
      <c r="L1180">
        <v>67</v>
      </c>
      <c r="M1180" s="12" t="str" cm="1">
        <f t="array" ref="M1180">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180">
        <v>60</v>
      </c>
      <c r="O1180" s="13" t="str" cm="1">
        <f t="array" ref="O118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180">
        <v>99</v>
      </c>
      <c r="Q1180" s="13" t="str" cm="1">
        <f t="array" ref="Q118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180">
        <v>60</v>
      </c>
      <c r="S1180" t="str" cm="1">
        <f t="array" ref="S118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180">
        <v>82</v>
      </c>
      <c r="U1180" t="str" cm="1">
        <f t="array" ref="U118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180">
        <v>81</v>
      </c>
      <c r="W1180" t="str" cm="1">
        <f t="array" ref="W118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180">
        <v>63</v>
      </c>
      <c r="Y1180" t="str" cm="1">
        <f t="array" ref="Y118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180">
        <f>SUM(Table1[[#This Row],[Math 
Score]],Table1[[#This Row],[History 
Score]],Table1[[#This Row],[Physics 
Score]],Table1[[#This Row],[Chemistry 
Score]],Table1[[#This Row],[Biology 
Score]],Table1[[#This Row],[English 
Score]],Table1[[#This Row],[Geography 
Score]])</f>
        <v>512</v>
      </c>
      <c r="AA1180" s="3">
        <f>AVERAGE(Table1[[#This Row],[Math 
Score]],Table1[[#This Row],[History 
Score]],Table1[[#This Row],[Physics 
Score]],Table1[[#This Row],[Chemistry 
Score]],Table1[[#This Row],[Biology 
Score]],Table1[[#This Row],[English 
Score]],Table1[[#This Row],[Geography 
Score]])</f>
        <v>73.142857142857139</v>
      </c>
      <c r="AB118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180">
        <f t="shared" si="18"/>
        <v>1815</v>
      </c>
      <c r="AD1180" t="str">
        <f>_xlfn.IFS(Table1[[#This Row],[Absence 
Days]]&lt;3,"Excellent",Table1[[#This Row],[Absence 
Days]]&lt;=6,"Good",Table1[[#This Row],[Absence 
Days]]&gt;6,"Poor")</f>
        <v>Good</v>
      </c>
    </row>
    <row r="1181" spans="1:30" x14ac:dyDescent="0.35">
      <c r="A1181">
        <v>1180</v>
      </c>
      <c r="B1181" s="2" t="s">
        <v>51</v>
      </c>
      <c r="C1181" t="s">
        <v>957</v>
      </c>
      <c r="D1181" t="str">
        <f>_xlfn.TEXTJOIN(" ",TRUE,Table1[[#This Row],[First 
Name]:[Last 
Name]])</f>
        <v>Melissa Deleon</v>
      </c>
      <c r="E1181" t="s">
        <v>2291</v>
      </c>
      <c r="F1181" t="s">
        <v>3245</v>
      </c>
      <c r="G1181" t="str">
        <f ca="1">PROPER(Table1[[#This Row],[Part Time 
Job]])</f>
        <v>False</v>
      </c>
      <c r="H1181" s="3">
        <v>3</v>
      </c>
      <c r="I1181" t="str">
        <f ca="1">PROPER(Table1[[#This Row],[Extracurricular 
Activities]])</f>
        <v>False</v>
      </c>
      <c r="J1181">
        <v>38</v>
      </c>
      <c r="K1181" t="s">
        <v>3113</v>
      </c>
      <c r="L1181">
        <v>96</v>
      </c>
      <c r="M1181" s="12" t="str" cm="1">
        <f t="array" ref="M118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181">
        <v>92</v>
      </c>
      <c r="O1181" s="13" t="str" cm="1">
        <f t="array" ref="O118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181">
        <v>93</v>
      </c>
      <c r="Q1181" s="13" t="str" cm="1">
        <f t="array" ref="Q118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181">
        <v>91</v>
      </c>
      <c r="S1181" t="str" cm="1">
        <f t="array" ref="S118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181">
        <v>88</v>
      </c>
      <c r="U1181" t="str" cm="1">
        <f t="array" ref="U118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181">
        <v>90</v>
      </c>
      <c r="W1181" t="str" cm="1">
        <f t="array" ref="W118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181">
        <v>88</v>
      </c>
      <c r="Y1181" t="str" cm="1">
        <f t="array" ref="Y118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181">
        <f>SUM(Table1[[#This Row],[Math 
Score]],Table1[[#This Row],[History 
Score]],Table1[[#This Row],[Physics 
Score]],Table1[[#This Row],[Chemistry 
Score]],Table1[[#This Row],[Biology 
Score]],Table1[[#This Row],[English 
Score]],Table1[[#This Row],[Geography 
Score]])</f>
        <v>638</v>
      </c>
      <c r="AA1181" s="3">
        <f>AVERAGE(Table1[[#This Row],[Math 
Score]],Table1[[#This Row],[History 
Score]],Table1[[#This Row],[Physics 
Score]],Table1[[#This Row],[Chemistry 
Score]],Table1[[#This Row],[Biology 
Score]],Table1[[#This Row],[English 
Score]],Table1[[#This Row],[Geography 
Score]])</f>
        <v>91.142857142857139</v>
      </c>
      <c r="AB118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181">
        <f t="shared" si="18"/>
        <v>110</v>
      </c>
      <c r="AD1181" t="str">
        <f>_xlfn.IFS(Table1[[#This Row],[Absence 
Days]]&lt;3,"Excellent",Table1[[#This Row],[Absence 
Days]]&lt;=6,"Good",Table1[[#This Row],[Absence 
Days]]&gt;6,"Poor")</f>
        <v>Good</v>
      </c>
    </row>
    <row r="1182" spans="1:30" x14ac:dyDescent="0.35">
      <c r="A1182">
        <v>1181</v>
      </c>
      <c r="B1182" s="2" t="s">
        <v>203</v>
      </c>
      <c r="C1182" t="s">
        <v>570</v>
      </c>
      <c r="D1182" t="str">
        <f>_xlfn.TEXTJOIN(" ",TRUE,Table1[[#This Row],[First 
Name]:[Last 
Name]])</f>
        <v>Nicole Newman</v>
      </c>
      <c r="E1182" t="s">
        <v>2292</v>
      </c>
      <c r="F1182" t="s">
        <v>3245</v>
      </c>
      <c r="G1182" t="str">
        <f ca="1">PROPER(Table1[[#This Row],[Part Time 
Job]])</f>
        <v>False</v>
      </c>
      <c r="H1182" s="3">
        <v>4</v>
      </c>
      <c r="I1182" t="str">
        <f ca="1">PROPER(Table1[[#This Row],[Extracurricular 
Activities]])</f>
        <v>False</v>
      </c>
      <c r="J1182">
        <v>7</v>
      </c>
      <c r="K1182" t="s">
        <v>3127</v>
      </c>
      <c r="L1182">
        <v>97</v>
      </c>
      <c r="M1182" s="12" t="str" cm="1">
        <f t="array" ref="M118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182">
        <v>63</v>
      </c>
      <c r="O1182" s="13" t="str" cm="1">
        <f t="array" ref="O118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182">
        <v>61</v>
      </c>
      <c r="Q1182" s="13" t="str" cm="1">
        <f t="array" ref="Q118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182">
        <v>77</v>
      </c>
      <c r="S1182" t="str" cm="1">
        <f t="array" ref="S118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182">
        <v>74</v>
      </c>
      <c r="U1182" t="str" cm="1">
        <f t="array" ref="U118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182">
        <v>94</v>
      </c>
      <c r="W1182" t="str" cm="1">
        <f t="array" ref="W118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182">
        <v>61</v>
      </c>
      <c r="Y1182" t="str" cm="1">
        <f t="array" ref="Y118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182">
        <f>SUM(Table1[[#This Row],[Math 
Score]],Table1[[#This Row],[History 
Score]],Table1[[#This Row],[Physics 
Score]],Table1[[#This Row],[Chemistry 
Score]],Table1[[#This Row],[Biology 
Score]],Table1[[#This Row],[English 
Score]],Table1[[#This Row],[Geography 
Score]])</f>
        <v>527</v>
      </c>
      <c r="AA1182" s="3">
        <f>AVERAGE(Table1[[#This Row],[Math 
Score]],Table1[[#This Row],[History 
Score]],Table1[[#This Row],[Physics 
Score]],Table1[[#This Row],[Chemistry 
Score]],Table1[[#This Row],[Biology 
Score]],Table1[[#This Row],[English 
Score]],Table1[[#This Row],[Geography 
Score]])</f>
        <v>75.285714285714292</v>
      </c>
      <c r="AB118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182">
        <f t="shared" si="18"/>
        <v>1683</v>
      </c>
      <c r="AD1182" t="str">
        <f>_xlfn.IFS(Table1[[#This Row],[Absence 
Days]]&lt;3,"Excellent",Table1[[#This Row],[Absence 
Days]]&lt;=6,"Good",Table1[[#This Row],[Absence 
Days]]&gt;6,"Poor")</f>
        <v>Good</v>
      </c>
    </row>
    <row r="1183" spans="1:30" x14ac:dyDescent="0.35">
      <c r="A1183">
        <v>1182</v>
      </c>
      <c r="B1183" s="2" t="s">
        <v>324</v>
      </c>
      <c r="C1183" t="s">
        <v>958</v>
      </c>
      <c r="D1183" t="str">
        <f>_xlfn.TEXTJOIN(" ",TRUE,Table1[[#This Row],[First 
Name]:[Last 
Name]])</f>
        <v>Brent Burton</v>
      </c>
      <c r="E1183" t="s">
        <v>2293</v>
      </c>
      <c r="F1183" t="s">
        <v>3244</v>
      </c>
      <c r="G1183" t="str">
        <f ca="1">PROPER(Table1[[#This Row],[Part Time 
Job]])</f>
        <v>False</v>
      </c>
      <c r="H1183" s="3">
        <v>1</v>
      </c>
      <c r="I1183" t="str">
        <f ca="1">PROPER(Table1[[#This Row],[Extracurricular 
Activities]])</f>
        <v>False</v>
      </c>
      <c r="J1183">
        <v>8</v>
      </c>
      <c r="K1183" t="s">
        <v>3116</v>
      </c>
      <c r="L1183">
        <v>89</v>
      </c>
      <c r="M1183" s="12" t="str" cm="1">
        <f t="array" ref="M118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183">
        <v>62</v>
      </c>
      <c r="O1183" s="13" t="str" cm="1">
        <f t="array" ref="O118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183">
        <v>79</v>
      </c>
      <c r="Q1183" s="13" t="str" cm="1">
        <f t="array" ref="Q118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183">
        <v>60</v>
      </c>
      <c r="S1183" t="str" cm="1">
        <f t="array" ref="S118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183">
        <v>93</v>
      </c>
      <c r="U1183" t="str" cm="1">
        <f t="array" ref="U118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183">
        <v>77</v>
      </c>
      <c r="W1183" t="str" cm="1">
        <f t="array" ref="W118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183">
        <v>73</v>
      </c>
      <c r="Y1183" t="str" cm="1">
        <f t="array" ref="Y118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183">
        <f>SUM(Table1[[#This Row],[Math 
Score]],Table1[[#This Row],[History 
Score]],Table1[[#This Row],[Physics 
Score]],Table1[[#This Row],[Chemistry 
Score]],Table1[[#This Row],[Biology 
Score]],Table1[[#This Row],[English 
Score]],Table1[[#This Row],[Geography 
Score]])</f>
        <v>533</v>
      </c>
      <c r="AA1183" s="3">
        <f>AVERAGE(Table1[[#This Row],[Math 
Score]],Table1[[#This Row],[History 
Score]],Table1[[#This Row],[Physics 
Score]],Table1[[#This Row],[Chemistry 
Score]],Table1[[#This Row],[Biology 
Score]],Table1[[#This Row],[English 
Score]],Table1[[#This Row],[Geography 
Score]])</f>
        <v>76.142857142857139</v>
      </c>
      <c r="AB118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183">
        <f t="shared" si="18"/>
        <v>1613</v>
      </c>
      <c r="AD1183" t="str">
        <f>_xlfn.IFS(Table1[[#This Row],[Absence 
Days]]&lt;3,"Excellent",Table1[[#This Row],[Absence 
Days]]&lt;=6,"Good",Table1[[#This Row],[Absence 
Days]]&gt;6,"Poor")</f>
        <v>Excellent</v>
      </c>
    </row>
    <row r="1184" spans="1:30" x14ac:dyDescent="0.35">
      <c r="A1184">
        <v>1183</v>
      </c>
      <c r="B1184" s="2" t="s">
        <v>108</v>
      </c>
      <c r="C1184" t="s">
        <v>959</v>
      </c>
      <c r="D1184" t="str">
        <f>_xlfn.TEXTJOIN(" ",TRUE,Table1[[#This Row],[First 
Name]:[Last 
Name]])</f>
        <v>Victor Bright</v>
      </c>
      <c r="E1184" t="s">
        <v>2294</v>
      </c>
      <c r="F1184" t="s">
        <v>3244</v>
      </c>
      <c r="G1184" t="str">
        <f ca="1">PROPER(Table1[[#This Row],[Part Time 
Job]])</f>
        <v>False</v>
      </c>
      <c r="H1184" s="3">
        <v>0</v>
      </c>
      <c r="I1184" t="str">
        <f ca="1">PROPER(Table1[[#This Row],[Extracurricular 
Activities]])</f>
        <v>False</v>
      </c>
      <c r="J1184">
        <v>8</v>
      </c>
      <c r="K1184" t="s">
        <v>3128</v>
      </c>
      <c r="L1184">
        <v>68</v>
      </c>
      <c r="M1184" s="12" t="str" cm="1">
        <f t="array" ref="M1184">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184">
        <v>95</v>
      </c>
      <c r="O1184" s="13" t="str" cm="1">
        <f t="array" ref="O118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184">
        <v>62</v>
      </c>
      <c r="Q1184" s="13" t="str" cm="1">
        <f t="array" ref="Q118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184">
        <v>65</v>
      </c>
      <c r="S1184" t="str" cm="1">
        <f t="array" ref="S118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184">
        <v>70</v>
      </c>
      <c r="U1184" t="str" cm="1">
        <f t="array" ref="U118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184">
        <v>65</v>
      </c>
      <c r="W1184" t="str" cm="1">
        <f t="array" ref="W118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184">
        <v>64</v>
      </c>
      <c r="Y1184" t="str" cm="1">
        <f t="array" ref="Y118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184">
        <f>SUM(Table1[[#This Row],[Math 
Score]],Table1[[#This Row],[History 
Score]],Table1[[#This Row],[Physics 
Score]],Table1[[#This Row],[Chemistry 
Score]],Table1[[#This Row],[Biology 
Score]],Table1[[#This Row],[English 
Score]],Table1[[#This Row],[Geography 
Score]])</f>
        <v>489</v>
      </c>
      <c r="AA1184" s="3">
        <f>AVERAGE(Table1[[#This Row],[Math 
Score]],Table1[[#This Row],[History 
Score]],Table1[[#This Row],[Physics 
Score]],Table1[[#This Row],[Chemistry 
Score]],Table1[[#This Row],[Biology 
Score]],Table1[[#This Row],[English 
Score]],Table1[[#This Row],[Geography 
Score]])</f>
        <v>69.857142857142861</v>
      </c>
      <c r="AB118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184">
        <f t="shared" si="18"/>
        <v>1914</v>
      </c>
      <c r="AD1184" t="str">
        <f>_xlfn.IFS(Table1[[#This Row],[Absence 
Days]]&lt;3,"Excellent",Table1[[#This Row],[Absence 
Days]]&lt;=6,"Good",Table1[[#This Row],[Absence 
Days]]&gt;6,"Poor")</f>
        <v>Excellent</v>
      </c>
    </row>
    <row r="1185" spans="1:30" x14ac:dyDescent="0.35">
      <c r="A1185">
        <v>1184</v>
      </c>
      <c r="B1185" s="2" t="s">
        <v>41</v>
      </c>
      <c r="C1185" t="s">
        <v>544</v>
      </c>
      <c r="D1185" t="str">
        <f>_xlfn.TEXTJOIN(" ",TRUE,Table1[[#This Row],[First 
Name]:[Last 
Name]])</f>
        <v>Kenneth Turner</v>
      </c>
      <c r="E1185" t="s">
        <v>2295</v>
      </c>
      <c r="F1185" t="s">
        <v>3244</v>
      </c>
      <c r="G1185" t="str">
        <f ca="1">PROPER(Table1[[#This Row],[Part Time 
Job]])</f>
        <v>False</v>
      </c>
      <c r="H1185" s="3">
        <v>9</v>
      </c>
      <c r="I1185" t="str">
        <f ca="1">PROPER(Table1[[#This Row],[Extracurricular 
Activities]])</f>
        <v>True</v>
      </c>
      <c r="J1185">
        <v>11</v>
      </c>
      <c r="K1185" t="s">
        <v>3125</v>
      </c>
      <c r="L1185">
        <v>82</v>
      </c>
      <c r="M1185" s="12" t="str" cm="1">
        <f t="array" ref="M118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185">
        <v>85</v>
      </c>
      <c r="O1185" s="13" t="str" cm="1">
        <f t="array" ref="O118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185">
        <v>94</v>
      </c>
      <c r="Q1185" s="13" t="str" cm="1">
        <f t="array" ref="Q118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185">
        <v>75</v>
      </c>
      <c r="S1185" t="str" cm="1">
        <f t="array" ref="S118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185">
        <v>97</v>
      </c>
      <c r="U1185" t="str" cm="1">
        <f t="array" ref="U118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185">
        <v>98</v>
      </c>
      <c r="W1185" t="str" cm="1">
        <f t="array" ref="W118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185">
        <v>76</v>
      </c>
      <c r="Y1185" t="str" cm="1">
        <f t="array" ref="Y118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185">
        <f>SUM(Table1[[#This Row],[Math 
Score]],Table1[[#This Row],[History 
Score]],Table1[[#This Row],[Physics 
Score]],Table1[[#This Row],[Chemistry 
Score]],Table1[[#This Row],[Biology 
Score]],Table1[[#This Row],[English 
Score]],Table1[[#This Row],[Geography 
Score]])</f>
        <v>607</v>
      </c>
      <c r="AA1185" s="3">
        <f>AVERAGE(Table1[[#This Row],[Math 
Score]],Table1[[#This Row],[History 
Score]],Table1[[#This Row],[Physics 
Score]],Table1[[#This Row],[Chemistry 
Score]],Table1[[#This Row],[Biology 
Score]],Table1[[#This Row],[English 
Score]],Table1[[#This Row],[Geography 
Score]])</f>
        <v>86.714285714285708</v>
      </c>
      <c r="AB118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185">
        <f t="shared" si="18"/>
        <v>325</v>
      </c>
      <c r="AD1185" t="str">
        <f>_xlfn.IFS(Table1[[#This Row],[Absence 
Days]]&lt;3,"Excellent",Table1[[#This Row],[Absence 
Days]]&lt;=6,"Good",Table1[[#This Row],[Absence 
Days]]&gt;6,"Poor")</f>
        <v>Poor</v>
      </c>
    </row>
    <row r="1186" spans="1:30" x14ac:dyDescent="0.35">
      <c r="A1186">
        <v>1185</v>
      </c>
      <c r="B1186" s="2" t="s">
        <v>32</v>
      </c>
      <c r="C1186" t="s">
        <v>960</v>
      </c>
      <c r="D1186" t="str">
        <f>_xlfn.TEXTJOIN(" ",TRUE,Table1[[#This Row],[First 
Name]:[Last 
Name]])</f>
        <v>Lisa Bailey</v>
      </c>
      <c r="E1186" t="s">
        <v>2296</v>
      </c>
      <c r="F1186" t="s">
        <v>3245</v>
      </c>
      <c r="G1186" t="str">
        <f ca="1">PROPER(Table1[[#This Row],[Part Time 
Job]])</f>
        <v>False</v>
      </c>
      <c r="H1186" s="3">
        <v>3</v>
      </c>
      <c r="I1186" t="str">
        <f ca="1">PROPER(Table1[[#This Row],[Extracurricular 
Activities]])</f>
        <v>True</v>
      </c>
      <c r="J1186">
        <v>30</v>
      </c>
      <c r="K1186" t="s">
        <v>3117</v>
      </c>
      <c r="L1186">
        <v>85</v>
      </c>
      <c r="M1186" s="12" t="str" cm="1">
        <f t="array" ref="M118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186">
        <v>78</v>
      </c>
      <c r="O1186" s="13" t="str" cm="1">
        <f t="array" ref="O118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186">
        <v>99</v>
      </c>
      <c r="Q1186" s="13" t="str" cm="1">
        <f t="array" ref="Q118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186">
        <v>81</v>
      </c>
      <c r="S1186" t="str" cm="1">
        <f t="array" ref="S118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186">
        <v>60</v>
      </c>
      <c r="U1186" t="str" cm="1">
        <f t="array" ref="U118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186">
        <v>83</v>
      </c>
      <c r="W1186" t="str" cm="1">
        <f t="array" ref="W118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186">
        <v>75</v>
      </c>
      <c r="Y1186" t="str" cm="1">
        <f t="array" ref="Y118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186">
        <f>SUM(Table1[[#This Row],[Math 
Score]],Table1[[#This Row],[History 
Score]],Table1[[#This Row],[Physics 
Score]],Table1[[#This Row],[Chemistry 
Score]],Table1[[#This Row],[Biology 
Score]],Table1[[#This Row],[English 
Score]],Table1[[#This Row],[Geography 
Score]])</f>
        <v>561</v>
      </c>
      <c r="AA1186" s="3">
        <f>AVERAGE(Table1[[#This Row],[Math 
Score]],Table1[[#This Row],[History 
Score]],Table1[[#This Row],[Physics 
Score]],Table1[[#This Row],[Chemistry 
Score]],Table1[[#This Row],[Biology 
Score]],Table1[[#This Row],[English 
Score]],Table1[[#This Row],[Geography 
Score]])</f>
        <v>80.142857142857139</v>
      </c>
      <c r="AB118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186">
        <f t="shared" si="18"/>
        <v>1120</v>
      </c>
      <c r="AD1186" t="str">
        <f>_xlfn.IFS(Table1[[#This Row],[Absence 
Days]]&lt;3,"Excellent",Table1[[#This Row],[Absence 
Days]]&lt;=6,"Good",Table1[[#This Row],[Absence 
Days]]&gt;6,"Poor")</f>
        <v>Good</v>
      </c>
    </row>
    <row r="1187" spans="1:30" x14ac:dyDescent="0.35">
      <c r="A1187">
        <v>1186</v>
      </c>
      <c r="B1187" s="2" t="s">
        <v>114</v>
      </c>
      <c r="C1187" t="s">
        <v>874</v>
      </c>
      <c r="D1187" t="str">
        <f>_xlfn.TEXTJOIN(" ",TRUE,Table1[[#This Row],[First 
Name]:[Last 
Name]])</f>
        <v>Nancy Fowler</v>
      </c>
      <c r="E1187" t="s">
        <v>2297</v>
      </c>
      <c r="F1187" t="s">
        <v>3245</v>
      </c>
      <c r="G1187" t="str">
        <f ca="1">PROPER(Table1[[#This Row],[Part Time 
Job]])</f>
        <v>False</v>
      </c>
      <c r="H1187" s="3">
        <v>3</v>
      </c>
      <c r="I1187" t="str">
        <f ca="1">PROPER(Table1[[#This Row],[Extracurricular 
Activities]])</f>
        <v>True</v>
      </c>
      <c r="J1187">
        <v>11</v>
      </c>
      <c r="K1187" t="s">
        <v>3116</v>
      </c>
      <c r="L1187">
        <v>86</v>
      </c>
      <c r="M1187" s="12" t="str" cm="1">
        <f t="array" ref="M118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187">
        <v>66</v>
      </c>
      <c r="O1187" s="13" t="str" cm="1">
        <f t="array" ref="O118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187">
        <v>84</v>
      </c>
      <c r="Q1187" s="13" t="str" cm="1">
        <f t="array" ref="Q118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187">
        <v>86</v>
      </c>
      <c r="S1187" t="str" cm="1">
        <f t="array" ref="S118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187">
        <v>74</v>
      </c>
      <c r="U1187" t="str" cm="1">
        <f t="array" ref="U118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187">
        <v>91</v>
      </c>
      <c r="W1187" t="str" cm="1">
        <f t="array" ref="W118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187">
        <v>66</v>
      </c>
      <c r="Y1187" t="str" cm="1">
        <f t="array" ref="Y118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187">
        <f>SUM(Table1[[#This Row],[Math 
Score]],Table1[[#This Row],[History 
Score]],Table1[[#This Row],[Physics 
Score]],Table1[[#This Row],[Chemistry 
Score]],Table1[[#This Row],[Biology 
Score]],Table1[[#This Row],[English 
Score]],Table1[[#This Row],[Geography 
Score]])</f>
        <v>553</v>
      </c>
      <c r="AA1187" s="3">
        <f>AVERAGE(Table1[[#This Row],[Math 
Score]],Table1[[#This Row],[History 
Score]],Table1[[#This Row],[Physics 
Score]],Table1[[#This Row],[Chemistry 
Score]],Table1[[#This Row],[Biology 
Score]],Table1[[#This Row],[English 
Score]],Table1[[#This Row],[Geography 
Score]])</f>
        <v>79</v>
      </c>
      <c r="AB118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187">
        <f t="shared" si="18"/>
        <v>1284</v>
      </c>
      <c r="AD1187" t="str">
        <f>_xlfn.IFS(Table1[[#This Row],[Absence 
Days]]&lt;3,"Excellent",Table1[[#This Row],[Absence 
Days]]&lt;=6,"Good",Table1[[#This Row],[Absence 
Days]]&gt;6,"Poor")</f>
        <v>Good</v>
      </c>
    </row>
    <row r="1188" spans="1:30" x14ac:dyDescent="0.35">
      <c r="A1188">
        <v>1187</v>
      </c>
      <c r="B1188" s="2" t="s">
        <v>372</v>
      </c>
      <c r="C1188" t="s">
        <v>562</v>
      </c>
      <c r="D1188" t="str">
        <f>_xlfn.TEXTJOIN(" ",TRUE,Table1[[#This Row],[First 
Name]:[Last 
Name]])</f>
        <v>Gabriel Wilson</v>
      </c>
      <c r="E1188" t="s">
        <v>2298</v>
      </c>
      <c r="F1188" t="s">
        <v>3244</v>
      </c>
      <c r="G1188" t="str">
        <f ca="1">PROPER(Table1[[#This Row],[Part Time 
Job]])</f>
        <v>False</v>
      </c>
      <c r="H1188" s="3">
        <v>2</v>
      </c>
      <c r="I1188" t="str">
        <f ca="1">PROPER(Table1[[#This Row],[Extracurricular 
Activities]])</f>
        <v>False</v>
      </c>
      <c r="J1188">
        <v>35</v>
      </c>
      <c r="K1188" t="s">
        <v>3123</v>
      </c>
      <c r="L1188">
        <v>87</v>
      </c>
      <c r="M1188" s="12" t="str" cm="1">
        <f t="array" ref="M118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188">
        <v>86</v>
      </c>
      <c r="O1188" s="13" t="str" cm="1">
        <f t="array" ref="O118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188">
        <v>89</v>
      </c>
      <c r="Q1188" s="13" t="str" cm="1">
        <f t="array" ref="Q118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188">
        <v>94</v>
      </c>
      <c r="S1188" t="str" cm="1">
        <f t="array" ref="S118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188">
        <v>93</v>
      </c>
      <c r="U1188" t="str" cm="1">
        <f t="array" ref="U118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188">
        <v>91</v>
      </c>
      <c r="W1188" t="str" cm="1">
        <f t="array" ref="W118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188">
        <v>88</v>
      </c>
      <c r="Y1188" t="str" cm="1">
        <f t="array" ref="Y118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188">
        <f>SUM(Table1[[#This Row],[Math 
Score]],Table1[[#This Row],[History 
Score]],Table1[[#This Row],[Physics 
Score]],Table1[[#This Row],[Chemistry 
Score]],Table1[[#This Row],[Biology 
Score]],Table1[[#This Row],[English 
Score]],Table1[[#This Row],[Geography 
Score]])</f>
        <v>628</v>
      </c>
      <c r="AA1188" s="3">
        <f>AVERAGE(Table1[[#This Row],[Math 
Score]],Table1[[#This Row],[History 
Score]],Table1[[#This Row],[Physics 
Score]],Table1[[#This Row],[Chemistry 
Score]],Table1[[#This Row],[Biology 
Score]],Table1[[#This Row],[English 
Score]],Table1[[#This Row],[Geography 
Score]])</f>
        <v>89.714285714285708</v>
      </c>
      <c r="AB118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188">
        <f t="shared" si="18"/>
        <v>164</v>
      </c>
      <c r="AD1188" t="str">
        <f>_xlfn.IFS(Table1[[#This Row],[Absence 
Days]]&lt;3,"Excellent",Table1[[#This Row],[Absence 
Days]]&lt;=6,"Good",Table1[[#This Row],[Absence 
Days]]&gt;6,"Poor")</f>
        <v>Excellent</v>
      </c>
    </row>
    <row r="1189" spans="1:30" x14ac:dyDescent="0.35">
      <c r="A1189">
        <v>1188</v>
      </c>
      <c r="B1189" s="2" t="s">
        <v>66</v>
      </c>
      <c r="C1189" t="s">
        <v>671</v>
      </c>
      <c r="D1189" t="str">
        <f>_xlfn.TEXTJOIN(" ",TRUE,Table1[[#This Row],[First 
Name]:[Last 
Name]])</f>
        <v>Andrea Barrett</v>
      </c>
      <c r="E1189" t="s">
        <v>2299</v>
      </c>
      <c r="F1189" t="s">
        <v>3245</v>
      </c>
      <c r="G1189" t="str">
        <f ca="1">PROPER(Table1[[#This Row],[Part Time 
Job]])</f>
        <v>False</v>
      </c>
      <c r="H1189" s="3">
        <v>7</v>
      </c>
      <c r="I1189" t="str">
        <f ca="1">PROPER(Table1[[#This Row],[Extracurricular 
Activities]])</f>
        <v>False</v>
      </c>
      <c r="J1189">
        <v>4</v>
      </c>
      <c r="K1189" t="s">
        <v>3119</v>
      </c>
      <c r="L1189">
        <v>98</v>
      </c>
      <c r="M1189" s="12" t="str" cm="1">
        <f t="array" ref="M118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189">
        <v>81</v>
      </c>
      <c r="O1189" s="13" t="str" cm="1">
        <f t="array" ref="O118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189">
        <v>58</v>
      </c>
      <c r="Q1189" s="13" t="str" cm="1">
        <f t="array" ref="Q118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C</v>
      </c>
      <c r="R1189">
        <v>78</v>
      </c>
      <c r="S1189" t="str" cm="1">
        <f t="array" ref="S118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189">
        <v>91</v>
      </c>
      <c r="U1189" t="str" cm="1">
        <f t="array" ref="U118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189">
        <v>74</v>
      </c>
      <c r="W1189" t="str" cm="1">
        <f t="array" ref="W118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189">
        <v>75</v>
      </c>
      <c r="Y1189" t="str" cm="1">
        <f t="array" ref="Y118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189">
        <f>SUM(Table1[[#This Row],[Math 
Score]],Table1[[#This Row],[History 
Score]],Table1[[#This Row],[Physics 
Score]],Table1[[#This Row],[Chemistry 
Score]],Table1[[#This Row],[Biology 
Score]],Table1[[#This Row],[English 
Score]],Table1[[#This Row],[Geography 
Score]])</f>
        <v>555</v>
      </c>
      <c r="AA1189" s="3">
        <f>AVERAGE(Table1[[#This Row],[Math 
Score]],Table1[[#This Row],[History 
Score]],Table1[[#This Row],[Physics 
Score]],Table1[[#This Row],[Chemistry 
Score]],Table1[[#This Row],[Biology 
Score]],Table1[[#This Row],[English 
Score]],Table1[[#This Row],[Geography 
Score]])</f>
        <v>79.285714285714292</v>
      </c>
      <c r="AB118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189">
        <f t="shared" si="18"/>
        <v>1245</v>
      </c>
      <c r="AD1189" t="str">
        <f>_xlfn.IFS(Table1[[#This Row],[Absence 
Days]]&lt;3,"Excellent",Table1[[#This Row],[Absence 
Days]]&lt;=6,"Good",Table1[[#This Row],[Absence 
Days]]&gt;6,"Poor")</f>
        <v>Poor</v>
      </c>
    </row>
    <row r="1190" spans="1:30" x14ac:dyDescent="0.35">
      <c r="A1190">
        <v>1189</v>
      </c>
      <c r="B1190" s="2" t="s">
        <v>102</v>
      </c>
      <c r="C1190" t="s">
        <v>475</v>
      </c>
      <c r="D1190" t="str">
        <f>_xlfn.TEXTJOIN(" ",TRUE,Table1[[#This Row],[First 
Name]:[Last 
Name]])</f>
        <v>Jessica Williams</v>
      </c>
      <c r="E1190" t="s">
        <v>2300</v>
      </c>
      <c r="F1190" t="s">
        <v>3245</v>
      </c>
      <c r="G1190" t="str">
        <f ca="1">PROPER(Table1[[#This Row],[Part Time 
Job]])</f>
        <v>False</v>
      </c>
      <c r="H1190" s="3">
        <v>9</v>
      </c>
      <c r="I1190" t="str">
        <f ca="1">PROPER(Table1[[#This Row],[Extracurricular 
Activities]])</f>
        <v>True</v>
      </c>
      <c r="J1190">
        <v>6</v>
      </c>
      <c r="K1190" t="s">
        <v>3128</v>
      </c>
      <c r="L1190">
        <v>91</v>
      </c>
      <c r="M1190" s="12" t="str" cm="1">
        <f t="array" ref="M119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190">
        <v>94</v>
      </c>
      <c r="O1190" s="13" t="str" cm="1">
        <f t="array" ref="O119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190">
        <v>75</v>
      </c>
      <c r="Q1190" s="13" t="str" cm="1">
        <f t="array" ref="Q119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190">
        <v>86</v>
      </c>
      <c r="S1190" t="str" cm="1">
        <f t="array" ref="S119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190">
        <v>84</v>
      </c>
      <c r="U1190" t="str" cm="1">
        <f t="array" ref="U119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190">
        <v>67</v>
      </c>
      <c r="W1190" t="str" cm="1">
        <f t="array" ref="W119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190">
        <v>97</v>
      </c>
      <c r="Y1190" t="str" cm="1">
        <f t="array" ref="Y119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190">
        <f>SUM(Table1[[#This Row],[Math 
Score]],Table1[[#This Row],[History 
Score]],Table1[[#This Row],[Physics 
Score]],Table1[[#This Row],[Chemistry 
Score]],Table1[[#This Row],[Biology 
Score]],Table1[[#This Row],[English 
Score]],Table1[[#This Row],[Geography 
Score]])</f>
        <v>594</v>
      </c>
      <c r="AA1190" s="3">
        <f>AVERAGE(Table1[[#This Row],[Math 
Score]],Table1[[#This Row],[History 
Score]],Table1[[#This Row],[Physics 
Score]],Table1[[#This Row],[Chemistry 
Score]],Table1[[#This Row],[Biology 
Score]],Table1[[#This Row],[English 
Score]],Table1[[#This Row],[Geography 
Score]])</f>
        <v>84.857142857142861</v>
      </c>
      <c r="AB119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190">
        <f t="shared" si="18"/>
        <v>479</v>
      </c>
      <c r="AD1190" t="str">
        <f>_xlfn.IFS(Table1[[#This Row],[Absence 
Days]]&lt;3,"Excellent",Table1[[#This Row],[Absence 
Days]]&lt;=6,"Good",Table1[[#This Row],[Absence 
Days]]&gt;6,"Poor")</f>
        <v>Poor</v>
      </c>
    </row>
    <row r="1191" spans="1:30" x14ac:dyDescent="0.35">
      <c r="A1191">
        <v>1190</v>
      </c>
      <c r="B1191" s="2" t="s">
        <v>373</v>
      </c>
      <c r="C1191" t="s">
        <v>586</v>
      </c>
      <c r="D1191" t="str">
        <f>_xlfn.TEXTJOIN(" ",TRUE,Table1[[#This Row],[First 
Name]:[Last 
Name]])</f>
        <v>Hector Cox</v>
      </c>
      <c r="E1191" t="s">
        <v>2301</v>
      </c>
      <c r="F1191" t="s">
        <v>3244</v>
      </c>
      <c r="G1191" t="str">
        <f ca="1">PROPER(Table1[[#This Row],[Part Time 
Job]])</f>
        <v>False</v>
      </c>
      <c r="H1191" s="3">
        <v>1</v>
      </c>
      <c r="I1191" t="str">
        <f ca="1">PROPER(Table1[[#This Row],[Extracurricular 
Activities]])</f>
        <v>False</v>
      </c>
      <c r="J1191">
        <v>33</v>
      </c>
      <c r="K1191" t="s">
        <v>3113</v>
      </c>
      <c r="L1191">
        <v>100</v>
      </c>
      <c r="M1191" s="12" t="str" cm="1">
        <f t="array" ref="M119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191">
        <v>90</v>
      </c>
      <c r="O1191" s="13" t="str" cm="1">
        <f t="array" ref="O119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191">
        <v>89</v>
      </c>
      <c r="Q1191" s="13" t="str" cm="1">
        <f t="array" ref="Q119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191">
        <v>91</v>
      </c>
      <c r="S1191" t="str" cm="1">
        <f t="array" ref="S119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191">
        <v>86</v>
      </c>
      <c r="U1191" t="str" cm="1">
        <f t="array" ref="U119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191">
        <v>75</v>
      </c>
      <c r="W1191" t="str" cm="1">
        <f t="array" ref="W119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191">
        <v>72</v>
      </c>
      <c r="Y1191" t="str" cm="1">
        <f t="array" ref="Y119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191">
        <f>SUM(Table1[[#This Row],[Math 
Score]],Table1[[#This Row],[History 
Score]],Table1[[#This Row],[Physics 
Score]],Table1[[#This Row],[Chemistry 
Score]],Table1[[#This Row],[Biology 
Score]],Table1[[#This Row],[English 
Score]],Table1[[#This Row],[Geography 
Score]])</f>
        <v>603</v>
      </c>
      <c r="AA1191" s="3">
        <f>AVERAGE(Table1[[#This Row],[Math 
Score]],Table1[[#This Row],[History 
Score]],Table1[[#This Row],[Physics 
Score]],Table1[[#This Row],[Chemistry 
Score]],Table1[[#This Row],[Biology 
Score]],Table1[[#This Row],[English 
Score]],Table1[[#This Row],[Geography 
Score]])</f>
        <v>86.142857142857139</v>
      </c>
      <c r="AB119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191">
        <f t="shared" si="18"/>
        <v>370</v>
      </c>
      <c r="AD1191" t="str">
        <f>_xlfn.IFS(Table1[[#This Row],[Absence 
Days]]&lt;3,"Excellent",Table1[[#This Row],[Absence 
Days]]&lt;=6,"Good",Table1[[#This Row],[Absence 
Days]]&gt;6,"Poor")</f>
        <v>Excellent</v>
      </c>
    </row>
    <row r="1192" spans="1:30" x14ac:dyDescent="0.35">
      <c r="A1192">
        <v>1191</v>
      </c>
      <c r="B1192" s="2" t="s">
        <v>54</v>
      </c>
      <c r="C1192" t="s">
        <v>728</v>
      </c>
      <c r="D1192" t="str">
        <f>_xlfn.TEXTJOIN(" ",TRUE,Table1[[#This Row],[First 
Name]:[Last 
Name]])</f>
        <v>Michelle Mendoza</v>
      </c>
      <c r="E1192" t="s">
        <v>2302</v>
      </c>
      <c r="F1192" t="s">
        <v>3245</v>
      </c>
      <c r="G1192" t="str">
        <f ca="1">PROPER(Table1[[#This Row],[Part Time 
Job]])</f>
        <v>False</v>
      </c>
      <c r="H1192" s="3">
        <v>1</v>
      </c>
      <c r="I1192" t="str">
        <f ca="1">PROPER(Table1[[#This Row],[Extracurricular 
Activities]])</f>
        <v>False</v>
      </c>
      <c r="J1192">
        <v>1</v>
      </c>
      <c r="K1192" t="s">
        <v>3128</v>
      </c>
      <c r="L1192">
        <v>50</v>
      </c>
      <c r="M1192" s="12" t="str" cm="1">
        <f t="array" ref="M1192">_xlfn.IFS(Table1[[#This Row],[Math 
Score]]&gt;=90,"A+",Table1[[#This Row],[Math 
Score]]&gt;=80,"A", Table1[[#This Row],[Math 
Score]]&gt;=75,"A-",Table1[[#This Row],[Math 
Score]]&gt;=70,"B+",Table1[[#This Row],[Math 
Score]]&gt;=65,"B",Table1[[#This Row],[Math 
Score]]&gt;=60,"B-",Table1[[#This Row],[Math 
Score]]&gt;=50,"C",Table1[[#This Row],[Math 
Score]]&gt;=40,"D",Table1[[#This Row],[Math 
Score]]&lt;40,"F")</f>
        <v>C</v>
      </c>
      <c r="N1192">
        <v>60</v>
      </c>
      <c r="O1192" s="13" t="str" cm="1">
        <f t="array" ref="O119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192">
        <v>70</v>
      </c>
      <c r="Q1192" s="13" t="str" cm="1">
        <f t="array" ref="Q119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192">
        <v>75</v>
      </c>
      <c r="S1192" t="str" cm="1">
        <f t="array" ref="S119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192">
        <v>100</v>
      </c>
      <c r="U1192" t="str" cm="1">
        <f t="array" ref="U119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192">
        <v>62</v>
      </c>
      <c r="W1192" t="str" cm="1">
        <f t="array" ref="W119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192">
        <v>100</v>
      </c>
      <c r="Y1192" t="str" cm="1">
        <f t="array" ref="Y119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192">
        <f>SUM(Table1[[#This Row],[Math 
Score]],Table1[[#This Row],[History 
Score]],Table1[[#This Row],[Physics 
Score]],Table1[[#This Row],[Chemistry 
Score]],Table1[[#This Row],[Biology 
Score]],Table1[[#This Row],[English 
Score]],Table1[[#This Row],[Geography 
Score]])</f>
        <v>517</v>
      </c>
      <c r="AA1192" s="3">
        <f>AVERAGE(Table1[[#This Row],[Math 
Score]],Table1[[#This Row],[History 
Score]],Table1[[#This Row],[Physics 
Score]],Table1[[#This Row],[Chemistry 
Score]],Table1[[#This Row],[Biology 
Score]],Table1[[#This Row],[English 
Score]],Table1[[#This Row],[Geography 
Score]])</f>
        <v>73.857142857142861</v>
      </c>
      <c r="AB119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192">
        <f t="shared" si="18"/>
        <v>1781</v>
      </c>
      <c r="AD1192" t="str">
        <f>_xlfn.IFS(Table1[[#This Row],[Absence 
Days]]&lt;3,"Excellent",Table1[[#This Row],[Absence 
Days]]&lt;=6,"Good",Table1[[#This Row],[Absence 
Days]]&gt;6,"Poor")</f>
        <v>Excellent</v>
      </c>
    </row>
    <row r="1193" spans="1:30" x14ac:dyDescent="0.35">
      <c r="A1193">
        <v>1192</v>
      </c>
      <c r="B1193" s="2" t="s">
        <v>106</v>
      </c>
      <c r="C1193" t="s">
        <v>952</v>
      </c>
      <c r="D1193" t="str">
        <f>_xlfn.TEXTJOIN(" ",TRUE,Table1[[#This Row],[First 
Name]:[Last 
Name]])</f>
        <v>Adam Wallace</v>
      </c>
      <c r="E1193" t="s">
        <v>2303</v>
      </c>
      <c r="F1193" t="s">
        <v>3244</v>
      </c>
      <c r="G1193" t="str">
        <f ca="1">PROPER(Table1[[#This Row],[Part Time 
Job]])</f>
        <v>False</v>
      </c>
      <c r="H1193" s="3">
        <v>3</v>
      </c>
      <c r="I1193" t="str">
        <f ca="1">PROPER(Table1[[#This Row],[Extracurricular 
Activities]])</f>
        <v>False</v>
      </c>
      <c r="J1193">
        <v>11</v>
      </c>
      <c r="K1193" t="s">
        <v>3124</v>
      </c>
      <c r="L1193">
        <v>75</v>
      </c>
      <c r="M1193" s="12" t="str" cm="1">
        <f t="array" ref="M119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193">
        <v>92</v>
      </c>
      <c r="O1193" s="13" t="str" cm="1">
        <f t="array" ref="O119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193">
        <v>70</v>
      </c>
      <c r="Q1193" s="13" t="str" cm="1">
        <f t="array" ref="Q119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193">
        <v>62</v>
      </c>
      <c r="S1193" t="str" cm="1">
        <f t="array" ref="S119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193">
        <v>87</v>
      </c>
      <c r="U1193" t="str" cm="1">
        <f t="array" ref="U119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193">
        <v>87</v>
      </c>
      <c r="W1193" t="str" cm="1">
        <f t="array" ref="W119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193">
        <v>98</v>
      </c>
      <c r="Y1193" t="str" cm="1">
        <f t="array" ref="Y119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193">
        <f>SUM(Table1[[#This Row],[Math 
Score]],Table1[[#This Row],[History 
Score]],Table1[[#This Row],[Physics 
Score]],Table1[[#This Row],[Chemistry 
Score]],Table1[[#This Row],[Biology 
Score]],Table1[[#This Row],[English 
Score]],Table1[[#This Row],[Geography 
Score]])</f>
        <v>571</v>
      </c>
      <c r="AA1193" s="3">
        <f>AVERAGE(Table1[[#This Row],[Math 
Score]],Table1[[#This Row],[History 
Score]],Table1[[#This Row],[Physics 
Score]],Table1[[#This Row],[Chemistry 
Score]],Table1[[#This Row],[Biology 
Score]],Table1[[#This Row],[English 
Score]],Table1[[#This Row],[Geography 
Score]])</f>
        <v>81.571428571428569</v>
      </c>
      <c r="AB119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193">
        <f t="shared" si="18"/>
        <v>915</v>
      </c>
      <c r="AD1193" t="str">
        <f>_xlfn.IFS(Table1[[#This Row],[Absence 
Days]]&lt;3,"Excellent",Table1[[#This Row],[Absence 
Days]]&lt;=6,"Good",Table1[[#This Row],[Absence 
Days]]&gt;6,"Poor")</f>
        <v>Good</v>
      </c>
    </row>
    <row r="1194" spans="1:30" x14ac:dyDescent="0.35">
      <c r="A1194">
        <v>1193</v>
      </c>
      <c r="B1194" s="2" t="s">
        <v>5</v>
      </c>
      <c r="C1194" t="s">
        <v>520</v>
      </c>
      <c r="D1194" t="str">
        <f>_xlfn.TEXTJOIN(" ",TRUE,Table1[[#This Row],[First 
Name]:[Last 
Name]])</f>
        <v>Kelly Harris</v>
      </c>
      <c r="E1194" t="s">
        <v>2304</v>
      </c>
      <c r="F1194" t="s">
        <v>3245</v>
      </c>
      <c r="G1194" t="str">
        <f ca="1">PROPER(Table1[[#This Row],[Part Time 
Job]])</f>
        <v>False</v>
      </c>
      <c r="H1194" s="3">
        <v>7</v>
      </c>
      <c r="I1194" t="str">
        <f ca="1">PROPER(Table1[[#This Row],[Extracurricular 
Activities]])</f>
        <v>False</v>
      </c>
      <c r="J1194">
        <v>21</v>
      </c>
      <c r="K1194" t="s">
        <v>3127</v>
      </c>
      <c r="L1194">
        <v>86</v>
      </c>
      <c r="M1194" s="12" t="str" cm="1">
        <f t="array" ref="M119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194">
        <v>62</v>
      </c>
      <c r="O1194" s="13" t="str" cm="1">
        <f t="array" ref="O119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194">
        <v>81</v>
      </c>
      <c r="Q1194" s="13" t="str" cm="1">
        <f t="array" ref="Q119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194">
        <v>63</v>
      </c>
      <c r="S1194" t="str" cm="1">
        <f t="array" ref="S119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194">
        <v>92</v>
      </c>
      <c r="U1194" t="str" cm="1">
        <f t="array" ref="U119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194">
        <v>75</v>
      </c>
      <c r="W1194" t="str" cm="1">
        <f t="array" ref="W119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194">
        <v>79</v>
      </c>
      <c r="Y1194" t="str" cm="1">
        <f t="array" ref="Y119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194">
        <f>SUM(Table1[[#This Row],[Math 
Score]],Table1[[#This Row],[History 
Score]],Table1[[#This Row],[Physics 
Score]],Table1[[#This Row],[Chemistry 
Score]],Table1[[#This Row],[Biology 
Score]],Table1[[#This Row],[English 
Score]],Table1[[#This Row],[Geography 
Score]])</f>
        <v>538</v>
      </c>
      <c r="AA1194" s="3">
        <f>AVERAGE(Table1[[#This Row],[Math 
Score]],Table1[[#This Row],[History 
Score]],Table1[[#This Row],[Physics 
Score]],Table1[[#This Row],[Chemistry 
Score]],Table1[[#This Row],[Biology 
Score]],Table1[[#This Row],[English 
Score]],Table1[[#This Row],[Geography 
Score]])</f>
        <v>76.857142857142861</v>
      </c>
      <c r="AB119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194">
        <f t="shared" si="18"/>
        <v>1537</v>
      </c>
      <c r="AD1194" t="str">
        <f>_xlfn.IFS(Table1[[#This Row],[Absence 
Days]]&lt;3,"Excellent",Table1[[#This Row],[Absence 
Days]]&lt;=6,"Good",Table1[[#This Row],[Absence 
Days]]&gt;6,"Poor")</f>
        <v>Poor</v>
      </c>
    </row>
    <row r="1195" spans="1:30" x14ac:dyDescent="0.35">
      <c r="A1195">
        <v>1194</v>
      </c>
      <c r="B1195" s="2" t="s">
        <v>4</v>
      </c>
      <c r="C1195" t="s">
        <v>455</v>
      </c>
      <c r="D1195" t="str">
        <f>_xlfn.TEXTJOIN(" ",TRUE,Table1[[#This Row],[First 
Name]:[Last 
Name]])</f>
        <v>Anthony Clark</v>
      </c>
      <c r="E1195" t="s">
        <v>2305</v>
      </c>
      <c r="F1195" t="s">
        <v>3244</v>
      </c>
      <c r="G1195" t="str">
        <f ca="1">PROPER(Table1[[#This Row],[Part Time 
Job]])</f>
        <v>False</v>
      </c>
      <c r="H1195" s="3">
        <v>3</v>
      </c>
      <c r="I1195" t="str">
        <f ca="1">PROPER(Table1[[#This Row],[Extracurricular 
Activities]])</f>
        <v>False</v>
      </c>
      <c r="J1195">
        <v>24</v>
      </c>
      <c r="K1195" t="s">
        <v>3121</v>
      </c>
      <c r="L1195">
        <v>80</v>
      </c>
      <c r="M1195" s="12" t="str" cm="1">
        <f t="array" ref="M119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195">
        <v>66</v>
      </c>
      <c r="O1195" s="13" t="str" cm="1">
        <f t="array" ref="O119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195">
        <v>67</v>
      </c>
      <c r="Q1195" s="13" t="str" cm="1">
        <f t="array" ref="Q119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195">
        <v>72</v>
      </c>
      <c r="S1195" t="str" cm="1">
        <f t="array" ref="S119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195">
        <v>78</v>
      </c>
      <c r="U1195" t="str" cm="1">
        <f t="array" ref="U119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195">
        <v>99</v>
      </c>
      <c r="W1195" t="str" cm="1">
        <f t="array" ref="W119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195">
        <v>67</v>
      </c>
      <c r="Y1195" t="str" cm="1">
        <f t="array" ref="Y119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195">
        <f>SUM(Table1[[#This Row],[Math 
Score]],Table1[[#This Row],[History 
Score]],Table1[[#This Row],[Physics 
Score]],Table1[[#This Row],[Chemistry 
Score]],Table1[[#This Row],[Biology 
Score]],Table1[[#This Row],[English 
Score]],Table1[[#This Row],[Geography 
Score]])</f>
        <v>529</v>
      </c>
      <c r="AA1195" s="3">
        <f>AVERAGE(Table1[[#This Row],[Math 
Score]],Table1[[#This Row],[History 
Score]],Table1[[#This Row],[Physics 
Score]],Table1[[#This Row],[Chemistry 
Score]],Table1[[#This Row],[Biology 
Score]],Table1[[#This Row],[English 
Score]],Table1[[#This Row],[Geography 
Score]])</f>
        <v>75.571428571428569</v>
      </c>
      <c r="AB119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195">
        <f t="shared" si="18"/>
        <v>1664</v>
      </c>
      <c r="AD1195" t="str">
        <f>_xlfn.IFS(Table1[[#This Row],[Absence 
Days]]&lt;3,"Excellent",Table1[[#This Row],[Absence 
Days]]&lt;=6,"Good",Table1[[#This Row],[Absence 
Days]]&gt;6,"Poor")</f>
        <v>Good</v>
      </c>
    </row>
    <row r="1196" spans="1:30" x14ac:dyDescent="0.35">
      <c r="A1196">
        <v>1195</v>
      </c>
      <c r="B1196" s="2" t="s">
        <v>374</v>
      </c>
      <c r="C1196" t="s">
        <v>862</v>
      </c>
      <c r="D1196" t="str">
        <f>_xlfn.TEXTJOIN(" ",TRUE,Table1[[#This Row],[First 
Name]:[Last 
Name]])</f>
        <v>Randall Wyatt</v>
      </c>
      <c r="E1196" t="s">
        <v>2306</v>
      </c>
      <c r="F1196" t="s">
        <v>3244</v>
      </c>
      <c r="G1196" t="str">
        <f ca="1">PROPER(Table1[[#This Row],[Part Time 
Job]])</f>
        <v>False</v>
      </c>
      <c r="H1196" s="3">
        <v>7</v>
      </c>
      <c r="I1196" t="str">
        <f ca="1">PROPER(Table1[[#This Row],[Extracurricular 
Activities]])</f>
        <v>False</v>
      </c>
      <c r="J1196">
        <v>4</v>
      </c>
      <c r="K1196" t="s">
        <v>3119</v>
      </c>
      <c r="L1196">
        <v>56</v>
      </c>
      <c r="M1196" s="12" t="str" cm="1">
        <f t="array" ref="M1196">_xlfn.IFS(Table1[[#This Row],[Math 
Score]]&gt;=90,"A+",Table1[[#This Row],[Math 
Score]]&gt;=80,"A", Table1[[#This Row],[Math 
Score]]&gt;=75,"A-",Table1[[#This Row],[Math 
Score]]&gt;=70,"B+",Table1[[#This Row],[Math 
Score]]&gt;=65,"B",Table1[[#This Row],[Math 
Score]]&gt;=60,"B-",Table1[[#This Row],[Math 
Score]]&gt;=50,"C",Table1[[#This Row],[Math 
Score]]&gt;=40,"D",Table1[[#This Row],[Math 
Score]]&lt;40,"F")</f>
        <v>C</v>
      </c>
      <c r="N1196">
        <v>66</v>
      </c>
      <c r="O1196" s="13" t="str" cm="1">
        <f t="array" ref="O119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196">
        <v>92</v>
      </c>
      <c r="Q1196" s="13" t="str" cm="1">
        <f t="array" ref="Q119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196">
        <v>74</v>
      </c>
      <c r="S1196" t="str" cm="1">
        <f t="array" ref="S119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196">
        <v>79</v>
      </c>
      <c r="U1196" t="str" cm="1">
        <f t="array" ref="U119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196">
        <v>80</v>
      </c>
      <c r="W1196" t="str" cm="1">
        <f t="array" ref="W119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196">
        <v>68</v>
      </c>
      <c r="Y1196" t="str" cm="1">
        <f t="array" ref="Y119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196">
        <f>SUM(Table1[[#This Row],[Math 
Score]],Table1[[#This Row],[History 
Score]],Table1[[#This Row],[Physics 
Score]],Table1[[#This Row],[Chemistry 
Score]],Table1[[#This Row],[Biology 
Score]],Table1[[#This Row],[English 
Score]],Table1[[#This Row],[Geography 
Score]])</f>
        <v>515</v>
      </c>
      <c r="AA1196" s="3">
        <f>AVERAGE(Table1[[#This Row],[Math 
Score]],Table1[[#This Row],[History 
Score]],Table1[[#This Row],[Physics 
Score]],Table1[[#This Row],[Chemistry 
Score]],Table1[[#This Row],[Biology 
Score]],Table1[[#This Row],[English 
Score]],Table1[[#This Row],[Geography 
Score]])</f>
        <v>73.571428571428569</v>
      </c>
      <c r="AB119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196">
        <f t="shared" si="18"/>
        <v>1798</v>
      </c>
      <c r="AD1196" t="str">
        <f>_xlfn.IFS(Table1[[#This Row],[Absence 
Days]]&lt;3,"Excellent",Table1[[#This Row],[Absence 
Days]]&lt;=6,"Good",Table1[[#This Row],[Absence 
Days]]&gt;6,"Poor")</f>
        <v>Poor</v>
      </c>
    </row>
    <row r="1197" spans="1:30" x14ac:dyDescent="0.35">
      <c r="A1197">
        <v>1196</v>
      </c>
      <c r="B1197" s="2" t="s">
        <v>33</v>
      </c>
      <c r="C1197" t="s">
        <v>632</v>
      </c>
      <c r="D1197" t="str">
        <f>_xlfn.TEXTJOIN(" ",TRUE,Table1[[#This Row],[First 
Name]:[Last 
Name]])</f>
        <v>Ryan Sutton</v>
      </c>
      <c r="E1197" t="s">
        <v>2307</v>
      </c>
      <c r="F1197" t="s">
        <v>3244</v>
      </c>
      <c r="G1197" t="str">
        <f ca="1">PROPER(Table1[[#This Row],[Part Time 
Job]])</f>
        <v>False</v>
      </c>
      <c r="H1197" s="3">
        <v>1</v>
      </c>
      <c r="I1197" t="str">
        <f ca="1">PROPER(Table1[[#This Row],[Extracurricular 
Activities]])</f>
        <v>False</v>
      </c>
      <c r="J1197">
        <v>1</v>
      </c>
      <c r="K1197" t="s">
        <v>3126</v>
      </c>
      <c r="L1197">
        <v>91</v>
      </c>
      <c r="M1197" s="12" t="str" cm="1">
        <f t="array" ref="M119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197">
        <v>72</v>
      </c>
      <c r="O1197" s="13" t="str" cm="1">
        <f t="array" ref="O119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197">
        <v>85</v>
      </c>
      <c r="Q1197" s="13" t="str" cm="1">
        <f t="array" ref="Q119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197">
        <v>78</v>
      </c>
      <c r="S1197" t="str" cm="1">
        <f t="array" ref="S119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197">
        <v>92</v>
      </c>
      <c r="U1197" t="str" cm="1">
        <f t="array" ref="U119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197">
        <v>82</v>
      </c>
      <c r="W1197" t="str" cm="1">
        <f t="array" ref="W119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197">
        <v>85</v>
      </c>
      <c r="Y1197" t="str" cm="1">
        <f t="array" ref="Y119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197">
        <f>SUM(Table1[[#This Row],[Math 
Score]],Table1[[#This Row],[History 
Score]],Table1[[#This Row],[Physics 
Score]],Table1[[#This Row],[Chemistry 
Score]],Table1[[#This Row],[Biology 
Score]],Table1[[#This Row],[English 
Score]],Table1[[#This Row],[Geography 
Score]])</f>
        <v>585</v>
      </c>
      <c r="AA1197" s="3">
        <f>AVERAGE(Table1[[#This Row],[Math 
Score]],Table1[[#This Row],[History 
Score]],Table1[[#This Row],[Physics 
Score]],Table1[[#This Row],[Chemistry 
Score]],Table1[[#This Row],[Biology 
Score]],Table1[[#This Row],[English 
Score]],Table1[[#This Row],[Geography 
Score]])</f>
        <v>83.571428571428569</v>
      </c>
      <c r="AB119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197">
        <f t="shared" si="18"/>
        <v>615</v>
      </c>
      <c r="AD1197" t="str">
        <f>_xlfn.IFS(Table1[[#This Row],[Absence 
Days]]&lt;3,"Excellent",Table1[[#This Row],[Absence 
Days]]&lt;=6,"Good",Table1[[#This Row],[Absence 
Days]]&gt;6,"Poor")</f>
        <v>Excellent</v>
      </c>
    </row>
    <row r="1198" spans="1:30" x14ac:dyDescent="0.35">
      <c r="A1198">
        <v>1197</v>
      </c>
      <c r="B1198" s="2" t="s">
        <v>375</v>
      </c>
      <c r="C1198" t="s">
        <v>516</v>
      </c>
      <c r="D1198" t="str">
        <f>_xlfn.TEXTJOIN(" ",TRUE,Table1[[#This Row],[First 
Name]:[Last 
Name]])</f>
        <v>Rick Garcia</v>
      </c>
      <c r="E1198" t="s">
        <v>2308</v>
      </c>
      <c r="F1198" t="s">
        <v>3244</v>
      </c>
      <c r="G1198" t="str">
        <f ca="1">PROPER(Table1[[#This Row],[Part Time 
Job]])</f>
        <v>False</v>
      </c>
      <c r="H1198" s="3">
        <v>1</v>
      </c>
      <c r="I1198" t="str">
        <f ca="1">PROPER(Table1[[#This Row],[Extracurricular 
Activities]])</f>
        <v>True</v>
      </c>
      <c r="J1198">
        <v>12</v>
      </c>
      <c r="K1198" t="s">
        <v>3125</v>
      </c>
      <c r="L1198">
        <v>94</v>
      </c>
      <c r="M1198" s="12" t="str" cm="1">
        <f t="array" ref="M119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198">
        <v>65</v>
      </c>
      <c r="O1198" s="13" t="str" cm="1">
        <f t="array" ref="O119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198">
        <v>90</v>
      </c>
      <c r="Q1198" s="13" t="str" cm="1">
        <f t="array" ref="Q119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198">
        <v>79</v>
      </c>
      <c r="S1198" t="str" cm="1">
        <f t="array" ref="S119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198">
        <v>97</v>
      </c>
      <c r="U1198" t="str" cm="1">
        <f t="array" ref="U119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198">
        <v>76</v>
      </c>
      <c r="W1198" t="str" cm="1">
        <f t="array" ref="W119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198">
        <v>75</v>
      </c>
      <c r="Y1198" t="str" cm="1">
        <f t="array" ref="Y119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198">
        <f>SUM(Table1[[#This Row],[Math 
Score]],Table1[[#This Row],[History 
Score]],Table1[[#This Row],[Physics 
Score]],Table1[[#This Row],[Chemistry 
Score]],Table1[[#This Row],[Biology 
Score]],Table1[[#This Row],[English 
Score]],Table1[[#This Row],[Geography 
Score]])</f>
        <v>576</v>
      </c>
      <c r="AA1198" s="3">
        <f>AVERAGE(Table1[[#This Row],[Math 
Score]],Table1[[#This Row],[History 
Score]],Table1[[#This Row],[Physics 
Score]],Table1[[#This Row],[Chemistry 
Score]],Table1[[#This Row],[Biology 
Score]],Table1[[#This Row],[English 
Score]],Table1[[#This Row],[Geography 
Score]])</f>
        <v>82.285714285714292</v>
      </c>
      <c r="AB119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198">
        <f t="shared" si="18"/>
        <v>789</v>
      </c>
      <c r="AD1198" t="str">
        <f>_xlfn.IFS(Table1[[#This Row],[Absence 
Days]]&lt;3,"Excellent",Table1[[#This Row],[Absence 
Days]]&lt;=6,"Good",Table1[[#This Row],[Absence 
Days]]&gt;6,"Poor")</f>
        <v>Excellent</v>
      </c>
    </row>
    <row r="1199" spans="1:30" x14ac:dyDescent="0.35">
      <c r="A1199">
        <v>1198</v>
      </c>
      <c r="B1199" s="2" t="s">
        <v>371</v>
      </c>
      <c r="C1199" t="s">
        <v>961</v>
      </c>
      <c r="D1199" t="str">
        <f>_xlfn.TEXTJOIN(" ",TRUE,Table1[[#This Row],[First 
Name]:[Last 
Name]])</f>
        <v>Frank Schmitt</v>
      </c>
      <c r="E1199" t="s">
        <v>2309</v>
      </c>
      <c r="F1199" t="s">
        <v>3244</v>
      </c>
      <c r="G1199" t="str">
        <f ca="1">PROPER(Table1[[#This Row],[Part Time 
Job]])</f>
        <v>False</v>
      </c>
      <c r="H1199" s="3">
        <v>7</v>
      </c>
      <c r="I1199" t="str">
        <f ca="1">PROPER(Table1[[#This Row],[Extracurricular 
Activities]])</f>
        <v>False</v>
      </c>
      <c r="J1199">
        <v>28</v>
      </c>
      <c r="K1199" t="s">
        <v>3125</v>
      </c>
      <c r="L1199">
        <v>81</v>
      </c>
      <c r="M1199" s="12" t="str" cm="1">
        <f t="array" ref="M119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199">
        <v>82</v>
      </c>
      <c r="O1199" s="13" t="str" cm="1">
        <f t="array" ref="O119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199">
        <v>99</v>
      </c>
      <c r="Q1199" s="13" t="str" cm="1">
        <f t="array" ref="Q119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199">
        <v>86</v>
      </c>
      <c r="S1199" t="str" cm="1">
        <f t="array" ref="S119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199">
        <v>88</v>
      </c>
      <c r="U1199" t="str" cm="1">
        <f t="array" ref="U119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199">
        <v>60</v>
      </c>
      <c r="W1199" t="str" cm="1">
        <f t="array" ref="W119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199">
        <v>89</v>
      </c>
      <c r="Y1199" t="str" cm="1">
        <f t="array" ref="Y119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199">
        <f>SUM(Table1[[#This Row],[Math 
Score]],Table1[[#This Row],[History 
Score]],Table1[[#This Row],[Physics 
Score]],Table1[[#This Row],[Chemistry 
Score]],Table1[[#This Row],[Biology 
Score]],Table1[[#This Row],[English 
Score]],Table1[[#This Row],[Geography 
Score]])</f>
        <v>585</v>
      </c>
      <c r="AA1199" s="3">
        <f>AVERAGE(Table1[[#This Row],[Math 
Score]],Table1[[#This Row],[History 
Score]],Table1[[#This Row],[Physics 
Score]],Table1[[#This Row],[Chemistry 
Score]],Table1[[#This Row],[Biology 
Score]],Table1[[#This Row],[English 
Score]],Table1[[#This Row],[Geography 
Score]])</f>
        <v>83.571428571428569</v>
      </c>
      <c r="AB119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199">
        <f t="shared" si="18"/>
        <v>615</v>
      </c>
      <c r="AD1199" t="str">
        <f>_xlfn.IFS(Table1[[#This Row],[Absence 
Days]]&lt;3,"Excellent",Table1[[#This Row],[Absence 
Days]]&lt;=6,"Good",Table1[[#This Row],[Absence 
Days]]&gt;6,"Poor")</f>
        <v>Poor</v>
      </c>
    </row>
    <row r="1200" spans="1:30" x14ac:dyDescent="0.35">
      <c r="A1200">
        <v>1199</v>
      </c>
      <c r="B1200" s="2" t="s">
        <v>376</v>
      </c>
      <c r="C1200" t="s">
        <v>962</v>
      </c>
      <c r="D1200" t="str">
        <f>_xlfn.TEXTJOIN(" ",TRUE,Table1[[#This Row],[First 
Name]:[Last 
Name]])</f>
        <v>Alan Mcgrath</v>
      </c>
      <c r="E1200" t="s">
        <v>2310</v>
      </c>
      <c r="F1200" t="s">
        <v>3244</v>
      </c>
      <c r="G1200" t="str">
        <f ca="1">PROPER(Table1[[#This Row],[Part Time 
Job]])</f>
        <v>False</v>
      </c>
      <c r="H1200" s="3">
        <v>2</v>
      </c>
      <c r="I1200" t="str">
        <f ca="1">PROPER(Table1[[#This Row],[Extracurricular 
Activities]])</f>
        <v>False</v>
      </c>
      <c r="J1200">
        <v>20</v>
      </c>
      <c r="K1200" t="s">
        <v>3123</v>
      </c>
      <c r="L1200">
        <v>94</v>
      </c>
      <c r="M1200" s="12" t="str" cm="1">
        <f t="array" ref="M120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200">
        <v>82</v>
      </c>
      <c r="O1200" s="13" t="str" cm="1">
        <f t="array" ref="O120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200">
        <v>91</v>
      </c>
      <c r="Q1200" s="13" t="str" cm="1">
        <f t="array" ref="Q120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200">
        <v>94</v>
      </c>
      <c r="S1200" t="str" cm="1">
        <f t="array" ref="S120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200">
        <v>100</v>
      </c>
      <c r="U1200" t="str" cm="1">
        <f t="array" ref="U120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200">
        <v>99</v>
      </c>
      <c r="W1200" t="str" cm="1">
        <f t="array" ref="W120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200">
        <v>69</v>
      </c>
      <c r="Y1200" t="str" cm="1">
        <f t="array" ref="Y120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200">
        <f>SUM(Table1[[#This Row],[Math 
Score]],Table1[[#This Row],[History 
Score]],Table1[[#This Row],[Physics 
Score]],Table1[[#This Row],[Chemistry 
Score]],Table1[[#This Row],[Biology 
Score]],Table1[[#This Row],[English 
Score]],Table1[[#This Row],[Geography 
Score]])</f>
        <v>629</v>
      </c>
      <c r="AA1200" s="3">
        <f>AVERAGE(Table1[[#This Row],[Math 
Score]],Table1[[#This Row],[History 
Score]],Table1[[#This Row],[Physics 
Score]],Table1[[#This Row],[Chemistry 
Score]],Table1[[#This Row],[Biology 
Score]],Table1[[#This Row],[English 
Score]],Table1[[#This Row],[Geography 
Score]])</f>
        <v>89.857142857142861</v>
      </c>
      <c r="AB120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200">
        <f t="shared" si="18"/>
        <v>162</v>
      </c>
      <c r="AD1200" t="str">
        <f>_xlfn.IFS(Table1[[#This Row],[Absence 
Days]]&lt;3,"Excellent",Table1[[#This Row],[Absence 
Days]]&lt;=6,"Good",Table1[[#This Row],[Absence 
Days]]&gt;6,"Poor")</f>
        <v>Excellent</v>
      </c>
    </row>
    <row r="1201" spans="1:30" x14ac:dyDescent="0.35">
      <c r="A1201">
        <v>1200</v>
      </c>
      <c r="B1201" s="2" t="s">
        <v>39</v>
      </c>
      <c r="C1201" t="s">
        <v>464</v>
      </c>
      <c r="D1201" t="str">
        <f>_xlfn.TEXTJOIN(" ",TRUE,Table1[[#This Row],[First 
Name]:[Last 
Name]])</f>
        <v>Lauren Gomez</v>
      </c>
      <c r="E1201" t="s">
        <v>2311</v>
      </c>
      <c r="F1201" t="s">
        <v>3245</v>
      </c>
      <c r="G1201" t="str">
        <f ca="1">PROPER(Table1[[#This Row],[Part Time 
Job]])</f>
        <v>False</v>
      </c>
      <c r="H1201" s="3">
        <v>3</v>
      </c>
      <c r="I1201" t="str">
        <f ca="1">PROPER(Table1[[#This Row],[Extracurricular 
Activities]])</f>
        <v>False</v>
      </c>
      <c r="J1201">
        <v>35</v>
      </c>
      <c r="K1201" t="s">
        <v>3113</v>
      </c>
      <c r="L1201">
        <v>99</v>
      </c>
      <c r="M1201" s="12" t="str" cm="1">
        <f t="array" ref="M120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201">
        <v>89</v>
      </c>
      <c r="O1201" s="13" t="str" cm="1">
        <f t="array" ref="O120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201">
        <v>93</v>
      </c>
      <c r="Q1201" s="13" t="str" cm="1">
        <f t="array" ref="Q120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201">
        <v>87</v>
      </c>
      <c r="S1201" t="str" cm="1">
        <f t="array" ref="S120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201">
        <v>86</v>
      </c>
      <c r="U1201" t="str" cm="1">
        <f t="array" ref="U120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201">
        <v>90</v>
      </c>
      <c r="W1201" t="str" cm="1">
        <f t="array" ref="W120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201">
        <v>96</v>
      </c>
      <c r="Y1201" t="str" cm="1">
        <f t="array" ref="Y120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201">
        <f>SUM(Table1[[#This Row],[Math 
Score]],Table1[[#This Row],[History 
Score]],Table1[[#This Row],[Physics 
Score]],Table1[[#This Row],[Chemistry 
Score]],Table1[[#This Row],[Biology 
Score]],Table1[[#This Row],[English 
Score]],Table1[[#This Row],[Geography 
Score]])</f>
        <v>640</v>
      </c>
      <c r="AA1201" s="3">
        <f>AVERAGE(Table1[[#This Row],[Math 
Score]],Table1[[#This Row],[History 
Score]],Table1[[#This Row],[Physics 
Score]],Table1[[#This Row],[Chemistry 
Score]],Table1[[#This Row],[Biology 
Score]],Table1[[#This Row],[English 
Score]],Table1[[#This Row],[Geography 
Score]])</f>
        <v>91.428571428571431</v>
      </c>
      <c r="AB120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201">
        <f t="shared" si="18"/>
        <v>98</v>
      </c>
      <c r="AD1201" t="str">
        <f>_xlfn.IFS(Table1[[#This Row],[Absence 
Days]]&lt;3,"Excellent",Table1[[#This Row],[Absence 
Days]]&lt;=6,"Good",Table1[[#This Row],[Absence 
Days]]&gt;6,"Poor")</f>
        <v>Good</v>
      </c>
    </row>
    <row r="1202" spans="1:30" x14ac:dyDescent="0.35">
      <c r="A1202">
        <v>1201</v>
      </c>
      <c r="B1202" s="2" t="s">
        <v>282</v>
      </c>
      <c r="C1202" t="s">
        <v>188</v>
      </c>
      <c r="D1202" t="str">
        <f>_xlfn.TEXTJOIN(" ",TRUE,Table1[[#This Row],[First 
Name]:[Last 
Name]])</f>
        <v>Katherine Taylor</v>
      </c>
      <c r="E1202" t="s">
        <v>2312</v>
      </c>
      <c r="F1202" t="s">
        <v>3245</v>
      </c>
      <c r="G1202" t="str">
        <f ca="1">PROPER(Table1[[#This Row],[Part Time 
Job]])</f>
        <v>False</v>
      </c>
      <c r="H1202" s="3">
        <v>0</v>
      </c>
      <c r="I1202" t="str">
        <f ca="1">PROPER(Table1[[#This Row],[Extracurricular 
Activities]])</f>
        <v>False</v>
      </c>
      <c r="J1202">
        <v>33</v>
      </c>
      <c r="K1202" t="s">
        <v>3112</v>
      </c>
      <c r="L1202">
        <v>88</v>
      </c>
      <c r="M1202" s="12" t="str" cm="1">
        <f t="array" ref="M120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202">
        <v>83</v>
      </c>
      <c r="O1202" s="13" t="str" cm="1">
        <f t="array" ref="O120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202">
        <v>62</v>
      </c>
      <c r="Q1202" s="13" t="str" cm="1">
        <f t="array" ref="Q120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202">
        <v>88</v>
      </c>
      <c r="S1202" t="str" cm="1">
        <f t="array" ref="S120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202">
        <v>100</v>
      </c>
      <c r="U1202" t="str" cm="1">
        <f t="array" ref="U120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202">
        <v>83</v>
      </c>
      <c r="W1202" t="str" cm="1">
        <f t="array" ref="W120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202">
        <v>84</v>
      </c>
      <c r="Y1202" t="str" cm="1">
        <f t="array" ref="Y120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202">
        <f>SUM(Table1[[#This Row],[Math 
Score]],Table1[[#This Row],[History 
Score]],Table1[[#This Row],[Physics 
Score]],Table1[[#This Row],[Chemistry 
Score]],Table1[[#This Row],[Biology 
Score]],Table1[[#This Row],[English 
Score]],Table1[[#This Row],[Geography 
Score]])</f>
        <v>588</v>
      </c>
      <c r="AA1202" s="3">
        <f>AVERAGE(Table1[[#This Row],[Math 
Score]],Table1[[#This Row],[History 
Score]],Table1[[#This Row],[Physics 
Score]],Table1[[#This Row],[Chemistry 
Score]],Table1[[#This Row],[Biology 
Score]],Table1[[#This Row],[English 
Score]],Table1[[#This Row],[Geography 
Score]])</f>
        <v>84</v>
      </c>
      <c r="AB120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202">
        <f t="shared" si="18"/>
        <v>565</v>
      </c>
      <c r="AD1202" t="str">
        <f>_xlfn.IFS(Table1[[#This Row],[Absence 
Days]]&lt;3,"Excellent",Table1[[#This Row],[Absence 
Days]]&lt;=6,"Good",Table1[[#This Row],[Absence 
Days]]&gt;6,"Poor")</f>
        <v>Excellent</v>
      </c>
    </row>
    <row r="1203" spans="1:30" x14ac:dyDescent="0.35">
      <c r="A1203">
        <v>1202</v>
      </c>
      <c r="B1203" s="2" t="s">
        <v>182</v>
      </c>
      <c r="C1203" t="s">
        <v>609</v>
      </c>
      <c r="D1203" t="str">
        <f>_xlfn.TEXTJOIN(" ",TRUE,Table1[[#This Row],[First 
Name]:[Last 
Name]])</f>
        <v>Ashley York</v>
      </c>
      <c r="E1203" t="s">
        <v>2313</v>
      </c>
      <c r="F1203" t="s">
        <v>3245</v>
      </c>
      <c r="G1203" t="str">
        <f ca="1">PROPER(Table1[[#This Row],[Part Time 
Job]])</f>
        <v>False</v>
      </c>
      <c r="H1203" s="3">
        <v>6</v>
      </c>
      <c r="I1203" t="str">
        <f ca="1">PROPER(Table1[[#This Row],[Extracurricular 
Activities]])</f>
        <v>False</v>
      </c>
      <c r="J1203">
        <v>4</v>
      </c>
      <c r="K1203" t="s">
        <v>3128</v>
      </c>
      <c r="L1203">
        <v>79</v>
      </c>
      <c r="M1203" s="12" t="str" cm="1">
        <f t="array" ref="M120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203">
        <v>74</v>
      </c>
      <c r="O1203" s="13" t="str" cm="1">
        <f t="array" ref="O120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203">
        <v>68</v>
      </c>
      <c r="Q1203" s="13" t="str" cm="1">
        <f t="array" ref="Q120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203">
        <v>82</v>
      </c>
      <c r="S1203" t="str" cm="1">
        <f t="array" ref="S120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203">
        <v>65</v>
      </c>
      <c r="U1203" t="str" cm="1">
        <f t="array" ref="U120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203">
        <v>73</v>
      </c>
      <c r="W1203" t="str" cm="1">
        <f t="array" ref="W120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203">
        <v>89</v>
      </c>
      <c r="Y1203" t="str" cm="1">
        <f t="array" ref="Y120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203">
        <f>SUM(Table1[[#This Row],[Math 
Score]],Table1[[#This Row],[History 
Score]],Table1[[#This Row],[Physics 
Score]],Table1[[#This Row],[Chemistry 
Score]],Table1[[#This Row],[Biology 
Score]],Table1[[#This Row],[English 
Score]],Table1[[#This Row],[Geography 
Score]])</f>
        <v>530</v>
      </c>
      <c r="AA1203" s="3">
        <f>AVERAGE(Table1[[#This Row],[Math 
Score]],Table1[[#This Row],[History 
Score]],Table1[[#This Row],[Physics 
Score]],Table1[[#This Row],[Chemistry 
Score]],Table1[[#This Row],[Biology 
Score]],Table1[[#This Row],[English 
Score]],Table1[[#This Row],[Geography 
Score]])</f>
        <v>75.714285714285708</v>
      </c>
      <c r="AB120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203">
        <f t="shared" si="18"/>
        <v>1646</v>
      </c>
      <c r="AD1203" t="str">
        <f>_xlfn.IFS(Table1[[#This Row],[Absence 
Days]]&lt;3,"Excellent",Table1[[#This Row],[Absence 
Days]]&lt;=6,"Good",Table1[[#This Row],[Absence 
Days]]&gt;6,"Poor")</f>
        <v>Good</v>
      </c>
    </row>
    <row r="1204" spans="1:30" x14ac:dyDescent="0.35">
      <c r="A1204">
        <v>1203</v>
      </c>
      <c r="B1204" s="2" t="s">
        <v>70</v>
      </c>
      <c r="C1204" t="s">
        <v>963</v>
      </c>
      <c r="D1204" t="str">
        <f>_xlfn.TEXTJOIN(" ",TRUE,Table1[[#This Row],[First 
Name]:[Last 
Name]])</f>
        <v>Charles Rangel</v>
      </c>
      <c r="E1204" t="s">
        <v>2314</v>
      </c>
      <c r="F1204" t="s">
        <v>3244</v>
      </c>
      <c r="G1204" t="str">
        <f ca="1">PROPER(Table1[[#This Row],[Part Time 
Job]])</f>
        <v>True</v>
      </c>
      <c r="H1204" s="3">
        <v>4</v>
      </c>
      <c r="I1204" t="str">
        <f ca="1">PROPER(Table1[[#This Row],[Extracurricular 
Activities]])</f>
        <v>False</v>
      </c>
      <c r="J1204">
        <v>1</v>
      </c>
      <c r="K1204" t="s">
        <v>3119</v>
      </c>
      <c r="L1204">
        <v>49</v>
      </c>
      <c r="M1204" s="12" t="str" cm="1">
        <f t="array" ref="M1204">_xlfn.IFS(Table1[[#This Row],[Math 
Score]]&gt;=90,"A+",Table1[[#This Row],[Math 
Score]]&gt;=80,"A", Table1[[#This Row],[Math 
Score]]&gt;=75,"A-",Table1[[#This Row],[Math 
Score]]&gt;=70,"B+",Table1[[#This Row],[Math 
Score]]&gt;=65,"B",Table1[[#This Row],[Math 
Score]]&gt;=60,"B-",Table1[[#This Row],[Math 
Score]]&gt;=50,"C",Table1[[#This Row],[Math 
Score]]&gt;=40,"D",Table1[[#This Row],[Math 
Score]]&lt;40,"F")</f>
        <v>D</v>
      </c>
      <c r="N1204">
        <v>85</v>
      </c>
      <c r="O1204" s="13" t="str" cm="1">
        <f t="array" ref="O120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204">
        <v>70</v>
      </c>
      <c r="Q1204" s="13" t="str" cm="1">
        <f t="array" ref="Q120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204">
        <v>90</v>
      </c>
      <c r="S1204" t="str" cm="1">
        <f t="array" ref="S120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204">
        <v>79</v>
      </c>
      <c r="U1204" t="str" cm="1">
        <f t="array" ref="U120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204">
        <v>71</v>
      </c>
      <c r="W1204" t="str" cm="1">
        <f t="array" ref="W120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204">
        <v>67</v>
      </c>
      <c r="Y1204" t="str" cm="1">
        <f t="array" ref="Y120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204">
        <f>SUM(Table1[[#This Row],[Math 
Score]],Table1[[#This Row],[History 
Score]],Table1[[#This Row],[Physics 
Score]],Table1[[#This Row],[Chemistry 
Score]],Table1[[#This Row],[Biology 
Score]],Table1[[#This Row],[English 
Score]],Table1[[#This Row],[Geography 
Score]])</f>
        <v>511</v>
      </c>
      <c r="AA1204" s="3">
        <f>AVERAGE(Table1[[#This Row],[Math 
Score]],Table1[[#This Row],[History 
Score]],Table1[[#This Row],[Physics 
Score]],Table1[[#This Row],[Chemistry 
Score]],Table1[[#This Row],[Biology 
Score]],Table1[[#This Row],[English 
Score]],Table1[[#This Row],[Geography 
Score]])</f>
        <v>73</v>
      </c>
      <c r="AB120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204">
        <f t="shared" si="18"/>
        <v>1823</v>
      </c>
      <c r="AD1204" t="str">
        <f>_xlfn.IFS(Table1[[#This Row],[Absence 
Days]]&lt;3,"Excellent",Table1[[#This Row],[Absence 
Days]]&lt;=6,"Good",Table1[[#This Row],[Absence 
Days]]&gt;6,"Poor")</f>
        <v>Good</v>
      </c>
    </row>
    <row r="1205" spans="1:30" x14ac:dyDescent="0.35">
      <c r="A1205">
        <v>1204</v>
      </c>
      <c r="B1205" s="2" t="s">
        <v>377</v>
      </c>
      <c r="C1205" t="s">
        <v>804</v>
      </c>
      <c r="D1205" t="str">
        <f>_xlfn.TEXTJOIN(" ",TRUE,Table1[[#This Row],[First 
Name]:[Last 
Name]])</f>
        <v>Brooke Burnett</v>
      </c>
      <c r="E1205" t="s">
        <v>2315</v>
      </c>
      <c r="F1205" t="s">
        <v>3245</v>
      </c>
      <c r="G1205" t="str">
        <f ca="1">PROPER(Table1[[#This Row],[Part Time 
Job]])</f>
        <v>False</v>
      </c>
      <c r="H1205" s="3">
        <v>5</v>
      </c>
      <c r="I1205" t="str">
        <f ca="1">PROPER(Table1[[#This Row],[Extracurricular 
Activities]])</f>
        <v>False</v>
      </c>
      <c r="J1205">
        <v>7</v>
      </c>
      <c r="K1205" t="s">
        <v>3114</v>
      </c>
      <c r="L1205">
        <v>97</v>
      </c>
      <c r="M1205" s="12" t="str" cm="1">
        <f t="array" ref="M120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205">
        <v>99</v>
      </c>
      <c r="O1205" s="13" t="str" cm="1">
        <f t="array" ref="O120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205">
        <v>67</v>
      </c>
      <c r="Q1205" s="13" t="str" cm="1">
        <f t="array" ref="Q120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205">
        <v>87</v>
      </c>
      <c r="S1205" t="str" cm="1">
        <f t="array" ref="S120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205">
        <v>66</v>
      </c>
      <c r="U1205" t="str" cm="1">
        <f t="array" ref="U120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205">
        <v>68</v>
      </c>
      <c r="W1205" t="str" cm="1">
        <f t="array" ref="W120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205">
        <v>67</v>
      </c>
      <c r="Y1205" t="str" cm="1">
        <f t="array" ref="Y120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205">
        <f>SUM(Table1[[#This Row],[Math 
Score]],Table1[[#This Row],[History 
Score]],Table1[[#This Row],[Physics 
Score]],Table1[[#This Row],[Chemistry 
Score]],Table1[[#This Row],[Biology 
Score]],Table1[[#This Row],[English 
Score]],Table1[[#This Row],[Geography 
Score]])</f>
        <v>551</v>
      </c>
      <c r="AA1205" s="3">
        <f>AVERAGE(Table1[[#This Row],[Math 
Score]],Table1[[#This Row],[History 
Score]],Table1[[#This Row],[Physics 
Score]],Table1[[#This Row],[Chemistry 
Score]],Table1[[#This Row],[Biology 
Score]],Table1[[#This Row],[English 
Score]],Table1[[#This Row],[Geography 
Score]])</f>
        <v>78.714285714285708</v>
      </c>
      <c r="AB120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205">
        <f t="shared" si="18"/>
        <v>1317</v>
      </c>
      <c r="AD1205" t="str">
        <f>_xlfn.IFS(Table1[[#This Row],[Absence 
Days]]&lt;3,"Excellent",Table1[[#This Row],[Absence 
Days]]&lt;=6,"Good",Table1[[#This Row],[Absence 
Days]]&gt;6,"Poor")</f>
        <v>Good</v>
      </c>
    </row>
    <row r="1206" spans="1:30" x14ac:dyDescent="0.35">
      <c r="A1206">
        <v>1205</v>
      </c>
      <c r="B1206" s="2" t="s">
        <v>378</v>
      </c>
      <c r="C1206" t="s">
        <v>679</v>
      </c>
      <c r="D1206" t="str">
        <f>_xlfn.TEXTJOIN(" ",TRUE,Table1[[#This Row],[First 
Name]:[Last 
Name]])</f>
        <v>Ronald Lane</v>
      </c>
      <c r="E1206" t="s">
        <v>2316</v>
      </c>
      <c r="F1206" t="s">
        <v>3244</v>
      </c>
      <c r="G1206" t="str">
        <f ca="1">PROPER(Table1[[#This Row],[Part Time 
Job]])</f>
        <v>False</v>
      </c>
      <c r="H1206" s="3">
        <v>3</v>
      </c>
      <c r="I1206" t="str">
        <f ca="1">PROPER(Table1[[#This Row],[Extracurricular 
Activities]])</f>
        <v>False</v>
      </c>
      <c r="J1206">
        <v>27</v>
      </c>
      <c r="K1206" t="s">
        <v>3125</v>
      </c>
      <c r="L1206">
        <v>96</v>
      </c>
      <c r="M1206" s="12" t="str" cm="1">
        <f t="array" ref="M120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206">
        <v>70</v>
      </c>
      <c r="O1206" s="13" t="str" cm="1">
        <f t="array" ref="O120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206">
        <v>82</v>
      </c>
      <c r="Q1206" s="13" t="str" cm="1">
        <f t="array" ref="Q120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206">
        <v>71</v>
      </c>
      <c r="S1206" t="str" cm="1">
        <f t="array" ref="S120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206">
        <v>99</v>
      </c>
      <c r="U1206" t="str" cm="1">
        <f t="array" ref="U120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206">
        <v>90</v>
      </c>
      <c r="W1206" t="str" cm="1">
        <f t="array" ref="W120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206">
        <v>65</v>
      </c>
      <c r="Y1206" t="str" cm="1">
        <f t="array" ref="Y120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206">
        <f>SUM(Table1[[#This Row],[Math 
Score]],Table1[[#This Row],[History 
Score]],Table1[[#This Row],[Physics 
Score]],Table1[[#This Row],[Chemistry 
Score]],Table1[[#This Row],[Biology 
Score]],Table1[[#This Row],[English 
Score]],Table1[[#This Row],[Geography 
Score]])</f>
        <v>573</v>
      </c>
      <c r="AA1206" s="3">
        <f>AVERAGE(Table1[[#This Row],[Math 
Score]],Table1[[#This Row],[History 
Score]],Table1[[#This Row],[Physics 
Score]],Table1[[#This Row],[Chemistry 
Score]],Table1[[#This Row],[Biology 
Score]],Table1[[#This Row],[English 
Score]],Table1[[#This Row],[Geography 
Score]])</f>
        <v>81.857142857142861</v>
      </c>
      <c r="AB120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206">
        <f t="shared" si="18"/>
        <v>864</v>
      </c>
      <c r="AD1206" t="str">
        <f>_xlfn.IFS(Table1[[#This Row],[Absence 
Days]]&lt;3,"Excellent",Table1[[#This Row],[Absence 
Days]]&lt;=6,"Good",Table1[[#This Row],[Absence 
Days]]&gt;6,"Poor")</f>
        <v>Good</v>
      </c>
    </row>
    <row r="1207" spans="1:30" x14ac:dyDescent="0.35">
      <c r="A1207">
        <v>1206</v>
      </c>
      <c r="B1207" s="2" t="s">
        <v>84</v>
      </c>
      <c r="C1207" t="s">
        <v>454</v>
      </c>
      <c r="D1207" t="str">
        <f>_xlfn.TEXTJOIN(" ",TRUE,Table1[[#This Row],[First 
Name]:[Last 
Name]])</f>
        <v>Emma Andrews</v>
      </c>
      <c r="E1207" t="s">
        <v>2317</v>
      </c>
      <c r="F1207" t="s">
        <v>3245</v>
      </c>
      <c r="G1207" t="str">
        <f ca="1">PROPER(Table1[[#This Row],[Part Time 
Job]])</f>
        <v>False</v>
      </c>
      <c r="H1207" s="3">
        <v>2</v>
      </c>
      <c r="I1207" t="str">
        <f ca="1">PROPER(Table1[[#This Row],[Extracurricular 
Activities]])</f>
        <v>False</v>
      </c>
      <c r="J1207">
        <v>34</v>
      </c>
      <c r="K1207" t="s">
        <v>3127</v>
      </c>
      <c r="L1207">
        <v>89</v>
      </c>
      <c r="M1207" s="12" t="str" cm="1">
        <f t="array" ref="M120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207">
        <v>71</v>
      </c>
      <c r="O1207" s="13" t="str" cm="1">
        <f t="array" ref="O120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207">
        <v>75</v>
      </c>
      <c r="Q1207" s="13" t="str" cm="1">
        <f t="array" ref="Q120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207">
        <v>65</v>
      </c>
      <c r="S1207" t="str" cm="1">
        <f t="array" ref="S120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207">
        <v>74</v>
      </c>
      <c r="U1207" t="str" cm="1">
        <f t="array" ref="U120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207">
        <v>93</v>
      </c>
      <c r="W1207" t="str" cm="1">
        <f t="array" ref="W120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207">
        <v>90</v>
      </c>
      <c r="Y1207" t="str" cm="1">
        <f t="array" ref="Y120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207">
        <f>SUM(Table1[[#This Row],[Math 
Score]],Table1[[#This Row],[History 
Score]],Table1[[#This Row],[Physics 
Score]],Table1[[#This Row],[Chemistry 
Score]],Table1[[#This Row],[Biology 
Score]],Table1[[#This Row],[English 
Score]],Table1[[#This Row],[Geography 
Score]])</f>
        <v>557</v>
      </c>
      <c r="AA1207" s="3">
        <f>AVERAGE(Table1[[#This Row],[Math 
Score]],Table1[[#This Row],[History 
Score]],Table1[[#This Row],[Physics 
Score]],Table1[[#This Row],[Chemistry 
Score]],Table1[[#This Row],[Biology 
Score]],Table1[[#This Row],[English 
Score]],Table1[[#This Row],[Geography 
Score]])</f>
        <v>79.571428571428569</v>
      </c>
      <c r="AB120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207">
        <f t="shared" si="18"/>
        <v>1200</v>
      </c>
      <c r="AD1207" t="str">
        <f>_xlfn.IFS(Table1[[#This Row],[Absence 
Days]]&lt;3,"Excellent",Table1[[#This Row],[Absence 
Days]]&lt;=6,"Good",Table1[[#This Row],[Absence 
Days]]&gt;6,"Poor")</f>
        <v>Excellent</v>
      </c>
    </row>
    <row r="1208" spans="1:30" x14ac:dyDescent="0.35">
      <c r="A1208">
        <v>1207</v>
      </c>
      <c r="B1208" s="2" t="s">
        <v>114</v>
      </c>
      <c r="C1208" t="s">
        <v>821</v>
      </c>
      <c r="D1208" t="str">
        <f>_xlfn.TEXTJOIN(" ",TRUE,Table1[[#This Row],[First 
Name]:[Last 
Name]])</f>
        <v>Nancy Esparza</v>
      </c>
      <c r="E1208" t="s">
        <v>2318</v>
      </c>
      <c r="F1208" t="s">
        <v>3245</v>
      </c>
      <c r="G1208" t="str">
        <f ca="1">PROPER(Table1[[#This Row],[Part Time 
Job]])</f>
        <v>True</v>
      </c>
      <c r="H1208" s="3">
        <v>2</v>
      </c>
      <c r="I1208" t="str">
        <f ca="1">PROPER(Table1[[#This Row],[Extracurricular 
Activities]])</f>
        <v>False</v>
      </c>
      <c r="J1208">
        <v>17</v>
      </c>
      <c r="K1208" t="s">
        <v>3117</v>
      </c>
      <c r="L1208">
        <v>94</v>
      </c>
      <c r="M1208" s="12" t="str" cm="1">
        <f t="array" ref="M120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208">
        <v>90</v>
      </c>
      <c r="O1208" s="13" t="str" cm="1">
        <f t="array" ref="O120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208">
        <v>77</v>
      </c>
      <c r="Q1208" s="13" t="str" cm="1">
        <f t="array" ref="Q120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208">
        <v>65</v>
      </c>
      <c r="S1208" t="str" cm="1">
        <f t="array" ref="S120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208">
        <v>83</v>
      </c>
      <c r="U1208" t="str" cm="1">
        <f t="array" ref="U120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208">
        <v>79</v>
      </c>
      <c r="W1208" t="str" cm="1">
        <f t="array" ref="W120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208">
        <v>96</v>
      </c>
      <c r="Y1208" t="str" cm="1">
        <f t="array" ref="Y120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208">
        <f>SUM(Table1[[#This Row],[Math 
Score]],Table1[[#This Row],[History 
Score]],Table1[[#This Row],[Physics 
Score]],Table1[[#This Row],[Chemistry 
Score]],Table1[[#This Row],[Biology 
Score]],Table1[[#This Row],[English 
Score]],Table1[[#This Row],[Geography 
Score]])</f>
        <v>584</v>
      </c>
      <c r="AA1208" s="3">
        <f>AVERAGE(Table1[[#This Row],[Math 
Score]],Table1[[#This Row],[History 
Score]],Table1[[#This Row],[Physics 
Score]],Table1[[#This Row],[Chemistry 
Score]],Table1[[#This Row],[Biology 
Score]],Table1[[#This Row],[English 
Score]],Table1[[#This Row],[Geography 
Score]])</f>
        <v>83.428571428571431</v>
      </c>
      <c r="AB120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208">
        <f t="shared" si="18"/>
        <v>635</v>
      </c>
      <c r="AD1208" t="str">
        <f>_xlfn.IFS(Table1[[#This Row],[Absence 
Days]]&lt;3,"Excellent",Table1[[#This Row],[Absence 
Days]]&lt;=6,"Good",Table1[[#This Row],[Absence 
Days]]&gt;6,"Poor")</f>
        <v>Excellent</v>
      </c>
    </row>
    <row r="1209" spans="1:30" x14ac:dyDescent="0.35">
      <c r="A1209">
        <v>1208</v>
      </c>
      <c r="B1209" s="2" t="s">
        <v>22</v>
      </c>
      <c r="C1209" t="s">
        <v>964</v>
      </c>
      <c r="D1209" t="str">
        <f>_xlfn.TEXTJOIN(" ",TRUE,Table1[[#This Row],[First 
Name]:[Last 
Name]])</f>
        <v>Sean Erickson</v>
      </c>
      <c r="E1209" t="s">
        <v>2319</v>
      </c>
      <c r="F1209" t="s">
        <v>3244</v>
      </c>
      <c r="G1209" t="str">
        <f ca="1">PROPER(Table1[[#This Row],[Part Time 
Job]])</f>
        <v>False</v>
      </c>
      <c r="H1209" s="3">
        <v>1</v>
      </c>
      <c r="I1209" t="str">
        <f ca="1">PROPER(Table1[[#This Row],[Extracurricular 
Activities]])</f>
        <v>False</v>
      </c>
      <c r="J1209">
        <v>18</v>
      </c>
      <c r="K1209" t="s">
        <v>3116</v>
      </c>
      <c r="L1209">
        <v>62</v>
      </c>
      <c r="M1209" s="12" t="str" cm="1">
        <f t="array" ref="M1209">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209">
        <v>73</v>
      </c>
      <c r="O1209" s="13" t="str" cm="1">
        <f t="array" ref="O120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209">
        <v>95</v>
      </c>
      <c r="Q1209" s="13" t="str" cm="1">
        <f t="array" ref="Q120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209">
        <v>68</v>
      </c>
      <c r="S1209" t="str" cm="1">
        <f t="array" ref="S120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209">
        <v>61</v>
      </c>
      <c r="U1209" t="str" cm="1">
        <f t="array" ref="U120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209">
        <v>60</v>
      </c>
      <c r="W1209" t="str" cm="1">
        <f t="array" ref="W120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209">
        <v>68</v>
      </c>
      <c r="Y1209" t="str" cm="1">
        <f t="array" ref="Y120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209">
        <f>SUM(Table1[[#This Row],[Math 
Score]],Table1[[#This Row],[History 
Score]],Table1[[#This Row],[Physics 
Score]],Table1[[#This Row],[Chemistry 
Score]],Table1[[#This Row],[Biology 
Score]],Table1[[#This Row],[English 
Score]],Table1[[#This Row],[Geography 
Score]])</f>
        <v>487</v>
      </c>
      <c r="AA1209" s="3">
        <f>AVERAGE(Table1[[#This Row],[Math 
Score]],Table1[[#This Row],[History 
Score]],Table1[[#This Row],[Physics 
Score]],Table1[[#This Row],[Chemistry 
Score]],Table1[[#This Row],[Biology 
Score]],Table1[[#This Row],[English 
Score]],Table1[[#This Row],[Geography 
Score]])</f>
        <v>69.571428571428569</v>
      </c>
      <c r="AB120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209">
        <f t="shared" si="18"/>
        <v>1922</v>
      </c>
      <c r="AD1209" t="str">
        <f>_xlfn.IFS(Table1[[#This Row],[Absence 
Days]]&lt;3,"Excellent",Table1[[#This Row],[Absence 
Days]]&lt;=6,"Good",Table1[[#This Row],[Absence 
Days]]&gt;6,"Poor")</f>
        <v>Excellent</v>
      </c>
    </row>
    <row r="1210" spans="1:30" x14ac:dyDescent="0.35">
      <c r="A1210">
        <v>1209</v>
      </c>
      <c r="B1210" s="2" t="s">
        <v>178</v>
      </c>
      <c r="C1210" t="s">
        <v>492</v>
      </c>
      <c r="D1210" t="str">
        <f>_xlfn.TEXTJOIN(" ",TRUE,Table1[[#This Row],[First 
Name]:[Last 
Name]])</f>
        <v>Heather Davis</v>
      </c>
      <c r="E1210" t="s">
        <v>2320</v>
      </c>
      <c r="F1210" t="s">
        <v>3245</v>
      </c>
      <c r="G1210" t="str">
        <f ca="1">PROPER(Table1[[#This Row],[Part Time 
Job]])</f>
        <v>False</v>
      </c>
      <c r="H1210" s="3">
        <v>2</v>
      </c>
      <c r="I1210" t="str">
        <f ca="1">PROPER(Table1[[#This Row],[Extracurricular 
Activities]])</f>
        <v>True</v>
      </c>
      <c r="J1210">
        <v>9</v>
      </c>
      <c r="K1210" t="s">
        <v>3128</v>
      </c>
      <c r="L1210">
        <v>68</v>
      </c>
      <c r="M1210" s="12" t="str" cm="1">
        <f t="array" ref="M1210">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210">
        <v>94</v>
      </c>
      <c r="O1210" s="13" t="str" cm="1">
        <f t="array" ref="O121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210">
        <v>92</v>
      </c>
      <c r="Q1210" s="13" t="str" cm="1">
        <f t="array" ref="Q121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210">
        <v>77</v>
      </c>
      <c r="S1210" t="str" cm="1">
        <f t="array" ref="S121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210">
        <v>79</v>
      </c>
      <c r="U1210" t="str" cm="1">
        <f t="array" ref="U121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210">
        <v>88</v>
      </c>
      <c r="W1210" t="str" cm="1">
        <f t="array" ref="W121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210">
        <v>74</v>
      </c>
      <c r="Y1210" t="str" cm="1">
        <f t="array" ref="Y121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210">
        <f>SUM(Table1[[#This Row],[Math 
Score]],Table1[[#This Row],[History 
Score]],Table1[[#This Row],[Physics 
Score]],Table1[[#This Row],[Chemistry 
Score]],Table1[[#This Row],[Biology 
Score]],Table1[[#This Row],[English 
Score]],Table1[[#This Row],[Geography 
Score]])</f>
        <v>572</v>
      </c>
      <c r="AA1210" s="3">
        <f>AVERAGE(Table1[[#This Row],[Math 
Score]],Table1[[#This Row],[History 
Score]],Table1[[#This Row],[Physics 
Score]],Table1[[#This Row],[Chemistry 
Score]],Table1[[#This Row],[Biology 
Score]],Table1[[#This Row],[English 
Score]],Table1[[#This Row],[Geography 
Score]])</f>
        <v>81.714285714285708</v>
      </c>
      <c r="AB121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210">
        <f t="shared" si="18"/>
        <v>890</v>
      </c>
      <c r="AD1210" t="str">
        <f>_xlfn.IFS(Table1[[#This Row],[Absence 
Days]]&lt;3,"Excellent",Table1[[#This Row],[Absence 
Days]]&lt;=6,"Good",Table1[[#This Row],[Absence 
Days]]&gt;6,"Poor")</f>
        <v>Excellent</v>
      </c>
    </row>
    <row r="1211" spans="1:30" x14ac:dyDescent="0.35">
      <c r="A1211">
        <v>1210</v>
      </c>
      <c r="B1211" s="2" t="s">
        <v>44</v>
      </c>
      <c r="C1211" t="s">
        <v>960</v>
      </c>
      <c r="D1211" t="str">
        <f>_xlfn.TEXTJOIN(" ",TRUE,Table1[[#This Row],[First 
Name]:[Last 
Name]])</f>
        <v>Kimberly Bailey</v>
      </c>
      <c r="E1211" t="s">
        <v>2321</v>
      </c>
      <c r="F1211" t="s">
        <v>3245</v>
      </c>
      <c r="G1211" t="str">
        <f ca="1">PROPER(Table1[[#This Row],[Part Time 
Job]])</f>
        <v>False</v>
      </c>
      <c r="H1211" s="3">
        <v>2</v>
      </c>
      <c r="I1211" t="str">
        <f ca="1">PROPER(Table1[[#This Row],[Extracurricular 
Activities]])</f>
        <v>False</v>
      </c>
      <c r="J1211">
        <v>3</v>
      </c>
      <c r="K1211" t="s">
        <v>3128</v>
      </c>
      <c r="L1211">
        <v>58</v>
      </c>
      <c r="M1211" s="12" t="str" cm="1">
        <f t="array" ref="M1211">_xlfn.IFS(Table1[[#This Row],[Math 
Score]]&gt;=90,"A+",Table1[[#This Row],[Math 
Score]]&gt;=80,"A", Table1[[#This Row],[Math 
Score]]&gt;=75,"A-",Table1[[#This Row],[Math 
Score]]&gt;=70,"B+",Table1[[#This Row],[Math 
Score]]&gt;=65,"B",Table1[[#This Row],[Math 
Score]]&gt;=60,"B-",Table1[[#This Row],[Math 
Score]]&gt;=50,"C",Table1[[#This Row],[Math 
Score]]&gt;=40,"D",Table1[[#This Row],[Math 
Score]]&lt;40,"F")</f>
        <v>C</v>
      </c>
      <c r="N1211">
        <v>66</v>
      </c>
      <c r="O1211" s="13" t="str" cm="1">
        <f t="array" ref="O121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211">
        <v>99</v>
      </c>
      <c r="Q1211" s="13" t="str" cm="1">
        <f t="array" ref="Q121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211">
        <v>98</v>
      </c>
      <c r="S1211" t="str" cm="1">
        <f t="array" ref="S121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211">
        <v>69</v>
      </c>
      <c r="U1211" t="str" cm="1">
        <f t="array" ref="U121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211">
        <v>65</v>
      </c>
      <c r="W1211" t="str" cm="1">
        <f t="array" ref="W121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211">
        <v>78</v>
      </c>
      <c r="Y1211" t="str" cm="1">
        <f t="array" ref="Y121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211">
        <f>SUM(Table1[[#This Row],[Math 
Score]],Table1[[#This Row],[History 
Score]],Table1[[#This Row],[Physics 
Score]],Table1[[#This Row],[Chemistry 
Score]],Table1[[#This Row],[Biology 
Score]],Table1[[#This Row],[English 
Score]],Table1[[#This Row],[Geography 
Score]])</f>
        <v>533</v>
      </c>
      <c r="AA1211" s="3">
        <f>AVERAGE(Table1[[#This Row],[Math 
Score]],Table1[[#This Row],[History 
Score]],Table1[[#This Row],[Physics 
Score]],Table1[[#This Row],[Chemistry 
Score]],Table1[[#This Row],[Biology 
Score]],Table1[[#This Row],[English 
Score]],Table1[[#This Row],[Geography 
Score]])</f>
        <v>76.142857142857139</v>
      </c>
      <c r="AB121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211">
        <f t="shared" si="18"/>
        <v>1613</v>
      </c>
      <c r="AD1211" t="str">
        <f>_xlfn.IFS(Table1[[#This Row],[Absence 
Days]]&lt;3,"Excellent",Table1[[#This Row],[Absence 
Days]]&lt;=6,"Good",Table1[[#This Row],[Absence 
Days]]&gt;6,"Poor")</f>
        <v>Excellent</v>
      </c>
    </row>
    <row r="1212" spans="1:30" x14ac:dyDescent="0.35">
      <c r="A1212">
        <v>1211</v>
      </c>
      <c r="B1212" s="2" t="s">
        <v>176</v>
      </c>
      <c r="C1212" t="s">
        <v>516</v>
      </c>
      <c r="D1212" t="str">
        <f>_xlfn.TEXTJOIN(" ",TRUE,Table1[[#This Row],[First 
Name]:[Last 
Name]])</f>
        <v>Tracy Garcia</v>
      </c>
      <c r="E1212" t="s">
        <v>2322</v>
      </c>
      <c r="F1212" t="s">
        <v>3245</v>
      </c>
      <c r="G1212" t="str">
        <f ca="1">PROPER(Table1[[#This Row],[Part Time 
Job]])</f>
        <v>False</v>
      </c>
      <c r="H1212" s="3">
        <v>5</v>
      </c>
      <c r="I1212" t="str">
        <f ca="1">PROPER(Table1[[#This Row],[Extracurricular 
Activities]])</f>
        <v>False</v>
      </c>
      <c r="J1212">
        <v>28</v>
      </c>
      <c r="K1212" t="s">
        <v>3121</v>
      </c>
      <c r="L1212">
        <v>92</v>
      </c>
      <c r="M1212" s="12" t="str" cm="1">
        <f t="array" ref="M121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212">
        <v>77</v>
      </c>
      <c r="O1212" s="13" t="str" cm="1">
        <f t="array" ref="O121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212">
        <v>75</v>
      </c>
      <c r="Q1212" s="13" t="str" cm="1">
        <f t="array" ref="Q121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212">
        <v>84</v>
      </c>
      <c r="S1212" t="str" cm="1">
        <f t="array" ref="S121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212">
        <v>74</v>
      </c>
      <c r="U1212" t="str" cm="1">
        <f t="array" ref="U121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212">
        <v>82</v>
      </c>
      <c r="W1212" t="str" cm="1">
        <f t="array" ref="W121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212">
        <v>78</v>
      </c>
      <c r="Y1212" t="str" cm="1">
        <f t="array" ref="Y121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212">
        <f>SUM(Table1[[#This Row],[Math 
Score]],Table1[[#This Row],[History 
Score]],Table1[[#This Row],[Physics 
Score]],Table1[[#This Row],[Chemistry 
Score]],Table1[[#This Row],[Biology 
Score]],Table1[[#This Row],[English 
Score]],Table1[[#This Row],[Geography 
Score]])</f>
        <v>562</v>
      </c>
      <c r="AA1212" s="3">
        <f>AVERAGE(Table1[[#This Row],[Math 
Score]],Table1[[#This Row],[History 
Score]],Table1[[#This Row],[Physics 
Score]],Table1[[#This Row],[Chemistry 
Score]],Table1[[#This Row],[Biology 
Score]],Table1[[#This Row],[English 
Score]],Table1[[#This Row],[Geography 
Score]])</f>
        <v>80.285714285714292</v>
      </c>
      <c r="AB121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212">
        <f t="shared" si="18"/>
        <v>1099</v>
      </c>
      <c r="AD1212" t="str">
        <f>_xlfn.IFS(Table1[[#This Row],[Absence 
Days]]&lt;3,"Excellent",Table1[[#This Row],[Absence 
Days]]&lt;=6,"Good",Table1[[#This Row],[Absence 
Days]]&gt;6,"Poor")</f>
        <v>Good</v>
      </c>
    </row>
    <row r="1213" spans="1:30" x14ac:dyDescent="0.35">
      <c r="A1213">
        <v>1212</v>
      </c>
      <c r="B1213" s="2" t="s">
        <v>174</v>
      </c>
      <c r="C1213" t="s">
        <v>965</v>
      </c>
      <c r="D1213" t="str">
        <f>_xlfn.TEXTJOIN(" ",TRUE,Table1[[#This Row],[First 
Name]:[Last 
Name]])</f>
        <v>Brenda Rhodes</v>
      </c>
      <c r="E1213" t="s">
        <v>2323</v>
      </c>
      <c r="F1213" t="s">
        <v>3245</v>
      </c>
      <c r="G1213" t="str">
        <f ca="1">PROPER(Table1[[#This Row],[Part Time 
Job]])</f>
        <v>False</v>
      </c>
      <c r="H1213" s="3">
        <v>5</v>
      </c>
      <c r="I1213" t="str">
        <f ca="1">PROPER(Table1[[#This Row],[Extracurricular 
Activities]])</f>
        <v>False</v>
      </c>
      <c r="J1213">
        <v>28</v>
      </c>
      <c r="K1213" t="s">
        <v>3127</v>
      </c>
      <c r="L1213">
        <v>90</v>
      </c>
      <c r="M1213" s="12" t="str" cm="1">
        <f t="array" ref="M121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213">
        <v>78</v>
      </c>
      <c r="O1213" s="13" t="str" cm="1">
        <f t="array" ref="O121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213">
        <v>86</v>
      </c>
      <c r="Q1213" s="13" t="str" cm="1">
        <f t="array" ref="Q121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213">
        <v>83</v>
      </c>
      <c r="S1213" t="str" cm="1">
        <f t="array" ref="S121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213">
        <v>98</v>
      </c>
      <c r="U1213" t="str" cm="1">
        <f t="array" ref="U121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213">
        <v>71</v>
      </c>
      <c r="W1213" t="str" cm="1">
        <f t="array" ref="W121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213">
        <v>84</v>
      </c>
      <c r="Y1213" t="str" cm="1">
        <f t="array" ref="Y121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213">
        <f>SUM(Table1[[#This Row],[Math 
Score]],Table1[[#This Row],[History 
Score]],Table1[[#This Row],[Physics 
Score]],Table1[[#This Row],[Chemistry 
Score]],Table1[[#This Row],[Biology 
Score]],Table1[[#This Row],[English 
Score]],Table1[[#This Row],[Geography 
Score]])</f>
        <v>590</v>
      </c>
      <c r="AA1213" s="3">
        <f>AVERAGE(Table1[[#This Row],[Math 
Score]],Table1[[#This Row],[History 
Score]],Table1[[#This Row],[Physics 
Score]],Table1[[#This Row],[Chemistry 
Score]],Table1[[#This Row],[Biology 
Score]],Table1[[#This Row],[English 
Score]],Table1[[#This Row],[Geography 
Score]])</f>
        <v>84.285714285714292</v>
      </c>
      <c r="AB121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213">
        <f t="shared" si="18"/>
        <v>531</v>
      </c>
      <c r="AD1213" t="str">
        <f>_xlfn.IFS(Table1[[#This Row],[Absence 
Days]]&lt;3,"Excellent",Table1[[#This Row],[Absence 
Days]]&lt;=6,"Good",Table1[[#This Row],[Absence 
Days]]&gt;6,"Poor")</f>
        <v>Good</v>
      </c>
    </row>
    <row r="1214" spans="1:30" x14ac:dyDescent="0.35">
      <c r="A1214">
        <v>1213</v>
      </c>
      <c r="B1214" s="2" t="s">
        <v>165</v>
      </c>
      <c r="C1214" t="s">
        <v>847</v>
      </c>
      <c r="D1214" t="str">
        <f>_xlfn.TEXTJOIN(" ",TRUE,Table1[[#This Row],[First 
Name]:[Last 
Name]])</f>
        <v>Sarah Brooks</v>
      </c>
      <c r="E1214" t="s">
        <v>2324</v>
      </c>
      <c r="F1214" t="s">
        <v>3245</v>
      </c>
      <c r="G1214" t="str">
        <f ca="1">PROPER(Table1[[#This Row],[Part Time 
Job]])</f>
        <v>False</v>
      </c>
      <c r="H1214" s="3">
        <v>2</v>
      </c>
      <c r="I1214" t="str">
        <f ca="1">PROPER(Table1[[#This Row],[Extracurricular 
Activities]])</f>
        <v>False</v>
      </c>
      <c r="J1214">
        <v>26</v>
      </c>
      <c r="K1214" t="s">
        <v>3113</v>
      </c>
      <c r="L1214">
        <v>84</v>
      </c>
      <c r="M1214" s="12" t="str" cm="1">
        <f t="array" ref="M121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214">
        <v>67</v>
      </c>
      <c r="O1214" s="13" t="str" cm="1">
        <f t="array" ref="O121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214">
        <v>89</v>
      </c>
      <c r="Q1214" s="13" t="str" cm="1">
        <f t="array" ref="Q121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214">
        <v>96</v>
      </c>
      <c r="S1214" t="str" cm="1">
        <f t="array" ref="S121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214">
        <v>88</v>
      </c>
      <c r="U1214" t="str" cm="1">
        <f t="array" ref="U121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214">
        <v>60</v>
      </c>
      <c r="W1214" t="str" cm="1">
        <f t="array" ref="W121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214">
        <v>88</v>
      </c>
      <c r="Y1214" t="str" cm="1">
        <f t="array" ref="Y121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214">
        <f>SUM(Table1[[#This Row],[Math 
Score]],Table1[[#This Row],[History 
Score]],Table1[[#This Row],[Physics 
Score]],Table1[[#This Row],[Chemistry 
Score]],Table1[[#This Row],[Biology 
Score]],Table1[[#This Row],[English 
Score]],Table1[[#This Row],[Geography 
Score]])</f>
        <v>572</v>
      </c>
      <c r="AA1214" s="3">
        <f>AVERAGE(Table1[[#This Row],[Math 
Score]],Table1[[#This Row],[History 
Score]],Table1[[#This Row],[Physics 
Score]],Table1[[#This Row],[Chemistry 
Score]],Table1[[#This Row],[Biology 
Score]],Table1[[#This Row],[English 
Score]],Table1[[#This Row],[Geography 
Score]])</f>
        <v>81.714285714285708</v>
      </c>
      <c r="AB121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214">
        <f t="shared" si="18"/>
        <v>890</v>
      </c>
      <c r="AD1214" t="str">
        <f>_xlfn.IFS(Table1[[#This Row],[Absence 
Days]]&lt;3,"Excellent",Table1[[#This Row],[Absence 
Days]]&lt;=6,"Good",Table1[[#This Row],[Absence 
Days]]&gt;6,"Poor")</f>
        <v>Excellent</v>
      </c>
    </row>
    <row r="1215" spans="1:30" x14ac:dyDescent="0.35">
      <c r="A1215">
        <v>1214</v>
      </c>
      <c r="B1215" s="2" t="s">
        <v>50</v>
      </c>
      <c r="C1215" t="s">
        <v>966</v>
      </c>
      <c r="D1215" t="str">
        <f>_xlfn.TEXTJOIN(" ",TRUE,Table1[[#This Row],[First 
Name]:[Last 
Name]])</f>
        <v>Jennifer Beck</v>
      </c>
      <c r="E1215" t="s">
        <v>2325</v>
      </c>
      <c r="F1215" t="s">
        <v>3245</v>
      </c>
      <c r="G1215" t="str">
        <f ca="1">PROPER(Table1[[#This Row],[Part Time 
Job]])</f>
        <v>True</v>
      </c>
      <c r="H1215" s="3">
        <v>10</v>
      </c>
      <c r="I1215" t="str">
        <f ca="1">PROPER(Table1[[#This Row],[Extracurricular 
Activities]])</f>
        <v>True</v>
      </c>
      <c r="J1215">
        <v>4</v>
      </c>
      <c r="K1215" t="s">
        <v>3119</v>
      </c>
      <c r="L1215">
        <v>81</v>
      </c>
      <c r="M1215" s="12" t="str" cm="1">
        <f t="array" ref="M121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215">
        <v>85</v>
      </c>
      <c r="O1215" s="13" t="str" cm="1">
        <f t="array" ref="O121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215">
        <v>50</v>
      </c>
      <c r="Q1215" s="13" t="str" cm="1">
        <f t="array" ref="Q121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C</v>
      </c>
      <c r="R1215">
        <v>53</v>
      </c>
      <c r="S1215" t="str" cm="1">
        <f t="array" ref="S121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C</v>
      </c>
      <c r="T1215">
        <v>55</v>
      </c>
      <c r="U1215" t="str" cm="1">
        <f t="array" ref="U121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C</v>
      </c>
      <c r="V1215">
        <v>91</v>
      </c>
      <c r="W1215" t="str" cm="1">
        <f t="array" ref="W121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215">
        <v>78</v>
      </c>
      <c r="Y1215" t="str" cm="1">
        <f t="array" ref="Y121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215">
        <f>SUM(Table1[[#This Row],[Math 
Score]],Table1[[#This Row],[History 
Score]],Table1[[#This Row],[Physics 
Score]],Table1[[#This Row],[Chemistry 
Score]],Table1[[#This Row],[Biology 
Score]],Table1[[#This Row],[English 
Score]],Table1[[#This Row],[Geography 
Score]])</f>
        <v>493</v>
      </c>
      <c r="AA1215" s="3">
        <f>AVERAGE(Table1[[#This Row],[Math 
Score]],Table1[[#This Row],[History 
Score]],Table1[[#This Row],[Physics 
Score]],Table1[[#This Row],[Chemistry 
Score]],Table1[[#This Row],[Biology 
Score]],Table1[[#This Row],[English 
Score]],Table1[[#This Row],[Geography 
Score]])</f>
        <v>70.428571428571431</v>
      </c>
      <c r="AB121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215">
        <f t="shared" si="18"/>
        <v>1903</v>
      </c>
      <c r="AD1215" t="str">
        <f>_xlfn.IFS(Table1[[#This Row],[Absence 
Days]]&lt;3,"Excellent",Table1[[#This Row],[Absence 
Days]]&lt;=6,"Good",Table1[[#This Row],[Absence 
Days]]&gt;6,"Poor")</f>
        <v>Poor</v>
      </c>
    </row>
    <row r="1216" spans="1:30" x14ac:dyDescent="0.35">
      <c r="A1216">
        <v>1215</v>
      </c>
      <c r="B1216" s="2" t="s">
        <v>290</v>
      </c>
      <c r="C1216" t="s">
        <v>967</v>
      </c>
      <c r="D1216" t="str">
        <f>_xlfn.TEXTJOIN(" ",TRUE,Table1[[#This Row],[First 
Name]:[Last 
Name]])</f>
        <v>Allison Bond</v>
      </c>
      <c r="E1216" t="s">
        <v>2326</v>
      </c>
      <c r="F1216" t="s">
        <v>3245</v>
      </c>
      <c r="G1216" t="str">
        <f ca="1">PROPER(Table1[[#This Row],[Part Time 
Job]])</f>
        <v>False</v>
      </c>
      <c r="H1216" s="3">
        <v>3</v>
      </c>
      <c r="I1216" t="str">
        <f ca="1">PROPER(Table1[[#This Row],[Extracurricular 
Activities]])</f>
        <v>False</v>
      </c>
      <c r="J1216">
        <v>15</v>
      </c>
      <c r="K1216" t="s">
        <v>3118</v>
      </c>
      <c r="L1216">
        <v>87</v>
      </c>
      <c r="M1216" s="12" t="str" cm="1">
        <f t="array" ref="M121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216">
        <v>89</v>
      </c>
      <c r="O1216" s="13" t="str" cm="1">
        <f t="array" ref="O121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216">
        <v>94</v>
      </c>
      <c r="Q1216" s="13" t="str" cm="1">
        <f t="array" ref="Q121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216">
        <v>82</v>
      </c>
      <c r="S1216" t="str" cm="1">
        <f t="array" ref="S121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216">
        <v>81</v>
      </c>
      <c r="U1216" t="str" cm="1">
        <f t="array" ref="U121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216">
        <v>98</v>
      </c>
      <c r="W1216" t="str" cm="1">
        <f t="array" ref="W121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216">
        <v>88</v>
      </c>
      <c r="Y1216" t="str" cm="1">
        <f t="array" ref="Y121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216">
        <f>SUM(Table1[[#This Row],[Math 
Score]],Table1[[#This Row],[History 
Score]],Table1[[#This Row],[Physics 
Score]],Table1[[#This Row],[Chemistry 
Score]],Table1[[#This Row],[Biology 
Score]],Table1[[#This Row],[English 
Score]],Table1[[#This Row],[Geography 
Score]])</f>
        <v>619</v>
      </c>
      <c r="AA1216" s="3">
        <f>AVERAGE(Table1[[#This Row],[Math 
Score]],Table1[[#This Row],[History 
Score]],Table1[[#This Row],[Physics 
Score]],Table1[[#This Row],[Chemistry 
Score]],Table1[[#This Row],[Biology 
Score]],Table1[[#This Row],[English 
Score]],Table1[[#This Row],[Geography 
Score]])</f>
        <v>88.428571428571431</v>
      </c>
      <c r="AB121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216">
        <f t="shared" si="18"/>
        <v>221</v>
      </c>
      <c r="AD1216" t="str">
        <f>_xlfn.IFS(Table1[[#This Row],[Absence 
Days]]&lt;3,"Excellent",Table1[[#This Row],[Absence 
Days]]&lt;=6,"Good",Table1[[#This Row],[Absence 
Days]]&gt;6,"Poor")</f>
        <v>Good</v>
      </c>
    </row>
    <row r="1217" spans="1:30" x14ac:dyDescent="0.35">
      <c r="A1217">
        <v>1216</v>
      </c>
      <c r="B1217" s="2" t="s">
        <v>102</v>
      </c>
      <c r="C1217" t="s">
        <v>458</v>
      </c>
      <c r="D1217" t="str">
        <f>_xlfn.TEXTJOIN(" ",TRUE,Table1[[#This Row],[First 
Name]:[Last 
Name]])</f>
        <v>Jessica Smith</v>
      </c>
      <c r="E1217" t="s">
        <v>2327</v>
      </c>
      <c r="F1217" t="s">
        <v>3245</v>
      </c>
      <c r="G1217" t="str">
        <f ca="1">PROPER(Table1[[#This Row],[Part Time 
Job]])</f>
        <v>False</v>
      </c>
      <c r="H1217" s="3">
        <v>3</v>
      </c>
      <c r="I1217" t="str">
        <f ca="1">PROPER(Table1[[#This Row],[Extracurricular 
Activities]])</f>
        <v>False</v>
      </c>
      <c r="J1217">
        <v>33</v>
      </c>
      <c r="K1217" t="s">
        <v>3116</v>
      </c>
      <c r="L1217">
        <v>88</v>
      </c>
      <c r="M1217" s="12" t="str" cm="1">
        <f t="array" ref="M121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217">
        <v>75</v>
      </c>
      <c r="O1217" s="13" t="str" cm="1">
        <f t="array" ref="O121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217">
        <v>83</v>
      </c>
      <c r="Q1217" s="13" t="str" cm="1">
        <f t="array" ref="Q121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217">
        <v>74</v>
      </c>
      <c r="S1217" t="str" cm="1">
        <f t="array" ref="S121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217">
        <v>76</v>
      </c>
      <c r="U1217" t="str" cm="1">
        <f t="array" ref="U121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217">
        <v>72</v>
      </c>
      <c r="W1217" t="str" cm="1">
        <f t="array" ref="W121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217">
        <v>61</v>
      </c>
      <c r="Y1217" t="str" cm="1">
        <f t="array" ref="Y121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217">
        <f>SUM(Table1[[#This Row],[Math 
Score]],Table1[[#This Row],[History 
Score]],Table1[[#This Row],[Physics 
Score]],Table1[[#This Row],[Chemistry 
Score]],Table1[[#This Row],[Biology 
Score]],Table1[[#This Row],[English 
Score]],Table1[[#This Row],[Geography 
Score]])</f>
        <v>529</v>
      </c>
      <c r="AA1217" s="3">
        <f>AVERAGE(Table1[[#This Row],[Math 
Score]],Table1[[#This Row],[History 
Score]],Table1[[#This Row],[Physics 
Score]],Table1[[#This Row],[Chemistry 
Score]],Table1[[#This Row],[Biology 
Score]],Table1[[#This Row],[English 
Score]],Table1[[#This Row],[Geography 
Score]])</f>
        <v>75.571428571428569</v>
      </c>
      <c r="AB121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217">
        <f t="shared" si="18"/>
        <v>1664</v>
      </c>
      <c r="AD1217" t="str">
        <f>_xlfn.IFS(Table1[[#This Row],[Absence 
Days]]&lt;3,"Excellent",Table1[[#This Row],[Absence 
Days]]&lt;=6,"Good",Table1[[#This Row],[Absence 
Days]]&gt;6,"Poor")</f>
        <v>Good</v>
      </c>
    </row>
    <row r="1218" spans="1:30" x14ac:dyDescent="0.35">
      <c r="A1218">
        <v>1217</v>
      </c>
      <c r="B1218" s="2" t="s">
        <v>27</v>
      </c>
      <c r="C1218" t="s">
        <v>711</v>
      </c>
      <c r="D1218" t="str">
        <f>_xlfn.TEXTJOIN(" ",TRUE,Table1[[#This Row],[First 
Name]:[Last 
Name]])</f>
        <v>Carol Nguyen</v>
      </c>
      <c r="E1218" t="s">
        <v>2328</v>
      </c>
      <c r="F1218" t="s">
        <v>3245</v>
      </c>
      <c r="G1218" t="str">
        <f ca="1">PROPER(Table1[[#This Row],[Part Time 
Job]])</f>
        <v>False</v>
      </c>
      <c r="H1218" s="3">
        <v>3</v>
      </c>
      <c r="I1218" t="str">
        <f ca="1">PROPER(Table1[[#This Row],[Extracurricular 
Activities]])</f>
        <v>True</v>
      </c>
      <c r="J1218">
        <v>31</v>
      </c>
      <c r="K1218" t="s">
        <v>3122</v>
      </c>
      <c r="L1218">
        <v>76</v>
      </c>
      <c r="M1218" s="12" t="str" cm="1">
        <f t="array" ref="M121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218">
        <v>83</v>
      </c>
      <c r="O1218" s="13" t="str" cm="1">
        <f t="array" ref="O121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218">
        <v>100</v>
      </c>
      <c r="Q1218" s="13" t="str" cm="1">
        <f t="array" ref="Q121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218">
        <v>96</v>
      </c>
      <c r="S1218" t="str" cm="1">
        <f t="array" ref="S121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218">
        <v>65</v>
      </c>
      <c r="U1218" t="str" cm="1">
        <f t="array" ref="U121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218">
        <v>98</v>
      </c>
      <c r="W1218" t="str" cm="1">
        <f t="array" ref="W121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218">
        <v>97</v>
      </c>
      <c r="Y1218" t="str" cm="1">
        <f t="array" ref="Y121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218">
        <f>SUM(Table1[[#This Row],[Math 
Score]],Table1[[#This Row],[History 
Score]],Table1[[#This Row],[Physics 
Score]],Table1[[#This Row],[Chemistry 
Score]],Table1[[#This Row],[Biology 
Score]],Table1[[#This Row],[English 
Score]],Table1[[#This Row],[Geography 
Score]])</f>
        <v>615</v>
      </c>
      <c r="AA1218" s="3">
        <f>AVERAGE(Table1[[#This Row],[Math 
Score]],Table1[[#This Row],[History 
Score]],Table1[[#This Row],[Physics 
Score]],Table1[[#This Row],[Chemistry 
Score]],Table1[[#This Row],[Biology 
Score]],Table1[[#This Row],[English 
Score]],Table1[[#This Row],[Geography 
Score]])</f>
        <v>87.857142857142861</v>
      </c>
      <c r="AB121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218">
        <f t="shared" ref="AC1218:AC1281" si="19">RANK(AA1218,$AA$2:$AA$2001,0)</f>
        <v>251</v>
      </c>
      <c r="AD1218" t="str">
        <f>_xlfn.IFS(Table1[[#This Row],[Absence 
Days]]&lt;3,"Excellent",Table1[[#This Row],[Absence 
Days]]&lt;=6,"Good",Table1[[#This Row],[Absence 
Days]]&gt;6,"Poor")</f>
        <v>Good</v>
      </c>
    </row>
    <row r="1219" spans="1:30" x14ac:dyDescent="0.35">
      <c r="A1219">
        <v>1218</v>
      </c>
      <c r="B1219" s="2" t="s">
        <v>6</v>
      </c>
      <c r="C1219" t="s">
        <v>205</v>
      </c>
      <c r="D1219" t="str">
        <f>_xlfn.TEXTJOIN(" ",TRUE,Table1[[#This Row],[First 
Name]:[Last 
Name]])</f>
        <v>George Francis</v>
      </c>
      <c r="E1219" t="s">
        <v>2329</v>
      </c>
      <c r="F1219" t="s">
        <v>3244</v>
      </c>
      <c r="G1219" t="str">
        <f ca="1">PROPER(Table1[[#This Row],[Part Time 
Job]])</f>
        <v>False</v>
      </c>
      <c r="H1219" s="3">
        <v>5</v>
      </c>
      <c r="I1219" t="str">
        <f ca="1">PROPER(Table1[[#This Row],[Extracurricular 
Activities]])</f>
        <v>True</v>
      </c>
      <c r="J1219">
        <v>7</v>
      </c>
      <c r="K1219" t="s">
        <v>3114</v>
      </c>
      <c r="L1219">
        <v>60</v>
      </c>
      <c r="M1219" s="12" t="str" cm="1">
        <f t="array" ref="M1219">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219">
        <v>66</v>
      </c>
      <c r="O1219" s="13" t="str" cm="1">
        <f t="array" ref="O121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219">
        <v>65</v>
      </c>
      <c r="Q1219" s="13" t="str" cm="1">
        <f t="array" ref="Q121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219">
        <v>90</v>
      </c>
      <c r="S1219" t="str" cm="1">
        <f t="array" ref="S121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219">
        <v>61</v>
      </c>
      <c r="U1219" t="str" cm="1">
        <f t="array" ref="U121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219">
        <v>96</v>
      </c>
      <c r="W1219" t="str" cm="1">
        <f t="array" ref="W121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219">
        <v>74</v>
      </c>
      <c r="Y1219" t="str" cm="1">
        <f t="array" ref="Y121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219">
        <f>SUM(Table1[[#This Row],[Math 
Score]],Table1[[#This Row],[History 
Score]],Table1[[#This Row],[Physics 
Score]],Table1[[#This Row],[Chemistry 
Score]],Table1[[#This Row],[Biology 
Score]],Table1[[#This Row],[English 
Score]],Table1[[#This Row],[Geography 
Score]])</f>
        <v>512</v>
      </c>
      <c r="AA1219" s="3">
        <f>AVERAGE(Table1[[#This Row],[Math 
Score]],Table1[[#This Row],[History 
Score]],Table1[[#This Row],[Physics 
Score]],Table1[[#This Row],[Chemistry 
Score]],Table1[[#This Row],[Biology 
Score]],Table1[[#This Row],[English 
Score]],Table1[[#This Row],[Geography 
Score]])</f>
        <v>73.142857142857139</v>
      </c>
      <c r="AB121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219">
        <f t="shared" si="19"/>
        <v>1815</v>
      </c>
      <c r="AD1219" t="str">
        <f>_xlfn.IFS(Table1[[#This Row],[Absence 
Days]]&lt;3,"Excellent",Table1[[#This Row],[Absence 
Days]]&lt;=6,"Good",Table1[[#This Row],[Absence 
Days]]&gt;6,"Poor")</f>
        <v>Good</v>
      </c>
    </row>
    <row r="1220" spans="1:30" x14ac:dyDescent="0.35">
      <c r="A1220">
        <v>1219</v>
      </c>
      <c r="B1220" s="2" t="s">
        <v>54</v>
      </c>
      <c r="C1220" t="s">
        <v>547</v>
      </c>
      <c r="D1220" t="str">
        <f>_xlfn.TEXTJOIN(" ",TRUE,Table1[[#This Row],[First 
Name]:[Last 
Name]])</f>
        <v>Michelle Dixon</v>
      </c>
      <c r="E1220" t="s">
        <v>2330</v>
      </c>
      <c r="F1220" t="s">
        <v>3245</v>
      </c>
      <c r="G1220" t="str">
        <f ca="1">PROPER(Table1[[#This Row],[Part Time 
Job]])</f>
        <v>False</v>
      </c>
      <c r="H1220" s="3">
        <v>1</v>
      </c>
      <c r="I1220" t="str">
        <f ca="1">PROPER(Table1[[#This Row],[Extracurricular 
Activities]])</f>
        <v>False</v>
      </c>
      <c r="J1220">
        <v>26</v>
      </c>
      <c r="K1220" t="s">
        <v>3116</v>
      </c>
      <c r="L1220">
        <v>85</v>
      </c>
      <c r="M1220" s="12" t="str" cm="1">
        <f t="array" ref="M122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220">
        <v>64</v>
      </c>
      <c r="O1220" s="13" t="str" cm="1">
        <f t="array" ref="O122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220">
        <v>98</v>
      </c>
      <c r="Q1220" s="13" t="str" cm="1">
        <f t="array" ref="Q122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220">
        <v>68</v>
      </c>
      <c r="S1220" t="str" cm="1">
        <f t="array" ref="S122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220">
        <v>70</v>
      </c>
      <c r="U1220" t="str" cm="1">
        <f t="array" ref="U122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220">
        <v>63</v>
      </c>
      <c r="W1220" t="str" cm="1">
        <f t="array" ref="W122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220">
        <v>77</v>
      </c>
      <c r="Y1220" t="str" cm="1">
        <f t="array" ref="Y122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220">
        <f>SUM(Table1[[#This Row],[Math 
Score]],Table1[[#This Row],[History 
Score]],Table1[[#This Row],[Physics 
Score]],Table1[[#This Row],[Chemistry 
Score]],Table1[[#This Row],[Biology 
Score]],Table1[[#This Row],[English 
Score]],Table1[[#This Row],[Geography 
Score]])</f>
        <v>525</v>
      </c>
      <c r="AA1220" s="3">
        <f>AVERAGE(Table1[[#This Row],[Math 
Score]],Table1[[#This Row],[History 
Score]],Table1[[#This Row],[Physics 
Score]],Table1[[#This Row],[Chemistry 
Score]],Table1[[#This Row],[Biology 
Score]],Table1[[#This Row],[English 
Score]],Table1[[#This Row],[Geography 
Score]])</f>
        <v>75</v>
      </c>
      <c r="AB122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220">
        <f t="shared" si="19"/>
        <v>1704</v>
      </c>
      <c r="AD1220" t="str">
        <f>_xlfn.IFS(Table1[[#This Row],[Absence 
Days]]&lt;3,"Excellent",Table1[[#This Row],[Absence 
Days]]&lt;=6,"Good",Table1[[#This Row],[Absence 
Days]]&gt;6,"Poor")</f>
        <v>Excellent</v>
      </c>
    </row>
    <row r="1221" spans="1:30" x14ac:dyDescent="0.35">
      <c r="A1221">
        <v>1220</v>
      </c>
      <c r="B1221" s="2" t="s">
        <v>153</v>
      </c>
      <c r="C1221" t="s">
        <v>6</v>
      </c>
      <c r="D1221" t="str">
        <f>_xlfn.TEXTJOIN(" ",TRUE,Table1[[#This Row],[First 
Name]:[Last 
Name]])</f>
        <v>Linda George</v>
      </c>
      <c r="E1221" t="s">
        <v>2331</v>
      </c>
      <c r="F1221" t="s">
        <v>3245</v>
      </c>
      <c r="G1221" t="str">
        <f ca="1">PROPER(Table1[[#This Row],[Part Time 
Job]])</f>
        <v>False</v>
      </c>
      <c r="H1221" s="3">
        <v>9</v>
      </c>
      <c r="I1221" t="str">
        <f ca="1">PROPER(Table1[[#This Row],[Extracurricular 
Activities]])</f>
        <v>False</v>
      </c>
      <c r="J1221">
        <v>3</v>
      </c>
      <c r="K1221" t="s">
        <v>3119</v>
      </c>
      <c r="L1221">
        <v>73</v>
      </c>
      <c r="M1221" s="12" t="str" cm="1">
        <f t="array" ref="M1221">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221">
        <v>88</v>
      </c>
      <c r="O1221" s="13" t="str" cm="1">
        <f t="array" ref="O122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221">
        <v>57</v>
      </c>
      <c r="Q1221" s="13" t="str" cm="1">
        <f t="array" ref="Q122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C</v>
      </c>
      <c r="R1221">
        <v>93</v>
      </c>
      <c r="S1221" t="str" cm="1">
        <f t="array" ref="S122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221">
        <v>85</v>
      </c>
      <c r="U1221" t="str" cm="1">
        <f t="array" ref="U122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221">
        <v>85</v>
      </c>
      <c r="W1221" t="str" cm="1">
        <f t="array" ref="W122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221">
        <v>77</v>
      </c>
      <c r="Y1221" t="str" cm="1">
        <f t="array" ref="Y122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221">
        <f>SUM(Table1[[#This Row],[Math 
Score]],Table1[[#This Row],[History 
Score]],Table1[[#This Row],[Physics 
Score]],Table1[[#This Row],[Chemistry 
Score]],Table1[[#This Row],[Biology 
Score]],Table1[[#This Row],[English 
Score]],Table1[[#This Row],[Geography 
Score]])</f>
        <v>558</v>
      </c>
      <c r="AA1221" s="3">
        <f>AVERAGE(Table1[[#This Row],[Math 
Score]],Table1[[#This Row],[History 
Score]],Table1[[#This Row],[Physics 
Score]],Table1[[#This Row],[Chemistry 
Score]],Table1[[#This Row],[Biology 
Score]],Table1[[#This Row],[English 
Score]],Table1[[#This Row],[Geography 
Score]])</f>
        <v>79.714285714285708</v>
      </c>
      <c r="AB122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221">
        <f t="shared" si="19"/>
        <v>1178</v>
      </c>
      <c r="AD1221" t="str">
        <f>_xlfn.IFS(Table1[[#This Row],[Absence 
Days]]&lt;3,"Excellent",Table1[[#This Row],[Absence 
Days]]&lt;=6,"Good",Table1[[#This Row],[Absence 
Days]]&gt;6,"Poor")</f>
        <v>Poor</v>
      </c>
    </row>
    <row r="1222" spans="1:30" x14ac:dyDescent="0.35">
      <c r="A1222">
        <v>1221</v>
      </c>
      <c r="B1222" s="2" t="s">
        <v>300</v>
      </c>
      <c r="C1222" t="s">
        <v>263</v>
      </c>
      <c r="D1222" t="str">
        <f>_xlfn.TEXTJOIN(" ",TRUE,Table1[[#This Row],[First 
Name]:[Last 
Name]])</f>
        <v>Larry Bruce</v>
      </c>
      <c r="E1222" t="s">
        <v>2332</v>
      </c>
      <c r="F1222" t="s">
        <v>3244</v>
      </c>
      <c r="G1222" t="str">
        <f ca="1">PROPER(Table1[[#This Row],[Part Time 
Job]])</f>
        <v>False</v>
      </c>
      <c r="H1222" s="3">
        <v>5</v>
      </c>
      <c r="I1222" t="str">
        <f ca="1">PROPER(Table1[[#This Row],[Extracurricular 
Activities]])</f>
        <v>False</v>
      </c>
      <c r="J1222">
        <v>31</v>
      </c>
      <c r="K1222" t="s">
        <v>3112</v>
      </c>
      <c r="L1222">
        <v>99</v>
      </c>
      <c r="M1222" s="12" t="str" cm="1">
        <f t="array" ref="M122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222">
        <v>81</v>
      </c>
      <c r="O1222" s="13" t="str" cm="1">
        <f t="array" ref="O122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222">
        <v>80</v>
      </c>
      <c r="Q1222" s="13" t="str" cm="1">
        <f t="array" ref="Q122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222">
        <v>89</v>
      </c>
      <c r="S1222" t="str" cm="1">
        <f t="array" ref="S122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222">
        <v>75</v>
      </c>
      <c r="U1222" t="str" cm="1">
        <f t="array" ref="U122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222">
        <v>83</v>
      </c>
      <c r="W1222" t="str" cm="1">
        <f t="array" ref="W122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222">
        <v>93</v>
      </c>
      <c r="Y1222" t="str" cm="1">
        <f t="array" ref="Y122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222">
        <f>SUM(Table1[[#This Row],[Math 
Score]],Table1[[#This Row],[History 
Score]],Table1[[#This Row],[Physics 
Score]],Table1[[#This Row],[Chemistry 
Score]],Table1[[#This Row],[Biology 
Score]],Table1[[#This Row],[English 
Score]],Table1[[#This Row],[Geography 
Score]])</f>
        <v>600</v>
      </c>
      <c r="AA1222" s="3">
        <f>AVERAGE(Table1[[#This Row],[Math 
Score]],Table1[[#This Row],[History 
Score]],Table1[[#This Row],[Physics 
Score]],Table1[[#This Row],[Chemistry 
Score]],Table1[[#This Row],[Biology 
Score]],Table1[[#This Row],[English 
Score]],Table1[[#This Row],[Geography 
Score]])</f>
        <v>85.714285714285708</v>
      </c>
      <c r="AB122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222">
        <f t="shared" si="19"/>
        <v>406</v>
      </c>
      <c r="AD1222" t="str">
        <f>_xlfn.IFS(Table1[[#This Row],[Absence 
Days]]&lt;3,"Excellent",Table1[[#This Row],[Absence 
Days]]&lt;=6,"Good",Table1[[#This Row],[Absence 
Days]]&gt;6,"Poor")</f>
        <v>Good</v>
      </c>
    </row>
    <row r="1223" spans="1:30" x14ac:dyDescent="0.35">
      <c r="A1223">
        <v>1222</v>
      </c>
      <c r="B1223" s="2" t="s">
        <v>70</v>
      </c>
      <c r="C1223" t="s">
        <v>594</v>
      </c>
      <c r="D1223" t="str">
        <f>_xlfn.TEXTJOIN(" ",TRUE,Table1[[#This Row],[First 
Name]:[Last 
Name]])</f>
        <v>Charles Myers</v>
      </c>
      <c r="E1223" t="s">
        <v>2333</v>
      </c>
      <c r="F1223" t="s">
        <v>3244</v>
      </c>
      <c r="G1223" t="str">
        <f ca="1">PROPER(Table1[[#This Row],[Part Time 
Job]])</f>
        <v>False</v>
      </c>
      <c r="H1223" s="3">
        <v>4</v>
      </c>
      <c r="I1223" t="str">
        <f ca="1">PROPER(Table1[[#This Row],[Extracurricular 
Activities]])</f>
        <v>False</v>
      </c>
      <c r="J1223">
        <v>1</v>
      </c>
      <c r="K1223" t="s">
        <v>3119</v>
      </c>
      <c r="L1223">
        <v>95</v>
      </c>
      <c r="M1223" s="12" t="str" cm="1">
        <f t="array" ref="M122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223">
        <v>57</v>
      </c>
      <c r="O1223" s="13" t="str" cm="1">
        <f t="array" ref="O122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C</v>
      </c>
      <c r="P1223">
        <v>77</v>
      </c>
      <c r="Q1223" s="13" t="str" cm="1">
        <f t="array" ref="Q122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223">
        <v>81</v>
      </c>
      <c r="S1223" t="str" cm="1">
        <f t="array" ref="S122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223">
        <v>83</v>
      </c>
      <c r="U1223" t="str" cm="1">
        <f t="array" ref="U122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223">
        <v>57</v>
      </c>
      <c r="W1223" t="str" cm="1">
        <f t="array" ref="W122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C</v>
      </c>
      <c r="X1223">
        <v>70</v>
      </c>
      <c r="Y1223" t="str" cm="1">
        <f t="array" ref="Y122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223">
        <f>SUM(Table1[[#This Row],[Math 
Score]],Table1[[#This Row],[History 
Score]],Table1[[#This Row],[Physics 
Score]],Table1[[#This Row],[Chemistry 
Score]],Table1[[#This Row],[Biology 
Score]],Table1[[#This Row],[English 
Score]],Table1[[#This Row],[Geography 
Score]])</f>
        <v>520</v>
      </c>
      <c r="AA1223" s="3">
        <f>AVERAGE(Table1[[#This Row],[Math 
Score]],Table1[[#This Row],[History 
Score]],Table1[[#This Row],[Physics 
Score]],Table1[[#This Row],[Chemistry 
Score]],Table1[[#This Row],[Biology 
Score]],Table1[[#This Row],[English 
Score]],Table1[[#This Row],[Geography 
Score]])</f>
        <v>74.285714285714292</v>
      </c>
      <c r="AB122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223">
        <f t="shared" si="19"/>
        <v>1753</v>
      </c>
      <c r="AD1223" t="str">
        <f>_xlfn.IFS(Table1[[#This Row],[Absence 
Days]]&lt;3,"Excellent",Table1[[#This Row],[Absence 
Days]]&lt;=6,"Good",Table1[[#This Row],[Absence 
Days]]&gt;6,"Poor")</f>
        <v>Good</v>
      </c>
    </row>
    <row r="1224" spans="1:30" x14ac:dyDescent="0.35">
      <c r="A1224">
        <v>1223</v>
      </c>
      <c r="B1224" s="2" t="s">
        <v>110</v>
      </c>
      <c r="C1224" t="s">
        <v>558</v>
      </c>
      <c r="D1224" t="str">
        <f>_xlfn.TEXTJOIN(" ",TRUE,Table1[[#This Row],[First 
Name]:[Last 
Name]])</f>
        <v>Matthew Boyd</v>
      </c>
      <c r="E1224" t="s">
        <v>2334</v>
      </c>
      <c r="F1224" t="s">
        <v>3244</v>
      </c>
      <c r="G1224" t="str">
        <f ca="1">PROPER(Table1[[#This Row],[Part Time 
Job]])</f>
        <v>False</v>
      </c>
      <c r="H1224" s="3">
        <v>4</v>
      </c>
      <c r="I1224" t="str">
        <f ca="1">PROPER(Table1[[#This Row],[Extracurricular 
Activities]])</f>
        <v>True</v>
      </c>
      <c r="J1224">
        <v>30</v>
      </c>
      <c r="K1224" t="s">
        <v>3123</v>
      </c>
      <c r="L1224">
        <v>92</v>
      </c>
      <c r="M1224" s="12" t="str" cm="1">
        <f t="array" ref="M122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224">
        <v>90</v>
      </c>
      <c r="O1224" s="13" t="str" cm="1">
        <f t="array" ref="O122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224">
        <v>92</v>
      </c>
      <c r="Q1224" s="13" t="str" cm="1">
        <f t="array" ref="Q122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224">
        <v>78</v>
      </c>
      <c r="S1224" t="str" cm="1">
        <f t="array" ref="S122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224">
        <v>59</v>
      </c>
      <c r="U1224" t="str" cm="1">
        <f t="array" ref="U122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C</v>
      </c>
      <c r="V1224">
        <v>68</v>
      </c>
      <c r="W1224" t="str" cm="1">
        <f t="array" ref="W122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224">
        <v>96</v>
      </c>
      <c r="Y1224" t="str" cm="1">
        <f t="array" ref="Y122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224">
        <f>SUM(Table1[[#This Row],[Math 
Score]],Table1[[#This Row],[History 
Score]],Table1[[#This Row],[Physics 
Score]],Table1[[#This Row],[Chemistry 
Score]],Table1[[#This Row],[Biology 
Score]],Table1[[#This Row],[English 
Score]],Table1[[#This Row],[Geography 
Score]])</f>
        <v>575</v>
      </c>
      <c r="AA1224" s="3">
        <f>AVERAGE(Table1[[#This Row],[Math 
Score]],Table1[[#This Row],[History 
Score]],Table1[[#This Row],[Physics 
Score]],Table1[[#This Row],[Chemistry 
Score]],Table1[[#This Row],[Biology 
Score]],Table1[[#This Row],[English 
Score]],Table1[[#This Row],[Geography 
Score]])</f>
        <v>82.142857142857139</v>
      </c>
      <c r="AB122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224">
        <f t="shared" si="19"/>
        <v>807</v>
      </c>
      <c r="AD1224" t="str">
        <f>_xlfn.IFS(Table1[[#This Row],[Absence 
Days]]&lt;3,"Excellent",Table1[[#This Row],[Absence 
Days]]&lt;=6,"Good",Table1[[#This Row],[Absence 
Days]]&gt;6,"Poor")</f>
        <v>Good</v>
      </c>
    </row>
    <row r="1225" spans="1:30" x14ac:dyDescent="0.35">
      <c r="A1225">
        <v>1224</v>
      </c>
      <c r="B1225" s="2" t="s">
        <v>378</v>
      </c>
      <c r="C1225" t="s">
        <v>968</v>
      </c>
      <c r="D1225" t="str">
        <f>_xlfn.TEXTJOIN(" ",TRUE,Table1[[#This Row],[First 
Name]:[Last 
Name]])</f>
        <v>Ronald Brewer</v>
      </c>
      <c r="E1225" t="s">
        <v>2335</v>
      </c>
      <c r="F1225" t="s">
        <v>3244</v>
      </c>
      <c r="G1225" t="str">
        <f ca="1">PROPER(Table1[[#This Row],[Part Time 
Job]])</f>
        <v>False</v>
      </c>
      <c r="H1225" s="3">
        <v>2</v>
      </c>
      <c r="I1225" t="str">
        <f ca="1">PROPER(Table1[[#This Row],[Extracurricular 
Activities]])</f>
        <v>True</v>
      </c>
      <c r="J1225">
        <v>28</v>
      </c>
      <c r="K1225" t="s">
        <v>3112</v>
      </c>
      <c r="L1225">
        <v>100</v>
      </c>
      <c r="M1225" s="12" t="str" cm="1">
        <f t="array" ref="M122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225">
        <v>94</v>
      </c>
      <c r="O1225" s="13" t="str" cm="1">
        <f t="array" ref="O122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225">
        <v>76</v>
      </c>
      <c r="Q1225" s="13" t="str" cm="1">
        <f t="array" ref="Q122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225">
        <v>60</v>
      </c>
      <c r="S1225" t="str" cm="1">
        <f t="array" ref="S122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225">
        <v>95</v>
      </c>
      <c r="U1225" t="str" cm="1">
        <f t="array" ref="U122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225">
        <v>90</v>
      </c>
      <c r="W1225" t="str" cm="1">
        <f t="array" ref="W122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225">
        <v>66</v>
      </c>
      <c r="Y1225" t="str" cm="1">
        <f t="array" ref="Y122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225">
        <f>SUM(Table1[[#This Row],[Math 
Score]],Table1[[#This Row],[History 
Score]],Table1[[#This Row],[Physics 
Score]],Table1[[#This Row],[Chemistry 
Score]],Table1[[#This Row],[Biology 
Score]],Table1[[#This Row],[English 
Score]],Table1[[#This Row],[Geography 
Score]])</f>
        <v>581</v>
      </c>
      <c r="AA1225" s="3">
        <f>AVERAGE(Table1[[#This Row],[Math 
Score]],Table1[[#This Row],[History 
Score]],Table1[[#This Row],[Physics 
Score]],Table1[[#This Row],[Chemistry 
Score]],Table1[[#This Row],[Biology 
Score]],Table1[[#This Row],[English 
Score]],Table1[[#This Row],[Geography 
Score]])</f>
        <v>83</v>
      </c>
      <c r="AB122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225">
        <f t="shared" si="19"/>
        <v>688</v>
      </c>
      <c r="AD1225" t="str">
        <f>_xlfn.IFS(Table1[[#This Row],[Absence 
Days]]&lt;3,"Excellent",Table1[[#This Row],[Absence 
Days]]&lt;=6,"Good",Table1[[#This Row],[Absence 
Days]]&gt;6,"Poor")</f>
        <v>Excellent</v>
      </c>
    </row>
    <row r="1226" spans="1:30" x14ac:dyDescent="0.35">
      <c r="A1226">
        <v>1225</v>
      </c>
      <c r="B1226" s="2" t="s">
        <v>44</v>
      </c>
      <c r="C1226" t="s">
        <v>823</v>
      </c>
      <c r="D1226" t="str">
        <f>_xlfn.TEXTJOIN(" ",TRUE,Table1[[#This Row],[First 
Name]:[Last 
Name]])</f>
        <v>Kimberly Mcgee</v>
      </c>
      <c r="E1226" t="s">
        <v>2336</v>
      </c>
      <c r="F1226" t="s">
        <v>3245</v>
      </c>
      <c r="G1226" t="str">
        <f ca="1">PROPER(Table1[[#This Row],[Part Time 
Job]])</f>
        <v>True</v>
      </c>
      <c r="H1226" s="3">
        <v>3</v>
      </c>
      <c r="I1226" t="str">
        <f ca="1">PROPER(Table1[[#This Row],[Extracurricular 
Activities]])</f>
        <v>False</v>
      </c>
      <c r="J1226">
        <v>24</v>
      </c>
      <c r="K1226" t="s">
        <v>3113</v>
      </c>
      <c r="L1226">
        <v>89</v>
      </c>
      <c r="M1226" s="12" t="str" cm="1">
        <f t="array" ref="M122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226">
        <v>67</v>
      </c>
      <c r="O1226" s="13" t="str" cm="1">
        <f t="array" ref="O122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226">
        <v>98</v>
      </c>
      <c r="Q1226" s="13" t="str" cm="1">
        <f t="array" ref="Q122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226">
        <v>94</v>
      </c>
      <c r="S1226" t="str" cm="1">
        <f t="array" ref="S122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226">
        <v>89</v>
      </c>
      <c r="U1226" t="str" cm="1">
        <f t="array" ref="U122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226">
        <v>60</v>
      </c>
      <c r="W1226" t="str" cm="1">
        <f t="array" ref="W122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226">
        <v>95</v>
      </c>
      <c r="Y1226" t="str" cm="1">
        <f t="array" ref="Y122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226">
        <f>SUM(Table1[[#This Row],[Math 
Score]],Table1[[#This Row],[History 
Score]],Table1[[#This Row],[Physics 
Score]],Table1[[#This Row],[Chemistry 
Score]],Table1[[#This Row],[Biology 
Score]],Table1[[#This Row],[English 
Score]],Table1[[#This Row],[Geography 
Score]])</f>
        <v>592</v>
      </c>
      <c r="AA1226" s="3">
        <f>AVERAGE(Table1[[#This Row],[Math 
Score]],Table1[[#This Row],[History 
Score]],Table1[[#This Row],[Physics 
Score]],Table1[[#This Row],[Chemistry 
Score]],Table1[[#This Row],[Biology 
Score]],Table1[[#This Row],[English 
Score]],Table1[[#This Row],[Geography 
Score]])</f>
        <v>84.571428571428569</v>
      </c>
      <c r="AB122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226">
        <f t="shared" si="19"/>
        <v>505</v>
      </c>
      <c r="AD1226" t="str">
        <f>_xlfn.IFS(Table1[[#This Row],[Absence 
Days]]&lt;3,"Excellent",Table1[[#This Row],[Absence 
Days]]&lt;=6,"Good",Table1[[#This Row],[Absence 
Days]]&gt;6,"Poor")</f>
        <v>Good</v>
      </c>
    </row>
    <row r="1227" spans="1:30" x14ac:dyDescent="0.35">
      <c r="A1227">
        <v>1226</v>
      </c>
      <c r="B1227" s="2" t="s">
        <v>63</v>
      </c>
      <c r="C1227" t="s">
        <v>673</v>
      </c>
      <c r="D1227" t="str">
        <f>_xlfn.TEXTJOIN(" ",TRUE,Table1[[#This Row],[First 
Name]:[Last 
Name]])</f>
        <v>Jill Anderson</v>
      </c>
      <c r="E1227" t="s">
        <v>2337</v>
      </c>
      <c r="F1227" t="s">
        <v>3245</v>
      </c>
      <c r="G1227" t="str">
        <f ca="1">PROPER(Table1[[#This Row],[Part Time 
Job]])</f>
        <v>False</v>
      </c>
      <c r="H1227" s="3">
        <v>1</v>
      </c>
      <c r="I1227" t="str">
        <f ca="1">PROPER(Table1[[#This Row],[Extracurricular 
Activities]])</f>
        <v>True</v>
      </c>
      <c r="J1227">
        <v>28</v>
      </c>
      <c r="K1227" t="s">
        <v>3121</v>
      </c>
      <c r="L1227">
        <v>94</v>
      </c>
      <c r="M1227" s="12" t="str" cm="1">
        <f t="array" ref="M122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227">
        <v>66</v>
      </c>
      <c r="O1227" s="13" t="str" cm="1">
        <f t="array" ref="O122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227">
        <v>68</v>
      </c>
      <c r="Q1227" s="13" t="str" cm="1">
        <f t="array" ref="Q122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227">
        <v>94</v>
      </c>
      <c r="S1227" t="str" cm="1">
        <f t="array" ref="S122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227">
        <v>62</v>
      </c>
      <c r="U1227" t="str" cm="1">
        <f t="array" ref="U122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227">
        <v>76</v>
      </c>
      <c r="W1227" t="str" cm="1">
        <f t="array" ref="W122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227">
        <v>77</v>
      </c>
      <c r="Y1227" t="str" cm="1">
        <f t="array" ref="Y122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227">
        <f>SUM(Table1[[#This Row],[Math 
Score]],Table1[[#This Row],[History 
Score]],Table1[[#This Row],[Physics 
Score]],Table1[[#This Row],[Chemistry 
Score]],Table1[[#This Row],[Biology 
Score]],Table1[[#This Row],[English 
Score]],Table1[[#This Row],[Geography 
Score]])</f>
        <v>537</v>
      </c>
      <c r="AA1227" s="3">
        <f>AVERAGE(Table1[[#This Row],[Math 
Score]],Table1[[#This Row],[History 
Score]],Table1[[#This Row],[Physics 
Score]],Table1[[#This Row],[Chemistry 
Score]],Table1[[#This Row],[Biology 
Score]],Table1[[#This Row],[English 
Score]],Table1[[#This Row],[Geography 
Score]])</f>
        <v>76.714285714285708</v>
      </c>
      <c r="AB122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227">
        <f t="shared" si="19"/>
        <v>1553</v>
      </c>
      <c r="AD1227" t="str">
        <f>_xlfn.IFS(Table1[[#This Row],[Absence 
Days]]&lt;3,"Excellent",Table1[[#This Row],[Absence 
Days]]&lt;=6,"Good",Table1[[#This Row],[Absence 
Days]]&gt;6,"Poor")</f>
        <v>Excellent</v>
      </c>
    </row>
    <row r="1228" spans="1:30" x14ac:dyDescent="0.35">
      <c r="A1228">
        <v>1227</v>
      </c>
      <c r="B1228" s="2" t="s">
        <v>40</v>
      </c>
      <c r="C1228" t="s">
        <v>969</v>
      </c>
      <c r="D1228" t="str">
        <f>_xlfn.TEXTJOIN(" ",TRUE,Table1[[#This Row],[First 
Name]:[Last 
Name]])</f>
        <v>David Coffey</v>
      </c>
      <c r="E1228" t="s">
        <v>2338</v>
      </c>
      <c r="F1228" t="s">
        <v>3244</v>
      </c>
      <c r="G1228" t="str">
        <f ca="1">PROPER(Table1[[#This Row],[Part Time 
Job]])</f>
        <v>False</v>
      </c>
      <c r="H1228" s="3">
        <v>6</v>
      </c>
      <c r="I1228" t="str">
        <f ca="1">PROPER(Table1[[#This Row],[Extracurricular 
Activities]])</f>
        <v>False</v>
      </c>
      <c r="J1228">
        <v>6</v>
      </c>
      <c r="K1228" t="s">
        <v>3128</v>
      </c>
      <c r="L1228">
        <v>89</v>
      </c>
      <c r="M1228" s="12" t="str" cm="1">
        <f t="array" ref="M122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228">
        <v>64</v>
      </c>
      <c r="O1228" s="13" t="str" cm="1">
        <f t="array" ref="O122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228">
        <v>78</v>
      </c>
      <c r="Q1228" s="13" t="str" cm="1">
        <f t="array" ref="Q122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228">
        <v>85</v>
      </c>
      <c r="S1228" t="str" cm="1">
        <f t="array" ref="S122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228">
        <v>68</v>
      </c>
      <c r="U1228" t="str" cm="1">
        <f t="array" ref="U122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228">
        <v>84</v>
      </c>
      <c r="W1228" t="str" cm="1">
        <f t="array" ref="W122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228">
        <v>99</v>
      </c>
      <c r="Y1228" t="str" cm="1">
        <f t="array" ref="Y122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228">
        <f>SUM(Table1[[#This Row],[Math 
Score]],Table1[[#This Row],[History 
Score]],Table1[[#This Row],[Physics 
Score]],Table1[[#This Row],[Chemistry 
Score]],Table1[[#This Row],[Biology 
Score]],Table1[[#This Row],[English 
Score]],Table1[[#This Row],[Geography 
Score]])</f>
        <v>567</v>
      </c>
      <c r="AA1228" s="3">
        <f>AVERAGE(Table1[[#This Row],[Math 
Score]],Table1[[#This Row],[History 
Score]],Table1[[#This Row],[Physics 
Score]],Table1[[#This Row],[Chemistry 
Score]],Table1[[#This Row],[Biology 
Score]],Table1[[#This Row],[English 
Score]],Table1[[#This Row],[Geography 
Score]])</f>
        <v>81</v>
      </c>
      <c r="AB122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228">
        <f t="shared" si="19"/>
        <v>994</v>
      </c>
      <c r="AD1228" t="str">
        <f>_xlfn.IFS(Table1[[#This Row],[Absence 
Days]]&lt;3,"Excellent",Table1[[#This Row],[Absence 
Days]]&lt;=6,"Good",Table1[[#This Row],[Absence 
Days]]&gt;6,"Poor")</f>
        <v>Good</v>
      </c>
    </row>
    <row r="1229" spans="1:30" x14ac:dyDescent="0.35">
      <c r="A1229">
        <v>1228</v>
      </c>
      <c r="B1229" s="2" t="s">
        <v>55</v>
      </c>
      <c r="C1229" t="s">
        <v>628</v>
      </c>
      <c r="D1229" t="str">
        <f>_xlfn.TEXTJOIN(" ",TRUE,Table1[[#This Row],[First 
Name]:[Last 
Name]])</f>
        <v>Brittany Henderson</v>
      </c>
      <c r="E1229" t="s">
        <v>2339</v>
      </c>
      <c r="F1229" t="s">
        <v>3245</v>
      </c>
      <c r="G1229" t="str">
        <f ca="1">PROPER(Table1[[#This Row],[Part Time 
Job]])</f>
        <v>True</v>
      </c>
      <c r="H1229" s="3">
        <v>9</v>
      </c>
      <c r="I1229" t="str">
        <f ca="1">PROPER(Table1[[#This Row],[Extracurricular 
Activities]])</f>
        <v>True</v>
      </c>
      <c r="J1229">
        <v>5</v>
      </c>
      <c r="K1229" t="s">
        <v>3119</v>
      </c>
      <c r="L1229">
        <v>74</v>
      </c>
      <c r="M1229" s="12" t="str" cm="1">
        <f t="array" ref="M1229">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229">
        <v>79</v>
      </c>
      <c r="O1229" s="13" t="str" cm="1">
        <f t="array" ref="O122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229">
        <v>82</v>
      </c>
      <c r="Q1229" s="13" t="str" cm="1">
        <f t="array" ref="Q122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229">
        <v>51</v>
      </c>
      <c r="S1229" t="str" cm="1">
        <f t="array" ref="S122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C</v>
      </c>
      <c r="T1229">
        <v>67</v>
      </c>
      <c r="U1229" t="str" cm="1">
        <f t="array" ref="U122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229">
        <v>65</v>
      </c>
      <c r="W1229" t="str" cm="1">
        <f t="array" ref="W122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229">
        <v>82</v>
      </c>
      <c r="Y1229" t="str" cm="1">
        <f t="array" ref="Y122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229">
        <f>SUM(Table1[[#This Row],[Math 
Score]],Table1[[#This Row],[History 
Score]],Table1[[#This Row],[Physics 
Score]],Table1[[#This Row],[Chemistry 
Score]],Table1[[#This Row],[Biology 
Score]],Table1[[#This Row],[English 
Score]],Table1[[#This Row],[Geography 
Score]])</f>
        <v>500</v>
      </c>
      <c r="AA1229" s="3">
        <f>AVERAGE(Table1[[#This Row],[Math 
Score]],Table1[[#This Row],[History 
Score]],Table1[[#This Row],[Physics 
Score]],Table1[[#This Row],[Chemistry 
Score]],Table1[[#This Row],[Biology 
Score]],Table1[[#This Row],[English 
Score]],Table1[[#This Row],[Geography 
Score]])</f>
        <v>71.428571428571431</v>
      </c>
      <c r="AB122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229">
        <f t="shared" si="19"/>
        <v>1875</v>
      </c>
      <c r="AD1229" t="str">
        <f>_xlfn.IFS(Table1[[#This Row],[Absence 
Days]]&lt;3,"Excellent",Table1[[#This Row],[Absence 
Days]]&lt;=6,"Good",Table1[[#This Row],[Absence 
Days]]&gt;6,"Poor")</f>
        <v>Poor</v>
      </c>
    </row>
    <row r="1230" spans="1:30" x14ac:dyDescent="0.35">
      <c r="A1230">
        <v>1229</v>
      </c>
      <c r="B1230" s="2" t="s">
        <v>159</v>
      </c>
      <c r="C1230" t="s">
        <v>892</v>
      </c>
      <c r="D1230" t="str">
        <f>_xlfn.TEXTJOIN(" ",TRUE,Table1[[#This Row],[First 
Name]:[Last 
Name]])</f>
        <v>Holly Richardson</v>
      </c>
      <c r="E1230" t="s">
        <v>2340</v>
      </c>
      <c r="F1230" t="s">
        <v>3245</v>
      </c>
      <c r="G1230" t="str">
        <f ca="1">PROPER(Table1[[#This Row],[Part Time 
Job]])</f>
        <v>False</v>
      </c>
      <c r="H1230" s="3">
        <v>2</v>
      </c>
      <c r="I1230" t="str">
        <f ca="1">PROPER(Table1[[#This Row],[Extracurricular 
Activities]])</f>
        <v>False</v>
      </c>
      <c r="J1230">
        <v>12</v>
      </c>
      <c r="K1230" t="s">
        <v>3118</v>
      </c>
      <c r="L1230">
        <v>95</v>
      </c>
      <c r="M1230" s="12" t="str" cm="1">
        <f t="array" ref="M123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230">
        <v>82</v>
      </c>
      <c r="O1230" s="13" t="str" cm="1">
        <f t="array" ref="O123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230">
        <v>70</v>
      </c>
      <c r="Q1230" s="13" t="str" cm="1">
        <f t="array" ref="Q123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230">
        <v>81</v>
      </c>
      <c r="S1230" t="str" cm="1">
        <f t="array" ref="S123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230">
        <v>94</v>
      </c>
      <c r="U1230" t="str" cm="1">
        <f t="array" ref="U123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230">
        <v>93</v>
      </c>
      <c r="W1230" t="str" cm="1">
        <f t="array" ref="W123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230">
        <v>69</v>
      </c>
      <c r="Y1230" t="str" cm="1">
        <f t="array" ref="Y123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230">
        <f>SUM(Table1[[#This Row],[Math 
Score]],Table1[[#This Row],[History 
Score]],Table1[[#This Row],[Physics 
Score]],Table1[[#This Row],[Chemistry 
Score]],Table1[[#This Row],[Biology 
Score]],Table1[[#This Row],[English 
Score]],Table1[[#This Row],[Geography 
Score]])</f>
        <v>584</v>
      </c>
      <c r="AA1230" s="3">
        <f>AVERAGE(Table1[[#This Row],[Math 
Score]],Table1[[#This Row],[History 
Score]],Table1[[#This Row],[Physics 
Score]],Table1[[#This Row],[Chemistry 
Score]],Table1[[#This Row],[Biology 
Score]],Table1[[#This Row],[English 
Score]],Table1[[#This Row],[Geography 
Score]])</f>
        <v>83.428571428571431</v>
      </c>
      <c r="AB123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230">
        <f t="shared" si="19"/>
        <v>635</v>
      </c>
      <c r="AD1230" t="str">
        <f>_xlfn.IFS(Table1[[#This Row],[Absence 
Days]]&lt;3,"Excellent",Table1[[#This Row],[Absence 
Days]]&lt;=6,"Good",Table1[[#This Row],[Absence 
Days]]&gt;6,"Poor")</f>
        <v>Excellent</v>
      </c>
    </row>
    <row r="1231" spans="1:30" x14ac:dyDescent="0.35">
      <c r="A1231">
        <v>1230</v>
      </c>
      <c r="B1231" s="2" t="s">
        <v>262</v>
      </c>
      <c r="C1231" t="s">
        <v>847</v>
      </c>
      <c r="D1231" t="str">
        <f>_xlfn.TEXTJOIN(" ",TRUE,Table1[[#This Row],[First 
Name]:[Last 
Name]])</f>
        <v>Justin Brooks</v>
      </c>
      <c r="E1231" t="s">
        <v>2341</v>
      </c>
      <c r="F1231" t="s">
        <v>3244</v>
      </c>
      <c r="G1231" t="str">
        <f ca="1">PROPER(Table1[[#This Row],[Part Time 
Job]])</f>
        <v>False</v>
      </c>
      <c r="H1231" s="3">
        <v>7</v>
      </c>
      <c r="I1231" t="str">
        <f ca="1">PROPER(Table1[[#This Row],[Extracurricular 
Activities]])</f>
        <v>False</v>
      </c>
      <c r="J1231">
        <v>3</v>
      </c>
      <c r="K1231" t="s">
        <v>3116</v>
      </c>
      <c r="L1231">
        <v>93</v>
      </c>
      <c r="M1231" s="12" t="str" cm="1">
        <f t="array" ref="M123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231">
        <v>74</v>
      </c>
      <c r="O1231" s="13" t="str" cm="1">
        <f t="array" ref="O123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231">
        <v>98</v>
      </c>
      <c r="Q1231" s="13" t="str" cm="1">
        <f t="array" ref="Q123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231">
        <v>100</v>
      </c>
      <c r="S1231" t="str" cm="1">
        <f t="array" ref="S123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231">
        <v>62</v>
      </c>
      <c r="U1231" t="str" cm="1">
        <f t="array" ref="U123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231">
        <v>83</v>
      </c>
      <c r="W1231" t="str" cm="1">
        <f t="array" ref="W123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231">
        <v>87</v>
      </c>
      <c r="Y1231" t="str" cm="1">
        <f t="array" ref="Y123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231">
        <f>SUM(Table1[[#This Row],[Math 
Score]],Table1[[#This Row],[History 
Score]],Table1[[#This Row],[Physics 
Score]],Table1[[#This Row],[Chemistry 
Score]],Table1[[#This Row],[Biology 
Score]],Table1[[#This Row],[English 
Score]],Table1[[#This Row],[Geography 
Score]])</f>
        <v>597</v>
      </c>
      <c r="AA1231" s="3">
        <f>AVERAGE(Table1[[#This Row],[Math 
Score]],Table1[[#This Row],[History 
Score]],Table1[[#This Row],[Physics 
Score]],Table1[[#This Row],[Chemistry 
Score]],Table1[[#This Row],[Biology 
Score]],Table1[[#This Row],[English 
Score]],Table1[[#This Row],[Geography 
Score]])</f>
        <v>85.285714285714292</v>
      </c>
      <c r="AB123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231">
        <f t="shared" si="19"/>
        <v>446</v>
      </c>
      <c r="AD1231" t="str">
        <f>_xlfn.IFS(Table1[[#This Row],[Absence 
Days]]&lt;3,"Excellent",Table1[[#This Row],[Absence 
Days]]&lt;=6,"Good",Table1[[#This Row],[Absence 
Days]]&gt;6,"Poor")</f>
        <v>Poor</v>
      </c>
    </row>
    <row r="1232" spans="1:30" x14ac:dyDescent="0.35">
      <c r="A1232">
        <v>1231</v>
      </c>
      <c r="B1232" s="2" t="s">
        <v>131</v>
      </c>
      <c r="C1232" t="s">
        <v>412</v>
      </c>
      <c r="D1232" t="str">
        <f>_xlfn.TEXTJOIN(" ",TRUE,Table1[[#This Row],[First 
Name]:[Last 
Name]])</f>
        <v>Joan Frederick</v>
      </c>
      <c r="E1232" t="s">
        <v>2342</v>
      </c>
      <c r="F1232" t="s">
        <v>3245</v>
      </c>
      <c r="G1232" t="str">
        <f ca="1">PROPER(Table1[[#This Row],[Part Time 
Job]])</f>
        <v>False</v>
      </c>
      <c r="H1232" s="3">
        <v>4</v>
      </c>
      <c r="I1232" t="str">
        <f ca="1">PROPER(Table1[[#This Row],[Extracurricular 
Activities]])</f>
        <v>False</v>
      </c>
      <c r="J1232">
        <v>26</v>
      </c>
      <c r="K1232" t="s">
        <v>3112</v>
      </c>
      <c r="L1232">
        <v>94</v>
      </c>
      <c r="M1232" s="12" t="str" cm="1">
        <f t="array" ref="M123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232">
        <v>91</v>
      </c>
      <c r="O1232" s="13" t="str" cm="1">
        <f t="array" ref="O123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232">
        <v>98</v>
      </c>
      <c r="Q1232" s="13" t="str" cm="1">
        <f t="array" ref="Q123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232">
        <v>94</v>
      </c>
      <c r="S1232" t="str" cm="1">
        <f t="array" ref="S123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232">
        <v>88</v>
      </c>
      <c r="U1232" t="str" cm="1">
        <f t="array" ref="U123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232">
        <v>97</v>
      </c>
      <c r="W1232" t="str" cm="1">
        <f t="array" ref="W123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232">
        <v>94</v>
      </c>
      <c r="Y1232" t="str" cm="1">
        <f t="array" ref="Y123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232">
        <f>SUM(Table1[[#This Row],[Math 
Score]],Table1[[#This Row],[History 
Score]],Table1[[#This Row],[Physics 
Score]],Table1[[#This Row],[Chemistry 
Score]],Table1[[#This Row],[Biology 
Score]],Table1[[#This Row],[English 
Score]],Table1[[#This Row],[Geography 
Score]])</f>
        <v>656</v>
      </c>
      <c r="AA1232" s="3">
        <f>AVERAGE(Table1[[#This Row],[Math 
Score]],Table1[[#This Row],[History 
Score]],Table1[[#This Row],[Physics 
Score]],Table1[[#This Row],[Chemistry 
Score]],Table1[[#This Row],[Biology 
Score]],Table1[[#This Row],[English 
Score]],Table1[[#This Row],[Geography 
Score]])</f>
        <v>93.714285714285708</v>
      </c>
      <c r="AB123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232">
        <f t="shared" si="19"/>
        <v>28</v>
      </c>
      <c r="AD1232" t="str">
        <f>_xlfn.IFS(Table1[[#This Row],[Absence 
Days]]&lt;3,"Excellent",Table1[[#This Row],[Absence 
Days]]&lt;=6,"Good",Table1[[#This Row],[Absence 
Days]]&gt;6,"Poor")</f>
        <v>Good</v>
      </c>
    </row>
    <row r="1233" spans="1:30" x14ac:dyDescent="0.35">
      <c r="A1233">
        <v>1232</v>
      </c>
      <c r="B1233" s="2" t="s">
        <v>379</v>
      </c>
      <c r="C1233" t="s">
        <v>970</v>
      </c>
      <c r="D1233" t="str">
        <f>_xlfn.TEXTJOIN(" ",TRUE,Table1[[#This Row],[First 
Name]:[Last 
Name]])</f>
        <v>Loretta Webb</v>
      </c>
      <c r="E1233" t="s">
        <v>2343</v>
      </c>
      <c r="F1233" t="s">
        <v>3245</v>
      </c>
      <c r="G1233" t="str">
        <f ca="1">PROPER(Table1[[#This Row],[Part Time 
Job]])</f>
        <v>False</v>
      </c>
      <c r="H1233" s="3">
        <v>4</v>
      </c>
      <c r="I1233" t="str">
        <f ca="1">PROPER(Table1[[#This Row],[Extracurricular 
Activities]])</f>
        <v>False</v>
      </c>
      <c r="J1233">
        <v>18</v>
      </c>
      <c r="K1233" t="s">
        <v>3123</v>
      </c>
      <c r="L1233">
        <v>85</v>
      </c>
      <c r="M1233" s="12" t="str" cm="1">
        <f t="array" ref="M123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233">
        <v>80</v>
      </c>
      <c r="O1233" s="13" t="str" cm="1">
        <f t="array" ref="O123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233">
        <v>84</v>
      </c>
      <c r="Q1233" s="13" t="str" cm="1">
        <f t="array" ref="Q123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233">
        <v>96</v>
      </c>
      <c r="S1233" t="str" cm="1">
        <f t="array" ref="S123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233">
        <v>45</v>
      </c>
      <c r="U1233" t="str" cm="1">
        <f t="array" ref="U123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D</v>
      </c>
      <c r="V1233">
        <v>84</v>
      </c>
      <c r="W1233" t="str" cm="1">
        <f t="array" ref="W123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233">
        <v>90</v>
      </c>
      <c r="Y1233" t="str" cm="1">
        <f t="array" ref="Y123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233">
        <f>SUM(Table1[[#This Row],[Math 
Score]],Table1[[#This Row],[History 
Score]],Table1[[#This Row],[Physics 
Score]],Table1[[#This Row],[Chemistry 
Score]],Table1[[#This Row],[Biology 
Score]],Table1[[#This Row],[English 
Score]],Table1[[#This Row],[Geography 
Score]])</f>
        <v>564</v>
      </c>
      <c r="AA1233" s="3">
        <f>AVERAGE(Table1[[#This Row],[Math 
Score]],Table1[[#This Row],[History 
Score]],Table1[[#This Row],[Physics 
Score]],Table1[[#This Row],[Chemistry 
Score]],Table1[[#This Row],[Biology 
Score]],Table1[[#This Row],[English 
Score]],Table1[[#This Row],[Geography 
Score]])</f>
        <v>80.571428571428569</v>
      </c>
      <c r="AB123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233">
        <f t="shared" si="19"/>
        <v>1056</v>
      </c>
      <c r="AD1233" t="str">
        <f>_xlfn.IFS(Table1[[#This Row],[Absence 
Days]]&lt;3,"Excellent",Table1[[#This Row],[Absence 
Days]]&lt;=6,"Good",Table1[[#This Row],[Absence 
Days]]&gt;6,"Poor")</f>
        <v>Good</v>
      </c>
    </row>
    <row r="1234" spans="1:30" x14ac:dyDescent="0.35">
      <c r="A1234">
        <v>1233</v>
      </c>
      <c r="B1234" s="2" t="s">
        <v>380</v>
      </c>
      <c r="C1234" t="s">
        <v>971</v>
      </c>
      <c r="D1234" t="str">
        <f>_xlfn.TEXTJOIN(" ",TRUE,Table1[[#This Row],[First 
Name]:[Last 
Name]])</f>
        <v>Toni Zimmerman</v>
      </c>
      <c r="E1234" t="s">
        <v>2344</v>
      </c>
      <c r="F1234" t="s">
        <v>3245</v>
      </c>
      <c r="G1234" t="str">
        <f ca="1">PROPER(Table1[[#This Row],[Part Time 
Job]])</f>
        <v>False</v>
      </c>
      <c r="H1234" s="3">
        <v>5</v>
      </c>
      <c r="I1234" t="str">
        <f ca="1">PROPER(Table1[[#This Row],[Extracurricular 
Activities]])</f>
        <v>False</v>
      </c>
      <c r="J1234">
        <v>31</v>
      </c>
      <c r="K1234" t="s">
        <v>3123</v>
      </c>
      <c r="L1234">
        <v>94</v>
      </c>
      <c r="M1234" s="12" t="str" cm="1">
        <f t="array" ref="M123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234">
        <v>98</v>
      </c>
      <c r="O1234" s="13" t="str" cm="1">
        <f t="array" ref="O123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234">
        <v>74</v>
      </c>
      <c r="Q1234" s="13" t="str" cm="1">
        <f t="array" ref="Q123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234">
        <v>94</v>
      </c>
      <c r="S1234" t="str" cm="1">
        <f t="array" ref="S123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234">
        <v>35</v>
      </c>
      <c r="U1234" t="str" cm="1">
        <f t="array" ref="U123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F</v>
      </c>
      <c r="V1234">
        <v>95</v>
      </c>
      <c r="W1234" t="str" cm="1">
        <f t="array" ref="W123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234">
        <v>80</v>
      </c>
      <c r="Y1234" t="str" cm="1">
        <f t="array" ref="Y123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234">
        <f>SUM(Table1[[#This Row],[Math 
Score]],Table1[[#This Row],[History 
Score]],Table1[[#This Row],[Physics 
Score]],Table1[[#This Row],[Chemistry 
Score]],Table1[[#This Row],[Biology 
Score]],Table1[[#This Row],[English 
Score]],Table1[[#This Row],[Geography 
Score]])</f>
        <v>570</v>
      </c>
      <c r="AA1234" s="3">
        <f>AVERAGE(Table1[[#This Row],[Math 
Score]],Table1[[#This Row],[History 
Score]],Table1[[#This Row],[Physics 
Score]],Table1[[#This Row],[Chemistry 
Score]],Table1[[#This Row],[Biology 
Score]],Table1[[#This Row],[English 
Score]],Table1[[#This Row],[Geography 
Score]])</f>
        <v>81.428571428571431</v>
      </c>
      <c r="AB123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234">
        <f t="shared" si="19"/>
        <v>937</v>
      </c>
      <c r="AD1234" t="str">
        <f>_xlfn.IFS(Table1[[#This Row],[Absence 
Days]]&lt;3,"Excellent",Table1[[#This Row],[Absence 
Days]]&lt;=6,"Good",Table1[[#This Row],[Absence 
Days]]&gt;6,"Poor")</f>
        <v>Good</v>
      </c>
    </row>
    <row r="1235" spans="1:30" x14ac:dyDescent="0.35">
      <c r="A1235">
        <v>1234</v>
      </c>
      <c r="B1235" s="2" t="s">
        <v>360</v>
      </c>
      <c r="C1235" t="s">
        <v>972</v>
      </c>
      <c r="D1235" t="str">
        <f>_xlfn.TEXTJOIN(" ",TRUE,Table1[[#This Row],[First 
Name]:[Last 
Name]])</f>
        <v>Jaime Houston</v>
      </c>
      <c r="E1235" t="s">
        <v>2345</v>
      </c>
      <c r="F1235" t="s">
        <v>3245</v>
      </c>
      <c r="G1235" t="str">
        <f ca="1">PROPER(Table1[[#This Row],[Part Time 
Job]])</f>
        <v>False</v>
      </c>
      <c r="H1235" s="3">
        <v>1</v>
      </c>
      <c r="I1235" t="str">
        <f ca="1">PROPER(Table1[[#This Row],[Extracurricular 
Activities]])</f>
        <v>False</v>
      </c>
      <c r="J1235">
        <v>17</v>
      </c>
      <c r="K1235" t="s">
        <v>3118</v>
      </c>
      <c r="L1235">
        <v>95</v>
      </c>
      <c r="M1235" s="12" t="str" cm="1">
        <f t="array" ref="M123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235">
        <v>88</v>
      </c>
      <c r="O1235" s="13" t="str" cm="1">
        <f t="array" ref="O123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235">
        <v>85</v>
      </c>
      <c r="Q1235" s="13" t="str" cm="1">
        <f t="array" ref="Q123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235">
        <v>66</v>
      </c>
      <c r="S1235" t="str" cm="1">
        <f t="array" ref="S123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235">
        <v>70</v>
      </c>
      <c r="U1235" t="str" cm="1">
        <f t="array" ref="U123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235">
        <v>72</v>
      </c>
      <c r="W1235" t="str" cm="1">
        <f t="array" ref="W123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235">
        <v>97</v>
      </c>
      <c r="Y1235" t="str" cm="1">
        <f t="array" ref="Y123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235">
        <f>SUM(Table1[[#This Row],[Math 
Score]],Table1[[#This Row],[History 
Score]],Table1[[#This Row],[Physics 
Score]],Table1[[#This Row],[Chemistry 
Score]],Table1[[#This Row],[Biology 
Score]],Table1[[#This Row],[English 
Score]],Table1[[#This Row],[Geography 
Score]])</f>
        <v>573</v>
      </c>
      <c r="AA1235" s="3">
        <f>AVERAGE(Table1[[#This Row],[Math 
Score]],Table1[[#This Row],[History 
Score]],Table1[[#This Row],[Physics 
Score]],Table1[[#This Row],[Chemistry 
Score]],Table1[[#This Row],[Biology 
Score]],Table1[[#This Row],[English 
Score]],Table1[[#This Row],[Geography 
Score]])</f>
        <v>81.857142857142861</v>
      </c>
      <c r="AB123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235">
        <f t="shared" si="19"/>
        <v>864</v>
      </c>
      <c r="AD1235" t="str">
        <f>_xlfn.IFS(Table1[[#This Row],[Absence 
Days]]&lt;3,"Excellent",Table1[[#This Row],[Absence 
Days]]&lt;=6,"Good",Table1[[#This Row],[Absence 
Days]]&gt;6,"Poor")</f>
        <v>Excellent</v>
      </c>
    </row>
    <row r="1236" spans="1:30" x14ac:dyDescent="0.35">
      <c r="A1236">
        <v>1235</v>
      </c>
      <c r="B1236" s="2" t="s">
        <v>307</v>
      </c>
      <c r="C1236" t="s">
        <v>973</v>
      </c>
      <c r="D1236" t="str">
        <f>_xlfn.TEXTJOIN(" ",TRUE,Table1[[#This Row],[First 
Name]:[Last 
Name]])</f>
        <v>Jacqueline Goodman</v>
      </c>
      <c r="E1236" t="s">
        <v>2346</v>
      </c>
      <c r="F1236" t="s">
        <v>3245</v>
      </c>
      <c r="G1236" t="str">
        <f ca="1">PROPER(Table1[[#This Row],[Part Time 
Job]])</f>
        <v>False</v>
      </c>
      <c r="H1236" s="3">
        <v>2</v>
      </c>
      <c r="I1236" t="str">
        <f ca="1">PROPER(Table1[[#This Row],[Extracurricular 
Activities]])</f>
        <v>True</v>
      </c>
      <c r="J1236">
        <v>23</v>
      </c>
      <c r="K1236" t="s">
        <v>3117</v>
      </c>
      <c r="L1236">
        <v>97</v>
      </c>
      <c r="M1236" s="12" t="str" cm="1">
        <f t="array" ref="M123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236">
        <v>82</v>
      </c>
      <c r="O1236" s="13" t="str" cm="1">
        <f t="array" ref="O123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236">
        <v>100</v>
      </c>
      <c r="Q1236" s="13" t="str" cm="1">
        <f t="array" ref="Q123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236">
        <v>69</v>
      </c>
      <c r="S1236" t="str" cm="1">
        <f t="array" ref="S123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236">
        <v>64</v>
      </c>
      <c r="U1236" t="str" cm="1">
        <f t="array" ref="U123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236">
        <v>73</v>
      </c>
      <c r="W1236" t="str" cm="1">
        <f t="array" ref="W123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236">
        <v>88</v>
      </c>
      <c r="Y1236" t="str" cm="1">
        <f t="array" ref="Y123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236">
        <f>SUM(Table1[[#This Row],[Math 
Score]],Table1[[#This Row],[History 
Score]],Table1[[#This Row],[Physics 
Score]],Table1[[#This Row],[Chemistry 
Score]],Table1[[#This Row],[Biology 
Score]],Table1[[#This Row],[English 
Score]],Table1[[#This Row],[Geography 
Score]])</f>
        <v>573</v>
      </c>
      <c r="AA1236" s="3">
        <f>AVERAGE(Table1[[#This Row],[Math 
Score]],Table1[[#This Row],[History 
Score]],Table1[[#This Row],[Physics 
Score]],Table1[[#This Row],[Chemistry 
Score]],Table1[[#This Row],[Biology 
Score]],Table1[[#This Row],[English 
Score]],Table1[[#This Row],[Geography 
Score]])</f>
        <v>81.857142857142861</v>
      </c>
      <c r="AB123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236">
        <f t="shared" si="19"/>
        <v>864</v>
      </c>
      <c r="AD1236" t="str">
        <f>_xlfn.IFS(Table1[[#This Row],[Absence 
Days]]&lt;3,"Excellent",Table1[[#This Row],[Absence 
Days]]&lt;=6,"Good",Table1[[#This Row],[Absence 
Days]]&gt;6,"Poor")</f>
        <v>Excellent</v>
      </c>
    </row>
    <row r="1237" spans="1:30" x14ac:dyDescent="0.35">
      <c r="A1237">
        <v>1236</v>
      </c>
      <c r="B1237" s="2" t="s">
        <v>56</v>
      </c>
      <c r="C1237" t="s">
        <v>974</v>
      </c>
      <c r="D1237" t="str">
        <f>_xlfn.TEXTJOIN(" ",TRUE,Table1[[#This Row],[First 
Name]:[Last 
Name]])</f>
        <v>Brian Crawford</v>
      </c>
      <c r="E1237" t="s">
        <v>2347</v>
      </c>
      <c r="F1237" t="s">
        <v>3244</v>
      </c>
      <c r="G1237" t="str">
        <f ca="1">PROPER(Table1[[#This Row],[Part Time 
Job]])</f>
        <v>False</v>
      </c>
      <c r="H1237" s="3">
        <v>0</v>
      </c>
      <c r="I1237" t="str">
        <f ca="1">PROPER(Table1[[#This Row],[Extracurricular 
Activities]])</f>
        <v>False</v>
      </c>
      <c r="J1237">
        <v>17</v>
      </c>
      <c r="K1237" t="s">
        <v>3124</v>
      </c>
      <c r="L1237">
        <v>100</v>
      </c>
      <c r="M1237" s="12" t="str" cm="1">
        <f t="array" ref="M123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237">
        <v>83</v>
      </c>
      <c r="O1237" s="13" t="str" cm="1">
        <f t="array" ref="O123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237">
        <v>67</v>
      </c>
      <c r="Q1237" s="13" t="str" cm="1">
        <f t="array" ref="Q123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237">
        <v>77</v>
      </c>
      <c r="S1237" t="str" cm="1">
        <f t="array" ref="S123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237">
        <v>88</v>
      </c>
      <c r="U1237" t="str" cm="1">
        <f t="array" ref="U123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237">
        <v>76</v>
      </c>
      <c r="W1237" t="str" cm="1">
        <f t="array" ref="W123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237">
        <v>84</v>
      </c>
      <c r="Y1237" t="str" cm="1">
        <f t="array" ref="Y123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237">
        <f>SUM(Table1[[#This Row],[Math 
Score]],Table1[[#This Row],[History 
Score]],Table1[[#This Row],[Physics 
Score]],Table1[[#This Row],[Chemistry 
Score]],Table1[[#This Row],[Biology 
Score]],Table1[[#This Row],[English 
Score]],Table1[[#This Row],[Geography 
Score]])</f>
        <v>575</v>
      </c>
      <c r="AA1237" s="3">
        <f>AVERAGE(Table1[[#This Row],[Math 
Score]],Table1[[#This Row],[History 
Score]],Table1[[#This Row],[Physics 
Score]],Table1[[#This Row],[Chemistry 
Score]],Table1[[#This Row],[Biology 
Score]],Table1[[#This Row],[English 
Score]],Table1[[#This Row],[Geography 
Score]])</f>
        <v>82.142857142857139</v>
      </c>
      <c r="AB123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237">
        <f t="shared" si="19"/>
        <v>807</v>
      </c>
      <c r="AD1237" t="str">
        <f>_xlfn.IFS(Table1[[#This Row],[Absence 
Days]]&lt;3,"Excellent",Table1[[#This Row],[Absence 
Days]]&lt;=6,"Good",Table1[[#This Row],[Absence 
Days]]&gt;6,"Poor")</f>
        <v>Excellent</v>
      </c>
    </row>
    <row r="1238" spans="1:30" x14ac:dyDescent="0.35">
      <c r="A1238">
        <v>1237</v>
      </c>
      <c r="B1238" s="2" t="s">
        <v>124</v>
      </c>
      <c r="C1238" t="s">
        <v>867</v>
      </c>
      <c r="D1238" t="str">
        <f>_xlfn.TEXTJOIN(" ",TRUE,Table1[[#This Row],[First 
Name]:[Last 
Name]])</f>
        <v>John Reynolds</v>
      </c>
      <c r="E1238" t="s">
        <v>2348</v>
      </c>
      <c r="F1238" t="s">
        <v>3244</v>
      </c>
      <c r="G1238" t="str">
        <f ca="1">PROPER(Table1[[#This Row],[Part Time 
Job]])</f>
        <v>False</v>
      </c>
      <c r="H1238" s="3">
        <v>4</v>
      </c>
      <c r="I1238" t="str">
        <f ca="1">PROPER(Table1[[#This Row],[Extracurricular 
Activities]])</f>
        <v>False</v>
      </c>
      <c r="J1238">
        <v>29</v>
      </c>
      <c r="K1238" t="s">
        <v>3113</v>
      </c>
      <c r="L1238">
        <v>99</v>
      </c>
      <c r="M1238" s="12" t="str" cm="1">
        <f t="array" ref="M123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238">
        <v>65</v>
      </c>
      <c r="O1238" s="13" t="str" cm="1">
        <f t="array" ref="O123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238">
        <v>97</v>
      </c>
      <c r="Q1238" s="13" t="str" cm="1">
        <f t="array" ref="Q123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238">
        <v>89</v>
      </c>
      <c r="S1238" t="str" cm="1">
        <f t="array" ref="S123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238">
        <v>87</v>
      </c>
      <c r="U1238" t="str" cm="1">
        <f t="array" ref="U123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238">
        <v>72</v>
      </c>
      <c r="W1238" t="str" cm="1">
        <f t="array" ref="W123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238">
        <v>86</v>
      </c>
      <c r="Y1238" t="str" cm="1">
        <f t="array" ref="Y123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238">
        <f>SUM(Table1[[#This Row],[Math 
Score]],Table1[[#This Row],[History 
Score]],Table1[[#This Row],[Physics 
Score]],Table1[[#This Row],[Chemistry 
Score]],Table1[[#This Row],[Biology 
Score]],Table1[[#This Row],[English 
Score]],Table1[[#This Row],[Geography 
Score]])</f>
        <v>595</v>
      </c>
      <c r="AA1238" s="3">
        <f>AVERAGE(Table1[[#This Row],[Math 
Score]],Table1[[#This Row],[History 
Score]],Table1[[#This Row],[Physics 
Score]],Table1[[#This Row],[Chemistry 
Score]],Table1[[#This Row],[Biology 
Score]],Table1[[#This Row],[English 
Score]],Table1[[#This Row],[Geography 
Score]])</f>
        <v>85</v>
      </c>
      <c r="AB123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238">
        <f t="shared" si="19"/>
        <v>465</v>
      </c>
      <c r="AD1238" t="str">
        <f>_xlfn.IFS(Table1[[#This Row],[Absence 
Days]]&lt;3,"Excellent",Table1[[#This Row],[Absence 
Days]]&lt;=6,"Good",Table1[[#This Row],[Absence 
Days]]&gt;6,"Poor")</f>
        <v>Good</v>
      </c>
    </row>
    <row r="1239" spans="1:30" x14ac:dyDescent="0.35">
      <c r="A1239">
        <v>1238</v>
      </c>
      <c r="B1239" s="2" t="s">
        <v>178</v>
      </c>
      <c r="C1239" t="s">
        <v>975</v>
      </c>
      <c r="D1239" t="str">
        <f>_xlfn.TEXTJOIN(" ",TRUE,Table1[[#This Row],[First 
Name]:[Last 
Name]])</f>
        <v>Heather Marsh</v>
      </c>
      <c r="E1239" t="s">
        <v>2349</v>
      </c>
      <c r="F1239" t="s">
        <v>3245</v>
      </c>
      <c r="G1239" t="str">
        <f ca="1">PROPER(Table1[[#This Row],[Part Time 
Job]])</f>
        <v>False</v>
      </c>
      <c r="H1239" s="3">
        <v>0</v>
      </c>
      <c r="I1239" t="str">
        <f ca="1">PROPER(Table1[[#This Row],[Extracurricular 
Activities]])</f>
        <v>False</v>
      </c>
      <c r="J1239">
        <v>13</v>
      </c>
      <c r="K1239" t="s">
        <v>3124</v>
      </c>
      <c r="L1239">
        <v>97</v>
      </c>
      <c r="M1239" s="12" t="str" cm="1">
        <f t="array" ref="M123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239">
        <v>67</v>
      </c>
      <c r="O1239" s="13" t="str" cm="1">
        <f t="array" ref="O123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239">
        <v>79</v>
      </c>
      <c r="Q1239" s="13" t="str" cm="1">
        <f t="array" ref="Q123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239">
        <v>76</v>
      </c>
      <c r="S1239" t="str" cm="1">
        <f t="array" ref="S123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239">
        <v>76</v>
      </c>
      <c r="U1239" t="str" cm="1">
        <f t="array" ref="U123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239">
        <v>66</v>
      </c>
      <c r="W1239" t="str" cm="1">
        <f t="array" ref="W123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239">
        <v>97</v>
      </c>
      <c r="Y1239" t="str" cm="1">
        <f t="array" ref="Y123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239">
        <f>SUM(Table1[[#This Row],[Math 
Score]],Table1[[#This Row],[History 
Score]],Table1[[#This Row],[Physics 
Score]],Table1[[#This Row],[Chemistry 
Score]],Table1[[#This Row],[Biology 
Score]],Table1[[#This Row],[English 
Score]],Table1[[#This Row],[Geography 
Score]])</f>
        <v>558</v>
      </c>
      <c r="AA1239" s="3">
        <f>AVERAGE(Table1[[#This Row],[Math 
Score]],Table1[[#This Row],[History 
Score]],Table1[[#This Row],[Physics 
Score]],Table1[[#This Row],[Chemistry 
Score]],Table1[[#This Row],[Biology 
Score]],Table1[[#This Row],[English 
Score]],Table1[[#This Row],[Geography 
Score]])</f>
        <v>79.714285714285708</v>
      </c>
      <c r="AB123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239">
        <f t="shared" si="19"/>
        <v>1178</v>
      </c>
      <c r="AD1239" t="str">
        <f>_xlfn.IFS(Table1[[#This Row],[Absence 
Days]]&lt;3,"Excellent",Table1[[#This Row],[Absence 
Days]]&lt;=6,"Good",Table1[[#This Row],[Absence 
Days]]&gt;6,"Poor")</f>
        <v>Excellent</v>
      </c>
    </row>
    <row r="1240" spans="1:30" x14ac:dyDescent="0.35">
      <c r="A1240">
        <v>1239</v>
      </c>
      <c r="B1240" s="2" t="s">
        <v>197</v>
      </c>
      <c r="C1240" t="s">
        <v>645</v>
      </c>
      <c r="D1240" t="str">
        <f>_xlfn.TEXTJOIN(" ",TRUE,Table1[[#This Row],[First 
Name]:[Last 
Name]])</f>
        <v>Dawn Flores</v>
      </c>
      <c r="E1240" t="s">
        <v>2350</v>
      </c>
      <c r="F1240" t="s">
        <v>3245</v>
      </c>
      <c r="G1240" t="str">
        <f ca="1">PROPER(Table1[[#This Row],[Part Time 
Job]])</f>
        <v>True</v>
      </c>
      <c r="H1240" s="3">
        <v>10</v>
      </c>
      <c r="I1240" t="str">
        <f ca="1">PROPER(Table1[[#This Row],[Extracurricular 
Activities]])</f>
        <v>True</v>
      </c>
      <c r="J1240">
        <v>2</v>
      </c>
      <c r="K1240" t="s">
        <v>3119</v>
      </c>
      <c r="L1240">
        <v>53</v>
      </c>
      <c r="M1240" s="12" t="str" cm="1">
        <f t="array" ref="M1240">_xlfn.IFS(Table1[[#This Row],[Math 
Score]]&gt;=90,"A+",Table1[[#This Row],[Math 
Score]]&gt;=80,"A", Table1[[#This Row],[Math 
Score]]&gt;=75,"A-",Table1[[#This Row],[Math 
Score]]&gt;=70,"B+",Table1[[#This Row],[Math 
Score]]&gt;=65,"B",Table1[[#This Row],[Math 
Score]]&gt;=60,"B-",Table1[[#This Row],[Math 
Score]]&gt;=50,"C",Table1[[#This Row],[Math 
Score]]&gt;=40,"D",Table1[[#This Row],[Math 
Score]]&lt;40,"F")</f>
        <v>C</v>
      </c>
      <c r="N1240">
        <v>98</v>
      </c>
      <c r="O1240" s="13" t="str" cm="1">
        <f t="array" ref="O124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240">
        <v>66</v>
      </c>
      <c r="Q1240" s="13" t="str" cm="1">
        <f t="array" ref="Q124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240">
        <v>80</v>
      </c>
      <c r="S1240" t="str" cm="1">
        <f t="array" ref="S124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240">
        <v>82</v>
      </c>
      <c r="U1240" t="str" cm="1">
        <f t="array" ref="U124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240">
        <v>89</v>
      </c>
      <c r="W1240" t="str" cm="1">
        <f t="array" ref="W124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240">
        <v>85</v>
      </c>
      <c r="Y1240" t="str" cm="1">
        <f t="array" ref="Y124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240">
        <f>SUM(Table1[[#This Row],[Math 
Score]],Table1[[#This Row],[History 
Score]],Table1[[#This Row],[Physics 
Score]],Table1[[#This Row],[Chemistry 
Score]],Table1[[#This Row],[Biology 
Score]],Table1[[#This Row],[English 
Score]],Table1[[#This Row],[Geography 
Score]])</f>
        <v>553</v>
      </c>
      <c r="AA1240" s="3">
        <f>AVERAGE(Table1[[#This Row],[Math 
Score]],Table1[[#This Row],[History 
Score]],Table1[[#This Row],[Physics 
Score]],Table1[[#This Row],[Chemistry 
Score]],Table1[[#This Row],[Biology 
Score]],Table1[[#This Row],[English 
Score]],Table1[[#This Row],[Geography 
Score]])</f>
        <v>79</v>
      </c>
      <c r="AB124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240">
        <f t="shared" si="19"/>
        <v>1284</v>
      </c>
      <c r="AD1240" t="str">
        <f>_xlfn.IFS(Table1[[#This Row],[Absence 
Days]]&lt;3,"Excellent",Table1[[#This Row],[Absence 
Days]]&lt;=6,"Good",Table1[[#This Row],[Absence 
Days]]&gt;6,"Poor")</f>
        <v>Poor</v>
      </c>
    </row>
    <row r="1241" spans="1:30" x14ac:dyDescent="0.35">
      <c r="A1241">
        <v>1240</v>
      </c>
      <c r="B1241" s="2" t="s">
        <v>381</v>
      </c>
      <c r="C1241" t="s">
        <v>679</v>
      </c>
      <c r="D1241" t="str">
        <f>_xlfn.TEXTJOIN(" ",TRUE,Table1[[#This Row],[First 
Name]:[Last 
Name]])</f>
        <v>Christie Lane</v>
      </c>
      <c r="E1241" t="s">
        <v>2351</v>
      </c>
      <c r="F1241" t="s">
        <v>3245</v>
      </c>
      <c r="G1241" t="str">
        <f ca="1">PROPER(Table1[[#This Row],[Part Time 
Job]])</f>
        <v>False</v>
      </c>
      <c r="H1241" s="3">
        <v>3</v>
      </c>
      <c r="I1241" t="str">
        <f ca="1">PROPER(Table1[[#This Row],[Extracurricular 
Activities]])</f>
        <v>False</v>
      </c>
      <c r="J1241">
        <v>35</v>
      </c>
      <c r="K1241" t="s">
        <v>3116</v>
      </c>
      <c r="L1241">
        <v>99</v>
      </c>
      <c r="M1241" s="12" t="str" cm="1">
        <f t="array" ref="M124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241">
        <v>85</v>
      </c>
      <c r="O1241" s="13" t="str" cm="1">
        <f t="array" ref="O124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241">
        <v>98</v>
      </c>
      <c r="Q1241" s="13" t="str" cm="1">
        <f t="array" ref="Q124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241">
        <v>91</v>
      </c>
      <c r="S1241" t="str" cm="1">
        <f t="array" ref="S124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241">
        <v>86</v>
      </c>
      <c r="U1241" t="str" cm="1">
        <f t="array" ref="U124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241">
        <v>97</v>
      </c>
      <c r="W1241" t="str" cm="1">
        <f t="array" ref="W124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241">
        <v>85</v>
      </c>
      <c r="Y1241" t="str" cm="1">
        <f t="array" ref="Y124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241">
        <f>SUM(Table1[[#This Row],[Math 
Score]],Table1[[#This Row],[History 
Score]],Table1[[#This Row],[Physics 
Score]],Table1[[#This Row],[Chemistry 
Score]],Table1[[#This Row],[Biology 
Score]],Table1[[#This Row],[English 
Score]],Table1[[#This Row],[Geography 
Score]])</f>
        <v>641</v>
      </c>
      <c r="AA1241" s="3">
        <f>AVERAGE(Table1[[#This Row],[Math 
Score]],Table1[[#This Row],[History 
Score]],Table1[[#This Row],[Physics 
Score]],Table1[[#This Row],[Chemistry 
Score]],Table1[[#This Row],[Biology 
Score]],Table1[[#This Row],[English 
Score]],Table1[[#This Row],[Geography 
Score]])</f>
        <v>91.571428571428569</v>
      </c>
      <c r="AB124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241">
        <f t="shared" si="19"/>
        <v>94</v>
      </c>
      <c r="AD1241" t="str">
        <f>_xlfn.IFS(Table1[[#This Row],[Absence 
Days]]&lt;3,"Excellent",Table1[[#This Row],[Absence 
Days]]&lt;=6,"Good",Table1[[#This Row],[Absence 
Days]]&gt;6,"Poor")</f>
        <v>Good</v>
      </c>
    </row>
    <row r="1242" spans="1:30" x14ac:dyDescent="0.35">
      <c r="A1242">
        <v>1241</v>
      </c>
      <c r="B1242" s="2" t="s">
        <v>126</v>
      </c>
      <c r="C1242" t="s">
        <v>592</v>
      </c>
      <c r="D1242" t="str">
        <f>_xlfn.TEXTJOIN(" ",TRUE,Table1[[#This Row],[First 
Name]:[Last 
Name]])</f>
        <v>Traci Johnson</v>
      </c>
      <c r="E1242" t="s">
        <v>2352</v>
      </c>
      <c r="F1242" t="s">
        <v>3245</v>
      </c>
      <c r="G1242" t="str">
        <f ca="1">PROPER(Table1[[#This Row],[Part Time 
Job]])</f>
        <v>False</v>
      </c>
      <c r="H1242" s="3">
        <v>5</v>
      </c>
      <c r="I1242" t="str">
        <f ca="1">PROPER(Table1[[#This Row],[Extracurricular 
Activities]])</f>
        <v>False</v>
      </c>
      <c r="J1242">
        <v>35</v>
      </c>
      <c r="K1242" t="s">
        <v>3124</v>
      </c>
      <c r="L1242">
        <v>99</v>
      </c>
      <c r="M1242" s="12" t="str" cm="1">
        <f t="array" ref="M124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242">
        <v>89</v>
      </c>
      <c r="O1242" s="13" t="str" cm="1">
        <f t="array" ref="O124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242">
        <v>88</v>
      </c>
      <c r="Q1242" s="13" t="str" cm="1">
        <f t="array" ref="Q124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242">
        <v>94</v>
      </c>
      <c r="S1242" t="str" cm="1">
        <f t="array" ref="S124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242">
        <v>99</v>
      </c>
      <c r="U1242" t="str" cm="1">
        <f t="array" ref="U124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242">
        <v>89</v>
      </c>
      <c r="W1242" t="str" cm="1">
        <f t="array" ref="W124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242">
        <v>92</v>
      </c>
      <c r="Y1242" t="str" cm="1">
        <f t="array" ref="Y124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242">
        <f>SUM(Table1[[#This Row],[Math 
Score]],Table1[[#This Row],[History 
Score]],Table1[[#This Row],[Physics 
Score]],Table1[[#This Row],[Chemistry 
Score]],Table1[[#This Row],[Biology 
Score]],Table1[[#This Row],[English 
Score]],Table1[[#This Row],[Geography 
Score]])</f>
        <v>650</v>
      </c>
      <c r="AA1242" s="3">
        <f>AVERAGE(Table1[[#This Row],[Math 
Score]],Table1[[#This Row],[History 
Score]],Table1[[#This Row],[Physics 
Score]],Table1[[#This Row],[Chemistry 
Score]],Table1[[#This Row],[Biology 
Score]],Table1[[#This Row],[English 
Score]],Table1[[#This Row],[Geography 
Score]])</f>
        <v>92.857142857142861</v>
      </c>
      <c r="AB124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242">
        <f t="shared" si="19"/>
        <v>56</v>
      </c>
      <c r="AD1242" t="str">
        <f>_xlfn.IFS(Table1[[#This Row],[Absence 
Days]]&lt;3,"Excellent",Table1[[#This Row],[Absence 
Days]]&lt;=6,"Good",Table1[[#This Row],[Absence 
Days]]&gt;6,"Poor")</f>
        <v>Good</v>
      </c>
    </row>
    <row r="1243" spans="1:30" x14ac:dyDescent="0.35">
      <c r="A1243">
        <v>1242</v>
      </c>
      <c r="B1243" s="2" t="s">
        <v>74</v>
      </c>
      <c r="C1243" t="s">
        <v>941</v>
      </c>
      <c r="D1243" t="str">
        <f>_xlfn.TEXTJOIN(" ",TRUE,Table1[[#This Row],[First 
Name]:[Last 
Name]])</f>
        <v>Robert Hartman</v>
      </c>
      <c r="E1243" t="s">
        <v>2353</v>
      </c>
      <c r="F1243" t="s">
        <v>3244</v>
      </c>
      <c r="G1243" t="str">
        <f ca="1">PROPER(Table1[[#This Row],[Part Time 
Job]])</f>
        <v>False</v>
      </c>
      <c r="H1243" s="3">
        <v>3</v>
      </c>
      <c r="I1243" t="str">
        <f ca="1">PROPER(Table1[[#This Row],[Extracurricular 
Activities]])</f>
        <v>False</v>
      </c>
      <c r="J1243">
        <v>28</v>
      </c>
      <c r="K1243" t="s">
        <v>3123</v>
      </c>
      <c r="L1243">
        <v>79</v>
      </c>
      <c r="M1243" s="12" t="str" cm="1">
        <f t="array" ref="M124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243">
        <v>83</v>
      </c>
      <c r="O1243" s="13" t="str" cm="1">
        <f t="array" ref="O124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243">
        <v>78</v>
      </c>
      <c r="Q1243" s="13" t="str" cm="1">
        <f t="array" ref="Q124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243">
        <v>89</v>
      </c>
      <c r="S1243" t="str" cm="1">
        <f t="array" ref="S124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243">
        <v>83</v>
      </c>
      <c r="U1243" t="str" cm="1">
        <f t="array" ref="U124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243">
        <v>79</v>
      </c>
      <c r="W1243" t="str" cm="1">
        <f t="array" ref="W124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243">
        <v>76</v>
      </c>
      <c r="Y1243" t="str" cm="1">
        <f t="array" ref="Y124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243">
        <f>SUM(Table1[[#This Row],[Math 
Score]],Table1[[#This Row],[History 
Score]],Table1[[#This Row],[Physics 
Score]],Table1[[#This Row],[Chemistry 
Score]],Table1[[#This Row],[Biology 
Score]],Table1[[#This Row],[English 
Score]],Table1[[#This Row],[Geography 
Score]])</f>
        <v>567</v>
      </c>
      <c r="AA1243" s="3">
        <f>AVERAGE(Table1[[#This Row],[Math 
Score]],Table1[[#This Row],[History 
Score]],Table1[[#This Row],[Physics 
Score]],Table1[[#This Row],[Chemistry 
Score]],Table1[[#This Row],[Biology 
Score]],Table1[[#This Row],[English 
Score]],Table1[[#This Row],[Geography 
Score]])</f>
        <v>81</v>
      </c>
      <c r="AB124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243">
        <f t="shared" si="19"/>
        <v>994</v>
      </c>
      <c r="AD1243" t="str">
        <f>_xlfn.IFS(Table1[[#This Row],[Absence 
Days]]&lt;3,"Excellent",Table1[[#This Row],[Absence 
Days]]&lt;=6,"Good",Table1[[#This Row],[Absence 
Days]]&gt;6,"Poor")</f>
        <v>Good</v>
      </c>
    </row>
    <row r="1244" spans="1:30" x14ac:dyDescent="0.35">
      <c r="A1244">
        <v>1243</v>
      </c>
      <c r="B1244" s="2" t="s">
        <v>36</v>
      </c>
      <c r="C1244" t="s">
        <v>976</v>
      </c>
      <c r="D1244" t="str">
        <f>_xlfn.TEXTJOIN(" ",TRUE,Table1[[#This Row],[First 
Name]:[Last 
Name]])</f>
        <v>Christopher Porter</v>
      </c>
      <c r="E1244" t="s">
        <v>2354</v>
      </c>
      <c r="F1244" t="s">
        <v>3244</v>
      </c>
      <c r="G1244" t="str">
        <f ca="1">PROPER(Table1[[#This Row],[Part Time 
Job]])</f>
        <v>True</v>
      </c>
      <c r="H1244" s="3">
        <v>6</v>
      </c>
      <c r="I1244" t="str">
        <f ca="1">PROPER(Table1[[#This Row],[Extracurricular 
Activities]])</f>
        <v>True</v>
      </c>
      <c r="J1244">
        <v>2</v>
      </c>
      <c r="K1244" t="s">
        <v>3119</v>
      </c>
      <c r="L1244">
        <v>94</v>
      </c>
      <c r="M1244" s="12" t="str" cm="1">
        <f t="array" ref="M124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244">
        <v>95</v>
      </c>
      <c r="O1244" s="13" t="str" cm="1">
        <f t="array" ref="O124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244">
        <v>75</v>
      </c>
      <c r="Q1244" s="13" t="str" cm="1">
        <f t="array" ref="Q124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244">
        <v>73</v>
      </c>
      <c r="S1244" t="str" cm="1">
        <f t="array" ref="S124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244">
        <v>51</v>
      </c>
      <c r="U1244" t="str" cm="1">
        <f t="array" ref="U124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C</v>
      </c>
      <c r="V1244">
        <v>89</v>
      </c>
      <c r="W1244" t="str" cm="1">
        <f t="array" ref="W124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244">
        <v>77</v>
      </c>
      <c r="Y1244" t="str" cm="1">
        <f t="array" ref="Y124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244">
        <f>SUM(Table1[[#This Row],[Math 
Score]],Table1[[#This Row],[History 
Score]],Table1[[#This Row],[Physics 
Score]],Table1[[#This Row],[Chemistry 
Score]],Table1[[#This Row],[Biology 
Score]],Table1[[#This Row],[English 
Score]],Table1[[#This Row],[Geography 
Score]])</f>
        <v>554</v>
      </c>
      <c r="AA1244" s="3">
        <f>AVERAGE(Table1[[#This Row],[Math 
Score]],Table1[[#This Row],[History 
Score]],Table1[[#This Row],[Physics 
Score]],Table1[[#This Row],[Chemistry 
Score]],Table1[[#This Row],[Biology 
Score]],Table1[[#This Row],[English 
Score]],Table1[[#This Row],[Geography 
Score]])</f>
        <v>79.142857142857139</v>
      </c>
      <c r="AB124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244">
        <f t="shared" si="19"/>
        <v>1264</v>
      </c>
      <c r="AD1244" t="str">
        <f>_xlfn.IFS(Table1[[#This Row],[Absence 
Days]]&lt;3,"Excellent",Table1[[#This Row],[Absence 
Days]]&lt;=6,"Good",Table1[[#This Row],[Absence 
Days]]&gt;6,"Poor")</f>
        <v>Good</v>
      </c>
    </row>
    <row r="1245" spans="1:30" x14ac:dyDescent="0.35">
      <c r="A1245">
        <v>1244</v>
      </c>
      <c r="B1245" s="2" t="s">
        <v>88</v>
      </c>
      <c r="C1245" t="s">
        <v>786</v>
      </c>
      <c r="D1245" t="str">
        <f>_xlfn.TEXTJOIN(" ",TRUE,Table1[[#This Row],[First 
Name]:[Last 
Name]])</f>
        <v>Phillip Lynch</v>
      </c>
      <c r="E1245" t="s">
        <v>2355</v>
      </c>
      <c r="F1245" t="s">
        <v>3244</v>
      </c>
      <c r="G1245" t="str">
        <f ca="1">PROPER(Table1[[#This Row],[Part Time 
Job]])</f>
        <v>False</v>
      </c>
      <c r="H1245" s="3">
        <v>6</v>
      </c>
      <c r="I1245" t="str">
        <f ca="1">PROPER(Table1[[#This Row],[Extracurricular 
Activities]])</f>
        <v>True</v>
      </c>
      <c r="J1245">
        <v>28</v>
      </c>
      <c r="K1245" t="s">
        <v>3117</v>
      </c>
      <c r="L1245">
        <v>97</v>
      </c>
      <c r="M1245" s="12" t="str" cm="1">
        <f t="array" ref="M124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245">
        <v>73</v>
      </c>
      <c r="O1245" s="13" t="str" cm="1">
        <f t="array" ref="O124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245">
        <v>92</v>
      </c>
      <c r="Q1245" s="13" t="str" cm="1">
        <f t="array" ref="Q124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245">
        <v>64</v>
      </c>
      <c r="S1245" t="str" cm="1">
        <f t="array" ref="S124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245">
        <v>66</v>
      </c>
      <c r="U1245" t="str" cm="1">
        <f t="array" ref="U124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245">
        <v>96</v>
      </c>
      <c r="W1245" t="str" cm="1">
        <f t="array" ref="W124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245">
        <v>65</v>
      </c>
      <c r="Y1245" t="str" cm="1">
        <f t="array" ref="Y124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245">
        <f>SUM(Table1[[#This Row],[Math 
Score]],Table1[[#This Row],[History 
Score]],Table1[[#This Row],[Physics 
Score]],Table1[[#This Row],[Chemistry 
Score]],Table1[[#This Row],[Biology 
Score]],Table1[[#This Row],[English 
Score]],Table1[[#This Row],[Geography 
Score]])</f>
        <v>553</v>
      </c>
      <c r="AA1245" s="3">
        <f>AVERAGE(Table1[[#This Row],[Math 
Score]],Table1[[#This Row],[History 
Score]],Table1[[#This Row],[Physics 
Score]],Table1[[#This Row],[Chemistry 
Score]],Table1[[#This Row],[Biology 
Score]],Table1[[#This Row],[English 
Score]],Table1[[#This Row],[Geography 
Score]])</f>
        <v>79</v>
      </c>
      <c r="AB124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245">
        <f t="shared" si="19"/>
        <v>1284</v>
      </c>
      <c r="AD1245" t="str">
        <f>_xlfn.IFS(Table1[[#This Row],[Absence 
Days]]&lt;3,"Excellent",Table1[[#This Row],[Absence 
Days]]&lt;=6,"Good",Table1[[#This Row],[Absence 
Days]]&gt;6,"Poor")</f>
        <v>Good</v>
      </c>
    </row>
    <row r="1246" spans="1:30" x14ac:dyDescent="0.35">
      <c r="A1246">
        <v>1245</v>
      </c>
      <c r="B1246" s="2" t="s">
        <v>110</v>
      </c>
      <c r="C1246" t="s">
        <v>722</v>
      </c>
      <c r="D1246" t="str">
        <f>_xlfn.TEXTJOIN(" ",TRUE,Table1[[#This Row],[First 
Name]:[Last 
Name]])</f>
        <v>Matthew Green</v>
      </c>
      <c r="E1246" t="s">
        <v>2356</v>
      </c>
      <c r="F1246" t="s">
        <v>3244</v>
      </c>
      <c r="G1246" t="str">
        <f ca="1">PROPER(Table1[[#This Row],[Part Time 
Job]])</f>
        <v>False</v>
      </c>
      <c r="H1246" s="3">
        <v>3</v>
      </c>
      <c r="I1246" t="str">
        <f ca="1">PROPER(Table1[[#This Row],[Extracurricular 
Activities]])</f>
        <v>True</v>
      </c>
      <c r="J1246">
        <v>26</v>
      </c>
      <c r="K1246" t="s">
        <v>3123</v>
      </c>
      <c r="L1246">
        <v>87</v>
      </c>
      <c r="M1246" s="12" t="str" cm="1">
        <f t="array" ref="M124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246">
        <v>70</v>
      </c>
      <c r="O1246" s="13" t="str" cm="1">
        <f t="array" ref="O124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246">
        <v>65</v>
      </c>
      <c r="Q1246" s="13" t="str" cm="1">
        <f t="array" ref="Q124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246">
        <v>64</v>
      </c>
      <c r="S1246" t="str" cm="1">
        <f t="array" ref="S124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246">
        <v>30</v>
      </c>
      <c r="U1246" t="str" cm="1">
        <f t="array" ref="U124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F</v>
      </c>
      <c r="V1246">
        <v>72</v>
      </c>
      <c r="W1246" t="str" cm="1">
        <f t="array" ref="W124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246">
        <v>68</v>
      </c>
      <c r="Y1246" t="str" cm="1">
        <f t="array" ref="Y124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246">
        <f>SUM(Table1[[#This Row],[Math 
Score]],Table1[[#This Row],[History 
Score]],Table1[[#This Row],[Physics 
Score]],Table1[[#This Row],[Chemistry 
Score]],Table1[[#This Row],[Biology 
Score]],Table1[[#This Row],[English 
Score]],Table1[[#This Row],[Geography 
Score]])</f>
        <v>456</v>
      </c>
      <c r="AA1246" s="3">
        <f>AVERAGE(Table1[[#This Row],[Math 
Score]],Table1[[#This Row],[History 
Score]],Table1[[#This Row],[Physics 
Score]],Table1[[#This Row],[Chemistry 
Score]],Table1[[#This Row],[Biology 
Score]],Table1[[#This Row],[English 
Score]],Table1[[#This Row],[Geography 
Score]])</f>
        <v>65.142857142857139</v>
      </c>
      <c r="AB124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246">
        <f t="shared" si="19"/>
        <v>1987</v>
      </c>
      <c r="AD1246" t="str">
        <f>_xlfn.IFS(Table1[[#This Row],[Absence 
Days]]&lt;3,"Excellent",Table1[[#This Row],[Absence 
Days]]&lt;=6,"Good",Table1[[#This Row],[Absence 
Days]]&gt;6,"Poor")</f>
        <v>Good</v>
      </c>
    </row>
    <row r="1247" spans="1:30" x14ac:dyDescent="0.35">
      <c r="A1247">
        <v>1246</v>
      </c>
      <c r="B1247" s="2" t="s">
        <v>308</v>
      </c>
      <c r="C1247" t="s">
        <v>592</v>
      </c>
      <c r="D1247" t="str">
        <f>_xlfn.TEXTJOIN(" ",TRUE,Table1[[#This Row],[First 
Name]:[Last 
Name]])</f>
        <v>Jesse Johnson</v>
      </c>
      <c r="E1247" t="s">
        <v>2357</v>
      </c>
      <c r="F1247" t="s">
        <v>3244</v>
      </c>
      <c r="G1247" t="str">
        <f ca="1">PROPER(Table1[[#This Row],[Part Time 
Job]])</f>
        <v>False</v>
      </c>
      <c r="H1247" s="3">
        <v>7</v>
      </c>
      <c r="I1247" t="str">
        <f ca="1">PROPER(Table1[[#This Row],[Extracurricular 
Activities]])</f>
        <v>False</v>
      </c>
      <c r="J1247">
        <v>26</v>
      </c>
      <c r="K1247" t="s">
        <v>3127</v>
      </c>
      <c r="L1247">
        <v>82</v>
      </c>
      <c r="M1247" s="12" t="str" cm="1">
        <f t="array" ref="M124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247">
        <v>82</v>
      </c>
      <c r="O1247" s="13" t="str" cm="1">
        <f t="array" ref="O124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247">
        <v>87</v>
      </c>
      <c r="Q1247" s="13" t="str" cm="1">
        <f t="array" ref="Q124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247">
        <v>92</v>
      </c>
      <c r="S1247" t="str" cm="1">
        <f t="array" ref="S124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247">
        <v>64</v>
      </c>
      <c r="U1247" t="str" cm="1">
        <f t="array" ref="U124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247">
        <v>70</v>
      </c>
      <c r="W1247" t="str" cm="1">
        <f t="array" ref="W124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247">
        <v>72</v>
      </c>
      <c r="Y1247" t="str" cm="1">
        <f t="array" ref="Y124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247">
        <f>SUM(Table1[[#This Row],[Math 
Score]],Table1[[#This Row],[History 
Score]],Table1[[#This Row],[Physics 
Score]],Table1[[#This Row],[Chemistry 
Score]],Table1[[#This Row],[Biology 
Score]],Table1[[#This Row],[English 
Score]],Table1[[#This Row],[Geography 
Score]])</f>
        <v>549</v>
      </c>
      <c r="AA1247" s="3">
        <f>AVERAGE(Table1[[#This Row],[Math 
Score]],Table1[[#This Row],[History 
Score]],Table1[[#This Row],[Physics 
Score]],Table1[[#This Row],[Chemistry 
Score]],Table1[[#This Row],[Biology 
Score]],Table1[[#This Row],[English 
Score]],Table1[[#This Row],[Geography 
Score]])</f>
        <v>78.428571428571431</v>
      </c>
      <c r="AB124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247">
        <f t="shared" si="19"/>
        <v>1355</v>
      </c>
      <c r="AD1247" t="str">
        <f>_xlfn.IFS(Table1[[#This Row],[Absence 
Days]]&lt;3,"Excellent",Table1[[#This Row],[Absence 
Days]]&lt;=6,"Good",Table1[[#This Row],[Absence 
Days]]&gt;6,"Poor")</f>
        <v>Poor</v>
      </c>
    </row>
    <row r="1248" spans="1:30" x14ac:dyDescent="0.35">
      <c r="A1248">
        <v>1247</v>
      </c>
      <c r="B1248" s="2" t="s">
        <v>352</v>
      </c>
      <c r="C1248" t="s">
        <v>454</v>
      </c>
      <c r="D1248" t="str">
        <f>_xlfn.TEXTJOIN(" ",TRUE,Table1[[#This Row],[First 
Name]:[Last 
Name]])</f>
        <v>Donna Andrews</v>
      </c>
      <c r="E1248" t="s">
        <v>2358</v>
      </c>
      <c r="F1248" t="s">
        <v>3245</v>
      </c>
      <c r="G1248" t="str">
        <f ca="1">PROPER(Table1[[#This Row],[Part Time 
Job]])</f>
        <v>False</v>
      </c>
      <c r="H1248" s="3">
        <v>1</v>
      </c>
      <c r="I1248" t="str">
        <f ca="1">PROPER(Table1[[#This Row],[Extracurricular 
Activities]])</f>
        <v>False</v>
      </c>
      <c r="J1248">
        <v>22</v>
      </c>
      <c r="K1248" t="s">
        <v>3113</v>
      </c>
      <c r="L1248">
        <v>94</v>
      </c>
      <c r="M1248" s="12" t="str" cm="1">
        <f t="array" ref="M124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248">
        <v>98</v>
      </c>
      <c r="O1248" s="13" t="str" cm="1">
        <f t="array" ref="O124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248">
        <v>96</v>
      </c>
      <c r="Q1248" s="13" t="str" cm="1">
        <f t="array" ref="Q124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248">
        <v>88</v>
      </c>
      <c r="S1248" t="str" cm="1">
        <f t="array" ref="S124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248">
        <v>96</v>
      </c>
      <c r="U1248" t="str" cm="1">
        <f t="array" ref="U124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248">
        <v>61</v>
      </c>
      <c r="W1248" t="str" cm="1">
        <f t="array" ref="W124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248">
        <v>80</v>
      </c>
      <c r="Y1248" t="str" cm="1">
        <f t="array" ref="Y124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248">
        <f>SUM(Table1[[#This Row],[Math 
Score]],Table1[[#This Row],[History 
Score]],Table1[[#This Row],[Physics 
Score]],Table1[[#This Row],[Chemistry 
Score]],Table1[[#This Row],[Biology 
Score]],Table1[[#This Row],[English 
Score]],Table1[[#This Row],[Geography 
Score]])</f>
        <v>613</v>
      </c>
      <c r="AA1248" s="3">
        <f>AVERAGE(Table1[[#This Row],[Math 
Score]],Table1[[#This Row],[History 
Score]],Table1[[#This Row],[Physics 
Score]],Table1[[#This Row],[Chemistry 
Score]],Table1[[#This Row],[Biology 
Score]],Table1[[#This Row],[English 
Score]],Table1[[#This Row],[Geography 
Score]])</f>
        <v>87.571428571428569</v>
      </c>
      <c r="AB124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248">
        <f t="shared" si="19"/>
        <v>271</v>
      </c>
      <c r="AD1248" t="str">
        <f>_xlfn.IFS(Table1[[#This Row],[Absence 
Days]]&lt;3,"Excellent",Table1[[#This Row],[Absence 
Days]]&lt;=6,"Good",Table1[[#This Row],[Absence 
Days]]&gt;6,"Poor")</f>
        <v>Excellent</v>
      </c>
    </row>
    <row r="1249" spans="1:30" x14ac:dyDescent="0.35">
      <c r="A1249">
        <v>1248</v>
      </c>
      <c r="B1249" s="2" t="s">
        <v>30</v>
      </c>
      <c r="C1249" t="s">
        <v>662</v>
      </c>
      <c r="D1249" t="str">
        <f>_xlfn.TEXTJOIN(" ",TRUE,Table1[[#This Row],[First 
Name]:[Last 
Name]])</f>
        <v>Timothy Hall</v>
      </c>
      <c r="E1249" t="s">
        <v>2359</v>
      </c>
      <c r="F1249" t="s">
        <v>3244</v>
      </c>
      <c r="G1249" t="str">
        <f ca="1">PROPER(Table1[[#This Row],[Part Time 
Job]])</f>
        <v>True</v>
      </c>
      <c r="H1249" s="3">
        <v>1</v>
      </c>
      <c r="I1249" t="str">
        <f ca="1">PROPER(Table1[[#This Row],[Extracurricular 
Activities]])</f>
        <v>False</v>
      </c>
      <c r="J1249">
        <v>26</v>
      </c>
      <c r="K1249" t="s">
        <v>3117</v>
      </c>
      <c r="L1249">
        <v>99</v>
      </c>
      <c r="M1249" s="12" t="str" cm="1">
        <f t="array" ref="M124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249">
        <v>85</v>
      </c>
      <c r="O1249" s="13" t="str" cm="1">
        <f t="array" ref="O124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249">
        <v>97</v>
      </c>
      <c r="Q1249" s="13" t="str" cm="1">
        <f t="array" ref="Q124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249">
        <v>72</v>
      </c>
      <c r="S1249" t="str" cm="1">
        <f t="array" ref="S124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249">
        <v>79</v>
      </c>
      <c r="U1249" t="str" cm="1">
        <f t="array" ref="U124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249">
        <v>92</v>
      </c>
      <c r="W1249" t="str" cm="1">
        <f t="array" ref="W124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249">
        <v>82</v>
      </c>
      <c r="Y1249" t="str" cm="1">
        <f t="array" ref="Y124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249">
        <f>SUM(Table1[[#This Row],[Math 
Score]],Table1[[#This Row],[History 
Score]],Table1[[#This Row],[Physics 
Score]],Table1[[#This Row],[Chemistry 
Score]],Table1[[#This Row],[Biology 
Score]],Table1[[#This Row],[English 
Score]],Table1[[#This Row],[Geography 
Score]])</f>
        <v>606</v>
      </c>
      <c r="AA1249" s="3">
        <f>AVERAGE(Table1[[#This Row],[Math 
Score]],Table1[[#This Row],[History 
Score]],Table1[[#This Row],[Physics 
Score]],Table1[[#This Row],[Chemistry 
Score]],Table1[[#This Row],[Biology 
Score]],Table1[[#This Row],[English 
Score]],Table1[[#This Row],[Geography 
Score]])</f>
        <v>86.571428571428569</v>
      </c>
      <c r="AB124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249">
        <f t="shared" si="19"/>
        <v>333</v>
      </c>
      <c r="AD1249" t="str">
        <f>_xlfn.IFS(Table1[[#This Row],[Absence 
Days]]&lt;3,"Excellent",Table1[[#This Row],[Absence 
Days]]&lt;=6,"Good",Table1[[#This Row],[Absence 
Days]]&gt;6,"Poor")</f>
        <v>Excellent</v>
      </c>
    </row>
    <row r="1250" spans="1:30" x14ac:dyDescent="0.35">
      <c r="A1250">
        <v>1249</v>
      </c>
      <c r="B1250" s="2" t="s">
        <v>119</v>
      </c>
      <c r="C1250" t="s">
        <v>665</v>
      </c>
      <c r="D1250" t="str">
        <f>_xlfn.TEXTJOIN(" ",TRUE,Table1[[#This Row],[First 
Name]:[Last 
Name]])</f>
        <v>Amy Hicks</v>
      </c>
      <c r="E1250" t="s">
        <v>2360</v>
      </c>
      <c r="F1250" t="s">
        <v>3245</v>
      </c>
      <c r="G1250" t="str">
        <f ca="1">PROPER(Table1[[#This Row],[Part Time 
Job]])</f>
        <v>False</v>
      </c>
      <c r="H1250" s="3">
        <v>1</v>
      </c>
      <c r="I1250" t="str">
        <f ca="1">PROPER(Table1[[#This Row],[Extracurricular 
Activities]])</f>
        <v>False</v>
      </c>
      <c r="J1250">
        <v>16</v>
      </c>
      <c r="K1250" t="s">
        <v>3118</v>
      </c>
      <c r="L1250">
        <v>68</v>
      </c>
      <c r="M1250" s="12" t="str" cm="1">
        <f t="array" ref="M1250">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250">
        <v>83</v>
      </c>
      <c r="O1250" s="13" t="str" cm="1">
        <f t="array" ref="O125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250">
        <v>74</v>
      </c>
      <c r="Q1250" s="13" t="str" cm="1">
        <f t="array" ref="Q125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250">
        <v>87</v>
      </c>
      <c r="S1250" t="str" cm="1">
        <f t="array" ref="S125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250">
        <v>71</v>
      </c>
      <c r="U1250" t="str" cm="1">
        <f t="array" ref="U125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250">
        <v>86</v>
      </c>
      <c r="W1250" t="str" cm="1">
        <f t="array" ref="W125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250">
        <v>82</v>
      </c>
      <c r="Y1250" t="str" cm="1">
        <f t="array" ref="Y125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250">
        <f>SUM(Table1[[#This Row],[Math 
Score]],Table1[[#This Row],[History 
Score]],Table1[[#This Row],[Physics 
Score]],Table1[[#This Row],[Chemistry 
Score]],Table1[[#This Row],[Biology 
Score]],Table1[[#This Row],[English 
Score]],Table1[[#This Row],[Geography 
Score]])</f>
        <v>551</v>
      </c>
      <c r="AA1250" s="3">
        <f>AVERAGE(Table1[[#This Row],[Math 
Score]],Table1[[#This Row],[History 
Score]],Table1[[#This Row],[Physics 
Score]],Table1[[#This Row],[Chemistry 
Score]],Table1[[#This Row],[Biology 
Score]],Table1[[#This Row],[English 
Score]],Table1[[#This Row],[Geography 
Score]])</f>
        <v>78.714285714285708</v>
      </c>
      <c r="AB125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250">
        <f t="shared" si="19"/>
        <v>1317</v>
      </c>
      <c r="AD1250" t="str">
        <f>_xlfn.IFS(Table1[[#This Row],[Absence 
Days]]&lt;3,"Excellent",Table1[[#This Row],[Absence 
Days]]&lt;=6,"Good",Table1[[#This Row],[Absence 
Days]]&gt;6,"Poor")</f>
        <v>Excellent</v>
      </c>
    </row>
    <row r="1251" spans="1:30" x14ac:dyDescent="0.35">
      <c r="A1251">
        <v>1250</v>
      </c>
      <c r="B1251" s="2" t="s">
        <v>229</v>
      </c>
      <c r="C1251" t="s">
        <v>977</v>
      </c>
      <c r="D1251" t="str">
        <f>_xlfn.TEXTJOIN(" ",TRUE,Table1[[#This Row],[First 
Name]:[Last 
Name]])</f>
        <v>Susan Wall</v>
      </c>
      <c r="E1251" t="s">
        <v>2361</v>
      </c>
      <c r="F1251" t="s">
        <v>3245</v>
      </c>
      <c r="G1251" t="str">
        <f ca="1">PROPER(Table1[[#This Row],[Part Time 
Job]])</f>
        <v>False</v>
      </c>
      <c r="H1251" s="3">
        <v>10</v>
      </c>
      <c r="I1251" t="str">
        <f ca="1">PROPER(Table1[[#This Row],[Extracurricular 
Activities]])</f>
        <v>False</v>
      </c>
      <c r="J1251">
        <v>2</v>
      </c>
      <c r="K1251" t="s">
        <v>3119</v>
      </c>
      <c r="L1251">
        <v>67</v>
      </c>
      <c r="M1251" s="12" t="str" cm="1">
        <f t="array" ref="M1251">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251">
        <v>82</v>
      </c>
      <c r="O1251" s="13" t="str" cm="1">
        <f t="array" ref="O125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251">
        <v>81</v>
      </c>
      <c r="Q1251" s="13" t="str" cm="1">
        <f t="array" ref="Q125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251">
        <v>83</v>
      </c>
      <c r="S1251" t="str" cm="1">
        <f t="array" ref="S125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251">
        <v>57</v>
      </c>
      <c r="U1251" t="str" cm="1">
        <f t="array" ref="U125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C</v>
      </c>
      <c r="V1251">
        <v>59</v>
      </c>
      <c r="W1251" t="str" cm="1">
        <f t="array" ref="W125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C</v>
      </c>
      <c r="X1251">
        <v>91</v>
      </c>
      <c r="Y1251" t="str" cm="1">
        <f t="array" ref="Y125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251">
        <f>SUM(Table1[[#This Row],[Math 
Score]],Table1[[#This Row],[History 
Score]],Table1[[#This Row],[Physics 
Score]],Table1[[#This Row],[Chemistry 
Score]],Table1[[#This Row],[Biology 
Score]],Table1[[#This Row],[English 
Score]],Table1[[#This Row],[Geography 
Score]])</f>
        <v>520</v>
      </c>
      <c r="AA1251" s="3">
        <f>AVERAGE(Table1[[#This Row],[Math 
Score]],Table1[[#This Row],[History 
Score]],Table1[[#This Row],[Physics 
Score]],Table1[[#This Row],[Chemistry 
Score]],Table1[[#This Row],[Biology 
Score]],Table1[[#This Row],[English 
Score]],Table1[[#This Row],[Geography 
Score]])</f>
        <v>74.285714285714292</v>
      </c>
      <c r="AB125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251">
        <f t="shared" si="19"/>
        <v>1753</v>
      </c>
      <c r="AD1251" t="str">
        <f>_xlfn.IFS(Table1[[#This Row],[Absence 
Days]]&lt;3,"Excellent",Table1[[#This Row],[Absence 
Days]]&lt;=6,"Good",Table1[[#This Row],[Absence 
Days]]&gt;6,"Poor")</f>
        <v>Poor</v>
      </c>
    </row>
    <row r="1252" spans="1:30" x14ac:dyDescent="0.35">
      <c r="A1252">
        <v>1251</v>
      </c>
      <c r="B1252" s="2" t="s">
        <v>40</v>
      </c>
      <c r="C1252" t="s">
        <v>739</v>
      </c>
      <c r="D1252" t="str">
        <f>_xlfn.TEXTJOIN(" ",TRUE,Table1[[#This Row],[First 
Name]:[Last 
Name]])</f>
        <v>David Fields</v>
      </c>
      <c r="E1252" t="s">
        <v>2362</v>
      </c>
      <c r="F1252" t="s">
        <v>3244</v>
      </c>
      <c r="G1252" t="str">
        <f ca="1">PROPER(Table1[[#This Row],[Part Time 
Job]])</f>
        <v>False</v>
      </c>
      <c r="H1252" s="3">
        <v>4</v>
      </c>
      <c r="I1252" t="str">
        <f ca="1">PROPER(Table1[[#This Row],[Extracurricular 
Activities]])</f>
        <v>True</v>
      </c>
      <c r="J1252">
        <v>10</v>
      </c>
      <c r="K1252" t="s">
        <v>3121</v>
      </c>
      <c r="L1252">
        <v>92</v>
      </c>
      <c r="M1252" s="12" t="str" cm="1">
        <f t="array" ref="M125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252">
        <v>65</v>
      </c>
      <c r="O1252" s="13" t="str" cm="1">
        <f t="array" ref="O125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252">
        <v>81</v>
      </c>
      <c r="Q1252" s="13" t="str" cm="1">
        <f t="array" ref="Q125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252">
        <v>79</v>
      </c>
      <c r="S1252" t="str" cm="1">
        <f t="array" ref="S125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252">
        <v>84</v>
      </c>
      <c r="U1252" t="str" cm="1">
        <f t="array" ref="U125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252">
        <v>85</v>
      </c>
      <c r="W1252" t="str" cm="1">
        <f t="array" ref="W125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252">
        <v>74</v>
      </c>
      <c r="Y1252" t="str" cm="1">
        <f t="array" ref="Y125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252">
        <f>SUM(Table1[[#This Row],[Math 
Score]],Table1[[#This Row],[History 
Score]],Table1[[#This Row],[Physics 
Score]],Table1[[#This Row],[Chemistry 
Score]],Table1[[#This Row],[Biology 
Score]],Table1[[#This Row],[English 
Score]],Table1[[#This Row],[Geography 
Score]])</f>
        <v>560</v>
      </c>
      <c r="AA1252" s="3">
        <f>AVERAGE(Table1[[#This Row],[Math 
Score]],Table1[[#This Row],[History 
Score]],Table1[[#This Row],[Physics 
Score]],Table1[[#This Row],[Chemistry 
Score]],Table1[[#This Row],[Biology 
Score]],Table1[[#This Row],[English 
Score]],Table1[[#This Row],[Geography 
Score]])</f>
        <v>80</v>
      </c>
      <c r="AB125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252">
        <f t="shared" si="19"/>
        <v>1134</v>
      </c>
      <c r="AD1252" t="str">
        <f>_xlfn.IFS(Table1[[#This Row],[Absence 
Days]]&lt;3,"Excellent",Table1[[#This Row],[Absence 
Days]]&lt;=6,"Good",Table1[[#This Row],[Absence 
Days]]&gt;6,"Poor")</f>
        <v>Good</v>
      </c>
    </row>
    <row r="1253" spans="1:30" x14ac:dyDescent="0.35">
      <c r="A1253">
        <v>1252</v>
      </c>
      <c r="B1253" s="2" t="s">
        <v>382</v>
      </c>
      <c r="C1253" t="s">
        <v>978</v>
      </c>
      <c r="D1253" t="str">
        <f>_xlfn.TEXTJOIN(" ",TRUE,Table1[[#This Row],[First 
Name]:[Last 
Name]])</f>
        <v>Terri Lyons</v>
      </c>
      <c r="E1253" t="s">
        <v>2363</v>
      </c>
      <c r="F1253" t="s">
        <v>3245</v>
      </c>
      <c r="G1253" t="str">
        <f ca="1">PROPER(Table1[[#This Row],[Part Time 
Job]])</f>
        <v>False</v>
      </c>
      <c r="H1253" s="3">
        <v>3</v>
      </c>
      <c r="I1253" t="str">
        <f ca="1">PROPER(Table1[[#This Row],[Extracurricular 
Activities]])</f>
        <v>True</v>
      </c>
      <c r="J1253">
        <v>21</v>
      </c>
      <c r="K1253" t="s">
        <v>3122</v>
      </c>
      <c r="L1253">
        <v>69</v>
      </c>
      <c r="M1253" s="12" t="str" cm="1">
        <f t="array" ref="M1253">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253">
        <v>77</v>
      </c>
      <c r="O1253" s="13" t="str" cm="1">
        <f t="array" ref="O125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253">
        <v>82</v>
      </c>
      <c r="Q1253" s="13" t="str" cm="1">
        <f t="array" ref="Q125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253">
        <v>93</v>
      </c>
      <c r="S1253" t="str" cm="1">
        <f t="array" ref="S125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253">
        <v>92</v>
      </c>
      <c r="U1253" t="str" cm="1">
        <f t="array" ref="U125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253">
        <v>90</v>
      </c>
      <c r="W1253" t="str" cm="1">
        <f t="array" ref="W125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253">
        <v>71</v>
      </c>
      <c r="Y1253" t="str" cm="1">
        <f t="array" ref="Y125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253">
        <f>SUM(Table1[[#This Row],[Math 
Score]],Table1[[#This Row],[History 
Score]],Table1[[#This Row],[Physics 
Score]],Table1[[#This Row],[Chemistry 
Score]],Table1[[#This Row],[Biology 
Score]],Table1[[#This Row],[English 
Score]],Table1[[#This Row],[Geography 
Score]])</f>
        <v>574</v>
      </c>
      <c r="AA1253" s="3">
        <f>AVERAGE(Table1[[#This Row],[Math 
Score]],Table1[[#This Row],[History 
Score]],Table1[[#This Row],[Physics 
Score]],Table1[[#This Row],[Chemistry 
Score]],Table1[[#This Row],[Biology 
Score]],Table1[[#This Row],[English 
Score]],Table1[[#This Row],[Geography 
Score]])</f>
        <v>82</v>
      </c>
      <c r="AB125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253">
        <f t="shared" si="19"/>
        <v>832</v>
      </c>
      <c r="AD1253" t="str">
        <f>_xlfn.IFS(Table1[[#This Row],[Absence 
Days]]&lt;3,"Excellent",Table1[[#This Row],[Absence 
Days]]&lt;=6,"Good",Table1[[#This Row],[Absence 
Days]]&gt;6,"Poor")</f>
        <v>Good</v>
      </c>
    </row>
    <row r="1254" spans="1:30" x14ac:dyDescent="0.35">
      <c r="A1254">
        <v>1253</v>
      </c>
      <c r="B1254" s="2" t="s">
        <v>58</v>
      </c>
      <c r="C1254" t="s">
        <v>532</v>
      </c>
      <c r="D1254" t="str">
        <f>_xlfn.TEXTJOIN(" ",TRUE,Table1[[#This Row],[First 
Name]:[Last 
Name]])</f>
        <v>Eric Jones</v>
      </c>
      <c r="E1254" t="s">
        <v>2364</v>
      </c>
      <c r="F1254" t="s">
        <v>3244</v>
      </c>
      <c r="G1254" t="str">
        <f ca="1">PROPER(Table1[[#This Row],[Part Time 
Job]])</f>
        <v>True</v>
      </c>
      <c r="H1254" s="3">
        <v>1</v>
      </c>
      <c r="I1254" t="str">
        <f ca="1">PROPER(Table1[[#This Row],[Extracurricular 
Activities]])</f>
        <v>False</v>
      </c>
      <c r="J1254">
        <v>30</v>
      </c>
      <c r="K1254" t="s">
        <v>3117</v>
      </c>
      <c r="L1254">
        <v>92</v>
      </c>
      <c r="M1254" s="12" t="str" cm="1">
        <f t="array" ref="M125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254">
        <v>98</v>
      </c>
      <c r="O1254" s="13" t="str" cm="1">
        <f t="array" ref="O125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254">
        <v>61</v>
      </c>
      <c r="Q1254" s="13" t="str" cm="1">
        <f t="array" ref="Q125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254">
        <v>99</v>
      </c>
      <c r="S1254" t="str" cm="1">
        <f t="array" ref="S125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254">
        <v>77</v>
      </c>
      <c r="U1254" t="str" cm="1">
        <f t="array" ref="U125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254">
        <v>72</v>
      </c>
      <c r="W1254" t="str" cm="1">
        <f t="array" ref="W125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254">
        <v>75</v>
      </c>
      <c r="Y1254" t="str" cm="1">
        <f t="array" ref="Y125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254">
        <f>SUM(Table1[[#This Row],[Math 
Score]],Table1[[#This Row],[History 
Score]],Table1[[#This Row],[Physics 
Score]],Table1[[#This Row],[Chemistry 
Score]],Table1[[#This Row],[Biology 
Score]],Table1[[#This Row],[English 
Score]],Table1[[#This Row],[Geography 
Score]])</f>
        <v>574</v>
      </c>
      <c r="AA1254" s="3">
        <f>AVERAGE(Table1[[#This Row],[Math 
Score]],Table1[[#This Row],[History 
Score]],Table1[[#This Row],[Physics 
Score]],Table1[[#This Row],[Chemistry 
Score]],Table1[[#This Row],[Biology 
Score]],Table1[[#This Row],[English 
Score]],Table1[[#This Row],[Geography 
Score]])</f>
        <v>82</v>
      </c>
      <c r="AB125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254">
        <f t="shared" si="19"/>
        <v>832</v>
      </c>
      <c r="AD1254" t="str">
        <f>_xlfn.IFS(Table1[[#This Row],[Absence 
Days]]&lt;3,"Excellent",Table1[[#This Row],[Absence 
Days]]&lt;=6,"Good",Table1[[#This Row],[Absence 
Days]]&gt;6,"Poor")</f>
        <v>Excellent</v>
      </c>
    </row>
    <row r="1255" spans="1:30" x14ac:dyDescent="0.35">
      <c r="A1255">
        <v>1254</v>
      </c>
      <c r="B1255" s="2" t="s">
        <v>311</v>
      </c>
      <c r="C1255" t="s">
        <v>711</v>
      </c>
      <c r="D1255" t="str">
        <f>_xlfn.TEXTJOIN(" ",TRUE,Table1[[#This Row],[First 
Name]:[Last 
Name]])</f>
        <v>Betty Nguyen</v>
      </c>
      <c r="E1255" t="s">
        <v>2365</v>
      </c>
      <c r="F1255" t="s">
        <v>3245</v>
      </c>
      <c r="G1255" t="str">
        <f ca="1">PROPER(Table1[[#This Row],[Part Time 
Job]])</f>
        <v>False</v>
      </c>
      <c r="H1255" s="3">
        <v>6</v>
      </c>
      <c r="I1255" t="str">
        <f ca="1">PROPER(Table1[[#This Row],[Extracurricular 
Activities]])</f>
        <v>False</v>
      </c>
      <c r="J1255">
        <v>24</v>
      </c>
      <c r="K1255" t="s">
        <v>3123</v>
      </c>
      <c r="L1255">
        <v>90</v>
      </c>
      <c r="M1255" s="12" t="str" cm="1">
        <f t="array" ref="M125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255">
        <v>64</v>
      </c>
      <c r="O1255" s="13" t="str" cm="1">
        <f t="array" ref="O125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255">
        <v>90</v>
      </c>
      <c r="Q1255" s="13" t="str" cm="1">
        <f t="array" ref="Q125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255">
        <v>75</v>
      </c>
      <c r="S1255" t="str" cm="1">
        <f t="array" ref="S125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255">
        <v>64</v>
      </c>
      <c r="U1255" t="str" cm="1">
        <f t="array" ref="U125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255">
        <v>96</v>
      </c>
      <c r="W1255" t="str" cm="1">
        <f t="array" ref="W125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255">
        <v>71</v>
      </c>
      <c r="Y1255" t="str" cm="1">
        <f t="array" ref="Y125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255">
        <f>SUM(Table1[[#This Row],[Math 
Score]],Table1[[#This Row],[History 
Score]],Table1[[#This Row],[Physics 
Score]],Table1[[#This Row],[Chemistry 
Score]],Table1[[#This Row],[Biology 
Score]],Table1[[#This Row],[English 
Score]],Table1[[#This Row],[Geography 
Score]])</f>
        <v>550</v>
      </c>
      <c r="AA1255" s="3">
        <f>AVERAGE(Table1[[#This Row],[Math 
Score]],Table1[[#This Row],[History 
Score]],Table1[[#This Row],[Physics 
Score]],Table1[[#This Row],[Chemistry 
Score]],Table1[[#This Row],[Biology 
Score]],Table1[[#This Row],[English 
Score]],Table1[[#This Row],[Geography 
Score]])</f>
        <v>78.571428571428569</v>
      </c>
      <c r="AB125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255">
        <f t="shared" si="19"/>
        <v>1338</v>
      </c>
      <c r="AD1255" t="str">
        <f>_xlfn.IFS(Table1[[#This Row],[Absence 
Days]]&lt;3,"Excellent",Table1[[#This Row],[Absence 
Days]]&lt;=6,"Good",Table1[[#This Row],[Absence 
Days]]&gt;6,"Poor")</f>
        <v>Good</v>
      </c>
    </row>
    <row r="1256" spans="1:30" x14ac:dyDescent="0.35">
      <c r="A1256">
        <v>1255</v>
      </c>
      <c r="B1256" s="2" t="s">
        <v>383</v>
      </c>
      <c r="C1256" t="s">
        <v>673</v>
      </c>
      <c r="D1256" t="str">
        <f>_xlfn.TEXTJOIN(" ",TRUE,Table1[[#This Row],[First 
Name]:[Last 
Name]])</f>
        <v>Albert Anderson</v>
      </c>
      <c r="E1256" t="s">
        <v>2366</v>
      </c>
      <c r="F1256" t="s">
        <v>3244</v>
      </c>
      <c r="G1256" t="str">
        <f ca="1">PROPER(Table1[[#This Row],[Part Time 
Job]])</f>
        <v>True</v>
      </c>
      <c r="H1256" s="3">
        <v>1</v>
      </c>
      <c r="I1256" t="str">
        <f ca="1">PROPER(Table1[[#This Row],[Extracurricular 
Activities]])</f>
        <v>False</v>
      </c>
      <c r="J1256">
        <v>33</v>
      </c>
      <c r="K1256" t="s">
        <v>3127</v>
      </c>
      <c r="L1256">
        <v>91</v>
      </c>
      <c r="M1256" s="12" t="str" cm="1">
        <f t="array" ref="M125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256">
        <v>92</v>
      </c>
      <c r="O1256" s="13" t="str" cm="1">
        <f t="array" ref="O125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256">
        <v>73</v>
      </c>
      <c r="Q1256" s="13" t="str" cm="1">
        <f t="array" ref="Q125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256">
        <v>97</v>
      </c>
      <c r="S1256" t="str" cm="1">
        <f t="array" ref="S125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256">
        <v>61</v>
      </c>
      <c r="U1256" t="str" cm="1">
        <f t="array" ref="U125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256">
        <v>63</v>
      </c>
      <c r="W1256" t="str" cm="1">
        <f t="array" ref="W125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256">
        <v>71</v>
      </c>
      <c r="Y1256" t="str" cm="1">
        <f t="array" ref="Y125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256">
        <f>SUM(Table1[[#This Row],[Math 
Score]],Table1[[#This Row],[History 
Score]],Table1[[#This Row],[Physics 
Score]],Table1[[#This Row],[Chemistry 
Score]],Table1[[#This Row],[Biology 
Score]],Table1[[#This Row],[English 
Score]],Table1[[#This Row],[Geography 
Score]])</f>
        <v>548</v>
      </c>
      <c r="AA1256" s="3">
        <f>AVERAGE(Table1[[#This Row],[Math 
Score]],Table1[[#This Row],[History 
Score]],Table1[[#This Row],[Physics 
Score]],Table1[[#This Row],[Chemistry 
Score]],Table1[[#This Row],[Biology 
Score]],Table1[[#This Row],[English 
Score]],Table1[[#This Row],[Geography 
Score]])</f>
        <v>78.285714285714292</v>
      </c>
      <c r="AB125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256">
        <f t="shared" si="19"/>
        <v>1374</v>
      </c>
      <c r="AD1256" t="str">
        <f>_xlfn.IFS(Table1[[#This Row],[Absence 
Days]]&lt;3,"Excellent",Table1[[#This Row],[Absence 
Days]]&lt;=6,"Good",Table1[[#This Row],[Absence 
Days]]&gt;6,"Poor")</f>
        <v>Excellent</v>
      </c>
    </row>
    <row r="1257" spans="1:30" x14ac:dyDescent="0.35">
      <c r="A1257">
        <v>1256</v>
      </c>
      <c r="B1257" s="2" t="s">
        <v>384</v>
      </c>
      <c r="C1257" t="s">
        <v>951</v>
      </c>
      <c r="D1257" t="str">
        <f>_xlfn.TEXTJOIN(" ",TRUE,Table1[[#This Row],[First 
Name]:[Last 
Name]])</f>
        <v>Katrina Montgomery</v>
      </c>
      <c r="E1257" t="s">
        <v>2367</v>
      </c>
      <c r="F1257" t="s">
        <v>3245</v>
      </c>
      <c r="G1257" t="str">
        <f ca="1">PROPER(Table1[[#This Row],[Part Time 
Job]])</f>
        <v>False</v>
      </c>
      <c r="H1257" s="3">
        <v>5</v>
      </c>
      <c r="I1257" t="str">
        <f ca="1">PROPER(Table1[[#This Row],[Extracurricular 
Activities]])</f>
        <v>False</v>
      </c>
      <c r="J1257">
        <v>3</v>
      </c>
      <c r="K1257" t="s">
        <v>3115</v>
      </c>
      <c r="L1257">
        <v>65</v>
      </c>
      <c r="M1257" s="12" t="str" cm="1">
        <f t="array" ref="M1257">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257">
        <v>67</v>
      </c>
      <c r="O1257" s="13" t="str" cm="1">
        <f t="array" ref="O125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257">
        <v>91</v>
      </c>
      <c r="Q1257" s="13" t="str" cm="1">
        <f t="array" ref="Q125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257">
        <v>81</v>
      </c>
      <c r="S1257" t="str" cm="1">
        <f t="array" ref="S125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257">
        <v>97</v>
      </c>
      <c r="U1257" t="str" cm="1">
        <f t="array" ref="U125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257">
        <v>99</v>
      </c>
      <c r="W1257" t="str" cm="1">
        <f t="array" ref="W125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257">
        <v>75</v>
      </c>
      <c r="Y1257" t="str" cm="1">
        <f t="array" ref="Y125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257">
        <f>SUM(Table1[[#This Row],[Math 
Score]],Table1[[#This Row],[History 
Score]],Table1[[#This Row],[Physics 
Score]],Table1[[#This Row],[Chemistry 
Score]],Table1[[#This Row],[Biology 
Score]],Table1[[#This Row],[English 
Score]],Table1[[#This Row],[Geography 
Score]])</f>
        <v>575</v>
      </c>
      <c r="AA1257" s="3">
        <f>AVERAGE(Table1[[#This Row],[Math 
Score]],Table1[[#This Row],[History 
Score]],Table1[[#This Row],[Physics 
Score]],Table1[[#This Row],[Chemistry 
Score]],Table1[[#This Row],[Biology 
Score]],Table1[[#This Row],[English 
Score]],Table1[[#This Row],[Geography 
Score]])</f>
        <v>82.142857142857139</v>
      </c>
      <c r="AB125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257">
        <f t="shared" si="19"/>
        <v>807</v>
      </c>
      <c r="AD1257" t="str">
        <f>_xlfn.IFS(Table1[[#This Row],[Absence 
Days]]&lt;3,"Excellent",Table1[[#This Row],[Absence 
Days]]&lt;=6,"Good",Table1[[#This Row],[Absence 
Days]]&gt;6,"Poor")</f>
        <v>Good</v>
      </c>
    </row>
    <row r="1258" spans="1:30" x14ac:dyDescent="0.35">
      <c r="A1258">
        <v>1257</v>
      </c>
      <c r="B1258" s="2" t="s">
        <v>146</v>
      </c>
      <c r="C1258" t="s">
        <v>490</v>
      </c>
      <c r="D1258" t="str">
        <f>_xlfn.TEXTJOIN(" ",TRUE,Table1[[#This Row],[First 
Name]:[Last 
Name]])</f>
        <v>Samantha Cole</v>
      </c>
      <c r="E1258" t="s">
        <v>2368</v>
      </c>
      <c r="F1258" t="s">
        <v>3245</v>
      </c>
      <c r="G1258" t="str">
        <f ca="1">PROPER(Table1[[#This Row],[Part Time 
Job]])</f>
        <v>False</v>
      </c>
      <c r="H1258" s="3">
        <v>2</v>
      </c>
      <c r="I1258" t="str">
        <f ca="1">PROPER(Table1[[#This Row],[Extracurricular 
Activities]])</f>
        <v>False</v>
      </c>
      <c r="J1258">
        <v>34</v>
      </c>
      <c r="K1258" t="s">
        <v>3117</v>
      </c>
      <c r="L1258">
        <v>98</v>
      </c>
      <c r="M1258" s="12" t="str" cm="1">
        <f t="array" ref="M125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258">
        <v>80</v>
      </c>
      <c r="O1258" s="13" t="str" cm="1">
        <f t="array" ref="O125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258">
        <v>70</v>
      </c>
      <c r="Q1258" s="13" t="str" cm="1">
        <f t="array" ref="Q125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258">
        <v>60</v>
      </c>
      <c r="S1258" t="str" cm="1">
        <f t="array" ref="S125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258">
        <v>88</v>
      </c>
      <c r="U1258" t="str" cm="1">
        <f t="array" ref="U125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258">
        <v>65</v>
      </c>
      <c r="W1258" t="str" cm="1">
        <f t="array" ref="W125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258">
        <v>92</v>
      </c>
      <c r="Y1258" t="str" cm="1">
        <f t="array" ref="Y125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258">
        <f>SUM(Table1[[#This Row],[Math 
Score]],Table1[[#This Row],[History 
Score]],Table1[[#This Row],[Physics 
Score]],Table1[[#This Row],[Chemistry 
Score]],Table1[[#This Row],[Biology 
Score]],Table1[[#This Row],[English 
Score]],Table1[[#This Row],[Geography 
Score]])</f>
        <v>553</v>
      </c>
      <c r="AA1258" s="3">
        <f>AVERAGE(Table1[[#This Row],[Math 
Score]],Table1[[#This Row],[History 
Score]],Table1[[#This Row],[Physics 
Score]],Table1[[#This Row],[Chemistry 
Score]],Table1[[#This Row],[Biology 
Score]],Table1[[#This Row],[English 
Score]],Table1[[#This Row],[Geography 
Score]])</f>
        <v>79</v>
      </c>
      <c r="AB125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258">
        <f t="shared" si="19"/>
        <v>1284</v>
      </c>
      <c r="AD1258" t="str">
        <f>_xlfn.IFS(Table1[[#This Row],[Absence 
Days]]&lt;3,"Excellent",Table1[[#This Row],[Absence 
Days]]&lt;=6,"Good",Table1[[#This Row],[Absence 
Days]]&gt;6,"Poor")</f>
        <v>Excellent</v>
      </c>
    </row>
    <row r="1259" spans="1:30" x14ac:dyDescent="0.35">
      <c r="A1259">
        <v>1258</v>
      </c>
      <c r="B1259" s="2" t="s">
        <v>385</v>
      </c>
      <c r="C1259" t="s">
        <v>979</v>
      </c>
      <c r="D1259" t="str">
        <f>_xlfn.TEXTJOIN(" ",TRUE,Table1[[#This Row],[First 
Name]:[Last 
Name]])</f>
        <v>Kathleen Potts</v>
      </c>
      <c r="E1259" t="s">
        <v>2369</v>
      </c>
      <c r="F1259" t="s">
        <v>3245</v>
      </c>
      <c r="G1259" t="str">
        <f ca="1">PROPER(Table1[[#This Row],[Part Time 
Job]])</f>
        <v>False</v>
      </c>
      <c r="H1259" s="3">
        <v>6</v>
      </c>
      <c r="I1259" t="str">
        <f ca="1">PROPER(Table1[[#This Row],[Extracurricular 
Activities]])</f>
        <v>True</v>
      </c>
      <c r="J1259">
        <v>2</v>
      </c>
      <c r="K1259" t="s">
        <v>3119</v>
      </c>
      <c r="L1259">
        <v>70</v>
      </c>
      <c r="M1259" s="12" t="str" cm="1">
        <f t="array" ref="M1259">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259">
        <v>89</v>
      </c>
      <c r="O1259" s="13" t="str" cm="1">
        <f t="array" ref="O125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259">
        <v>78</v>
      </c>
      <c r="Q1259" s="13" t="str" cm="1">
        <f t="array" ref="Q125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259">
        <v>87</v>
      </c>
      <c r="S1259" t="str" cm="1">
        <f t="array" ref="S125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259">
        <v>87</v>
      </c>
      <c r="U1259" t="str" cm="1">
        <f t="array" ref="U125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259">
        <v>62</v>
      </c>
      <c r="W1259" t="str" cm="1">
        <f t="array" ref="W125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259">
        <v>85</v>
      </c>
      <c r="Y1259" t="str" cm="1">
        <f t="array" ref="Y125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259">
        <f>SUM(Table1[[#This Row],[Math 
Score]],Table1[[#This Row],[History 
Score]],Table1[[#This Row],[Physics 
Score]],Table1[[#This Row],[Chemistry 
Score]],Table1[[#This Row],[Biology 
Score]],Table1[[#This Row],[English 
Score]],Table1[[#This Row],[Geography 
Score]])</f>
        <v>558</v>
      </c>
      <c r="AA1259" s="3">
        <f>AVERAGE(Table1[[#This Row],[Math 
Score]],Table1[[#This Row],[History 
Score]],Table1[[#This Row],[Physics 
Score]],Table1[[#This Row],[Chemistry 
Score]],Table1[[#This Row],[Biology 
Score]],Table1[[#This Row],[English 
Score]],Table1[[#This Row],[Geography 
Score]])</f>
        <v>79.714285714285708</v>
      </c>
      <c r="AB125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259">
        <f t="shared" si="19"/>
        <v>1178</v>
      </c>
      <c r="AD1259" t="str">
        <f>_xlfn.IFS(Table1[[#This Row],[Absence 
Days]]&lt;3,"Excellent",Table1[[#This Row],[Absence 
Days]]&lt;=6,"Good",Table1[[#This Row],[Absence 
Days]]&gt;6,"Poor")</f>
        <v>Good</v>
      </c>
    </row>
    <row r="1260" spans="1:30" x14ac:dyDescent="0.35">
      <c r="A1260">
        <v>1259</v>
      </c>
      <c r="B1260" s="2" t="s">
        <v>51</v>
      </c>
      <c r="C1260" t="s">
        <v>512</v>
      </c>
      <c r="D1260" t="str">
        <f>_xlfn.TEXTJOIN(" ",TRUE,Table1[[#This Row],[First 
Name]:[Last 
Name]])</f>
        <v>Melissa Edwards</v>
      </c>
      <c r="E1260" t="s">
        <v>2370</v>
      </c>
      <c r="F1260" t="s">
        <v>3245</v>
      </c>
      <c r="G1260" t="str">
        <f ca="1">PROPER(Table1[[#This Row],[Part Time 
Job]])</f>
        <v>False</v>
      </c>
      <c r="H1260" s="3">
        <v>2</v>
      </c>
      <c r="I1260" t="str">
        <f ca="1">PROPER(Table1[[#This Row],[Extracurricular 
Activities]])</f>
        <v>False</v>
      </c>
      <c r="J1260">
        <v>17</v>
      </c>
      <c r="K1260" t="s">
        <v>3117</v>
      </c>
      <c r="L1260">
        <v>97</v>
      </c>
      <c r="M1260" s="12" t="str" cm="1">
        <f t="array" ref="M126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260">
        <v>97</v>
      </c>
      <c r="O1260" s="13" t="str" cm="1">
        <f t="array" ref="O126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260">
        <v>90</v>
      </c>
      <c r="Q1260" s="13" t="str" cm="1">
        <f t="array" ref="Q126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260">
        <v>69</v>
      </c>
      <c r="S1260" t="str" cm="1">
        <f t="array" ref="S126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260">
        <v>75</v>
      </c>
      <c r="U1260" t="str" cm="1">
        <f t="array" ref="U126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260">
        <v>68</v>
      </c>
      <c r="W1260" t="str" cm="1">
        <f t="array" ref="W126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260">
        <v>70</v>
      </c>
      <c r="Y1260" t="str" cm="1">
        <f t="array" ref="Y126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260">
        <f>SUM(Table1[[#This Row],[Math 
Score]],Table1[[#This Row],[History 
Score]],Table1[[#This Row],[Physics 
Score]],Table1[[#This Row],[Chemistry 
Score]],Table1[[#This Row],[Biology 
Score]],Table1[[#This Row],[English 
Score]],Table1[[#This Row],[Geography 
Score]])</f>
        <v>566</v>
      </c>
      <c r="AA1260" s="3">
        <f>AVERAGE(Table1[[#This Row],[Math 
Score]],Table1[[#This Row],[History 
Score]],Table1[[#This Row],[Physics 
Score]],Table1[[#This Row],[Chemistry 
Score]],Table1[[#This Row],[Biology 
Score]],Table1[[#This Row],[English 
Score]],Table1[[#This Row],[Geography 
Score]])</f>
        <v>80.857142857142861</v>
      </c>
      <c r="AB126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260">
        <f t="shared" si="19"/>
        <v>1019</v>
      </c>
      <c r="AD1260" t="str">
        <f>_xlfn.IFS(Table1[[#This Row],[Absence 
Days]]&lt;3,"Excellent",Table1[[#This Row],[Absence 
Days]]&lt;=6,"Good",Table1[[#This Row],[Absence 
Days]]&gt;6,"Poor")</f>
        <v>Excellent</v>
      </c>
    </row>
    <row r="1261" spans="1:30" x14ac:dyDescent="0.35">
      <c r="A1261">
        <v>1260</v>
      </c>
      <c r="B1261" s="2" t="s">
        <v>109</v>
      </c>
      <c r="C1261" t="s">
        <v>845</v>
      </c>
      <c r="D1261" t="str">
        <f>_xlfn.TEXTJOIN(" ",TRUE,Table1[[#This Row],[First 
Name]:[Last 
Name]])</f>
        <v>Mark Delgado</v>
      </c>
      <c r="E1261" t="s">
        <v>2371</v>
      </c>
      <c r="F1261" t="s">
        <v>3244</v>
      </c>
      <c r="G1261" t="str">
        <f ca="1">PROPER(Table1[[#This Row],[Part Time 
Job]])</f>
        <v>False</v>
      </c>
      <c r="H1261" s="3">
        <v>1</v>
      </c>
      <c r="I1261" t="str">
        <f ca="1">PROPER(Table1[[#This Row],[Extracurricular 
Activities]])</f>
        <v>False</v>
      </c>
      <c r="J1261">
        <v>18</v>
      </c>
      <c r="K1261" t="s">
        <v>3123</v>
      </c>
      <c r="L1261">
        <v>80</v>
      </c>
      <c r="M1261" s="12" t="str" cm="1">
        <f t="array" ref="M126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261">
        <v>71</v>
      </c>
      <c r="O1261" s="13" t="str" cm="1">
        <f t="array" ref="O126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261">
        <v>89</v>
      </c>
      <c r="Q1261" s="13" t="str" cm="1">
        <f t="array" ref="Q126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261">
        <v>81</v>
      </c>
      <c r="S1261" t="str" cm="1">
        <f t="array" ref="S126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261">
        <v>75</v>
      </c>
      <c r="U1261" t="str" cm="1">
        <f t="array" ref="U126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261">
        <v>81</v>
      </c>
      <c r="W1261" t="str" cm="1">
        <f t="array" ref="W126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261">
        <v>63</v>
      </c>
      <c r="Y1261" t="str" cm="1">
        <f t="array" ref="Y126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261">
        <f>SUM(Table1[[#This Row],[Math 
Score]],Table1[[#This Row],[History 
Score]],Table1[[#This Row],[Physics 
Score]],Table1[[#This Row],[Chemistry 
Score]],Table1[[#This Row],[Biology 
Score]],Table1[[#This Row],[English 
Score]],Table1[[#This Row],[Geography 
Score]])</f>
        <v>540</v>
      </c>
      <c r="AA1261" s="3">
        <f>AVERAGE(Table1[[#This Row],[Math 
Score]],Table1[[#This Row],[History 
Score]],Table1[[#This Row],[Physics 
Score]],Table1[[#This Row],[Chemistry 
Score]],Table1[[#This Row],[Biology 
Score]],Table1[[#This Row],[English 
Score]],Table1[[#This Row],[Geography 
Score]])</f>
        <v>77.142857142857139</v>
      </c>
      <c r="AB126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261">
        <f t="shared" si="19"/>
        <v>1513</v>
      </c>
      <c r="AD1261" t="str">
        <f>_xlfn.IFS(Table1[[#This Row],[Absence 
Days]]&lt;3,"Excellent",Table1[[#This Row],[Absence 
Days]]&lt;=6,"Good",Table1[[#This Row],[Absence 
Days]]&gt;6,"Poor")</f>
        <v>Excellent</v>
      </c>
    </row>
    <row r="1262" spans="1:30" x14ac:dyDescent="0.35">
      <c r="A1262">
        <v>1261</v>
      </c>
      <c r="B1262" s="2" t="s">
        <v>386</v>
      </c>
      <c r="C1262" t="s">
        <v>980</v>
      </c>
      <c r="D1262" t="str">
        <f>_xlfn.TEXTJOIN(" ",TRUE,Table1[[#This Row],[First 
Name]:[Last 
Name]])</f>
        <v>Derek Bates</v>
      </c>
      <c r="E1262" t="s">
        <v>2372</v>
      </c>
      <c r="F1262" t="s">
        <v>3244</v>
      </c>
      <c r="G1262" t="str">
        <f ca="1">PROPER(Table1[[#This Row],[Part Time 
Job]])</f>
        <v>False</v>
      </c>
      <c r="H1262" s="3">
        <v>2</v>
      </c>
      <c r="I1262" t="str">
        <f ca="1">PROPER(Table1[[#This Row],[Extracurricular 
Activities]])</f>
        <v>False</v>
      </c>
      <c r="J1262">
        <v>16</v>
      </c>
      <c r="K1262" t="s">
        <v>3122</v>
      </c>
      <c r="L1262">
        <v>70</v>
      </c>
      <c r="M1262" s="12" t="str" cm="1">
        <f t="array" ref="M1262">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262">
        <v>75</v>
      </c>
      <c r="O1262" s="13" t="str" cm="1">
        <f t="array" ref="O126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262">
        <v>79</v>
      </c>
      <c r="Q1262" s="13" t="str" cm="1">
        <f t="array" ref="Q126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262">
        <v>77</v>
      </c>
      <c r="S1262" t="str" cm="1">
        <f t="array" ref="S126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262">
        <v>65</v>
      </c>
      <c r="U1262" t="str" cm="1">
        <f t="array" ref="U126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262">
        <v>92</v>
      </c>
      <c r="W1262" t="str" cm="1">
        <f t="array" ref="W126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262">
        <v>78</v>
      </c>
      <c r="Y1262" t="str" cm="1">
        <f t="array" ref="Y126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262">
        <f>SUM(Table1[[#This Row],[Math 
Score]],Table1[[#This Row],[History 
Score]],Table1[[#This Row],[Physics 
Score]],Table1[[#This Row],[Chemistry 
Score]],Table1[[#This Row],[Biology 
Score]],Table1[[#This Row],[English 
Score]],Table1[[#This Row],[Geography 
Score]])</f>
        <v>536</v>
      </c>
      <c r="AA1262" s="3">
        <f>AVERAGE(Table1[[#This Row],[Math 
Score]],Table1[[#This Row],[History 
Score]],Table1[[#This Row],[Physics 
Score]],Table1[[#This Row],[Chemistry 
Score]],Table1[[#This Row],[Biology 
Score]],Table1[[#This Row],[English 
Score]],Table1[[#This Row],[Geography 
Score]])</f>
        <v>76.571428571428569</v>
      </c>
      <c r="AB126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262">
        <f t="shared" si="19"/>
        <v>1567</v>
      </c>
      <c r="AD1262" t="str">
        <f>_xlfn.IFS(Table1[[#This Row],[Absence 
Days]]&lt;3,"Excellent",Table1[[#This Row],[Absence 
Days]]&lt;=6,"Good",Table1[[#This Row],[Absence 
Days]]&gt;6,"Poor")</f>
        <v>Excellent</v>
      </c>
    </row>
    <row r="1263" spans="1:30" x14ac:dyDescent="0.35">
      <c r="A1263">
        <v>1262</v>
      </c>
      <c r="B1263" s="2" t="s">
        <v>33</v>
      </c>
      <c r="C1263" t="s">
        <v>672</v>
      </c>
      <c r="D1263" t="str">
        <f>_xlfn.TEXTJOIN(" ",TRUE,Table1[[#This Row],[First 
Name]:[Last 
Name]])</f>
        <v>Ryan Ruiz</v>
      </c>
      <c r="E1263" t="s">
        <v>2373</v>
      </c>
      <c r="F1263" t="s">
        <v>3244</v>
      </c>
      <c r="G1263" t="str">
        <f ca="1">PROPER(Table1[[#This Row],[Part Time 
Job]])</f>
        <v>False</v>
      </c>
      <c r="H1263" s="3">
        <v>3</v>
      </c>
      <c r="I1263" t="str">
        <f ca="1">PROPER(Table1[[#This Row],[Extracurricular 
Activities]])</f>
        <v>True</v>
      </c>
      <c r="J1263">
        <v>21</v>
      </c>
      <c r="K1263" t="s">
        <v>3113</v>
      </c>
      <c r="L1263">
        <v>96</v>
      </c>
      <c r="M1263" s="12" t="str" cm="1">
        <f t="array" ref="M126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263">
        <v>79</v>
      </c>
      <c r="O1263" s="13" t="str" cm="1">
        <f t="array" ref="O126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263">
        <v>92</v>
      </c>
      <c r="Q1263" s="13" t="str" cm="1">
        <f t="array" ref="Q126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263">
        <v>85</v>
      </c>
      <c r="S1263" t="str" cm="1">
        <f t="array" ref="S126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263">
        <v>95</v>
      </c>
      <c r="U1263" t="str" cm="1">
        <f t="array" ref="U126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263">
        <v>69</v>
      </c>
      <c r="W1263" t="str" cm="1">
        <f t="array" ref="W126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263">
        <v>65</v>
      </c>
      <c r="Y1263" t="str" cm="1">
        <f t="array" ref="Y126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263">
        <f>SUM(Table1[[#This Row],[Math 
Score]],Table1[[#This Row],[History 
Score]],Table1[[#This Row],[Physics 
Score]],Table1[[#This Row],[Chemistry 
Score]],Table1[[#This Row],[Biology 
Score]],Table1[[#This Row],[English 
Score]],Table1[[#This Row],[Geography 
Score]])</f>
        <v>581</v>
      </c>
      <c r="AA1263" s="3">
        <f>AVERAGE(Table1[[#This Row],[Math 
Score]],Table1[[#This Row],[History 
Score]],Table1[[#This Row],[Physics 
Score]],Table1[[#This Row],[Chemistry 
Score]],Table1[[#This Row],[Biology 
Score]],Table1[[#This Row],[English 
Score]],Table1[[#This Row],[Geography 
Score]])</f>
        <v>83</v>
      </c>
      <c r="AB126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263">
        <f t="shared" si="19"/>
        <v>688</v>
      </c>
      <c r="AD1263" t="str">
        <f>_xlfn.IFS(Table1[[#This Row],[Absence 
Days]]&lt;3,"Excellent",Table1[[#This Row],[Absence 
Days]]&lt;=6,"Good",Table1[[#This Row],[Absence 
Days]]&gt;6,"Poor")</f>
        <v>Good</v>
      </c>
    </row>
    <row r="1264" spans="1:30" x14ac:dyDescent="0.35">
      <c r="A1264">
        <v>1263</v>
      </c>
      <c r="B1264" s="2" t="s">
        <v>70</v>
      </c>
      <c r="C1264" t="s">
        <v>981</v>
      </c>
      <c r="D1264" t="str">
        <f>_xlfn.TEXTJOIN(" ",TRUE,Table1[[#This Row],[First 
Name]:[Last 
Name]])</f>
        <v>Charles Gill</v>
      </c>
      <c r="E1264" t="s">
        <v>2374</v>
      </c>
      <c r="F1264" t="s">
        <v>3244</v>
      </c>
      <c r="G1264" t="str">
        <f ca="1">PROPER(Table1[[#This Row],[Part Time 
Job]])</f>
        <v>False</v>
      </c>
      <c r="H1264" s="3">
        <v>1</v>
      </c>
      <c r="I1264" t="str">
        <f ca="1">PROPER(Table1[[#This Row],[Extracurricular 
Activities]])</f>
        <v>False</v>
      </c>
      <c r="J1264">
        <v>24</v>
      </c>
      <c r="K1264" t="s">
        <v>3117</v>
      </c>
      <c r="L1264">
        <v>99</v>
      </c>
      <c r="M1264" s="12" t="str" cm="1">
        <f t="array" ref="M126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264">
        <v>62</v>
      </c>
      <c r="O1264" s="13" t="str" cm="1">
        <f t="array" ref="O126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264">
        <v>65</v>
      </c>
      <c r="Q1264" s="13" t="str" cm="1">
        <f t="array" ref="Q126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264">
        <v>67</v>
      </c>
      <c r="S1264" t="str" cm="1">
        <f t="array" ref="S126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264">
        <v>97</v>
      </c>
      <c r="U1264" t="str" cm="1">
        <f t="array" ref="U126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264">
        <v>73</v>
      </c>
      <c r="W1264" t="str" cm="1">
        <f t="array" ref="W126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264">
        <v>96</v>
      </c>
      <c r="Y1264" t="str" cm="1">
        <f t="array" ref="Y126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264">
        <f>SUM(Table1[[#This Row],[Math 
Score]],Table1[[#This Row],[History 
Score]],Table1[[#This Row],[Physics 
Score]],Table1[[#This Row],[Chemistry 
Score]],Table1[[#This Row],[Biology 
Score]],Table1[[#This Row],[English 
Score]],Table1[[#This Row],[Geography 
Score]])</f>
        <v>559</v>
      </c>
      <c r="AA1264" s="3">
        <f>AVERAGE(Table1[[#This Row],[Math 
Score]],Table1[[#This Row],[History 
Score]],Table1[[#This Row],[Physics 
Score]],Table1[[#This Row],[Chemistry 
Score]],Table1[[#This Row],[Biology 
Score]],Table1[[#This Row],[English 
Score]],Table1[[#This Row],[Geography 
Score]])</f>
        <v>79.857142857142861</v>
      </c>
      <c r="AB126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264">
        <f t="shared" si="19"/>
        <v>1155</v>
      </c>
      <c r="AD1264" t="str">
        <f>_xlfn.IFS(Table1[[#This Row],[Absence 
Days]]&lt;3,"Excellent",Table1[[#This Row],[Absence 
Days]]&lt;=6,"Good",Table1[[#This Row],[Absence 
Days]]&gt;6,"Poor")</f>
        <v>Excellent</v>
      </c>
    </row>
    <row r="1265" spans="1:30" x14ac:dyDescent="0.35">
      <c r="A1265">
        <v>1264</v>
      </c>
      <c r="B1265" s="2" t="s">
        <v>99</v>
      </c>
      <c r="C1265" t="s">
        <v>512</v>
      </c>
      <c r="D1265" t="str">
        <f>_xlfn.TEXTJOIN(" ",TRUE,Table1[[#This Row],[First 
Name]:[Last 
Name]])</f>
        <v>Amanda Edwards</v>
      </c>
      <c r="E1265" t="s">
        <v>2375</v>
      </c>
      <c r="F1265" t="s">
        <v>3245</v>
      </c>
      <c r="G1265" t="str">
        <f ca="1">PROPER(Table1[[#This Row],[Part Time 
Job]])</f>
        <v>False</v>
      </c>
      <c r="H1265" s="3">
        <v>3</v>
      </c>
      <c r="I1265" t="str">
        <f ca="1">PROPER(Table1[[#This Row],[Extracurricular 
Activities]])</f>
        <v>True</v>
      </c>
      <c r="J1265">
        <v>27</v>
      </c>
      <c r="K1265" t="s">
        <v>3116</v>
      </c>
      <c r="L1265">
        <v>76</v>
      </c>
      <c r="M1265" s="12" t="str" cm="1">
        <f t="array" ref="M126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265">
        <v>72</v>
      </c>
      <c r="O1265" s="13" t="str" cm="1">
        <f t="array" ref="O126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265">
        <v>97</v>
      </c>
      <c r="Q1265" s="13" t="str" cm="1">
        <f t="array" ref="Q126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265">
        <v>65</v>
      </c>
      <c r="S1265" t="str" cm="1">
        <f t="array" ref="S126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265">
        <v>87</v>
      </c>
      <c r="U1265" t="str" cm="1">
        <f t="array" ref="U126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265">
        <v>93</v>
      </c>
      <c r="W1265" t="str" cm="1">
        <f t="array" ref="W126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265">
        <v>84</v>
      </c>
      <c r="Y1265" t="str" cm="1">
        <f t="array" ref="Y126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265">
        <f>SUM(Table1[[#This Row],[Math 
Score]],Table1[[#This Row],[History 
Score]],Table1[[#This Row],[Physics 
Score]],Table1[[#This Row],[Chemistry 
Score]],Table1[[#This Row],[Biology 
Score]],Table1[[#This Row],[English 
Score]],Table1[[#This Row],[Geography 
Score]])</f>
        <v>574</v>
      </c>
      <c r="AA1265" s="3">
        <f>AVERAGE(Table1[[#This Row],[Math 
Score]],Table1[[#This Row],[History 
Score]],Table1[[#This Row],[Physics 
Score]],Table1[[#This Row],[Chemistry 
Score]],Table1[[#This Row],[Biology 
Score]],Table1[[#This Row],[English 
Score]],Table1[[#This Row],[Geography 
Score]])</f>
        <v>82</v>
      </c>
      <c r="AB126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265">
        <f t="shared" si="19"/>
        <v>832</v>
      </c>
      <c r="AD1265" t="str">
        <f>_xlfn.IFS(Table1[[#This Row],[Absence 
Days]]&lt;3,"Excellent",Table1[[#This Row],[Absence 
Days]]&lt;=6,"Good",Table1[[#This Row],[Absence 
Days]]&gt;6,"Poor")</f>
        <v>Good</v>
      </c>
    </row>
    <row r="1266" spans="1:30" x14ac:dyDescent="0.35">
      <c r="A1266">
        <v>1265</v>
      </c>
      <c r="B1266" s="2" t="s">
        <v>37</v>
      </c>
      <c r="C1266" t="s">
        <v>637</v>
      </c>
      <c r="D1266" t="str">
        <f>_xlfn.TEXTJOIN(" ",TRUE,Table1[[#This Row],[First 
Name]:[Last 
Name]])</f>
        <v>Emily Waters</v>
      </c>
      <c r="E1266" t="s">
        <v>2376</v>
      </c>
      <c r="F1266" t="s">
        <v>3245</v>
      </c>
      <c r="G1266" t="str">
        <f ca="1">PROPER(Table1[[#This Row],[Part Time 
Job]])</f>
        <v>True</v>
      </c>
      <c r="H1266" s="3">
        <v>4</v>
      </c>
      <c r="I1266" t="str">
        <f ca="1">PROPER(Table1[[#This Row],[Extracurricular 
Activities]])</f>
        <v>True</v>
      </c>
      <c r="J1266">
        <v>24</v>
      </c>
      <c r="K1266" t="s">
        <v>3127</v>
      </c>
      <c r="L1266">
        <v>86</v>
      </c>
      <c r="M1266" s="12" t="str" cm="1">
        <f t="array" ref="M126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266">
        <v>68</v>
      </c>
      <c r="O1266" s="13" t="str" cm="1">
        <f t="array" ref="O126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266">
        <v>98</v>
      </c>
      <c r="Q1266" s="13" t="str" cm="1">
        <f t="array" ref="Q126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266">
        <v>87</v>
      </c>
      <c r="S1266" t="str" cm="1">
        <f t="array" ref="S126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266">
        <v>61</v>
      </c>
      <c r="U1266" t="str" cm="1">
        <f t="array" ref="U126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266">
        <v>78</v>
      </c>
      <c r="W1266" t="str" cm="1">
        <f t="array" ref="W126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266">
        <v>96</v>
      </c>
      <c r="Y1266" t="str" cm="1">
        <f t="array" ref="Y126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266">
        <f>SUM(Table1[[#This Row],[Math 
Score]],Table1[[#This Row],[History 
Score]],Table1[[#This Row],[Physics 
Score]],Table1[[#This Row],[Chemistry 
Score]],Table1[[#This Row],[Biology 
Score]],Table1[[#This Row],[English 
Score]],Table1[[#This Row],[Geography 
Score]])</f>
        <v>574</v>
      </c>
      <c r="AA1266" s="3">
        <f>AVERAGE(Table1[[#This Row],[Math 
Score]],Table1[[#This Row],[History 
Score]],Table1[[#This Row],[Physics 
Score]],Table1[[#This Row],[Chemistry 
Score]],Table1[[#This Row],[Biology 
Score]],Table1[[#This Row],[English 
Score]],Table1[[#This Row],[Geography 
Score]])</f>
        <v>82</v>
      </c>
      <c r="AB126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266">
        <f t="shared" si="19"/>
        <v>832</v>
      </c>
      <c r="AD1266" t="str">
        <f>_xlfn.IFS(Table1[[#This Row],[Absence 
Days]]&lt;3,"Excellent",Table1[[#This Row],[Absence 
Days]]&lt;=6,"Good",Table1[[#This Row],[Absence 
Days]]&gt;6,"Poor")</f>
        <v>Good</v>
      </c>
    </row>
    <row r="1267" spans="1:30" x14ac:dyDescent="0.35">
      <c r="A1267">
        <v>1266</v>
      </c>
      <c r="B1267" s="2" t="s">
        <v>124</v>
      </c>
      <c r="C1267" t="s">
        <v>685</v>
      </c>
      <c r="D1267" t="str">
        <f>_xlfn.TEXTJOIN(" ",TRUE,Table1[[#This Row],[First 
Name]:[Last 
Name]])</f>
        <v>John Stevenson</v>
      </c>
      <c r="E1267" t="s">
        <v>2377</v>
      </c>
      <c r="F1267" t="s">
        <v>3244</v>
      </c>
      <c r="G1267" t="str">
        <f ca="1">PROPER(Table1[[#This Row],[Part Time 
Job]])</f>
        <v>False</v>
      </c>
      <c r="H1267" s="3">
        <v>5</v>
      </c>
      <c r="I1267" t="str">
        <f ca="1">PROPER(Table1[[#This Row],[Extracurricular 
Activities]])</f>
        <v>False</v>
      </c>
      <c r="J1267">
        <v>27</v>
      </c>
      <c r="K1267" t="s">
        <v>3125</v>
      </c>
      <c r="L1267">
        <v>98</v>
      </c>
      <c r="M1267" s="12" t="str" cm="1">
        <f t="array" ref="M126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267">
        <v>100</v>
      </c>
      <c r="O1267" s="13" t="str" cm="1">
        <f t="array" ref="O126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267">
        <v>100</v>
      </c>
      <c r="Q1267" s="13" t="str" cm="1">
        <f t="array" ref="Q126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267">
        <v>81</v>
      </c>
      <c r="S1267" t="str" cm="1">
        <f t="array" ref="S126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267">
        <v>73</v>
      </c>
      <c r="U1267" t="str" cm="1">
        <f t="array" ref="U126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267">
        <v>75</v>
      </c>
      <c r="W1267" t="str" cm="1">
        <f t="array" ref="W126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267">
        <v>99</v>
      </c>
      <c r="Y1267" t="str" cm="1">
        <f t="array" ref="Y126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267">
        <f>SUM(Table1[[#This Row],[Math 
Score]],Table1[[#This Row],[History 
Score]],Table1[[#This Row],[Physics 
Score]],Table1[[#This Row],[Chemistry 
Score]],Table1[[#This Row],[Biology 
Score]],Table1[[#This Row],[English 
Score]],Table1[[#This Row],[Geography 
Score]])</f>
        <v>626</v>
      </c>
      <c r="AA1267" s="3">
        <f>AVERAGE(Table1[[#This Row],[Math 
Score]],Table1[[#This Row],[History 
Score]],Table1[[#This Row],[Physics 
Score]],Table1[[#This Row],[Chemistry 
Score]],Table1[[#This Row],[Biology 
Score]],Table1[[#This Row],[English 
Score]],Table1[[#This Row],[Geography 
Score]])</f>
        <v>89.428571428571431</v>
      </c>
      <c r="AB126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267">
        <f t="shared" si="19"/>
        <v>179</v>
      </c>
      <c r="AD1267" t="str">
        <f>_xlfn.IFS(Table1[[#This Row],[Absence 
Days]]&lt;3,"Excellent",Table1[[#This Row],[Absence 
Days]]&lt;=6,"Good",Table1[[#This Row],[Absence 
Days]]&gt;6,"Poor")</f>
        <v>Good</v>
      </c>
    </row>
    <row r="1268" spans="1:30" x14ac:dyDescent="0.35">
      <c r="A1268">
        <v>1267</v>
      </c>
      <c r="B1268" s="2" t="s">
        <v>167</v>
      </c>
      <c r="C1268" t="s">
        <v>883</v>
      </c>
      <c r="D1268" t="str">
        <f>_xlfn.TEXTJOIN(" ",TRUE,Table1[[#This Row],[First 
Name]:[Last 
Name]])</f>
        <v>Kevin Hoffman</v>
      </c>
      <c r="E1268" t="s">
        <v>2378</v>
      </c>
      <c r="F1268" t="s">
        <v>3244</v>
      </c>
      <c r="G1268" t="str">
        <f ca="1">PROPER(Table1[[#This Row],[Part Time 
Job]])</f>
        <v>False</v>
      </c>
      <c r="H1268" s="3">
        <v>3</v>
      </c>
      <c r="I1268" t="str">
        <f ca="1">PROPER(Table1[[#This Row],[Extracurricular 
Activities]])</f>
        <v>False</v>
      </c>
      <c r="J1268">
        <v>14</v>
      </c>
      <c r="K1268" t="s">
        <v>3114</v>
      </c>
      <c r="L1268">
        <v>88</v>
      </c>
      <c r="M1268" s="12" t="str" cm="1">
        <f t="array" ref="M126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268">
        <v>74</v>
      </c>
      <c r="O1268" s="13" t="str" cm="1">
        <f t="array" ref="O126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268">
        <v>88</v>
      </c>
      <c r="Q1268" s="13" t="str" cm="1">
        <f t="array" ref="Q126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268">
        <v>92</v>
      </c>
      <c r="S1268" t="str" cm="1">
        <f t="array" ref="S126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268">
        <v>83</v>
      </c>
      <c r="U1268" t="str" cm="1">
        <f t="array" ref="U126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268">
        <v>71</v>
      </c>
      <c r="W1268" t="str" cm="1">
        <f t="array" ref="W126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268">
        <v>89</v>
      </c>
      <c r="Y1268" t="str" cm="1">
        <f t="array" ref="Y126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268">
        <f>SUM(Table1[[#This Row],[Math 
Score]],Table1[[#This Row],[History 
Score]],Table1[[#This Row],[Physics 
Score]],Table1[[#This Row],[Chemistry 
Score]],Table1[[#This Row],[Biology 
Score]],Table1[[#This Row],[English 
Score]],Table1[[#This Row],[Geography 
Score]])</f>
        <v>585</v>
      </c>
      <c r="AA1268" s="3">
        <f>AVERAGE(Table1[[#This Row],[Math 
Score]],Table1[[#This Row],[History 
Score]],Table1[[#This Row],[Physics 
Score]],Table1[[#This Row],[Chemistry 
Score]],Table1[[#This Row],[Biology 
Score]],Table1[[#This Row],[English 
Score]],Table1[[#This Row],[Geography 
Score]])</f>
        <v>83.571428571428569</v>
      </c>
      <c r="AB126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268">
        <f t="shared" si="19"/>
        <v>615</v>
      </c>
      <c r="AD1268" t="str">
        <f>_xlfn.IFS(Table1[[#This Row],[Absence 
Days]]&lt;3,"Excellent",Table1[[#This Row],[Absence 
Days]]&lt;=6,"Good",Table1[[#This Row],[Absence 
Days]]&gt;6,"Poor")</f>
        <v>Good</v>
      </c>
    </row>
    <row r="1269" spans="1:30" x14ac:dyDescent="0.35">
      <c r="A1269">
        <v>1268</v>
      </c>
      <c r="B1269" s="2" t="s">
        <v>149</v>
      </c>
      <c r="C1269" t="s">
        <v>982</v>
      </c>
      <c r="D1269" t="str">
        <f>_xlfn.TEXTJOIN(" ",TRUE,Table1[[#This Row],[First 
Name]:[Last 
Name]])</f>
        <v>Joseph Mcconnell</v>
      </c>
      <c r="E1269" t="s">
        <v>2379</v>
      </c>
      <c r="F1269" t="s">
        <v>3244</v>
      </c>
      <c r="G1269" t="str">
        <f ca="1">PROPER(Table1[[#This Row],[Part Time 
Job]])</f>
        <v>False</v>
      </c>
      <c r="H1269" s="3">
        <v>8</v>
      </c>
      <c r="I1269" t="str">
        <f ca="1">PROPER(Table1[[#This Row],[Extracurricular 
Activities]])</f>
        <v>False</v>
      </c>
      <c r="J1269">
        <v>30</v>
      </c>
      <c r="K1269" t="s">
        <v>3117</v>
      </c>
      <c r="L1269">
        <v>89</v>
      </c>
      <c r="M1269" s="12" t="str" cm="1">
        <f t="array" ref="M126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269">
        <v>65</v>
      </c>
      <c r="O1269" s="13" t="str" cm="1">
        <f t="array" ref="O126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269">
        <v>71</v>
      </c>
      <c r="Q1269" s="13" t="str" cm="1">
        <f t="array" ref="Q126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269">
        <v>96</v>
      </c>
      <c r="S1269" t="str" cm="1">
        <f t="array" ref="S126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269">
        <v>65</v>
      </c>
      <c r="U1269" t="str" cm="1">
        <f t="array" ref="U126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269">
        <v>63</v>
      </c>
      <c r="W1269" t="str" cm="1">
        <f t="array" ref="W126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269">
        <v>100</v>
      </c>
      <c r="Y1269" t="str" cm="1">
        <f t="array" ref="Y126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269">
        <f>SUM(Table1[[#This Row],[Math 
Score]],Table1[[#This Row],[History 
Score]],Table1[[#This Row],[Physics 
Score]],Table1[[#This Row],[Chemistry 
Score]],Table1[[#This Row],[Biology 
Score]],Table1[[#This Row],[English 
Score]],Table1[[#This Row],[Geography 
Score]])</f>
        <v>549</v>
      </c>
      <c r="AA1269" s="3">
        <f>AVERAGE(Table1[[#This Row],[Math 
Score]],Table1[[#This Row],[History 
Score]],Table1[[#This Row],[Physics 
Score]],Table1[[#This Row],[Chemistry 
Score]],Table1[[#This Row],[Biology 
Score]],Table1[[#This Row],[English 
Score]],Table1[[#This Row],[Geography 
Score]])</f>
        <v>78.428571428571431</v>
      </c>
      <c r="AB126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269">
        <f t="shared" si="19"/>
        <v>1355</v>
      </c>
      <c r="AD1269" t="str">
        <f>_xlfn.IFS(Table1[[#This Row],[Absence 
Days]]&lt;3,"Excellent",Table1[[#This Row],[Absence 
Days]]&lt;=6,"Good",Table1[[#This Row],[Absence 
Days]]&gt;6,"Poor")</f>
        <v>Poor</v>
      </c>
    </row>
    <row r="1270" spans="1:30" x14ac:dyDescent="0.35">
      <c r="A1270">
        <v>1269</v>
      </c>
      <c r="B1270" s="2" t="s">
        <v>102</v>
      </c>
      <c r="C1270" t="s">
        <v>458</v>
      </c>
      <c r="D1270" t="str">
        <f>_xlfn.TEXTJOIN(" ",TRUE,Table1[[#This Row],[First 
Name]:[Last 
Name]])</f>
        <v>Jessica Smith</v>
      </c>
      <c r="E1270" t="s">
        <v>2380</v>
      </c>
      <c r="F1270" t="s">
        <v>3245</v>
      </c>
      <c r="G1270" t="str">
        <f ca="1">PROPER(Table1[[#This Row],[Part Time 
Job]])</f>
        <v>False</v>
      </c>
      <c r="H1270" s="3">
        <v>1</v>
      </c>
      <c r="I1270" t="str">
        <f ca="1">PROPER(Table1[[#This Row],[Extracurricular 
Activities]])</f>
        <v>False</v>
      </c>
      <c r="J1270">
        <v>24</v>
      </c>
      <c r="K1270" t="s">
        <v>3112</v>
      </c>
      <c r="L1270">
        <v>88</v>
      </c>
      <c r="M1270" s="12" t="str" cm="1">
        <f t="array" ref="M127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270">
        <v>100</v>
      </c>
      <c r="O1270" s="13" t="str" cm="1">
        <f t="array" ref="O127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270">
        <v>89</v>
      </c>
      <c r="Q1270" s="13" t="str" cm="1">
        <f t="array" ref="Q127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270">
        <v>87</v>
      </c>
      <c r="S1270" t="str" cm="1">
        <f t="array" ref="S127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270">
        <v>76</v>
      </c>
      <c r="U1270" t="str" cm="1">
        <f t="array" ref="U127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270">
        <v>89</v>
      </c>
      <c r="W1270" t="str" cm="1">
        <f t="array" ref="W127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270">
        <v>85</v>
      </c>
      <c r="Y1270" t="str" cm="1">
        <f t="array" ref="Y127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270">
        <f>SUM(Table1[[#This Row],[Math 
Score]],Table1[[#This Row],[History 
Score]],Table1[[#This Row],[Physics 
Score]],Table1[[#This Row],[Chemistry 
Score]],Table1[[#This Row],[Biology 
Score]],Table1[[#This Row],[English 
Score]],Table1[[#This Row],[Geography 
Score]])</f>
        <v>614</v>
      </c>
      <c r="AA1270" s="3">
        <f>AVERAGE(Table1[[#This Row],[Math 
Score]],Table1[[#This Row],[History 
Score]],Table1[[#This Row],[Physics 
Score]],Table1[[#This Row],[Chemistry 
Score]],Table1[[#This Row],[Biology 
Score]],Table1[[#This Row],[English 
Score]],Table1[[#This Row],[Geography 
Score]])</f>
        <v>87.714285714285708</v>
      </c>
      <c r="AB127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270">
        <f t="shared" si="19"/>
        <v>260</v>
      </c>
      <c r="AD1270" t="str">
        <f>_xlfn.IFS(Table1[[#This Row],[Absence 
Days]]&lt;3,"Excellent",Table1[[#This Row],[Absence 
Days]]&lt;=6,"Good",Table1[[#This Row],[Absence 
Days]]&gt;6,"Poor")</f>
        <v>Excellent</v>
      </c>
    </row>
    <row r="1271" spans="1:30" x14ac:dyDescent="0.35">
      <c r="A1271">
        <v>1270</v>
      </c>
      <c r="B1271" s="2" t="s">
        <v>21</v>
      </c>
      <c r="C1271" t="s">
        <v>486</v>
      </c>
      <c r="D1271" t="str">
        <f>_xlfn.TEXTJOIN(" ",TRUE,Table1[[#This Row],[First 
Name]:[Last 
Name]])</f>
        <v>Shannon Martinez</v>
      </c>
      <c r="E1271" t="s">
        <v>2381</v>
      </c>
      <c r="F1271" t="s">
        <v>3245</v>
      </c>
      <c r="G1271" t="str">
        <f ca="1">PROPER(Table1[[#This Row],[Part Time 
Job]])</f>
        <v>False</v>
      </c>
      <c r="H1271" s="3">
        <v>4</v>
      </c>
      <c r="I1271" t="str">
        <f ca="1">PROPER(Table1[[#This Row],[Extracurricular 
Activities]])</f>
        <v>False</v>
      </c>
      <c r="J1271">
        <v>0</v>
      </c>
      <c r="K1271" t="s">
        <v>3119</v>
      </c>
      <c r="L1271">
        <v>78</v>
      </c>
      <c r="M1271" s="12" t="str" cm="1">
        <f t="array" ref="M127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271">
        <v>73</v>
      </c>
      <c r="O1271" s="13" t="str" cm="1">
        <f t="array" ref="O127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271">
        <v>89</v>
      </c>
      <c r="Q1271" s="13" t="str" cm="1">
        <f t="array" ref="Q127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271">
        <v>86</v>
      </c>
      <c r="S1271" t="str" cm="1">
        <f t="array" ref="S127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271">
        <v>69</v>
      </c>
      <c r="U1271" t="str" cm="1">
        <f t="array" ref="U127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271">
        <v>84</v>
      </c>
      <c r="W1271" t="str" cm="1">
        <f t="array" ref="W127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271">
        <v>97</v>
      </c>
      <c r="Y1271" t="str" cm="1">
        <f t="array" ref="Y127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271">
        <f>SUM(Table1[[#This Row],[Math 
Score]],Table1[[#This Row],[History 
Score]],Table1[[#This Row],[Physics 
Score]],Table1[[#This Row],[Chemistry 
Score]],Table1[[#This Row],[Biology 
Score]],Table1[[#This Row],[English 
Score]],Table1[[#This Row],[Geography 
Score]])</f>
        <v>576</v>
      </c>
      <c r="AA1271" s="3">
        <f>AVERAGE(Table1[[#This Row],[Math 
Score]],Table1[[#This Row],[History 
Score]],Table1[[#This Row],[Physics 
Score]],Table1[[#This Row],[Chemistry 
Score]],Table1[[#This Row],[Biology 
Score]],Table1[[#This Row],[English 
Score]],Table1[[#This Row],[Geography 
Score]])</f>
        <v>82.285714285714292</v>
      </c>
      <c r="AB127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271">
        <f t="shared" si="19"/>
        <v>789</v>
      </c>
      <c r="AD1271" t="str">
        <f>_xlfn.IFS(Table1[[#This Row],[Absence 
Days]]&lt;3,"Excellent",Table1[[#This Row],[Absence 
Days]]&lt;=6,"Good",Table1[[#This Row],[Absence 
Days]]&gt;6,"Poor")</f>
        <v>Good</v>
      </c>
    </row>
    <row r="1272" spans="1:30" x14ac:dyDescent="0.35">
      <c r="A1272">
        <v>1271</v>
      </c>
      <c r="B1272" s="2" t="s">
        <v>41</v>
      </c>
      <c r="C1272" t="s">
        <v>708</v>
      </c>
      <c r="D1272" t="str">
        <f>_xlfn.TEXTJOIN(" ",TRUE,Table1[[#This Row],[First 
Name]:[Last 
Name]])</f>
        <v>Kenneth Baker</v>
      </c>
      <c r="E1272" t="s">
        <v>2382</v>
      </c>
      <c r="F1272" t="s">
        <v>3244</v>
      </c>
      <c r="G1272" t="str">
        <f ca="1">PROPER(Table1[[#This Row],[Part Time 
Job]])</f>
        <v>False</v>
      </c>
      <c r="H1272" s="3">
        <v>3</v>
      </c>
      <c r="I1272" t="str">
        <f ca="1">PROPER(Table1[[#This Row],[Extracurricular 
Activities]])</f>
        <v>False</v>
      </c>
      <c r="J1272">
        <v>35</v>
      </c>
      <c r="K1272" t="s">
        <v>3113</v>
      </c>
      <c r="L1272">
        <v>87</v>
      </c>
      <c r="M1272" s="12" t="str" cm="1">
        <f t="array" ref="M127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272">
        <v>85</v>
      </c>
      <c r="O1272" s="13" t="str" cm="1">
        <f t="array" ref="O127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272">
        <v>96</v>
      </c>
      <c r="Q1272" s="13" t="str" cm="1">
        <f t="array" ref="Q127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272">
        <v>98</v>
      </c>
      <c r="S1272" t="str" cm="1">
        <f t="array" ref="S127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272">
        <v>88</v>
      </c>
      <c r="U1272" t="str" cm="1">
        <f t="array" ref="U127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272">
        <v>99</v>
      </c>
      <c r="W1272" t="str" cm="1">
        <f t="array" ref="W127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272">
        <v>92</v>
      </c>
      <c r="Y1272" t="str" cm="1">
        <f t="array" ref="Y127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272">
        <f>SUM(Table1[[#This Row],[Math 
Score]],Table1[[#This Row],[History 
Score]],Table1[[#This Row],[Physics 
Score]],Table1[[#This Row],[Chemistry 
Score]],Table1[[#This Row],[Biology 
Score]],Table1[[#This Row],[English 
Score]],Table1[[#This Row],[Geography 
Score]])</f>
        <v>645</v>
      </c>
      <c r="AA1272" s="3">
        <f>AVERAGE(Table1[[#This Row],[Math 
Score]],Table1[[#This Row],[History 
Score]],Table1[[#This Row],[Physics 
Score]],Table1[[#This Row],[Chemistry 
Score]],Table1[[#This Row],[Biology 
Score]],Table1[[#This Row],[English 
Score]],Table1[[#This Row],[Geography 
Score]])</f>
        <v>92.142857142857139</v>
      </c>
      <c r="AB127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272">
        <f t="shared" si="19"/>
        <v>81</v>
      </c>
      <c r="AD1272" t="str">
        <f>_xlfn.IFS(Table1[[#This Row],[Absence 
Days]]&lt;3,"Excellent",Table1[[#This Row],[Absence 
Days]]&lt;=6,"Good",Table1[[#This Row],[Absence 
Days]]&gt;6,"Poor")</f>
        <v>Good</v>
      </c>
    </row>
    <row r="1273" spans="1:30" x14ac:dyDescent="0.35">
      <c r="A1273">
        <v>1272</v>
      </c>
      <c r="B1273" s="2" t="s">
        <v>236</v>
      </c>
      <c r="C1273" t="s">
        <v>571</v>
      </c>
      <c r="D1273" t="str">
        <f>_xlfn.TEXTJOIN(" ",TRUE,Table1[[#This Row],[First 
Name]:[Last 
Name]])</f>
        <v>Margaret Sanchez</v>
      </c>
      <c r="E1273" t="s">
        <v>2383</v>
      </c>
      <c r="F1273" t="s">
        <v>3245</v>
      </c>
      <c r="G1273" t="str">
        <f ca="1">PROPER(Table1[[#This Row],[Part Time 
Job]])</f>
        <v>False</v>
      </c>
      <c r="H1273" s="3">
        <v>2</v>
      </c>
      <c r="I1273" t="str">
        <f ca="1">PROPER(Table1[[#This Row],[Extracurricular 
Activities]])</f>
        <v>False</v>
      </c>
      <c r="J1273">
        <v>21</v>
      </c>
      <c r="K1273" t="s">
        <v>3117</v>
      </c>
      <c r="L1273">
        <v>90</v>
      </c>
      <c r="M1273" s="12" t="str" cm="1">
        <f t="array" ref="M127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273">
        <v>76</v>
      </c>
      <c r="O1273" s="13" t="str" cm="1">
        <f t="array" ref="O127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273">
        <v>64</v>
      </c>
      <c r="Q1273" s="13" t="str" cm="1">
        <f t="array" ref="Q127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273">
        <v>88</v>
      </c>
      <c r="S1273" t="str" cm="1">
        <f t="array" ref="S127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273">
        <v>80</v>
      </c>
      <c r="U1273" t="str" cm="1">
        <f t="array" ref="U127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273">
        <v>75</v>
      </c>
      <c r="W1273" t="str" cm="1">
        <f t="array" ref="W127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273">
        <v>70</v>
      </c>
      <c r="Y1273" t="str" cm="1">
        <f t="array" ref="Y127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273">
        <f>SUM(Table1[[#This Row],[Math 
Score]],Table1[[#This Row],[History 
Score]],Table1[[#This Row],[Physics 
Score]],Table1[[#This Row],[Chemistry 
Score]],Table1[[#This Row],[Biology 
Score]],Table1[[#This Row],[English 
Score]],Table1[[#This Row],[Geography 
Score]])</f>
        <v>543</v>
      </c>
      <c r="AA1273" s="3">
        <f>AVERAGE(Table1[[#This Row],[Math 
Score]],Table1[[#This Row],[History 
Score]],Table1[[#This Row],[Physics 
Score]],Table1[[#This Row],[Chemistry 
Score]],Table1[[#This Row],[Biology 
Score]],Table1[[#This Row],[English 
Score]],Table1[[#This Row],[Geography 
Score]])</f>
        <v>77.571428571428569</v>
      </c>
      <c r="AB127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273">
        <f t="shared" si="19"/>
        <v>1464</v>
      </c>
      <c r="AD1273" t="str">
        <f>_xlfn.IFS(Table1[[#This Row],[Absence 
Days]]&lt;3,"Excellent",Table1[[#This Row],[Absence 
Days]]&lt;=6,"Good",Table1[[#This Row],[Absence 
Days]]&gt;6,"Poor")</f>
        <v>Excellent</v>
      </c>
    </row>
    <row r="1274" spans="1:30" x14ac:dyDescent="0.35">
      <c r="A1274">
        <v>1273</v>
      </c>
      <c r="B1274" s="2" t="s">
        <v>33</v>
      </c>
      <c r="C1274" t="s">
        <v>983</v>
      </c>
      <c r="D1274" t="str">
        <f>_xlfn.TEXTJOIN(" ",TRUE,Table1[[#This Row],[First 
Name]:[Last 
Name]])</f>
        <v>Ryan Hensley</v>
      </c>
      <c r="E1274" t="s">
        <v>2384</v>
      </c>
      <c r="F1274" t="s">
        <v>3244</v>
      </c>
      <c r="G1274" t="str">
        <f ca="1">PROPER(Table1[[#This Row],[Part Time 
Job]])</f>
        <v>True</v>
      </c>
      <c r="H1274" s="3">
        <v>1</v>
      </c>
      <c r="I1274" t="str">
        <f ca="1">PROPER(Table1[[#This Row],[Extracurricular 
Activities]])</f>
        <v>False</v>
      </c>
      <c r="J1274">
        <v>15</v>
      </c>
      <c r="K1274" t="s">
        <v>3123</v>
      </c>
      <c r="L1274">
        <v>88</v>
      </c>
      <c r="M1274" s="12" t="str" cm="1">
        <f t="array" ref="M127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274">
        <v>67</v>
      </c>
      <c r="O1274" s="13" t="str" cm="1">
        <f t="array" ref="O127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274">
        <v>90</v>
      </c>
      <c r="Q1274" s="13" t="str" cm="1">
        <f t="array" ref="Q127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274">
        <v>89</v>
      </c>
      <c r="S1274" t="str" cm="1">
        <f t="array" ref="S127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274">
        <v>49</v>
      </c>
      <c r="U1274" t="str" cm="1">
        <f t="array" ref="U127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D</v>
      </c>
      <c r="V1274">
        <v>85</v>
      </c>
      <c r="W1274" t="str" cm="1">
        <f t="array" ref="W127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274">
        <v>63</v>
      </c>
      <c r="Y1274" t="str" cm="1">
        <f t="array" ref="Y127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274">
        <f>SUM(Table1[[#This Row],[Math 
Score]],Table1[[#This Row],[History 
Score]],Table1[[#This Row],[Physics 
Score]],Table1[[#This Row],[Chemistry 
Score]],Table1[[#This Row],[Biology 
Score]],Table1[[#This Row],[English 
Score]],Table1[[#This Row],[Geography 
Score]])</f>
        <v>531</v>
      </c>
      <c r="AA1274" s="3">
        <f>AVERAGE(Table1[[#This Row],[Math 
Score]],Table1[[#This Row],[History 
Score]],Table1[[#This Row],[Physics 
Score]],Table1[[#This Row],[Chemistry 
Score]],Table1[[#This Row],[Biology 
Score]],Table1[[#This Row],[English 
Score]],Table1[[#This Row],[Geography 
Score]])</f>
        <v>75.857142857142861</v>
      </c>
      <c r="AB127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274">
        <f t="shared" si="19"/>
        <v>1637</v>
      </c>
      <c r="AD1274" t="str">
        <f>_xlfn.IFS(Table1[[#This Row],[Absence 
Days]]&lt;3,"Excellent",Table1[[#This Row],[Absence 
Days]]&lt;=6,"Good",Table1[[#This Row],[Absence 
Days]]&gt;6,"Poor")</f>
        <v>Excellent</v>
      </c>
    </row>
    <row r="1275" spans="1:30" x14ac:dyDescent="0.35">
      <c r="A1275">
        <v>1274</v>
      </c>
      <c r="B1275" s="2" t="s">
        <v>238</v>
      </c>
      <c r="C1275" t="s">
        <v>984</v>
      </c>
      <c r="D1275" t="str">
        <f>_xlfn.TEXTJOIN(" ",TRUE,Table1[[#This Row],[First 
Name]:[Last 
Name]])</f>
        <v>Sharon Stephenson</v>
      </c>
      <c r="E1275" t="s">
        <v>2385</v>
      </c>
      <c r="F1275" t="s">
        <v>3245</v>
      </c>
      <c r="G1275" t="str">
        <f ca="1">PROPER(Table1[[#This Row],[Part Time 
Job]])</f>
        <v>False</v>
      </c>
      <c r="H1275" s="3">
        <v>1</v>
      </c>
      <c r="I1275" t="str">
        <f ca="1">PROPER(Table1[[#This Row],[Extracurricular 
Activities]])</f>
        <v>False</v>
      </c>
      <c r="J1275">
        <v>5</v>
      </c>
      <c r="K1275" t="s">
        <v>3126</v>
      </c>
      <c r="L1275">
        <v>99</v>
      </c>
      <c r="M1275" s="12" t="str" cm="1">
        <f t="array" ref="M127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275">
        <v>72</v>
      </c>
      <c r="O1275" s="13" t="str" cm="1">
        <f t="array" ref="O127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275">
        <v>90</v>
      </c>
      <c r="Q1275" s="13" t="str" cm="1">
        <f t="array" ref="Q127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275">
        <v>83</v>
      </c>
      <c r="S1275" t="str" cm="1">
        <f t="array" ref="S127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275">
        <v>90</v>
      </c>
      <c r="U1275" t="str" cm="1">
        <f t="array" ref="U127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275">
        <v>99</v>
      </c>
      <c r="W1275" t="str" cm="1">
        <f t="array" ref="W127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275">
        <v>97</v>
      </c>
      <c r="Y1275" t="str" cm="1">
        <f t="array" ref="Y127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275">
        <f>SUM(Table1[[#This Row],[Math 
Score]],Table1[[#This Row],[History 
Score]],Table1[[#This Row],[Physics 
Score]],Table1[[#This Row],[Chemistry 
Score]],Table1[[#This Row],[Biology 
Score]],Table1[[#This Row],[English 
Score]],Table1[[#This Row],[Geography 
Score]])</f>
        <v>630</v>
      </c>
      <c r="AA1275" s="3">
        <f>AVERAGE(Table1[[#This Row],[Math 
Score]],Table1[[#This Row],[History 
Score]],Table1[[#This Row],[Physics 
Score]],Table1[[#This Row],[Chemistry 
Score]],Table1[[#This Row],[Biology 
Score]],Table1[[#This Row],[English 
Score]],Table1[[#This Row],[Geography 
Score]])</f>
        <v>90</v>
      </c>
      <c r="AB127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275">
        <f t="shared" si="19"/>
        <v>154</v>
      </c>
      <c r="AD1275" t="str">
        <f>_xlfn.IFS(Table1[[#This Row],[Absence 
Days]]&lt;3,"Excellent",Table1[[#This Row],[Absence 
Days]]&lt;=6,"Good",Table1[[#This Row],[Absence 
Days]]&gt;6,"Poor")</f>
        <v>Excellent</v>
      </c>
    </row>
    <row r="1276" spans="1:30" x14ac:dyDescent="0.35">
      <c r="A1276">
        <v>1275</v>
      </c>
      <c r="B1276" s="2" t="s">
        <v>69</v>
      </c>
      <c r="C1276" t="s">
        <v>505</v>
      </c>
      <c r="D1276" t="str">
        <f>_xlfn.TEXTJOIN(" ",TRUE,Table1[[#This Row],[First 
Name]:[Last 
Name]])</f>
        <v>Shawn Cameron</v>
      </c>
      <c r="E1276" t="s">
        <v>2386</v>
      </c>
      <c r="F1276" t="s">
        <v>3244</v>
      </c>
      <c r="G1276" t="str">
        <f ca="1">PROPER(Table1[[#This Row],[Part Time 
Job]])</f>
        <v>True</v>
      </c>
      <c r="H1276" s="3">
        <v>10</v>
      </c>
      <c r="I1276" t="str">
        <f ca="1">PROPER(Table1[[#This Row],[Extracurricular 
Activities]])</f>
        <v>False</v>
      </c>
      <c r="J1276">
        <v>3</v>
      </c>
      <c r="K1276" t="s">
        <v>3119</v>
      </c>
      <c r="L1276">
        <v>41</v>
      </c>
      <c r="M1276" s="12" t="str" cm="1">
        <f t="array" ref="M1276">_xlfn.IFS(Table1[[#This Row],[Math 
Score]]&gt;=90,"A+",Table1[[#This Row],[Math 
Score]]&gt;=80,"A", Table1[[#This Row],[Math 
Score]]&gt;=75,"A-",Table1[[#This Row],[Math 
Score]]&gt;=70,"B+",Table1[[#This Row],[Math 
Score]]&gt;=65,"B",Table1[[#This Row],[Math 
Score]]&gt;=60,"B-",Table1[[#This Row],[Math 
Score]]&gt;=50,"C",Table1[[#This Row],[Math 
Score]]&gt;=40,"D",Table1[[#This Row],[Math 
Score]]&lt;40,"F")</f>
        <v>D</v>
      </c>
      <c r="N1276">
        <v>99</v>
      </c>
      <c r="O1276" s="13" t="str" cm="1">
        <f t="array" ref="O127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276">
        <v>84</v>
      </c>
      <c r="Q1276" s="13" t="str" cm="1">
        <f t="array" ref="Q127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276">
        <v>63</v>
      </c>
      <c r="S1276" t="str" cm="1">
        <f t="array" ref="S127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276">
        <v>92</v>
      </c>
      <c r="U1276" t="str" cm="1">
        <f t="array" ref="U127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276">
        <v>72</v>
      </c>
      <c r="W1276" t="str" cm="1">
        <f t="array" ref="W127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276">
        <v>81</v>
      </c>
      <c r="Y1276" t="str" cm="1">
        <f t="array" ref="Y127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276">
        <f>SUM(Table1[[#This Row],[Math 
Score]],Table1[[#This Row],[History 
Score]],Table1[[#This Row],[Physics 
Score]],Table1[[#This Row],[Chemistry 
Score]],Table1[[#This Row],[Biology 
Score]],Table1[[#This Row],[English 
Score]],Table1[[#This Row],[Geography 
Score]])</f>
        <v>532</v>
      </c>
      <c r="AA1276" s="3">
        <f>AVERAGE(Table1[[#This Row],[Math 
Score]],Table1[[#This Row],[History 
Score]],Table1[[#This Row],[Physics 
Score]],Table1[[#This Row],[Chemistry 
Score]],Table1[[#This Row],[Biology 
Score]],Table1[[#This Row],[English 
Score]],Table1[[#This Row],[Geography 
Score]])</f>
        <v>76</v>
      </c>
      <c r="AB127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276">
        <f t="shared" si="19"/>
        <v>1622</v>
      </c>
      <c r="AD1276" t="str">
        <f>_xlfn.IFS(Table1[[#This Row],[Absence 
Days]]&lt;3,"Excellent",Table1[[#This Row],[Absence 
Days]]&lt;=6,"Good",Table1[[#This Row],[Absence 
Days]]&gt;6,"Poor")</f>
        <v>Poor</v>
      </c>
    </row>
    <row r="1277" spans="1:30" x14ac:dyDescent="0.35">
      <c r="A1277">
        <v>1276</v>
      </c>
      <c r="B1277" s="2" t="s">
        <v>237</v>
      </c>
      <c r="C1277" t="s">
        <v>817</v>
      </c>
      <c r="D1277" t="str">
        <f>_xlfn.TEXTJOIN(" ",TRUE,Table1[[#This Row],[First 
Name]:[Last 
Name]])</f>
        <v>Stephanie Kennedy</v>
      </c>
      <c r="E1277" t="s">
        <v>2387</v>
      </c>
      <c r="F1277" t="s">
        <v>3245</v>
      </c>
      <c r="G1277" t="str">
        <f ca="1">PROPER(Table1[[#This Row],[Part Time 
Job]])</f>
        <v>False</v>
      </c>
      <c r="H1277" s="3">
        <v>4</v>
      </c>
      <c r="I1277" t="str">
        <f ca="1">PROPER(Table1[[#This Row],[Extracurricular 
Activities]])</f>
        <v>False</v>
      </c>
      <c r="J1277">
        <v>8</v>
      </c>
      <c r="K1277" t="s">
        <v>3114</v>
      </c>
      <c r="L1277">
        <v>98</v>
      </c>
      <c r="M1277" s="12" t="str" cm="1">
        <f t="array" ref="M127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277">
        <v>90</v>
      </c>
      <c r="O1277" s="13" t="str" cm="1">
        <f t="array" ref="O127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277">
        <v>70</v>
      </c>
      <c r="Q1277" s="13" t="str" cm="1">
        <f t="array" ref="Q127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277">
        <v>97</v>
      </c>
      <c r="S1277" t="str" cm="1">
        <f t="array" ref="S127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277">
        <v>69</v>
      </c>
      <c r="U1277" t="str" cm="1">
        <f t="array" ref="U127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277">
        <v>79</v>
      </c>
      <c r="W1277" t="str" cm="1">
        <f t="array" ref="W127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277">
        <v>74</v>
      </c>
      <c r="Y1277" t="str" cm="1">
        <f t="array" ref="Y127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277">
        <f>SUM(Table1[[#This Row],[Math 
Score]],Table1[[#This Row],[History 
Score]],Table1[[#This Row],[Physics 
Score]],Table1[[#This Row],[Chemistry 
Score]],Table1[[#This Row],[Biology 
Score]],Table1[[#This Row],[English 
Score]],Table1[[#This Row],[Geography 
Score]])</f>
        <v>577</v>
      </c>
      <c r="AA1277" s="3">
        <f>AVERAGE(Table1[[#This Row],[Math 
Score]],Table1[[#This Row],[History 
Score]],Table1[[#This Row],[Physics 
Score]],Table1[[#This Row],[Chemistry 
Score]],Table1[[#This Row],[Biology 
Score]],Table1[[#This Row],[English 
Score]],Table1[[#This Row],[Geography 
Score]])</f>
        <v>82.428571428571431</v>
      </c>
      <c r="AB127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277">
        <f t="shared" si="19"/>
        <v>769</v>
      </c>
      <c r="AD1277" t="str">
        <f>_xlfn.IFS(Table1[[#This Row],[Absence 
Days]]&lt;3,"Excellent",Table1[[#This Row],[Absence 
Days]]&lt;=6,"Good",Table1[[#This Row],[Absence 
Days]]&gt;6,"Poor")</f>
        <v>Good</v>
      </c>
    </row>
    <row r="1278" spans="1:30" x14ac:dyDescent="0.35">
      <c r="A1278">
        <v>1277</v>
      </c>
      <c r="B1278" s="2" t="s">
        <v>291</v>
      </c>
      <c r="C1278" t="s">
        <v>985</v>
      </c>
      <c r="D1278" t="str">
        <f>_xlfn.TEXTJOIN(" ",TRUE,Table1[[#This Row],[First 
Name]:[Last 
Name]])</f>
        <v>Hayley Abbott</v>
      </c>
      <c r="E1278" t="s">
        <v>2388</v>
      </c>
      <c r="F1278" t="s">
        <v>3245</v>
      </c>
      <c r="G1278" t="str">
        <f ca="1">PROPER(Table1[[#This Row],[Part Time 
Job]])</f>
        <v>False</v>
      </c>
      <c r="H1278" s="3">
        <v>0</v>
      </c>
      <c r="I1278" t="str">
        <f ca="1">PROPER(Table1[[#This Row],[Extracurricular 
Activities]])</f>
        <v>False</v>
      </c>
      <c r="J1278">
        <v>1</v>
      </c>
      <c r="K1278" t="s">
        <v>3126</v>
      </c>
      <c r="L1278">
        <v>91</v>
      </c>
      <c r="M1278" s="12" t="str" cm="1">
        <f t="array" ref="M127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278">
        <v>66</v>
      </c>
      <c r="O1278" s="13" t="str" cm="1">
        <f t="array" ref="O127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278">
        <v>91</v>
      </c>
      <c r="Q1278" s="13" t="str" cm="1">
        <f t="array" ref="Q127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278">
        <v>62</v>
      </c>
      <c r="S1278" t="str" cm="1">
        <f t="array" ref="S127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278">
        <v>82</v>
      </c>
      <c r="U1278" t="str" cm="1">
        <f t="array" ref="U127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278">
        <v>69</v>
      </c>
      <c r="W1278" t="str" cm="1">
        <f t="array" ref="W127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278">
        <v>62</v>
      </c>
      <c r="Y1278" t="str" cm="1">
        <f t="array" ref="Y127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278">
        <f>SUM(Table1[[#This Row],[Math 
Score]],Table1[[#This Row],[History 
Score]],Table1[[#This Row],[Physics 
Score]],Table1[[#This Row],[Chemistry 
Score]],Table1[[#This Row],[Biology 
Score]],Table1[[#This Row],[English 
Score]],Table1[[#This Row],[Geography 
Score]])</f>
        <v>523</v>
      </c>
      <c r="AA1278" s="3">
        <f>AVERAGE(Table1[[#This Row],[Math 
Score]],Table1[[#This Row],[History 
Score]],Table1[[#This Row],[Physics 
Score]],Table1[[#This Row],[Chemistry 
Score]],Table1[[#This Row],[Biology 
Score]],Table1[[#This Row],[English 
Score]],Table1[[#This Row],[Geography 
Score]])</f>
        <v>74.714285714285708</v>
      </c>
      <c r="AB127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278">
        <f t="shared" si="19"/>
        <v>1727</v>
      </c>
      <c r="AD1278" t="str">
        <f>_xlfn.IFS(Table1[[#This Row],[Absence 
Days]]&lt;3,"Excellent",Table1[[#This Row],[Absence 
Days]]&lt;=6,"Good",Table1[[#This Row],[Absence 
Days]]&gt;6,"Poor")</f>
        <v>Excellent</v>
      </c>
    </row>
    <row r="1279" spans="1:30" x14ac:dyDescent="0.35">
      <c r="A1279">
        <v>1278</v>
      </c>
      <c r="B1279" s="2" t="s">
        <v>129</v>
      </c>
      <c r="C1279" t="s">
        <v>716</v>
      </c>
      <c r="D1279" t="str">
        <f>_xlfn.TEXTJOIN(" ",TRUE,Table1[[#This Row],[First 
Name]:[Last 
Name]])</f>
        <v>Rachel Jacobs</v>
      </c>
      <c r="E1279" t="s">
        <v>2389</v>
      </c>
      <c r="F1279" t="s">
        <v>3245</v>
      </c>
      <c r="G1279" t="str">
        <f ca="1">PROPER(Table1[[#This Row],[Part Time 
Job]])</f>
        <v>True</v>
      </c>
      <c r="H1279" s="3">
        <v>9</v>
      </c>
      <c r="I1279" t="str">
        <f ca="1">PROPER(Table1[[#This Row],[Extracurricular 
Activities]])</f>
        <v>True</v>
      </c>
      <c r="J1279">
        <v>5</v>
      </c>
      <c r="K1279" t="s">
        <v>3119</v>
      </c>
      <c r="L1279">
        <v>68</v>
      </c>
      <c r="M1279" s="12" t="str" cm="1">
        <f t="array" ref="M1279">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279">
        <v>72</v>
      </c>
      <c r="O1279" s="13" t="str" cm="1">
        <f t="array" ref="O127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279">
        <v>92</v>
      </c>
      <c r="Q1279" s="13" t="str" cm="1">
        <f t="array" ref="Q127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279">
        <v>51</v>
      </c>
      <c r="S1279" t="str" cm="1">
        <f t="array" ref="S127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C</v>
      </c>
      <c r="T1279">
        <v>96</v>
      </c>
      <c r="U1279" t="str" cm="1">
        <f t="array" ref="U127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279">
        <v>88</v>
      </c>
      <c r="W1279" t="str" cm="1">
        <f t="array" ref="W127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279">
        <v>81</v>
      </c>
      <c r="Y1279" t="str" cm="1">
        <f t="array" ref="Y127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279">
        <f>SUM(Table1[[#This Row],[Math 
Score]],Table1[[#This Row],[History 
Score]],Table1[[#This Row],[Physics 
Score]],Table1[[#This Row],[Chemistry 
Score]],Table1[[#This Row],[Biology 
Score]],Table1[[#This Row],[English 
Score]],Table1[[#This Row],[Geography 
Score]])</f>
        <v>548</v>
      </c>
      <c r="AA1279" s="3">
        <f>AVERAGE(Table1[[#This Row],[Math 
Score]],Table1[[#This Row],[History 
Score]],Table1[[#This Row],[Physics 
Score]],Table1[[#This Row],[Chemistry 
Score]],Table1[[#This Row],[Biology 
Score]],Table1[[#This Row],[English 
Score]],Table1[[#This Row],[Geography 
Score]])</f>
        <v>78.285714285714292</v>
      </c>
      <c r="AB127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279">
        <f t="shared" si="19"/>
        <v>1374</v>
      </c>
      <c r="AD1279" t="str">
        <f>_xlfn.IFS(Table1[[#This Row],[Absence 
Days]]&lt;3,"Excellent",Table1[[#This Row],[Absence 
Days]]&lt;=6,"Good",Table1[[#This Row],[Absence 
Days]]&gt;6,"Poor")</f>
        <v>Poor</v>
      </c>
    </row>
    <row r="1280" spans="1:30" x14ac:dyDescent="0.35">
      <c r="A1280">
        <v>1279</v>
      </c>
      <c r="B1280" s="2" t="s">
        <v>1</v>
      </c>
      <c r="C1280" t="s">
        <v>986</v>
      </c>
      <c r="D1280" t="str">
        <f>_xlfn.TEXTJOIN(" ",TRUE,Table1[[#This Row],[First 
Name]:[Last 
Name]])</f>
        <v>Danielle Tran</v>
      </c>
      <c r="E1280" t="s">
        <v>2390</v>
      </c>
      <c r="F1280" t="s">
        <v>3245</v>
      </c>
      <c r="G1280" t="str">
        <f ca="1">PROPER(Table1[[#This Row],[Part Time 
Job]])</f>
        <v>True</v>
      </c>
      <c r="H1280" s="3">
        <v>1</v>
      </c>
      <c r="I1280" t="str">
        <f ca="1">PROPER(Table1[[#This Row],[Extracurricular 
Activities]])</f>
        <v>True</v>
      </c>
      <c r="J1280">
        <v>26</v>
      </c>
      <c r="K1280" t="s">
        <v>3121</v>
      </c>
      <c r="L1280">
        <v>79</v>
      </c>
      <c r="M1280" s="12" t="str" cm="1">
        <f t="array" ref="M128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280">
        <v>100</v>
      </c>
      <c r="O1280" s="13" t="str" cm="1">
        <f t="array" ref="O128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280">
        <v>79</v>
      </c>
      <c r="Q1280" s="13" t="str" cm="1">
        <f t="array" ref="Q128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280">
        <v>60</v>
      </c>
      <c r="S1280" t="str" cm="1">
        <f t="array" ref="S128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280">
        <v>100</v>
      </c>
      <c r="U1280" t="str" cm="1">
        <f t="array" ref="U128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280">
        <v>84</v>
      </c>
      <c r="W1280" t="str" cm="1">
        <f t="array" ref="W128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280">
        <v>93</v>
      </c>
      <c r="Y1280" t="str" cm="1">
        <f t="array" ref="Y128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280">
        <f>SUM(Table1[[#This Row],[Math 
Score]],Table1[[#This Row],[History 
Score]],Table1[[#This Row],[Physics 
Score]],Table1[[#This Row],[Chemistry 
Score]],Table1[[#This Row],[Biology 
Score]],Table1[[#This Row],[English 
Score]],Table1[[#This Row],[Geography 
Score]])</f>
        <v>595</v>
      </c>
      <c r="AA1280" s="3">
        <f>AVERAGE(Table1[[#This Row],[Math 
Score]],Table1[[#This Row],[History 
Score]],Table1[[#This Row],[Physics 
Score]],Table1[[#This Row],[Chemistry 
Score]],Table1[[#This Row],[Biology 
Score]],Table1[[#This Row],[English 
Score]],Table1[[#This Row],[Geography 
Score]])</f>
        <v>85</v>
      </c>
      <c r="AB128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280">
        <f t="shared" si="19"/>
        <v>465</v>
      </c>
      <c r="AD1280" t="str">
        <f>_xlfn.IFS(Table1[[#This Row],[Absence 
Days]]&lt;3,"Excellent",Table1[[#This Row],[Absence 
Days]]&lt;=6,"Good",Table1[[#This Row],[Absence 
Days]]&gt;6,"Poor")</f>
        <v>Excellent</v>
      </c>
    </row>
    <row r="1281" spans="1:30" x14ac:dyDescent="0.35">
      <c r="A1281">
        <v>1280</v>
      </c>
      <c r="B1281" s="2" t="s">
        <v>217</v>
      </c>
      <c r="C1281" t="s">
        <v>671</v>
      </c>
      <c r="D1281" t="str">
        <f>_xlfn.TEXTJOIN(" ",TRUE,Table1[[#This Row],[First 
Name]:[Last 
Name]])</f>
        <v>Autumn Barrett</v>
      </c>
      <c r="E1281" t="s">
        <v>2391</v>
      </c>
      <c r="F1281" t="s">
        <v>3245</v>
      </c>
      <c r="G1281" t="str">
        <f ca="1">PROPER(Table1[[#This Row],[Part Time 
Job]])</f>
        <v>False</v>
      </c>
      <c r="H1281" s="3">
        <v>2</v>
      </c>
      <c r="I1281" t="str">
        <f ca="1">PROPER(Table1[[#This Row],[Extracurricular 
Activities]])</f>
        <v>False</v>
      </c>
      <c r="J1281">
        <v>24</v>
      </c>
      <c r="K1281" t="s">
        <v>3121</v>
      </c>
      <c r="L1281">
        <v>77</v>
      </c>
      <c r="M1281" s="12" t="str" cm="1">
        <f t="array" ref="M128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281">
        <v>66</v>
      </c>
      <c r="O1281" s="13" t="str" cm="1">
        <f t="array" ref="O128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281">
        <v>61</v>
      </c>
      <c r="Q1281" s="13" t="str" cm="1">
        <f t="array" ref="Q128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281">
        <v>98</v>
      </c>
      <c r="S1281" t="str" cm="1">
        <f t="array" ref="S128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281">
        <v>90</v>
      </c>
      <c r="U1281" t="str" cm="1">
        <f t="array" ref="U128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281">
        <v>95</v>
      </c>
      <c r="W1281" t="str" cm="1">
        <f t="array" ref="W128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281">
        <v>73</v>
      </c>
      <c r="Y1281" t="str" cm="1">
        <f t="array" ref="Y128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281">
        <f>SUM(Table1[[#This Row],[Math 
Score]],Table1[[#This Row],[History 
Score]],Table1[[#This Row],[Physics 
Score]],Table1[[#This Row],[Chemistry 
Score]],Table1[[#This Row],[Biology 
Score]],Table1[[#This Row],[English 
Score]],Table1[[#This Row],[Geography 
Score]])</f>
        <v>560</v>
      </c>
      <c r="AA1281" s="3">
        <f>AVERAGE(Table1[[#This Row],[Math 
Score]],Table1[[#This Row],[History 
Score]],Table1[[#This Row],[Physics 
Score]],Table1[[#This Row],[Chemistry 
Score]],Table1[[#This Row],[Biology 
Score]],Table1[[#This Row],[English 
Score]],Table1[[#This Row],[Geography 
Score]])</f>
        <v>80</v>
      </c>
      <c r="AB128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281">
        <f t="shared" si="19"/>
        <v>1134</v>
      </c>
      <c r="AD1281" t="str">
        <f>_xlfn.IFS(Table1[[#This Row],[Absence 
Days]]&lt;3,"Excellent",Table1[[#This Row],[Absence 
Days]]&lt;=6,"Good",Table1[[#This Row],[Absence 
Days]]&gt;6,"Poor")</f>
        <v>Excellent</v>
      </c>
    </row>
    <row r="1282" spans="1:30" x14ac:dyDescent="0.35">
      <c r="A1282">
        <v>1281</v>
      </c>
      <c r="B1282" s="2" t="s">
        <v>50</v>
      </c>
      <c r="C1282" t="s">
        <v>657</v>
      </c>
      <c r="D1282" t="str">
        <f>_xlfn.TEXTJOIN(" ",TRUE,Table1[[#This Row],[First 
Name]:[Last 
Name]])</f>
        <v>Jennifer Landry</v>
      </c>
      <c r="E1282" t="s">
        <v>2392</v>
      </c>
      <c r="F1282" t="s">
        <v>3245</v>
      </c>
      <c r="G1282" t="str">
        <f ca="1">PROPER(Table1[[#This Row],[Part Time 
Job]])</f>
        <v>False</v>
      </c>
      <c r="H1282" s="3">
        <v>5</v>
      </c>
      <c r="I1282" t="str">
        <f ca="1">PROPER(Table1[[#This Row],[Extracurricular 
Activities]])</f>
        <v>False</v>
      </c>
      <c r="J1282">
        <v>24</v>
      </c>
      <c r="K1282" t="s">
        <v>3121</v>
      </c>
      <c r="L1282">
        <v>89</v>
      </c>
      <c r="M1282" s="12" t="str" cm="1">
        <f t="array" ref="M128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282">
        <v>100</v>
      </c>
      <c r="O1282" s="13" t="str" cm="1">
        <f t="array" ref="O128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282">
        <v>90</v>
      </c>
      <c r="Q1282" s="13" t="str" cm="1">
        <f t="array" ref="Q128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282">
        <v>81</v>
      </c>
      <c r="S1282" t="str" cm="1">
        <f t="array" ref="S128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282">
        <v>86</v>
      </c>
      <c r="U1282" t="str" cm="1">
        <f t="array" ref="U128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282">
        <v>80</v>
      </c>
      <c r="W1282" t="str" cm="1">
        <f t="array" ref="W128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282">
        <v>92</v>
      </c>
      <c r="Y1282" t="str" cm="1">
        <f t="array" ref="Y128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282">
        <f>SUM(Table1[[#This Row],[Math 
Score]],Table1[[#This Row],[History 
Score]],Table1[[#This Row],[Physics 
Score]],Table1[[#This Row],[Chemistry 
Score]],Table1[[#This Row],[Biology 
Score]],Table1[[#This Row],[English 
Score]],Table1[[#This Row],[Geography 
Score]])</f>
        <v>618</v>
      </c>
      <c r="AA1282" s="3">
        <f>AVERAGE(Table1[[#This Row],[Math 
Score]],Table1[[#This Row],[History 
Score]],Table1[[#This Row],[Physics 
Score]],Table1[[#This Row],[Chemistry 
Score]],Table1[[#This Row],[Biology 
Score]],Table1[[#This Row],[English 
Score]],Table1[[#This Row],[Geography 
Score]])</f>
        <v>88.285714285714292</v>
      </c>
      <c r="AB128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282">
        <f t="shared" ref="AC1282:AC1345" si="20">RANK(AA1282,$AA$2:$AA$2001,0)</f>
        <v>229</v>
      </c>
      <c r="AD1282" t="str">
        <f>_xlfn.IFS(Table1[[#This Row],[Absence 
Days]]&lt;3,"Excellent",Table1[[#This Row],[Absence 
Days]]&lt;=6,"Good",Table1[[#This Row],[Absence 
Days]]&gt;6,"Poor")</f>
        <v>Good</v>
      </c>
    </row>
    <row r="1283" spans="1:30" x14ac:dyDescent="0.35">
      <c r="A1283">
        <v>1282</v>
      </c>
      <c r="B1283" s="2" t="s">
        <v>22</v>
      </c>
      <c r="C1283" t="s">
        <v>567</v>
      </c>
      <c r="D1283" t="str">
        <f>_xlfn.TEXTJOIN(" ",TRUE,Table1[[#This Row],[First 
Name]:[Last 
Name]])</f>
        <v>Sean Rodriguez</v>
      </c>
      <c r="E1283" t="s">
        <v>2393</v>
      </c>
      <c r="F1283" t="s">
        <v>3244</v>
      </c>
      <c r="G1283" t="str">
        <f ca="1">PROPER(Table1[[#This Row],[Part Time 
Job]])</f>
        <v>True</v>
      </c>
      <c r="H1283" s="3">
        <v>0</v>
      </c>
      <c r="I1283" t="str">
        <f ca="1">PROPER(Table1[[#This Row],[Extracurricular 
Activities]])</f>
        <v>True</v>
      </c>
      <c r="J1283">
        <v>9</v>
      </c>
      <c r="K1283" t="s">
        <v>3128</v>
      </c>
      <c r="L1283">
        <v>94</v>
      </c>
      <c r="M1283" s="12" t="str" cm="1">
        <f t="array" ref="M128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283">
        <v>69</v>
      </c>
      <c r="O1283" s="13" t="str" cm="1">
        <f t="array" ref="O128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283">
        <v>80</v>
      </c>
      <c r="Q1283" s="13" t="str" cm="1">
        <f t="array" ref="Q128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283">
        <v>66</v>
      </c>
      <c r="S1283" t="str" cm="1">
        <f t="array" ref="S128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283">
        <v>62</v>
      </c>
      <c r="U1283" t="str" cm="1">
        <f t="array" ref="U128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283">
        <v>61</v>
      </c>
      <c r="W1283" t="str" cm="1">
        <f t="array" ref="W128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283">
        <v>88</v>
      </c>
      <c r="Y1283" t="str" cm="1">
        <f t="array" ref="Y128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283">
        <f>SUM(Table1[[#This Row],[Math 
Score]],Table1[[#This Row],[History 
Score]],Table1[[#This Row],[Physics 
Score]],Table1[[#This Row],[Chemistry 
Score]],Table1[[#This Row],[Biology 
Score]],Table1[[#This Row],[English 
Score]],Table1[[#This Row],[Geography 
Score]])</f>
        <v>520</v>
      </c>
      <c r="AA1283" s="3">
        <f>AVERAGE(Table1[[#This Row],[Math 
Score]],Table1[[#This Row],[History 
Score]],Table1[[#This Row],[Physics 
Score]],Table1[[#This Row],[Chemistry 
Score]],Table1[[#This Row],[Biology 
Score]],Table1[[#This Row],[English 
Score]],Table1[[#This Row],[Geography 
Score]])</f>
        <v>74.285714285714292</v>
      </c>
      <c r="AB128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283">
        <f t="shared" si="20"/>
        <v>1753</v>
      </c>
      <c r="AD1283" t="str">
        <f>_xlfn.IFS(Table1[[#This Row],[Absence 
Days]]&lt;3,"Excellent",Table1[[#This Row],[Absence 
Days]]&lt;=6,"Good",Table1[[#This Row],[Absence 
Days]]&gt;6,"Poor")</f>
        <v>Excellent</v>
      </c>
    </row>
    <row r="1284" spans="1:30" x14ac:dyDescent="0.35">
      <c r="A1284">
        <v>1283</v>
      </c>
      <c r="B1284" s="2" t="s">
        <v>33</v>
      </c>
      <c r="C1284" t="s">
        <v>826</v>
      </c>
      <c r="D1284" t="str">
        <f>_xlfn.TEXTJOIN(" ",TRUE,Table1[[#This Row],[First 
Name]:[Last 
Name]])</f>
        <v>Ryan Long</v>
      </c>
      <c r="E1284" t="s">
        <v>2394</v>
      </c>
      <c r="F1284" t="s">
        <v>3244</v>
      </c>
      <c r="G1284" t="str">
        <f ca="1">PROPER(Table1[[#This Row],[Part Time 
Job]])</f>
        <v>False</v>
      </c>
      <c r="H1284" s="3">
        <v>2</v>
      </c>
      <c r="I1284" t="str">
        <f ca="1">PROPER(Table1[[#This Row],[Extracurricular 
Activities]])</f>
        <v>False</v>
      </c>
      <c r="J1284">
        <v>3</v>
      </c>
      <c r="K1284" t="s">
        <v>3115</v>
      </c>
      <c r="L1284">
        <v>80</v>
      </c>
      <c r="M1284" s="12" t="str" cm="1">
        <f t="array" ref="M128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284">
        <v>85</v>
      </c>
      <c r="O1284" s="13" t="str" cm="1">
        <f t="array" ref="O128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284">
        <v>85</v>
      </c>
      <c r="Q1284" s="13" t="str" cm="1">
        <f t="array" ref="Q128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284">
        <v>60</v>
      </c>
      <c r="S1284" t="str" cm="1">
        <f t="array" ref="S128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284">
        <v>77</v>
      </c>
      <c r="U1284" t="str" cm="1">
        <f t="array" ref="U128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284">
        <v>90</v>
      </c>
      <c r="W1284" t="str" cm="1">
        <f t="array" ref="W128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284">
        <v>81</v>
      </c>
      <c r="Y1284" t="str" cm="1">
        <f t="array" ref="Y128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284">
        <f>SUM(Table1[[#This Row],[Math 
Score]],Table1[[#This Row],[History 
Score]],Table1[[#This Row],[Physics 
Score]],Table1[[#This Row],[Chemistry 
Score]],Table1[[#This Row],[Biology 
Score]],Table1[[#This Row],[English 
Score]],Table1[[#This Row],[Geography 
Score]])</f>
        <v>558</v>
      </c>
      <c r="AA1284" s="3">
        <f>AVERAGE(Table1[[#This Row],[Math 
Score]],Table1[[#This Row],[History 
Score]],Table1[[#This Row],[Physics 
Score]],Table1[[#This Row],[Chemistry 
Score]],Table1[[#This Row],[Biology 
Score]],Table1[[#This Row],[English 
Score]],Table1[[#This Row],[Geography 
Score]])</f>
        <v>79.714285714285708</v>
      </c>
      <c r="AB128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284">
        <f t="shared" si="20"/>
        <v>1178</v>
      </c>
      <c r="AD1284" t="str">
        <f>_xlfn.IFS(Table1[[#This Row],[Absence 
Days]]&lt;3,"Excellent",Table1[[#This Row],[Absence 
Days]]&lt;=6,"Good",Table1[[#This Row],[Absence 
Days]]&gt;6,"Poor")</f>
        <v>Excellent</v>
      </c>
    </row>
    <row r="1285" spans="1:30" x14ac:dyDescent="0.35">
      <c r="A1285">
        <v>1284</v>
      </c>
      <c r="B1285" s="2" t="s">
        <v>74</v>
      </c>
      <c r="C1285" t="s">
        <v>810</v>
      </c>
      <c r="D1285" t="str">
        <f>_xlfn.TEXTJOIN(" ",TRUE,Table1[[#This Row],[First 
Name]:[Last 
Name]])</f>
        <v>Robert Hancock</v>
      </c>
      <c r="E1285" t="s">
        <v>2395</v>
      </c>
      <c r="F1285" t="s">
        <v>3244</v>
      </c>
      <c r="G1285" t="str">
        <f ca="1">PROPER(Table1[[#This Row],[Part Time 
Job]])</f>
        <v>False</v>
      </c>
      <c r="H1285" s="3">
        <v>2</v>
      </c>
      <c r="I1285" t="str">
        <f ca="1">PROPER(Table1[[#This Row],[Extracurricular 
Activities]])</f>
        <v>False</v>
      </c>
      <c r="J1285">
        <v>1</v>
      </c>
      <c r="K1285" t="s">
        <v>3115</v>
      </c>
      <c r="L1285">
        <v>79</v>
      </c>
      <c r="M1285" s="12" t="str" cm="1">
        <f t="array" ref="M128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285">
        <v>88</v>
      </c>
      <c r="O1285" s="13" t="str" cm="1">
        <f t="array" ref="O128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285">
        <v>97</v>
      </c>
      <c r="Q1285" s="13" t="str" cm="1">
        <f t="array" ref="Q128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285">
        <v>94</v>
      </c>
      <c r="S1285" t="str" cm="1">
        <f t="array" ref="S128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285">
        <v>89</v>
      </c>
      <c r="U1285" t="str" cm="1">
        <f t="array" ref="U128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285">
        <v>82</v>
      </c>
      <c r="W1285" t="str" cm="1">
        <f t="array" ref="W128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285">
        <v>97</v>
      </c>
      <c r="Y1285" t="str" cm="1">
        <f t="array" ref="Y128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285">
        <f>SUM(Table1[[#This Row],[Math 
Score]],Table1[[#This Row],[History 
Score]],Table1[[#This Row],[Physics 
Score]],Table1[[#This Row],[Chemistry 
Score]],Table1[[#This Row],[Biology 
Score]],Table1[[#This Row],[English 
Score]],Table1[[#This Row],[Geography 
Score]])</f>
        <v>626</v>
      </c>
      <c r="AA1285" s="3">
        <f>AVERAGE(Table1[[#This Row],[Math 
Score]],Table1[[#This Row],[History 
Score]],Table1[[#This Row],[Physics 
Score]],Table1[[#This Row],[Chemistry 
Score]],Table1[[#This Row],[Biology 
Score]],Table1[[#This Row],[English 
Score]],Table1[[#This Row],[Geography 
Score]])</f>
        <v>89.428571428571431</v>
      </c>
      <c r="AB128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285">
        <f t="shared" si="20"/>
        <v>179</v>
      </c>
      <c r="AD1285" t="str">
        <f>_xlfn.IFS(Table1[[#This Row],[Absence 
Days]]&lt;3,"Excellent",Table1[[#This Row],[Absence 
Days]]&lt;=6,"Good",Table1[[#This Row],[Absence 
Days]]&gt;6,"Poor")</f>
        <v>Excellent</v>
      </c>
    </row>
    <row r="1286" spans="1:30" x14ac:dyDescent="0.35">
      <c r="A1286">
        <v>1285</v>
      </c>
      <c r="B1286" s="2" t="s">
        <v>237</v>
      </c>
      <c r="C1286" t="s">
        <v>567</v>
      </c>
      <c r="D1286" t="str">
        <f>_xlfn.TEXTJOIN(" ",TRUE,Table1[[#This Row],[First 
Name]:[Last 
Name]])</f>
        <v>Stephanie Rodriguez</v>
      </c>
      <c r="E1286" t="s">
        <v>2396</v>
      </c>
      <c r="F1286" t="s">
        <v>3245</v>
      </c>
      <c r="G1286" t="str">
        <f ca="1">PROPER(Table1[[#This Row],[Part Time 
Job]])</f>
        <v>False</v>
      </c>
      <c r="H1286" s="3">
        <v>2</v>
      </c>
      <c r="I1286" t="str">
        <f ca="1">PROPER(Table1[[#This Row],[Extracurricular 
Activities]])</f>
        <v>False</v>
      </c>
      <c r="J1286">
        <v>15</v>
      </c>
      <c r="K1286" t="s">
        <v>3121</v>
      </c>
      <c r="L1286">
        <v>92</v>
      </c>
      <c r="M1286" s="12" t="str" cm="1">
        <f t="array" ref="M128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286">
        <v>65</v>
      </c>
      <c r="O1286" s="13" t="str" cm="1">
        <f t="array" ref="O128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286">
        <v>88</v>
      </c>
      <c r="Q1286" s="13" t="str" cm="1">
        <f t="array" ref="Q128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286">
        <v>78</v>
      </c>
      <c r="S1286" t="str" cm="1">
        <f t="array" ref="S128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286">
        <v>67</v>
      </c>
      <c r="U1286" t="str" cm="1">
        <f t="array" ref="U128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286">
        <v>95</v>
      </c>
      <c r="W1286" t="str" cm="1">
        <f t="array" ref="W128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286">
        <v>96</v>
      </c>
      <c r="Y1286" t="str" cm="1">
        <f t="array" ref="Y128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286">
        <f>SUM(Table1[[#This Row],[Math 
Score]],Table1[[#This Row],[History 
Score]],Table1[[#This Row],[Physics 
Score]],Table1[[#This Row],[Chemistry 
Score]],Table1[[#This Row],[Biology 
Score]],Table1[[#This Row],[English 
Score]],Table1[[#This Row],[Geography 
Score]])</f>
        <v>581</v>
      </c>
      <c r="AA1286" s="3">
        <f>AVERAGE(Table1[[#This Row],[Math 
Score]],Table1[[#This Row],[History 
Score]],Table1[[#This Row],[Physics 
Score]],Table1[[#This Row],[Chemistry 
Score]],Table1[[#This Row],[Biology 
Score]],Table1[[#This Row],[English 
Score]],Table1[[#This Row],[Geography 
Score]])</f>
        <v>83</v>
      </c>
      <c r="AB128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286">
        <f t="shared" si="20"/>
        <v>688</v>
      </c>
      <c r="AD1286" t="str">
        <f>_xlfn.IFS(Table1[[#This Row],[Absence 
Days]]&lt;3,"Excellent",Table1[[#This Row],[Absence 
Days]]&lt;=6,"Good",Table1[[#This Row],[Absence 
Days]]&gt;6,"Poor")</f>
        <v>Excellent</v>
      </c>
    </row>
    <row r="1287" spans="1:30" x14ac:dyDescent="0.35">
      <c r="A1287">
        <v>1286</v>
      </c>
      <c r="B1287" s="2" t="s">
        <v>207</v>
      </c>
      <c r="C1287" t="s">
        <v>613</v>
      </c>
      <c r="D1287" t="str">
        <f>_xlfn.TEXTJOIN(" ",TRUE,Table1[[#This Row],[First 
Name]:[Last 
Name]])</f>
        <v>Kristen Evans</v>
      </c>
      <c r="E1287" t="s">
        <v>2397</v>
      </c>
      <c r="F1287" t="s">
        <v>3245</v>
      </c>
      <c r="G1287" t="str">
        <f ca="1">PROPER(Table1[[#This Row],[Part Time 
Job]])</f>
        <v>False</v>
      </c>
      <c r="H1287" s="3">
        <v>5</v>
      </c>
      <c r="I1287" t="str">
        <f ca="1">PROPER(Table1[[#This Row],[Extracurricular 
Activities]])</f>
        <v>False</v>
      </c>
      <c r="J1287">
        <v>32</v>
      </c>
      <c r="K1287" t="s">
        <v>3121</v>
      </c>
      <c r="L1287">
        <v>85</v>
      </c>
      <c r="M1287" s="12" t="str" cm="1">
        <f t="array" ref="M128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287">
        <v>62</v>
      </c>
      <c r="O1287" s="13" t="str" cm="1">
        <f t="array" ref="O128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287">
        <v>92</v>
      </c>
      <c r="Q1287" s="13" t="str" cm="1">
        <f t="array" ref="Q128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287">
        <v>89</v>
      </c>
      <c r="S1287" t="str" cm="1">
        <f t="array" ref="S128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287">
        <v>92</v>
      </c>
      <c r="U1287" t="str" cm="1">
        <f t="array" ref="U128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287">
        <v>75</v>
      </c>
      <c r="W1287" t="str" cm="1">
        <f t="array" ref="W128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287">
        <v>78</v>
      </c>
      <c r="Y1287" t="str" cm="1">
        <f t="array" ref="Y128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287">
        <f>SUM(Table1[[#This Row],[Math 
Score]],Table1[[#This Row],[History 
Score]],Table1[[#This Row],[Physics 
Score]],Table1[[#This Row],[Chemistry 
Score]],Table1[[#This Row],[Biology 
Score]],Table1[[#This Row],[English 
Score]],Table1[[#This Row],[Geography 
Score]])</f>
        <v>573</v>
      </c>
      <c r="AA1287" s="3">
        <f>AVERAGE(Table1[[#This Row],[Math 
Score]],Table1[[#This Row],[History 
Score]],Table1[[#This Row],[Physics 
Score]],Table1[[#This Row],[Chemistry 
Score]],Table1[[#This Row],[Biology 
Score]],Table1[[#This Row],[English 
Score]],Table1[[#This Row],[Geography 
Score]])</f>
        <v>81.857142857142861</v>
      </c>
      <c r="AB128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287">
        <f t="shared" si="20"/>
        <v>864</v>
      </c>
      <c r="AD1287" t="str">
        <f>_xlfn.IFS(Table1[[#This Row],[Absence 
Days]]&lt;3,"Excellent",Table1[[#This Row],[Absence 
Days]]&lt;=6,"Good",Table1[[#This Row],[Absence 
Days]]&gt;6,"Poor")</f>
        <v>Good</v>
      </c>
    </row>
    <row r="1288" spans="1:30" x14ac:dyDescent="0.35">
      <c r="A1288">
        <v>1287</v>
      </c>
      <c r="B1288" s="2" t="s">
        <v>360</v>
      </c>
      <c r="C1288" t="s">
        <v>462</v>
      </c>
      <c r="D1288" t="str">
        <f>_xlfn.TEXTJOIN(" ",TRUE,Table1[[#This Row],[First 
Name]:[Last 
Name]])</f>
        <v>Jaime White</v>
      </c>
      <c r="E1288" t="s">
        <v>2398</v>
      </c>
      <c r="F1288" t="s">
        <v>3245</v>
      </c>
      <c r="G1288" t="str">
        <f ca="1">PROPER(Table1[[#This Row],[Part Time 
Job]])</f>
        <v>False</v>
      </c>
      <c r="H1288" s="3">
        <v>3</v>
      </c>
      <c r="I1288" t="str">
        <f ca="1">PROPER(Table1[[#This Row],[Extracurricular 
Activities]])</f>
        <v>False</v>
      </c>
      <c r="J1288">
        <v>26</v>
      </c>
      <c r="K1288" t="s">
        <v>3123</v>
      </c>
      <c r="L1288">
        <v>75</v>
      </c>
      <c r="M1288" s="12" t="str" cm="1">
        <f t="array" ref="M128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288">
        <v>83</v>
      </c>
      <c r="O1288" s="13" t="str" cm="1">
        <f t="array" ref="O128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288">
        <v>66</v>
      </c>
      <c r="Q1288" s="13" t="str" cm="1">
        <f t="array" ref="Q128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288">
        <v>70</v>
      </c>
      <c r="S1288" t="str" cm="1">
        <f t="array" ref="S128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288">
        <v>57</v>
      </c>
      <c r="U1288" t="str" cm="1">
        <f t="array" ref="U128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C</v>
      </c>
      <c r="V1288">
        <v>77</v>
      </c>
      <c r="W1288" t="str" cm="1">
        <f t="array" ref="W128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288">
        <v>96</v>
      </c>
      <c r="Y1288" t="str" cm="1">
        <f t="array" ref="Y128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288">
        <f>SUM(Table1[[#This Row],[Math 
Score]],Table1[[#This Row],[History 
Score]],Table1[[#This Row],[Physics 
Score]],Table1[[#This Row],[Chemistry 
Score]],Table1[[#This Row],[Biology 
Score]],Table1[[#This Row],[English 
Score]],Table1[[#This Row],[Geography 
Score]])</f>
        <v>524</v>
      </c>
      <c r="AA1288" s="3">
        <f>AVERAGE(Table1[[#This Row],[Math 
Score]],Table1[[#This Row],[History 
Score]],Table1[[#This Row],[Physics 
Score]],Table1[[#This Row],[Chemistry 
Score]],Table1[[#This Row],[Biology 
Score]],Table1[[#This Row],[English 
Score]],Table1[[#This Row],[Geography 
Score]])</f>
        <v>74.857142857142861</v>
      </c>
      <c r="AB128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288">
        <f t="shared" si="20"/>
        <v>1715</v>
      </c>
      <c r="AD1288" t="str">
        <f>_xlfn.IFS(Table1[[#This Row],[Absence 
Days]]&lt;3,"Excellent",Table1[[#This Row],[Absence 
Days]]&lt;=6,"Good",Table1[[#This Row],[Absence 
Days]]&gt;6,"Poor")</f>
        <v>Good</v>
      </c>
    </row>
    <row r="1289" spans="1:30" x14ac:dyDescent="0.35">
      <c r="A1289">
        <v>1288</v>
      </c>
      <c r="B1289" s="2" t="s">
        <v>387</v>
      </c>
      <c r="C1289" t="s">
        <v>850</v>
      </c>
      <c r="D1289" t="str">
        <f>_xlfn.TEXTJOIN(" ",TRUE,Table1[[#This Row],[First 
Name]:[Last 
Name]])</f>
        <v>Marcus Howard</v>
      </c>
      <c r="E1289" t="s">
        <v>2399</v>
      </c>
      <c r="F1289" t="s">
        <v>3244</v>
      </c>
      <c r="G1289" t="str">
        <f ca="1">PROPER(Table1[[#This Row],[Part Time 
Job]])</f>
        <v>False</v>
      </c>
      <c r="H1289" s="3">
        <v>5</v>
      </c>
      <c r="I1289" t="str">
        <f ca="1">PROPER(Table1[[#This Row],[Extracurricular 
Activities]])</f>
        <v>True</v>
      </c>
      <c r="J1289">
        <v>32</v>
      </c>
      <c r="K1289" t="s">
        <v>3117</v>
      </c>
      <c r="L1289">
        <v>88</v>
      </c>
      <c r="M1289" s="12" t="str" cm="1">
        <f t="array" ref="M128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289">
        <v>65</v>
      </c>
      <c r="O1289" s="13" t="str" cm="1">
        <f t="array" ref="O128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289">
        <v>75</v>
      </c>
      <c r="Q1289" s="13" t="str" cm="1">
        <f t="array" ref="Q128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289">
        <v>73</v>
      </c>
      <c r="S1289" t="str" cm="1">
        <f t="array" ref="S128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289">
        <v>66</v>
      </c>
      <c r="U1289" t="str" cm="1">
        <f t="array" ref="U128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289">
        <v>98</v>
      </c>
      <c r="W1289" t="str" cm="1">
        <f t="array" ref="W128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289">
        <v>81</v>
      </c>
      <c r="Y1289" t="str" cm="1">
        <f t="array" ref="Y128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289">
        <f>SUM(Table1[[#This Row],[Math 
Score]],Table1[[#This Row],[History 
Score]],Table1[[#This Row],[Physics 
Score]],Table1[[#This Row],[Chemistry 
Score]],Table1[[#This Row],[Biology 
Score]],Table1[[#This Row],[English 
Score]],Table1[[#This Row],[Geography 
Score]])</f>
        <v>546</v>
      </c>
      <c r="AA1289" s="3">
        <f>AVERAGE(Table1[[#This Row],[Math 
Score]],Table1[[#This Row],[History 
Score]],Table1[[#This Row],[Physics 
Score]],Table1[[#This Row],[Chemistry 
Score]],Table1[[#This Row],[Biology 
Score]],Table1[[#This Row],[English 
Score]],Table1[[#This Row],[Geography 
Score]])</f>
        <v>78</v>
      </c>
      <c r="AB128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289">
        <f t="shared" si="20"/>
        <v>1411</v>
      </c>
      <c r="AD1289" t="str">
        <f>_xlfn.IFS(Table1[[#This Row],[Absence 
Days]]&lt;3,"Excellent",Table1[[#This Row],[Absence 
Days]]&lt;=6,"Good",Table1[[#This Row],[Absence 
Days]]&gt;6,"Poor")</f>
        <v>Good</v>
      </c>
    </row>
    <row r="1290" spans="1:30" x14ac:dyDescent="0.35">
      <c r="A1290">
        <v>1289</v>
      </c>
      <c r="B1290" s="2" t="s">
        <v>388</v>
      </c>
      <c r="C1290" t="s">
        <v>556</v>
      </c>
      <c r="D1290" t="str">
        <f>_xlfn.TEXTJOIN(" ",TRUE,Table1[[#This Row],[First 
Name]:[Last 
Name]])</f>
        <v>Lucas Jenkins</v>
      </c>
      <c r="E1290" t="s">
        <v>2400</v>
      </c>
      <c r="F1290" t="s">
        <v>3244</v>
      </c>
      <c r="G1290" t="str">
        <f ca="1">PROPER(Table1[[#This Row],[Part Time 
Job]])</f>
        <v>False</v>
      </c>
      <c r="H1290" s="3">
        <v>0</v>
      </c>
      <c r="I1290" t="str">
        <f ca="1">PROPER(Table1[[#This Row],[Extracurricular 
Activities]])</f>
        <v>False</v>
      </c>
      <c r="J1290">
        <v>35</v>
      </c>
      <c r="K1290" t="s">
        <v>3121</v>
      </c>
      <c r="L1290">
        <v>93</v>
      </c>
      <c r="M1290" s="12" t="str" cm="1">
        <f t="array" ref="M129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290">
        <v>89</v>
      </c>
      <c r="O1290" s="13" t="str" cm="1">
        <f t="array" ref="O129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290">
        <v>88</v>
      </c>
      <c r="Q1290" s="13" t="str" cm="1">
        <f t="array" ref="Q129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290">
        <v>86</v>
      </c>
      <c r="S1290" t="str" cm="1">
        <f t="array" ref="S129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290">
        <v>85</v>
      </c>
      <c r="U1290" t="str" cm="1">
        <f t="array" ref="U129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290">
        <v>89</v>
      </c>
      <c r="W1290" t="str" cm="1">
        <f t="array" ref="W129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290">
        <v>95</v>
      </c>
      <c r="Y1290" t="str" cm="1">
        <f t="array" ref="Y129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290">
        <f>SUM(Table1[[#This Row],[Math 
Score]],Table1[[#This Row],[History 
Score]],Table1[[#This Row],[Physics 
Score]],Table1[[#This Row],[Chemistry 
Score]],Table1[[#This Row],[Biology 
Score]],Table1[[#This Row],[English 
Score]],Table1[[#This Row],[Geography 
Score]])</f>
        <v>625</v>
      </c>
      <c r="AA1290" s="3">
        <f>AVERAGE(Table1[[#This Row],[Math 
Score]],Table1[[#This Row],[History 
Score]],Table1[[#This Row],[Physics 
Score]],Table1[[#This Row],[Chemistry 
Score]],Table1[[#This Row],[Biology 
Score]],Table1[[#This Row],[English 
Score]],Table1[[#This Row],[Geography 
Score]])</f>
        <v>89.285714285714292</v>
      </c>
      <c r="AB129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290">
        <f t="shared" si="20"/>
        <v>187</v>
      </c>
      <c r="AD1290" t="str">
        <f>_xlfn.IFS(Table1[[#This Row],[Absence 
Days]]&lt;3,"Excellent",Table1[[#This Row],[Absence 
Days]]&lt;=6,"Good",Table1[[#This Row],[Absence 
Days]]&gt;6,"Poor")</f>
        <v>Excellent</v>
      </c>
    </row>
    <row r="1291" spans="1:30" x14ac:dyDescent="0.35">
      <c r="A1291">
        <v>1290</v>
      </c>
      <c r="B1291" s="2" t="s">
        <v>292</v>
      </c>
      <c r="C1291" t="s">
        <v>785</v>
      </c>
      <c r="D1291" t="str">
        <f>_xlfn.TEXTJOIN(" ",TRUE,Table1[[#This Row],[First 
Name]:[Last 
Name]])</f>
        <v>Aaron Ortiz</v>
      </c>
      <c r="E1291" t="s">
        <v>2401</v>
      </c>
      <c r="F1291" t="s">
        <v>3244</v>
      </c>
      <c r="G1291" t="str">
        <f ca="1">PROPER(Table1[[#This Row],[Part Time 
Job]])</f>
        <v>False</v>
      </c>
      <c r="H1291" s="3">
        <v>3</v>
      </c>
      <c r="I1291" t="str">
        <f ca="1">PROPER(Table1[[#This Row],[Extracurricular 
Activities]])</f>
        <v>False</v>
      </c>
      <c r="J1291">
        <v>2</v>
      </c>
      <c r="K1291" t="s">
        <v>3126</v>
      </c>
      <c r="L1291">
        <v>86</v>
      </c>
      <c r="M1291" s="12" t="str" cm="1">
        <f t="array" ref="M129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291">
        <v>93</v>
      </c>
      <c r="O1291" s="13" t="str" cm="1">
        <f t="array" ref="O129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291">
        <v>91</v>
      </c>
      <c r="Q1291" s="13" t="str" cm="1">
        <f t="array" ref="Q129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291">
        <v>64</v>
      </c>
      <c r="S1291" t="str" cm="1">
        <f t="array" ref="S129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291">
        <v>69</v>
      </c>
      <c r="U1291" t="str" cm="1">
        <f t="array" ref="U129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291">
        <v>71</v>
      </c>
      <c r="W1291" t="str" cm="1">
        <f t="array" ref="W129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291">
        <v>64</v>
      </c>
      <c r="Y1291" t="str" cm="1">
        <f t="array" ref="Y129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291">
        <f>SUM(Table1[[#This Row],[Math 
Score]],Table1[[#This Row],[History 
Score]],Table1[[#This Row],[Physics 
Score]],Table1[[#This Row],[Chemistry 
Score]],Table1[[#This Row],[Biology 
Score]],Table1[[#This Row],[English 
Score]],Table1[[#This Row],[Geography 
Score]])</f>
        <v>538</v>
      </c>
      <c r="AA1291" s="3">
        <f>AVERAGE(Table1[[#This Row],[Math 
Score]],Table1[[#This Row],[History 
Score]],Table1[[#This Row],[Physics 
Score]],Table1[[#This Row],[Chemistry 
Score]],Table1[[#This Row],[Biology 
Score]],Table1[[#This Row],[English 
Score]],Table1[[#This Row],[Geography 
Score]])</f>
        <v>76.857142857142861</v>
      </c>
      <c r="AB129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291">
        <f t="shared" si="20"/>
        <v>1537</v>
      </c>
      <c r="AD1291" t="str">
        <f>_xlfn.IFS(Table1[[#This Row],[Absence 
Days]]&lt;3,"Excellent",Table1[[#This Row],[Absence 
Days]]&lt;=6,"Good",Table1[[#This Row],[Absence 
Days]]&gt;6,"Poor")</f>
        <v>Good</v>
      </c>
    </row>
    <row r="1292" spans="1:30" x14ac:dyDescent="0.35">
      <c r="A1292">
        <v>1291</v>
      </c>
      <c r="B1292" s="2" t="s">
        <v>253</v>
      </c>
      <c r="C1292" t="s">
        <v>508</v>
      </c>
      <c r="D1292" t="str">
        <f>_xlfn.TEXTJOIN(" ",TRUE,Table1[[#This Row],[First 
Name]:[Last 
Name]])</f>
        <v>Todd Stephens</v>
      </c>
      <c r="E1292" t="s">
        <v>2402</v>
      </c>
      <c r="F1292" t="s">
        <v>3244</v>
      </c>
      <c r="G1292" t="str">
        <f ca="1">PROPER(Table1[[#This Row],[Part Time 
Job]])</f>
        <v>False</v>
      </c>
      <c r="H1292" s="3">
        <v>1</v>
      </c>
      <c r="I1292" t="str">
        <f ca="1">PROPER(Table1[[#This Row],[Extracurricular 
Activities]])</f>
        <v>False</v>
      </c>
      <c r="J1292">
        <v>13</v>
      </c>
      <c r="K1292" t="s">
        <v>3114</v>
      </c>
      <c r="L1292">
        <v>62</v>
      </c>
      <c r="M1292" s="12" t="str" cm="1">
        <f t="array" ref="M1292">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292">
        <v>91</v>
      </c>
      <c r="O1292" s="13" t="str" cm="1">
        <f t="array" ref="O129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292">
        <v>92</v>
      </c>
      <c r="Q1292" s="13" t="str" cm="1">
        <f t="array" ref="Q129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292">
        <v>61</v>
      </c>
      <c r="S1292" t="str" cm="1">
        <f t="array" ref="S129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292">
        <v>85</v>
      </c>
      <c r="U1292" t="str" cm="1">
        <f t="array" ref="U129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292">
        <v>98</v>
      </c>
      <c r="W1292" t="str" cm="1">
        <f t="array" ref="W129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292">
        <v>72</v>
      </c>
      <c r="Y1292" t="str" cm="1">
        <f t="array" ref="Y129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292">
        <f>SUM(Table1[[#This Row],[Math 
Score]],Table1[[#This Row],[History 
Score]],Table1[[#This Row],[Physics 
Score]],Table1[[#This Row],[Chemistry 
Score]],Table1[[#This Row],[Biology 
Score]],Table1[[#This Row],[English 
Score]],Table1[[#This Row],[Geography 
Score]])</f>
        <v>561</v>
      </c>
      <c r="AA1292" s="3">
        <f>AVERAGE(Table1[[#This Row],[Math 
Score]],Table1[[#This Row],[History 
Score]],Table1[[#This Row],[Physics 
Score]],Table1[[#This Row],[Chemistry 
Score]],Table1[[#This Row],[Biology 
Score]],Table1[[#This Row],[English 
Score]],Table1[[#This Row],[Geography 
Score]])</f>
        <v>80.142857142857139</v>
      </c>
      <c r="AB129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292">
        <f t="shared" si="20"/>
        <v>1120</v>
      </c>
      <c r="AD1292" t="str">
        <f>_xlfn.IFS(Table1[[#This Row],[Absence 
Days]]&lt;3,"Excellent",Table1[[#This Row],[Absence 
Days]]&lt;=6,"Good",Table1[[#This Row],[Absence 
Days]]&gt;6,"Poor")</f>
        <v>Excellent</v>
      </c>
    </row>
    <row r="1293" spans="1:30" x14ac:dyDescent="0.35">
      <c r="A1293">
        <v>1292</v>
      </c>
      <c r="B1293" s="2" t="s">
        <v>118</v>
      </c>
      <c r="C1293" t="s">
        <v>987</v>
      </c>
      <c r="D1293" t="str">
        <f>_xlfn.TEXTJOIN(" ",TRUE,Table1[[#This Row],[First 
Name]:[Last 
Name]])</f>
        <v>Denise Blackburn</v>
      </c>
      <c r="E1293" t="s">
        <v>2403</v>
      </c>
      <c r="F1293" t="s">
        <v>3245</v>
      </c>
      <c r="G1293" t="str">
        <f ca="1">PROPER(Table1[[#This Row],[Part Time 
Job]])</f>
        <v>True</v>
      </c>
      <c r="H1293" s="3">
        <v>2</v>
      </c>
      <c r="I1293" t="str">
        <f ca="1">PROPER(Table1[[#This Row],[Extracurricular 
Activities]])</f>
        <v>True</v>
      </c>
      <c r="J1293">
        <v>20</v>
      </c>
      <c r="K1293" t="s">
        <v>3127</v>
      </c>
      <c r="L1293">
        <v>82</v>
      </c>
      <c r="M1293" s="12" t="str" cm="1">
        <f t="array" ref="M129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293">
        <v>74</v>
      </c>
      <c r="O1293" s="13" t="str" cm="1">
        <f t="array" ref="O129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293">
        <v>80</v>
      </c>
      <c r="Q1293" s="13" t="str" cm="1">
        <f t="array" ref="Q129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293">
        <v>60</v>
      </c>
      <c r="S1293" t="str" cm="1">
        <f t="array" ref="S129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293">
        <v>96</v>
      </c>
      <c r="U1293" t="str" cm="1">
        <f t="array" ref="U129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293">
        <v>76</v>
      </c>
      <c r="W1293" t="str" cm="1">
        <f t="array" ref="W129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293">
        <v>99</v>
      </c>
      <c r="Y1293" t="str" cm="1">
        <f t="array" ref="Y129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293">
        <f>SUM(Table1[[#This Row],[Math 
Score]],Table1[[#This Row],[History 
Score]],Table1[[#This Row],[Physics 
Score]],Table1[[#This Row],[Chemistry 
Score]],Table1[[#This Row],[Biology 
Score]],Table1[[#This Row],[English 
Score]],Table1[[#This Row],[Geography 
Score]])</f>
        <v>567</v>
      </c>
      <c r="AA1293" s="3">
        <f>AVERAGE(Table1[[#This Row],[Math 
Score]],Table1[[#This Row],[History 
Score]],Table1[[#This Row],[Physics 
Score]],Table1[[#This Row],[Chemistry 
Score]],Table1[[#This Row],[Biology 
Score]],Table1[[#This Row],[English 
Score]],Table1[[#This Row],[Geography 
Score]])</f>
        <v>81</v>
      </c>
      <c r="AB129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293">
        <f t="shared" si="20"/>
        <v>994</v>
      </c>
      <c r="AD1293" t="str">
        <f>_xlfn.IFS(Table1[[#This Row],[Absence 
Days]]&lt;3,"Excellent",Table1[[#This Row],[Absence 
Days]]&lt;=6,"Good",Table1[[#This Row],[Absence 
Days]]&gt;6,"Poor")</f>
        <v>Excellent</v>
      </c>
    </row>
    <row r="1294" spans="1:30" x14ac:dyDescent="0.35">
      <c r="A1294">
        <v>1293</v>
      </c>
      <c r="B1294" s="2" t="s">
        <v>229</v>
      </c>
      <c r="C1294" t="s">
        <v>510</v>
      </c>
      <c r="D1294" t="str">
        <f>_xlfn.TEXTJOIN(" ",TRUE,Table1[[#This Row],[First 
Name]:[Last 
Name]])</f>
        <v>Susan Perez</v>
      </c>
      <c r="E1294" t="s">
        <v>2404</v>
      </c>
      <c r="F1294" t="s">
        <v>3245</v>
      </c>
      <c r="G1294" t="str">
        <f ca="1">PROPER(Table1[[#This Row],[Part Time 
Job]])</f>
        <v>False</v>
      </c>
      <c r="H1294" s="3">
        <v>5</v>
      </c>
      <c r="I1294" t="str">
        <f ca="1">PROPER(Table1[[#This Row],[Extracurricular 
Activities]])</f>
        <v>False</v>
      </c>
      <c r="J1294">
        <v>5</v>
      </c>
      <c r="K1294" t="s">
        <v>3115</v>
      </c>
      <c r="L1294">
        <v>83</v>
      </c>
      <c r="M1294" s="12" t="str" cm="1">
        <f t="array" ref="M129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294">
        <v>94</v>
      </c>
      <c r="O1294" s="13" t="str" cm="1">
        <f t="array" ref="O129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294">
        <v>77</v>
      </c>
      <c r="Q1294" s="13" t="str" cm="1">
        <f t="array" ref="Q129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294">
        <v>97</v>
      </c>
      <c r="S1294" t="str" cm="1">
        <f t="array" ref="S129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294">
        <v>78</v>
      </c>
      <c r="U1294" t="str" cm="1">
        <f t="array" ref="U129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294">
        <v>60</v>
      </c>
      <c r="W1294" t="str" cm="1">
        <f t="array" ref="W129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294">
        <v>85</v>
      </c>
      <c r="Y1294" t="str" cm="1">
        <f t="array" ref="Y129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294">
        <f>SUM(Table1[[#This Row],[Math 
Score]],Table1[[#This Row],[History 
Score]],Table1[[#This Row],[Physics 
Score]],Table1[[#This Row],[Chemistry 
Score]],Table1[[#This Row],[Biology 
Score]],Table1[[#This Row],[English 
Score]],Table1[[#This Row],[Geography 
Score]])</f>
        <v>574</v>
      </c>
      <c r="AA1294" s="3">
        <f>AVERAGE(Table1[[#This Row],[Math 
Score]],Table1[[#This Row],[History 
Score]],Table1[[#This Row],[Physics 
Score]],Table1[[#This Row],[Chemistry 
Score]],Table1[[#This Row],[Biology 
Score]],Table1[[#This Row],[English 
Score]],Table1[[#This Row],[Geography 
Score]])</f>
        <v>82</v>
      </c>
      <c r="AB129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294">
        <f t="shared" si="20"/>
        <v>832</v>
      </c>
      <c r="AD1294" t="str">
        <f>_xlfn.IFS(Table1[[#This Row],[Absence 
Days]]&lt;3,"Excellent",Table1[[#This Row],[Absence 
Days]]&lt;=6,"Good",Table1[[#This Row],[Absence 
Days]]&gt;6,"Poor")</f>
        <v>Good</v>
      </c>
    </row>
    <row r="1295" spans="1:30" x14ac:dyDescent="0.35">
      <c r="A1295">
        <v>1294</v>
      </c>
      <c r="B1295" s="2" t="s">
        <v>267</v>
      </c>
      <c r="C1295" t="s">
        <v>722</v>
      </c>
      <c r="D1295" t="str">
        <f>_xlfn.TEXTJOIN(" ",TRUE,Table1[[#This Row],[First 
Name]:[Last 
Name]])</f>
        <v>Tyler Green</v>
      </c>
      <c r="E1295" t="s">
        <v>2405</v>
      </c>
      <c r="F1295" t="s">
        <v>3244</v>
      </c>
      <c r="G1295" t="str">
        <f ca="1">PROPER(Table1[[#This Row],[Part Time 
Job]])</f>
        <v>False</v>
      </c>
      <c r="H1295" s="3">
        <v>1</v>
      </c>
      <c r="I1295" t="str">
        <f ca="1">PROPER(Table1[[#This Row],[Extracurricular 
Activities]])</f>
        <v>False</v>
      </c>
      <c r="J1295">
        <v>5</v>
      </c>
      <c r="K1295" t="s">
        <v>3128</v>
      </c>
      <c r="L1295">
        <v>98</v>
      </c>
      <c r="M1295" s="12" t="str" cm="1">
        <f t="array" ref="M129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295">
        <v>75</v>
      </c>
      <c r="O1295" s="13" t="str" cm="1">
        <f t="array" ref="O129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295">
        <v>62</v>
      </c>
      <c r="Q1295" s="13" t="str" cm="1">
        <f t="array" ref="Q129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295">
        <v>64</v>
      </c>
      <c r="S1295" t="str" cm="1">
        <f t="array" ref="S129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295">
        <v>68</v>
      </c>
      <c r="U1295" t="str" cm="1">
        <f t="array" ref="U129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295">
        <v>80</v>
      </c>
      <c r="W1295" t="str" cm="1">
        <f t="array" ref="W129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295">
        <v>79</v>
      </c>
      <c r="Y1295" t="str" cm="1">
        <f t="array" ref="Y129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295">
        <f>SUM(Table1[[#This Row],[Math 
Score]],Table1[[#This Row],[History 
Score]],Table1[[#This Row],[Physics 
Score]],Table1[[#This Row],[Chemistry 
Score]],Table1[[#This Row],[Biology 
Score]],Table1[[#This Row],[English 
Score]],Table1[[#This Row],[Geography 
Score]])</f>
        <v>526</v>
      </c>
      <c r="AA1295" s="3">
        <f>AVERAGE(Table1[[#This Row],[Math 
Score]],Table1[[#This Row],[History 
Score]],Table1[[#This Row],[Physics 
Score]],Table1[[#This Row],[Chemistry 
Score]],Table1[[#This Row],[Biology 
Score]],Table1[[#This Row],[English 
Score]],Table1[[#This Row],[Geography 
Score]])</f>
        <v>75.142857142857139</v>
      </c>
      <c r="AB129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295">
        <f t="shared" si="20"/>
        <v>1688</v>
      </c>
      <c r="AD1295" t="str">
        <f>_xlfn.IFS(Table1[[#This Row],[Absence 
Days]]&lt;3,"Excellent",Table1[[#This Row],[Absence 
Days]]&lt;=6,"Good",Table1[[#This Row],[Absence 
Days]]&gt;6,"Poor")</f>
        <v>Excellent</v>
      </c>
    </row>
    <row r="1296" spans="1:30" x14ac:dyDescent="0.35">
      <c r="A1296">
        <v>1295</v>
      </c>
      <c r="B1296" s="2" t="s">
        <v>122</v>
      </c>
      <c r="C1296" t="s">
        <v>231</v>
      </c>
      <c r="D1296" t="str">
        <f>_xlfn.TEXTJOIN(" ",TRUE,Table1[[#This Row],[First 
Name]:[Last 
Name]])</f>
        <v>Rebecca Daniel</v>
      </c>
      <c r="E1296" t="s">
        <v>2406</v>
      </c>
      <c r="F1296" t="s">
        <v>3245</v>
      </c>
      <c r="G1296" t="str">
        <f ca="1">PROPER(Table1[[#This Row],[Part Time 
Job]])</f>
        <v>False</v>
      </c>
      <c r="H1296" s="3">
        <v>2</v>
      </c>
      <c r="I1296" t="str">
        <f ca="1">PROPER(Table1[[#This Row],[Extracurricular 
Activities]])</f>
        <v>False</v>
      </c>
      <c r="J1296">
        <v>34</v>
      </c>
      <c r="K1296" t="s">
        <v>3121</v>
      </c>
      <c r="L1296">
        <v>84</v>
      </c>
      <c r="M1296" s="12" t="str" cm="1">
        <f t="array" ref="M129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296">
        <v>74</v>
      </c>
      <c r="O1296" s="13" t="str" cm="1">
        <f t="array" ref="O129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296">
        <v>90</v>
      </c>
      <c r="Q1296" s="13" t="str" cm="1">
        <f t="array" ref="Q129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296">
        <v>99</v>
      </c>
      <c r="S1296" t="str" cm="1">
        <f t="array" ref="S129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296">
        <v>90</v>
      </c>
      <c r="U1296" t="str" cm="1">
        <f t="array" ref="U129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296">
        <v>92</v>
      </c>
      <c r="W1296" t="str" cm="1">
        <f t="array" ref="W129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296">
        <v>72</v>
      </c>
      <c r="Y1296" t="str" cm="1">
        <f t="array" ref="Y129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296">
        <f>SUM(Table1[[#This Row],[Math 
Score]],Table1[[#This Row],[History 
Score]],Table1[[#This Row],[Physics 
Score]],Table1[[#This Row],[Chemistry 
Score]],Table1[[#This Row],[Biology 
Score]],Table1[[#This Row],[English 
Score]],Table1[[#This Row],[Geography 
Score]])</f>
        <v>601</v>
      </c>
      <c r="AA1296" s="3">
        <f>AVERAGE(Table1[[#This Row],[Math 
Score]],Table1[[#This Row],[History 
Score]],Table1[[#This Row],[Physics 
Score]],Table1[[#This Row],[Chemistry 
Score]],Table1[[#This Row],[Biology 
Score]],Table1[[#This Row],[English 
Score]],Table1[[#This Row],[Geography 
Score]])</f>
        <v>85.857142857142861</v>
      </c>
      <c r="AB129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296">
        <f t="shared" si="20"/>
        <v>394</v>
      </c>
      <c r="AD1296" t="str">
        <f>_xlfn.IFS(Table1[[#This Row],[Absence 
Days]]&lt;3,"Excellent",Table1[[#This Row],[Absence 
Days]]&lt;=6,"Good",Table1[[#This Row],[Absence 
Days]]&gt;6,"Poor")</f>
        <v>Excellent</v>
      </c>
    </row>
    <row r="1297" spans="1:30" x14ac:dyDescent="0.35">
      <c r="A1297">
        <v>1296</v>
      </c>
      <c r="B1297" s="2" t="s">
        <v>389</v>
      </c>
      <c r="C1297" t="s">
        <v>520</v>
      </c>
      <c r="D1297" t="str">
        <f>_xlfn.TEXTJOIN(" ",TRUE,Table1[[#This Row],[First 
Name]:[Last 
Name]])</f>
        <v>Alexandria Harris</v>
      </c>
      <c r="E1297" t="s">
        <v>2407</v>
      </c>
      <c r="F1297" t="s">
        <v>3245</v>
      </c>
      <c r="G1297" t="str">
        <f ca="1">PROPER(Table1[[#This Row],[Part Time 
Job]])</f>
        <v>False</v>
      </c>
      <c r="H1297" s="3">
        <v>6</v>
      </c>
      <c r="I1297" t="str">
        <f ca="1">PROPER(Table1[[#This Row],[Extracurricular 
Activities]])</f>
        <v>False</v>
      </c>
      <c r="J1297">
        <v>34</v>
      </c>
      <c r="K1297" t="s">
        <v>3122</v>
      </c>
      <c r="L1297">
        <v>91</v>
      </c>
      <c r="M1297" s="12" t="str" cm="1">
        <f t="array" ref="M129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297">
        <v>75</v>
      </c>
      <c r="O1297" s="13" t="str" cm="1">
        <f t="array" ref="O129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297">
        <v>82</v>
      </c>
      <c r="Q1297" s="13" t="str" cm="1">
        <f t="array" ref="Q129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297">
        <v>68</v>
      </c>
      <c r="S1297" t="str" cm="1">
        <f t="array" ref="S129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297">
        <v>88</v>
      </c>
      <c r="U1297" t="str" cm="1">
        <f t="array" ref="U129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297">
        <v>98</v>
      </c>
      <c r="W1297" t="str" cm="1">
        <f t="array" ref="W129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297">
        <v>88</v>
      </c>
      <c r="Y1297" t="str" cm="1">
        <f t="array" ref="Y129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297">
        <f>SUM(Table1[[#This Row],[Math 
Score]],Table1[[#This Row],[History 
Score]],Table1[[#This Row],[Physics 
Score]],Table1[[#This Row],[Chemistry 
Score]],Table1[[#This Row],[Biology 
Score]],Table1[[#This Row],[English 
Score]],Table1[[#This Row],[Geography 
Score]])</f>
        <v>590</v>
      </c>
      <c r="AA1297" s="3">
        <f>AVERAGE(Table1[[#This Row],[Math 
Score]],Table1[[#This Row],[History 
Score]],Table1[[#This Row],[Physics 
Score]],Table1[[#This Row],[Chemistry 
Score]],Table1[[#This Row],[Biology 
Score]],Table1[[#This Row],[English 
Score]],Table1[[#This Row],[Geography 
Score]])</f>
        <v>84.285714285714292</v>
      </c>
      <c r="AB129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297">
        <f t="shared" si="20"/>
        <v>531</v>
      </c>
      <c r="AD1297" t="str">
        <f>_xlfn.IFS(Table1[[#This Row],[Absence 
Days]]&lt;3,"Excellent",Table1[[#This Row],[Absence 
Days]]&lt;=6,"Good",Table1[[#This Row],[Absence 
Days]]&gt;6,"Poor")</f>
        <v>Good</v>
      </c>
    </row>
    <row r="1298" spans="1:30" x14ac:dyDescent="0.35">
      <c r="A1298">
        <v>1297</v>
      </c>
      <c r="B1298" s="2" t="s">
        <v>390</v>
      </c>
      <c r="C1298" t="s">
        <v>188</v>
      </c>
      <c r="D1298" t="str">
        <f>_xlfn.TEXTJOIN(" ",TRUE,Table1[[#This Row],[First 
Name]:[Last 
Name]])</f>
        <v>Danny Taylor</v>
      </c>
      <c r="E1298" t="s">
        <v>2408</v>
      </c>
      <c r="F1298" t="s">
        <v>3244</v>
      </c>
      <c r="G1298" t="str">
        <f ca="1">PROPER(Table1[[#This Row],[Part Time 
Job]])</f>
        <v>False</v>
      </c>
      <c r="H1298" s="3">
        <v>2</v>
      </c>
      <c r="I1298" t="str">
        <f ca="1">PROPER(Table1[[#This Row],[Extracurricular 
Activities]])</f>
        <v>False</v>
      </c>
      <c r="J1298">
        <v>21</v>
      </c>
      <c r="K1298" t="s">
        <v>3125</v>
      </c>
      <c r="L1298">
        <v>83</v>
      </c>
      <c r="M1298" s="12" t="str" cm="1">
        <f t="array" ref="M129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298">
        <v>81</v>
      </c>
      <c r="O1298" s="13" t="str" cm="1">
        <f t="array" ref="O129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298">
        <v>96</v>
      </c>
      <c r="Q1298" s="13" t="str" cm="1">
        <f t="array" ref="Q129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298">
        <v>62</v>
      </c>
      <c r="S1298" t="str" cm="1">
        <f t="array" ref="S129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298">
        <v>66</v>
      </c>
      <c r="U1298" t="str" cm="1">
        <f t="array" ref="U129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298">
        <v>90</v>
      </c>
      <c r="W1298" t="str" cm="1">
        <f t="array" ref="W129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298">
        <v>91</v>
      </c>
      <c r="Y1298" t="str" cm="1">
        <f t="array" ref="Y129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298">
        <f>SUM(Table1[[#This Row],[Math 
Score]],Table1[[#This Row],[History 
Score]],Table1[[#This Row],[Physics 
Score]],Table1[[#This Row],[Chemistry 
Score]],Table1[[#This Row],[Biology 
Score]],Table1[[#This Row],[English 
Score]],Table1[[#This Row],[Geography 
Score]])</f>
        <v>569</v>
      </c>
      <c r="AA1298" s="3">
        <f>AVERAGE(Table1[[#This Row],[Math 
Score]],Table1[[#This Row],[History 
Score]],Table1[[#This Row],[Physics 
Score]],Table1[[#This Row],[Chemistry 
Score]],Table1[[#This Row],[Biology 
Score]],Table1[[#This Row],[English 
Score]],Table1[[#This Row],[Geography 
Score]])</f>
        <v>81.285714285714292</v>
      </c>
      <c r="AB129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298">
        <f t="shared" si="20"/>
        <v>957</v>
      </c>
      <c r="AD1298" t="str">
        <f>_xlfn.IFS(Table1[[#This Row],[Absence 
Days]]&lt;3,"Excellent",Table1[[#This Row],[Absence 
Days]]&lt;=6,"Good",Table1[[#This Row],[Absence 
Days]]&gt;6,"Poor")</f>
        <v>Excellent</v>
      </c>
    </row>
    <row r="1299" spans="1:30" x14ac:dyDescent="0.35">
      <c r="A1299">
        <v>1298</v>
      </c>
      <c r="B1299" s="2" t="s">
        <v>99</v>
      </c>
      <c r="C1299" t="s">
        <v>613</v>
      </c>
      <c r="D1299" t="str">
        <f>_xlfn.TEXTJOIN(" ",TRUE,Table1[[#This Row],[First 
Name]:[Last 
Name]])</f>
        <v>Amanda Evans</v>
      </c>
      <c r="E1299" t="s">
        <v>2409</v>
      </c>
      <c r="F1299" t="s">
        <v>3245</v>
      </c>
      <c r="G1299" t="str">
        <f ca="1">PROPER(Table1[[#This Row],[Part Time 
Job]])</f>
        <v>False</v>
      </c>
      <c r="H1299" s="3">
        <v>4</v>
      </c>
      <c r="I1299" t="str">
        <f ca="1">PROPER(Table1[[#This Row],[Extracurricular 
Activities]])</f>
        <v>False</v>
      </c>
      <c r="J1299">
        <v>27</v>
      </c>
      <c r="K1299" t="s">
        <v>3123</v>
      </c>
      <c r="L1299">
        <v>83</v>
      </c>
      <c r="M1299" s="12" t="str" cm="1">
        <f t="array" ref="M129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299">
        <v>63</v>
      </c>
      <c r="O1299" s="13" t="str" cm="1">
        <f t="array" ref="O129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299">
        <v>84</v>
      </c>
      <c r="Q1299" s="13" t="str" cm="1">
        <f t="array" ref="Q129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299">
        <v>82</v>
      </c>
      <c r="S1299" t="str" cm="1">
        <f t="array" ref="S129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299">
        <v>78</v>
      </c>
      <c r="U1299" t="str" cm="1">
        <f t="array" ref="U129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299">
        <v>60</v>
      </c>
      <c r="W1299" t="str" cm="1">
        <f t="array" ref="W129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299">
        <v>71</v>
      </c>
      <c r="Y1299" t="str" cm="1">
        <f t="array" ref="Y129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299">
        <f>SUM(Table1[[#This Row],[Math 
Score]],Table1[[#This Row],[History 
Score]],Table1[[#This Row],[Physics 
Score]],Table1[[#This Row],[Chemistry 
Score]],Table1[[#This Row],[Biology 
Score]],Table1[[#This Row],[English 
Score]],Table1[[#This Row],[Geography 
Score]])</f>
        <v>521</v>
      </c>
      <c r="AA1299" s="3">
        <f>AVERAGE(Table1[[#This Row],[Math 
Score]],Table1[[#This Row],[History 
Score]],Table1[[#This Row],[Physics 
Score]],Table1[[#This Row],[Chemistry 
Score]],Table1[[#This Row],[Biology 
Score]],Table1[[#This Row],[English 
Score]],Table1[[#This Row],[Geography 
Score]])</f>
        <v>74.428571428571431</v>
      </c>
      <c r="AB129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299">
        <f t="shared" si="20"/>
        <v>1749</v>
      </c>
      <c r="AD1299" t="str">
        <f>_xlfn.IFS(Table1[[#This Row],[Absence 
Days]]&lt;3,"Excellent",Table1[[#This Row],[Absence 
Days]]&lt;=6,"Good",Table1[[#This Row],[Absence 
Days]]&gt;6,"Poor")</f>
        <v>Good</v>
      </c>
    </row>
    <row r="1300" spans="1:30" x14ac:dyDescent="0.35">
      <c r="A1300">
        <v>1299</v>
      </c>
      <c r="B1300" s="2" t="s">
        <v>192</v>
      </c>
      <c r="C1300" t="s">
        <v>616</v>
      </c>
      <c r="D1300" t="str">
        <f>_xlfn.TEXTJOIN(" ",TRUE,Table1[[#This Row],[First 
Name]:[Last 
Name]])</f>
        <v>Scott Owens</v>
      </c>
      <c r="E1300" t="s">
        <v>2410</v>
      </c>
      <c r="F1300" t="s">
        <v>3244</v>
      </c>
      <c r="G1300" t="str">
        <f ca="1">PROPER(Table1[[#This Row],[Part Time 
Job]])</f>
        <v>False</v>
      </c>
      <c r="H1300" s="3">
        <v>0</v>
      </c>
      <c r="I1300" t="str">
        <f ca="1">PROPER(Table1[[#This Row],[Extracurricular 
Activities]])</f>
        <v>False</v>
      </c>
      <c r="J1300">
        <v>31</v>
      </c>
      <c r="K1300" t="s">
        <v>3117</v>
      </c>
      <c r="L1300">
        <v>90</v>
      </c>
      <c r="M1300" s="12" t="str" cm="1">
        <f t="array" ref="M130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300">
        <v>72</v>
      </c>
      <c r="O1300" s="13" t="str" cm="1">
        <f t="array" ref="O130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300">
        <v>62</v>
      </c>
      <c r="Q1300" s="13" t="str" cm="1">
        <f t="array" ref="Q130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300">
        <v>84</v>
      </c>
      <c r="S1300" t="str" cm="1">
        <f t="array" ref="S130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300">
        <v>74</v>
      </c>
      <c r="U1300" t="str" cm="1">
        <f t="array" ref="U130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300">
        <v>75</v>
      </c>
      <c r="W1300" t="str" cm="1">
        <f t="array" ref="W130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300">
        <v>100</v>
      </c>
      <c r="Y1300" t="str" cm="1">
        <f t="array" ref="Y130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300">
        <f>SUM(Table1[[#This Row],[Math 
Score]],Table1[[#This Row],[History 
Score]],Table1[[#This Row],[Physics 
Score]],Table1[[#This Row],[Chemistry 
Score]],Table1[[#This Row],[Biology 
Score]],Table1[[#This Row],[English 
Score]],Table1[[#This Row],[Geography 
Score]])</f>
        <v>557</v>
      </c>
      <c r="AA1300" s="3">
        <f>AVERAGE(Table1[[#This Row],[Math 
Score]],Table1[[#This Row],[History 
Score]],Table1[[#This Row],[Physics 
Score]],Table1[[#This Row],[Chemistry 
Score]],Table1[[#This Row],[Biology 
Score]],Table1[[#This Row],[English 
Score]],Table1[[#This Row],[Geography 
Score]])</f>
        <v>79.571428571428569</v>
      </c>
      <c r="AB130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300">
        <f t="shared" si="20"/>
        <v>1200</v>
      </c>
      <c r="AD1300" t="str">
        <f>_xlfn.IFS(Table1[[#This Row],[Absence 
Days]]&lt;3,"Excellent",Table1[[#This Row],[Absence 
Days]]&lt;=6,"Good",Table1[[#This Row],[Absence 
Days]]&gt;6,"Poor")</f>
        <v>Excellent</v>
      </c>
    </row>
    <row r="1301" spans="1:30" x14ac:dyDescent="0.35">
      <c r="A1301">
        <v>1300</v>
      </c>
      <c r="B1301" s="2" t="s">
        <v>38</v>
      </c>
      <c r="C1301" t="s">
        <v>532</v>
      </c>
      <c r="D1301" t="str">
        <f>_xlfn.TEXTJOIN(" ",TRUE,Table1[[#This Row],[First 
Name]:[Last 
Name]])</f>
        <v>Jesus Jones</v>
      </c>
      <c r="E1301" t="s">
        <v>2411</v>
      </c>
      <c r="F1301" t="s">
        <v>3244</v>
      </c>
      <c r="G1301" t="str">
        <f ca="1">PROPER(Table1[[#This Row],[Part Time 
Job]])</f>
        <v>False</v>
      </c>
      <c r="H1301" s="3">
        <v>4</v>
      </c>
      <c r="I1301" t="str">
        <f ca="1">PROPER(Table1[[#This Row],[Extracurricular 
Activities]])</f>
        <v>False</v>
      </c>
      <c r="J1301">
        <v>31</v>
      </c>
      <c r="K1301" t="s">
        <v>3112</v>
      </c>
      <c r="L1301">
        <v>81</v>
      </c>
      <c r="M1301" s="12" t="str" cm="1">
        <f t="array" ref="M130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301">
        <v>92</v>
      </c>
      <c r="O1301" s="13" t="str" cm="1">
        <f t="array" ref="O130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301">
        <v>97</v>
      </c>
      <c r="Q1301" s="13" t="str" cm="1">
        <f t="array" ref="Q130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301">
        <v>73</v>
      </c>
      <c r="S1301" t="str" cm="1">
        <f t="array" ref="S130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301">
        <v>90</v>
      </c>
      <c r="U1301" t="str" cm="1">
        <f t="array" ref="U130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301">
        <v>90</v>
      </c>
      <c r="W1301" t="str" cm="1">
        <f t="array" ref="W130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301">
        <v>60</v>
      </c>
      <c r="Y1301" t="str" cm="1">
        <f t="array" ref="Y130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301">
        <f>SUM(Table1[[#This Row],[Math 
Score]],Table1[[#This Row],[History 
Score]],Table1[[#This Row],[Physics 
Score]],Table1[[#This Row],[Chemistry 
Score]],Table1[[#This Row],[Biology 
Score]],Table1[[#This Row],[English 
Score]],Table1[[#This Row],[Geography 
Score]])</f>
        <v>583</v>
      </c>
      <c r="AA1301" s="3">
        <f>AVERAGE(Table1[[#This Row],[Math 
Score]],Table1[[#This Row],[History 
Score]],Table1[[#This Row],[Physics 
Score]],Table1[[#This Row],[Chemistry 
Score]],Table1[[#This Row],[Biology 
Score]],Table1[[#This Row],[English 
Score]],Table1[[#This Row],[Geography 
Score]])</f>
        <v>83.285714285714292</v>
      </c>
      <c r="AB130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301">
        <f t="shared" si="20"/>
        <v>655</v>
      </c>
      <c r="AD1301" t="str">
        <f>_xlfn.IFS(Table1[[#This Row],[Absence 
Days]]&lt;3,"Excellent",Table1[[#This Row],[Absence 
Days]]&lt;=6,"Good",Table1[[#This Row],[Absence 
Days]]&gt;6,"Poor")</f>
        <v>Good</v>
      </c>
    </row>
    <row r="1302" spans="1:30" x14ac:dyDescent="0.35">
      <c r="A1302">
        <v>1301</v>
      </c>
      <c r="B1302" s="2" t="s">
        <v>140</v>
      </c>
      <c r="C1302" t="s">
        <v>988</v>
      </c>
      <c r="D1302" t="str">
        <f>_xlfn.TEXTJOIN(" ",TRUE,Table1[[#This Row],[First 
Name]:[Last 
Name]])</f>
        <v>April Spence</v>
      </c>
      <c r="E1302" t="s">
        <v>2412</v>
      </c>
      <c r="F1302" t="s">
        <v>3245</v>
      </c>
      <c r="G1302" t="str">
        <f ca="1">PROPER(Table1[[#This Row],[Part Time 
Job]])</f>
        <v>True</v>
      </c>
      <c r="H1302" s="3">
        <v>3</v>
      </c>
      <c r="I1302" t="str">
        <f ca="1">PROPER(Table1[[#This Row],[Extracurricular 
Activities]])</f>
        <v>False</v>
      </c>
      <c r="J1302">
        <v>12</v>
      </c>
      <c r="K1302" t="s">
        <v>3118</v>
      </c>
      <c r="L1302">
        <v>89</v>
      </c>
      <c r="M1302" s="12" t="str" cm="1">
        <f t="array" ref="M130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302">
        <v>67</v>
      </c>
      <c r="O1302" s="13" t="str" cm="1">
        <f t="array" ref="O130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302">
        <v>87</v>
      </c>
      <c r="Q1302" s="13" t="str" cm="1">
        <f t="array" ref="Q130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302">
        <v>61</v>
      </c>
      <c r="S1302" t="str" cm="1">
        <f t="array" ref="S130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302">
        <v>91</v>
      </c>
      <c r="U1302" t="str" cm="1">
        <f t="array" ref="U130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302">
        <v>80</v>
      </c>
      <c r="W1302" t="str" cm="1">
        <f t="array" ref="W130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302">
        <v>76</v>
      </c>
      <c r="Y1302" t="str" cm="1">
        <f t="array" ref="Y130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302">
        <f>SUM(Table1[[#This Row],[Math 
Score]],Table1[[#This Row],[History 
Score]],Table1[[#This Row],[Physics 
Score]],Table1[[#This Row],[Chemistry 
Score]],Table1[[#This Row],[Biology 
Score]],Table1[[#This Row],[English 
Score]],Table1[[#This Row],[Geography 
Score]])</f>
        <v>551</v>
      </c>
      <c r="AA1302" s="3">
        <f>AVERAGE(Table1[[#This Row],[Math 
Score]],Table1[[#This Row],[History 
Score]],Table1[[#This Row],[Physics 
Score]],Table1[[#This Row],[Chemistry 
Score]],Table1[[#This Row],[Biology 
Score]],Table1[[#This Row],[English 
Score]],Table1[[#This Row],[Geography 
Score]])</f>
        <v>78.714285714285708</v>
      </c>
      <c r="AB130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302">
        <f t="shared" si="20"/>
        <v>1317</v>
      </c>
      <c r="AD1302" t="str">
        <f>_xlfn.IFS(Table1[[#This Row],[Absence 
Days]]&lt;3,"Excellent",Table1[[#This Row],[Absence 
Days]]&lt;=6,"Good",Table1[[#This Row],[Absence 
Days]]&gt;6,"Poor")</f>
        <v>Good</v>
      </c>
    </row>
    <row r="1303" spans="1:30" x14ac:dyDescent="0.35">
      <c r="A1303">
        <v>1302</v>
      </c>
      <c r="B1303" s="2" t="s">
        <v>36</v>
      </c>
      <c r="C1303" t="s">
        <v>589</v>
      </c>
      <c r="D1303" t="str">
        <f>_xlfn.TEXTJOIN(" ",TRUE,Table1[[#This Row],[First 
Name]:[Last 
Name]])</f>
        <v>Christopher Lopez</v>
      </c>
      <c r="E1303" t="s">
        <v>2413</v>
      </c>
      <c r="F1303" t="s">
        <v>3244</v>
      </c>
      <c r="G1303" t="str">
        <f ca="1">PROPER(Table1[[#This Row],[Part Time 
Job]])</f>
        <v>False</v>
      </c>
      <c r="H1303" s="3">
        <v>2</v>
      </c>
      <c r="I1303" t="str">
        <f ca="1">PROPER(Table1[[#This Row],[Extracurricular 
Activities]])</f>
        <v>False</v>
      </c>
      <c r="J1303">
        <v>13</v>
      </c>
      <c r="K1303" t="s">
        <v>3125</v>
      </c>
      <c r="L1303">
        <v>97</v>
      </c>
      <c r="M1303" s="12" t="str" cm="1">
        <f t="array" ref="M130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303">
        <v>65</v>
      </c>
      <c r="O1303" s="13" t="str" cm="1">
        <f t="array" ref="O130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303">
        <v>96</v>
      </c>
      <c r="Q1303" s="13" t="str" cm="1">
        <f t="array" ref="Q130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303">
        <v>92</v>
      </c>
      <c r="S1303" t="str" cm="1">
        <f t="array" ref="S130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303">
        <v>91</v>
      </c>
      <c r="U1303" t="str" cm="1">
        <f t="array" ref="U130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303">
        <v>66</v>
      </c>
      <c r="W1303" t="str" cm="1">
        <f t="array" ref="W130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303">
        <v>74</v>
      </c>
      <c r="Y1303" t="str" cm="1">
        <f t="array" ref="Y130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303">
        <f>SUM(Table1[[#This Row],[Math 
Score]],Table1[[#This Row],[History 
Score]],Table1[[#This Row],[Physics 
Score]],Table1[[#This Row],[Chemistry 
Score]],Table1[[#This Row],[Biology 
Score]],Table1[[#This Row],[English 
Score]],Table1[[#This Row],[Geography 
Score]])</f>
        <v>581</v>
      </c>
      <c r="AA1303" s="3">
        <f>AVERAGE(Table1[[#This Row],[Math 
Score]],Table1[[#This Row],[History 
Score]],Table1[[#This Row],[Physics 
Score]],Table1[[#This Row],[Chemistry 
Score]],Table1[[#This Row],[Biology 
Score]],Table1[[#This Row],[English 
Score]],Table1[[#This Row],[Geography 
Score]])</f>
        <v>83</v>
      </c>
      <c r="AB130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303">
        <f t="shared" si="20"/>
        <v>688</v>
      </c>
      <c r="AD1303" t="str">
        <f>_xlfn.IFS(Table1[[#This Row],[Absence 
Days]]&lt;3,"Excellent",Table1[[#This Row],[Absence 
Days]]&lt;=6,"Good",Table1[[#This Row],[Absence 
Days]]&gt;6,"Poor")</f>
        <v>Excellent</v>
      </c>
    </row>
    <row r="1304" spans="1:30" x14ac:dyDescent="0.35">
      <c r="A1304">
        <v>1303</v>
      </c>
      <c r="B1304" s="2" t="s">
        <v>98</v>
      </c>
      <c r="C1304" t="s">
        <v>940</v>
      </c>
      <c r="D1304" t="str">
        <f>_xlfn.TEXTJOIN(" ",TRUE,Table1[[#This Row],[First 
Name]:[Last 
Name]])</f>
        <v>Mario Hopkins</v>
      </c>
      <c r="E1304" t="s">
        <v>2414</v>
      </c>
      <c r="F1304" t="s">
        <v>3244</v>
      </c>
      <c r="G1304" t="str">
        <f ca="1">PROPER(Table1[[#This Row],[Part Time 
Job]])</f>
        <v>False</v>
      </c>
      <c r="H1304" s="3">
        <v>3</v>
      </c>
      <c r="I1304" t="str">
        <f ca="1">PROPER(Table1[[#This Row],[Extracurricular 
Activities]])</f>
        <v>False</v>
      </c>
      <c r="J1304">
        <v>28</v>
      </c>
      <c r="K1304" t="s">
        <v>3123</v>
      </c>
      <c r="L1304">
        <v>97</v>
      </c>
      <c r="M1304" s="12" t="str" cm="1">
        <f t="array" ref="M130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304">
        <v>88</v>
      </c>
      <c r="O1304" s="13" t="str" cm="1">
        <f t="array" ref="O130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304">
        <v>88</v>
      </c>
      <c r="Q1304" s="13" t="str" cm="1">
        <f t="array" ref="Q130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304">
        <v>79</v>
      </c>
      <c r="S1304" t="str" cm="1">
        <f t="array" ref="S130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304">
        <v>100</v>
      </c>
      <c r="U1304" t="str" cm="1">
        <f t="array" ref="U130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304">
        <v>74</v>
      </c>
      <c r="W1304" t="str" cm="1">
        <f t="array" ref="W130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304">
        <v>83</v>
      </c>
      <c r="Y1304" t="str" cm="1">
        <f t="array" ref="Y130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304">
        <f>SUM(Table1[[#This Row],[Math 
Score]],Table1[[#This Row],[History 
Score]],Table1[[#This Row],[Physics 
Score]],Table1[[#This Row],[Chemistry 
Score]],Table1[[#This Row],[Biology 
Score]],Table1[[#This Row],[English 
Score]],Table1[[#This Row],[Geography 
Score]])</f>
        <v>609</v>
      </c>
      <c r="AA1304" s="3">
        <f>AVERAGE(Table1[[#This Row],[Math 
Score]],Table1[[#This Row],[History 
Score]],Table1[[#This Row],[Physics 
Score]],Table1[[#This Row],[Chemistry 
Score]],Table1[[#This Row],[Biology 
Score]],Table1[[#This Row],[English 
Score]],Table1[[#This Row],[Geography 
Score]])</f>
        <v>87</v>
      </c>
      <c r="AB130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304">
        <f t="shared" si="20"/>
        <v>309</v>
      </c>
      <c r="AD1304" t="str">
        <f>_xlfn.IFS(Table1[[#This Row],[Absence 
Days]]&lt;3,"Excellent",Table1[[#This Row],[Absence 
Days]]&lt;=6,"Good",Table1[[#This Row],[Absence 
Days]]&gt;6,"Poor")</f>
        <v>Good</v>
      </c>
    </row>
    <row r="1305" spans="1:30" x14ac:dyDescent="0.35">
      <c r="A1305">
        <v>1304</v>
      </c>
      <c r="B1305" s="2" t="s">
        <v>193</v>
      </c>
      <c r="C1305" t="s">
        <v>926</v>
      </c>
      <c r="D1305" t="str">
        <f>_xlfn.TEXTJOIN(" ",TRUE,Table1[[#This Row],[First 
Name]:[Last 
Name]])</f>
        <v>Cody Burke</v>
      </c>
      <c r="E1305" t="s">
        <v>2415</v>
      </c>
      <c r="F1305" t="s">
        <v>3244</v>
      </c>
      <c r="G1305" t="str">
        <f ca="1">PROPER(Table1[[#This Row],[Part Time 
Job]])</f>
        <v>False</v>
      </c>
      <c r="H1305" s="3">
        <v>5</v>
      </c>
      <c r="I1305" t="str">
        <f ca="1">PROPER(Table1[[#This Row],[Extracurricular 
Activities]])</f>
        <v>False</v>
      </c>
      <c r="J1305">
        <v>27</v>
      </c>
      <c r="K1305" t="s">
        <v>3117</v>
      </c>
      <c r="L1305">
        <v>100</v>
      </c>
      <c r="M1305" s="12" t="str" cm="1">
        <f t="array" ref="M130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305">
        <v>89</v>
      </c>
      <c r="O1305" s="13" t="str" cm="1">
        <f t="array" ref="O130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305">
        <v>98</v>
      </c>
      <c r="Q1305" s="13" t="str" cm="1">
        <f t="array" ref="Q130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305">
        <v>81</v>
      </c>
      <c r="S1305" t="str" cm="1">
        <f t="array" ref="S130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305">
        <v>78</v>
      </c>
      <c r="U1305" t="str" cm="1">
        <f t="array" ref="U130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305">
        <v>91</v>
      </c>
      <c r="W1305" t="str" cm="1">
        <f t="array" ref="W130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305">
        <v>87</v>
      </c>
      <c r="Y1305" t="str" cm="1">
        <f t="array" ref="Y130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305">
        <f>SUM(Table1[[#This Row],[Math 
Score]],Table1[[#This Row],[History 
Score]],Table1[[#This Row],[Physics 
Score]],Table1[[#This Row],[Chemistry 
Score]],Table1[[#This Row],[Biology 
Score]],Table1[[#This Row],[English 
Score]],Table1[[#This Row],[Geography 
Score]])</f>
        <v>624</v>
      </c>
      <c r="AA1305" s="3">
        <f>AVERAGE(Table1[[#This Row],[Math 
Score]],Table1[[#This Row],[History 
Score]],Table1[[#This Row],[Physics 
Score]],Table1[[#This Row],[Chemistry 
Score]],Table1[[#This Row],[Biology 
Score]],Table1[[#This Row],[English 
Score]],Table1[[#This Row],[Geography 
Score]])</f>
        <v>89.142857142857139</v>
      </c>
      <c r="AB130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305">
        <f t="shared" si="20"/>
        <v>194</v>
      </c>
      <c r="AD1305" t="str">
        <f>_xlfn.IFS(Table1[[#This Row],[Absence 
Days]]&lt;3,"Excellent",Table1[[#This Row],[Absence 
Days]]&lt;=6,"Good",Table1[[#This Row],[Absence 
Days]]&gt;6,"Poor")</f>
        <v>Good</v>
      </c>
    </row>
    <row r="1306" spans="1:30" x14ac:dyDescent="0.35">
      <c r="A1306">
        <v>1305</v>
      </c>
      <c r="B1306" s="2" t="s">
        <v>391</v>
      </c>
      <c r="C1306" t="s">
        <v>462</v>
      </c>
      <c r="D1306" t="str">
        <f>_xlfn.TEXTJOIN(" ",TRUE,Table1[[#This Row],[First 
Name]:[Last 
Name]])</f>
        <v>Candace White</v>
      </c>
      <c r="E1306" t="s">
        <v>2416</v>
      </c>
      <c r="F1306" t="s">
        <v>3245</v>
      </c>
      <c r="G1306" t="str">
        <f ca="1">PROPER(Table1[[#This Row],[Part Time 
Job]])</f>
        <v>True</v>
      </c>
      <c r="H1306" s="3">
        <v>3</v>
      </c>
      <c r="I1306" t="str">
        <f ca="1">PROPER(Table1[[#This Row],[Extracurricular 
Activities]])</f>
        <v>False</v>
      </c>
      <c r="J1306">
        <v>4</v>
      </c>
      <c r="K1306" t="s">
        <v>3126</v>
      </c>
      <c r="L1306">
        <v>98</v>
      </c>
      <c r="M1306" s="12" t="str" cm="1">
        <f t="array" ref="M130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306">
        <v>63</v>
      </c>
      <c r="O1306" s="13" t="str" cm="1">
        <f t="array" ref="O130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306">
        <v>82</v>
      </c>
      <c r="Q1306" s="13" t="str" cm="1">
        <f t="array" ref="Q130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306">
        <v>61</v>
      </c>
      <c r="S1306" t="str" cm="1">
        <f t="array" ref="S130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306">
        <v>79</v>
      </c>
      <c r="U1306" t="str" cm="1">
        <f t="array" ref="U130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306">
        <v>70</v>
      </c>
      <c r="W1306" t="str" cm="1">
        <f t="array" ref="W130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306">
        <v>86</v>
      </c>
      <c r="Y1306" t="str" cm="1">
        <f t="array" ref="Y130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306">
        <f>SUM(Table1[[#This Row],[Math 
Score]],Table1[[#This Row],[History 
Score]],Table1[[#This Row],[Physics 
Score]],Table1[[#This Row],[Chemistry 
Score]],Table1[[#This Row],[Biology 
Score]],Table1[[#This Row],[English 
Score]],Table1[[#This Row],[Geography 
Score]])</f>
        <v>539</v>
      </c>
      <c r="AA1306" s="3">
        <f>AVERAGE(Table1[[#This Row],[Math 
Score]],Table1[[#This Row],[History 
Score]],Table1[[#This Row],[Physics 
Score]],Table1[[#This Row],[Chemistry 
Score]],Table1[[#This Row],[Biology 
Score]],Table1[[#This Row],[English 
Score]],Table1[[#This Row],[Geography 
Score]])</f>
        <v>77</v>
      </c>
      <c r="AB130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306">
        <f t="shared" si="20"/>
        <v>1531</v>
      </c>
      <c r="AD1306" t="str">
        <f>_xlfn.IFS(Table1[[#This Row],[Absence 
Days]]&lt;3,"Excellent",Table1[[#This Row],[Absence 
Days]]&lt;=6,"Good",Table1[[#This Row],[Absence 
Days]]&gt;6,"Poor")</f>
        <v>Good</v>
      </c>
    </row>
    <row r="1307" spans="1:30" x14ac:dyDescent="0.35">
      <c r="A1307">
        <v>1306</v>
      </c>
      <c r="B1307" s="2" t="s">
        <v>74</v>
      </c>
      <c r="C1307" t="s">
        <v>527</v>
      </c>
      <c r="D1307" t="str">
        <f>_xlfn.TEXTJOIN(" ",TRUE,Table1[[#This Row],[First 
Name]:[Last 
Name]])</f>
        <v>Robert Brown</v>
      </c>
      <c r="E1307" t="s">
        <v>2417</v>
      </c>
      <c r="F1307" t="s">
        <v>3244</v>
      </c>
      <c r="G1307" t="str">
        <f ca="1">PROPER(Table1[[#This Row],[Part Time 
Job]])</f>
        <v>False</v>
      </c>
      <c r="H1307" s="3">
        <v>2</v>
      </c>
      <c r="I1307" t="str">
        <f ca="1">PROPER(Table1[[#This Row],[Extracurricular 
Activities]])</f>
        <v>False</v>
      </c>
      <c r="J1307">
        <v>33</v>
      </c>
      <c r="K1307" t="s">
        <v>3117</v>
      </c>
      <c r="L1307">
        <v>97</v>
      </c>
      <c r="M1307" s="12" t="str" cm="1">
        <f t="array" ref="M130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307">
        <v>98</v>
      </c>
      <c r="O1307" s="13" t="str" cm="1">
        <f t="array" ref="O130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307">
        <v>83</v>
      </c>
      <c r="Q1307" s="13" t="str" cm="1">
        <f t="array" ref="Q130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307">
        <v>87</v>
      </c>
      <c r="S1307" t="str" cm="1">
        <f t="array" ref="S130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307">
        <v>60</v>
      </c>
      <c r="U1307" t="str" cm="1">
        <f t="array" ref="U130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307">
        <v>78</v>
      </c>
      <c r="W1307" t="str" cm="1">
        <f t="array" ref="W130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307">
        <v>70</v>
      </c>
      <c r="Y1307" t="str" cm="1">
        <f t="array" ref="Y130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307">
        <f>SUM(Table1[[#This Row],[Math 
Score]],Table1[[#This Row],[History 
Score]],Table1[[#This Row],[Physics 
Score]],Table1[[#This Row],[Chemistry 
Score]],Table1[[#This Row],[Biology 
Score]],Table1[[#This Row],[English 
Score]],Table1[[#This Row],[Geography 
Score]])</f>
        <v>573</v>
      </c>
      <c r="AA1307" s="3">
        <f>AVERAGE(Table1[[#This Row],[Math 
Score]],Table1[[#This Row],[History 
Score]],Table1[[#This Row],[Physics 
Score]],Table1[[#This Row],[Chemistry 
Score]],Table1[[#This Row],[Biology 
Score]],Table1[[#This Row],[English 
Score]],Table1[[#This Row],[Geography 
Score]])</f>
        <v>81.857142857142861</v>
      </c>
      <c r="AB130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307">
        <f t="shared" si="20"/>
        <v>864</v>
      </c>
      <c r="AD1307" t="str">
        <f>_xlfn.IFS(Table1[[#This Row],[Absence 
Days]]&lt;3,"Excellent",Table1[[#This Row],[Absence 
Days]]&lt;=6,"Good",Table1[[#This Row],[Absence 
Days]]&gt;6,"Poor")</f>
        <v>Excellent</v>
      </c>
    </row>
    <row r="1308" spans="1:30" x14ac:dyDescent="0.35">
      <c r="A1308">
        <v>1307</v>
      </c>
      <c r="B1308" s="2" t="s">
        <v>123</v>
      </c>
      <c r="C1308" t="s">
        <v>700</v>
      </c>
      <c r="D1308" t="str">
        <f>_xlfn.TEXTJOIN(" ",TRUE,Table1[[#This Row],[First 
Name]:[Last 
Name]])</f>
        <v>Erica Woodward</v>
      </c>
      <c r="E1308" t="s">
        <v>2418</v>
      </c>
      <c r="F1308" t="s">
        <v>3245</v>
      </c>
      <c r="G1308" t="str">
        <f ca="1">PROPER(Table1[[#This Row],[Part Time 
Job]])</f>
        <v>False</v>
      </c>
      <c r="H1308" s="3">
        <v>4</v>
      </c>
      <c r="I1308" t="str">
        <f ca="1">PROPER(Table1[[#This Row],[Extracurricular 
Activities]])</f>
        <v>False</v>
      </c>
      <c r="J1308">
        <v>18</v>
      </c>
      <c r="K1308" t="s">
        <v>3123</v>
      </c>
      <c r="L1308">
        <v>78</v>
      </c>
      <c r="M1308" s="12" t="str" cm="1">
        <f t="array" ref="M130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308">
        <v>80</v>
      </c>
      <c r="O1308" s="13" t="str" cm="1">
        <f t="array" ref="O130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308">
        <v>73</v>
      </c>
      <c r="Q1308" s="13" t="str" cm="1">
        <f t="array" ref="Q130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308">
        <v>91</v>
      </c>
      <c r="S1308" t="str" cm="1">
        <f t="array" ref="S130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308">
        <v>34</v>
      </c>
      <c r="U1308" t="str" cm="1">
        <f t="array" ref="U130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F</v>
      </c>
      <c r="V1308">
        <v>73</v>
      </c>
      <c r="W1308" t="str" cm="1">
        <f t="array" ref="W130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308">
        <v>60</v>
      </c>
      <c r="Y1308" t="str" cm="1">
        <f t="array" ref="Y130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308">
        <f>SUM(Table1[[#This Row],[Math 
Score]],Table1[[#This Row],[History 
Score]],Table1[[#This Row],[Physics 
Score]],Table1[[#This Row],[Chemistry 
Score]],Table1[[#This Row],[Biology 
Score]],Table1[[#This Row],[English 
Score]],Table1[[#This Row],[Geography 
Score]])</f>
        <v>489</v>
      </c>
      <c r="AA1308" s="3">
        <f>AVERAGE(Table1[[#This Row],[Math 
Score]],Table1[[#This Row],[History 
Score]],Table1[[#This Row],[Physics 
Score]],Table1[[#This Row],[Chemistry 
Score]],Table1[[#This Row],[Biology 
Score]],Table1[[#This Row],[English 
Score]],Table1[[#This Row],[Geography 
Score]])</f>
        <v>69.857142857142861</v>
      </c>
      <c r="AB130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308">
        <f t="shared" si="20"/>
        <v>1914</v>
      </c>
      <c r="AD1308" t="str">
        <f>_xlfn.IFS(Table1[[#This Row],[Absence 
Days]]&lt;3,"Excellent",Table1[[#This Row],[Absence 
Days]]&lt;=6,"Good",Table1[[#This Row],[Absence 
Days]]&gt;6,"Poor")</f>
        <v>Good</v>
      </c>
    </row>
    <row r="1309" spans="1:30" x14ac:dyDescent="0.35">
      <c r="A1309">
        <v>1308</v>
      </c>
      <c r="B1309" s="2" t="s">
        <v>42</v>
      </c>
      <c r="C1309" t="s">
        <v>458</v>
      </c>
      <c r="D1309" t="str">
        <f>_xlfn.TEXTJOIN(" ",TRUE,Table1[[#This Row],[First 
Name]:[Last 
Name]])</f>
        <v>Elizabeth Smith</v>
      </c>
      <c r="E1309" t="s">
        <v>2419</v>
      </c>
      <c r="F1309" t="s">
        <v>3245</v>
      </c>
      <c r="G1309" t="str">
        <f ca="1">PROPER(Table1[[#This Row],[Part Time 
Job]])</f>
        <v>False</v>
      </c>
      <c r="H1309" s="3">
        <v>0</v>
      </c>
      <c r="I1309" t="str">
        <f ca="1">PROPER(Table1[[#This Row],[Extracurricular 
Activities]])</f>
        <v>False</v>
      </c>
      <c r="J1309">
        <v>29</v>
      </c>
      <c r="K1309" t="s">
        <v>3112</v>
      </c>
      <c r="L1309">
        <v>100</v>
      </c>
      <c r="M1309" s="12" t="str" cm="1">
        <f t="array" ref="M130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309">
        <v>92</v>
      </c>
      <c r="O1309" s="13" t="str" cm="1">
        <f t="array" ref="O130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309">
        <v>67</v>
      </c>
      <c r="Q1309" s="13" t="str" cm="1">
        <f t="array" ref="Q130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309">
        <v>89</v>
      </c>
      <c r="S1309" t="str" cm="1">
        <f t="array" ref="S130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309">
        <v>90</v>
      </c>
      <c r="U1309" t="str" cm="1">
        <f t="array" ref="U130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309">
        <v>83</v>
      </c>
      <c r="W1309" t="str" cm="1">
        <f t="array" ref="W130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309">
        <v>89</v>
      </c>
      <c r="Y1309" t="str" cm="1">
        <f t="array" ref="Y130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309">
        <f>SUM(Table1[[#This Row],[Math 
Score]],Table1[[#This Row],[History 
Score]],Table1[[#This Row],[Physics 
Score]],Table1[[#This Row],[Chemistry 
Score]],Table1[[#This Row],[Biology 
Score]],Table1[[#This Row],[English 
Score]],Table1[[#This Row],[Geography 
Score]])</f>
        <v>610</v>
      </c>
      <c r="AA1309" s="3">
        <f>AVERAGE(Table1[[#This Row],[Math 
Score]],Table1[[#This Row],[History 
Score]],Table1[[#This Row],[Physics 
Score]],Table1[[#This Row],[Chemistry 
Score]],Table1[[#This Row],[Biology 
Score]],Table1[[#This Row],[English 
Score]],Table1[[#This Row],[Geography 
Score]])</f>
        <v>87.142857142857139</v>
      </c>
      <c r="AB130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309">
        <f t="shared" si="20"/>
        <v>298</v>
      </c>
      <c r="AD1309" t="str">
        <f>_xlfn.IFS(Table1[[#This Row],[Absence 
Days]]&lt;3,"Excellent",Table1[[#This Row],[Absence 
Days]]&lt;=6,"Good",Table1[[#This Row],[Absence 
Days]]&gt;6,"Poor")</f>
        <v>Excellent</v>
      </c>
    </row>
    <row r="1310" spans="1:30" x14ac:dyDescent="0.35">
      <c r="A1310">
        <v>1309</v>
      </c>
      <c r="B1310" s="2" t="s">
        <v>50</v>
      </c>
      <c r="C1310" t="s">
        <v>353</v>
      </c>
      <c r="D1310" t="str">
        <f>_xlfn.TEXTJOIN(" ",TRUE,Table1[[#This Row],[First 
Name]:[Last 
Name]])</f>
        <v>Jennifer Martin</v>
      </c>
      <c r="E1310" t="s">
        <v>2420</v>
      </c>
      <c r="F1310" t="s">
        <v>3245</v>
      </c>
      <c r="G1310" t="str">
        <f ca="1">PROPER(Table1[[#This Row],[Part Time 
Job]])</f>
        <v>False</v>
      </c>
      <c r="H1310" s="3">
        <v>1</v>
      </c>
      <c r="I1310" t="str">
        <f ca="1">PROPER(Table1[[#This Row],[Extracurricular 
Activities]])</f>
        <v>False</v>
      </c>
      <c r="J1310">
        <v>13</v>
      </c>
      <c r="K1310" t="s">
        <v>3122</v>
      </c>
      <c r="L1310">
        <v>92</v>
      </c>
      <c r="M1310" s="12" t="str" cm="1">
        <f t="array" ref="M131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310">
        <v>77</v>
      </c>
      <c r="O1310" s="13" t="str" cm="1">
        <f t="array" ref="O131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310">
        <v>89</v>
      </c>
      <c r="Q1310" s="13" t="str" cm="1">
        <f t="array" ref="Q131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310">
        <v>97</v>
      </c>
      <c r="S1310" t="str" cm="1">
        <f t="array" ref="S131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310">
        <v>61</v>
      </c>
      <c r="U1310" t="str" cm="1">
        <f t="array" ref="U131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310">
        <v>93</v>
      </c>
      <c r="W1310" t="str" cm="1">
        <f t="array" ref="W131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310">
        <v>82</v>
      </c>
      <c r="Y1310" t="str" cm="1">
        <f t="array" ref="Y131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310">
        <f>SUM(Table1[[#This Row],[Math 
Score]],Table1[[#This Row],[History 
Score]],Table1[[#This Row],[Physics 
Score]],Table1[[#This Row],[Chemistry 
Score]],Table1[[#This Row],[Biology 
Score]],Table1[[#This Row],[English 
Score]],Table1[[#This Row],[Geography 
Score]])</f>
        <v>591</v>
      </c>
      <c r="AA1310" s="3">
        <f>AVERAGE(Table1[[#This Row],[Math 
Score]],Table1[[#This Row],[History 
Score]],Table1[[#This Row],[Physics 
Score]],Table1[[#This Row],[Chemistry 
Score]],Table1[[#This Row],[Biology 
Score]],Table1[[#This Row],[English 
Score]],Table1[[#This Row],[Geography 
Score]])</f>
        <v>84.428571428571431</v>
      </c>
      <c r="AB131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310">
        <f t="shared" si="20"/>
        <v>515</v>
      </c>
      <c r="AD1310" t="str">
        <f>_xlfn.IFS(Table1[[#This Row],[Absence 
Days]]&lt;3,"Excellent",Table1[[#This Row],[Absence 
Days]]&lt;=6,"Good",Table1[[#This Row],[Absence 
Days]]&gt;6,"Poor")</f>
        <v>Excellent</v>
      </c>
    </row>
    <row r="1311" spans="1:30" x14ac:dyDescent="0.35">
      <c r="A1311">
        <v>1310</v>
      </c>
      <c r="B1311" s="2" t="s">
        <v>40</v>
      </c>
      <c r="C1311" t="s">
        <v>458</v>
      </c>
      <c r="D1311" t="str">
        <f>_xlfn.TEXTJOIN(" ",TRUE,Table1[[#This Row],[First 
Name]:[Last 
Name]])</f>
        <v>David Smith</v>
      </c>
      <c r="E1311" t="s">
        <v>2421</v>
      </c>
      <c r="F1311" t="s">
        <v>3244</v>
      </c>
      <c r="G1311" t="str">
        <f ca="1">PROPER(Table1[[#This Row],[Part Time 
Job]])</f>
        <v>False</v>
      </c>
      <c r="H1311" s="3">
        <v>4</v>
      </c>
      <c r="I1311" t="str">
        <f ca="1">PROPER(Table1[[#This Row],[Extracurricular 
Activities]])</f>
        <v>False</v>
      </c>
      <c r="J1311">
        <v>5</v>
      </c>
      <c r="K1311" t="s">
        <v>3126</v>
      </c>
      <c r="L1311">
        <v>81</v>
      </c>
      <c r="M1311" s="12" t="str" cm="1">
        <f t="array" ref="M131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311">
        <v>95</v>
      </c>
      <c r="O1311" s="13" t="str" cm="1">
        <f t="array" ref="O131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311">
        <v>84</v>
      </c>
      <c r="Q1311" s="13" t="str" cm="1">
        <f t="array" ref="Q131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311">
        <v>85</v>
      </c>
      <c r="S1311" t="str" cm="1">
        <f t="array" ref="S131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311">
        <v>82</v>
      </c>
      <c r="U1311" t="str" cm="1">
        <f t="array" ref="U131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311">
        <v>62</v>
      </c>
      <c r="W1311" t="str" cm="1">
        <f t="array" ref="W131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311">
        <v>63</v>
      </c>
      <c r="Y1311" t="str" cm="1">
        <f t="array" ref="Y131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311">
        <f>SUM(Table1[[#This Row],[Math 
Score]],Table1[[#This Row],[History 
Score]],Table1[[#This Row],[Physics 
Score]],Table1[[#This Row],[Chemistry 
Score]],Table1[[#This Row],[Biology 
Score]],Table1[[#This Row],[English 
Score]],Table1[[#This Row],[Geography 
Score]])</f>
        <v>552</v>
      </c>
      <c r="AA1311" s="3">
        <f>AVERAGE(Table1[[#This Row],[Math 
Score]],Table1[[#This Row],[History 
Score]],Table1[[#This Row],[Physics 
Score]],Table1[[#This Row],[Chemistry 
Score]],Table1[[#This Row],[Biology 
Score]],Table1[[#This Row],[English 
Score]],Table1[[#This Row],[Geography 
Score]])</f>
        <v>78.857142857142861</v>
      </c>
      <c r="AB131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311">
        <f t="shared" si="20"/>
        <v>1306</v>
      </c>
      <c r="AD1311" t="str">
        <f>_xlfn.IFS(Table1[[#This Row],[Absence 
Days]]&lt;3,"Excellent",Table1[[#This Row],[Absence 
Days]]&lt;=6,"Good",Table1[[#This Row],[Absence 
Days]]&gt;6,"Poor")</f>
        <v>Good</v>
      </c>
    </row>
    <row r="1312" spans="1:30" x14ac:dyDescent="0.35">
      <c r="A1312">
        <v>1311</v>
      </c>
      <c r="B1312" s="2" t="s">
        <v>230</v>
      </c>
      <c r="C1312" t="s">
        <v>592</v>
      </c>
      <c r="D1312" t="str">
        <f>_xlfn.TEXTJOIN(" ",TRUE,Table1[[#This Row],[First 
Name]:[Last 
Name]])</f>
        <v>Lori Johnson</v>
      </c>
      <c r="E1312" t="s">
        <v>2422</v>
      </c>
      <c r="F1312" t="s">
        <v>3245</v>
      </c>
      <c r="G1312" t="str">
        <f ca="1">PROPER(Table1[[#This Row],[Part Time 
Job]])</f>
        <v>False</v>
      </c>
      <c r="H1312" s="3">
        <v>6</v>
      </c>
      <c r="I1312" t="str">
        <f ca="1">PROPER(Table1[[#This Row],[Extracurricular 
Activities]])</f>
        <v>False</v>
      </c>
      <c r="J1312">
        <v>15</v>
      </c>
      <c r="K1312" t="s">
        <v>3117</v>
      </c>
      <c r="L1312">
        <v>98</v>
      </c>
      <c r="M1312" s="12" t="str" cm="1">
        <f t="array" ref="M131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312">
        <v>67</v>
      </c>
      <c r="O1312" s="13" t="str" cm="1">
        <f t="array" ref="O131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312">
        <v>74</v>
      </c>
      <c r="Q1312" s="13" t="str" cm="1">
        <f t="array" ref="Q131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312">
        <v>94</v>
      </c>
      <c r="S1312" t="str" cm="1">
        <f t="array" ref="S131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312">
        <v>94</v>
      </c>
      <c r="U1312" t="str" cm="1">
        <f t="array" ref="U131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312">
        <v>96</v>
      </c>
      <c r="W1312" t="str" cm="1">
        <f t="array" ref="W131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312">
        <v>85</v>
      </c>
      <c r="Y1312" t="str" cm="1">
        <f t="array" ref="Y131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312">
        <f>SUM(Table1[[#This Row],[Math 
Score]],Table1[[#This Row],[History 
Score]],Table1[[#This Row],[Physics 
Score]],Table1[[#This Row],[Chemistry 
Score]],Table1[[#This Row],[Biology 
Score]],Table1[[#This Row],[English 
Score]],Table1[[#This Row],[Geography 
Score]])</f>
        <v>608</v>
      </c>
      <c r="AA1312" s="3">
        <f>AVERAGE(Table1[[#This Row],[Math 
Score]],Table1[[#This Row],[History 
Score]],Table1[[#This Row],[Physics 
Score]],Table1[[#This Row],[Chemistry 
Score]],Table1[[#This Row],[Biology 
Score]],Table1[[#This Row],[English 
Score]],Table1[[#This Row],[Geography 
Score]])</f>
        <v>86.857142857142861</v>
      </c>
      <c r="AB131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312">
        <f t="shared" si="20"/>
        <v>318</v>
      </c>
      <c r="AD1312" t="str">
        <f>_xlfn.IFS(Table1[[#This Row],[Absence 
Days]]&lt;3,"Excellent",Table1[[#This Row],[Absence 
Days]]&lt;=6,"Good",Table1[[#This Row],[Absence 
Days]]&gt;6,"Poor")</f>
        <v>Good</v>
      </c>
    </row>
    <row r="1313" spans="1:30" x14ac:dyDescent="0.35">
      <c r="A1313">
        <v>1312</v>
      </c>
      <c r="B1313" s="2" t="s">
        <v>353</v>
      </c>
      <c r="C1313" t="s">
        <v>516</v>
      </c>
      <c r="D1313" t="str">
        <f>_xlfn.TEXTJOIN(" ",TRUE,Table1[[#This Row],[First 
Name]:[Last 
Name]])</f>
        <v>Martin Garcia</v>
      </c>
      <c r="E1313" t="s">
        <v>2423</v>
      </c>
      <c r="F1313" t="s">
        <v>3244</v>
      </c>
      <c r="G1313" t="str">
        <f ca="1">PROPER(Table1[[#This Row],[Part Time 
Job]])</f>
        <v>False</v>
      </c>
      <c r="H1313" s="3">
        <v>2</v>
      </c>
      <c r="I1313" t="str">
        <f ca="1">PROPER(Table1[[#This Row],[Extracurricular 
Activities]])</f>
        <v>False</v>
      </c>
      <c r="J1313">
        <v>2</v>
      </c>
      <c r="K1313" t="s">
        <v>3116</v>
      </c>
      <c r="L1313">
        <v>62</v>
      </c>
      <c r="M1313" s="12" t="str" cm="1">
        <f t="array" ref="M1313">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313">
        <v>74</v>
      </c>
      <c r="O1313" s="13" t="str" cm="1">
        <f t="array" ref="O131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313">
        <v>98</v>
      </c>
      <c r="Q1313" s="13" t="str" cm="1">
        <f t="array" ref="Q131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313">
        <v>97</v>
      </c>
      <c r="S1313" t="str" cm="1">
        <f t="array" ref="S131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313">
        <v>72</v>
      </c>
      <c r="U1313" t="str" cm="1">
        <f t="array" ref="U131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313">
        <v>72</v>
      </c>
      <c r="W1313" t="str" cm="1">
        <f t="array" ref="W131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313">
        <v>95</v>
      </c>
      <c r="Y1313" t="str" cm="1">
        <f t="array" ref="Y131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313">
        <f>SUM(Table1[[#This Row],[Math 
Score]],Table1[[#This Row],[History 
Score]],Table1[[#This Row],[Physics 
Score]],Table1[[#This Row],[Chemistry 
Score]],Table1[[#This Row],[Biology 
Score]],Table1[[#This Row],[English 
Score]],Table1[[#This Row],[Geography 
Score]])</f>
        <v>570</v>
      </c>
      <c r="AA1313" s="3">
        <f>AVERAGE(Table1[[#This Row],[Math 
Score]],Table1[[#This Row],[History 
Score]],Table1[[#This Row],[Physics 
Score]],Table1[[#This Row],[Chemistry 
Score]],Table1[[#This Row],[Biology 
Score]],Table1[[#This Row],[English 
Score]],Table1[[#This Row],[Geography 
Score]])</f>
        <v>81.428571428571431</v>
      </c>
      <c r="AB131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313">
        <f t="shared" si="20"/>
        <v>937</v>
      </c>
      <c r="AD1313" t="str">
        <f>_xlfn.IFS(Table1[[#This Row],[Absence 
Days]]&lt;3,"Excellent",Table1[[#This Row],[Absence 
Days]]&lt;=6,"Good",Table1[[#This Row],[Absence 
Days]]&gt;6,"Poor")</f>
        <v>Excellent</v>
      </c>
    </row>
    <row r="1314" spans="1:30" x14ac:dyDescent="0.35">
      <c r="A1314">
        <v>1313</v>
      </c>
      <c r="B1314" s="2" t="s">
        <v>158</v>
      </c>
      <c r="C1314" t="s">
        <v>686</v>
      </c>
      <c r="D1314" t="str">
        <f>_xlfn.TEXTJOIN(" ",TRUE,Table1[[#This Row],[First 
Name]:[Last 
Name]])</f>
        <v>Stacy Collins</v>
      </c>
      <c r="E1314" t="s">
        <v>2424</v>
      </c>
      <c r="F1314" t="s">
        <v>3245</v>
      </c>
      <c r="G1314" t="str">
        <f ca="1">PROPER(Table1[[#This Row],[Part Time 
Job]])</f>
        <v>False</v>
      </c>
      <c r="H1314" s="3">
        <v>3</v>
      </c>
      <c r="I1314" t="str">
        <f ca="1">PROPER(Table1[[#This Row],[Extracurricular 
Activities]])</f>
        <v>False</v>
      </c>
      <c r="J1314">
        <v>27</v>
      </c>
      <c r="K1314" t="s">
        <v>3123</v>
      </c>
      <c r="L1314">
        <v>95</v>
      </c>
      <c r="M1314" s="12" t="str" cm="1">
        <f t="array" ref="M131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314">
        <v>88</v>
      </c>
      <c r="O1314" s="13" t="str" cm="1">
        <f t="array" ref="O131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314">
        <v>85</v>
      </c>
      <c r="Q1314" s="13" t="str" cm="1">
        <f t="array" ref="Q131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314">
        <v>86</v>
      </c>
      <c r="S1314" t="str" cm="1">
        <f t="array" ref="S131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314">
        <v>76</v>
      </c>
      <c r="U1314" t="str" cm="1">
        <f t="array" ref="U131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314">
        <v>78</v>
      </c>
      <c r="W1314" t="str" cm="1">
        <f t="array" ref="W131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314">
        <v>81</v>
      </c>
      <c r="Y1314" t="str" cm="1">
        <f t="array" ref="Y131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314">
        <f>SUM(Table1[[#This Row],[Math 
Score]],Table1[[#This Row],[History 
Score]],Table1[[#This Row],[Physics 
Score]],Table1[[#This Row],[Chemistry 
Score]],Table1[[#This Row],[Biology 
Score]],Table1[[#This Row],[English 
Score]],Table1[[#This Row],[Geography 
Score]])</f>
        <v>589</v>
      </c>
      <c r="AA1314" s="3">
        <f>AVERAGE(Table1[[#This Row],[Math 
Score]],Table1[[#This Row],[History 
Score]],Table1[[#This Row],[Physics 
Score]],Table1[[#This Row],[Chemistry 
Score]],Table1[[#This Row],[Biology 
Score]],Table1[[#This Row],[English 
Score]],Table1[[#This Row],[Geography 
Score]])</f>
        <v>84.142857142857139</v>
      </c>
      <c r="AB131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314">
        <f t="shared" si="20"/>
        <v>548</v>
      </c>
      <c r="AD1314" t="str">
        <f>_xlfn.IFS(Table1[[#This Row],[Absence 
Days]]&lt;3,"Excellent",Table1[[#This Row],[Absence 
Days]]&lt;=6,"Good",Table1[[#This Row],[Absence 
Days]]&gt;6,"Poor")</f>
        <v>Good</v>
      </c>
    </row>
    <row r="1315" spans="1:30" x14ac:dyDescent="0.35">
      <c r="A1315">
        <v>1314</v>
      </c>
      <c r="B1315" s="2" t="s">
        <v>30</v>
      </c>
      <c r="C1315" t="s">
        <v>960</v>
      </c>
      <c r="D1315" t="str">
        <f>_xlfn.TEXTJOIN(" ",TRUE,Table1[[#This Row],[First 
Name]:[Last 
Name]])</f>
        <v>Timothy Bailey</v>
      </c>
      <c r="E1315" t="s">
        <v>2425</v>
      </c>
      <c r="F1315" t="s">
        <v>3244</v>
      </c>
      <c r="G1315" t="str">
        <f ca="1">PROPER(Table1[[#This Row],[Part Time 
Job]])</f>
        <v>False</v>
      </c>
      <c r="H1315" s="3">
        <v>1</v>
      </c>
      <c r="I1315" t="str">
        <f ca="1">PROPER(Table1[[#This Row],[Extracurricular 
Activities]])</f>
        <v>False</v>
      </c>
      <c r="J1315">
        <v>22</v>
      </c>
      <c r="K1315" t="s">
        <v>3121</v>
      </c>
      <c r="L1315">
        <v>87</v>
      </c>
      <c r="M1315" s="12" t="str" cm="1">
        <f t="array" ref="M131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315">
        <v>90</v>
      </c>
      <c r="O1315" s="13" t="str" cm="1">
        <f t="array" ref="O131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315">
        <v>80</v>
      </c>
      <c r="Q1315" s="13" t="str" cm="1">
        <f t="array" ref="Q131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315">
        <v>88</v>
      </c>
      <c r="S1315" t="str" cm="1">
        <f t="array" ref="S131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315">
        <v>71</v>
      </c>
      <c r="U1315" t="str" cm="1">
        <f t="array" ref="U131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315">
        <v>95</v>
      </c>
      <c r="W1315" t="str" cm="1">
        <f t="array" ref="W131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315">
        <v>81</v>
      </c>
      <c r="Y1315" t="str" cm="1">
        <f t="array" ref="Y131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315">
        <f>SUM(Table1[[#This Row],[Math 
Score]],Table1[[#This Row],[History 
Score]],Table1[[#This Row],[Physics 
Score]],Table1[[#This Row],[Chemistry 
Score]],Table1[[#This Row],[Biology 
Score]],Table1[[#This Row],[English 
Score]],Table1[[#This Row],[Geography 
Score]])</f>
        <v>592</v>
      </c>
      <c r="AA1315" s="3">
        <f>AVERAGE(Table1[[#This Row],[Math 
Score]],Table1[[#This Row],[History 
Score]],Table1[[#This Row],[Physics 
Score]],Table1[[#This Row],[Chemistry 
Score]],Table1[[#This Row],[Biology 
Score]],Table1[[#This Row],[English 
Score]],Table1[[#This Row],[Geography 
Score]])</f>
        <v>84.571428571428569</v>
      </c>
      <c r="AB131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315">
        <f t="shared" si="20"/>
        <v>505</v>
      </c>
      <c r="AD1315" t="str">
        <f>_xlfn.IFS(Table1[[#This Row],[Absence 
Days]]&lt;3,"Excellent",Table1[[#This Row],[Absence 
Days]]&lt;=6,"Good",Table1[[#This Row],[Absence 
Days]]&gt;6,"Poor")</f>
        <v>Excellent</v>
      </c>
    </row>
    <row r="1316" spans="1:30" x14ac:dyDescent="0.35">
      <c r="A1316">
        <v>1315</v>
      </c>
      <c r="B1316" s="2" t="s">
        <v>229</v>
      </c>
      <c r="C1316" t="s">
        <v>542</v>
      </c>
      <c r="D1316" t="str">
        <f>_xlfn.TEXTJOIN(" ",TRUE,Table1[[#This Row],[First 
Name]:[Last 
Name]])</f>
        <v>Susan Gonzalez</v>
      </c>
      <c r="E1316" t="s">
        <v>2426</v>
      </c>
      <c r="F1316" t="s">
        <v>3245</v>
      </c>
      <c r="G1316" t="str">
        <f ca="1">PROPER(Table1[[#This Row],[Part Time 
Job]])</f>
        <v>False</v>
      </c>
      <c r="H1316" s="3">
        <v>5</v>
      </c>
      <c r="I1316" t="str">
        <f ca="1">PROPER(Table1[[#This Row],[Extracurricular 
Activities]])</f>
        <v>True</v>
      </c>
      <c r="J1316">
        <v>24</v>
      </c>
      <c r="K1316" t="s">
        <v>3123</v>
      </c>
      <c r="L1316">
        <v>85</v>
      </c>
      <c r="M1316" s="12" t="str" cm="1">
        <f t="array" ref="M131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316">
        <v>85</v>
      </c>
      <c r="O1316" s="13" t="str" cm="1">
        <f t="array" ref="O131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316">
        <v>67</v>
      </c>
      <c r="Q1316" s="13" t="str" cm="1">
        <f t="array" ref="Q131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316">
        <v>91</v>
      </c>
      <c r="S1316" t="str" cm="1">
        <f t="array" ref="S131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316">
        <v>75</v>
      </c>
      <c r="U1316" t="str" cm="1">
        <f t="array" ref="U131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316">
        <v>93</v>
      </c>
      <c r="W1316" t="str" cm="1">
        <f t="array" ref="W131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316">
        <v>81</v>
      </c>
      <c r="Y1316" t="str" cm="1">
        <f t="array" ref="Y131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316">
        <f>SUM(Table1[[#This Row],[Math 
Score]],Table1[[#This Row],[History 
Score]],Table1[[#This Row],[Physics 
Score]],Table1[[#This Row],[Chemistry 
Score]],Table1[[#This Row],[Biology 
Score]],Table1[[#This Row],[English 
Score]],Table1[[#This Row],[Geography 
Score]])</f>
        <v>577</v>
      </c>
      <c r="AA1316" s="3">
        <f>AVERAGE(Table1[[#This Row],[Math 
Score]],Table1[[#This Row],[History 
Score]],Table1[[#This Row],[Physics 
Score]],Table1[[#This Row],[Chemistry 
Score]],Table1[[#This Row],[Biology 
Score]],Table1[[#This Row],[English 
Score]],Table1[[#This Row],[Geography 
Score]])</f>
        <v>82.428571428571431</v>
      </c>
      <c r="AB131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316">
        <f t="shared" si="20"/>
        <v>769</v>
      </c>
      <c r="AD1316" t="str">
        <f>_xlfn.IFS(Table1[[#This Row],[Absence 
Days]]&lt;3,"Excellent",Table1[[#This Row],[Absence 
Days]]&lt;=6,"Good",Table1[[#This Row],[Absence 
Days]]&gt;6,"Poor")</f>
        <v>Good</v>
      </c>
    </row>
    <row r="1317" spans="1:30" x14ac:dyDescent="0.35">
      <c r="A1317">
        <v>1316</v>
      </c>
      <c r="B1317" s="2" t="s">
        <v>203</v>
      </c>
      <c r="C1317" t="s">
        <v>520</v>
      </c>
      <c r="D1317" t="str">
        <f>_xlfn.TEXTJOIN(" ",TRUE,Table1[[#This Row],[First 
Name]:[Last 
Name]])</f>
        <v>Nicole Harris</v>
      </c>
      <c r="E1317" t="s">
        <v>2427</v>
      </c>
      <c r="F1317" t="s">
        <v>3245</v>
      </c>
      <c r="G1317" t="str">
        <f ca="1">PROPER(Table1[[#This Row],[Part Time 
Job]])</f>
        <v>False</v>
      </c>
      <c r="H1317" s="3">
        <v>6</v>
      </c>
      <c r="I1317" t="str">
        <f ca="1">PROPER(Table1[[#This Row],[Extracurricular 
Activities]])</f>
        <v>False</v>
      </c>
      <c r="J1317">
        <v>27</v>
      </c>
      <c r="K1317" t="s">
        <v>3121</v>
      </c>
      <c r="L1317">
        <v>96</v>
      </c>
      <c r="M1317" s="12" t="str" cm="1">
        <f t="array" ref="M131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317">
        <v>72</v>
      </c>
      <c r="O1317" s="13" t="str" cm="1">
        <f t="array" ref="O131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317">
        <v>66</v>
      </c>
      <c r="Q1317" s="13" t="str" cm="1">
        <f t="array" ref="Q131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317">
        <v>80</v>
      </c>
      <c r="S1317" t="str" cm="1">
        <f t="array" ref="S131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317">
        <v>72</v>
      </c>
      <c r="U1317" t="str" cm="1">
        <f t="array" ref="U131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317">
        <v>83</v>
      </c>
      <c r="W1317" t="str" cm="1">
        <f t="array" ref="W131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317">
        <v>98</v>
      </c>
      <c r="Y1317" t="str" cm="1">
        <f t="array" ref="Y131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317">
        <f>SUM(Table1[[#This Row],[Math 
Score]],Table1[[#This Row],[History 
Score]],Table1[[#This Row],[Physics 
Score]],Table1[[#This Row],[Chemistry 
Score]],Table1[[#This Row],[Biology 
Score]],Table1[[#This Row],[English 
Score]],Table1[[#This Row],[Geography 
Score]])</f>
        <v>567</v>
      </c>
      <c r="AA1317" s="3">
        <f>AVERAGE(Table1[[#This Row],[Math 
Score]],Table1[[#This Row],[History 
Score]],Table1[[#This Row],[Physics 
Score]],Table1[[#This Row],[Chemistry 
Score]],Table1[[#This Row],[Biology 
Score]],Table1[[#This Row],[English 
Score]],Table1[[#This Row],[Geography 
Score]])</f>
        <v>81</v>
      </c>
      <c r="AB131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317">
        <f t="shared" si="20"/>
        <v>994</v>
      </c>
      <c r="AD1317" t="str">
        <f>_xlfn.IFS(Table1[[#This Row],[Absence 
Days]]&lt;3,"Excellent",Table1[[#This Row],[Absence 
Days]]&lt;=6,"Good",Table1[[#This Row],[Absence 
Days]]&gt;6,"Poor")</f>
        <v>Good</v>
      </c>
    </row>
    <row r="1318" spans="1:30" x14ac:dyDescent="0.35">
      <c r="A1318">
        <v>1317</v>
      </c>
      <c r="B1318" s="2" t="s">
        <v>113</v>
      </c>
      <c r="C1318" t="s">
        <v>697</v>
      </c>
      <c r="D1318" t="str">
        <f>_xlfn.TEXTJOIN(" ",TRUE,Table1[[#This Row],[First 
Name]:[Last 
Name]])</f>
        <v>Courtney Moran</v>
      </c>
      <c r="E1318" t="s">
        <v>2428</v>
      </c>
      <c r="F1318" t="s">
        <v>3245</v>
      </c>
      <c r="G1318" t="str">
        <f ca="1">PROPER(Table1[[#This Row],[Part Time 
Job]])</f>
        <v>False</v>
      </c>
      <c r="H1318" s="3">
        <v>2</v>
      </c>
      <c r="I1318" t="str">
        <f ca="1">PROPER(Table1[[#This Row],[Extracurricular 
Activities]])</f>
        <v>False</v>
      </c>
      <c r="J1318">
        <v>25</v>
      </c>
      <c r="K1318" t="s">
        <v>3123</v>
      </c>
      <c r="L1318">
        <v>83</v>
      </c>
      <c r="M1318" s="12" t="str" cm="1">
        <f t="array" ref="M131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318">
        <v>63</v>
      </c>
      <c r="O1318" s="13" t="str" cm="1">
        <f t="array" ref="O131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318">
        <v>66</v>
      </c>
      <c r="Q1318" s="13" t="str" cm="1">
        <f t="array" ref="Q131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318">
        <v>67</v>
      </c>
      <c r="S1318" t="str" cm="1">
        <f t="array" ref="S131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318">
        <v>60</v>
      </c>
      <c r="U1318" t="str" cm="1">
        <f t="array" ref="U131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318">
        <v>60</v>
      </c>
      <c r="W1318" t="str" cm="1">
        <f t="array" ref="W131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318">
        <v>61</v>
      </c>
      <c r="Y1318" t="str" cm="1">
        <f t="array" ref="Y131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318">
        <f>SUM(Table1[[#This Row],[Math 
Score]],Table1[[#This Row],[History 
Score]],Table1[[#This Row],[Physics 
Score]],Table1[[#This Row],[Chemistry 
Score]],Table1[[#This Row],[Biology 
Score]],Table1[[#This Row],[English 
Score]],Table1[[#This Row],[Geography 
Score]])</f>
        <v>460</v>
      </c>
      <c r="AA1318" s="3">
        <f>AVERAGE(Table1[[#This Row],[Math 
Score]],Table1[[#This Row],[History 
Score]],Table1[[#This Row],[Physics 
Score]],Table1[[#This Row],[Chemistry 
Score]],Table1[[#This Row],[Biology 
Score]],Table1[[#This Row],[English 
Score]],Table1[[#This Row],[Geography 
Score]])</f>
        <v>65.714285714285708</v>
      </c>
      <c r="AB131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318">
        <f t="shared" si="20"/>
        <v>1979</v>
      </c>
      <c r="AD1318" t="str">
        <f>_xlfn.IFS(Table1[[#This Row],[Absence 
Days]]&lt;3,"Excellent",Table1[[#This Row],[Absence 
Days]]&lt;=6,"Good",Table1[[#This Row],[Absence 
Days]]&gt;6,"Poor")</f>
        <v>Excellent</v>
      </c>
    </row>
    <row r="1319" spans="1:30" x14ac:dyDescent="0.35">
      <c r="A1319">
        <v>1318</v>
      </c>
      <c r="B1319" s="2" t="s">
        <v>257</v>
      </c>
      <c r="C1319" t="s">
        <v>989</v>
      </c>
      <c r="D1319" t="str">
        <f>_xlfn.TEXTJOIN(" ",TRUE,Table1[[#This Row],[First 
Name]:[Last 
Name]])</f>
        <v>Gregory Barton</v>
      </c>
      <c r="E1319" t="s">
        <v>2429</v>
      </c>
      <c r="F1319" t="s">
        <v>3244</v>
      </c>
      <c r="G1319" t="str">
        <f ca="1">PROPER(Table1[[#This Row],[Part Time 
Job]])</f>
        <v>False</v>
      </c>
      <c r="H1319" s="3">
        <v>3</v>
      </c>
      <c r="I1319" t="str">
        <f ca="1">PROPER(Table1[[#This Row],[Extracurricular 
Activities]])</f>
        <v>False</v>
      </c>
      <c r="J1319">
        <v>17</v>
      </c>
      <c r="K1319" t="s">
        <v>3125</v>
      </c>
      <c r="L1319">
        <v>89</v>
      </c>
      <c r="M1319" s="12" t="str" cm="1">
        <f t="array" ref="M131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319">
        <v>92</v>
      </c>
      <c r="O1319" s="13" t="str" cm="1">
        <f t="array" ref="O131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319">
        <v>88</v>
      </c>
      <c r="Q1319" s="13" t="str" cm="1">
        <f t="array" ref="Q131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319">
        <v>99</v>
      </c>
      <c r="S1319" t="str" cm="1">
        <f t="array" ref="S131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319">
        <v>92</v>
      </c>
      <c r="U1319" t="str" cm="1">
        <f t="array" ref="U131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319">
        <v>62</v>
      </c>
      <c r="W1319" t="str" cm="1">
        <f t="array" ref="W131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319">
        <v>71</v>
      </c>
      <c r="Y1319" t="str" cm="1">
        <f t="array" ref="Y131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319">
        <f>SUM(Table1[[#This Row],[Math 
Score]],Table1[[#This Row],[History 
Score]],Table1[[#This Row],[Physics 
Score]],Table1[[#This Row],[Chemistry 
Score]],Table1[[#This Row],[Biology 
Score]],Table1[[#This Row],[English 
Score]],Table1[[#This Row],[Geography 
Score]])</f>
        <v>593</v>
      </c>
      <c r="AA1319" s="3">
        <f>AVERAGE(Table1[[#This Row],[Math 
Score]],Table1[[#This Row],[History 
Score]],Table1[[#This Row],[Physics 
Score]],Table1[[#This Row],[Chemistry 
Score]],Table1[[#This Row],[Biology 
Score]],Table1[[#This Row],[English 
Score]],Table1[[#This Row],[Geography 
Score]])</f>
        <v>84.714285714285708</v>
      </c>
      <c r="AB131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319">
        <f t="shared" si="20"/>
        <v>494</v>
      </c>
      <c r="AD1319" t="str">
        <f>_xlfn.IFS(Table1[[#This Row],[Absence 
Days]]&lt;3,"Excellent",Table1[[#This Row],[Absence 
Days]]&lt;=6,"Good",Table1[[#This Row],[Absence 
Days]]&gt;6,"Poor")</f>
        <v>Good</v>
      </c>
    </row>
    <row r="1320" spans="1:30" x14ac:dyDescent="0.35">
      <c r="A1320">
        <v>1319</v>
      </c>
      <c r="B1320" s="2" t="s">
        <v>392</v>
      </c>
      <c r="C1320" t="s">
        <v>455</v>
      </c>
      <c r="D1320" t="str">
        <f>_xlfn.TEXTJOIN(" ",TRUE,Table1[[#This Row],[First 
Name]:[Last 
Name]])</f>
        <v>Dakota Clark</v>
      </c>
      <c r="E1320" t="s">
        <v>2430</v>
      </c>
      <c r="F1320" t="s">
        <v>3244</v>
      </c>
      <c r="G1320" t="str">
        <f ca="1">PROPER(Table1[[#This Row],[Part Time 
Job]])</f>
        <v>False</v>
      </c>
      <c r="H1320" s="3">
        <v>1</v>
      </c>
      <c r="I1320" t="str">
        <f ca="1">PROPER(Table1[[#This Row],[Extracurricular 
Activities]])</f>
        <v>False</v>
      </c>
      <c r="J1320">
        <v>14</v>
      </c>
      <c r="K1320" t="s">
        <v>3125</v>
      </c>
      <c r="L1320">
        <v>90</v>
      </c>
      <c r="M1320" s="12" t="str" cm="1">
        <f t="array" ref="M132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320">
        <v>73</v>
      </c>
      <c r="O1320" s="13" t="str" cm="1">
        <f t="array" ref="O132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320">
        <v>98</v>
      </c>
      <c r="Q1320" s="13" t="str" cm="1">
        <f t="array" ref="Q132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320">
        <v>72</v>
      </c>
      <c r="S1320" t="str" cm="1">
        <f t="array" ref="S132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320">
        <v>69</v>
      </c>
      <c r="U1320" t="str" cm="1">
        <f t="array" ref="U132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320">
        <v>84</v>
      </c>
      <c r="W1320" t="str" cm="1">
        <f t="array" ref="W132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320">
        <v>86</v>
      </c>
      <c r="Y1320" t="str" cm="1">
        <f t="array" ref="Y132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320">
        <f>SUM(Table1[[#This Row],[Math 
Score]],Table1[[#This Row],[History 
Score]],Table1[[#This Row],[Physics 
Score]],Table1[[#This Row],[Chemistry 
Score]],Table1[[#This Row],[Biology 
Score]],Table1[[#This Row],[English 
Score]],Table1[[#This Row],[Geography 
Score]])</f>
        <v>572</v>
      </c>
      <c r="AA1320" s="3">
        <f>AVERAGE(Table1[[#This Row],[Math 
Score]],Table1[[#This Row],[History 
Score]],Table1[[#This Row],[Physics 
Score]],Table1[[#This Row],[Chemistry 
Score]],Table1[[#This Row],[Biology 
Score]],Table1[[#This Row],[English 
Score]],Table1[[#This Row],[Geography 
Score]])</f>
        <v>81.714285714285708</v>
      </c>
      <c r="AB132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320">
        <f t="shared" si="20"/>
        <v>890</v>
      </c>
      <c r="AD1320" t="str">
        <f>_xlfn.IFS(Table1[[#This Row],[Absence 
Days]]&lt;3,"Excellent",Table1[[#This Row],[Absence 
Days]]&lt;=6,"Good",Table1[[#This Row],[Absence 
Days]]&gt;6,"Poor")</f>
        <v>Excellent</v>
      </c>
    </row>
    <row r="1321" spans="1:30" x14ac:dyDescent="0.35">
      <c r="A1321">
        <v>1320</v>
      </c>
      <c r="B1321" s="2" t="s">
        <v>173</v>
      </c>
      <c r="C1321" t="s">
        <v>990</v>
      </c>
      <c r="D1321" t="str">
        <f>_xlfn.TEXTJOIN(" ",TRUE,Table1[[#This Row],[First 
Name]:[Last 
Name]])</f>
        <v>Robin Leonard</v>
      </c>
      <c r="E1321" t="s">
        <v>2431</v>
      </c>
      <c r="F1321" t="s">
        <v>3245</v>
      </c>
      <c r="G1321" t="str">
        <f ca="1">PROPER(Table1[[#This Row],[Part Time 
Job]])</f>
        <v>False</v>
      </c>
      <c r="H1321" s="3">
        <v>5</v>
      </c>
      <c r="I1321" t="str">
        <f ca="1">PROPER(Table1[[#This Row],[Extracurricular 
Activities]])</f>
        <v>False</v>
      </c>
      <c r="J1321">
        <v>14</v>
      </c>
      <c r="K1321" t="s">
        <v>3121</v>
      </c>
      <c r="L1321">
        <v>99</v>
      </c>
      <c r="M1321" s="12" t="str" cm="1">
        <f t="array" ref="M132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321">
        <v>72</v>
      </c>
      <c r="O1321" s="13" t="str" cm="1">
        <f t="array" ref="O132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321">
        <v>74</v>
      </c>
      <c r="Q1321" s="13" t="str" cm="1">
        <f t="array" ref="Q132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321">
        <v>88</v>
      </c>
      <c r="S1321" t="str" cm="1">
        <f t="array" ref="S132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321">
        <v>90</v>
      </c>
      <c r="U1321" t="str" cm="1">
        <f t="array" ref="U132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321">
        <v>81</v>
      </c>
      <c r="W1321" t="str" cm="1">
        <f t="array" ref="W132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321">
        <v>95</v>
      </c>
      <c r="Y1321" t="str" cm="1">
        <f t="array" ref="Y132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321">
        <f>SUM(Table1[[#This Row],[Math 
Score]],Table1[[#This Row],[History 
Score]],Table1[[#This Row],[Physics 
Score]],Table1[[#This Row],[Chemistry 
Score]],Table1[[#This Row],[Biology 
Score]],Table1[[#This Row],[English 
Score]],Table1[[#This Row],[Geography 
Score]])</f>
        <v>599</v>
      </c>
      <c r="AA1321" s="3">
        <f>AVERAGE(Table1[[#This Row],[Math 
Score]],Table1[[#This Row],[History 
Score]],Table1[[#This Row],[Physics 
Score]],Table1[[#This Row],[Chemistry 
Score]],Table1[[#This Row],[Biology 
Score]],Table1[[#This Row],[English 
Score]],Table1[[#This Row],[Geography 
Score]])</f>
        <v>85.571428571428569</v>
      </c>
      <c r="AB132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321">
        <f t="shared" si="20"/>
        <v>426</v>
      </c>
      <c r="AD1321" t="str">
        <f>_xlfn.IFS(Table1[[#This Row],[Absence 
Days]]&lt;3,"Excellent",Table1[[#This Row],[Absence 
Days]]&lt;=6,"Good",Table1[[#This Row],[Absence 
Days]]&gt;6,"Poor")</f>
        <v>Good</v>
      </c>
    </row>
    <row r="1322" spans="1:30" x14ac:dyDescent="0.35">
      <c r="A1322">
        <v>1321</v>
      </c>
      <c r="B1322" s="2" t="s">
        <v>393</v>
      </c>
      <c r="C1322" t="s">
        <v>458</v>
      </c>
      <c r="D1322" t="str">
        <f>_xlfn.TEXTJOIN(" ",TRUE,Table1[[#This Row],[First 
Name]:[Last 
Name]])</f>
        <v>Edward Smith</v>
      </c>
      <c r="E1322" t="s">
        <v>2432</v>
      </c>
      <c r="F1322" t="s">
        <v>3244</v>
      </c>
      <c r="G1322" t="str">
        <f ca="1">PROPER(Table1[[#This Row],[Part Time 
Job]])</f>
        <v>False</v>
      </c>
      <c r="H1322" s="3">
        <v>1</v>
      </c>
      <c r="I1322" t="str">
        <f ca="1">PROPER(Table1[[#This Row],[Extracurricular 
Activities]])</f>
        <v>False</v>
      </c>
      <c r="J1322">
        <v>3</v>
      </c>
      <c r="K1322" t="s">
        <v>3114</v>
      </c>
      <c r="L1322">
        <v>62</v>
      </c>
      <c r="M1322" s="12" t="str" cm="1">
        <f t="array" ref="M1322">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322">
        <v>67</v>
      </c>
      <c r="O1322" s="13" t="str" cm="1">
        <f t="array" ref="O132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322">
        <v>96</v>
      </c>
      <c r="Q1322" s="13" t="str" cm="1">
        <f t="array" ref="Q132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322">
        <v>67</v>
      </c>
      <c r="S1322" t="str" cm="1">
        <f t="array" ref="S132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322">
        <v>82</v>
      </c>
      <c r="U1322" t="str" cm="1">
        <f t="array" ref="U132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322">
        <v>65</v>
      </c>
      <c r="W1322" t="str" cm="1">
        <f t="array" ref="W132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322">
        <v>73</v>
      </c>
      <c r="Y1322" t="str" cm="1">
        <f t="array" ref="Y132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322">
        <f>SUM(Table1[[#This Row],[Math 
Score]],Table1[[#This Row],[History 
Score]],Table1[[#This Row],[Physics 
Score]],Table1[[#This Row],[Chemistry 
Score]],Table1[[#This Row],[Biology 
Score]],Table1[[#This Row],[English 
Score]],Table1[[#This Row],[Geography 
Score]])</f>
        <v>512</v>
      </c>
      <c r="AA1322" s="3">
        <f>AVERAGE(Table1[[#This Row],[Math 
Score]],Table1[[#This Row],[History 
Score]],Table1[[#This Row],[Physics 
Score]],Table1[[#This Row],[Chemistry 
Score]],Table1[[#This Row],[Biology 
Score]],Table1[[#This Row],[English 
Score]],Table1[[#This Row],[Geography 
Score]])</f>
        <v>73.142857142857139</v>
      </c>
      <c r="AB132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322">
        <f t="shared" si="20"/>
        <v>1815</v>
      </c>
      <c r="AD1322" t="str">
        <f>_xlfn.IFS(Table1[[#This Row],[Absence 
Days]]&lt;3,"Excellent",Table1[[#This Row],[Absence 
Days]]&lt;=6,"Good",Table1[[#This Row],[Absence 
Days]]&gt;6,"Poor")</f>
        <v>Excellent</v>
      </c>
    </row>
    <row r="1323" spans="1:30" x14ac:dyDescent="0.35">
      <c r="A1323">
        <v>1322</v>
      </c>
      <c r="B1323" s="2" t="s">
        <v>112</v>
      </c>
      <c r="C1323" t="s">
        <v>991</v>
      </c>
      <c r="D1323" t="str">
        <f>_xlfn.TEXTJOIN(" ",TRUE,Table1[[#This Row],[First 
Name]:[Last 
Name]])</f>
        <v>Julie Little</v>
      </c>
      <c r="E1323" t="s">
        <v>2433</v>
      </c>
      <c r="F1323" t="s">
        <v>3245</v>
      </c>
      <c r="G1323" t="str">
        <f ca="1">PROPER(Table1[[#This Row],[Part Time 
Job]])</f>
        <v>False</v>
      </c>
      <c r="H1323" s="3">
        <v>7</v>
      </c>
      <c r="I1323" t="str">
        <f ca="1">PROPER(Table1[[#This Row],[Extracurricular 
Activities]])</f>
        <v>False</v>
      </c>
      <c r="J1323">
        <v>5</v>
      </c>
      <c r="K1323" t="s">
        <v>3119</v>
      </c>
      <c r="L1323">
        <v>42</v>
      </c>
      <c r="M1323" s="12" t="str" cm="1">
        <f t="array" ref="M1323">_xlfn.IFS(Table1[[#This Row],[Math 
Score]]&gt;=90,"A+",Table1[[#This Row],[Math 
Score]]&gt;=80,"A", Table1[[#This Row],[Math 
Score]]&gt;=75,"A-",Table1[[#This Row],[Math 
Score]]&gt;=70,"B+",Table1[[#This Row],[Math 
Score]]&gt;=65,"B",Table1[[#This Row],[Math 
Score]]&gt;=60,"B-",Table1[[#This Row],[Math 
Score]]&gt;=50,"C",Table1[[#This Row],[Math 
Score]]&gt;=40,"D",Table1[[#This Row],[Math 
Score]]&lt;40,"F")</f>
        <v>D</v>
      </c>
      <c r="N1323">
        <v>79</v>
      </c>
      <c r="O1323" s="13" t="str" cm="1">
        <f t="array" ref="O132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323">
        <v>79</v>
      </c>
      <c r="Q1323" s="13" t="str" cm="1">
        <f t="array" ref="Q132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323">
        <v>59</v>
      </c>
      <c r="S1323" t="str" cm="1">
        <f t="array" ref="S132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C</v>
      </c>
      <c r="T1323">
        <v>61</v>
      </c>
      <c r="U1323" t="str" cm="1">
        <f t="array" ref="U132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323">
        <v>87</v>
      </c>
      <c r="W1323" t="str" cm="1">
        <f t="array" ref="W132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323">
        <v>65</v>
      </c>
      <c r="Y1323" t="str" cm="1">
        <f t="array" ref="Y132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323">
        <f>SUM(Table1[[#This Row],[Math 
Score]],Table1[[#This Row],[History 
Score]],Table1[[#This Row],[Physics 
Score]],Table1[[#This Row],[Chemistry 
Score]],Table1[[#This Row],[Biology 
Score]],Table1[[#This Row],[English 
Score]],Table1[[#This Row],[Geography 
Score]])</f>
        <v>472</v>
      </c>
      <c r="AA1323" s="3">
        <f>AVERAGE(Table1[[#This Row],[Math 
Score]],Table1[[#This Row],[History 
Score]],Table1[[#This Row],[Physics 
Score]],Table1[[#This Row],[Chemistry 
Score]],Table1[[#This Row],[Biology 
Score]],Table1[[#This Row],[English 
Score]],Table1[[#This Row],[Geography 
Score]])</f>
        <v>67.428571428571431</v>
      </c>
      <c r="AB132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323">
        <f t="shared" si="20"/>
        <v>1955</v>
      </c>
      <c r="AD1323" t="str">
        <f>_xlfn.IFS(Table1[[#This Row],[Absence 
Days]]&lt;3,"Excellent",Table1[[#This Row],[Absence 
Days]]&lt;=6,"Good",Table1[[#This Row],[Absence 
Days]]&gt;6,"Poor")</f>
        <v>Poor</v>
      </c>
    </row>
    <row r="1324" spans="1:30" x14ac:dyDescent="0.35">
      <c r="A1324">
        <v>1323</v>
      </c>
      <c r="B1324" s="2" t="s">
        <v>347</v>
      </c>
      <c r="C1324" t="s">
        <v>992</v>
      </c>
      <c r="D1324" t="str">
        <f>_xlfn.TEXTJOIN(" ",TRUE,Table1[[#This Row],[First 
Name]:[Last 
Name]])</f>
        <v>Maureen Norman</v>
      </c>
      <c r="E1324" t="s">
        <v>2434</v>
      </c>
      <c r="F1324" t="s">
        <v>3245</v>
      </c>
      <c r="G1324" t="str">
        <f ca="1">PROPER(Table1[[#This Row],[Part Time 
Job]])</f>
        <v>False</v>
      </c>
      <c r="H1324" s="3">
        <v>10</v>
      </c>
      <c r="I1324" t="str">
        <f ca="1">PROPER(Table1[[#This Row],[Extracurricular 
Activities]])</f>
        <v>True</v>
      </c>
      <c r="J1324">
        <v>2</v>
      </c>
      <c r="K1324" t="s">
        <v>3119</v>
      </c>
      <c r="L1324">
        <v>46</v>
      </c>
      <c r="M1324" s="12" t="str" cm="1">
        <f t="array" ref="M1324">_xlfn.IFS(Table1[[#This Row],[Math 
Score]]&gt;=90,"A+",Table1[[#This Row],[Math 
Score]]&gt;=80,"A", Table1[[#This Row],[Math 
Score]]&gt;=75,"A-",Table1[[#This Row],[Math 
Score]]&gt;=70,"B+",Table1[[#This Row],[Math 
Score]]&gt;=65,"B",Table1[[#This Row],[Math 
Score]]&gt;=60,"B-",Table1[[#This Row],[Math 
Score]]&gt;=50,"C",Table1[[#This Row],[Math 
Score]]&gt;=40,"D",Table1[[#This Row],[Math 
Score]]&lt;40,"F")</f>
        <v>D</v>
      </c>
      <c r="N1324">
        <v>52</v>
      </c>
      <c r="O1324" s="13" t="str" cm="1">
        <f t="array" ref="O132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C</v>
      </c>
      <c r="P1324">
        <v>87</v>
      </c>
      <c r="Q1324" s="13" t="str" cm="1">
        <f t="array" ref="Q132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324">
        <v>80</v>
      </c>
      <c r="S1324" t="str" cm="1">
        <f t="array" ref="S132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324">
        <v>76</v>
      </c>
      <c r="U1324" t="str" cm="1">
        <f t="array" ref="U132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324">
        <v>73</v>
      </c>
      <c r="W1324" t="str" cm="1">
        <f t="array" ref="W132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324">
        <v>76</v>
      </c>
      <c r="Y1324" t="str" cm="1">
        <f t="array" ref="Y132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324">
        <f>SUM(Table1[[#This Row],[Math 
Score]],Table1[[#This Row],[History 
Score]],Table1[[#This Row],[Physics 
Score]],Table1[[#This Row],[Chemistry 
Score]],Table1[[#This Row],[Biology 
Score]],Table1[[#This Row],[English 
Score]],Table1[[#This Row],[Geography 
Score]])</f>
        <v>490</v>
      </c>
      <c r="AA1324" s="3">
        <f>AVERAGE(Table1[[#This Row],[Math 
Score]],Table1[[#This Row],[History 
Score]],Table1[[#This Row],[Physics 
Score]],Table1[[#This Row],[Chemistry 
Score]],Table1[[#This Row],[Biology 
Score]],Table1[[#This Row],[English 
Score]],Table1[[#This Row],[Geography 
Score]])</f>
        <v>70</v>
      </c>
      <c r="AB132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324">
        <f t="shared" si="20"/>
        <v>1911</v>
      </c>
      <c r="AD1324" t="str">
        <f>_xlfn.IFS(Table1[[#This Row],[Absence 
Days]]&lt;3,"Excellent",Table1[[#This Row],[Absence 
Days]]&lt;=6,"Good",Table1[[#This Row],[Absence 
Days]]&gt;6,"Poor")</f>
        <v>Poor</v>
      </c>
    </row>
    <row r="1325" spans="1:30" x14ac:dyDescent="0.35">
      <c r="A1325">
        <v>1324</v>
      </c>
      <c r="B1325" s="2" t="s">
        <v>26</v>
      </c>
      <c r="C1325" t="s">
        <v>454</v>
      </c>
      <c r="D1325" t="str">
        <f>_xlfn.TEXTJOIN(" ",TRUE,Table1[[#This Row],[First 
Name]:[Last 
Name]])</f>
        <v>Jeffrey Andrews</v>
      </c>
      <c r="E1325" t="s">
        <v>2435</v>
      </c>
      <c r="F1325" t="s">
        <v>3244</v>
      </c>
      <c r="G1325" t="str">
        <f ca="1">PROPER(Table1[[#This Row],[Part Time 
Job]])</f>
        <v>False</v>
      </c>
      <c r="H1325" s="3">
        <v>3</v>
      </c>
      <c r="I1325" t="str">
        <f ca="1">PROPER(Table1[[#This Row],[Extracurricular 
Activities]])</f>
        <v>False</v>
      </c>
      <c r="J1325">
        <v>4</v>
      </c>
      <c r="K1325" t="s">
        <v>3126</v>
      </c>
      <c r="L1325">
        <v>92</v>
      </c>
      <c r="M1325" s="12" t="str" cm="1">
        <f t="array" ref="M132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325">
        <v>63</v>
      </c>
      <c r="O1325" s="13" t="str" cm="1">
        <f t="array" ref="O132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325">
        <v>100</v>
      </c>
      <c r="Q1325" s="13" t="str" cm="1">
        <f t="array" ref="Q132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325">
        <v>97</v>
      </c>
      <c r="S1325" t="str" cm="1">
        <f t="array" ref="S132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325">
        <v>91</v>
      </c>
      <c r="U1325" t="str" cm="1">
        <f t="array" ref="U132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325">
        <v>87</v>
      </c>
      <c r="W1325" t="str" cm="1">
        <f t="array" ref="W132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325">
        <v>68</v>
      </c>
      <c r="Y1325" t="str" cm="1">
        <f t="array" ref="Y132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325">
        <f>SUM(Table1[[#This Row],[Math 
Score]],Table1[[#This Row],[History 
Score]],Table1[[#This Row],[Physics 
Score]],Table1[[#This Row],[Chemistry 
Score]],Table1[[#This Row],[Biology 
Score]],Table1[[#This Row],[English 
Score]],Table1[[#This Row],[Geography 
Score]])</f>
        <v>598</v>
      </c>
      <c r="AA1325" s="3">
        <f>AVERAGE(Table1[[#This Row],[Math 
Score]],Table1[[#This Row],[History 
Score]],Table1[[#This Row],[Physics 
Score]],Table1[[#This Row],[Chemistry 
Score]],Table1[[#This Row],[Biology 
Score]],Table1[[#This Row],[English 
Score]],Table1[[#This Row],[Geography 
Score]])</f>
        <v>85.428571428571431</v>
      </c>
      <c r="AB132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325">
        <f t="shared" si="20"/>
        <v>436</v>
      </c>
      <c r="AD1325" t="str">
        <f>_xlfn.IFS(Table1[[#This Row],[Absence 
Days]]&lt;3,"Excellent",Table1[[#This Row],[Absence 
Days]]&lt;=6,"Good",Table1[[#This Row],[Absence 
Days]]&gt;6,"Poor")</f>
        <v>Good</v>
      </c>
    </row>
    <row r="1326" spans="1:30" x14ac:dyDescent="0.35">
      <c r="A1326">
        <v>1325</v>
      </c>
      <c r="B1326" s="2" t="s">
        <v>139</v>
      </c>
      <c r="C1326" t="s">
        <v>486</v>
      </c>
      <c r="D1326" t="str">
        <f>_xlfn.TEXTJOIN(" ",TRUE,Table1[[#This Row],[First 
Name]:[Last 
Name]])</f>
        <v>Christina Martinez</v>
      </c>
      <c r="E1326" t="s">
        <v>2436</v>
      </c>
      <c r="F1326" t="s">
        <v>3245</v>
      </c>
      <c r="G1326" t="str">
        <f ca="1">PROPER(Table1[[#This Row],[Part Time 
Job]])</f>
        <v>False</v>
      </c>
      <c r="H1326" s="3">
        <v>10</v>
      </c>
      <c r="I1326" t="str">
        <f ca="1">PROPER(Table1[[#This Row],[Extracurricular 
Activities]])</f>
        <v>False</v>
      </c>
      <c r="J1326">
        <v>33</v>
      </c>
      <c r="K1326" t="s">
        <v>3112</v>
      </c>
      <c r="L1326">
        <v>94</v>
      </c>
      <c r="M1326" s="12" t="str" cm="1">
        <f t="array" ref="M132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326">
        <v>89</v>
      </c>
      <c r="O1326" s="13" t="str" cm="1">
        <f t="array" ref="O132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326">
        <v>96</v>
      </c>
      <c r="Q1326" s="13" t="str" cm="1">
        <f t="array" ref="Q132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326">
        <v>98</v>
      </c>
      <c r="S1326" t="str" cm="1">
        <f t="array" ref="S132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326">
        <v>61</v>
      </c>
      <c r="U1326" t="str" cm="1">
        <f t="array" ref="U132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326">
        <v>95</v>
      </c>
      <c r="W1326" t="str" cm="1">
        <f t="array" ref="W132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326">
        <v>67</v>
      </c>
      <c r="Y1326" t="str" cm="1">
        <f t="array" ref="Y132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326">
        <f>SUM(Table1[[#This Row],[Math 
Score]],Table1[[#This Row],[History 
Score]],Table1[[#This Row],[Physics 
Score]],Table1[[#This Row],[Chemistry 
Score]],Table1[[#This Row],[Biology 
Score]],Table1[[#This Row],[English 
Score]],Table1[[#This Row],[Geography 
Score]])</f>
        <v>600</v>
      </c>
      <c r="AA1326" s="3">
        <f>AVERAGE(Table1[[#This Row],[Math 
Score]],Table1[[#This Row],[History 
Score]],Table1[[#This Row],[Physics 
Score]],Table1[[#This Row],[Chemistry 
Score]],Table1[[#This Row],[Biology 
Score]],Table1[[#This Row],[English 
Score]],Table1[[#This Row],[Geography 
Score]])</f>
        <v>85.714285714285708</v>
      </c>
      <c r="AB132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326">
        <f t="shared" si="20"/>
        <v>406</v>
      </c>
      <c r="AD1326" t="str">
        <f>_xlfn.IFS(Table1[[#This Row],[Absence 
Days]]&lt;3,"Excellent",Table1[[#This Row],[Absence 
Days]]&lt;=6,"Good",Table1[[#This Row],[Absence 
Days]]&gt;6,"Poor")</f>
        <v>Poor</v>
      </c>
    </row>
    <row r="1327" spans="1:30" x14ac:dyDescent="0.35">
      <c r="A1327">
        <v>1326</v>
      </c>
      <c r="B1327" s="2" t="s">
        <v>200</v>
      </c>
      <c r="C1327" t="s">
        <v>993</v>
      </c>
      <c r="D1327" t="str">
        <f>_xlfn.TEXTJOIN(" ",TRUE,Table1[[#This Row],[First 
Name]:[Last 
Name]])</f>
        <v>Samuel Becker</v>
      </c>
      <c r="E1327" t="s">
        <v>2437</v>
      </c>
      <c r="F1327" t="s">
        <v>3244</v>
      </c>
      <c r="G1327" t="str">
        <f ca="1">PROPER(Table1[[#This Row],[Part Time 
Job]])</f>
        <v>False</v>
      </c>
      <c r="H1327" s="3">
        <v>2</v>
      </c>
      <c r="I1327" t="str">
        <f ca="1">PROPER(Table1[[#This Row],[Extracurricular 
Activities]])</f>
        <v>False</v>
      </c>
      <c r="J1327">
        <v>31</v>
      </c>
      <c r="K1327" t="s">
        <v>3121</v>
      </c>
      <c r="L1327">
        <v>89</v>
      </c>
      <c r="M1327" s="12" t="str" cm="1">
        <f t="array" ref="M132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327">
        <v>99</v>
      </c>
      <c r="O1327" s="13" t="str" cm="1">
        <f t="array" ref="O132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327">
        <v>89</v>
      </c>
      <c r="Q1327" s="13" t="str" cm="1">
        <f t="array" ref="Q132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327">
        <v>71</v>
      </c>
      <c r="S1327" t="str" cm="1">
        <f t="array" ref="S132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327">
        <v>74</v>
      </c>
      <c r="U1327" t="str" cm="1">
        <f t="array" ref="U132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327">
        <v>94</v>
      </c>
      <c r="W1327" t="str" cm="1">
        <f t="array" ref="W132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327">
        <v>78</v>
      </c>
      <c r="Y1327" t="str" cm="1">
        <f t="array" ref="Y132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327">
        <f>SUM(Table1[[#This Row],[Math 
Score]],Table1[[#This Row],[History 
Score]],Table1[[#This Row],[Physics 
Score]],Table1[[#This Row],[Chemistry 
Score]],Table1[[#This Row],[Biology 
Score]],Table1[[#This Row],[English 
Score]],Table1[[#This Row],[Geography 
Score]])</f>
        <v>594</v>
      </c>
      <c r="AA1327" s="3">
        <f>AVERAGE(Table1[[#This Row],[Math 
Score]],Table1[[#This Row],[History 
Score]],Table1[[#This Row],[Physics 
Score]],Table1[[#This Row],[Chemistry 
Score]],Table1[[#This Row],[Biology 
Score]],Table1[[#This Row],[English 
Score]],Table1[[#This Row],[Geography 
Score]])</f>
        <v>84.857142857142861</v>
      </c>
      <c r="AB132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327">
        <f t="shared" si="20"/>
        <v>479</v>
      </c>
      <c r="AD1327" t="str">
        <f>_xlfn.IFS(Table1[[#This Row],[Absence 
Days]]&lt;3,"Excellent",Table1[[#This Row],[Absence 
Days]]&lt;=6,"Good",Table1[[#This Row],[Absence 
Days]]&gt;6,"Poor")</f>
        <v>Excellent</v>
      </c>
    </row>
    <row r="1328" spans="1:30" x14ac:dyDescent="0.35">
      <c r="A1328">
        <v>1327</v>
      </c>
      <c r="B1328" s="2" t="s">
        <v>265</v>
      </c>
      <c r="C1328" t="s">
        <v>994</v>
      </c>
      <c r="D1328" t="str">
        <f>_xlfn.TEXTJOIN(" ",TRUE,Table1[[#This Row],[First 
Name]:[Last 
Name]])</f>
        <v>Carlos Flynn</v>
      </c>
      <c r="E1328" t="s">
        <v>2438</v>
      </c>
      <c r="F1328" t="s">
        <v>3244</v>
      </c>
      <c r="G1328" t="str">
        <f ca="1">PROPER(Table1[[#This Row],[Part Time 
Job]])</f>
        <v>False</v>
      </c>
      <c r="H1328" s="3">
        <v>1</v>
      </c>
      <c r="I1328" t="str">
        <f ca="1">PROPER(Table1[[#This Row],[Extracurricular 
Activities]])</f>
        <v>False</v>
      </c>
      <c r="J1328">
        <v>16</v>
      </c>
      <c r="K1328" t="s">
        <v>3125</v>
      </c>
      <c r="L1328">
        <v>90</v>
      </c>
      <c r="M1328" s="12" t="str" cm="1">
        <f t="array" ref="M132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328">
        <v>100</v>
      </c>
      <c r="O1328" s="13" t="str" cm="1">
        <f t="array" ref="O132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328">
        <v>98</v>
      </c>
      <c r="Q1328" s="13" t="str" cm="1">
        <f t="array" ref="Q132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328">
        <v>95</v>
      </c>
      <c r="S1328" t="str" cm="1">
        <f t="array" ref="S132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328">
        <v>97</v>
      </c>
      <c r="U1328" t="str" cm="1">
        <f t="array" ref="U132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328">
        <v>74</v>
      </c>
      <c r="W1328" t="str" cm="1">
        <f t="array" ref="W132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328">
        <v>63</v>
      </c>
      <c r="Y1328" t="str" cm="1">
        <f t="array" ref="Y132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328">
        <f>SUM(Table1[[#This Row],[Math 
Score]],Table1[[#This Row],[History 
Score]],Table1[[#This Row],[Physics 
Score]],Table1[[#This Row],[Chemistry 
Score]],Table1[[#This Row],[Biology 
Score]],Table1[[#This Row],[English 
Score]],Table1[[#This Row],[Geography 
Score]])</f>
        <v>617</v>
      </c>
      <c r="AA1328" s="3">
        <f>AVERAGE(Table1[[#This Row],[Math 
Score]],Table1[[#This Row],[History 
Score]],Table1[[#This Row],[Physics 
Score]],Table1[[#This Row],[Chemistry 
Score]],Table1[[#This Row],[Biology 
Score]],Table1[[#This Row],[English 
Score]],Table1[[#This Row],[Geography 
Score]])</f>
        <v>88.142857142857139</v>
      </c>
      <c r="AB132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328">
        <f t="shared" si="20"/>
        <v>235</v>
      </c>
      <c r="AD1328" t="str">
        <f>_xlfn.IFS(Table1[[#This Row],[Absence 
Days]]&lt;3,"Excellent",Table1[[#This Row],[Absence 
Days]]&lt;=6,"Good",Table1[[#This Row],[Absence 
Days]]&gt;6,"Poor")</f>
        <v>Excellent</v>
      </c>
    </row>
    <row r="1329" spans="1:30" x14ac:dyDescent="0.35">
      <c r="A1329">
        <v>1328</v>
      </c>
      <c r="B1329" s="2" t="s">
        <v>150</v>
      </c>
      <c r="C1329" t="s">
        <v>353</v>
      </c>
      <c r="D1329" t="str">
        <f>_xlfn.TEXTJOIN(" ",TRUE,Table1[[#This Row],[First 
Name]:[Last 
Name]])</f>
        <v>Roberto Martin</v>
      </c>
      <c r="E1329" t="s">
        <v>2439</v>
      </c>
      <c r="F1329" t="s">
        <v>3244</v>
      </c>
      <c r="G1329" t="str">
        <f ca="1">PROPER(Table1[[#This Row],[Part Time 
Job]])</f>
        <v>False</v>
      </c>
      <c r="H1329" s="3">
        <v>5</v>
      </c>
      <c r="I1329" t="str">
        <f ca="1">PROPER(Table1[[#This Row],[Extracurricular 
Activities]])</f>
        <v>False</v>
      </c>
      <c r="J1329">
        <v>15</v>
      </c>
      <c r="K1329" t="s">
        <v>3116</v>
      </c>
      <c r="L1329">
        <v>69</v>
      </c>
      <c r="M1329" s="12" t="str" cm="1">
        <f t="array" ref="M1329">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329">
        <v>81</v>
      </c>
      <c r="O1329" s="13" t="str" cm="1">
        <f t="array" ref="O132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329">
        <v>83</v>
      </c>
      <c r="Q1329" s="13" t="str" cm="1">
        <f t="array" ref="Q132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329">
        <v>68</v>
      </c>
      <c r="S1329" t="str" cm="1">
        <f t="array" ref="S132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329">
        <v>76</v>
      </c>
      <c r="U1329" t="str" cm="1">
        <f t="array" ref="U132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329">
        <v>90</v>
      </c>
      <c r="W1329" t="str" cm="1">
        <f t="array" ref="W132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329">
        <v>95</v>
      </c>
      <c r="Y1329" t="str" cm="1">
        <f t="array" ref="Y132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329">
        <f>SUM(Table1[[#This Row],[Math 
Score]],Table1[[#This Row],[History 
Score]],Table1[[#This Row],[Physics 
Score]],Table1[[#This Row],[Chemistry 
Score]],Table1[[#This Row],[Biology 
Score]],Table1[[#This Row],[English 
Score]],Table1[[#This Row],[Geography 
Score]])</f>
        <v>562</v>
      </c>
      <c r="AA1329" s="3">
        <f>AVERAGE(Table1[[#This Row],[Math 
Score]],Table1[[#This Row],[History 
Score]],Table1[[#This Row],[Physics 
Score]],Table1[[#This Row],[Chemistry 
Score]],Table1[[#This Row],[Biology 
Score]],Table1[[#This Row],[English 
Score]],Table1[[#This Row],[Geography 
Score]])</f>
        <v>80.285714285714292</v>
      </c>
      <c r="AB132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329">
        <f t="shared" si="20"/>
        <v>1099</v>
      </c>
      <c r="AD1329" t="str">
        <f>_xlfn.IFS(Table1[[#This Row],[Absence 
Days]]&lt;3,"Excellent",Table1[[#This Row],[Absence 
Days]]&lt;=6,"Good",Table1[[#This Row],[Absence 
Days]]&gt;6,"Poor")</f>
        <v>Good</v>
      </c>
    </row>
    <row r="1330" spans="1:30" x14ac:dyDescent="0.35">
      <c r="A1330">
        <v>1329</v>
      </c>
      <c r="B1330" s="2" t="s">
        <v>50</v>
      </c>
      <c r="C1330" t="s">
        <v>592</v>
      </c>
      <c r="D1330" t="str">
        <f>_xlfn.TEXTJOIN(" ",TRUE,Table1[[#This Row],[First 
Name]:[Last 
Name]])</f>
        <v>Jennifer Johnson</v>
      </c>
      <c r="E1330" t="s">
        <v>2440</v>
      </c>
      <c r="F1330" t="s">
        <v>3245</v>
      </c>
      <c r="G1330" t="str">
        <f ca="1">PROPER(Table1[[#This Row],[Part Time 
Job]])</f>
        <v>False</v>
      </c>
      <c r="H1330" s="3">
        <v>7</v>
      </c>
      <c r="I1330" t="str">
        <f ca="1">PROPER(Table1[[#This Row],[Extracurricular 
Activities]])</f>
        <v>True</v>
      </c>
      <c r="J1330">
        <v>5</v>
      </c>
      <c r="K1330" t="s">
        <v>3119</v>
      </c>
      <c r="L1330">
        <v>40</v>
      </c>
      <c r="M1330" s="12" t="str" cm="1">
        <f t="array" ref="M1330">_xlfn.IFS(Table1[[#This Row],[Math 
Score]]&gt;=90,"A+",Table1[[#This Row],[Math 
Score]]&gt;=80,"A", Table1[[#This Row],[Math 
Score]]&gt;=75,"A-",Table1[[#This Row],[Math 
Score]]&gt;=70,"B+",Table1[[#This Row],[Math 
Score]]&gt;=65,"B",Table1[[#This Row],[Math 
Score]]&gt;=60,"B-",Table1[[#This Row],[Math 
Score]]&gt;=50,"C",Table1[[#This Row],[Math 
Score]]&gt;=40,"D",Table1[[#This Row],[Math 
Score]]&lt;40,"F")</f>
        <v>D</v>
      </c>
      <c r="N1330">
        <v>51</v>
      </c>
      <c r="O1330" s="13" t="str" cm="1">
        <f t="array" ref="O133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C</v>
      </c>
      <c r="P1330">
        <v>67</v>
      </c>
      <c r="Q1330" s="13" t="str" cm="1">
        <f t="array" ref="Q133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330">
        <v>63</v>
      </c>
      <c r="S1330" t="str" cm="1">
        <f t="array" ref="S133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330">
        <v>98</v>
      </c>
      <c r="U1330" t="str" cm="1">
        <f t="array" ref="U133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330">
        <v>54</v>
      </c>
      <c r="W1330" t="str" cm="1">
        <f t="array" ref="W133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C</v>
      </c>
      <c r="X1330">
        <v>79</v>
      </c>
      <c r="Y1330" t="str" cm="1">
        <f t="array" ref="Y133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330">
        <f>SUM(Table1[[#This Row],[Math 
Score]],Table1[[#This Row],[History 
Score]],Table1[[#This Row],[Physics 
Score]],Table1[[#This Row],[Chemistry 
Score]],Table1[[#This Row],[Biology 
Score]],Table1[[#This Row],[English 
Score]],Table1[[#This Row],[Geography 
Score]])</f>
        <v>452</v>
      </c>
      <c r="AA1330" s="3">
        <f>AVERAGE(Table1[[#This Row],[Math 
Score]],Table1[[#This Row],[History 
Score]],Table1[[#This Row],[Physics 
Score]],Table1[[#This Row],[Chemistry 
Score]],Table1[[#This Row],[Biology 
Score]],Table1[[#This Row],[English 
Score]],Table1[[#This Row],[Geography 
Score]])</f>
        <v>64.571428571428569</v>
      </c>
      <c r="AB133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330">
        <f t="shared" si="20"/>
        <v>1991</v>
      </c>
      <c r="AD1330" t="str">
        <f>_xlfn.IFS(Table1[[#This Row],[Absence 
Days]]&lt;3,"Excellent",Table1[[#This Row],[Absence 
Days]]&lt;=6,"Good",Table1[[#This Row],[Absence 
Days]]&gt;6,"Poor")</f>
        <v>Poor</v>
      </c>
    </row>
    <row r="1331" spans="1:30" x14ac:dyDescent="0.35">
      <c r="A1331">
        <v>1330</v>
      </c>
      <c r="B1331" s="2" t="s">
        <v>4</v>
      </c>
      <c r="C1331" t="s">
        <v>995</v>
      </c>
      <c r="D1331" t="str">
        <f>_xlfn.TEXTJOIN(" ",TRUE,Table1[[#This Row],[First 
Name]:[Last 
Name]])</f>
        <v>Anthony Shah</v>
      </c>
      <c r="E1331" t="s">
        <v>2441</v>
      </c>
      <c r="F1331" t="s">
        <v>3244</v>
      </c>
      <c r="G1331" t="str">
        <f ca="1">PROPER(Table1[[#This Row],[Part Time 
Job]])</f>
        <v>True</v>
      </c>
      <c r="H1331" s="3">
        <v>10</v>
      </c>
      <c r="I1331" t="str">
        <f ca="1">PROPER(Table1[[#This Row],[Extracurricular 
Activities]])</f>
        <v>False</v>
      </c>
      <c r="J1331">
        <v>3</v>
      </c>
      <c r="K1331" t="s">
        <v>3119</v>
      </c>
      <c r="L1331">
        <v>42</v>
      </c>
      <c r="M1331" s="12" t="str" cm="1">
        <f t="array" ref="M1331">_xlfn.IFS(Table1[[#This Row],[Math 
Score]]&gt;=90,"A+",Table1[[#This Row],[Math 
Score]]&gt;=80,"A", Table1[[#This Row],[Math 
Score]]&gt;=75,"A-",Table1[[#This Row],[Math 
Score]]&gt;=70,"B+",Table1[[#This Row],[Math 
Score]]&gt;=65,"B",Table1[[#This Row],[Math 
Score]]&gt;=60,"B-",Table1[[#This Row],[Math 
Score]]&gt;=50,"C",Table1[[#This Row],[Math 
Score]]&gt;=40,"D",Table1[[#This Row],[Math 
Score]]&lt;40,"F")</f>
        <v>D</v>
      </c>
      <c r="N1331">
        <v>92</v>
      </c>
      <c r="O1331" s="13" t="str" cm="1">
        <f t="array" ref="O133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331">
        <v>60</v>
      </c>
      <c r="Q1331" s="13" t="str" cm="1">
        <f t="array" ref="Q133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331">
        <v>54</v>
      </c>
      <c r="S1331" t="str" cm="1">
        <f t="array" ref="S133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C</v>
      </c>
      <c r="T1331">
        <v>68</v>
      </c>
      <c r="U1331" t="str" cm="1">
        <f t="array" ref="U133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331">
        <v>69</v>
      </c>
      <c r="W1331" t="str" cm="1">
        <f t="array" ref="W133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331">
        <v>76</v>
      </c>
      <c r="Y1331" t="str" cm="1">
        <f t="array" ref="Y133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331">
        <f>SUM(Table1[[#This Row],[Math 
Score]],Table1[[#This Row],[History 
Score]],Table1[[#This Row],[Physics 
Score]],Table1[[#This Row],[Chemistry 
Score]],Table1[[#This Row],[Biology 
Score]],Table1[[#This Row],[English 
Score]],Table1[[#This Row],[Geography 
Score]])</f>
        <v>461</v>
      </c>
      <c r="AA1331" s="3">
        <f>AVERAGE(Table1[[#This Row],[Math 
Score]],Table1[[#This Row],[History 
Score]],Table1[[#This Row],[Physics 
Score]],Table1[[#This Row],[Chemistry 
Score]],Table1[[#This Row],[Biology 
Score]],Table1[[#This Row],[English 
Score]],Table1[[#This Row],[Geography 
Score]])</f>
        <v>65.857142857142861</v>
      </c>
      <c r="AB133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331">
        <f t="shared" si="20"/>
        <v>1978</v>
      </c>
      <c r="AD1331" t="str">
        <f>_xlfn.IFS(Table1[[#This Row],[Absence 
Days]]&lt;3,"Excellent",Table1[[#This Row],[Absence 
Days]]&lt;=6,"Good",Table1[[#This Row],[Absence 
Days]]&gt;6,"Poor")</f>
        <v>Poor</v>
      </c>
    </row>
    <row r="1332" spans="1:30" x14ac:dyDescent="0.35">
      <c r="A1332">
        <v>1331</v>
      </c>
      <c r="B1332" s="2" t="s">
        <v>199</v>
      </c>
      <c r="C1332" t="s">
        <v>619</v>
      </c>
      <c r="D1332" t="str">
        <f>_xlfn.TEXTJOIN(" ",TRUE,Table1[[#This Row],[First 
Name]:[Last 
Name]])</f>
        <v>Aimee Cook</v>
      </c>
      <c r="E1332" t="s">
        <v>2442</v>
      </c>
      <c r="F1332" t="s">
        <v>3245</v>
      </c>
      <c r="G1332" t="str">
        <f ca="1">PROPER(Table1[[#This Row],[Part Time 
Job]])</f>
        <v>False</v>
      </c>
      <c r="H1332" s="3">
        <v>8</v>
      </c>
      <c r="I1332" t="str">
        <f ca="1">PROPER(Table1[[#This Row],[Extracurricular 
Activities]])</f>
        <v>False</v>
      </c>
      <c r="J1332">
        <v>4</v>
      </c>
      <c r="K1332" t="s">
        <v>3119</v>
      </c>
      <c r="L1332">
        <v>82</v>
      </c>
      <c r="M1332" s="12" t="str" cm="1">
        <f t="array" ref="M133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332">
        <v>91</v>
      </c>
      <c r="O1332" s="13" t="str" cm="1">
        <f t="array" ref="O133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332">
        <v>69</v>
      </c>
      <c r="Q1332" s="13" t="str" cm="1">
        <f t="array" ref="Q133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332">
        <v>61</v>
      </c>
      <c r="S1332" t="str" cm="1">
        <f t="array" ref="S133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332">
        <v>79</v>
      </c>
      <c r="U1332" t="str" cm="1">
        <f t="array" ref="U133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332">
        <v>76</v>
      </c>
      <c r="W1332" t="str" cm="1">
        <f t="array" ref="W133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332">
        <v>83</v>
      </c>
      <c r="Y1332" t="str" cm="1">
        <f t="array" ref="Y133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332">
        <f>SUM(Table1[[#This Row],[Math 
Score]],Table1[[#This Row],[History 
Score]],Table1[[#This Row],[Physics 
Score]],Table1[[#This Row],[Chemistry 
Score]],Table1[[#This Row],[Biology 
Score]],Table1[[#This Row],[English 
Score]],Table1[[#This Row],[Geography 
Score]])</f>
        <v>541</v>
      </c>
      <c r="AA1332" s="3">
        <f>AVERAGE(Table1[[#This Row],[Math 
Score]],Table1[[#This Row],[History 
Score]],Table1[[#This Row],[Physics 
Score]],Table1[[#This Row],[Chemistry 
Score]],Table1[[#This Row],[Biology 
Score]],Table1[[#This Row],[English 
Score]],Table1[[#This Row],[Geography 
Score]])</f>
        <v>77.285714285714292</v>
      </c>
      <c r="AB133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332">
        <f t="shared" si="20"/>
        <v>1493</v>
      </c>
      <c r="AD1332" t="str">
        <f>_xlfn.IFS(Table1[[#This Row],[Absence 
Days]]&lt;3,"Excellent",Table1[[#This Row],[Absence 
Days]]&lt;=6,"Good",Table1[[#This Row],[Absence 
Days]]&gt;6,"Poor")</f>
        <v>Poor</v>
      </c>
    </row>
    <row r="1333" spans="1:30" x14ac:dyDescent="0.35">
      <c r="A1333">
        <v>1332</v>
      </c>
      <c r="B1333" s="2" t="s">
        <v>18</v>
      </c>
      <c r="C1333" t="s">
        <v>686</v>
      </c>
      <c r="D1333" t="str">
        <f>_xlfn.TEXTJOIN(" ",TRUE,Table1[[#This Row],[First 
Name]:[Last 
Name]])</f>
        <v>Angela Collins</v>
      </c>
      <c r="E1333" t="s">
        <v>2443</v>
      </c>
      <c r="F1333" t="s">
        <v>3245</v>
      </c>
      <c r="G1333" t="str">
        <f ca="1">PROPER(Table1[[#This Row],[Part Time 
Job]])</f>
        <v>False</v>
      </c>
      <c r="H1333" s="3">
        <v>1</v>
      </c>
      <c r="I1333" t="str">
        <f ca="1">PROPER(Table1[[#This Row],[Extracurricular 
Activities]])</f>
        <v>True</v>
      </c>
      <c r="J1333">
        <v>29</v>
      </c>
      <c r="K1333" t="s">
        <v>3123</v>
      </c>
      <c r="L1333">
        <v>82</v>
      </c>
      <c r="M1333" s="12" t="str" cm="1">
        <f t="array" ref="M133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333">
        <v>93</v>
      </c>
      <c r="O1333" s="13" t="str" cm="1">
        <f t="array" ref="O133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333">
        <v>67</v>
      </c>
      <c r="Q1333" s="13" t="str" cm="1">
        <f t="array" ref="Q133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333">
        <v>79</v>
      </c>
      <c r="S1333" t="str" cm="1">
        <f t="array" ref="S133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333">
        <v>84</v>
      </c>
      <c r="U1333" t="str" cm="1">
        <f t="array" ref="U133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333">
        <v>90</v>
      </c>
      <c r="W1333" t="str" cm="1">
        <f t="array" ref="W133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333">
        <v>64</v>
      </c>
      <c r="Y1333" t="str" cm="1">
        <f t="array" ref="Y133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333">
        <f>SUM(Table1[[#This Row],[Math 
Score]],Table1[[#This Row],[History 
Score]],Table1[[#This Row],[Physics 
Score]],Table1[[#This Row],[Chemistry 
Score]],Table1[[#This Row],[Biology 
Score]],Table1[[#This Row],[English 
Score]],Table1[[#This Row],[Geography 
Score]])</f>
        <v>559</v>
      </c>
      <c r="AA1333" s="3">
        <f>AVERAGE(Table1[[#This Row],[Math 
Score]],Table1[[#This Row],[History 
Score]],Table1[[#This Row],[Physics 
Score]],Table1[[#This Row],[Chemistry 
Score]],Table1[[#This Row],[Biology 
Score]],Table1[[#This Row],[English 
Score]],Table1[[#This Row],[Geography 
Score]])</f>
        <v>79.857142857142861</v>
      </c>
      <c r="AB133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333">
        <f t="shared" si="20"/>
        <v>1155</v>
      </c>
      <c r="AD1333" t="str">
        <f>_xlfn.IFS(Table1[[#This Row],[Absence 
Days]]&lt;3,"Excellent",Table1[[#This Row],[Absence 
Days]]&lt;=6,"Good",Table1[[#This Row],[Absence 
Days]]&gt;6,"Poor")</f>
        <v>Excellent</v>
      </c>
    </row>
    <row r="1334" spans="1:30" x14ac:dyDescent="0.35">
      <c r="A1334">
        <v>1333</v>
      </c>
      <c r="B1334" s="2" t="s">
        <v>124</v>
      </c>
      <c r="C1334" t="s">
        <v>996</v>
      </c>
      <c r="D1334" t="str">
        <f>_xlfn.TEXTJOIN(" ",TRUE,Table1[[#This Row],[First 
Name]:[Last 
Name]])</f>
        <v>John Jensen</v>
      </c>
      <c r="E1334" t="s">
        <v>2444</v>
      </c>
      <c r="F1334" t="s">
        <v>3244</v>
      </c>
      <c r="G1334" t="str">
        <f ca="1">PROPER(Table1[[#This Row],[Part Time 
Job]])</f>
        <v>False</v>
      </c>
      <c r="H1334" s="3">
        <v>7</v>
      </c>
      <c r="I1334" t="str">
        <f ca="1">PROPER(Table1[[#This Row],[Extracurricular 
Activities]])</f>
        <v>True</v>
      </c>
      <c r="J1334">
        <v>18</v>
      </c>
      <c r="K1334" t="s">
        <v>3116</v>
      </c>
      <c r="L1334">
        <v>76</v>
      </c>
      <c r="M1334" s="12" t="str" cm="1">
        <f t="array" ref="M133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334">
        <v>80</v>
      </c>
      <c r="O1334" s="13" t="str" cm="1">
        <f t="array" ref="O133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334">
        <v>93</v>
      </c>
      <c r="Q1334" s="13" t="str" cm="1">
        <f t="array" ref="Q133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334">
        <v>74</v>
      </c>
      <c r="S1334" t="str" cm="1">
        <f t="array" ref="S133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334">
        <v>73</v>
      </c>
      <c r="U1334" t="str" cm="1">
        <f t="array" ref="U133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334">
        <v>63</v>
      </c>
      <c r="W1334" t="str" cm="1">
        <f t="array" ref="W133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334">
        <v>81</v>
      </c>
      <c r="Y1334" t="str" cm="1">
        <f t="array" ref="Y133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334">
        <f>SUM(Table1[[#This Row],[Math 
Score]],Table1[[#This Row],[History 
Score]],Table1[[#This Row],[Physics 
Score]],Table1[[#This Row],[Chemistry 
Score]],Table1[[#This Row],[Biology 
Score]],Table1[[#This Row],[English 
Score]],Table1[[#This Row],[Geography 
Score]])</f>
        <v>540</v>
      </c>
      <c r="AA1334" s="3">
        <f>AVERAGE(Table1[[#This Row],[Math 
Score]],Table1[[#This Row],[History 
Score]],Table1[[#This Row],[Physics 
Score]],Table1[[#This Row],[Chemistry 
Score]],Table1[[#This Row],[Biology 
Score]],Table1[[#This Row],[English 
Score]],Table1[[#This Row],[Geography 
Score]])</f>
        <v>77.142857142857139</v>
      </c>
      <c r="AB133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334">
        <f t="shared" si="20"/>
        <v>1513</v>
      </c>
      <c r="AD1334" t="str">
        <f>_xlfn.IFS(Table1[[#This Row],[Absence 
Days]]&lt;3,"Excellent",Table1[[#This Row],[Absence 
Days]]&lt;=6,"Good",Table1[[#This Row],[Absence 
Days]]&gt;6,"Poor")</f>
        <v>Poor</v>
      </c>
    </row>
    <row r="1335" spans="1:30" x14ac:dyDescent="0.35">
      <c r="A1335">
        <v>1334</v>
      </c>
      <c r="B1335" s="2" t="s">
        <v>112</v>
      </c>
      <c r="C1335" t="s">
        <v>464</v>
      </c>
      <c r="D1335" t="str">
        <f>_xlfn.TEXTJOIN(" ",TRUE,Table1[[#This Row],[First 
Name]:[Last 
Name]])</f>
        <v>Julie Gomez</v>
      </c>
      <c r="E1335" t="s">
        <v>2445</v>
      </c>
      <c r="F1335" t="s">
        <v>3245</v>
      </c>
      <c r="G1335" t="str">
        <f ca="1">PROPER(Table1[[#This Row],[Part Time 
Job]])</f>
        <v>False</v>
      </c>
      <c r="H1335" s="3">
        <v>2</v>
      </c>
      <c r="I1335" t="str">
        <f ca="1">PROPER(Table1[[#This Row],[Extracurricular 
Activities]])</f>
        <v>False</v>
      </c>
      <c r="J1335">
        <v>16</v>
      </c>
      <c r="K1335" t="s">
        <v>3118</v>
      </c>
      <c r="L1335">
        <v>80</v>
      </c>
      <c r="M1335" s="12" t="str" cm="1">
        <f t="array" ref="M133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335">
        <v>62</v>
      </c>
      <c r="O1335" s="13" t="str" cm="1">
        <f t="array" ref="O133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335">
        <v>66</v>
      </c>
      <c r="Q1335" s="13" t="str" cm="1">
        <f t="array" ref="Q133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335">
        <v>88</v>
      </c>
      <c r="S1335" t="str" cm="1">
        <f t="array" ref="S133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335">
        <v>75</v>
      </c>
      <c r="U1335" t="str" cm="1">
        <f t="array" ref="U133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335">
        <v>98</v>
      </c>
      <c r="W1335" t="str" cm="1">
        <f t="array" ref="W133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335">
        <v>68</v>
      </c>
      <c r="Y1335" t="str" cm="1">
        <f t="array" ref="Y133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335">
        <f>SUM(Table1[[#This Row],[Math 
Score]],Table1[[#This Row],[History 
Score]],Table1[[#This Row],[Physics 
Score]],Table1[[#This Row],[Chemistry 
Score]],Table1[[#This Row],[Biology 
Score]],Table1[[#This Row],[English 
Score]],Table1[[#This Row],[Geography 
Score]])</f>
        <v>537</v>
      </c>
      <c r="AA1335" s="3">
        <f>AVERAGE(Table1[[#This Row],[Math 
Score]],Table1[[#This Row],[History 
Score]],Table1[[#This Row],[Physics 
Score]],Table1[[#This Row],[Chemistry 
Score]],Table1[[#This Row],[Biology 
Score]],Table1[[#This Row],[English 
Score]],Table1[[#This Row],[Geography 
Score]])</f>
        <v>76.714285714285708</v>
      </c>
      <c r="AB133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335">
        <f t="shared" si="20"/>
        <v>1553</v>
      </c>
      <c r="AD1335" t="str">
        <f>_xlfn.IFS(Table1[[#This Row],[Absence 
Days]]&lt;3,"Excellent",Table1[[#This Row],[Absence 
Days]]&lt;=6,"Good",Table1[[#This Row],[Absence 
Days]]&gt;6,"Poor")</f>
        <v>Excellent</v>
      </c>
    </row>
    <row r="1336" spans="1:30" x14ac:dyDescent="0.35">
      <c r="A1336">
        <v>1335</v>
      </c>
      <c r="B1336" s="2" t="s">
        <v>268</v>
      </c>
      <c r="C1336" t="s">
        <v>433</v>
      </c>
      <c r="D1336" t="str">
        <f>_xlfn.TEXTJOIN(" ",TRUE,Table1[[#This Row],[First 
Name]:[Last 
Name]])</f>
        <v>Bryan Mitchell</v>
      </c>
      <c r="E1336" t="s">
        <v>2446</v>
      </c>
      <c r="F1336" t="s">
        <v>3244</v>
      </c>
      <c r="G1336" t="str">
        <f ca="1">PROPER(Table1[[#This Row],[Part Time 
Job]])</f>
        <v>False</v>
      </c>
      <c r="H1336" s="3">
        <v>0</v>
      </c>
      <c r="I1336" t="str">
        <f ca="1">PROPER(Table1[[#This Row],[Extracurricular 
Activities]])</f>
        <v>False</v>
      </c>
      <c r="J1336">
        <v>23</v>
      </c>
      <c r="K1336" t="s">
        <v>3117</v>
      </c>
      <c r="L1336">
        <v>87</v>
      </c>
      <c r="M1336" s="12" t="str" cm="1">
        <f t="array" ref="M133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336">
        <v>90</v>
      </c>
      <c r="O1336" s="13" t="str" cm="1">
        <f t="array" ref="O133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336">
        <v>92</v>
      </c>
      <c r="Q1336" s="13" t="str" cm="1">
        <f t="array" ref="Q133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336">
        <v>62</v>
      </c>
      <c r="S1336" t="str" cm="1">
        <f t="array" ref="S133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336">
        <v>96</v>
      </c>
      <c r="U1336" t="str" cm="1">
        <f t="array" ref="U133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336">
        <v>77</v>
      </c>
      <c r="W1336" t="str" cm="1">
        <f t="array" ref="W133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336">
        <v>80</v>
      </c>
      <c r="Y1336" t="str" cm="1">
        <f t="array" ref="Y133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336">
        <f>SUM(Table1[[#This Row],[Math 
Score]],Table1[[#This Row],[History 
Score]],Table1[[#This Row],[Physics 
Score]],Table1[[#This Row],[Chemistry 
Score]],Table1[[#This Row],[Biology 
Score]],Table1[[#This Row],[English 
Score]],Table1[[#This Row],[Geography 
Score]])</f>
        <v>584</v>
      </c>
      <c r="AA1336" s="3">
        <f>AVERAGE(Table1[[#This Row],[Math 
Score]],Table1[[#This Row],[History 
Score]],Table1[[#This Row],[Physics 
Score]],Table1[[#This Row],[Chemistry 
Score]],Table1[[#This Row],[Biology 
Score]],Table1[[#This Row],[English 
Score]],Table1[[#This Row],[Geography 
Score]])</f>
        <v>83.428571428571431</v>
      </c>
      <c r="AB133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336">
        <f t="shared" si="20"/>
        <v>635</v>
      </c>
      <c r="AD1336" t="str">
        <f>_xlfn.IFS(Table1[[#This Row],[Absence 
Days]]&lt;3,"Excellent",Table1[[#This Row],[Absence 
Days]]&lt;=6,"Good",Table1[[#This Row],[Absence 
Days]]&gt;6,"Poor")</f>
        <v>Excellent</v>
      </c>
    </row>
    <row r="1337" spans="1:30" x14ac:dyDescent="0.35">
      <c r="A1337">
        <v>1336</v>
      </c>
      <c r="B1337" s="2" t="s">
        <v>284</v>
      </c>
      <c r="C1337" t="s">
        <v>455</v>
      </c>
      <c r="D1337" t="str">
        <f>_xlfn.TEXTJOIN(" ",TRUE,Table1[[#This Row],[First 
Name]:[Last 
Name]])</f>
        <v>Katie Clark</v>
      </c>
      <c r="E1337" t="s">
        <v>2447</v>
      </c>
      <c r="F1337" t="s">
        <v>3245</v>
      </c>
      <c r="G1337" t="str">
        <f ca="1">PROPER(Table1[[#This Row],[Part Time 
Job]])</f>
        <v>True</v>
      </c>
      <c r="H1337" s="3">
        <v>3</v>
      </c>
      <c r="I1337" t="str">
        <f ca="1">PROPER(Table1[[#This Row],[Extracurricular 
Activities]])</f>
        <v>False</v>
      </c>
      <c r="J1337">
        <v>28</v>
      </c>
      <c r="K1337" t="s">
        <v>3117</v>
      </c>
      <c r="L1337">
        <v>91</v>
      </c>
      <c r="M1337" s="12" t="str" cm="1">
        <f t="array" ref="M133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337">
        <v>98</v>
      </c>
      <c r="O1337" s="13" t="str" cm="1">
        <f t="array" ref="O133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337">
        <v>60</v>
      </c>
      <c r="Q1337" s="13" t="str" cm="1">
        <f t="array" ref="Q133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337">
        <v>88</v>
      </c>
      <c r="S1337" t="str" cm="1">
        <f t="array" ref="S133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337">
        <v>63</v>
      </c>
      <c r="U1337" t="str" cm="1">
        <f t="array" ref="U133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337">
        <v>78</v>
      </c>
      <c r="W1337" t="str" cm="1">
        <f t="array" ref="W133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337">
        <v>95</v>
      </c>
      <c r="Y1337" t="str" cm="1">
        <f t="array" ref="Y133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337">
        <f>SUM(Table1[[#This Row],[Math 
Score]],Table1[[#This Row],[History 
Score]],Table1[[#This Row],[Physics 
Score]],Table1[[#This Row],[Chemistry 
Score]],Table1[[#This Row],[Biology 
Score]],Table1[[#This Row],[English 
Score]],Table1[[#This Row],[Geography 
Score]])</f>
        <v>573</v>
      </c>
      <c r="AA1337" s="3">
        <f>AVERAGE(Table1[[#This Row],[Math 
Score]],Table1[[#This Row],[History 
Score]],Table1[[#This Row],[Physics 
Score]],Table1[[#This Row],[Chemistry 
Score]],Table1[[#This Row],[Biology 
Score]],Table1[[#This Row],[English 
Score]],Table1[[#This Row],[Geography 
Score]])</f>
        <v>81.857142857142861</v>
      </c>
      <c r="AB133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337">
        <f t="shared" si="20"/>
        <v>864</v>
      </c>
      <c r="AD1337" t="str">
        <f>_xlfn.IFS(Table1[[#This Row],[Absence 
Days]]&lt;3,"Excellent",Table1[[#This Row],[Absence 
Days]]&lt;=6,"Good",Table1[[#This Row],[Absence 
Days]]&gt;6,"Poor")</f>
        <v>Good</v>
      </c>
    </row>
    <row r="1338" spans="1:30" x14ac:dyDescent="0.35">
      <c r="A1338">
        <v>1337</v>
      </c>
      <c r="B1338" s="2" t="s">
        <v>385</v>
      </c>
      <c r="C1338" t="s">
        <v>461</v>
      </c>
      <c r="D1338" t="str">
        <f>_xlfn.TEXTJOIN(" ",TRUE,Table1[[#This Row],[First 
Name]:[Last 
Name]])</f>
        <v>Kathleen Simpson</v>
      </c>
      <c r="E1338" t="s">
        <v>2448</v>
      </c>
      <c r="F1338" t="s">
        <v>3245</v>
      </c>
      <c r="G1338" t="str">
        <f ca="1">PROPER(Table1[[#This Row],[Part Time 
Job]])</f>
        <v>False</v>
      </c>
      <c r="H1338" s="3">
        <v>7</v>
      </c>
      <c r="I1338" t="str">
        <f ca="1">PROPER(Table1[[#This Row],[Extracurricular 
Activities]])</f>
        <v>False</v>
      </c>
      <c r="J1338">
        <v>31</v>
      </c>
      <c r="K1338" t="s">
        <v>3112</v>
      </c>
      <c r="L1338">
        <v>100</v>
      </c>
      <c r="M1338" s="12" t="str" cm="1">
        <f t="array" ref="M133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338">
        <v>94</v>
      </c>
      <c r="O1338" s="13" t="str" cm="1">
        <f t="array" ref="O133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338">
        <v>94</v>
      </c>
      <c r="Q1338" s="13" t="str" cm="1">
        <f t="array" ref="Q133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338">
        <v>87</v>
      </c>
      <c r="S1338" t="str" cm="1">
        <f t="array" ref="S133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338">
        <v>65</v>
      </c>
      <c r="U1338" t="str" cm="1">
        <f t="array" ref="U133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338">
        <v>83</v>
      </c>
      <c r="W1338" t="str" cm="1">
        <f t="array" ref="W133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338">
        <v>95</v>
      </c>
      <c r="Y1338" t="str" cm="1">
        <f t="array" ref="Y133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338">
        <f>SUM(Table1[[#This Row],[Math 
Score]],Table1[[#This Row],[History 
Score]],Table1[[#This Row],[Physics 
Score]],Table1[[#This Row],[Chemistry 
Score]],Table1[[#This Row],[Biology 
Score]],Table1[[#This Row],[English 
Score]],Table1[[#This Row],[Geography 
Score]])</f>
        <v>618</v>
      </c>
      <c r="AA1338" s="3">
        <f>AVERAGE(Table1[[#This Row],[Math 
Score]],Table1[[#This Row],[History 
Score]],Table1[[#This Row],[Physics 
Score]],Table1[[#This Row],[Chemistry 
Score]],Table1[[#This Row],[Biology 
Score]],Table1[[#This Row],[English 
Score]],Table1[[#This Row],[Geography 
Score]])</f>
        <v>88.285714285714292</v>
      </c>
      <c r="AB133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338">
        <f t="shared" si="20"/>
        <v>229</v>
      </c>
      <c r="AD1338" t="str">
        <f>_xlfn.IFS(Table1[[#This Row],[Absence 
Days]]&lt;3,"Excellent",Table1[[#This Row],[Absence 
Days]]&lt;=6,"Good",Table1[[#This Row],[Absence 
Days]]&gt;6,"Poor")</f>
        <v>Poor</v>
      </c>
    </row>
    <row r="1339" spans="1:30" x14ac:dyDescent="0.35">
      <c r="A1339">
        <v>1338</v>
      </c>
      <c r="B1339" s="2" t="s">
        <v>394</v>
      </c>
      <c r="C1339" t="s">
        <v>506</v>
      </c>
      <c r="D1339" t="str">
        <f>_xlfn.TEXTJOIN(" ",TRUE,Table1[[#This Row],[First 
Name]:[Last 
Name]])</f>
        <v>Carolyn Reyes</v>
      </c>
      <c r="E1339" t="s">
        <v>2449</v>
      </c>
      <c r="F1339" t="s">
        <v>3245</v>
      </c>
      <c r="G1339" t="str">
        <f ca="1">PROPER(Table1[[#This Row],[Part Time 
Job]])</f>
        <v>False</v>
      </c>
      <c r="H1339" s="3">
        <v>9</v>
      </c>
      <c r="I1339" t="str">
        <f ca="1">PROPER(Table1[[#This Row],[Extracurricular 
Activities]])</f>
        <v>False</v>
      </c>
      <c r="J1339">
        <v>5</v>
      </c>
      <c r="K1339" t="s">
        <v>3119</v>
      </c>
      <c r="L1339">
        <v>56</v>
      </c>
      <c r="M1339" s="12" t="str" cm="1">
        <f t="array" ref="M1339">_xlfn.IFS(Table1[[#This Row],[Math 
Score]]&gt;=90,"A+",Table1[[#This Row],[Math 
Score]]&gt;=80,"A", Table1[[#This Row],[Math 
Score]]&gt;=75,"A-",Table1[[#This Row],[Math 
Score]]&gt;=70,"B+",Table1[[#This Row],[Math 
Score]]&gt;=65,"B",Table1[[#This Row],[Math 
Score]]&gt;=60,"B-",Table1[[#This Row],[Math 
Score]]&gt;=50,"C",Table1[[#This Row],[Math 
Score]]&gt;=40,"D",Table1[[#This Row],[Math 
Score]]&lt;40,"F")</f>
        <v>C</v>
      </c>
      <c r="N1339">
        <v>60</v>
      </c>
      <c r="O1339" s="13" t="str" cm="1">
        <f t="array" ref="O133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339">
        <v>88</v>
      </c>
      <c r="Q1339" s="13" t="str" cm="1">
        <f t="array" ref="Q133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339">
        <v>96</v>
      </c>
      <c r="S1339" t="str" cm="1">
        <f t="array" ref="S133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339">
        <v>57</v>
      </c>
      <c r="U1339" t="str" cm="1">
        <f t="array" ref="U133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C</v>
      </c>
      <c r="V1339">
        <v>68</v>
      </c>
      <c r="W1339" t="str" cm="1">
        <f t="array" ref="W133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339">
        <v>76</v>
      </c>
      <c r="Y1339" t="str" cm="1">
        <f t="array" ref="Y133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339">
        <f>SUM(Table1[[#This Row],[Math 
Score]],Table1[[#This Row],[History 
Score]],Table1[[#This Row],[Physics 
Score]],Table1[[#This Row],[Chemistry 
Score]],Table1[[#This Row],[Biology 
Score]],Table1[[#This Row],[English 
Score]],Table1[[#This Row],[Geography 
Score]])</f>
        <v>501</v>
      </c>
      <c r="AA1339" s="3">
        <f>AVERAGE(Table1[[#This Row],[Math 
Score]],Table1[[#This Row],[History 
Score]],Table1[[#This Row],[Physics 
Score]],Table1[[#This Row],[Chemistry 
Score]],Table1[[#This Row],[Biology 
Score]],Table1[[#This Row],[English 
Score]],Table1[[#This Row],[Geography 
Score]])</f>
        <v>71.571428571428569</v>
      </c>
      <c r="AB133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339">
        <f t="shared" si="20"/>
        <v>1872</v>
      </c>
      <c r="AD1339" t="str">
        <f>_xlfn.IFS(Table1[[#This Row],[Absence 
Days]]&lt;3,"Excellent",Table1[[#This Row],[Absence 
Days]]&lt;=6,"Good",Table1[[#This Row],[Absence 
Days]]&gt;6,"Poor")</f>
        <v>Poor</v>
      </c>
    </row>
    <row r="1340" spans="1:30" x14ac:dyDescent="0.35">
      <c r="A1340">
        <v>1339</v>
      </c>
      <c r="B1340" s="2" t="s">
        <v>81</v>
      </c>
      <c r="C1340" t="s">
        <v>785</v>
      </c>
      <c r="D1340" t="str">
        <f>_xlfn.TEXTJOIN(" ",TRUE,Table1[[#This Row],[First 
Name]:[Last 
Name]])</f>
        <v>Derrick Ortiz</v>
      </c>
      <c r="E1340" t="s">
        <v>2450</v>
      </c>
      <c r="F1340" t="s">
        <v>3244</v>
      </c>
      <c r="G1340" t="str">
        <f ca="1">PROPER(Table1[[#This Row],[Part Time 
Job]])</f>
        <v>False</v>
      </c>
      <c r="H1340" s="3">
        <v>2</v>
      </c>
      <c r="I1340" t="str">
        <f ca="1">PROPER(Table1[[#This Row],[Extracurricular 
Activities]])</f>
        <v>False</v>
      </c>
      <c r="J1340">
        <v>6</v>
      </c>
      <c r="K1340" t="s">
        <v>3127</v>
      </c>
      <c r="L1340">
        <v>84</v>
      </c>
      <c r="M1340" s="12" t="str" cm="1">
        <f t="array" ref="M134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340">
        <v>86</v>
      </c>
      <c r="O1340" s="13" t="str" cm="1">
        <f t="array" ref="O134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340">
        <v>96</v>
      </c>
      <c r="Q1340" s="13" t="str" cm="1">
        <f t="array" ref="Q134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340">
        <v>95</v>
      </c>
      <c r="S1340" t="str" cm="1">
        <f t="array" ref="S134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340">
        <v>75</v>
      </c>
      <c r="U1340" t="str" cm="1">
        <f t="array" ref="U134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340">
        <v>61</v>
      </c>
      <c r="W1340" t="str" cm="1">
        <f t="array" ref="W134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340">
        <v>99</v>
      </c>
      <c r="Y1340" t="str" cm="1">
        <f t="array" ref="Y134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340">
        <f>SUM(Table1[[#This Row],[Math 
Score]],Table1[[#This Row],[History 
Score]],Table1[[#This Row],[Physics 
Score]],Table1[[#This Row],[Chemistry 
Score]],Table1[[#This Row],[Biology 
Score]],Table1[[#This Row],[English 
Score]],Table1[[#This Row],[Geography 
Score]])</f>
        <v>596</v>
      </c>
      <c r="AA1340" s="3">
        <f>AVERAGE(Table1[[#This Row],[Math 
Score]],Table1[[#This Row],[History 
Score]],Table1[[#This Row],[Physics 
Score]],Table1[[#This Row],[Chemistry 
Score]],Table1[[#This Row],[Biology 
Score]],Table1[[#This Row],[English 
Score]],Table1[[#This Row],[Geography 
Score]])</f>
        <v>85.142857142857139</v>
      </c>
      <c r="AB134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340">
        <f t="shared" si="20"/>
        <v>458</v>
      </c>
      <c r="AD1340" t="str">
        <f>_xlfn.IFS(Table1[[#This Row],[Absence 
Days]]&lt;3,"Excellent",Table1[[#This Row],[Absence 
Days]]&lt;=6,"Good",Table1[[#This Row],[Absence 
Days]]&gt;6,"Poor")</f>
        <v>Excellent</v>
      </c>
    </row>
    <row r="1341" spans="1:30" x14ac:dyDescent="0.35">
      <c r="A1341">
        <v>1340</v>
      </c>
      <c r="B1341" s="2" t="s">
        <v>395</v>
      </c>
      <c r="C1341" t="s">
        <v>997</v>
      </c>
      <c r="D1341" t="str">
        <f>_xlfn.TEXTJOIN(" ",TRUE,Table1[[#This Row],[First 
Name]:[Last 
Name]])</f>
        <v>Calvin Huynh</v>
      </c>
      <c r="E1341" t="s">
        <v>2451</v>
      </c>
      <c r="F1341" t="s">
        <v>3244</v>
      </c>
      <c r="G1341" t="str">
        <f ca="1">PROPER(Table1[[#This Row],[Part Time 
Job]])</f>
        <v>False</v>
      </c>
      <c r="H1341" s="3">
        <v>1</v>
      </c>
      <c r="I1341" t="str">
        <f ca="1">PROPER(Table1[[#This Row],[Extracurricular 
Activities]])</f>
        <v>False</v>
      </c>
      <c r="J1341">
        <v>33</v>
      </c>
      <c r="K1341" t="s">
        <v>3112</v>
      </c>
      <c r="L1341">
        <v>86</v>
      </c>
      <c r="M1341" s="12" t="str" cm="1">
        <f t="array" ref="M134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341">
        <v>86</v>
      </c>
      <c r="O1341" s="13" t="str" cm="1">
        <f t="array" ref="O134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341">
        <v>64</v>
      </c>
      <c r="Q1341" s="13" t="str" cm="1">
        <f t="array" ref="Q134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341">
        <v>61</v>
      </c>
      <c r="S1341" t="str" cm="1">
        <f t="array" ref="S134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341">
        <v>97</v>
      </c>
      <c r="U1341" t="str" cm="1">
        <f t="array" ref="U134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341">
        <v>97</v>
      </c>
      <c r="W1341" t="str" cm="1">
        <f t="array" ref="W134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341">
        <v>91</v>
      </c>
      <c r="Y1341" t="str" cm="1">
        <f t="array" ref="Y134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341">
        <f>SUM(Table1[[#This Row],[Math 
Score]],Table1[[#This Row],[History 
Score]],Table1[[#This Row],[Physics 
Score]],Table1[[#This Row],[Chemistry 
Score]],Table1[[#This Row],[Biology 
Score]],Table1[[#This Row],[English 
Score]],Table1[[#This Row],[Geography 
Score]])</f>
        <v>582</v>
      </c>
      <c r="AA1341" s="3">
        <f>AVERAGE(Table1[[#This Row],[Math 
Score]],Table1[[#This Row],[History 
Score]],Table1[[#This Row],[Physics 
Score]],Table1[[#This Row],[Chemistry 
Score]],Table1[[#This Row],[Biology 
Score]],Table1[[#This Row],[English 
Score]],Table1[[#This Row],[Geography 
Score]])</f>
        <v>83.142857142857139</v>
      </c>
      <c r="AB134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341">
        <f t="shared" si="20"/>
        <v>670</v>
      </c>
      <c r="AD1341" t="str">
        <f>_xlfn.IFS(Table1[[#This Row],[Absence 
Days]]&lt;3,"Excellent",Table1[[#This Row],[Absence 
Days]]&lt;=6,"Good",Table1[[#This Row],[Absence 
Days]]&gt;6,"Poor")</f>
        <v>Excellent</v>
      </c>
    </row>
    <row r="1342" spans="1:30" x14ac:dyDescent="0.35">
      <c r="A1342">
        <v>1341</v>
      </c>
      <c r="B1342" s="2" t="s">
        <v>236</v>
      </c>
      <c r="C1342" t="s">
        <v>841</v>
      </c>
      <c r="D1342" t="str">
        <f>_xlfn.TEXTJOIN(" ",TRUE,Table1[[#This Row],[First 
Name]:[Last 
Name]])</f>
        <v>Margaret Wells</v>
      </c>
      <c r="E1342" t="s">
        <v>2452</v>
      </c>
      <c r="F1342" t="s">
        <v>3245</v>
      </c>
      <c r="G1342" t="str">
        <f ca="1">PROPER(Table1[[#This Row],[Part Time 
Job]])</f>
        <v>False</v>
      </c>
      <c r="H1342" s="3">
        <v>7</v>
      </c>
      <c r="I1342" t="str">
        <f ca="1">PROPER(Table1[[#This Row],[Extracurricular 
Activities]])</f>
        <v>False</v>
      </c>
      <c r="J1342">
        <v>0</v>
      </c>
      <c r="K1342" t="s">
        <v>3119</v>
      </c>
      <c r="L1342">
        <v>79</v>
      </c>
      <c r="M1342" s="12" t="str" cm="1">
        <f t="array" ref="M134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342">
        <v>67</v>
      </c>
      <c r="O1342" s="13" t="str" cm="1">
        <f t="array" ref="O134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342">
        <v>72</v>
      </c>
      <c r="Q1342" s="13" t="str" cm="1">
        <f t="array" ref="Q134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342">
        <v>50</v>
      </c>
      <c r="S1342" t="str" cm="1">
        <f t="array" ref="S134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C</v>
      </c>
      <c r="T1342">
        <v>75</v>
      </c>
      <c r="U1342" t="str" cm="1">
        <f t="array" ref="U134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342">
        <v>95</v>
      </c>
      <c r="W1342" t="str" cm="1">
        <f t="array" ref="W134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342">
        <v>62</v>
      </c>
      <c r="Y1342" t="str" cm="1">
        <f t="array" ref="Y134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342">
        <f>SUM(Table1[[#This Row],[Math 
Score]],Table1[[#This Row],[History 
Score]],Table1[[#This Row],[Physics 
Score]],Table1[[#This Row],[Chemistry 
Score]],Table1[[#This Row],[Biology 
Score]],Table1[[#This Row],[English 
Score]],Table1[[#This Row],[Geography 
Score]])</f>
        <v>500</v>
      </c>
      <c r="AA1342" s="3">
        <f>AVERAGE(Table1[[#This Row],[Math 
Score]],Table1[[#This Row],[History 
Score]],Table1[[#This Row],[Physics 
Score]],Table1[[#This Row],[Chemistry 
Score]],Table1[[#This Row],[Biology 
Score]],Table1[[#This Row],[English 
Score]],Table1[[#This Row],[Geography 
Score]])</f>
        <v>71.428571428571431</v>
      </c>
      <c r="AB134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342">
        <f t="shared" si="20"/>
        <v>1875</v>
      </c>
      <c r="AD1342" t="str">
        <f>_xlfn.IFS(Table1[[#This Row],[Absence 
Days]]&lt;3,"Excellent",Table1[[#This Row],[Absence 
Days]]&lt;=6,"Good",Table1[[#This Row],[Absence 
Days]]&gt;6,"Poor")</f>
        <v>Poor</v>
      </c>
    </row>
    <row r="1343" spans="1:30" x14ac:dyDescent="0.35">
      <c r="A1343">
        <v>1342</v>
      </c>
      <c r="B1343" s="2" t="s">
        <v>178</v>
      </c>
      <c r="C1343" t="s">
        <v>998</v>
      </c>
      <c r="D1343" t="str">
        <f>_xlfn.TEXTJOIN(" ",TRUE,Table1[[#This Row],[First 
Name]:[Last 
Name]])</f>
        <v>Heather Fitzpatrick</v>
      </c>
      <c r="E1343" t="s">
        <v>2453</v>
      </c>
      <c r="F1343" t="s">
        <v>3245</v>
      </c>
      <c r="G1343" t="str">
        <f ca="1">PROPER(Table1[[#This Row],[Part Time 
Job]])</f>
        <v>False</v>
      </c>
      <c r="H1343" s="3">
        <v>6</v>
      </c>
      <c r="I1343" t="str">
        <f ca="1">PROPER(Table1[[#This Row],[Extracurricular 
Activities]])</f>
        <v>True</v>
      </c>
      <c r="J1343">
        <v>19</v>
      </c>
      <c r="K1343" t="s">
        <v>3117</v>
      </c>
      <c r="L1343">
        <v>99</v>
      </c>
      <c r="M1343" s="12" t="str" cm="1">
        <f t="array" ref="M134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343">
        <v>78</v>
      </c>
      <c r="O1343" s="13" t="str" cm="1">
        <f t="array" ref="O134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343">
        <v>61</v>
      </c>
      <c r="Q1343" s="13" t="str" cm="1">
        <f t="array" ref="Q134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343">
        <v>64</v>
      </c>
      <c r="S1343" t="str" cm="1">
        <f t="array" ref="S134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343">
        <v>75</v>
      </c>
      <c r="U1343" t="str" cm="1">
        <f t="array" ref="U134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343">
        <v>66</v>
      </c>
      <c r="W1343" t="str" cm="1">
        <f t="array" ref="W134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343">
        <v>76</v>
      </c>
      <c r="Y1343" t="str" cm="1">
        <f t="array" ref="Y134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343">
        <f>SUM(Table1[[#This Row],[Math 
Score]],Table1[[#This Row],[History 
Score]],Table1[[#This Row],[Physics 
Score]],Table1[[#This Row],[Chemistry 
Score]],Table1[[#This Row],[Biology 
Score]],Table1[[#This Row],[English 
Score]],Table1[[#This Row],[Geography 
Score]])</f>
        <v>519</v>
      </c>
      <c r="AA1343" s="3">
        <f>AVERAGE(Table1[[#This Row],[Math 
Score]],Table1[[#This Row],[History 
Score]],Table1[[#This Row],[Physics 
Score]],Table1[[#This Row],[Chemistry 
Score]],Table1[[#This Row],[Biology 
Score]],Table1[[#This Row],[English 
Score]],Table1[[#This Row],[Geography 
Score]])</f>
        <v>74.142857142857139</v>
      </c>
      <c r="AB134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343">
        <f t="shared" si="20"/>
        <v>1766</v>
      </c>
      <c r="AD1343" t="str">
        <f>_xlfn.IFS(Table1[[#This Row],[Absence 
Days]]&lt;3,"Excellent",Table1[[#This Row],[Absence 
Days]]&lt;=6,"Good",Table1[[#This Row],[Absence 
Days]]&gt;6,"Poor")</f>
        <v>Good</v>
      </c>
    </row>
    <row r="1344" spans="1:30" x14ac:dyDescent="0.35">
      <c r="A1344">
        <v>1343</v>
      </c>
      <c r="B1344" s="2" t="s">
        <v>44</v>
      </c>
      <c r="C1344" t="s">
        <v>938</v>
      </c>
      <c r="D1344" t="str">
        <f>_xlfn.TEXTJOIN(" ",TRUE,Table1[[#This Row],[First 
Name]:[Last 
Name]])</f>
        <v>Kimberly Wood</v>
      </c>
      <c r="E1344" t="s">
        <v>2454</v>
      </c>
      <c r="F1344" t="s">
        <v>3245</v>
      </c>
      <c r="G1344" t="str">
        <f ca="1">PROPER(Table1[[#This Row],[Part Time 
Job]])</f>
        <v>False</v>
      </c>
      <c r="H1344" s="3">
        <v>2</v>
      </c>
      <c r="I1344" t="str">
        <f ca="1">PROPER(Table1[[#This Row],[Extracurricular 
Activities]])</f>
        <v>False</v>
      </c>
      <c r="J1344">
        <v>26</v>
      </c>
      <c r="K1344" t="s">
        <v>3123</v>
      </c>
      <c r="L1344">
        <v>95</v>
      </c>
      <c r="M1344" s="12" t="str" cm="1">
        <f t="array" ref="M134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344">
        <v>79</v>
      </c>
      <c r="O1344" s="13" t="str" cm="1">
        <f t="array" ref="O134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344">
        <v>95</v>
      </c>
      <c r="Q1344" s="13" t="str" cm="1">
        <f t="array" ref="Q134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344">
        <v>62</v>
      </c>
      <c r="S1344" t="str" cm="1">
        <f t="array" ref="S134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344">
        <v>69</v>
      </c>
      <c r="U1344" t="str" cm="1">
        <f t="array" ref="U134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344">
        <v>82</v>
      </c>
      <c r="W1344" t="str" cm="1">
        <f t="array" ref="W134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344">
        <v>94</v>
      </c>
      <c r="Y1344" t="str" cm="1">
        <f t="array" ref="Y134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344">
        <f>SUM(Table1[[#This Row],[Math 
Score]],Table1[[#This Row],[History 
Score]],Table1[[#This Row],[Physics 
Score]],Table1[[#This Row],[Chemistry 
Score]],Table1[[#This Row],[Biology 
Score]],Table1[[#This Row],[English 
Score]],Table1[[#This Row],[Geography 
Score]])</f>
        <v>576</v>
      </c>
      <c r="AA1344" s="3">
        <f>AVERAGE(Table1[[#This Row],[Math 
Score]],Table1[[#This Row],[History 
Score]],Table1[[#This Row],[Physics 
Score]],Table1[[#This Row],[Chemistry 
Score]],Table1[[#This Row],[Biology 
Score]],Table1[[#This Row],[English 
Score]],Table1[[#This Row],[Geography 
Score]])</f>
        <v>82.285714285714292</v>
      </c>
      <c r="AB134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344">
        <f t="shared" si="20"/>
        <v>789</v>
      </c>
      <c r="AD1344" t="str">
        <f>_xlfn.IFS(Table1[[#This Row],[Absence 
Days]]&lt;3,"Excellent",Table1[[#This Row],[Absence 
Days]]&lt;=6,"Good",Table1[[#This Row],[Absence 
Days]]&gt;6,"Poor")</f>
        <v>Excellent</v>
      </c>
    </row>
    <row r="1345" spans="1:30" x14ac:dyDescent="0.35">
      <c r="A1345">
        <v>1344</v>
      </c>
      <c r="B1345" s="2" t="s">
        <v>180</v>
      </c>
      <c r="C1345" t="s">
        <v>817</v>
      </c>
      <c r="D1345" t="str">
        <f>_xlfn.TEXTJOIN(" ",TRUE,Table1[[#This Row],[First 
Name]:[Last 
Name]])</f>
        <v>Gina Kennedy</v>
      </c>
      <c r="E1345" t="s">
        <v>2455</v>
      </c>
      <c r="F1345" t="s">
        <v>3245</v>
      </c>
      <c r="G1345" t="str">
        <f ca="1">PROPER(Table1[[#This Row],[Part Time 
Job]])</f>
        <v>False</v>
      </c>
      <c r="H1345" s="3">
        <v>1</v>
      </c>
      <c r="I1345" t="str">
        <f ca="1">PROPER(Table1[[#This Row],[Extracurricular 
Activities]])</f>
        <v>False</v>
      </c>
      <c r="J1345">
        <v>3</v>
      </c>
      <c r="K1345" t="s">
        <v>3115</v>
      </c>
      <c r="L1345">
        <v>65</v>
      </c>
      <c r="M1345" s="12" t="str" cm="1">
        <f t="array" ref="M1345">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345">
        <v>67</v>
      </c>
      <c r="O1345" s="13" t="str" cm="1">
        <f t="array" ref="O134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345">
        <v>90</v>
      </c>
      <c r="Q1345" s="13" t="str" cm="1">
        <f t="array" ref="Q134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345">
        <v>99</v>
      </c>
      <c r="S1345" t="str" cm="1">
        <f t="array" ref="S134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345">
        <v>93</v>
      </c>
      <c r="U1345" t="str" cm="1">
        <f t="array" ref="U134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345">
        <v>91</v>
      </c>
      <c r="W1345" t="str" cm="1">
        <f t="array" ref="W134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345">
        <v>99</v>
      </c>
      <c r="Y1345" t="str" cm="1">
        <f t="array" ref="Y134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345">
        <f>SUM(Table1[[#This Row],[Math 
Score]],Table1[[#This Row],[History 
Score]],Table1[[#This Row],[Physics 
Score]],Table1[[#This Row],[Chemistry 
Score]],Table1[[#This Row],[Biology 
Score]],Table1[[#This Row],[English 
Score]],Table1[[#This Row],[Geography 
Score]])</f>
        <v>604</v>
      </c>
      <c r="AA1345" s="3">
        <f>AVERAGE(Table1[[#This Row],[Math 
Score]],Table1[[#This Row],[History 
Score]],Table1[[#This Row],[Physics 
Score]],Table1[[#This Row],[Chemistry 
Score]],Table1[[#This Row],[Biology 
Score]],Table1[[#This Row],[English 
Score]],Table1[[#This Row],[Geography 
Score]])</f>
        <v>86.285714285714292</v>
      </c>
      <c r="AB134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345">
        <f t="shared" si="20"/>
        <v>353</v>
      </c>
      <c r="AD1345" t="str">
        <f>_xlfn.IFS(Table1[[#This Row],[Absence 
Days]]&lt;3,"Excellent",Table1[[#This Row],[Absence 
Days]]&lt;=6,"Good",Table1[[#This Row],[Absence 
Days]]&gt;6,"Poor")</f>
        <v>Excellent</v>
      </c>
    </row>
    <row r="1346" spans="1:30" x14ac:dyDescent="0.35">
      <c r="A1346">
        <v>1345</v>
      </c>
      <c r="B1346" s="2" t="s">
        <v>125</v>
      </c>
      <c r="C1346" t="s">
        <v>535</v>
      </c>
      <c r="D1346" t="str">
        <f>_xlfn.TEXTJOIN(" ",TRUE,Table1[[#This Row],[First 
Name]:[Last 
Name]])</f>
        <v>Jeremy Ward</v>
      </c>
      <c r="E1346" t="s">
        <v>2456</v>
      </c>
      <c r="F1346" t="s">
        <v>3244</v>
      </c>
      <c r="G1346" t="str">
        <f ca="1">PROPER(Table1[[#This Row],[Part Time 
Job]])</f>
        <v>False</v>
      </c>
      <c r="H1346" s="3">
        <v>2</v>
      </c>
      <c r="I1346" t="str">
        <f ca="1">PROPER(Table1[[#This Row],[Extracurricular 
Activities]])</f>
        <v>False</v>
      </c>
      <c r="J1346">
        <v>10</v>
      </c>
      <c r="K1346" t="s">
        <v>3116</v>
      </c>
      <c r="L1346">
        <v>85</v>
      </c>
      <c r="M1346" s="12" t="str" cm="1">
        <f t="array" ref="M134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346">
        <v>90</v>
      </c>
      <c r="O1346" s="13" t="str" cm="1">
        <f t="array" ref="O134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346">
        <v>61</v>
      </c>
      <c r="Q1346" s="13" t="str" cm="1">
        <f t="array" ref="Q134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346">
        <v>94</v>
      </c>
      <c r="S1346" t="str" cm="1">
        <f t="array" ref="S134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346">
        <v>86</v>
      </c>
      <c r="U1346" t="str" cm="1">
        <f t="array" ref="U134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346">
        <v>79</v>
      </c>
      <c r="W1346" t="str" cm="1">
        <f t="array" ref="W134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346">
        <v>90</v>
      </c>
      <c r="Y1346" t="str" cm="1">
        <f t="array" ref="Y134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346">
        <f>SUM(Table1[[#This Row],[Math 
Score]],Table1[[#This Row],[History 
Score]],Table1[[#This Row],[Physics 
Score]],Table1[[#This Row],[Chemistry 
Score]],Table1[[#This Row],[Biology 
Score]],Table1[[#This Row],[English 
Score]],Table1[[#This Row],[Geography 
Score]])</f>
        <v>585</v>
      </c>
      <c r="AA1346" s="3">
        <f>AVERAGE(Table1[[#This Row],[Math 
Score]],Table1[[#This Row],[History 
Score]],Table1[[#This Row],[Physics 
Score]],Table1[[#This Row],[Chemistry 
Score]],Table1[[#This Row],[Biology 
Score]],Table1[[#This Row],[English 
Score]],Table1[[#This Row],[Geography 
Score]])</f>
        <v>83.571428571428569</v>
      </c>
      <c r="AB134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346">
        <f t="shared" ref="AC1346:AC1409" si="21">RANK(AA1346,$AA$2:$AA$2001,0)</f>
        <v>615</v>
      </c>
      <c r="AD1346" t="str">
        <f>_xlfn.IFS(Table1[[#This Row],[Absence 
Days]]&lt;3,"Excellent",Table1[[#This Row],[Absence 
Days]]&lt;=6,"Good",Table1[[#This Row],[Absence 
Days]]&gt;6,"Poor")</f>
        <v>Excellent</v>
      </c>
    </row>
    <row r="1347" spans="1:30" x14ac:dyDescent="0.35">
      <c r="A1347">
        <v>1346</v>
      </c>
      <c r="B1347" s="2" t="s">
        <v>11</v>
      </c>
      <c r="C1347" t="s">
        <v>965</v>
      </c>
      <c r="D1347" t="str">
        <f>_xlfn.TEXTJOIN(" ",TRUE,Table1[[#This Row],[First 
Name]:[Last 
Name]])</f>
        <v>Patricia Rhodes</v>
      </c>
      <c r="E1347" t="s">
        <v>2457</v>
      </c>
      <c r="F1347" t="s">
        <v>3245</v>
      </c>
      <c r="G1347" t="str">
        <f ca="1">PROPER(Table1[[#This Row],[Part Time 
Job]])</f>
        <v>False</v>
      </c>
      <c r="H1347" s="3">
        <v>5</v>
      </c>
      <c r="I1347" t="str">
        <f ca="1">PROPER(Table1[[#This Row],[Extracurricular 
Activities]])</f>
        <v>False</v>
      </c>
      <c r="J1347">
        <v>24</v>
      </c>
      <c r="K1347" t="s">
        <v>3113</v>
      </c>
      <c r="L1347">
        <v>99</v>
      </c>
      <c r="M1347" s="12" t="str" cm="1">
        <f t="array" ref="M134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347">
        <v>82</v>
      </c>
      <c r="O1347" s="13" t="str" cm="1">
        <f t="array" ref="O134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347">
        <v>81</v>
      </c>
      <c r="Q1347" s="13" t="str" cm="1">
        <f t="array" ref="Q134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347">
        <v>98</v>
      </c>
      <c r="S1347" t="str" cm="1">
        <f t="array" ref="S134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347">
        <v>86</v>
      </c>
      <c r="U1347" t="str" cm="1">
        <f t="array" ref="U134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347">
        <v>85</v>
      </c>
      <c r="W1347" t="str" cm="1">
        <f t="array" ref="W134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347">
        <v>85</v>
      </c>
      <c r="Y1347" t="str" cm="1">
        <f t="array" ref="Y134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347">
        <f>SUM(Table1[[#This Row],[Math 
Score]],Table1[[#This Row],[History 
Score]],Table1[[#This Row],[Physics 
Score]],Table1[[#This Row],[Chemistry 
Score]],Table1[[#This Row],[Biology 
Score]],Table1[[#This Row],[English 
Score]],Table1[[#This Row],[Geography 
Score]])</f>
        <v>616</v>
      </c>
      <c r="AA1347" s="3">
        <f>AVERAGE(Table1[[#This Row],[Math 
Score]],Table1[[#This Row],[History 
Score]],Table1[[#This Row],[Physics 
Score]],Table1[[#This Row],[Chemistry 
Score]],Table1[[#This Row],[Biology 
Score]],Table1[[#This Row],[English 
Score]],Table1[[#This Row],[Geography 
Score]])</f>
        <v>88</v>
      </c>
      <c r="AB134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347">
        <f t="shared" si="21"/>
        <v>243</v>
      </c>
      <c r="AD1347" t="str">
        <f>_xlfn.IFS(Table1[[#This Row],[Absence 
Days]]&lt;3,"Excellent",Table1[[#This Row],[Absence 
Days]]&lt;=6,"Good",Table1[[#This Row],[Absence 
Days]]&gt;6,"Poor")</f>
        <v>Good</v>
      </c>
    </row>
    <row r="1348" spans="1:30" x14ac:dyDescent="0.35">
      <c r="A1348">
        <v>1347</v>
      </c>
      <c r="B1348" s="2" t="s">
        <v>396</v>
      </c>
      <c r="C1348" t="s">
        <v>999</v>
      </c>
      <c r="D1348" t="str">
        <f>_xlfn.TEXTJOIN(" ",TRUE,Table1[[#This Row],[First 
Name]:[Last 
Name]])</f>
        <v>Connie Colon</v>
      </c>
      <c r="E1348" t="s">
        <v>2458</v>
      </c>
      <c r="F1348" t="s">
        <v>3245</v>
      </c>
      <c r="G1348" t="str">
        <f ca="1">PROPER(Table1[[#This Row],[Part Time 
Job]])</f>
        <v>False</v>
      </c>
      <c r="H1348" s="3">
        <v>5</v>
      </c>
      <c r="I1348" t="str">
        <f ca="1">PROPER(Table1[[#This Row],[Extracurricular 
Activities]])</f>
        <v>False</v>
      </c>
      <c r="J1348">
        <v>1</v>
      </c>
      <c r="K1348" t="s">
        <v>3115</v>
      </c>
      <c r="L1348">
        <v>88</v>
      </c>
      <c r="M1348" s="12" t="str" cm="1">
        <f t="array" ref="M134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348">
        <v>62</v>
      </c>
      <c r="O1348" s="13" t="str" cm="1">
        <f t="array" ref="O134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348">
        <v>65</v>
      </c>
      <c r="Q1348" s="13" t="str" cm="1">
        <f t="array" ref="Q134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348">
        <v>98</v>
      </c>
      <c r="S1348" t="str" cm="1">
        <f t="array" ref="S134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348">
        <v>92</v>
      </c>
      <c r="U1348" t="str" cm="1">
        <f t="array" ref="U134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348">
        <v>64</v>
      </c>
      <c r="W1348" t="str" cm="1">
        <f t="array" ref="W134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348">
        <v>82</v>
      </c>
      <c r="Y1348" t="str" cm="1">
        <f t="array" ref="Y134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348">
        <f>SUM(Table1[[#This Row],[Math 
Score]],Table1[[#This Row],[History 
Score]],Table1[[#This Row],[Physics 
Score]],Table1[[#This Row],[Chemistry 
Score]],Table1[[#This Row],[Biology 
Score]],Table1[[#This Row],[English 
Score]],Table1[[#This Row],[Geography 
Score]])</f>
        <v>551</v>
      </c>
      <c r="AA1348" s="3">
        <f>AVERAGE(Table1[[#This Row],[Math 
Score]],Table1[[#This Row],[History 
Score]],Table1[[#This Row],[Physics 
Score]],Table1[[#This Row],[Chemistry 
Score]],Table1[[#This Row],[Biology 
Score]],Table1[[#This Row],[English 
Score]],Table1[[#This Row],[Geography 
Score]])</f>
        <v>78.714285714285708</v>
      </c>
      <c r="AB134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348">
        <f t="shared" si="21"/>
        <v>1317</v>
      </c>
      <c r="AD1348" t="str">
        <f>_xlfn.IFS(Table1[[#This Row],[Absence 
Days]]&lt;3,"Excellent",Table1[[#This Row],[Absence 
Days]]&lt;=6,"Good",Table1[[#This Row],[Absence 
Days]]&gt;6,"Poor")</f>
        <v>Good</v>
      </c>
    </row>
    <row r="1349" spans="1:30" x14ac:dyDescent="0.35">
      <c r="A1349">
        <v>1348</v>
      </c>
      <c r="B1349" s="2" t="s">
        <v>12</v>
      </c>
      <c r="C1349" t="s">
        <v>723</v>
      </c>
      <c r="D1349" t="str">
        <f>_xlfn.TEXTJOIN(" ",TRUE,Table1[[#This Row],[First 
Name]:[Last 
Name]])</f>
        <v>Pamela Moyer</v>
      </c>
      <c r="E1349" t="s">
        <v>2459</v>
      </c>
      <c r="F1349" t="s">
        <v>3245</v>
      </c>
      <c r="G1349" t="str">
        <f ca="1">PROPER(Table1[[#This Row],[Part Time 
Job]])</f>
        <v>False</v>
      </c>
      <c r="H1349" s="3">
        <v>1</v>
      </c>
      <c r="I1349" t="str">
        <f ca="1">PROPER(Table1[[#This Row],[Extracurricular 
Activities]])</f>
        <v>False</v>
      </c>
      <c r="J1349">
        <v>25</v>
      </c>
      <c r="K1349" t="s">
        <v>3117</v>
      </c>
      <c r="L1349">
        <v>100</v>
      </c>
      <c r="M1349" s="12" t="str" cm="1">
        <f t="array" ref="M134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349">
        <v>87</v>
      </c>
      <c r="O1349" s="13" t="str" cm="1">
        <f t="array" ref="O134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349">
        <v>88</v>
      </c>
      <c r="Q1349" s="13" t="str" cm="1">
        <f t="array" ref="Q134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349">
        <v>100</v>
      </c>
      <c r="S1349" t="str" cm="1">
        <f t="array" ref="S134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349">
        <v>89</v>
      </c>
      <c r="U1349" t="str" cm="1">
        <f t="array" ref="U134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349">
        <v>98</v>
      </c>
      <c r="W1349" t="str" cm="1">
        <f t="array" ref="W134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349">
        <v>71</v>
      </c>
      <c r="Y1349" t="str" cm="1">
        <f t="array" ref="Y134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349">
        <f>SUM(Table1[[#This Row],[Math 
Score]],Table1[[#This Row],[History 
Score]],Table1[[#This Row],[Physics 
Score]],Table1[[#This Row],[Chemistry 
Score]],Table1[[#This Row],[Biology 
Score]],Table1[[#This Row],[English 
Score]],Table1[[#This Row],[Geography 
Score]])</f>
        <v>633</v>
      </c>
      <c r="AA1349" s="3">
        <f>AVERAGE(Table1[[#This Row],[Math 
Score]],Table1[[#This Row],[History 
Score]],Table1[[#This Row],[Physics 
Score]],Table1[[#This Row],[Chemistry 
Score]],Table1[[#This Row],[Biology 
Score]],Table1[[#This Row],[English 
Score]],Table1[[#This Row],[Geography 
Score]])</f>
        <v>90.428571428571431</v>
      </c>
      <c r="AB134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349">
        <f t="shared" si="21"/>
        <v>137</v>
      </c>
      <c r="AD1349" t="str">
        <f>_xlfn.IFS(Table1[[#This Row],[Absence 
Days]]&lt;3,"Excellent",Table1[[#This Row],[Absence 
Days]]&lt;=6,"Good",Table1[[#This Row],[Absence 
Days]]&gt;6,"Poor")</f>
        <v>Excellent</v>
      </c>
    </row>
    <row r="1350" spans="1:30" x14ac:dyDescent="0.35">
      <c r="A1350">
        <v>1349</v>
      </c>
      <c r="B1350" s="2" t="s">
        <v>129</v>
      </c>
      <c r="C1350" t="s">
        <v>475</v>
      </c>
      <c r="D1350" t="str">
        <f>_xlfn.TEXTJOIN(" ",TRUE,Table1[[#This Row],[First 
Name]:[Last 
Name]])</f>
        <v>Rachel Williams</v>
      </c>
      <c r="E1350" t="s">
        <v>2460</v>
      </c>
      <c r="F1350" t="s">
        <v>3245</v>
      </c>
      <c r="G1350" t="str">
        <f ca="1">PROPER(Table1[[#This Row],[Part Time 
Job]])</f>
        <v>False</v>
      </c>
      <c r="H1350" s="3">
        <v>10</v>
      </c>
      <c r="I1350" t="str">
        <f ca="1">PROPER(Table1[[#This Row],[Extracurricular 
Activities]])</f>
        <v>False</v>
      </c>
      <c r="J1350">
        <v>15</v>
      </c>
      <c r="K1350" t="s">
        <v>3116</v>
      </c>
      <c r="L1350">
        <v>62</v>
      </c>
      <c r="M1350" s="12" t="str" cm="1">
        <f t="array" ref="M1350">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350">
        <v>63</v>
      </c>
      <c r="O1350" s="13" t="str" cm="1">
        <f t="array" ref="O135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350">
        <v>94</v>
      </c>
      <c r="Q1350" s="13" t="str" cm="1">
        <f t="array" ref="Q135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350">
        <v>74</v>
      </c>
      <c r="S1350" t="str" cm="1">
        <f t="array" ref="S135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350">
        <v>75</v>
      </c>
      <c r="U1350" t="str" cm="1">
        <f t="array" ref="U135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350">
        <v>86</v>
      </c>
      <c r="W1350" t="str" cm="1">
        <f t="array" ref="W135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350">
        <v>100</v>
      </c>
      <c r="Y1350" t="str" cm="1">
        <f t="array" ref="Y135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350">
        <f>SUM(Table1[[#This Row],[Math 
Score]],Table1[[#This Row],[History 
Score]],Table1[[#This Row],[Physics 
Score]],Table1[[#This Row],[Chemistry 
Score]],Table1[[#This Row],[Biology 
Score]],Table1[[#This Row],[English 
Score]],Table1[[#This Row],[Geography 
Score]])</f>
        <v>554</v>
      </c>
      <c r="AA1350" s="3">
        <f>AVERAGE(Table1[[#This Row],[Math 
Score]],Table1[[#This Row],[History 
Score]],Table1[[#This Row],[Physics 
Score]],Table1[[#This Row],[Chemistry 
Score]],Table1[[#This Row],[Biology 
Score]],Table1[[#This Row],[English 
Score]],Table1[[#This Row],[Geography 
Score]])</f>
        <v>79.142857142857139</v>
      </c>
      <c r="AB135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350">
        <f t="shared" si="21"/>
        <v>1264</v>
      </c>
      <c r="AD1350" t="str">
        <f>_xlfn.IFS(Table1[[#This Row],[Absence 
Days]]&lt;3,"Excellent",Table1[[#This Row],[Absence 
Days]]&lt;=6,"Good",Table1[[#This Row],[Absence 
Days]]&gt;6,"Poor")</f>
        <v>Poor</v>
      </c>
    </row>
    <row r="1351" spans="1:30" x14ac:dyDescent="0.35">
      <c r="A1351">
        <v>1350</v>
      </c>
      <c r="B1351" s="2" t="s">
        <v>22</v>
      </c>
      <c r="C1351" t="s">
        <v>901</v>
      </c>
      <c r="D1351" t="str">
        <f>_xlfn.TEXTJOIN(" ",TRUE,Table1[[#This Row],[First 
Name]:[Last 
Name]])</f>
        <v>Sean Malone</v>
      </c>
      <c r="E1351" t="s">
        <v>2461</v>
      </c>
      <c r="F1351" t="s">
        <v>3244</v>
      </c>
      <c r="G1351" t="str">
        <f ca="1">PROPER(Table1[[#This Row],[Part Time 
Job]])</f>
        <v>True</v>
      </c>
      <c r="H1351" s="3">
        <v>10</v>
      </c>
      <c r="I1351" t="str">
        <f ca="1">PROPER(Table1[[#This Row],[Extracurricular 
Activities]])</f>
        <v>False</v>
      </c>
      <c r="J1351">
        <v>3</v>
      </c>
      <c r="K1351" t="s">
        <v>3119</v>
      </c>
      <c r="L1351">
        <v>84</v>
      </c>
      <c r="M1351" s="12" t="str" cm="1">
        <f t="array" ref="M135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351">
        <v>75</v>
      </c>
      <c r="O1351" s="13" t="str" cm="1">
        <f t="array" ref="O135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351">
        <v>61</v>
      </c>
      <c r="Q1351" s="13" t="str" cm="1">
        <f t="array" ref="Q135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351">
        <v>87</v>
      </c>
      <c r="S1351" t="str" cm="1">
        <f t="array" ref="S135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351">
        <v>86</v>
      </c>
      <c r="U1351" t="str" cm="1">
        <f t="array" ref="U135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351">
        <v>67</v>
      </c>
      <c r="W1351" t="str" cm="1">
        <f t="array" ref="W135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351">
        <v>93</v>
      </c>
      <c r="Y1351" t="str" cm="1">
        <f t="array" ref="Y135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351">
        <f>SUM(Table1[[#This Row],[Math 
Score]],Table1[[#This Row],[History 
Score]],Table1[[#This Row],[Physics 
Score]],Table1[[#This Row],[Chemistry 
Score]],Table1[[#This Row],[Biology 
Score]],Table1[[#This Row],[English 
Score]],Table1[[#This Row],[Geography 
Score]])</f>
        <v>553</v>
      </c>
      <c r="AA1351" s="3">
        <f>AVERAGE(Table1[[#This Row],[Math 
Score]],Table1[[#This Row],[History 
Score]],Table1[[#This Row],[Physics 
Score]],Table1[[#This Row],[Chemistry 
Score]],Table1[[#This Row],[Biology 
Score]],Table1[[#This Row],[English 
Score]],Table1[[#This Row],[Geography 
Score]])</f>
        <v>79</v>
      </c>
      <c r="AB135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351">
        <f t="shared" si="21"/>
        <v>1284</v>
      </c>
      <c r="AD1351" t="str">
        <f>_xlfn.IFS(Table1[[#This Row],[Absence 
Days]]&lt;3,"Excellent",Table1[[#This Row],[Absence 
Days]]&lt;=6,"Good",Table1[[#This Row],[Absence 
Days]]&gt;6,"Poor")</f>
        <v>Poor</v>
      </c>
    </row>
    <row r="1352" spans="1:30" x14ac:dyDescent="0.35">
      <c r="A1352">
        <v>1351</v>
      </c>
      <c r="B1352" s="2" t="s">
        <v>77</v>
      </c>
      <c r="C1352" t="s">
        <v>1000</v>
      </c>
      <c r="D1352" t="str">
        <f>_xlfn.TEXTJOIN(" ",TRUE,Table1[[#This Row],[First 
Name]:[Last 
Name]])</f>
        <v>Natalie Fitzgerald</v>
      </c>
      <c r="E1352" t="s">
        <v>2462</v>
      </c>
      <c r="F1352" t="s">
        <v>3245</v>
      </c>
      <c r="G1352" t="str">
        <f ca="1">PROPER(Table1[[#This Row],[Part Time 
Job]])</f>
        <v>False</v>
      </c>
      <c r="H1352" s="3">
        <v>3</v>
      </c>
      <c r="I1352" t="str">
        <f ca="1">PROPER(Table1[[#This Row],[Extracurricular 
Activities]])</f>
        <v>True</v>
      </c>
      <c r="J1352">
        <v>14</v>
      </c>
      <c r="K1352" t="s">
        <v>3118</v>
      </c>
      <c r="L1352">
        <v>60</v>
      </c>
      <c r="M1352" s="12" t="str" cm="1">
        <f t="array" ref="M1352">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352">
        <v>61</v>
      </c>
      <c r="O1352" s="13" t="str" cm="1">
        <f t="array" ref="O135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352">
        <v>71</v>
      </c>
      <c r="Q1352" s="13" t="str" cm="1">
        <f t="array" ref="Q135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352">
        <v>60</v>
      </c>
      <c r="S1352" t="str" cm="1">
        <f t="array" ref="S135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352">
        <v>69</v>
      </c>
      <c r="U1352" t="str" cm="1">
        <f t="array" ref="U135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352">
        <v>91</v>
      </c>
      <c r="W1352" t="str" cm="1">
        <f t="array" ref="W135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352">
        <v>84</v>
      </c>
      <c r="Y1352" t="str" cm="1">
        <f t="array" ref="Y135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352">
        <f>SUM(Table1[[#This Row],[Math 
Score]],Table1[[#This Row],[History 
Score]],Table1[[#This Row],[Physics 
Score]],Table1[[#This Row],[Chemistry 
Score]],Table1[[#This Row],[Biology 
Score]],Table1[[#This Row],[English 
Score]],Table1[[#This Row],[Geography 
Score]])</f>
        <v>496</v>
      </c>
      <c r="AA1352" s="3">
        <f>AVERAGE(Table1[[#This Row],[Math 
Score]],Table1[[#This Row],[History 
Score]],Table1[[#This Row],[Physics 
Score]],Table1[[#This Row],[Chemistry 
Score]],Table1[[#This Row],[Biology 
Score]],Table1[[#This Row],[English 
Score]],Table1[[#This Row],[Geography 
Score]])</f>
        <v>70.857142857142861</v>
      </c>
      <c r="AB135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352">
        <f t="shared" si="21"/>
        <v>1892</v>
      </c>
      <c r="AD1352" t="str">
        <f>_xlfn.IFS(Table1[[#This Row],[Absence 
Days]]&lt;3,"Excellent",Table1[[#This Row],[Absence 
Days]]&lt;=6,"Good",Table1[[#This Row],[Absence 
Days]]&gt;6,"Poor")</f>
        <v>Good</v>
      </c>
    </row>
    <row r="1353" spans="1:30" x14ac:dyDescent="0.35">
      <c r="A1353">
        <v>1352</v>
      </c>
      <c r="B1353" s="2" t="s">
        <v>167</v>
      </c>
      <c r="C1353" t="s">
        <v>482</v>
      </c>
      <c r="D1353" t="str">
        <f>_xlfn.TEXTJOIN(" ",TRUE,Table1[[#This Row],[First 
Name]:[Last 
Name]])</f>
        <v>Kevin Diaz</v>
      </c>
      <c r="E1353" t="s">
        <v>2463</v>
      </c>
      <c r="F1353" t="s">
        <v>3244</v>
      </c>
      <c r="G1353" t="str">
        <f ca="1">PROPER(Table1[[#This Row],[Part Time 
Job]])</f>
        <v>False</v>
      </c>
      <c r="H1353" s="3">
        <v>9</v>
      </c>
      <c r="I1353" t="str">
        <f ca="1">PROPER(Table1[[#This Row],[Extracurricular 
Activities]])</f>
        <v>False</v>
      </c>
      <c r="J1353">
        <v>31</v>
      </c>
      <c r="K1353" t="s">
        <v>3127</v>
      </c>
      <c r="L1353">
        <v>96</v>
      </c>
      <c r="M1353" s="12" t="str" cm="1">
        <f t="array" ref="M135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353">
        <v>76</v>
      </c>
      <c r="O1353" s="13" t="str" cm="1">
        <f t="array" ref="O135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353">
        <v>74</v>
      </c>
      <c r="Q1353" s="13" t="str" cm="1">
        <f t="array" ref="Q135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353">
        <v>92</v>
      </c>
      <c r="S1353" t="str" cm="1">
        <f t="array" ref="S135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353">
        <v>96</v>
      </c>
      <c r="U1353" t="str" cm="1">
        <f t="array" ref="U135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353">
        <v>74</v>
      </c>
      <c r="W1353" t="str" cm="1">
        <f t="array" ref="W135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353">
        <v>99</v>
      </c>
      <c r="Y1353" t="str" cm="1">
        <f t="array" ref="Y135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353">
        <f>SUM(Table1[[#This Row],[Math 
Score]],Table1[[#This Row],[History 
Score]],Table1[[#This Row],[Physics 
Score]],Table1[[#This Row],[Chemistry 
Score]],Table1[[#This Row],[Biology 
Score]],Table1[[#This Row],[English 
Score]],Table1[[#This Row],[Geography 
Score]])</f>
        <v>607</v>
      </c>
      <c r="AA1353" s="3">
        <f>AVERAGE(Table1[[#This Row],[Math 
Score]],Table1[[#This Row],[History 
Score]],Table1[[#This Row],[Physics 
Score]],Table1[[#This Row],[Chemistry 
Score]],Table1[[#This Row],[Biology 
Score]],Table1[[#This Row],[English 
Score]],Table1[[#This Row],[Geography 
Score]])</f>
        <v>86.714285714285708</v>
      </c>
      <c r="AB135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353">
        <f t="shared" si="21"/>
        <v>325</v>
      </c>
      <c r="AD1353" t="str">
        <f>_xlfn.IFS(Table1[[#This Row],[Absence 
Days]]&lt;3,"Excellent",Table1[[#This Row],[Absence 
Days]]&lt;=6,"Good",Table1[[#This Row],[Absence 
Days]]&gt;6,"Poor")</f>
        <v>Poor</v>
      </c>
    </row>
    <row r="1354" spans="1:30" x14ac:dyDescent="0.35">
      <c r="A1354">
        <v>1353</v>
      </c>
      <c r="B1354" s="2" t="s">
        <v>92</v>
      </c>
      <c r="C1354" t="s">
        <v>532</v>
      </c>
      <c r="D1354" t="str">
        <f>_xlfn.TEXTJOIN(" ",TRUE,Table1[[#This Row],[First 
Name]:[Last 
Name]])</f>
        <v>Beth Jones</v>
      </c>
      <c r="E1354" t="s">
        <v>2464</v>
      </c>
      <c r="F1354" t="s">
        <v>3245</v>
      </c>
      <c r="G1354" t="str">
        <f ca="1">PROPER(Table1[[#This Row],[Part Time 
Job]])</f>
        <v>False</v>
      </c>
      <c r="H1354" s="3">
        <v>2</v>
      </c>
      <c r="I1354" t="str">
        <f ca="1">PROPER(Table1[[#This Row],[Extracurricular 
Activities]])</f>
        <v>True</v>
      </c>
      <c r="J1354">
        <v>9</v>
      </c>
      <c r="K1354" t="s">
        <v>3128</v>
      </c>
      <c r="L1354">
        <v>58</v>
      </c>
      <c r="M1354" s="12" t="str" cm="1">
        <f t="array" ref="M1354">_xlfn.IFS(Table1[[#This Row],[Math 
Score]]&gt;=90,"A+",Table1[[#This Row],[Math 
Score]]&gt;=80,"A", Table1[[#This Row],[Math 
Score]]&gt;=75,"A-",Table1[[#This Row],[Math 
Score]]&gt;=70,"B+",Table1[[#This Row],[Math 
Score]]&gt;=65,"B",Table1[[#This Row],[Math 
Score]]&gt;=60,"B-",Table1[[#This Row],[Math 
Score]]&gt;=50,"C",Table1[[#This Row],[Math 
Score]]&gt;=40,"D",Table1[[#This Row],[Math 
Score]]&lt;40,"F")</f>
        <v>C</v>
      </c>
      <c r="N1354">
        <v>81</v>
      </c>
      <c r="O1354" s="13" t="str" cm="1">
        <f t="array" ref="O135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354">
        <v>100</v>
      </c>
      <c r="Q1354" s="13" t="str" cm="1">
        <f t="array" ref="Q135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354">
        <v>97</v>
      </c>
      <c r="S1354" t="str" cm="1">
        <f t="array" ref="S135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354">
        <v>74</v>
      </c>
      <c r="U1354" t="str" cm="1">
        <f t="array" ref="U135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354">
        <v>90</v>
      </c>
      <c r="W1354" t="str" cm="1">
        <f t="array" ref="W135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354">
        <v>87</v>
      </c>
      <c r="Y1354" t="str" cm="1">
        <f t="array" ref="Y135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354">
        <f>SUM(Table1[[#This Row],[Math 
Score]],Table1[[#This Row],[History 
Score]],Table1[[#This Row],[Physics 
Score]],Table1[[#This Row],[Chemistry 
Score]],Table1[[#This Row],[Biology 
Score]],Table1[[#This Row],[English 
Score]],Table1[[#This Row],[Geography 
Score]])</f>
        <v>587</v>
      </c>
      <c r="AA1354" s="3">
        <f>AVERAGE(Table1[[#This Row],[Math 
Score]],Table1[[#This Row],[History 
Score]],Table1[[#This Row],[Physics 
Score]],Table1[[#This Row],[Chemistry 
Score]],Table1[[#This Row],[Biology 
Score]],Table1[[#This Row],[English 
Score]],Table1[[#This Row],[Geography 
Score]])</f>
        <v>83.857142857142861</v>
      </c>
      <c r="AB135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354">
        <f t="shared" si="21"/>
        <v>583</v>
      </c>
      <c r="AD1354" t="str">
        <f>_xlfn.IFS(Table1[[#This Row],[Absence 
Days]]&lt;3,"Excellent",Table1[[#This Row],[Absence 
Days]]&lt;=6,"Good",Table1[[#This Row],[Absence 
Days]]&gt;6,"Poor")</f>
        <v>Excellent</v>
      </c>
    </row>
    <row r="1355" spans="1:30" x14ac:dyDescent="0.35">
      <c r="A1355">
        <v>1354</v>
      </c>
      <c r="B1355" s="2" t="s">
        <v>138</v>
      </c>
      <c r="C1355" t="s">
        <v>980</v>
      </c>
      <c r="D1355" t="str">
        <f>_xlfn.TEXTJOIN(" ",TRUE,Table1[[#This Row],[First 
Name]:[Last 
Name]])</f>
        <v>Kathryn Bates</v>
      </c>
      <c r="E1355" t="s">
        <v>2465</v>
      </c>
      <c r="F1355" t="s">
        <v>3245</v>
      </c>
      <c r="G1355" t="str">
        <f ca="1">PROPER(Table1[[#This Row],[Part Time 
Job]])</f>
        <v>False</v>
      </c>
      <c r="H1355" s="3">
        <v>1</v>
      </c>
      <c r="I1355" t="str">
        <f ca="1">PROPER(Table1[[#This Row],[Extracurricular 
Activities]])</f>
        <v>False</v>
      </c>
      <c r="J1355">
        <v>8</v>
      </c>
      <c r="K1355" t="s">
        <v>3118</v>
      </c>
      <c r="L1355">
        <v>90</v>
      </c>
      <c r="M1355" s="12" t="str" cm="1">
        <f t="array" ref="M135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355">
        <v>67</v>
      </c>
      <c r="O1355" s="13" t="str" cm="1">
        <f t="array" ref="O135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355">
        <v>73</v>
      </c>
      <c r="Q1355" s="13" t="str" cm="1">
        <f t="array" ref="Q135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355">
        <v>82</v>
      </c>
      <c r="S1355" t="str" cm="1">
        <f t="array" ref="S135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355">
        <v>66</v>
      </c>
      <c r="U1355" t="str" cm="1">
        <f t="array" ref="U135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355">
        <v>75</v>
      </c>
      <c r="W1355" t="str" cm="1">
        <f t="array" ref="W135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355">
        <v>90</v>
      </c>
      <c r="Y1355" t="str" cm="1">
        <f t="array" ref="Y135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355">
        <f>SUM(Table1[[#This Row],[Math 
Score]],Table1[[#This Row],[History 
Score]],Table1[[#This Row],[Physics 
Score]],Table1[[#This Row],[Chemistry 
Score]],Table1[[#This Row],[Biology 
Score]],Table1[[#This Row],[English 
Score]],Table1[[#This Row],[Geography 
Score]])</f>
        <v>543</v>
      </c>
      <c r="AA1355" s="3">
        <f>AVERAGE(Table1[[#This Row],[Math 
Score]],Table1[[#This Row],[History 
Score]],Table1[[#This Row],[Physics 
Score]],Table1[[#This Row],[Chemistry 
Score]],Table1[[#This Row],[Biology 
Score]],Table1[[#This Row],[English 
Score]],Table1[[#This Row],[Geography 
Score]])</f>
        <v>77.571428571428569</v>
      </c>
      <c r="AB135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355">
        <f t="shared" si="21"/>
        <v>1464</v>
      </c>
      <c r="AD1355" t="str">
        <f>_xlfn.IFS(Table1[[#This Row],[Absence 
Days]]&lt;3,"Excellent",Table1[[#This Row],[Absence 
Days]]&lt;=6,"Good",Table1[[#This Row],[Absence 
Days]]&gt;6,"Poor")</f>
        <v>Excellent</v>
      </c>
    </row>
    <row r="1356" spans="1:30" x14ac:dyDescent="0.35">
      <c r="A1356">
        <v>1355</v>
      </c>
      <c r="B1356" s="2" t="s">
        <v>292</v>
      </c>
      <c r="C1356" t="s">
        <v>898</v>
      </c>
      <c r="D1356" t="str">
        <f>_xlfn.TEXTJOIN(" ",TRUE,Table1[[#This Row],[First 
Name]:[Last 
Name]])</f>
        <v>Aaron Mcdaniel</v>
      </c>
      <c r="E1356" t="s">
        <v>2466</v>
      </c>
      <c r="F1356" t="s">
        <v>3244</v>
      </c>
      <c r="G1356" t="str">
        <f ca="1">PROPER(Table1[[#This Row],[Part Time 
Job]])</f>
        <v>False</v>
      </c>
      <c r="H1356" s="3">
        <v>2</v>
      </c>
      <c r="I1356" t="str">
        <f ca="1">PROPER(Table1[[#This Row],[Extracurricular 
Activities]])</f>
        <v>False</v>
      </c>
      <c r="J1356">
        <v>22</v>
      </c>
      <c r="K1356" t="s">
        <v>3123</v>
      </c>
      <c r="L1356">
        <v>75</v>
      </c>
      <c r="M1356" s="12" t="str" cm="1">
        <f t="array" ref="M135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356">
        <v>80</v>
      </c>
      <c r="O1356" s="13" t="str" cm="1">
        <f t="array" ref="O135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356">
        <v>65</v>
      </c>
      <c r="Q1356" s="13" t="str" cm="1">
        <f t="array" ref="Q135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356">
        <v>80</v>
      </c>
      <c r="S1356" t="str" cm="1">
        <f t="array" ref="S135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356">
        <v>55</v>
      </c>
      <c r="U1356" t="str" cm="1">
        <f t="array" ref="U135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C</v>
      </c>
      <c r="V1356">
        <v>86</v>
      </c>
      <c r="W1356" t="str" cm="1">
        <f t="array" ref="W135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356">
        <v>95</v>
      </c>
      <c r="Y1356" t="str" cm="1">
        <f t="array" ref="Y135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356">
        <f>SUM(Table1[[#This Row],[Math 
Score]],Table1[[#This Row],[History 
Score]],Table1[[#This Row],[Physics 
Score]],Table1[[#This Row],[Chemistry 
Score]],Table1[[#This Row],[Biology 
Score]],Table1[[#This Row],[English 
Score]],Table1[[#This Row],[Geography 
Score]])</f>
        <v>536</v>
      </c>
      <c r="AA1356" s="3">
        <f>AVERAGE(Table1[[#This Row],[Math 
Score]],Table1[[#This Row],[History 
Score]],Table1[[#This Row],[Physics 
Score]],Table1[[#This Row],[Chemistry 
Score]],Table1[[#This Row],[Biology 
Score]],Table1[[#This Row],[English 
Score]],Table1[[#This Row],[Geography 
Score]])</f>
        <v>76.571428571428569</v>
      </c>
      <c r="AB135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356">
        <f t="shared" si="21"/>
        <v>1567</v>
      </c>
      <c r="AD1356" t="str">
        <f>_xlfn.IFS(Table1[[#This Row],[Absence 
Days]]&lt;3,"Excellent",Table1[[#This Row],[Absence 
Days]]&lt;=6,"Good",Table1[[#This Row],[Absence 
Days]]&gt;6,"Poor")</f>
        <v>Excellent</v>
      </c>
    </row>
    <row r="1357" spans="1:30" x14ac:dyDescent="0.35">
      <c r="A1357">
        <v>1356</v>
      </c>
      <c r="B1357" s="2" t="s">
        <v>18</v>
      </c>
      <c r="C1357" t="s">
        <v>800</v>
      </c>
      <c r="D1357" t="str">
        <f>_xlfn.TEXTJOIN(" ",TRUE,Table1[[#This Row],[First 
Name]:[Last 
Name]])</f>
        <v>Angela King</v>
      </c>
      <c r="E1357" t="s">
        <v>2467</v>
      </c>
      <c r="F1357" t="s">
        <v>3245</v>
      </c>
      <c r="G1357" t="str">
        <f ca="1">PROPER(Table1[[#This Row],[Part Time 
Job]])</f>
        <v>False</v>
      </c>
      <c r="H1357" s="3">
        <v>3</v>
      </c>
      <c r="I1357" t="str">
        <f ca="1">PROPER(Table1[[#This Row],[Extracurricular 
Activities]])</f>
        <v>False</v>
      </c>
      <c r="J1357">
        <v>11</v>
      </c>
      <c r="K1357" t="s">
        <v>3121</v>
      </c>
      <c r="L1357">
        <v>76</v>
      </c>
      <c r="M1357" s="12" t="str" cm="1">
        <f t="array" ref="M135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357">
        <v>82</v>
      </c>
      <c r="O1357" s="13" t="str" cm="1">
        <f t="array" ref="O135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357">
        <v>74</v>
      </c>
      <c r="Q1357" s="13" t="str" cm="1">
        <f t="array" ref="Q135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357">
        <v>79</v>
      </c>
      <c r="S1357" t="str" cm="1">
        <f t="array" ref="S135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357">
        <v>81</v>
      </c>
      <c r="U1357" t="str" cm="1">
        <f t="array" ref="U135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357">
        <v>93</v>
      </c>
      <c r="W1357" t="str" cm="1">
        <f t="array" ref="W135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357">
        <v>72</v>
      </c>
      <c r="Y1357" t="str" cm="1">
        <f t="array" ref="Y135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357">
        <f>SUM(Table1[[#This Row],[Math 
Score]],Table1[[#This Row],[History 
Score]],Table1[[#This Row],[Physics 
Score]],Table1[[#This Row],[Chemistry 
Score]],Table1[[#This Row],[Biology 
Score]],Table1[[#This Row],[English 
Score]],Table1[[#This Row],[Geography 
Score]])</f>
        <v>557</v>
      </c>
      <c r="AA1357" s="3">
        <f>AVERAGE(Table1[[#This Row],[Math 
Score]],Table1[[#This Row],[History 
Score]],Table1[[#This Row],[Physics 
Score]],Table1[[#This Row],[Chemistry 
Score]],Table1[[#This Row],[Biology 
Score]],Table1[[#This Row],[English 
Score]],Table1[[#This Row],[Geography 
Score]])</f>
        <v>79.571428571428569</v>
      </c>
      <c r="AB135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357">
        <f t="shared" si="21"/>
        <v>1200</v>
      </c>
      <c r="AD1357" t="str">
        <f>_xlfn.IFS(Table1[[#This Row],[Absence 
Days]]&lt;3,"Excellent",Table1[[#This Row],[Absence 
Days]]&lt;=6,"Good",Table1[[#This Row],[Absence 
Days]]&gt;6,"Poor")</f>
        <v>Good</v>
      </c>
    </row>
    <row r="1358" spans="1:30" x14ac:dyDescent="0.35">
      <c r="A1358">
        <v>1357</v>
      </c>
      <c r="B1358" s="2" t="s">
        <v>39</v>
      </c>
      <c r="C1358" t="s">
        <v>703</v>
      </c>
      <c r="D1358" t="str">
        <f>_xlfn.TEXTJOIN(" ",TRUE,Table1[[#This Row],[First 
Name]:[Last 
Name]])</f>
        <v>Lauren Arias</v>
      </c>
      <c r="E1358" t="s">
        <v>2468</v>
      </c>
      <c r="F1358" t="s">
        <v>3245</v>
      </c>
      <c r="G1358" t="str">
        <f ca="1">PROPER(Table1[[#This Row],[Part Time 
Job]])</f>
        <v>True</v>
      </c>
      <c r="H1358" s="3">
        <v>10</v>
      </c>
      <c r="I1358" t="str">
        <f ca="1">PROPER(Table1[[#This Row],[Extracurricular 
Activities]])</f>
        <v>False</v>
      </c>
      <c r="J1358">
        <v>2</v>
      </c>
      <c r="K1358" t="s">
        <v>3119</v>
      </c>
      <c r="L1358">
        <v>81</v>
      </c>
      <c r="M1358" s="12" t="str" cm="1">
        <f t="array" ref="M135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358">
        <v>100</v>
      </c>
      <c r="O1358" s="13" t="str" cm="1">
        <f t="array" ref="O135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358">
        <v>64</v>
      </c>
      <c r="Q1358" s="13" t="str" cm="1">
        <f t="array" ref="Q135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358">
        <v>61</v>
      </c>
      <c r="S1358" t="str" cm="1">
        <f t="array" ref="S135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358">
        <v>91</v>
      </c>
      <c r="U1358" t="str" cm="1">
        <f t="array" ref="U135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358">
        <v>76</v>
      </c>
      <c r="W1358" t="str" cm="1">
        <f t="array" ref="W135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358">
        <v>93</v>
      </c>
      <c r="Y1358" t="str" cm="1">
        <f t="array" ref="Y135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358">
        <f>SUM(Table1[[#This Row],[Math 
Score]],Table1[[#This Row],[History 
Score]],Table1[[#This Row],[Physics 
Score]],Table1[[#This Row],[Chemistry 
Score]],Table1[[#This Row],[Biology 
Score]],Table1[[#This Row],[English 
Score]],Table1[[#This Row],[Geography 
Score]])</f>
        <v>566</v>
      </c>
      <c r="AA1358" s="3">
        <f>AVERAGE(Table1[[#This Row],[Math 
Score]],Table1[[#This Row],[History 
Score]],Table1[[#This Row],[Physics 
Score]],Table1[[#This Row],[Chemistry 
Score]],Table1[[#This Row],[Biology 
Score]],Table1[[#This Row],[English 
Score]],Table1[[#This Row],[Geography 
Score]])</f>
        <v>80.857142857142861</v>
      </c>
      <c r="AB135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358">
        <f t="shared" si="21"/>
        <v>1019</v>
      </c>
      <c r="AD1358" t="str">
        <f>_xlfn.IFS(Table1[[#This Row],[Absence 
Days]]&lt;3,"Excellent",Table1[[#This Row],[Absence 
Days]]&lt;=6,"Good",Table1[[#This Row],[Absence 
Days]]&gt;6,"Poor")</f>
        <v>Poor</v>
      </c>
    </row>
    <row r="1359" spans="1:30" x14ac:dyDescent="0.35">
      <c r="A1359">
        <v>1358</v>
      </c>
      <c r="B1359" s="2" t="s">
        <v>91</v>
      </c>
      <c r="C1359" t="s">
        <v>479</v>
      </c>
      <c r="D1359" t="str">
        <f>_xlfn.TEXTJOIN(" ",TRUE,Table1[[#This Row],[First 
Name]:[Last 
Name]])</f>
        <v>Alyssa Miller</v>
      </c>
      <c r="E1359" t="s">
        <v>2469</v>
      </c>
      <c r="F1359" t="s">
        <v>3245</v>
      </c>
      <c r="G1359" t="str">
        <f ca="1">PROPER(Table1[[#This Row],[Part Time 
Job]])</f>
        <v>False</v>
      </c>
      <c r="H1359" s="3">
        <v>2</v>
      </c>
      <c r="I1359" t="str">
        <f ca="1">PROPER(Table1[[#This Row],[Extracurricular 
Activities]])</f>
        <v>False</v>
      </c>
      <c r="J1359">
        <v>21</v>
      </c>
      <c r="K1359" t="s">
        <v>3116</v>
      </c>
      <c r="L1359">
        <v>73</v>
      </c>
      <c r="M1359" s="12" t="str" cm="1">
        <f t="array" ref="M1359">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359">
        <v>98</v>
      </c>
      <c r="O1359" s="13" t="str" cm="1">
        <f t="array" ref="O135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359">
        <v>72</v>
      </c>
      <c r="Q1359" s="13" t="str" cm="1">
        <f t="array" ref="Q135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359">
        <v>100</v>
      </c>
      <c r="S1359" t="str" cm="1">
        <f t="array" ref="S135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359">
        <v>77</v>
      </c>
      <c r="U1359" t="str" cm="1">
        <f t="array" ref="U135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359">
        <v>62</v>
      </c>
      <c r="W1359" t="str" cm="1">
        <f t="array" ref="W135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359">
        <v>69</v>
      </c>
      <c r="Y1359" t="str" cm="1">
        <f t="array" ref="Y135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359">
        <f>SUM(Table1[[#This Row],[Math 
Score]],Table1[[#This Row],[History 
Score]],Table1[[#This Row],[Physics 
Score]],Table1[[#This Row],[Chemistry 
Score]],Table1[[#This Row],[Biology 
Score]],Table1[[#This Row],[English 
Score]],Table1[[#This Row],[Geography 
Score]])</f>
        <v>551</v>
      </c>
      <c r="AA1359" s="3">
        <f>AVERAGE(Table1[[#This Row],[Math 
Score]],Table1[[#This Row],[History 
Score]],Table1[[#This Row],[Physics 
Score]],Table1[[#This Row],[Chemistry 
Score]],Table1[[#This Row],[Biology 
Score]],Table1[[#This Row],[English 
Score]],Table1[[#This Row],[Geography 
Score]])</f>
        <v>78.714285714285708</v>
      </c>
      <c r="AB135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359">
        <f t="shared" si="21"/>
        <v>1317</v>
      </c>
      <c r="AD1359" t="str">
        <f>_xlfn.IFS(Table1[[#This Row],[Absence 
Days]]&lt;3,"Excellent",Table1[[#This Row],[Absence 
Days]]&lt;=6,"Good",Table1[[#This Row],[Absence 
Days]]&gt;6,"Poor")</f>
        <v>Excellent</v>
      </c>
    </row>
    <row r="1360" spans="1:30" x14ac:dyDescent="0.35">
      <c r="A1360">
        <v>1359</v>
      </c>
      <c r="B1360" s="2" t="s">
        <v>32</v>
      </c>
      <c r="C1360" t="s">
        <v>749</v>
      </c>
      <c r="D1360" t="str">
        <f>_xlfn.TEXTJOIN(" ",TRUE,Table1[[#This Row],[First 
Name]:[Last 
Name]])</f>
        <v>Lisa Best</v>
      </c>
      <c r="E1360" t="s">
        <v>2470</v>
      </c>
      <c r="F1360" t="s">
        <v>3245</v>
      </c>
      <c r="G1360" t="str">
        <f ca="1">PROPER(Table1[[#This Row],[Part Time 
Job]])</f>
        <v>False</v>
      </c>
      <c r="H1360" s="3">
        <v>1</v>
      </c>
      <c r="I1360" t="str">
        <f ca="1">PROPER(Table1[[#This Row],[Extracurricular 
Activities]])</f>
        <v>False</v>
      </c>
      <c r="J1360">
        <v>28</v>
      </c>
      <c r="K1360" t="s">
        <v>3116</v>
      </c>
      <c r="L1360">
        <v>60</v>
      </c>
      <c r="M1360" s="12" t="str" cm="1">
        <f t="array" ref="M1360">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360">
        <v>64</v>
      </c>
      <c r="O1360" s="13" t="str" cm="1">
        <f t="array" ref="O136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360">
        <v>84</v>
      </c>
      <c r="Q1360" s="13" t="str" cm="1">
        <f t="array" ref="Q136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360">
        <v>64</v>
      </c>
      <c r="S1360" t="str" cm="1">
        <f t="array" ref="S136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360">
        <v>66</v>
      </c>
      <c r="U1360" t="str" cm="1">
        <f t="array" ref="U136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360">
        <v>96</v>
      </c>
      <c r="W1360" t="str" cm="1">
        <f t="array" ref="W136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360">
        <v>99</v>
      </c>
      <c r="Y1360" t="str" cm="1">
        <f t="array" ref="Y136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360">
        <f>SUM(Table1[[#This Row],[Math 
Score]],Table1[[#This Row],[History 
Score]],Table1[[#This Row],[Physics 
Score]],Table1[[#This Row],[Chemistry 
Score]],Table1[[#This Row],[Biology 
Score]],Table1[[#This Row],[English 
Score]],Table1[[#This Row],[Geography 
Score]])</f>
        <v>533</v>
      </c>
      <c r="AA1360" s="3">
        <f>AVERAGE(Table1[[#This Row],[Math 
Score]],Table1[[#This Row],[History 
Score]],Table1[[#This Row],[Physics 
Score]],Table1[[#This Row],[Chemistry 
Score]],Table1[[#This Row],[Biology 
Score]],Table1[[#This Row],[English 
Score]],Table1[[#This Row],[Geography 
Score]])</f>
        <v>76.142857142857139</v>
      </c>
      <c r="AB136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360">
        <f t="shared" si="21"/>
        <v>1613</v>
      </c>
      <c r="AD1360" t="str">
        <f>_xlfn.IFS(Table1[[#This Row],[Absence 
Days]]&lt;3,"Excellent",Table1[[#This Row],[Absence 
Days]]&lt;=6,"Good",Table1[[#This Row],[Absence 
Days]]&gt;6,"Poor")</f>
        <v>Excellent</v>
      </c>
    </row>
    <row r="1361" spans="1:30" x14ac:dyDescent="0.35">
      <c r="A1361">
        <v>1360</v>
      </c>
      <c r="B1361" s="2" t="s">
        <v>203</v>
      </c>
      <c r="C1361" t="s">
        <v>516</v>
      </c>
      <c r="D1361" t="str">
        <f>_xlfn.TEXTJOIN(" ",TRUE,Table1[[#This Row],[First 
Name]:[Last 
Name]])</f>
        <v>Nicole Garcia</v>
      </c>
      <c r="E1361" t="s">
        <v>2471</v>
      </c>
      <c r="F1361" t="s">
        <v>3245</v>
      </c>
      <c r="G1361" t="str">
        <f ca="1">PROPER(Table1[[#This Row],[Part Time 
Job]])</f>
        <v>True</v>
      </c>
      <c r="H1361" s="3">
        <v>9</v>
      </c>
      <c r="I1361" t="str">
        <f ca="1">PROPER(Table1[[#This Row],[Extracurricular 
Activities]])</f>
        <v>False</v>
      </c>
      <c r="J1361">
        <v>4</v>
      </c>
      <c r="K1361" t="s">
        <v>3119</v>
      </c>
      <c r="L1361">
        <v>89</v>
      </c>
      <c r="M1361" s="12" t="str" cm="1">
        <f t="array" ref="M136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361">
        <v>100</v>
      </c>
      <c r="O1361" s="13" t="str" cm="1">
        <f t="array" ref="O136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361">
        <v>72</v>
      </c>
      <c r="Q1361" s="13" t="str" cm="1">
        <f t="array" ref="Q136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361">
        <v>73</v>
      </c>
      <c r="S1361" t="str" cm="1">
        <f t="array" ref="S136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361">
        <v>78</v>
      </c>
      <c r="U1361" t="str" cm="1">
        <f t="array" ref="U136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361">
        <v>67</v>
      </c>
      <c r="W1361" t="str" cm="1">
        <f t="array" ref="W136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361">
        <v>91</v>
      </c>
      <c r="Y1361" t="str" cm="1">
        <f t="array" ref="Y136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361">
        <f>SUM(Table1[[#This Row],[Math 
Score]],Table1[[#This Row],[History 
Score]],Table1[[#This Row],[Physics 
Score]],Table1[[#This Row],[Chemistry 
Score]],Table1[[#This Row],[Biology 
Score]],Table1[[#This Row],[English 
Score]],Table1[[#This Row],[Geography 
Score]])</f>
        <v>570</v>
      </c>
      <c r="AA1361" s="3">
        <f>AVERAGE(Table1[[#This Row],[Math 
Score]],Table1[[#This Row],[History 
Score]],Table1[[#This Row],[Physics 
Score]],Table1[[#This Row],[Chemistry 
Score]],Table1[[#This Row],[Biology 
Score]],Table1[[#This Row],[English 
Score]],Table1[[#This Row],[Geography 
Score]])</f>
        <v>81.428571428571431</v>
      </c>
      <c r="AB136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361">
        <f t="shared" si="21"/>
        <v>937</v>
      </c>
      <c r="AD1361" t="str">
        <f>_xlfn.IFS(Table1[[#This Row],[Absence 
Days]]&lt;3,"Excellent",Table1[[#This Row],[Absence 
Days]]&lt;=6,"Good",Table1[[#This Row],[Absence 
Days]]&gt;6,"Poor")</f>
        <v>Poor</v>
      </c>
    </row>
    <row r="1362" spans="1:30" x14ac:dyDescent="0.35">
      <c r="A1362">
        <v>1361</v>
      </c>
      <c r="B1362" s="2" t="s">
        <v>75</v>
      </c>
      <c r="C1362" t="s">
        <v>326</v>
      </c>
      <c r="D1362" t="str">
        <f>_xlfn.TEXTJOIN(" ",TRUE,Table1[[#This Row],[First 
Name]:[Last 
Name]])</f>
        <v>William Lee</v>
      </c>
      <c r="E1362" t="s">
        <v>2472</v>
      </c>
      <c r="F1362" t="s">
        <v>3244</v>
      </c>
      <c r="G1362" t="str">
        <f ca="1">PROPER(Table1[[#This Row],[Part Time 
Job]])</f>
        <v>False</v>
      </c>
      <c r="H1362" s="3">
        <v>4</v>
      </c>
      <c r="I1362" t="str">
        <f ca="1">PROPER(Table1[[#This Row],[Extracurricular 
Activities]])</f>
        <v>False</v>
      </c>
      <c r="J1362">
        <v>35</v>
      </c>
      <c r="K1362" t="s">
        <v>3117</v>
      </c>
      <c r="L1362">
        <v>91</v>
      </c>
      <c r="M1362" s="12" t="str" cm="1">
        <f t="array" ref="M136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362">
        <v>98</v>
      </c>
      <c r="O1362" s="13" t="str" cm="1">
        <f t="array" ref="O136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362">
        <v>93</v>
      </c>
      <c r="Q1362" s="13" t="str" cm="1">
        <f t="array" ref="Q136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362">
        <v>93</v>
      </c>
      <c r="S1362" t="str" cm="1">
        <f t="array" ref="S136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362">
        <v>88</v>
      </c>
      <c r="U1362" t="str" cm="1">
        <f t="array" ref="U136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362">
        <v>96</v>
      </c>
      <c r="W1362" t="str" cm="1">
        <f t="array" ref="W136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362">
        <v>97</v>
      </c>
      <c r="Y1362" t="str" cm="1">
        <f t="array" ref="Y136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362">
        <f>SUM(Table1[[#This Row],[Math 
Score]],Table1[[#This Row],[History 
Score]],Table1[[#This Row],[Physics 
Score]],Table1[[#This Row],[Chemistry 
Score]],Table1[[#This Row],[Biology 
Score]],Table1[[#This Row],[English 
Score]],Table1[[#This Row],[Geography 
Score]])</f>
        <v>656</v>
      </c>
      <c r="AA1362" s="3">
        <f>AVERAGE(Table1[[#This Row],[Math 
Score]],Table1[[#This Row],[History 
Score]],Table1[[#This Row],[Physics 
Score]],Table1[[#This Row],[Chemistry 
Score]],Table1[[#This Row],[Biology 
Score]],Table1[[#This Row],[English 
Score]],Table1[[#This Row],[Geography 
Score]])</f>
        <v>93.714285714285708</v>
      </c>
      <c r="AB136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362">
        <f t="shared" si="21"/>
        <v>28</v>
      </c>
      <c r="AD1362" t="str">
        <f>_xlfn.IFS(Table1[[#This Row],[Absence 
Days]]&lt;3,"Excellent",Table1[[#This Row],[Absence 
Days]]&lt;=6,"Good",Table1[[#This Row],[Absence 
Days]]&gt;6,"Poor")</f>
        <v>Good</v>
      </c>
    </row>
    <row r="1363" spans="1:30" x14ac:dyDescent="0.35">
      <c r="A1363">
        <v>1362</v>
      </c>
      <c r="B1363" s="2" t="s">
        <v>36</v>
      </c>
      <c r="C1363" t="s">
        <v>1001</v>
      </c>
      <c r="D1363" t="str">
        <f>_xlfn.TEXTJOIN(" ",TRUE,Table1[[#This Row],[First 
Name]:[Last 
Name]])</f>
        <v>Christopher Bowen</v>
      </c>
      <c r="E1363" t="s">
        <v>2473</v>
      </c>
      <c r="F1363" t="s">
        <v>3244</v>
      </c>
      <c r="G1363" t="str">
        <f ca="1">PROPER(Table1[[#This Row],[Part Time 
Job]])</f>
        <v>False</v>
      </c>
      <c r="H1363" s="3">
        <v>6</v>
      </c>
      <c r="I1363" t="str">
        <f ca="1">PROPER(Table1[[#This Row],[Extracurricular 
Activities]])</f>
        <v>False</v>
      </c>
      <c r="J1363">
        <v>27</v>
      </c>
      <c r="K1363" t="s">
        <v>3113</v>
      </c>
      <c r="L1363">
        <v>85</v>
      </c>
      <c r="M1363" s="12" t="str" cm="1">
        <f t="array" ref="M136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363">
        <v>72</v>
      </c>
      <c r="O1363" s="13" t="str" cm="1">
        <f t="array" ref="O136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363">
        <v>80</v>
      </c>
      <c r="Q1363" s="13" t="str" cm="1">
        <f t="array" ref="Q136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363">
        <v>85</v>
      </c>
      <c r="S1363" t="str" cm="1">
        <f t="array" ref="S136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363">
        <v>94</v>
      </c>
      <c r="U1363" t="str" cm="1">
        <f t="array" ref="U136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363">
        <v>96</v>
      </c>
      <c r="W1363" t="str" cm="1">
        <f t="array" ref="W136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363">
        <v>87</v>
      </c>
      <c r="Y1363" t="str" cm="1">
        <f t="array" ref="Y136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363">
        <f>SUM(Table1[[#This Row],[Math 
Score]],Table1[[#This Row],[History 
Score]],Table1[[#This Row],[Physics 
Score]],Table1[[#This Row],[Chemistry 
Score]],Table1[[#This Row],[Biology 
Score]],Table1[[#This Row],[English 
Score]],Table1[[#This Row],[Geography 
Score]])</f>
        <v>599</v>
      </c>
      <c r="AA1363" s="3">
        <f>AVERAGE(Table1[[#This Row],[Math 
Score]],Table1[[#This Row],[History 
Score]],Table1[[#This Row],[Physics 
Score]],Table1[[#This Row],[Chemistry 
Score]],Table1[[#This Row],[Biology 
Score]],Table1[[#This Row],[English 
Score]],Table1[[#This Row],[Geography 
Score]])</f>
        <v>85.571428571428569</v>
      </c>
      <c r="AB136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363">
        <f t="shared" si="21"/>
        <v>426</v>
      </c>
      <c r="AD1363" t="str">
        <f>_xlfn.IFS(Table1[[#This Row],[Absence 
Days]]&lt;3,"Excellent",Table1[[#This Row],[Absence 
Days]]&lt;=6,"Good",Table1[[#This Row],[Absence 
Days]]&gt;6,"Poor")</f>
        <v>Good</v>
      </c>
    </row>
    <row r="1364" spans="1:30" x14ac:dyDescent="0.35">
      <c r="A1364">
        <v>1363</v>
      </c>
      <c r="B1364" s="2" t="s">
        <v>40</v>
      </c>
      <c r="C1364" t="s">
        <v>1002</v>
      </c>
      <c r="D1364" t="str">
        <f>_xlfn.TEXTJOIN(" ",TRUE,Table1[[#This Row],[First 
Name]:[Last 
Name]])</f>
        <v>David Bradford</v>
      </c>
      <c r="E1364" t="s">
        <v>2474</v>
      </c>
      <c r="F1364" t="s">
        <v>3244</v>
      </c>
      <c r="G1364" t="str">
        <f ca="1">PROPER(Table1[[#This Row],[Part Time 
Job]])</f>
        <v>False</v>
      </c>
      <c r="H1364" s="3">
        <v>0</v>
      </c>
      <c r="I1364" t="str">
        <f ca="1">PROPER(Table1[[#This Row],[Extracurricular 
Activities]])</f>
        <v>True</v>
      </c>
      <c r="J1364">
        <v>14</v>
      </c>
      <c r="K1364" t="s">
        <v>3123</v>
      </c>
      <c r="L1364">
        <v>81</v>
      </c>
      <c r="M1364" s="12" t="str" cm="1">
        <f t="array" ref="M136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364">
        <v>84</v>
      </c>
      <c r="O1364" s="13" t="str" cm="1">
        <f t="array" ref="O136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364">
        <v>69</v>
      </c>
      <c r="Q1364" s="13" t="str" cm="1">
        <f t="array" ref="Q136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364">
        <v>99</v>
      </c>
      <c r="S1364" t="str" cm="1">
        <f t="array" ref="S136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364">
        <v>55</v>
      </c>
      <c r="U1364" t="str" cm="1">
        <f t="array" ref="U136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C</v>
      </c>
      <c r="V1364">
        <v>68</v>
      </c>
      <c r="W1364" t="str" cm="1">
        <f t="array" ref="W136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364">
        <v>73</v>
      </c>
      <c r="Y1364" t="str" cm="1">
        <f t="array" ref="Y136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364">
        <f>SUM(Table1[[#This Row],[Math 
Score]],Table1[[#This Row],[History 
Score]],Table1[[#This Row],[Physics 
Score]],Table1[[#This Row],[Chemistry 
Score]],Table1[[#This Row],[Biology 
Score]],Table1[[#This Row],[English 
Score]],Table1[[#This Row],[Geography 
Score]])</f>
        <v>529</v>
      </c>
      <c r="AA1364" s="3">
        <f>AVERAGE(Table1[[#This Row],[Math 
Score]],Table1[[#This Row],[History 
Score]],Table1[[#This Row],[Physics 
Score]],Table1[[#This Row],[Chemistry 
Score]],Table1[[#This Row],[Biology 
Score]],Table1[[#This Row],[English 
Score]],Table1[[#This Row],[Geography 
Score]])</f>
        <v>75.571428571428569</v>
      </c>
      <c r="AB136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364">
        <f t="shared" si="21"/>
        <v>1664</v>
      </c>
      <c r="AD1364" t="str">
        <f>_xlfn.IFS(Table1[[#This Row],[Absence 
Days]]&lt;3,"Excellent",Table1[[#This Row],[Absence 
Days]]&lt;=6,"Good",Table1[[#This Row],[Absence 
Days]]&gt;6,"Poor")</f>
        <v>Excellent</v>
      </c>
    </row>
    <row r="1365" spans="1:30" x14ac:dyDescent="0.35">
      <c r="A1365">
        <v>1364</v>
      </c>
      <c r="B1365" s="2" t="s">
        <v>237</v>
      </c>
      <c r="C1365" t="s">
        <v>95</v>
      </c>
      <c r="D1365" t="str">
        <f>_xlfn.TEXTJOIN(" ",TRUE,Table1[[#This Row],[First 
Name]:[Last 
Name]])</f>
        <v>Stephanie Jordan</v>
      </c>
      <c r="E1365" t="s">
        <v>2475</v>
      </c>
      <c r="F1365" t="s">
        <v>3245</v>
      </c>
      <c r="G1365" t="str">
        <f ca="1">PROPER(Table1[[#This Row],[Part Time 
Job]])</f>
        <v>False</v>
      </c>
      <c r="H1365" s="3">
        <v>10</v>
      </c>
      <c r="I1365" t="str">
        <f ca="1">PROPER(Table1[[#This Row],[Extracurricular 
Activities]])</f>
        <v>False</v>
      </c>
      <c r="J1365">
        <v>1</v>
      </c>
      <c r="K1365" t="s">
        <v>3119</v>
      </c>
      <c r="L1365">
        <v>67</v>
      </c>
      <c r="M1365" s="12" t="str" cm="1">
        <f t="array" ref="M1365">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365">
        <v>63</v>
      </c>
      <c r="O1365" s="13" t="str" cm="1">
        <f t="array" ref="O136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365">
        <v>65</v>
      </c>
      <c r="Q1365" s="13" t="str" cm="1">
        <f t="array" ref="Q136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365">
        <v>95</v>
      </c>
      <c r="S1365" t="str" cm="1">
        <f t="array" ref="S136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365">
        <v>52</v>
      </c>
      <c r="U1365" t="str" cm="1">
        <f t="array" ref="U136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C</v>
      </c>
      <c r="V1365">
        <v>84</v>
      </c>
      <c r="W1365" t="str" cm="1">
        <f t="array" ref="W136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365">
        <v>77</v>
      </c>
      <c r="Y1365" t="str" cm="1">
        <f t="array" ref="Y136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365">
        <f>SUM(Table1[[#This Row],[Math 
Score]],Table1[[#This Row],[History 
Score]],Table1[[#This Row],[Physics 
Score]],Table1[[#This Row],[Chemistry 
Score]],Table1[[#This Row],[Biology 
Score]],Table1[[#This Row],[English 
Score]],Table1[[#This Row],[Geography 
Score]])</f>
        <v>503</v>
      </c>
      <c r="AA1365" s="3">
        <f>AVERAGE(Table1[[#This Row],[Math 
Score]],Table1[[#This Row],[History 
Score]],Table1[[#This Row],[Physics 
Score]],Table1[[#This Row],[Chemistry 
Score]],Table1[[#This Row],[Biology 
Score]],Table1[[#This Row],[English 
Score]],Table1[[#This Row],[Geography 
Score]])</f>
        <v>71.857142857142861</v>
      </c>
      <c r="AB136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365">
        <f t="shared" si="21"/>
        <v>1865</v>
      </c>
      <c r="AD1365" t="str">
        <f>_xlfn.IFS(Table1[[#This Row],[Absence 
Days]]&lt;3,"Excellent",Table1[[#This Row],[Absence 
Days]]&lt;=6,"Good",Table1[[#This Row],[Absence 
Days]]&gt;6,"Poor")</f>
        <v>Poor</v>
      </c>
    </row>
    <row r="1366" spans="1:30" x14ac:dyDescent="0.35">
      <c r="A1366">
        <v>1365</v>
      </c>
      <c r="B1366" s="2" t="s">
        <v>149</v>
      </c>
      <c r="C1366" t="s">
        <v>1003</v>
      </c>
      <c r="D1366" t="str">
        <f>_xlfn.TEXTJOIN(" ",TRUE,Table1[[#This Row],[First 
Name]:[Last 
Name]])</f>
        <v>Joseph Blake</v>
      </c>
      <c r="E1366" t="s">
        <v>2476</v>
      </c>
      <c r="F1366" t="s">
        <v>3244</v>
      </c>
      <c r="G1366" t="str">
        <f ca="1">PROPER(Table1[[#This Row],[Part Time 
Job]])</f>
        <v>False</v>
      </c>
      <c r="H1366" s="3">
        <v>4</v>
      </c>
      <c r="I1366" t="str">
        <f ca="1">PROPER(Table1[[#This Row],[Extracurricular 
Activities]])</f>
        <v>False</v>
      </c>
      <c r="J1366">
        <v>29</v>
      </c>
      <c r="K1366" t="s">
        <v>3113</v>
      </c>
      <c r="L1366">
        <v>86</v>
      </c>
      <c r="M1366" s="12" t="str" cm="1">
        <f t="array" ref="M136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366">
        <v>71</v>
      </c>
      <c r="O1366" s="13" t="str" cm="1">
        <f t="array" ref="O136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366">
        <v>86</v>
      </c>
      <c r="Q1366" s="13" t="str" cm="1">
        <f t="array" ref="Q136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366">
        <v>93</v>
      </c>
      <c r="S1366" t="str" cm="1">
        <f t="array" ref="S136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366">
        <v>99</v>
      </c>
      <c r="U1366" t="str" cm="1">
        <f t="array" ref="U136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366">
        <v>92</v>
      </c>
      <c r="W1366" t="str" cm="1">
        <f t="array" ref="W136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366">
        <v>77</v>
      </c>
      <c r="Y1366" t="str" cm="1">
        <f t="array" ref="Y136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366">
        <f>SUM(Table1[[#This Row],[Math 
Score]],Table1[[#This Row],[History 
Score]],Table1[[#This Row],[Physics 
Score]],Table1[[#This Row],[Chemistry 
Score]],Table1[[#This Row],[Biology 
Score]],Table1[[#This Row],[English 
Score]],Table1[[#This Row],[Geography 
Score]])</f>
        <v>604</v>
      </c>
      <c r="AA1366" s="3">
        <f>AVERAGE(Table1[[#This Row],[Math 
Score]],Table1[[#This Row],[History 
Score]],Table1[[#This Row],[Physics 
Score]],Table1[[#This Row],[Chemistry 
Score]],Table1[[#This Row],[Biology 
Score]],Table1[[#This Row],[English 
Score]],Table1[[#This Row],[Geography 
Score]])</f>
        <v>86.285714285714292</v>
      </c>
      <c r="AB136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366">
        <f t="shared" si="21"/>
        <v>353</v>
      </c>
      <c r="AD1366" t="str">
        <f>_xlfn.IFS(Table1[[#This Row],[Absence 
Days]]&lt;3,"Excellent",Table1[[#This Row],[Absence 
Days]]&lt;=6,"Good",Table1[[#This Row],[Absence 
Days]]&gt;6,"Poor")</f>
        <v>Good</v>
      </c>
    </row>
    <row r="1367" spans="1:30" x14ac:dyDescent="0.35">
      <c r="A1367">
        <v>1366</v>
      </c>
      <c r="B1367" s="2" t="s">
        <v>139</v>
      </c>
      <c r="C1367" t="s">
        <v>1004</v>
      </c>
      <c r="D1367" t="str">
        <f>_xlfn.TEXTJOIN(" ",TRUE,Table1[[#This Row],[First 
Name]:[Last 
Name]])</f>
        <v>Christina Velasquez</v>
      </c>
      <c r="E1367" t="s">
        <v>2477</v>
      </c>
      <c r="F1367" t="s">
        <v>3245</v>
      </c>
      <c r="G1367" t="str">
        <f ca="1">PROPER(Table1[[#This Row],[Part Time 
Job]])</f>
        <v>False</v>
      </c>
      <c r="H1367" s="3">
        <v>1</v>
      </c>
      <c r="I1367" t="str">
        <f ca="1">PROPER(Table1[[#This Row],[Extracurricular 
Activities]])</f>
        <v>False</v>
      </c>
      <c r="J1367">
        <v>33</v>
      </c>
      <c r="K1367" t="s">
        <v>3112</v>
      </c>
      <c r="L1367">
        <v>94</v>
      </c>
      <c r="M1367" s="12" t="str" cm="1">
        <f t="array" ref="M136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367">
        <v>85</v>
      </c>
      <c r="O1367" s="13" t="str" cm="1">
        <f t="array" ref="O136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367">
        <v>78</v>
      </c>
      <c r="Q1367" s="13" t="str" cm="1">
        <f t="array" ref="Q136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367">
        <v>66</v>
      </c>
      <c r="S1367" t="str" cm="1">
        <f t="array" ref="S136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367">
        <v>95</v>
      </c>
      <c r="U1367" t="str" cm="1">
        <f t="array" ref="U136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367">
        <v>87</v>
      </c>
      <c r="W1367" t="str" cm="1">
        <f t="array" ref="W136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367">
        <v>95</v>
      </c>
      <c r="Y1367" t="str" cm="1">
        <f t="array" ref="Y136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367">
        <f>SUM(Table1[[#This Row],[Math 
Score]],Table1[[#This Row],[History 
Score]],Table1[[#This Row],[Physics 
Score]],Table1[[#This Row],[Chemistry 
Score]],Table1[[#This Row],[Biology 
Score]],Table1[[#This Row],[English 
Score]],Table1[[#This Row],[Geography 
Score]])</f>
        <v>600</v>
      </c>
      <c r="AA1367" s="3">
        <f>AVERAGE(Table1[[#This Row],[Math 
Score]],Table1[[#This Row],[History 
Score]],Table1[[#This Row],[Physics 
Score]],Table1[[#This Row],[Chemistry 
Score]],Table1[[#This Row],[Biology 
Score]],Table1[[#This Row],[English 
Score]],Table1[[#This Row],[Geography 
Score]])</f>
        <v>85.714285714285708</v>
      </c>
      <c r="AB136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367">
        <f t="shared" si="21"/>
        <v>406</v>
      </c>
      <c r="AD1367" t="str">
        <f>_xlfn.IFS(Table1[[#This Row],[Absence 
Days]]&lt;3,"Excellent",Table1[[#This Row],[Absence 
Days]]&lt;=6,"Good",Table1[[#This Row],[Absence 
Days]]&gt;6,"Poor")</f>
        <v>Excellent</v>
      </c>
    </row>
    <row r="1368" spans="1:30" x14ac:dyDescent="0.35">
      <c r="A1368">
        <v>1367</v>
      </c>
      <c r="B1368" s="2" t="s">
        <v>80</v>
      </c>
      <c r="C1368" t="s">
        <v>854</v>
      </c>
      <c r="D1368" t="str">
        <f>_xlfn.TEXTJOIN(" ",TRUE,Table1[[#This Row],[First 
Name]:[Last 
Name]])</f>
        <v>Thomas Calderon</v>
      </c>
      <c r="E1368" t="s">
        <v>2478</v>
      </c>
      <c r="F1368" t="s">
        <v>3244</v>
      </c>
      <c r="G1368" t="str">
        <f ca="1">PROPER(Table1[[#This Row],[Part Time 
Job]])</f>
        <v>False</v>
      </c>
      <c r="H1368" s="3">
        <v>1</v>
      </c>
      <c r="I1368" t="str">
        <f ca="1">PROPER(Table1[[#This Row],[Extracurricular 
Activities]])</f>
        <v>False</v>
      </c>
      <c r="J1368">
        <v>18</v>
      </c>
      <c r="K1368" t="s">
        <v>3122</v>
      </c>
      <c r="L1368">
        <v>83</v>
      </c>
      <c r="M1368" s="12" t="str" cm="1">
        <f t="array" ref="M136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368">
        <v>96</v>
      </c>
      <c r="O1368" s="13" t="str" cm="1">
        <f t="array" ref="O136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368">
        <v>72</v>
      </c>
      <c r="Q1368" s="13" t="str" cm="1">
        <f t="array" ref="Q136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368">
        <v>81</v>
      </c>
      <c r="S1368" t="str" cm="1">
        <f t="array" ref="S136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368">
        <v>86</v>
      </c>
      <c r="U1368" t="str" cm="1">
        <f t="array" ref="U136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368">
        <v>93</v>
      </c>
      <c r="W1368" t="str" cm="1">
        <f t="array" ref="W136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368">
        <v>75</v>
      </c>
      <c r="Y1368" t="str" cm="1">
        <f t="array" ref="Y136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368">
        <f>SUM(Table1[[#This Row],[Math 
Score]],Table1[[#This Row],[History 
Score]],Table1[[#This Row],[Physics 
Score]],Table1[[#This Row],[Chemistry 
Score]],Table1[[#This Row],[Biology 
Score]],Table1[[#This Row],[English 
Score]],Table1[[#This Row],[Geography 
Score]])</f>
        <v>586</v>
      </c>
      <c r="AA1368" s="3">
        <f>AVERAGE(Table1[[#This Row],[Math 
Score]],Table1[[#This Row],[History 
Score]],Table1[[#This Row],[Physics 
Score]],Table1[[#This Row],[Chemistry 
Score]],Table1[[#This Row],[Biology 
Score]],Table1[[#This Row],[English 
Score]],Table1[[#This Row],[Geography 
Score]])</f>
        <v>83.714285714285708</v>
      </c>
      <c r="AB136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368">
        <f t="shared" si="21"/>
        <v>601</v>
      </c>
      <c r="AD1368" t="str">
        <f>_xlfn.IFS(Table1[[#This Row],[Absence 
Days]]&lt;3,"Excellent",Table1[[#This Row],[Absence 
Days]]&lt;=6,"Good",Table1[[#This Row],[Absence 
Days]]&gt;6,"Poor")</f>
        <v>Excellent</v>
      </c>
    </row>
    <row r="1369" spans="1:30" x14ac:dyDescent="0.35">
      <c r="A1369">
        <v>1368</v>
      </c>
      <c r="B1369" s="2" t="s">
        <v>172</v>
      </c>
      <c r="C1369" t="s">
        <v>326</v>
      </c>
      <c r="D1369" t="str">
        <f>_xlfn.TEXTJOIN(" ",TRUE,Table1[[#This Row],[First 
Name]:[Last 
Name]])</f>
        <v>Jorge Lee</v>
      </c>
      <c r="E1369" t="s">
        <v>2479</v>
      </c>
      <c r="F1369" t="s">
        <v>3244</v>
      </c>
      <c r="G1369" t="str">
        <f ca="1">PROPER(Table1[[#This Row],[Part Time 
Job]])</f>
        <v>False</v>
      </c>
      <c r="H1369" s="3">
        <v>2</v>
      </c>
      <c r="I1369" t="str">
        <f ca="1">PROPER(Table1[[#This Row],[Extracurricular 
Activities]])</f>
        <v>False</v>
      </c>
      <c r="J1369">
        <v>11</v>
      </c>
      <c r="K1369" t="s">
        <v>3116</v>
      </c>
      <c r="L1369">
        <v>98</v>
      </c>
      <c r="M1369" s="12" t="str" cm="1">
        <f t="array" ref="M136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369">
        <v>77</v>
      </c>
      <c r="O1369" s="13" t="str" cm="1">
        <f t="array" ref="O136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369">
        <v>91</v>
      </c>
      <c r="Q1369" s="13" t="str" cm="1">
        <f t="array" ref="Q136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369">
        <v>88</v>
      </c>
      <c r="S1369" t="str" cm="1">
        <f t="array" ref="S136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369">
        <v>87</v>
      </c>
      <c r="U1369" t="str" cm="1">
        <f t="array" ref="U136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369">
        <v>76</v>
      </c>
      <c r="W1369" t="str" cm="1">
        <f t="array" ref="W136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369">
        <v>68</v>
      </c>
      <c r="Y1369" t="str" cm="1">
        <f t="array" ref="Y136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369">
        <f>SUM(Table1[[#This Row],[Math 
Score]],Table1[[#This Row],[History 
Score]],Table1[[#This Row],[Physics 
Score]],Table1[[#This Row],[Chemistry 
Score]],Table1[[#This Row],[Biology 
Score]],Table1[[#This Row],[English 
Score]],Table1[[#This Row],[Geography 
Score]])</f>
        <v>585</v>
      </c>
      <c r="AA1369" s="3">
        <f>AVERAGE(Table1[[#This Row],[Math 
Score]],Table1[[#This Row],[History 
Score]],Table1[[#This Row],[Physics 
Score]],Table1[[#This Row],[Chemistry 
Score]],Table1[[#This Row],[Biology 
Score]],Table1[[#This Row],[English 
Score]],Table1[[#This Row],[Geography 
Score]])</f>
        <v>83.571428571428569</v>
      </c>
      <c r="AB136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369">
        <f t="shared" si="21"/>
        <v>615</v>
      </c>
      <c r="AD1369" t="str">
        <f>_xlfn.IFS(Table1[[#This Row],[Absence 
Days]]&lt;3,"Excellent",Table1[[#This Row],[Absence 
Days]]&lt;=6,"Good",Table1[[#This Row],[Absence 
Days]]&gt;6,"Poor")</f>
        <v>Excellent</v>
      </c>
    </row>
    <row r="1370" spans="1:30" x14ac:dyDescent="0.35">
      <c r="A1370">
        <v>1369</v>
      </c>
      <c r="B1370" s="2" t="s">
        <v>397</v>
      </c>
      <c r="C1370" t="s">
        <v>563</v>
      </c>
      <c r="D1370" t="str">
        <f>_xlfn.TEXTJOIN(" ",TRUE,Table1[[#This Row],[First 
Name]:[Last 
Name]])</f>
        <v>Jasmin Phillips</v>
      </c>
      <c r="E1370" t="s">
        <v>2480</v>
      </c>
      <c r="F1370" t="s">
        <v>3245</v>
      </c>
      <c r="G1370" t="str">
        <f ca="1">PROPER(Table1[[#This Row],[Part Time 
Job]])</f>
        <v>True</v>
      </c>
      <c r="H1370" s="3">
        <v>5</v>
      </c>
      <c r="I1370" t="str">
        <f ca="1">PROPER(Table1[[#This Row],[Extracurricular 
Activities]])</f>
        <v>False</v>
      </c>
      <c r="J1370">
        <v>3</v>
      </c>
      <c r="K1370" t="s">
        <v>3119</v>
      </c>
      <c r="L1370">
        <v>46</v>
      </c>
      <c r="M1370" s="12" t="str" cm="1">
        <f t="array" ref="M1370">_xlfn.IFS(Table1[[#This Row],[Math 
Score]]&gt;=90,"A+",Table1[[#This Row],[Math 
Score]]&gt;=80,"A", Table1[[#This Row],[Math 
Score]]&gt;=75,"A-",Table1[[#This Row],[Math 
Score]]&gt;=70,"B+",Table1[[#This Row],[Math 
Score]]&gt;=65,"B",Table1[[#This Row],[Math 
Score]]&gt;=60,"B-",Table1[[#This Row],[Math 
Score]]&gt;=50,"C",Table1[[#This Row],[Math 
Score]]&gt;=40,"D",Table1[[#This Row],[Math 
Score]]&lt;40,"F")</f>
        <v>D</v>
      </c>
      <c r="N1370">
        <v>63</v>
      </c>
      <c r="O1370" s="13" t="str" cm="1">
        <f t="array" ref="O137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370">
        <v>60</v>
      </c>
      <c r="Q1370" s="13" t="str" cm="1">
        <f t="array" ref="Q137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370">
        <v>61</v>
      </c>
      <c r="S1370" t="str" cm="1">
        <f t="array" ref="S137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370">
        <v>66</v>
      </c>
      <c r="U1370" t="str" cm="1">
        <f t="array" ref="U137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370">
        <v>91</v>
      </c>
      <c r="W1370" t="str" cm="1">
        <f t="array" ref="W137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370">
        <v>97</v>
      </c>
      <c r="Y1370" t="str" cm="1">
        <f t="array" ref="Y137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370">
        <f>SUM(Table1[[#This Row],[Math 
Score]],Table1[[#This Row],[History 
Score]],Table1[[#This Row],[Physics 
Score]],Table1[[#This Row],[Chemistry 
Score]],Table1[[#This Row],[Biology 
Score]],Table1[[#This Row],[English 
Score]],Table1[[#This Row],[Geography 
Score]])</f>
        <v>484</v>
      </c>
      <c r="AA1370" s="3">
        <f>AVERAGE(Table1[[#This Row],[Math 
Score]],Table1[[#This Row],[History 
Score]],Table1[[#This Row],[Physics 
Score]],Table1[[#This Row],[Chemistry 
Score]],Table1[[#This Row],[Biology 
Score]],Table1[[#This Row],[English 
Score]],Table1[[#This Row],[Geography 
Score]])</f>
        <v>69.142857142857139</v>
      </c>
      <c r="AB137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370">
        <f t="shared" si="21"/>
        <v>1925</v>
      </c>
      <c r="AD1370" t="str">
        <f>_xlfn.IFS(Table1[[#This Row],[Absence 
Days]]&lt;3,"Excellent",Table1[[#This Row],[Absence 
Days]]&lt;=6,"Good",Table1[[#This Row],[Absence 
Days]]&gt;6,"Poor")</f>
        <v>Good</v>
      </c>
    </row>
    <row r="1371" spans="1:30" x14ac:dyDescent="0.35">
      <c r="A1371">
        <v>1370</v>
      </c>
      <c r="B1371" s="2" t="s">
        <v>161</v>
      </c>
      <c r="C1371" t="s">
        <v>562</v>
      </c>
      <c r="D1371" t="str">
        <f>_xlfn.TEXTJOIN(" ",TRUE,Table1[[#This Row],[First 
Name]:[Last 
Name]])</f>
        <v>Vincent Wilson</v>
      </c>
      <c r="E1371" t="s">
        <v>2481</v>
      </c>
      <c r="F1371" t="s">
        <v>3244</v>
      </c>
      <c r="G1371" t="str">
        <f ca="1">PROPER(Table1[[#This Row],[Part Time 
Job]])</f>
        <v>False</v>
      </c>
      <c r="H1371" s="3">
        <v>2</v>
      </c>
      <c r="I1371" t="str">
        <f ca="1">PROPER(Table1[[#This Row],[Extracurricular 
Activities]])</f>
        <v>False</v>
      </c>
      <c r="J1371">
        <v>19</v>
      </c>
      <c r="K1371" t="s">
        <v>3117</v>
      </c>
      <c r="L1371">
        <v>95</v>
      </c>
      <c r="M1371" s="12" t="str" cm="1">
        <f t="array" ref="M137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371">
        <v>92</v>
      </c>
      <c r="O1371" s="13" t="str" cm="1">
        <f t="array" ref="O137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371">
        <v>73</v>
      </c>
      <c r="Q1371" s="13" t="str" cm="1">
        <f t="array" ref="Q137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371">
        <v>94</v>
      </c>
      <c r="S1371" t="str" cm="1">
        <f t="array" ref="S137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371">
        <v>73</v>
      </c>
      <c r="U1371" t="str" cm="1">
        <f t="array" ref="U137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371">
        <v>70</v>
      </c>
      <c r="W1371" t="str" cm="1">
        <f t="array" ref="W137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371">
        <v>94</v>
      </c>
      <c r="Y1371" t="str" cm="1">
        <f t="array" ref="Y137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371">
        <f>SUM(Table1[[#This Row],[Math 
Score]],Table1[[#This Row],[History 
Score]],Table1[[#This Row],[Physics 
Score]],Table1[[#This Row],[Chemistry 
Score]],Table1[[#This Row],[Biology 
Score]],Table1[[#This Row],[English 
Score]],Table1[[#This Row],[Geography 
Score]])</f>
        <v>591</v>
      </c>
      <c r="AA1371" s="3">
        <f>AVERAGE(Table1[[#This Row],[Math 
Score]],Table1[[#This Row],[History 
Score]],Table1[[#This Row],[Physics 
Score]],Table1[[#This Row],[Chemistry 
Score]],Table1[[#This Row],[Biology 
Score]],Table1[[#This Row],[English 
Score]],Table1[[#This Row],[Geography 
Score]])</f>
        <v>84.428571428571431</v>
      </c>
      <c r="AB137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371">
        <f t="shared" si="21"/>
        <v>515</v>
      </c>
      <c r="AD1371" t="str">
        <f>_xlfn.IFS(Table1[[#This Row],[Absence 
Days]]&lt;3,"Excellent",Table1[[#This Row],[Absence 
Days]]&lt;=6,"Good",Table1[[#This Row],[Absence 
Days]]&gt;6,"Poor")</f>
        <v>Excellent</v>
      </c>
    </row>
    <row r="1372" spans="1:30" x14ac:dyDescent="0.35">
      <c r="A1372">
        <v>1371</v>
      </c>
      <c r="B1372" s="2" t="s">
        <v>235</v>
      </c>
      <c r="C1372" t="s">
        <v>33</v>
      </c>
      <c r="D1372" t="str">
        <f>_xlfn.TEXTJOIN(" ",TRUE,Table1[[#This Row],[First 
Name]:[Last 
Name]])</f>
        <v>Richard Ryan</v>
      </c>
      <c r="E1372" t="s">
        <v>2482</v>
      </c>
      <c r="F1372" t="s">
        <v>3244</v>
      </c>
      <c r="G1372" t="str">
        <f ca="1">PROPER(Table1[[#This Row],[Part Time 
Job]])</f>
        <v>False</v>
      </c>
      <c r="H1372" s="3">
        <v>1</v>
      </c>
      <c r="I1372" t="str">
        <f ca="1">PROPER(Table1[[#This Row],[Extracurricular 
Activities]])</f>
        <v>False</v>
      </c>
      <c r="J1372">
        <v>31</v>
      </c>
      <c r="K1372" t="s">
        <v>3117</v>
      </c>
      <c r="L1372">
        <v>88</v>
      </c>
      <c r="M1372" s="12" t="str" cm="1">
        <f t="array" ref="M137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372">
        <v>68</v>
      </c>
      <c r="O1372" s="13" t="str" cm="1">
        <f t="array" ref="O137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372">
        <v>81</v>
      </c>
      <c r="Q1372" s="13" t="str" cm="1">
        <f t="array" ref="Q137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372">
        <v>68</v>
      </c>
      <c r="S1372" t="str" cm="1">
        <f t="array" ref="S137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372">
        <v>73</v>
      </c>
      <c r="U1372" t="str" cm="1">
        <f t="array" ref="U137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372">
        <v>61</v>
      </c>
      <c r="W1372" t="str" cm="1">
        <f t="array" ref="W137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372">
        <v>93</v>
      </c>
      <c r="Y1372" t="str" cm="1">
        <f t="array" ref="Y137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372">
        <f>SUM(Table1[[#This Row],[Math 
Score]],Table1[[#This Row],[History 
Score]],Table1[[#This Row],[Physics 
Score]],Table1[[#This Row],[Chemistry 
Score]],Table1[[#This Row],[Biology 
Score]],Table1[[#This Row],[English 
Score]],Table1[[#This Row],[Geography 
Score]])</f>
        <v>532</v>
      </c>
      <c r="AA1372" s="3">
        <f>AVERAGE(Table1[[#This Row],[Math 
Score]],Table1[[#This Row],[History 
Score]],Table1[[#This Row],[Physics 
Score]],Table1[[#This Row],[Chemistry 
Score]],Table1[[#This Row],[Biology 
Score]],Table1[[#This Row],[English 
Score]],Table1[[#This Row],[Geography 
Score]])</f>
        <v>76</v>
      </c>
      <c r="AB137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372">
        <f t="shared" si="21"/>
        <v>1622</v>
      </c>
      <c r="AD1372" t="str">
        <f>_xlfn.IFS(Table1[[#This Row],[Absence 
Days]]&lt;3,"Excellent",Table1[[#This Row],[Absence 
Days]]&lt;=6,"Good",Table1[[#This Row],[Absence 
Days]]&gt;6,"Poor")</f>
        <v>Excellent</v>
      </c>
    </row>
    <row r="1373" spans="1:30" x14ac:dyDescent="0.35">
      <c r="A1373">
        <v>1372</v>
      </c>
      <c r="B1373" s="2" t="s">
        <v>308</v>
      </c>
      <c r="C1373" t="s">
        <v>516</v>
      </c>
      <c r="D1373" t="str">
        <f>_xlfn.TEXTJOIN(" ",TRUE,Table1[[#This Row],[First 
Name]:[Last 
Name]])</f>
        <v>Jesse Garcia</v>
      </c>
      <c r="E1373" t="s">
        <v>2483</v>
      </c>
      <c r="F1373" t="s">
        <v>3244</v>
      </c>
      <c r="G1373" t="str">
        <f ca="1">PROPER(Table1[[#This Row],[Part Time 
Job]])</f>
        <v>False</v>
      </c>
      <c r="H1373" s="3">
        <v>5</v>
      </c>
      <c r="I1373" t="str">
        <f ca="1">PROPER(Table1[[#This Row],[Extracurricular 
Activities]])</f>
        <v>True</v>
      </c>
      <c r="J1373">
        <v>28</v>
      </c>
      <c r="K1373" t="s">
        <v>3127</v>
      </c>
      <c r="L1373">
        <v>90</v>
      </c>
      <c r="M1373" s="12" t="str" cm="1">
        <f t="array" ref="M137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373">
        <v>73</v>
      </c>
      <c r="O1373" s="13" t="str" cm="1">
        <f t="array" ref="O137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373">
        <v>78</v>
      </c>
      <c r="Q1373" s="13" t="str" cm="1">
        <f t="array" ref="Q137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373">
        <v>72</v>
      </c>
      <c r="S1373" t="str" cm="1">
        <f t="array" ref="S137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373">
        <v>63</v>
      </c>
      <c r="U1373" t="str" cm="1">
        <f t="array" ref="U137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373">
        <v>88</v>
      </c>
      <c r="W1373" t="str" cm="1">
        <f t="array" ref="W137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373">
        <v>72</v>
      </c>
      <c r="Y1373" t="str" cm="1">
        <f t="array" ref="Y137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373">
        <f>SUM(Table1[[#This Row],[Math 
Score]],Table1[[#This Row],[History 
Score]],Table1[[#This Row],[Physics 
Score]],Table1[[#This Row],[Chemistry 
Score]],Table1[[#This Row],[Biology 
Score]],Table1[[#This Row],[English 
Score]],Table1[[#This Row],[Geography 
Score]])</f>
        <v>536</v>
      </c>
      <c r="AA1373" s="3">
        <f>AVERAGE(Table1[[#This Row],[Math 
Score]],Table1[[#This Row],[History 
Score]],Table1[[#This Row],[Physics 
Score]],Table1[[#This Row],[Chemistry 
Score]],Table1[[#This Row],[Biology 
Score]],Table1[[#This Row],[English 
Score]],Table1[[#This Row],[Geography 
Score]])</f>
        <v>76.571428571428569</v>
      </c>
      <c r="AB137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373">
        <f t="shared" si="21"/>
        <v>1567</v>
      </c>
      <c r="AD1373" t="str">
        <f>_xlfn.IFS(Table1[[#This Row],[Absence 
Days]]&lt;3,"Excellent",Table1[[#This Row],[Absence 
Days]]&lt;=6,"Good",Table1[[#This Row],[Absence 
Days]]&gt;6,"Poor")</f>
        <v>Good</v>
      </c>
    </row>
    <row r="1374" spans="1:30" x14ac:dyDescent="0.35">
      <c r="A1374">
        <v>1373</v>
      </c>
      <c r="B1374" s="2" t="s">
        <v>71</v>
      </c>
      <c r="C1374" t="s">
        <v>956</v>
      </c>
      <c r="D1374" t="str">
        <f>_xlfn.TEXTJOIN(" ",TRUE,Table1[[#This Row],[First 
Name]:[Last 
Name]])</f>
        <v>James Tate</v>
      </c>
      <c r="E1374" t="s">
        <v>2484</v>
      </c>
      <c r="F1374" t="s">
        <v>3244</v>
      </c>
      <c r="G1374" t="str">
        <f ca="1">PROPER(Table1[[#This Row],[Part Time 
Job]])</f>
        <v>False</v>
      </c>
      <c r="H1374" s="3">
        <v>10</v>
      </c>
      <c r="I1374" t="str">
        <f ca="1">PROPER(Table1[[#This Row],[Extracurricular 
Activities]])</f>
        <v>False</v>
      </c>
      <c r="J1374">
        <v>11</v>
      </c>
      <c r="K1374" t="s">
        <v>3125</v>
      </c>
      <c r="L1374">
        <v>100</v>
      </c>
      <c r="M1374" s="12" t="str" cm="1">
        <f t="array" ref="M137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374">
        <v>60</v>
      </c>
      <c r="O1374" s="13" t="str" cm="1">
        <f t="array" ref="O137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374">
        <v>87</v>
      </c>
      <c r="Q1374" s="13" t="str" cm="1">
        <f t="array" ref="Q137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374">
        <v>60</v>
      </c>
      <c r="S1374" t="str" cm="1">
        <f t="array" ref="S137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374">
        <v>86</v>
      </c>
      <c r="U1374" t="str" cm="1">
        <f t="array" ref="U137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374">
        <v>93</v>
      </c>
      <c r="W1374" t="str" cm="1">
        <f t="array" ref="W137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374">
        <v>75</v>
      </c>
      <c r="Y1374" t="str" cm="1">
        <f t="array" ref="Y137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374">
        <f>SUM(Table1[[#This Row],[Math 
Score]],Table1[[#This Row],[History 
Score]],Table1[[#This Row],[Physics 
Score]],Table1[[#This Row],[Chemistry 
Score]],Table1[[#This Row],[Biology 
Score]],Table1[[#This Row],[English 
Score]],Table1[[#This Row],[Geography 
Score]])</f>
        <v>561</v>
      </c>
      <c r="AA1374" s="3">
        <f>AVERAGE(Table1[[#This Row],[Math 
Score]],Table1[[#This Row],[History 
Score]],Table1[[#This Row],[Physics 
Score]],Table1[[#This Row],[Chemistry 
Score]],Table1[[#This Row],[Biology 
Score]],Table1[[#This Row],[English 
Score]],Table1[[#This Row],[Geography 
Score]])</f>
        <v>80.142857142857139</v>
      </c>
      <c r="AB137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374">
        <f t="shared" si="21"/>
        <v>1120</v>
      </c>
      <c r="AD1374" t="str">
        <f>_xlfn.IFS(Table1[[#This Row],[Absence 
Days]]&lt;3,"Excellent",Table1[[#This Row],[Absence 
Days]]&lt;=6,"Good",Table1[[#This Row],[Absence 
Days]]&gt;6,"Poor")</f>
        <v>Poor</v>
      </c>
    </row>
    <row r="1375" spans="1:30" x14ac:dyDescent="0.35">
      <c r="A1375">
        <v>1374</v>
      </c>
      <c r="B1375" s="2" t="s">
        <v>70</v>
      </c>
      <c r="C1375" t="s">
        <v>501</v>
      </c>
      <c r="D1375" t="str">
        <f>_xlfn.TEXTJOIN(" ",TRUE,Table1[[#This Row],[First 
Name]:[Last 
Name]])</f>
        <v>Charles May</v>
      </c>
      <c r="E1375" t="s">
        <v>2485</v>
      </c>
      <c r="F1375" t="s">
        <v>3244</v>
      </c>
      <c r="G1375" t="str">
        <f ca="1">PROPER(Table1[[#This Row],[Part Time 
Job]])</f>
        <v>False</v>
      </c>
      <c r="H1375" s="3">
        <v>1</v>
      </c>
      <c r="I1375" t="str">
        <f ca="1">PROPER(Table1[[#This Row],[Extracurricular 
Activities]])</f>
        <v>False</v>
      </c>
      <c r="J1375">
        <v>16</v>
      </c>
      <c r="K1375" t="s">
        <v>3124</v>
      </c>
      <c r="L1375">
        <v>76</v>
      </c>
      <c r="M1375" s="12" t="str" cm="1">
        <f t="array" ref="M137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375">
        <v>76</v>
      </c>
      <c r="O1375" s="13" t="str" cm="1">
        <f t="array" ref="O137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375">
        <v>92</v>
      </c>
      <c r="Q1375" s="13" t="str" cm="1">
        <f t="array" ref="Q137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375">
        <v>86</v>
      </c>
      <c r="S1375" t="str" cm="1">
        <f t="array" ref="S137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375">
        <v>79</v>
      </c>
      <c r="U1375" t="str" cm="1">
        <f t="array" ref="U137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375">
        <v>85</v>
      </c>
      <c r="W1375" t="str" cm="1">
        <f t="array" ref="W137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375">
        <v>78</v>
      </c>
      <c r="Y1375" t="str" cm="1">
        <f t="array" ref="Y137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375">
        <f>SUM(Table1[[#This Row],[Math 
Score]],Table1[[#This Row],[History 
Score]],Table1[[#This Row],[Physics 
Score]],Table1[[#This Row],[Chemistry 
Score]],Table1[[#This Row],[Biology 
Score]],Table1[[#This Row],[English 
Score]],Table1[[#This Row],[Geography 
Score]])</f>
        <v>572</v>
      </c>
      <c r="AA1375" s="3">
        <f>AVERAGE(Table1[[#This Row],[Math 
Score]],Table1[[#This Row],[History 
Score]],Table1[[#This Row],[Physics 
Score]],Table1[[#This Row],[Chemistry 
Score]],Table1[[#This Row],[Biology 
Score]],Table1[[#This Row],[English 
Score]],Table1[[#This Row],[Geography 
Score]])</f>
        <v>81.714285714285708</v>
      </c>
      <c r="AB137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375">
        <f t="shared" si="21"/>
        <v>890</v>
      </c>
      <c r="AD1375" t="str">
        <f>_xlfn.IFS(Table1[[#This Row],[Absence 
Days]]&lt;3,"Excellent",Table1[[#This Row],[Absence 
Days]]&lt;=6,"Good",Table1[[#This Row],[Absence 
Days]]&gt;6,"Poor")</f>
        <v>Excellent</v>
      </c>
    </row>
    <row r="1376" spans="1:30" x14ac:dyDescent="0.35">
      <c r="A1376">
        <v>1375</v>
      </c>
      <c r="B1376" s="2" t="s">
        <v>285</v>
      </c>
      <c r="C1376" t="s">
        <v>326</v>
      </c>
      <c r="D1376" t="str">
        <f>_xlfn.TEXTJOIN(" ",TRUE,Table1[[#This Row],[First 
Name]:[Last 
Name]])</f>
        <v>Jeremiah Lee</v>
      </c>
      <c r="E1376" t="s">
        <v>2486</v>
      </c>
      <c r="F1376" t="s">
        <v>3244</v>
      </c>
      <c r="G1376" t="str">
        <f ca="1">PROPER(Table1[[#This Row],[Part Time 
Job]])</f>
        <v>False</v>
      </c>
      <c r="H1376" s="3">
        <v>3</v>
      </c>
      <c r="I1376" t="str">
        <f ca="1">PROPER(Table1[[#This Row],[Extracurricular 
Activities]])</f>
        <v>False</v>
      </c>
      <c r="J1376">
        <v>4</v>
      </c>
      <c r="K1376" t="s">
        <v>3115</v>
      </c>
      <c r="L1376">
        <v>73</v>
      </c>
      <c r="M1376" s="12" t="str" cm="1">
        <f t="array" ref="M1376">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376">
        <v>73</v>
      </c>
      <c r="O1376" s="13" t="str" cm="1">
        <f t="array" ref="O137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376">
        <v>81</v>
      </c>
      <c r="Q1376" s="13" t="str" cm="1">
        <f t="array" ref="Q137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376">
        <v>78</v>
      </c>
      <c r="S1376" t="str" cm="1">
        <f t="array" ref="S137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376">
        <v>82</v>
      </c>
      <c r="U1376" t="str" cm="1">
        <f t="array" ref="U137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376">
        <v>85</v>
      </c>
      <c r="W1376" t="str" cm="1">
        <f t="array" ref="W137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376">
        <v>66</v>
      </c>
      <c r="Y1376" t="str" cm="1">
        <f t="array" ref="Y137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376">
        <f>SUM(Table1[[#This Row],[Math 
Score]],Table1[[#This Row],[History 
Score]],Table1[[#This Row],[Physics 
Score]],Table1[[#This Row],[Chemistry 
Score]],Table1[[#This Row],[Biology 
Score]],Table1[[#This Row],[English 
Score]],Table1[[#This Row],[Geography 
Score]])</f>
        <v>538</v>
      </c>
      <c r="AA1376" s="3">
        <f>AVERAGE(Table1[[#This Row],[Math 
Score]],Table1[[#This Row],[History 
Score]],Table1[[#This Row],[Physics 
Score]],Table1[[#This Row],[Chemistry 
Score]],Table1[[#This Row],[Biology 
Score]],Table1[[#This Row],[English 
Score]],Table1[[#This Row],[Geography 
Score]])</f>
        <v>76.857142857142861</v>
      </c>
      <c r="AB137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376">
        <f t="shared" si="21"/>
        <v>1537</v>
      </c>
      <c r="AD1376" t="str">
        <f>_xlfn.IFS(Table1[[#This Row],[Absence 
Days]]&lt;3,"Excellent",Table1[[#This Row],[Absence 
Days]]&lt;=6,"Good",Table1[[#This Row],[Absence 
Days]]&gt;6,"Poor")</f>
        <v>Good</v>
      </c>
    </row>
    <row r="1377" spans="1:30" x14ac:dyDescent="0.35">
      <c r="A1377">
        <v>1376</v>
      </c>
      <c r="B1377" s="2" t="s">
        <v>160</v>
      </c>
      <c r="C1377" t="s">
        <v>867</v>
      </c>
      <c r="D1377" t="str">
        <f>_xlfn.TEXTJOIN(" ",TRUE,Table1[[#This Row],[First 
Name]:[Last 
Name]])</f>
        <v>Debra Reynolds</v>
      </c>
      <c r="E1377" t="s">
        <v>2487</v>
      </c>
      <c r="F1377" t="s">
        <v>3245</v>
      </c>
      <c r="G1377" t="str">
        <f ca="1">PROPER(Table1[[#This Row],[Part Time 
Job]])</f>
        <v>False</v>
      </c>
      <c r="H1377" s="3">
        <v>1</v>
      </c>
      <c r="I1377" t="str">
        <f ca="1">PROPER(Table1[[#This Row],[Extracurricular 
Activities]])</f>
        <v>False</v>
      </c>
      <c r="J1377">
        <v>15</v>
      </c>
      <c r="K1377" t="s">
        <v>3121</v>
      </c>
      <c r="L1377">
        <v>96</v>
      </c>
      <c r="M1377" s="12" t="str" cm="1">
        <f t="array" ref="M137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377">
        <v>95</v>
      </c>
      <c r="O1377" s="13" t="str" cm="1">
        <f t="array" ref="O137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377">
        <v>67</v>
      </c>
      <c r="Q1377" s="13" t="str" cm="1">
        <f t="array" ref="Q137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377">
        <v>88</v>
      </c>
      <c r="S1377" t="str" cm="1">
        <f t="array" ref="S137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377">
        <v>68</v>
      </c>
      <c r="U1377" t="str" cm="1">
        <f t="array" ref="U137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377">
        <v>93</v>
      </c>
      <c r="W1377" t="str" cm="1">
        <f t="array" ref="W137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377">
        <v>75</v>
      </c>
      <c r="Y1377" t="str" cm="1">
        <f t="array" ref="Y137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377">
        <f>SUM(Table1[[#This Row],[Math 
Score]],Table1[[#This Row],[History 
Score]],Table1[[#This Row],[Physics 
Score]],Table1[[#This Row],[Chemistry 
Score]],Table1[[#This Row],[Biology 
Score]],Table1[[#This Row],[English 
Score]],Table1[[#This Row],[Geography 
Score]])</f>
        <v>582</v>
      </c>
      <c r="AA1377" s="3">
        <f>AVERAGE(Table1[[#This Row],[Math 
Score]],Table1[[#This Row],[History 
Score]],Table1[[#This Row],[Physics 
Score]],Table1[[#This Row],[Chemistry 
Score]],Table1[[#This Row],[Biology 
Score]],Table1[[#This Row],[English 
Score]],Table1[[#This Row],[Geography 
Score]])</f>
        <v>83.142857142857139</v>
      </c>
      <c r="AB137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377">
        <f t="shared" si="21"/>
        <v>670</v>
      </c>
      <c r="AD1377" t="str">
        <f>_xlfn.IFS(Table1[[#This Row],[Absence 
Days]]&lt;3,"Excellent",Table1[[#This Row],[Absence 
Days]]&lt;=6,"Good",Table1[[#This Row],[Absence 
Days]]&gt;6,"Poor")</f>
        <v>Excellent</v>
      </c>
    </row>
    <row r="1378" spans="1:30" x14ac:dyDescent="0.35">
      <c r="A1378">
        <v>1377</v>
      </c>
      <c r="B1378" s="2" t="s">
        <v>58</v>
      </c>
      <c r="C1378" t="s">
        <v>1005</v>
      </c>
      <c r="D1378" t="str">
        <f>_xlfn.TEXTJOIN(" ",TRUE,Table1[[#This Row],[First 
Name]:[Last 
Name]])</f>
        <v>Eric Doyle</v>
      </c>
      <c r="E1378" t="s">
        <v>2488</v>
      </c>
      <c r="F1378" t="s">
        <v>3244</v>
      </c>
      <c r="G1378" t="str">
        <f ca="1">PROPER(Table1[[#This Row],[Part Time 
Job]])</f>
        <v>False</v>
      </c>
      <c r="H1378" s="3">
        <v>4</v>
      </c>
      <c r="I1378" t="str">
        <f ca="1">PROPER(Table1[[#This Row],[Extracurricular 
Activities]])</f>
        <v>False</v>
      </c>
      <c r="J1378">
        <v>31</v>
      </c>
      <c r="K1378" t="s">
        <v>3122</v>
      </c>
      <c r="L1378">
        <v>85</v>
      </c>
      <c r="M1378" s="12" t="str" cm="1">
        <f t="array" ref="M137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378">
        <v>87</v>
      </c>
      <c r="O1378" s="13" t="str" cm="1">
        <f t="array" ref="O137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378">
        <v>99</v>
      </c>
      <c r="Q1378" s="13" t="str" cm="1">
        <f t="array" ref="Q137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378">
        <v>65</v>
      </c>
      <c r="S1378" t="str" cm="1">
        <f t="array" ref="S137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378">
        <v>66</v>
      </c>
      <c r="U1378" t="str" cm="1">
        <f t="array" ref="U137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378">
        <v>95</v>
      </c>
      <c r="W1378" t="str" cm="1">
        <f t="array" ref="W137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378">
        <v>77</v>
      </c>
      <c r="Y1378" t="str" cm="1">
        <f t="array" ref="Y137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378">
        <f>SUM(Table1[[#This Row],[Math 
Score]],Table1[[#This Row],[History 
Score]],Table1[[#This Row],[Physics 
Score]],Table1[[#This Row],[Chemistry 
Score]],Table1[[#This Row],[Biology 
Score]],Table1[[#This Row],[English 
Score]],Table1[[#This Row],[Geography 
Score]])</f>
        <v>574</v>
      </c>
      <c r="AA1378" s="3">
        <f>AVERAGE(Table1[[#This Row],[Math 
Score]],Table1[[#This Row],[History 
Score]],Table1[[#This Row],[Physics 
Score]],Table1[[#This Row],[Chemistry 
Score]],Table1[[#This Row],[Biology 
Score]],Table1[[#This Row],[English 
Score]],Table1[[#This Row],[Geography 
Score]])</f>
        <v>82</v>
      </c>
      <c r="AB137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378">
        <f t="shared" si="21"/>
        <v>832</v>
      </c>
      <c r="AD1378" t="str">
        <f>_xlfn.IFS(Table1[[#This Row],[Absence 
Days]]&lt;3,"Excellent",Table1[[#This Row],[Absence 
Days]]&lt;=6,"Good",Table1[[#This Row],[Absence 
Days]]&gt;6,"Poor")</f>
        <v>Good</v>
      </c>
    </row>
    <row r="1379" spans="1:30" x14ac:dyDescent="0.35">
      <c r="A1379">
        <v>1378</v>
      </c>
      <c r="B1379" s="2" t="s">
        <v>124</v>
      </c>
      <c r="C1379" t="s">
        <v>510</v>
      </c>
      <c r="D1379" t="str">
        <f>_xlfn.TEXTJOIN(" ",TRUE,Table1[[#This Row],[First 
Name]:[Last 
Name]])</f>
        <v>John Perez</v>
      </c>
      <c r="E1379" t="s">
        <v>2489</v>
      </c>
      <c r="F1379" t="s">
        <v>3244</v>
      </c>
      <c r="G1379" t="str">
        <f ca="1">PROPER(Table1[[#This Row],[Part Time 
Job]])</f>
        <v>False</v>
      </c>
      <c r="H1379" s="3">
        <v>4</v>
      </c>
      <c r="I1379" t="str">
        <f ca="1">PROPER(Table1[[#This Row],[Extracurricular 
Activities]])</f>
        <v>False</v>
      </c>
      <c r="J1379">
        <v>29</v>
      </c>
      <c r="K1379" t="s">
        <v>3117</v>
      </c>
      <c r="L1379">
        <v>91</v>
      </c>
      <c r="M1379" s="12" t="str" cm="1">
        <f t="array" ref="M137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379">
        <v>93</v>
      </c>
      <c r="O1379" s="13" t="str" cm="1">
        <f t="array" ref="O137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379">
        <v>62</v>
      </c>
      <c r="Q1379" s="13" t="str" cm="1">
        <f t="array" ref="Q137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379">
        <v>63</v>
      </c>
      <c r="S1379" t="str" cm="1">
        <f t="array" ref="S137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379">
        <v>100</v>
      </c>
      <c r="U1379" t="str" cm="1">
        <f t="array" ref="U137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379">
        <v>85</v>
      </c>
      <c r="W1379" t="str" cm="1">
        <f t="array" ref="W137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379">
        <v>85</v>
      </c>
      <c r="Y1379" t="str" cm="1">
        <f t="array" ref="Y137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379">
        <f>SUM(Table1[[#This Row],[Math 
Score]],Table1[[#This Row],[History 
Score]],Table1[[#This Row],[Physics 
Score]],Table1[[#This Row],[Chemistry 
Score]],Table1[[#This Row],[Biology 
Score]],Table1[[#This Row],[English 
Score]],Table1[[#This Row],[Geography 
Score]])</f>
        <v>579</v>
      </c>
      <c r="AA1379" s="3">
        <f>AVERAGE(Table1[[#This Row],[Math 
Score]],Table1[[#This Row],[History 
Score]],Table1[[#This Row],[Physics 
Score]],Table1[[#This Row],[Chemistry 
Score]],Table1[[#This Row],[Biology 
Score]],Table1[[#This Row],[English 
Score]],Table1[[#This Row],[Geography 
Score]])</f>
        <v>82.714285714285708</v>
      </c>
      <c r="AB137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379">
        <f t="shared" si="21"/>
        <v>730</v>
      </c>
      <c r="AD1379" t="str">
        <f>_xlfn.IFS(Table1[[#This Row],[Absence 
Days]]&lt;3,"Excellent",Table1[[#This Row],[Absence 
Days]]&lt;=6,"Good",Table1[[#This Row],[Absence 
Days]]&gt;6,"Poor")</f>
        <v>Good</v>
      </c>
    </row>
    <row r="1380" spans="1:30" x14ac:dyDescent="0.35">
      <c r="A1380">
        <v>1379</v>
      </c>
      <c r="B1380" s="2" t="s">
        <v>373</v>
      </c>
      <c r="C1380" t="s">
        <v>516</v>
      </c>
      <c r="D1380" t="str">
        <f>_xlfn.TEXTJOIN(" ",TRUE,Table1[[#This Row],[First 
Name]:[Last 
Name]])</f>
        <v>Hector Garcia</v>
      </c>
      <c r="E1380" t="s">
        <v>2490</v>
      </c>
      <c r="F1380" t="s">
        <v>3244</v>
      </c>
      <c r="G1380" t="str">
        <f ca="1">PROPER(Table1[[#This Row],[Part Time 
Job]])</f>
        <v>False</v>
      </c>
      <c r="H1380" s="3">
        <v>5</v>
      </c>
      <c r="I1380" t="str">
        <f ca="1">PROPER(Table1[[#This Row],[Extracurricular 
Activities]])</f>
        <v>False</v>
      </c>
      <c r="J1380">
        <v>27</v>
      </c>
      <c r="K1380" t="s">
        <v>3116</v>
      </c>
      <c r="L1380">
        <v>61</v>
      </c>
      <c r="M1380" s="12" t="str" cm="1">
        <f t="array" ref="M1380">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380">
        <v>85</v>
      </c>
      <c r="O1380" s="13" t="str" cm="1">
        <f t="array" ref="O138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380">
        <v>92</v>
      </c>
      <c r="Q1380" s="13" t="str" cm="1">
        <f t="array" ref="Q138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380">
        <v>62</v>
      </c>
      <c r="S1380" t="str" cm="1">
        <f t="array" ref="S138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380">
        <v>64</v>
      </c>
      <c r="U1380" t="str" cm="1">
        <f t="array" ref="U138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380">
        <v>66</v>
      </c>
      <c r="W1380" t="str" cm="1">
        <f t="array" ref="W138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380">
        <v>95</v>
      </c>
      <c r="Y1380" t="str" cm="1">
        <f t="array" ref="Y138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380">
        <f>SUM(Table1[[#This Row],[Math 
Score]],Table1[[#This Row],[History 
Score]],Table1[[#This Row],[Physics 
Score]],Table1[[#This Row],[Chemistry 
Score]],Table1[[#This Row],[Biology 
Score]],Table1[[#This Row],[English 
Score]],Table1[[#This Row],[Geography 
Score]])</f>
        <v>525</v>
      </c>
      <c r="AA1380" s="3">
        <f>AVERAGE(Table1[[#This Row],[Math 
Score]],Table1[[#This Row],[History 
Score]],Table1[[#This Row],[Physics 
Score]],Table1[[#This Row],[Chemistry 
Score]],Table1[[#This Row],[Biology 
Score]],Table1[[#This Row],[English 
Score]],Table1[[#This Row],[Geography 
Score]])</f>
        <v>75</v>
      </c>
      <c r="AB138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380">
        <f t="shared" si="21"/>
        <v>1704</v>
      </c>
      <c r="AD1380" t="str">
        <f>_xlfn.IFS(Table1[[#This Row],[Absence 
Days]]&lt;3,"Excellent",Table1[[#This Row],[Absence 
Days]]&lt;=6,"Good",Table1[[#This Row],[Absence 
Days]]&gt;6,"Poor")</f>
        <v>Good</v>
      </c>
    </row>
    <row r="1381" spans="1:30" x14ac:dyDescent="0.35">
      <c r="A1381">
        <v>1380</v>
      </c>
      <c r="B1381" s="2" t="s">
        <v>398</v>
      </c>
      <c r="C1381" t="s">
        <v>567</v>
      </c>
      <c r="D1381" t="str">
        <f>_xlfn.TEXTJOIN(" ",TRUE,Table1[[#This Row],[First 
Name]:[Last 
Name]])</f>
        <v>Andres Rodriguez</v>
      </c>
      <c r="E1381" t="s">
        <v>2491</v>
      </c>
      <c r="F1381" t="s">
        <v>3244</v>
      </c>
      <c r="G1381" t="str">
        <f ca="1">PROPER(Table1[[#This Row],[Part Time 
Job]])</f>
        <v>False</v>
      </c>
      <c r="H1381" s="3">
        <v>1</v>
      </c>
      <c r="I1381" t="str">
        <f ca="1">PROPER(Table1[[#This Row],[Extracurricular 
Activities]])</f>
        <v>False</v>
      </c>
      <c r="J1381">
        <v>29</v>
      </c>
      <c r="K1381" t="s">
        <v>3124</v>
      </c>
      <c r="L1381">
        <v>79</v>
      </c>
      <c r="M1381" s="12" t="str" cm="1">
        <f t="array" ref="M138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381">
        <v>69</v>
      </c>
      <c r="O1381" s="13" t="str" cm="1">
        <f t="array" ref="O138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381">
        <v>78</v>
      </c>
      <c r="Q1381" s="13" t="str" cm="1">
        <f t="array" ref="Q138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381">
        <v>78</v>
      </c>
      <c r="S1381" t="str" cm="1">
        <f t="array" ref="S138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381">
        <v>99</v>
      </c>
      <c r="U1381" t="str" cm="1">
        <f t="array" ref="U138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381">
        <v>61</v>
      </c>
      <c r="W1381" t="str" cm="1">
        <f t="array" ref="W138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381">
        <v>87</v>
      </c>
      <c r="Y1381" t="str" cm="1">
        <f t="array" ref="Y138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381">
        <f>SUM(Table1[[#This Row],[Math 
Score]],Table1[[#This Row],[History 
Score]],Table1[[#This Row],[Physics 
Score]],Table1[[#This Row],[Chemistry 
Score]],Table1[[#This Row],[Biology 
Score]],Table1[[#This Row],[English 
Score]],Table1[[#This Row],[Geography 
Score]])</f>
        <v>551</v>
      </c>
      <c r="AA1381" s="3">
        <f>AVERAGE(Table1[[#This Row],[Math 
Score]],Table1[[#This Row],[History 
Score]],Table1[[#This Row],[Physics 
Score]],Table1[[#This Row],[Chemistry 
Score]],Table1[[#This Row],[Biology 
Score]],Table1[[#This Row],[English 
Score]],Table1[[#This Row],[Geography 
Score]])</f>
        <v>78.714285714285708</v>
      </c>
      <c r="AB138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381">
        <f t="shared" si="21"/>
        <v>1317</v>
      </c>
      <c r="AD1381" t="str">
        <f>_xlfn.IFS(Table1[[#This Row],[Absence 
Days]]&lt;3,"Excellent",Table1[[#This Row],[Absence 
Days]]&lt;=6,"Good",Table1[[#This Row],[Absence 
Days]]&gt;6,"Poor")</f>
        <v>Excellent</v>
      </c>
    </row>
    <row r="1382" spans="1:30" x14ac:dyDescent="0.35">
      <c r="A1382">
        <v>1381</v>
      </c>
      <c r="B1382" s="2" t="s">
        <v>399</v>
      </c>
      <c r="C1382" t="s">
        <v>498</v>
      </c>
      <c r="D1382" t="str">
        <f>_xlfn.TEXTJOIN(" ",TRUE,Table1[[#This Row],[First 
Name]:[Last 
Name]])</f>
        <v>Shelley Murphy</v>
      </c>
      <c r="E1382" t="s">
        <v>2492</v>
      </c>
      <c r="F1382" t="s">
        <v>3245</v>
      </c>
      <c r="G1382" t="str">
        <f ca="1">PROPER(Table1[[#This Row],[Part Time 
Job]])</f>
        <v>False</v>
      </c>
      <c r="H1382" s="3">
        <v>2</v>
      </c>
      <c r="I1382" t="str">
        <f ca="1">PROPER(Table1[[#This Row],[Extracurricular 
Activities]])</f>
        <v>False</v>
      </c>
      <c r="J1382">
        <v>23</v>
      </c>
      <c r="K1382" t="s">
        <v>3117</v>
      </c>
      <c r="L1382">
        <v>99</v>
      </c>
      <c r="M1382" s="12" t="str" cm="1">
        <f t="array" ref="M138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382">
        <v>75</v>
      </c>
      <c r="O1382" s="13" t="str" cm="1">
        <f t="array" ref="O138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382">
        <v>79</v>
      </c>
      <c r="Q1382" s="13" t="str" cm="1">
        <f t="array" ref="Q138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382">
        <v>87</v>
      </c>
      <c r="S1382" t="str" cm="1">
        <f t="array" ref="S138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382">
        <v>63</v>
      </c>
      <c r="U1382" t="str" cm="1">
        <f t="array" ref="U138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382">
        <v>90</v>
      </c>
      <c r="W1382" t="str" cm="1">
        <f t="array" ref="W138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382">
        <v>90</v>
      </c>
      <c r="Y1382" t="str" cm="1">
        <f t="array" ref="Y138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382">
        <f>SUM(Table1[[#This Row],[Math 
Score]],Table1[[#This Row],[History 
Score]],Table1[[#This Row],[Physics 
Score]],Table1[[#This Row],[Chemistry 
Score]],Table1[[#This Row],[Biology 
Score]],Table1[[#This Row],[English 
Score]],Table1[[#This Row],[Geography 
Score]])</f>
        <v>583</v>
      </c>
      <c r="AA1382" s="3">
        <f>AVERAGE(Table1[[#This Row],[Math 
Score]],Table1[[#This Row],[History 
Score]],Table1[[#This Row],[Physics 
Score]],Table1[[#This Row],[Chemistry 
Score]],Table1[[#This Row],[Biology 
Score]],Table1[[#This Row],[English 
Score]],Table1[[#This Row],[Geography 
Score]])</f>
        <v>83.285714285714292</v>
      </c>
      <c r="AB138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382">
        <f t="shared" si="21"/>
        <v>655</v>
      </c>
      <c r="AD1382" t="str">
        <f>_xlfn.IFS(Table1[[#This Row],[Absence 
Days]]&lt;3,"Excellent",Table1[[#This Row],[Absence 
Days]]&lt;=6,"Good",Table1[[#This Row],[Absence 
Days]]&gt;6,"Poor")</f>
        <v>Excellent</v>
      </c>
    </row>
    <row r="1383" spans="1:30" x14ac:dyDescent="0.35">
      <c r="A1383">
        <v>1382</v>
      </c>
      <c r="B1383" s="2" t="s">
        <v>173</v>
      </c>
      <c r="C1383" t="s">
        <v>915</v>
      </c>
      <c r="D1383" t="str">
        <f>_xlfn.TEXTJOIN(" ",TRUE,Table1[[#This Row],[First 
Name]:[Last 
Name]])</f>
        <v>Robin Carr</v>
      </c>
      <c r="E1383" t="s">
        <v>2493</v>
      </c>
      <c r="F1383" t="s">
        <v>3245</v>
      </c>
      <c r="G1383" t="str">
        <f ca="1">PROPER(Table1[[#This Row],[Part Time 
Job]])</f>
        <v>False</v>
      </c>
      <c r="H1383" s="3">
        <v>2</v>
      </c>
      <c r="I1383" t="str">
        <f ca="1">PROPER(Table1[[#This Row],[Extracurricular 
Activities]])</f>
        <v>False</v>
      </c>
      <c r="J1383">
        <v>32</v>
      </c>
      <c r="K1383" t="s">
        <v>3120</v>
      </c>
      <c r="L1383">
        <v>81</v>
      </c>
      <c r="M1383" s="12" t="str" cm="1">
        <f t="array" ref="M138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383">
        <v>64</v>
      </c>
      <c r="O1383" s="13" t="str" cm="1">
        <f t="array" ref="O138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383">
        <v>81</v>
      </c>
      <c r="Q1383" s="13" t="str" cm="1">
        <f t="array" ref="Q138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383">
        <v>92</v>
      </c>
      <c r="S1383" t="str" cm="1">
        <f t="array" ref="S138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383">
        <v>87</v>
      </c>
      <c r="U1383" t="str" cm="1">
        <f t="array" ref="U138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383">
        <v>84</v>
      </c>
      <c r="W1383" t="str" cm="1">
        <f t="array" ref="W138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383">
        <v>95</v>
      </c>
      <c r="Y1383" t="str" cm="1">
        <f t="array" ref="Y138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383">
        <f>SUM(Table1[[#This Row],[Math 
Score]],Table1[[#This Row],[History 
Score]],Table1[[#This Row],[Physics 
Score]],Table1[[#This Row],[Chemistry 
Score]],Table1[[#This Row],[Biology 
Score]],Table1[[#This Row],[English 
Score]],Table1[[#This Row],[Geography 
Score]])</f>
        <v>584</v>
      </c>
      <c r="AA1383" s="3">
        <f>AVERAGE(Table1[[#This Row],[Math 
Score]],Table1[[#This Row],[History 
Score]],Table1[[#This Row],[Physics 
Score]],Table1[[#This Row],[Chemistry 
Score]],Table1[[#This Row],[Biology 
Score]],Table1[[#This Row],[English 
Score]],Table1[[#This Row],[Geography 
Score]])</f>
        <v>83.428571428571431</v>
      </c>
      <c r="AB138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383">
        <f t="shared" si="21"/>
        <v>635</v>
      </c>
      <c r="AD1383" t="str">
        <f>_xlfn.IFS(Table1[[#This Row],[Absence 
Days]]&lt;3,"Excellent",Table1[[#This Row],[Absence 
Days]]&lt;=6,"Good",Table1[[#This Row],[Absence 
Days]]&gt;6,"Poor")</f>
        <v>Excellent</v>
      </c>
    </row>
    <row r="1384" spans="1:30" x14ac:dyDescent="0.35">
      <c r="A1384">
        <v>1383</v>
      </c>
      <c r="B1384" s="2" t="s">
        <v>112</v>
      </c>
      <c r="C1384" t="s">
        <v>1006</v>
      </c>
      <c r="D1384" t="str">
        <f>_xlfn.TEXTJOIN(" ",TRUE,Table1[[#This Row],[First 
Name]:[Last 
Name]])</f>
        <v>Julie Lambert</v>
      </c>
      <c r="E1384" t="s">
        <v>2494</v>
      </c>
      <c r="F1384" t="s">
        <v>3245</v>
      </c>
      <c r="G1384" t="str">
        <f ca="1">PROPER(Table1[[#This Row],[Part Time 
Job]])</f>
        <v>False</v>
      </c>
      <c r="H1384" s="3">
        <v>5</v>
      </c>
      <c r="I1384" t="str">
        <f ca="1">PROPER(Table1[[#This Row],[Extracurricular 
Activities]])</f>
        <v>False</v>
      </c>
      <c r="J1384">
        <v>9</v>
      </c>
      <c r="K1384" t="s">
        <v>3118</v>
      </c>
      <c r="L1384">
        <v>91</v>
      </c>
      <c r="M1384" s="12" t="str" cm="1">
        <f t="array" ref="M138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384">
        <v>87</v>
      </c>
      <c r="O1384" s="13" t="str" cm="1">
        <f t="array" ref="O138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384">
        <v>71</v>
      </c>
      <c r="Q1384" s="13" t="str" cm="1">
        <f t="array" ref="Q138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384">
        <v>98</v>
      </c>
      <c r="S1384" t="str" cm="1">
        <f t="array" ref="S138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384">
        <v>93</v>
      </c>
      <c r="U1384" t="str" cm="1">
        <f t="array" ref="U138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384">
        <v>83</v>
      </c>
      <c r="W1384" t="str" cm="1">
        <f t="array" ref="W138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384">
        <v>81</v>
      </c>
      <c r="Y1384" t="str" cm="1">
        <f t="array" ref="Y138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384">
        <f>SUM(Table1[[#This Row],[Math 
Score]],Table1[[#This Row],[History 
Score]],Table1[[#This Row],[Physics 
Score]],Table1[[#This Row],[Chemistry 
Score]],Table1[[#This Row],[Biology 
Score]],Table1[[#This Row],[English 
Score]],Table1[[#This Row],[Geography 
Score]])</f>
        <v>604</v>
      </c>
      <c r="AA1384" s="3">
        <f>AVERAGE(Table1[[#This Row],[Math 
Score]],Table1[[#This Row],[History 
Score]],Table1[[#This Row],[Physics 
Score]],Table1[[#This Row],[Chemistry 
Score]],Table1[[#This Row],[Biology 
Score]],Table1[[#This Row],[English 
Score]],Table1[[#This Row],[Geography 
Score]])</f>
        <v>86.285714285714292</v>
      </c>
      <c r="AB138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384">
        <f t="shared" si="21"/>
        <v>353</v>
      </c>
      <c r="AD1384" t="str">
        <f>_xlfn.IFS(Table1[[#This Row],[Absence 
Days]]&lt;3,"Excellent",Table1[[#This Row],[Absence 
Days]]&lt;=6,"Good",Table1[[#This Row],[Absence 
Days]]&gt;6,"Poor")</f>
        <v>Good</v>
      </c>
    </row>
    <row r="1385" spans="1:30" x14ac:dyDescent="0.35">
      <c r="A1385">
        <v>1384</v>
      </c>
      <c r="B1385" s="2" t="s">
        <v>29</v>
      </c>
      <c r="C1385" t="s">
        <v>567</v>
      </c>
      <c r="D1385" t="str">
        <f>_xlfn.TEXTJOIN(" ",TRUE,Table1[[#This Row],[First 
Name]:[Last 
Name]])</f>
        <v>Cynthia Rodriguez</v>
      </c>
      <c r="E1385" t="s">
        <v>2495</v>
      </c>
      <c r="F1385" t="s">
        <v>3245</v>
      </c>
      <c r="G1385" t="str">
        <f ca="1">PROPER(Table1[[#This Row],[Part Time 
Job]])</f>
        <v>False</v>
      </c>
      <c r="H1385" s="3">
        <v>3</v>
      </c>
      <c r="I1385" t="str">
        <f ca="1">PROPER(Table1[[#This Row],[Extracurricular 
Activities]])</f>
        <v>False</v>
      </c>
      <c r="J1385">
        <v>16</v>
      </c>
      <c r="K1385" t="s">
        <v>3117</v>
      </c>
      <c r="L1385">
        <v>91</v>
      </c>
      <c r="M1385" s="12" t="str" cm="1">
        <f t="array" ref="M138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385">
        <v>84</v>
      </c>
      <c r="O1385" s="13" t="str" cm="1">
        <f t="array" ref="O138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385">
        <v>95</v>
      </c>
      <c r="Q1385" s="13" t="str" cm="1">
        <f t="array" ref="Q138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385">
        <v>97</v>
      </c>
      <c r="S1385" t="str" cm="1">
        <f t="array" ref="S138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385">
        <v>88</v>
      </c>
      <c r="U1385" t="str" cm="1">
        <f t="array" ref="U138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385">
        <v>70</v>
      </c>
      <c r="W1385" t="str" cm="1">
        <f t="array" ref="W138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385">
        <v>77</v>
      </c>
      <c r="Y1385" t="str" cm="1">
        <f t="array" ref="Y138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385">
        <f>SUM(Table1[[#This Row],[Math 
Score]],Table1[[#This Row],[History 
Score]],Table1[[#This Row],[Physics 
Score]],Table1[[#This Row],[Chemistry 
Score]],Table1[[#This Row],[Biology 
Score]],Table1[[#This Row],[English 
Score]],Table1[[#This Row],[Geography 
Score]])</f>
        <v>602</v>
      </c>
      <c r="AA1385" s="3">
        <f>AVERAGE(Table1[[#This Row],[Math 
Score]],Table1[[#This Row],[History 
Score]],Table1[[#This Row],[Physics 
Score]],Table1[[#This Row],[Chemistry 
Score]],Table1[[#This Row],[Biology 
Score]],Table1[[#This Row],[English 
Score]],Table1[[#This Row],[Geography 
Score]])</f>
        <v>86</v>
      </c>
      <c r="AB138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385">
        <f t="shared" si="21"/>
        <v>380</v>
      </c>
      <c r="AD1385" t="str">
        <f>_xlfn.IFS(Table1[[#This Row],[Absence 
Days]]&lt;3,"Excellent",Table1[[#This Row],[Absence 
Days]]&lt;=6,"Good",Table1[[#This Row],[Absence 
Days]]&gt;6,"Poor")</f>
        <v>Good</v>
      </c>
    </row>
    <row r="1386" spans="1:30" x14ac:dyDescent="0.35">
      <c r="A1386">
        <v>1385</v>
      </c>
      <c r="B1386" s="2" t="s">
        <v>80</v>
      </c>
      <c r="C1386" t="s">
        <v>733</v>
      </c>
      <c r="D1386" t="str">
        <f>_xlfn.TEXTJOIN(" ",TRUE,Table1[[#This Row],[First 
Name]:[Last 
Name]])</f>
        <v>Thomas Ball</v>
      </c>
      <c r="E1386" t="s">
        <v>2496</v>
      </c>
      <c r="F1386" t="s">
        <v>3244</v>
      </c>
      <c r="G1386" t="str">
        <f ca="1">PROPER(Table1[[#This Row],[Part Time 
Job]])</f>
        <v>False</v>
      </c>
      <c r="H1386" s="3">
        <v>2</v>
      </c>
      <c r="I1386" t="str">
        <f ca="1">PROPER(Table1[[#This Row],[Extracurricular 
Activities]])</f>
        <v>False</v>
      </c>
      <c r="J1386">
        <v>29</v>
      </c>
      <c r="K1386" t="s">
        <v>3117</v>
      </c>
      <c r="L1386">
        <v>100</v>
      </c>
      <c r="M1386" s="12" t="str" cm="1">
        <f t="array" ref="M138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386">
        <v>79</v>
      </c>
      <c r="O1386" s="13" t="str" cm="1">
        <f t="array" ref="O138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386">
        <v>77</v>
      </c>
      <c r="Q1386" s="13" t="str" cm="1">
        <f t="array" ref="Q138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386">
        <v>61</v>
      </c>
      <c r="S1386" t="str" cm="1">
        <f t="array" ref="S138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386">
        <v>79</v>
      </c>
      <c r="U1386" t="str" cm="1">
        <f t="array" ref="U138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386">
        <v>70</v>
      </c>
      <c r="W1386" t="str" cm="1">
        <f t="array" ref="W138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386">
        <v>69</v>
      </c>
      <c r="Y1386" t="str" cm="1">
        <f t="array" ref="Y138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386">
        <f>SUM(Table1[[#This Row],[Math 
Score]],Table1[[#This Row],[History 
Score]],Table1[[#This Row],[Physics 
Score]],Table1[[#This Row],[Chemistry 
Score]],Table1[[#This Row],[Biology 
Score]],Table1[[#This Row],[English 
Score]],Table1[[#This Row],[Geography 
Score]])</f>
        <v>535</v>
      </c>
      <c r="AA1386" s="3">
        <f>AVERAGE(Table1[[#This Row],[Math 
Score]],Table1[[#This Row],[History 
Score]],Table1[[#This Row],[Physics 
Score]],Table1[[#This Row],[Chemistry 
Score]],Table1[[#This Row],[Biology 
Score]],Table1[[#This Row],[English 
Score]],Table1[[#This Row],[Geography 
Score]])</f>
        <v>76.428571428571431</v>
      </c>
      <c r="AB138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386">
        <f t="shared" si="21"/>
        <v>1578</v>
      </c>
      <c r="AD1386" t="str">
        <f>_xlfn.IFS(Table1[[#This Row],[Absence 
Days]]&lt;3,"Excellent",Table1[[#This Row],[Absence 
Days]]&lt;=6,"Good",Table1[[#This Row],[Absence 
Days]]&gt;6,"Poor")</f>
        <v>Excellent</v>
      </c>
    </row>
    <row r="1387" spans="1:30" x14ac:dyDescent="0.35">
      <c r="A1387">
        <v>1386</v>
      </c>
      <c r="B1387" s="2" t="s">
        <v>11</v>
      </c>
      <c r="C1387" t="s">
        <v>1007</v>
      </c>
      <c r="D1387" t="str">
        <f>_xlfn.TEXTJOIN(" ",TRUE,Table1[[#This Row],[First 
Name]:[Last 
Name]])</f>
        <v>Patricia Pope</v>
      </c>
      <c r="E1387" t="s">
        <v>2497</v>
      </c>
      <c r="F1387" t="s">
        <v>3245</v>
      </c>
      <c r="G1387" t="str">
        <f ca="1">PROPER(Table1[[#This Row],[Part Time 
Job]])</f>
        <v>False</v>
      </c>
      <c r="H1387" s="3">
        <v>3</v>
      </c>
      <c r="I1387" t="str">
        <f ca="1">PROPER(Table1[[#This Row],[Extracurricular 
Activities]])</f>
        <v>True</v>
      </c>
      <c r="J1387">
        <v>5</v>
      </c>
      <c r="K1387" t="s">
        <v>3115</v>
      </c>
      <c r="L1387">
        <v>60</v>
      </c>
      <c r="M1387" s="12" t="str" cm="1">
        <f t="array" ref="M1387">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387">
        <v>69</v>
      </c>
      <c r="O1387" s="13" t="str" cm="1">
        <f t="array" ref="O138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387">
        <v>80</v>
      </c>
      <c r="Q1387" s="13" t="str" cm="1">
        <f t="array" ref="Q138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387">
        <v>87</v>
      </c>
      <c r="S1387" t="str" cm="1">
        <f t="array" ref="S138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387">
        <v>100</v>
      </c>
      <c r="U1387" t="str" cm="1">
        <f t="array" ref="U138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387">
        <v>93</v>
      </c>
      <c r="W1387" t="str" cm="1">
        <f t="array" ref="W138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387">
        <v>92</v>
      </c>
      <c r="Y1387" t="str" cm="1">
        <f t="array" ref="Y138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387">
        <f>SUM(Table1[[#This Row],[Math 
Score]],Table1[[#This Row],[History 
Score]],Table1[[#This Row],[Physics 
Score]],Table1[[#This Row],[Chemistry 
Score]],Table1[[#This Row],[Biology 
Score]],Table1[[#This Row],[English 
Score]],Table1[[#This Row],[Geography 
Score]])</f>
        <v>581</v>
      </c>
      <c r="AA1387" s="3">
        <f>AVERAGE(Table1[[#This Row],[Math 
Score]],Table1[[#This Row],[History 
Score]],Table1[[#This Row],[Physics 
Score]],Table1[[#This Row],[Chemistry 
Score]],Table1[[#This Row],[Biology 
Score]],Table1[[#This Row],[English 
Score]],Table1[[#This Row],[Geography 
Score]])</f>
        <v>83</v>
      </c>
      <c r="AB138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387">
        <f t="shared" si="21"/>
        <v>688</v>
      </c>
      <c r="AD1387" t="str">
        <f>_xlfn.IFS(Table1[[#This Row],[Absence 
Days]]&lt;3,"Excellent",Table1[[#This Row],[Absence 
Days]]&lt;=6,"Good",Table1[[#This Row],[Absence 
Days]]&gt;6,"Poor")</f>
        <v>Good</v>
      </c>
    </row>
    <row r="1388" spans="1:30" x14ac:dyDescent="0.35">
      <c r="A1388">
        <v>1387</v>
      </c>
      <c r="B1388" s="2" t="s">
        <v>268</v>
      </c>
      <c r="C1388" t="s">
        <v>768</v>
      </c>
      <c r="D1388" t="str">
        <f>_xlfn.TEXTJOIN(" ",TRUE,Table1[[#This Row],[First 
Name]:[Last 
Name]])</f>
        <v>Bryan Pacheco</v>
      </c>
      <c r="E1388" t="s">
        <v>2498</v>
      </c>
      <c r="F1388" t="s">
        <v>3244</v>
      </c>
      <c r="G1388" t="str">
        <f ca="1">PROPER(Table1[[#This Row],[Part Time 
Job]])</f>
        <v>False</v>
      </c>
      <c r="H1388" s="3">
        <v>3</v>
      </c>
      <c r="I1388" t="str">
        <f ca="1">PROPER(Table1[[#This Row],[Extracurricular 
Activities]])</f>
        <v>False</v>
      </c>
      <c r="J1388">
        <v>14</v>
      </c>
      <c r="K1388" t="s">
        <v>3117</v>
      </c>
      <c r="L1388">
        <v>90</v>
      </c>
      <c r="M1388" s="12" t="str" cm="1">
        <f t="array" ref="M138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388">
        <v>95</v>
      </c>
      <c r="O1388" s="13" t="str" cm="1">
        <f t="array" ref="O138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388">
        <v>68</v>
      </c>
      <c r="Q1388" s="13" t="str" cm="1">
        <f t="array" ref="Q138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388">
        <v>75</v>
      </c>
      <c r="S1388" t="str" cm="1">
        <f t="array" ref="S138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388">
        <v>71</v>
      </c>
      <c r="U1388" t="str" cm="1">
        <f t="array" ref="U138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388">
        <v>68</v>
      </c>
      <c r="W1388" t="str" cm="1">
        <f t="array" ref="W138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388">
        <v>95</v>
      </c>
      <c r="Y1388" t="str" cm="1">
        <f t="array" ref="Y138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388">
        <f>SUM(Table1[[#This Row],[Math 
Score]],Table1[[#This Row],[History 
Score]],Table1[[#This Row],[Physics 
Score]],Table1[[#This Row],[Chemistry 
Score]],Table1[[#This Row],[Biology 
Score]],Table1[[#This Row],[English 
Score]],Table1[[#This Row],[Geography 
Score]])</f>
        <v>562</v>
      </c>
      <c r="AA1388" s="3">
        <f>AVERAGE(Table1[[#This Row],[Math 
Score]],Table1[[#This Row],[History 
Score]],Table1[[#This Row],[Physics 
Score]],Table1[[#This Row],[Chemistry 
Score]],Table1[[#This Row],[Biology 
Score]],Table1[[#This Row],[English 
Score]],Table1[[#This Row],[Geography 
Score]])</f>
        <v>80.285714285714292</v>
      </c>
      <c r="AB138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388">
        <f t="shared" si="21"/>
        <v>1099</v>
      </c>
      <c r="AD1388" t="str">
        <f>_xlfn.IFS(Table1[[#This Row],[Absence 
Days]]&lt;3,"Excellent",Table1[[#This Row],[Absence 
Days]]&lt;=6,"Good",Table1[[#This Row],[Absence 
Days]]&gt;6,"Poor")</f>
        <v>Good</v>
      </c>
    </row>
    <row r="1389" spans="1:30" x14ac:dyDescent="0.35">
      <c r="A1389">
        <v>1388</v>
      </c>
      <c r="B1389" s="2" t="s">
        <v>60</v>
      </c>
      <c r="C1389" t="s">
        <v>892</v>
      </c>
      <c r="D1389" t="str">
        <f>_xlfn.TEXTJOIN(" ",TRUE,Table1[[#This Row],[First 
Name]:[Last 
Name]])</f>
        <v>Steven Richardson</v>
      </c>
      <c r="E1389" t="s">
        <v>2499</v>
      </c>
      <c r="F1389" t="s">
        <v>3244</v>
      </c>
      <c r="G1389" t="str">
        <f ca="1">PROPER(Table1[[#This Row],[Part Time 
Job]])</f>
        <v>False</v>
      </c>
      <c r="H1389" s="3">
        <v>2</v>
      </c>
      <c r="I1389" t="str">
        <f ca="1">PROPER(Table1[[#This Row],[Extracurricular 
Activities]])</f>
        <v>False</v>
      </c>
      <c r="J1389">
        <v>20</v>
      </c>
      <c r="K1389" t="s">
        <v>3121</v>
      </c>
      <c r="L1389">
        <v>94</v>
      </c>
      <c r="M1389" s="12" t="str" cm="1">
        <f t="array" ref="M138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389">
        <v>88</v>
      </c>
      <c r="O1389" s="13" t="str" cm="1">
        <f t="array" ref="O138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389">
        <v>78</v>
      </c>
      <c r="Q1389" s="13" t="str" cm="1">
        <f t="array" ref="Q138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389">
        <v>99</v>
      </c>
      <c r="S1389" t="str" cm="1">
        <f t="array" ref="S138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389">
        <v>65</v>
      </c>
      <c r="U1389" t="str" cm="1">
        <f t="array" ref="U138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389">
        <v>76</v>
      </c>
      <c r="W1389" t="str" cm="1">
        <f t="array" ref="W138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389">
        <v>68</v>
      </c>
      <c r="Y1389" t="str" cm="1">
        <f t="array" ref="Y138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389">
        <f>SUM(Table1[[#This Row],[Math 
Score]],Table1[[#This Row],[History 
Score]],Table1[[#This Row],[Physics 
Score]],Table1[[#This Row],[Chemistry 
Score]],Table1[[#This Row],[Biology 
Score]],Table1[[#This Row],[English 
Score]],Table1[[#This Row],[Geography 
Score]])</f>
        <v>568</v>
      </c>
      <c r="AA1389" s="3">
        <f>AVERAGE(Table1[[#This Row],[Math 
Score]],Table1[[#This Row],[History 
Score]],Table1[[#This Row],[Physics 
Score]],Table1[[#This Row],[Chemistry 
Score]],Table1[[#This Row],[Biology 
Score]],Table1[[#This Row],[English 
Score]],Table1[[#This Row],[Geography 
Score]])</f>
        <v>81.142857142857139</v>
      </c>
      <c r="AB138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389">
        <f t="shared" si="21"/>
        <v>975</v>
      </c>
      <c r="AD1389" t="str">
        <f>_xlfn.IFS(Table1[[#This Row],[Absence 
Days]]&lt;3,"Excellent",Table1[[#This Row],[Absence 
Days]]&lt;=6,"Good",Table1[[#This Row],[Absence 
Days]]&gt;6,"Poor")</f>
        <v>Excellent</v>
      </c>
    </row>
    <row r="1390" spans="1:30" x14ac:dyDescent="0.35">
      <c r="A1390">
        <v>1389</v>
      </c>
      <c r="B1390" s="2" t="s">
        <v>216</v>
      </c>
      <c r="C1390" t="s">
        <v>1008</v>
      </c>
      <c r="D1390" t="str">
        <f>_xlfn.TEXTJOIN(" ",TRUE,Table1[[#This Row],[First 
Name]:[Last 
Name]])</f>
        <v>Deborah Hood</v>
      </c>
      <c r="E1390" t="s">
        <v>2500</v>
      </c>
      <c r="F1390" t="s">
        <v>3245</v>
      </c>
      <c r="G1390" t="str">
        <f ca="1">PROPER(Table1[[#This Row],[Part Time 
Job]])</f>
        <v>False</v>
      </c>
      <c r="H1390" s="3">
        <v>2</v>
      </c>
      <c r="I1390" t="str">
        <f ca="1">PROPER(Table1[[#This Row],[Extracurricular 
Activities]])</f>
        <v>False</v>
      </c>
      <c r="J1390">
        <v>28</v>
      </c>
      <c r="K1390" t="s">
        <v>3117</v>
      </c>
      <c r="L1390">
        <v>90</v>
      </c>
      <c r="M1390" s="12" t="str" cm="1">
        <f t="array" ref="M139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390">
        <v>79</v>
      </c>
      <c r="O1390" s="13" t="str" cm="1">
        <f t="array" ref="O139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390">
        <v>64</v>
      </c>
      <c r="Q1390" s="13" t="str" cm="1">
        <f t="array" ref="Q139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390">
        <v>93</v>
      </c>
      <c r="S1390" t="str" cm="1">
        <f t="array" ref="S139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390">
        <v>81</v>
      </c>
      <c r="U1390" t="str" cm="1">
        <f t="array" ref="U139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390">
        <v>63</v>
      </c>
      <c r="W1390" t="str" cm="1">
        <f t="array" ref="W139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390">
        <v>76</v>
      </c>
      <c r="Y1390" t="str" cm="1">
        <f t="array" ref="Y139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390">
        <f>SUM(Table1[[#This Row],[Math 
Score]],Table1[[#This Row],[History 
Score]],Table1[[#This Row],[Physics 
Score]],Table1[[#This Row],[Chemistry 
Score]],Table1[[#This Row],[Biology 
Score]],Table1[[#This Row],[English 
Score]],Table1[[#This Row],[Geography 
Score]])</f>
        <v>546</v>
      </c>
      <c r="AA1390" s="3">
        <f>AVERAGE(Table1[[#This Row],[Math 
Score]],Table1[[#This Row],[History 
Score]],Table1[[#This Row],[Physics 
Score]],Table1[[#This Row],[Chemistry 
Score]],Table1[[#This Row],[Biology 
Score]],Table1[[#This Row],[English 
Score]],Table1[[#This Row],[Geography 
Score]])</f>
        <v>78</v>
      </c>
      <c r="AB139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390">
        <f t="shared" si="21"/>
        <v>1411</v>
      </c>
      <c r="AD1390" t="str">
        <f>_xlfn.IFS(Table1[[#This Row],[Absence 
Days]]&lt;3,"Excellent",Table1[[#This Row],[Absence 
Days]]&lt;=6,"Good",Table1[[#This Row],[Absence 
Days]]&gt;6,"Poor")</f>
        <v>Excellent</v>
      </c>
    </row>
    <row r="1391" spans="1:30" x14ac:dyDescent="0.35">
      <c r="A1391">
        <v>1390</v>
      </c>
      <c r="B1391" s="2" t="s">
        <v>13</v>
      </c>
      <c r="C1391" t="s">
        <v>664</v>
      </c>
      <c r="D1391" t="str">
        <f>_xlfn.TEXTJOIN(" ",TRUE,Table1[[#This Row],[First 
Name]:[Last 
Name]])</f>
        <v>Laura Campbell</v>
      </c>
      <c r="E1391" t="s">
        <v>2501</v>
      </c>
      <c r="F1391" t="s">
        <v>3245</v>
      </c>
      <c r="G1391" t="str">
        <f ca="1">PROPER(Table1[[#This Row],[Part Time 
Job]])</f>
        <v>True</v>
      </c>
      <c r="H1391" s="3">
        <v>2</v>
      </c>
      <c r="I1391" t="str">
        <f ca="1">PROPER(Table1[[#This Row],[Extracurricular 
Activities]])</f>
        <v>False</v>
      </c>
      <c r="J1391">
        <v>13</v>
      </c>
      <c r="K1391" t="s">
        <v>3121</v>
      </c>
      <c r="L1391">
        <v>78</v>
      </c>
      <c r="M1391" s="12" t="str" cm="1">
        <f t="array" ref="M139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391">
        <v>89</v>
      </c>
      <c r="O1391" s="13" t="str" cm="1">
        <f t="array" ref="O139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391">
        <v>83</v>
      </c>
      <c r="Q1391" s="13" t="str" cm="1">
        <f t="array" ref="Q139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391">
        <v>80</v>
      </c>
      <c r="S1391" t="str" cm="1">
        <f t="array" ref="S139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391">
        <v>67</v>
      </c>
      <c r="U1391" t="str" cm="1">
        <f t="array" ref="U139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391">
        <v>90</v>
      </c>
      <c r="W1391" t="str" cm="1">
        <f t="array" ref="W139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391">
        <v>93</v>
      </c>
      <c r="Y1391" t="str" cm="1">
        <f t="array" ref="Y139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391">
        <f>SUM(Table1[[#This Row],[Math 
Score]],Table1[[#This Row],[History 
Score]],Table1[[#This Row],[Physics 
Score]],Table1[[#This Row],[Chemistry 
Score]],Table1[[#This Row],[Biology 
Score]],Table1[[#This Row],[English 
Score]],Table1[[#This Row],[Geography 
Score]])</f>
        <v>580</v>
      </c>
      <c r="AA1391" s="3">
        <f>AVERAGE(Table1[[#This Row],[Math 
Score]],Table1[[#This Row],[History 
Score]],Table1[[#This Row],[Physics 
Score]],Table1[[#This Row],[Chemistry 
Score]],Table1[[#This Row],[Biology 
Score]],Table1[[#This Row],[English 
Score]],Table1[[#This Row],[Geography 
Score]])</f>
        <v>82.857142857142861</v>
      </c>
      <c r="AB139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391">
        <f t="shared" si="21"/>
        <v>709</v>
      </c>
      <c r="AD1391" t="str">
        <f>_xlfn.IFS(Table1[[#This Row],[Absence 
Days]]&lt;3,"Excellent",Table1[[#This Row],[Absence 
Days]]&lt;=6,"Good",Table1[[#This Row],[Absence 
Days]]&gt;6,"Poor")</f>
        <v>Excellent</v>
      </c>
    </row>
    <row r="1392" spans="1:30" x14ac:dyDescent="0.35">
      <c r="A1392">
        <v>1391</v>
      </c>
      <c r="B1392" s="2" t="s">
        <v>256</v>
      </c>
      <c r="C1392" t="s">
        <v>557</v>
      </c>
      <c r="D1392" t="str">
        <f>_xlfn.TEXTJOIN(" ",TRUE,Table1[[#This Row],[First 
Name]:[Last 
Name]])</f>
        <v>Bradley Patel</v>
      </c>
      <c r="E1392" t="s">
        <v>2502</v>
      </c>
      <c r="F1392" t="s">
        <v>3244</v>
      </c>
      <c r="G1392" t="str">
        <f ca="1">PROPER(Table1[[#This Row],[Part Time 
Job]])</f>
        <v>True</v>
      </c>
      <c r="H1392" s="3">
        <v>9</v>
      </c>
      <c r="I1392" t="str">
        <f ca="1">PROPER(Table1[[#This Row],[Extracurricular 
Activities]])</f>
        <v>True</v>
      </c>
      <c r="J1392">
        <v>3</v>
      </c>
      <c r="K1392" t="s">
        <v>3119</v>
      </c>
      <c r="L1392">
        <v>40</v>
      </c>
      <c r="M1392" s="12" t="str" cm="1">
        <f t="array" ref="M1392">_xlfn.IFS(Table1[[#This Row],[Math 
Score]]&gt;=90,"A+",Table1[[#This Row],[Math 
Score]]&gt;=80,"A", Table1[[#This Row],[Math 
Score]]&gt;=75,"A-",Table1[[#This Row],[Math 
Score]]&gt;=70,"B+",Table1[[#This Row],[Math 
Score]]&gt;=65,"B",Table1[[#This Row],[Math 
Score]]&gt;=60,"B-",Table1[[#This Row],[Math 
Score]]&gt;=50,"C",Table1[[#This Row],[Math 
Score]]&gt;=40,"D",Table1[[#This Row],[Math 
Score]]&lt;40,"F")</f>
        <v>D</v>
      </c>
      <c r="N1392">
        <v>73</v>
      </c>
      <c r="O1392" s="13" t="str" cm="1">
        <f t="array" ref="O139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392">
        <v>88</v>
      </c>
      <c r="Q1392" s="13" t="str" cm="1">
        <f t="array" ref="Q139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392">
        <v>95</v>
      </c>
      <c r="S1392" t="str" cm="1">
        <f t="array" ref="S139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392">
        <v>64</v>
      </c>
      <c r="U1392" t="str" cm="1">
        <f t="array" ref="U139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392">
        <v>61</v>
      </c>
      <c r="W1392" t="str" cm="1">
        <f t="array" ref="W139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392">
        <v>92</v>
      </c>
      <c r="Y1392" t="str" cm="1">
        <f t="array" ref="Y139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392">
        <f>SUM(Table1[[#This Row],[Math 
Score]],Table1[[#This Row],[History 
Score]],Table1[[#This Row],[Physics 
Score]],Table1[[#This Row],[Chemistry 
Score]],Table1[[#This Row],[Biology 
Score]],Table1[[#This Row],[English 
Score]],Table1[[#This Row],[Geography 
Score]])</f>
        <v>513</v>
      </c>
      <c r="AA1392" s="3">
        <f>AVERAGE(Table1[[#This Row],[Math 
Score]],Table1[[#This Row],[History 
Score]],Table1[[#This Row],[Physics 
Score]],Table1[[#This Row],[Chemistry 
Score]],Table1[[#This Row],[Biology 
Score]],Table1[[#This Row],[English 
Score]],Table1[[#This Row],[Geography 
Score]])</f>
        <v>73.285714285714292</v>
      </c>
      <c r="AB139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392">
        <f t="shared" si="21"/>
        <v>1810</v>
      </c>
      <c r="AD1392" t="str">
        <f>_xlfn.IFS(Table1[[#This Row],[Absence 
Days]]&lt;3,"Excellent",Table1[[#This Row],[Absence 
Days]]&lt;=6,"Good",Table1[[#This Row],[Absence 
Days]]&gt;6,"Poor")</f>
        <v>Poor</v>
      </c>
    </row>
    <row r="1393" spans="1:30" x14ac:dyDescent="0.35">
      <c r="A1393">
        <v>1392</v>
      </c>
      <c r="B1393" s="2" t="s">
        <v>18</v>
      </c>
      <c r="C1393" t="s">
        <v>697</v>
      </c>
      <c r="D1393" t="str">
        <f>_xlfn.TEXTJOIN(" ",TRUE,Table1[[#This Row],[First 
Name]:[Last 
Name]])</f>
        <v>Angela Moran</v>
      </c>
      <c r="E1393" t="s">
        <v>2503</v>
      </c>
      <c r="F1393" t="s">
        <v>3245</v>
      </c>
      <c r="G1393" t="str">
        <f ca="1">PROPER(Table1[[#This Row],[Part Time 
Job]])</f>
        <v>False</v>
      </c>
      <c r="H1393" s="3">
        <v>5</v>
      </c>
      <c r="I1393" t="str">
        <f ca="1">PROPER(Table1[[#This Row],[Extracurricular 
Activities]])</f>
        <v>False</v>
      </c>
      <c r="J1393">
        <v>26</v>
      </c>
      <c r="K1393" t="s">
        <v>3121</v>
      </c>
      <c r="L1393">
        <v>97</v>
      </c>
      <c r="M1393" s="12" t="str" cm="1">
        <f t="array" ref="M139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393">
        <v>84</v>
      </c>
      <c r="O1393" s="13" t="str" cm="1">
        <f t="array" ref="O139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393">
        <v>70</v>
      </c>
      <c r="Q1393" s="13" t="str" cm="1">
        <f t="array" ref="Q139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393">
        <v>90</v>
      </c>
      <c r="S1393" t="str" cm="1">
        <f t="array" ref="S139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393">
        <v>97</v>
      </c>
      <c r="U1393" t="str" cm="1">
        <f t="array" ref="U139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393">
        <v>95</v>
      </c>
      <c r="W1393" t="str" cm="1">
        <f t="array" ref="W139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393">
        <v>87</v>
      </c>
      <c r="Y1393" t="str" cm="1">
        <f t="array" ref="Y139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393">
        <f>SUM(Table1[[#This Row],[Math 
Score]],Table1[[#This Row],[History 
Score]],Table1[[#This Row],[Physics 
Score]],Table1[[#This Row],[Chemistry 
Score]],Table1[[#This Row],[Biology 
Score]],Table1[[#This Row],[English 
Score]],Table1[[#This Row],[Geography 
Score]])</f>
        <v>620</v>
      </c>
      <c r="AA1393" s="3">
        <f>AVERAGE(Table1[[#This Row],[Math 
Score]],Table1[[#This Row],[History 
Score]],Table1[[#This Row],[Physics 
Score]],Table1[[#This Row],[Chemistry 
Score]],Table1[[#This Row],[Biology 
Score]],Table1[[#This Row],[English 
Score]],Table1[[#This Row],[Geography 
Score]])</f>
        <v>88.571428571428569</v>
      </c>
      <c r="AB139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393">
        <f t="shared" si="21"/>
        <v>215</v>
      </c>
      <c r="AD1393" t="str">
        <f>_xlfn.IFS(Table1[[#This Row],[Absence 
Days]]&lt;3,"Excellent",Table1[[#This Row],[Absence 
Days]]&lt;=6,"Good",Table1[[#This Row],[Absence 
Days]]&gt;6,"Poor")</f>
        <v>Good</v>
      </c>
    </row>
    <row r="1394" spans="1:30" x14ac:dyDescent="0.35">
      <c r="A1394">
        <v>1393</v>
      </c>
      <c r="B1394" s="2" t="s">
        <v>200</v>
      </c>
      <c r="C1394" t="s">
        <v>326</v>
      </c>
      <c r="D1394" t="str">
        <f>_xlfn.TEXTJOIN(" ",TRUE,Table1[[#This Row],[First 
Name]:[Last 
Name]])</f>
        <v>Samuel Lee</v>
      </c>
      <c r="E1394" t="s">
        <v>2504</v>
      </c>
      <c r="F1394" t="s">
        <v>3244</v>
      </c>
      <c r="G1394" t="str">
        <f ca="1">PROPER(Table1[[#This Row],[Part Time 
Job]])</f>
        <v>True</v>
      </c>
      <c r="H1394" s="3">
        <v>3</v>
      </c>
      <c r="I1394" t="str">
        <f ca="1">PROPER(Table1[[#This Row],[Extracurricular 
Activities]])</f>
        <v>False</v>
      </c>
      <c r="J1394">
        <v>8</v>
      </c>
      <c r="K1394" t="s">
        <v>3127</v>
      </c>
      <c r="L1394">
        <v>84</v>
      </c>
      <c r="M1394" s="12" t="str" cm="1">
        <f t="array" ref="M139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394">
        <v>98</v>
      </c>
      <c r="O1394" s="13" t="str" cm="1">
        <f t="array" ref="O139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394">
        <v>71</v>
      </c>
      <c r="Q1394" s="13" t="str" cm="1">
        <f t="array" ref="Q139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394">
        <v>62</v>
      </c>
      <c r="S1394" t="str" cm="1">
        <f t="array" ref="S139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394">
        <v>89</v>
      </c>
      <c r="U1394" t="str" cm="1">
        <f t="array" ref="U139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394">
        <v>86</v>
      </c>
      <c r="W1394" t="str" cm="1">
        <f t="array" ref="W139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394">
        <v>67</v>
      </c>
      <c r="Y1394" t="str" cm="1">
        <f t="array" ref="Y139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394">
        <f>SUM(Table1[[#This Row],[Math 
Score]],Table1[[#This Row],[History 
Score]],Table1[[#This Row],[Physics 
Score]],Table1[[#This Row],[Chemistry 
Score]],Table1[[#This Row],[Biology 
Score]],Table1[[#This Row],[English 
Score]],Table1[[#This Row],[Geography 
Score]])</f>
        <v>557</v>
      </c>
      <c r="AA1394" s="3">
        <f>AVERAGE(Table1[[#This Row],[Math 
Score]],Table1[[#This Row],[History 
Score]],Table1[[#This Row],[Physics 
Score]],Table1[[#This Row],[Chemistry 
Score]],Table1[[#This Row],[Biology 
Score]],Table1[[#This Row],[English 
Score]],Table1[[#This Row],[Geography 
Score]])</f>
        <v>79.571428571428569</v>
      </c>
      <c r="AB139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394">
        <f t="shared" si="21"/>
        <v>1200</v>
      </c>
      <c r="AD1394" t="str">
        <f>_xlfn.IFS(Table1[[#This Row],[Absence 
Days]]&lt;3,"Excellent",Table1[[#This Row],[Absence 
Days]]&lt;=6,"Good",Table1[[#This Row],[Absence 
Days]]&gt;6,"Poor")</f>
        <v>Good</v>
      </c>
    </row>
    <row r="1395" spans="1:30" x14ac:dyDescent="0.35">
      <c r="A1395">
        <v>1394</v>
      </c>
      <c r="B1395" s="2" t="s">
        <v>151</v>
      </c>
      <c r="C1395" t="s">
        <v>860</v>
      </c>
      <c r="D1395" t="str">
        <f>_xlfn.TEXTJOIN(" ",TRUE,Table1[[#This Row],[First 
Name]:[Last 
Name]])</f>
        <v>Catherine Miles</v>
      </c>
      <c r="E1395" t="s">
        <v>2505</v>
      </c>
      <c r="F1395" t="s">
        <v>3245</v>
      </c>
      <c r="G1395" t="str">
        <f ca="1">PROPER(Table1[[#This Row],[Part Time 
Job]])</f>
        <v>False</v>
      </c>
      <c r="H1395" s="3">
        <v>3</v>
      </c>
      <c r="I1395" t="str">
        <f ca="1">PROPER(Table1[[#This Row],[Extracurricular 
Activities]])</f>
        <v>False</v>
      </c>
      <c r="J1395">
        <v>4</v>
      </c>
      <c r="K1395" t="s">
        <v>3119</v>
      </c>
      <c r="L1395">
        <v>64</v>
      </c>
      <c r="M1395" s="12" t="str" cm="1">
        <f t="array" ref="M1395">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395">
        <v>66</v>
      </c>
      <c r="O1395" s="13" t="str" cm="1">
        <f t="array" ref="O139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395">
        <v>56</v>
      </c>
      <c r="Q1395" s="13" t="str" cm="1">
        <f t="array" ref="Q139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C</v>
      </c>
      <c r="R1395">
        <v>59</v>
      </c>
      <c r="S1395" t="str" cm="1">
        <f t="array" ref="S139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C</v>
      </c>
      <c r="T1395">
        <v>68</v>
      </c>
      <c r="U1395" t="str" cm="1">
        <f t="array" ref="U139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395">
        <v>68</v>
      </c>
      <c r="W1395" t="str" cm="1">
        <f t="array" ref="W139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395">
        <v>84</v>
      </c>
      <c r="Y1395" t="str" cm="1">
        <f t="array" ref="Y139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395">
        <f>SUM(Table1[[#This Row],[Math 
Score]],Table1[[#This Row],[History 
Score]],Table1[[#This Row],[Physics 
Score]],Table1[[#This Row],[Chemistry 
Score]],Table1[[#This Row],[Biology 
Score]],Table1[[#This Row],[English 
Score]],Table1[[#This Row],[Geography 
Score]])</f>
        <v>465</v>
      </c>
      <c r="AA1395" s="3">
        <f>AVERAGE(Table1[[#This Row],[Math 
Score]],Table1[[#This Row],[History 
Score]],Table1[[#This Row],[Physics 
Score]],Table1[[#This Row],[Chemistry 
Score]],Table1[[#This Row],[Biology 
Score]],Table1[[#This Row],[English 
Score]],Table1[[#This Row],[Geography 
Score]])</f>
        <v>66.428571428571431</v>
      </c>
      <c r="AB139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395">
        <f t="shared" si="21"/>
        <v>1971</v>
      </c>
      <c r="AD1395" t="str">
        <f>_xlfn.IFS(Table1[[#This Row],[Absence 
Days]]&lt;3,"Excellent",Table1[[#This Row],[Absence 
Days]]&lt;=6,"Good",Table1[[#This Row],[Absence 
Days]]&gt;6,"Poor")</f>
        <v>Good</v>
      </c>
    </row>
    <row r="1396" spans="1:30" x14ac:dyDescent="0.35">
      <c r="A1396">
        <v>1395</v>
      </c>
      <c r="B1396" s="2" t="s">
        <v>149</v>
      </c>
      <c r="C1396" t="s">
        <v>964</v>
      </c>
      <c r="D1396" t="str">
        <f>_xlfn.TEXTJOIN(" ",TRUE,Table1[[#This Row],[First 
Name]:[Last 
Name]])</f>
        <v>Joseph Erickson</v>
      </c>
      <c r="E1396" t="s">
        <v>2506</v>
      </c>
      <c r="F1396" t="s">
        <v>3244</v>
      </c>
      <c r="G1396" t="str">
        <f ca="1">PROPER(Table1[[#This Row],[Part Time 
Job]])</f>
        <v>False</v>
      </c>
      <c r="H1396" s="3">
        <v>4</v>
      </c>
      <c r="I1396" t="str">
        <f ca="1">PROPER(Table1[[#This Row],[Extracurricular 
Activities]])</f>
        <v>True</v>
      </c>
      <c r="J1396">
        <v>20</v>
      </c>
      <c r="K1396" t="s">
        <v>3117</v>
      </c>
      <c r="L1396">
        <v>89</v>
      </c>
      <c r="M1396" s="12" t="str" cm="1">
        <f t="array" ref="M139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396">
        <v>88</v>
      </c>
      <c r="O1396" s="13" t="str" cm="1">
        <f t="array" ref="O139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396">
        <v>86</v>
      </c>
      <c r="Q1396" s="13" t="str" cm="1">
        <f t="array" ref="Q139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396">
        <v>77</v>
      </c>
      <c r="S1396" t="str" cm="1">
        <f t="array" ref="S139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396">
        <v>87</v>
      </c>
      <c r="U1396" t="str" cm="1">
        <f t="array" ref="U139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396">
        <v>88</v>
      </c>
      <c r="W1396" t="str" cm="1">
        <f t="array" ref="W139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396">
        <v>78</v>
      </c>
      <c r="Y1396" t="str" cm="1">
        <f t="array" ref="Y139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396">
        <f>SUM(Table1[[#This Row],[Math 
Score]],Table1[[#This Row],[History 
Score]],Table1[[#This Row],[Physics 
Score]],Table1[[#This Row],[Chemistry 
Score]],Table1[[#This Row],[Biology 
Score]],Table1[[#This Row],[English 
Score]],Table1[[#This Row],[Geography 
Score]])</f>
        <v>593</v>
      </c>
      <c r="AA1396" s="3">
        <f>AVERAGE(Table1[[#This Row],[Math 
Score]],Table1[[#This Row],[History 
Score]],Table1[[#This Row],[Physics 
Score]],Table1[[#This Row],[Chemistry 
Score]],Table1[[#This Row],[Biology 
Score]],Table1[[#This Row],[English 
Score]],Table1[[#This Row],[Geography 
Score]])</f>
        <v>84.714285714285708</v>
      </c>
      <c r="AB139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396">
        <f t="shared" si="21"/>
        <v>494</v>
      </c>
      <c r="AD1396" t="str">
        <f>_xlfn.IFS(Table1[[#This Row],[Absence 
Days]]&lt;3,"Excellent",Table1[[#This Row],[Absence 
Days]]&lt;=6,"Good",Table1[[#This Row],[Absence 
Days]]&gt;6,"Poor")</f>
        <v>Good</v>
      </c>
    </row>
    <row r="1397" spans="1:30" x14ac:dyDescent="0.35">
      <c r="A1397">
        <v>1396</v>
      </c>
      <c r="B1397" s="2" t="s">
        <v>256</v>
      </c>
      <c r="C1397" t="s">
        <v>619</v>
      </c>
      <c r="D1397" t="str">
        <f>_xlfn.TEXTJOIN(" ",TRUE,Table1[[#This Row],[First 
Name]:[Last 
Name]])</f>
        <v>Bradley Cook</v>
      </c>
      <c r="E1397" t="s">
        <v>2507</v>
      </c>
      <c r="F1397" t="s">
        <v>3244</v>
      </c>
      <c r="G1397" t="str">
        <f ca="1">PROPER(Table1[[#This Row],[Part Time 
Job]])</f>
        <v>False</v>
      </c>
      <c r="H1397" s="3">
        <v>3</v>
      </c>
      <c r="I1397" t="str">
        <f ca="1">PROPER(Table1[[#This Row],[Extracurricular 
Activities]])</f>
        <v>False</v>
      </c>
      <c r="J1397">
        <v>34</v>
      </c>
      <c r="K1397" t="s">
        <v>3125</v>
      </c>
      <c r="L1397">
        <v>99</v>
      </c>
      <c r="M1397" s="12" t="str" cm="1">
        <f t="array" ref="M139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397">
        <v>93</v>
      </c>
      <c r="O1397" s="13" t="str" cm="1">
        <f t="array" ref="O139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397">
        <v>98</v>
      </c>
      <c r="Q1397" s="13" t="str" cm="1">
        <f t="array" ref="Q139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397">
        <v>74</v>
      </c>
      <c r="S1397" t="str" cm="1">
        <f t="array" ref="S139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397">
        <v>87</v>
      </c>
      <c r="U1397" t="str" cm="1">
        <f t="array" ref="U139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397">
        <v>88</v>
      </c>
      <c r="W1397" t="str" cm="1">
        <f t="array" ref="W139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397">
        <v>78</v>
      </c>
      <c r="Y1397" t="str" cm="1">
        <f t="array" ref="Y139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397">
        <f>SUM(Table1[[#This Row],[Math 
Score]],Table1[[#This Row],[History 
Score]],Table1[[#This Row],[Physics 
Score]],Table1[[#This Row],[Chemistry 
Score]],Table1[[#This Row],[Biology 
Score]],Table1[[#This Row],[English 
Score]],Table1[[#This Row],[Geography 
Score]])</f>
        <v>617</v>
      </c>
      <c r="AA1397" s="3">
        <f>AVERAGE(Table1[[#This Row],[Math 
Score]],Table1[[#This Row],[History 
Score]],Table1[[#This Row],[Physics 
Score]],Table1[[#This Row],[Chemistry 
Score]],Table1[[#This Row],[Biology 
Score]],Table1[[#This Row],[English 
Score]],Table1[[#This Row],[Geography 
Score]])</f>
        <v>88.142857142857139</v>
      </c>
      <c r="AB139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397">
        <f t="shared" si="21"/>
        <v>235</v>
      </c>
      <c r="AD1397" t="str">
        <f>_xlfn.IFS(Table1[[#This Row],[Absence 
Days]]&lt;3,"Excellent",Table1[[#This Row],[Absence 
Days]]&lt;=6,"Good",Table1[[#This Row],[Absence 
Days]]&gt;6,"Poor")</f>
        <v>Good</v>
      </c>
    </row>
    <row r="1398" spans="1:30" x14ac:dyDescent="0.35">
      <c r="A1398">
        <v>1397</v>
      </c>
      <c r="B1398" s="2" t="s">
        <v>400</v>
      </c>
      <c r="C1398" t="s">
        <v>951</v>
      </c>
      <c r="D1398" t="str">
        <f>_xlfn.TEXTJOIN(" ",TRUE,Table1[[#This Row],[First 
Name]:[Last 
Name]])</f>
        <v>Tony Montgomery</v>
      </c>
      <c r="E1398" t="s">
        <v>2508</v>
      </c>
      <c r="F1398" t="s">
        <v>3244</v>
      </c>
      <c r="G1398" t="str">
        <f ca="1">PROPER(Table1[[#This Row],[Part Time 
Job]])</f>
        <v>False</v>
      </c>
      <c r="H1398" s="3">
        <v>2</v>
      </c>
      <c r="I1398" t="str">
        <f ca="1">PROPER(Table1[[#This Row],[Extracurricular 
Activities]])</f>
        <v>False</v>
      </c>
      <c r="J1398">
        <v>42</v>
      </c>
      <c r="K1398" t="s">
        <v>3113</v>
      </c>
      <c r="L1398">
        <v>85</v>
      </c>
      <c r="M1398" s="12" t="str" cm="1">
        <f t="array" ref="M139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398">
        <v>96</v>
      </c>
      <c r="O1398" s="13" t="str" cm="1">
        <f t="array" ref="O139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398">
        <v>98</v>
      </c>
      <c r="Q1398" s="13" t="str" cm="1">
        <f t="array" ref="Q139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398">
        <v>85</v>
      </c>
      <c r="S1398" t="str" cm="1">
        <f t="array" ref="S139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398">
        <v>95</v>
      </c>
      <c r="U1398" t="str" cm="1">
        <f t="array" ref="U139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398">
        <v>96</v>
      </c>
      <c r="W1398" t="str" cm="1">
        <f t="array" ref="W139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398">
        <v>97</v>
      </c>
      <c r="Y1398" t="str" cm="1">
        <f t="array" ref="Y139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398">
        <f>SUM(Table1[[#This Row],[Math 
Score]],Table1[[#This Row],[History 
Score]],Table1[[#This Row],[Physics 
Score]],Table1[[#This Row],[Chemistry 
Score]],Table1[[#This Row],[Biology 
Score]],Table1[[#This Row],[English 
Score]],Table1[[#This Row],[Geography 
Score]])</f>
        <v>652</v>
      </c>
      <c r="AA1398" s="3">
        <f>AVERAGE(Table1[[#This Row],[Math 
Score]],Table1[[#This Row],[History 
Score]],Table1[[#This Row],[Physics 
Score]],Table1[[#This Row],[Chemistry 
Score]],Table1[[#This Row],[Biology 
Score]],Table1[[#This Row],[English 
Score]],Table1[[#This Row],[Geography 
Score]])</f>
        <v>93.142857142857139</v>
      </c>
      <c r="AB139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398">
        <f t="shared" si="21"/>
        <v>46</v>
      </c>
      <c r="AD1398" t="str">
        <f>_xlfn.IFS(Table1[[#This Row],[Absence 
Days]]&lt;3,"Excellent",Table1[[#This Row],[Absence 
Days]]&lt;=6,"Good",Table1[[#This Row],[Absence 
Days]]&gt;6,"Poor")</f>
        <v>Excellent</v>
      </c>
    </row>
    <row r="1399" spans="1:30" x14ac:dyDescent="0.35">
      <c r="A1399">
        <v>1398</v>
      </c>
      <c r="B1399" s="2" t="s">
        <v>401</v>
      </c>
      <c r="C1399" t="s">
        <v>475</v>
      </c>
      <c r="D1399" t="str">
        <f>_xlfn.TEXTJOIN(" ",TRUE,Table1[[#This Row],[First 
Name]:[Last 
Name]])</f>
        <v>Drew Williams</v>
      </c>
      <c r="E1399" t="s">
        <v>2509</v>
      </c>
      <c r="F1399" t="s">
        <v>3244</v>
      </c>
      <c r="G1399" t="str">
        <f ca="1">PROPER(Table1[[#This Row],[Part Time 
Job]])</f>
        <v>False</v>
      </c>
      <c r="H1399" s="3">
        <v>6</v>
      </c>
      <c r="I1399" t="str">
        <f ca="1">PROPER(Table1[[#This Row],[Extracurricular 
Activities]])</f>
        <v>False</v>
      </c>
      <c r="J1399">
        <v>4</v>
      </c>
      <c r="K1399" t="s">
        <v>3126</v>
      </c>
      <c r="L1399">
        <v>89</v>
      </c>
      <c r="M1399" s="12" t="str" cm="1">
        <f t="array" ref="M139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399">
        <v>78</v>
      </c>
      <c r="O1399" s="13" t="str" cm="1">
        <f t="array" ref="O139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399">
        <v>89</v>
      </c>
      <c r="Q1399" s="13" t="str" cm="1">
        <f t="array" ref="Q139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399">
        <v>91</v>
      </c>
      <c r="S1399" t="str" cm="1">
        <f t="array" ref="S139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399">
        <v>76</v>
      </c>
      <c r="U1399" t="str" cm="1">
        <f t="array" ref="U139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399">
        <v>96</v>
      </c>
      <c r="W1399" t="str" cm="1">
        <f t="array" ref="W139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399">
        <v>81</v>
      </c>
      <c r="Y1399" t="str" cm="1">
        <f t="array" ref="Y139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399">
        <f>SUM(Table1[[#This Row],[Math 
Score]],Table1[[#This Row],[History 
Score]],Table1[[#This Row],[Physics 
Score]],Table1[[#This Row],[Chemistry 
Score]],Table1[[#This Row],[Biology 
Score]],Table1[[#This Row],[English 
Score]],Table1[[#This Row],[Geography 
Score]])</f>
        <v>600</v>
      </c>
      <c r="AA1399" s="3">
        <f>AVERAGE(Table1[[#This Row],[Math 
Score]],Table1[[#This Row],[History 
Score]],Table1[[#This Row],[Physics 
Score]],Table1[[#This Row],[Chemistry 
Score]],Table1[[#This Row],[Biology 
Score]],Table1[[#This Row],[English 
Score]],Table1[[#This Row],[Geography 
Score]])</f>
        <v>85.714285714285708</v>
      </c>
      <c r="AB139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399">
        <f t="shared" si="21"/>
        <v>406</v>
      </c>
      <c r="AD1399" t="str">
        <f>_xlfn.IFS(Table1[[#This Row],[Absence 
Days]]&lt;3,"Excellent",Table1[[#This Row],[Absence 
Days]]&lt;=6,"Good",Table1[[#This Row],[Absence 
Days]]&gt;6,"Poor")</f>
        <v>Good</v>
      </c>
    </row>
    <row r="1400" spans="1:30" x14ac:dyDescent="0.35">
      <c r="A1400">
        <v>1399</v>
      </c>
      <c r="B1400" s="2" t="s">
        <v>402</v>
      </c>
      <c r="C1400" t="s">
        <v>486</v>
      </c>
      <c r="D1400" t="str">
        <f>_xlfn.TEXTJOIN(" ",TRUE,Table1[[#This Row],[First 
Name]:[Last 
Name]])</f>
        <v>Gwendolyn Martinez</v>
      </c>
      <c r="E1400" t="s">
        <v>2510</v>
      </c>
      <c r="F1400" t="s">
        <v>3245</v>
      </c>
      <c r="G1400" t="str">
        <f ca="1">PROPER(Table1[[#This Row],[Part Time 
Job]])</f>
        <v>False</v>
      </c>
      <c r="H1400" s="3">
        <v>6</v>
      </c>
      <c r="I1400" t="str">
        <f ca="1">PROPER(Table1[[#This Row],[Extracurricular 
Activities]])</f>
        <v>True</v>
      </c>
      <c r="J1400">
        <v>14</v>
      </c>
      <c r="K1400" t="s">
        <v>3117</v>
      </c>
      <c r="L1400">
        <v>97</v>
      </c>
      <c r="M1400" s="12" t="str" cm="1">
        <f t="array" ref="M140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400">
        <v>92</v>
      </c>
      <c r="O1400" s="13" t="str" cm="1">
        <f t="array" ref="O140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400">
        <v>64</v>
      </c>
      <c r="Q1400" s="13" t="str" cm="1">
        <f t="array" ref="Q140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400">
        <v>93</v>
      </c>
      <c r="S1400" t="str" cm="1">
        <f t="array" ref="S140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400">
        <v>60</v>
      </c>
      <c r="U1400" t="str" cm="1">
        <f t="array" ref="U140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400">
        <v>63</v>
      </c>
      <c r="W1400" t="str" cm="1">
        <f t="array" ref="W140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400">
        <v>90</v>
      </c>
      <c r="Y1400" t="str" cm="1">
        <f t="array" ref="Y140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400">
        <f>SUM(Table1[[#This Row],[Math 
Score]],Table1[[#This Row],[History 
Score]],Table1[[#This Row],[Physics 
Score]],Table1[[#This Row],[Chemistry 
Score]],Table1[[#This Row],[Biology 
Score]],Table1[[#This Row],[English 
Score]],Table1[[#This Row],[Geography 
Score]])</f>
        <v>559</v>
      </c>
      <c r="AA1400" s="3">
        <f>AVERAGE(Table1[[#This Row],[Math 
Score]],Table1[[#This Row],[History 
Score]],Table1[[#This Row],[Physics 
Score]],Table1[[#This Row],[Chemistry 
Score]],Table1[[#This Row],[Biology 
Score]],Table1[[#This Row],[English 
Score]],Table1[[#This Row],[Geography 
Score]])</f>
        <v>79.857142857142861</v>
      </c>
      <c r="AB140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400">
        <f t="shared" si="21"/>
        <v>1155</v>
      </c>
      <c r="AD1400" t="str">
        <f>_xlfn.IFS(Table1[[#This Row],[Absence 
Days]]&lt;3,"Excellent",Table1[[#This Row],[Absence 
Days]]&lt;=6,"Good",Table1[[#This Row],[Absence 
Days]]&gt;6,"Poor")</f>
        <v>Good</v>
      </c>
    </row>
    <row r="1401" spans="1:30" x14ac:dyDescent="0.35">
      <c r="A1401">
        <v>1400</v>
      </c>
      <c r="B1401" s="2" t="s">
        <v>162</v>
      </c>
      <c r="C1401" t="s">
        <v>519</v>
      </c>
      <c r="D1401" t="str">
        <f>_xlfn.TEXTJOIN(" ",TRUE,Table1[[#This Row],[First 
Name]:[Last 
Name]])</f>
        <v>Nathan Calhoun</v>
      </c>
      <c r="E1401" t="s">
        <v>2511</v>
      </c>
      <c r="F1401" t="s">
        <v>3244</v>
      </c>
      <c r="G1401" t="str">
        <f ca="1">PROPER(Table1[[#This Row],[Part Time 
Job]])</f>
        <v>False</v>
      </c>
      <c r="H1401" s="3">
        <v>1</v>
      </c>
      <c r="I1401" t="str">
        <f ca="1">PROPER(Table1[[#This Row],[Extracurricular 
Activities]])</f>
        <v>False</v>
      </c>
      <c r="J1401">
        <v>29</v>
      </c>
      <c r="K1401" t="s">
        <v>3125</v>
      </c>
      <c r="L1401">
        <v>86</v>
      </c>
      <c r="M1401" s="12" t="str" cm="1">
        <f t="array" ref="M140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401">
        <v>100</v>
      </c>
      <c r="O1401" s="13" t="str" cm="1">
        <f t="array" ref="O140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401">
        <v>86</v>
      </c>
      <c r="Q1401" s="13" t="str" cm="1">
        <f t="array" ref="Q140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401">
        <v>96</v>
      </c>
      <c r="S1401" t="str" cm="1">
        <f t="array" ref="S140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401">
        <v>73</v>
      </c>
      <c r="U1401" t="str" cm="1">
        <f t="array" ref="U140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401">
        <v>60</v>
      </c>
      <c r="W1401" t="str" cm="1">
        <f t="array" ref="W140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401">
        <v>77</v>
      </c>
      <c r="Y1401" t="str" cm="1">
        <f t="array" ref="Y140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401">
        <f>SUM(Table1[[#This Row],[Math 
Score]],Table1[[#This Row],[History 
Score]],Table1[[#This Row],[Physics 
Score]],Table1[[#This Row],[Chemistry 
Score]],Table1[[#This Row],[Biology 
Score]],Table1[[#This Row],[English 
Score]],Table1[[#This Row],[Geography 
Score]])</f>
        <v>578</v>
      </c>
      <c r="AA1401" s="3">
        <f>AVERAGE(Table1[[#This Row],[Math 
Score]],Table1[[#This Row],[History 
Score]],Table1[[#This Row],[Physics 
Score]],Table1[[#This Row],[Chemistry 
Score]],Table1[[#This Row],[Biology 
Score]],Table1[[#This Row],[English 
Score]],Table1[[#This Row],[Geography 
Score]])</f>
        <v>82.571428571428569</v>
      </c>
      <c r="AB140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401">
        <f t="shared" si="21"/>
        <v>752</v>
      </c>
      <c r="AD1401" t="str">
        <f>_xlfn.IFS(Table1[[#This Row],[Absence 
Days]]&lt;3,"Excellent",Table1[[#This Row],[Absence 
Days]]&lt;=6,"Good",Table1[[#This Row],[Absence 
Days]]&gt;6,"Poor")</f>
        <v>Excellent</v>
      </c>
    </row>
    <row r="1402" spans="1:30" x14ac:dyDescent="0.35">
      <c r="A1402">
        <v>1401</v>
      </c>
      <c r="B1402" s="2" t="s">
        <v>403</v>
      </c>
      <c r="C1402" t="s">
        <v>594</v>
      </c>
      <c r="D1402" t="str">
        <f>_xlfn.TEXTJOIN(" ",TRUE,Table1[[#This Row],[First 
Name]:[Last 
Name]])</f>
        <v>Krista Myers</v>
      </c>
      <c r="E1402" t="s">
        <v>2512</v>
      </c>
      <c r="F1402" t="s">
        <v>3245</v>
      </c>
      <c r="G1402" t="str">
        <f ca="1">PROPER(Table1[[#This Row],[Part Time 
Job]])</f>
        <v>False</v>
      </c>
      <c r="H1402" s="3">
        <v>3</v>
      </c>
      <c r="I1402" t="str">
        <f ca="1">PROPER(Table1[[#This Row],[Extracurricular 
Activities]])</f>
        <v>False</v>
      </c>
      <c r="J1402">
        <v>34</v>
      </c>
      <c r="K1402" t="s">
        <v>3112</v>
      </c>
      <c r="L1402">
        <v>72</v>
      </c>
      <c r="M1402" s="12" t="str" cm="1">
        <f t="array" ref="M1402">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402">
        <v>86</v>
      </c>
      <c r="O1402" s="13" t="str" cm="1">
        <f t="array" ref="O140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402">
        <v>69</v>
      </c>
      <c r="Q1402" s="13" t="str" cm="1">
        <f t="array" ref="Q140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402">
        <v>81</v>
      </c>
      <c r="S1402" t="str" cm="1">
        <f t="array" ref="S140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402">
        <v>67</v>
      </c>
      <c r="U1402" t="str" cm="1">
        <f t="array" ref="U140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402">
        <v>98</v>
      </c>
      <c r="W1402" t="str" cm="1">
        <f t="array" ref="W140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402">
        <v>72</v>
      </c>
      <c r="Y1402" t="str" cm="1">
        <f t="array" ref="Y140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402">
        <f>SUM(Table1[[#This Row],[Math 
Score]],Table1[[#This Row],[History 
Score]],Table1[[#This Row],[Physics 
Score]],Table1[[#This Row],[Chemistry 
Score]],Table1[[#This Row],[Biology 
Score]],Table1[[#This Row],[English 
Score]],Table1[[#This Row],[Geography 
Score]])</f>
        <v>545</v>
      </c>
      <c r="AA1402" s="3">
        <f>AVERAGE(Table1[[#This Row],[Math 
Score]],Table1[[#This Row],[History 
Score]],Table1[[#This Row],[Physics 
Score]],Table1[[#This Row],[Chemistry 
Score]],Table1[[#This Row],[Biology 
Score]],Table1[[#This Row],[English 
Score]],Table1[[#This Row],[Geography 
Score]])</f>
        <v>77.857142857142861</v>
      </c>
      <c r="AB140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402">
        <f t="shared" si="21"/>
        <v>1432</v>
      </c>
      <c r="AD1402" t="str">
        <f>_xlfn.IFS(Table1[[#This Row],[Absence 
Days]]&lt;3,"Excellent",Table1[[#This Row],[Absence 
Days]]&lt;=6,"Good",Table1[[#This Row],[Absence 
Days]]&gt;6,"Poor")</f>
        <v>Good</v>
      </c>
    </row>
    <row r="1403" spans="1:30" x14ac:dyDescent="0.35">
      <c r="A1403">
        <v>1402</v>
      </c>
      <c r="B1403" s="2" t="s">
        <v>125</v>
      </c>
      <c r="C1403" t="s">
        <v>960</v>
      </c>
      <c r="D1403" t="str">
        <f>_xlfn.TEXTJOIN(" ",TRUE,Table1[[#This Row],[First 
Name]:[Last 
Name]])</f>
        <v>Jeremy Bailey</v>
      </c>
      <c r="E1403" t="s">
        <v>2513</v>
      </c>
      <c r="F1403" t="s">
        <v>3244</v>
      </c>
      <c r="G1403" t="str">
        <f ca="1">PROPER(Table1[[#This Row],[Part Time 
Job]])</f>
        <v>False</v>
      </c>
      <c r="H1403" s="3">
        <v>3</v>
      </c>
      <c r="I1403" t="str">
        <f ca="1">PROPER(Table1[[#This Row],[Extracurricular 
Activities]])</f>
        <v>False</v>
      </c>
      <c r="J1403">
        <v>1</v>
      </c>
      <c r="K1403" t="s">
        <v>3115</v>
      </c>
      <c r="L1403">
        <v>63</v>
      </c>
      <c r="M1403" s="12" t="str" cm="1">
        <f t="array" ref="M1403">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403">
        <v>78</v>
      </c>
      <c r="O1403" s="13" t="str" cm="1">
        <f t="array" ref="O140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403">
        <v>97</v>
      </c>
      <c r="Q1403" s="13" t="str" cm="1">
        <f t="array" ref="Q140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403">
        <v>67</v>
      </c>
      <c r="S1403" t="str" cm="1">
        <f t="array" ref="S140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403">
        <v>72</v>
      </c>
      <c r="U1403" t="str" cm="1">
        <f t="array" ref="U140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403">
        <v>64</v>
      </c>
      <c r="W1403" t="str" cm="1">
        <f t="array" ref="W140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403">
        <v>67</v>
      </c>
      <c r="Y1403" t="str" cm="1">
        <f t="array" ref="Y140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403">
        <f>SUM(Table1[[#This Row],[Math 
Score]],Table1[[#This Row],[History 
Score]],Table1[[#This Row],[Physics 
Score]],Table1[[#This Row],[Chemistry 
Score]],Table1[[#This Row],[Biology 
Score]],Table1[[#This Row],[English 
Score]],Table1[[#This Row],[Geography 
Score]])</f>
        <v>508</v>
      </c>
      <c r="AA1403" s="3">
        <f>AVERAGE(Table1[[#This Row],[Math 
Score]],Table1[[#This Row],[History 
Score]],Table1[[#This Row],[Physics 
Score]],Table1[[#This Row],[Chemistry 
Score]],Table1[[#This Row],[Biology 
Score]],Table1[[#This Row],[English 
Score]],Table1[[#This Row],[Geography 
Score]])</f>
        <v>72.571428571428569</v>
      </c>
      <c r="AB140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403">
        <f t="shared" si="21"/>
        <v>1840</v>
      </c>
      <c r="AD1403" t="str">
        <f>_xlfn.IFS(Table1[[#This Row],[Absence 
Days]]&lt;3,"Excellent",Table1[[#This Row],[Absence 
Days]]&lt;=6,"Good",Table1[[#This Row],[Absence 
Days]]&gt;6,"Poor")</f>
        <v>Good</v>
      </c>
    </row>
    <row r="1404" spans="1:30" x14ac:dyDescent="0.35">
      <c r="A1404">
        <v>1403</v>
      </c>
      <c r="B1404" s="2" t="s">
        <v>117</v>
      </c>
      <c r="C1404" t="s">
        <v>837</v>
      </c>
      <c r="D1404" t="str">
        <f>_xlfn.TEXTJOIN(" ",TRUE,Table1[[#This Row],[First 
Name]:[Last 
Name]])</f>
        <v>Nicholas Lester</v>
      </c>
      <c r="E1404" t="s">
        <v>2514</v>
      </c>
      <c r="F1404" t="s">
        <v>3244</v>
      </c>
      <c r="G1404" t="str">
        <f ca="1">PROPER(Table1[[#This Row],[Part Time 
Job]])</f>
        <v>False</v>
      </c>
      <c r="H1404" s="3">
        <v>5</v>
      </c>
      <c r="I1404" t="str">
        <f ca="1">PROPER(Table1[[#This Row],[Extracurricular 
Activities]])</f>
        <v>False</v>
      </c>
      <c r="J1404">
        <v>27</v>
      </c>
      <c r="K1404" t="s">
        <v>3117</v>
      </c>
      <c r="L1404">
        <v>99</v>
      </c>
      <c r="M1404" s="12" t="str" cm="1">
        <f t="array" ref="M140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404">
        <v>78</v>
      </c>
      <c r="O1404" s="13" t="str" cm="1">
        <f t="array" ref="O140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404">
        <v>92</v>
      </c>
      <c r="Q1404" s="13" t="str" cm="1">
        <f t="array" ref="Q140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404">
        <v>65</v>
      </c>
      <c r="S1404" t="str" cm="1">
        <f t="array" ref="S140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404">
        <v>90</v>
      </c>
      <c r="U1404" t="str" cm="1">
        <f t="array" ref="U140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404">
        <v>96</v>
      </c>
      <c r="W1404" t="str" cm="1">
        <f t="array" ref="W140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404">
        <v>96</v>
      </c>
      <c r="Y1404" t="str" cm="1">
        <f t="array" ref="Y140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404">
        <f>SUM(Table1[[#This Row],[Math 
Score]],Table1[[#This Row],[History 
Score]],Table1[[#This Row],[Physics 
Score]],Table1[[#This Row],[Chemistry 
Score]],Table1[[#This Row],[Biology 
Score]],Table1[[#This Row],[English 
Score]],Table1[[#This Row],[Geography 
Score]])</f>
        <v>616</v>
      </c>
      <c r="AA1404" s="3">
        <f>AVERAGE(Table1[[#This Row],[Math 
Score]],Table1[[#This Row],[History 
Score]],Table1[[#This Row],[Physics 
Score]],Table1[[#This Row],[Chemistry 
Score]],Table1[[#This Row],[Biology 
Score]],Table1[[#This Row],[English 
Score]],Table1[[#This Row],[Geography 
Score]])</f>
        <v>88</v>
      </c>
      <c r="AB140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404">
        <f t="shared" si="21"/>
        <v>243</v>
      </c>
      <c r="AD1404" t="str">
        <f>_xlfn.IFS(Table1[[#This Row],[Absence 
Days]]&lt;3,"Excellent",Table1[[#This Row],[Absence 
Days]]&lt;=6,"Good",Table1[[#This Row],[Absence 
Days]]&gt;6,"Poor")</f>
        <v>Good</v>
      </c>
    </row>
    <row r="1405" spans="1:30" x14ac:dyDescent="0.35">
      <c r="A1405">
        <v>1404</v>
      </c>
      <c r="B1405" s="2" t="s">
        <v>50</v>
      </c>
      <c r="C1405" t="s">
        <v>1009</v>
      </c>
      <c r="D1405" t="str">
        <f>_xlfn.TEXTJOIN(" ",TRUE,Table1[[#This Row],[First 
Name]:[Last 
Name]])</f>
        <v>Jennifer Ford</v>
      </c>
      <c r="E1405" t="s">
        <v>2515</v>
      </c>
      <c r="F1405" t="s">
        <v>3245</v>
      </c>
      <c r="G1405" t="str">
        <f ca="1">PROPER(Table1[[#This Row],[Part Time 
Job]])</f>
        <v>False</v>
      </c>
      <c r="H1405" s="3">
        <v>4</v>
      </c>
      <c r="I1405" t="str">
        <f ca="1">PROPER(Table1[[#This Row],[Extracurricular 
Activities]])</f>
        <v>False</v>
      </c>
      <c r="J1405">
        <v>30</v>
      </c>
      <c r="K1405" t="s">
        <v>3121</v>
      </c>
      <c r="L1405">
        <v>81</v>
      </c>
      <c r="M1405" s="12" t="str" cm="1">
        <f t="array" ref="M140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405">
        <v>85</v>
      </c>
      <c r="O1405" s="13" t="str" cm="1">
        <f t="array" ref="O140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405">
        <v>64</v>
      </c>
      <c r="Q1405" s="13" t="str" cm="1">
        <f t="array" ref="Q140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405">
        <v>61</v>
      </c>
      <c r="S1405" t="str" cm="1">
        <f t="array" ref="S140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405">
        <v>86</v>
      </c>
      <c r="U1405" t="str" cm="1">
        <f t="array" ref="U140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405">
        <v>80</v>
      </c>
      <c r="W1405" t="str" cm="1">
        <f t="array" ref="W140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405">
        <v>83</v>
      </c>
      <c r="Y1405" t="str" cm="1">
        <f t="array" ref="Y140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405">
        <f>SUM(Table1[[#This Row],[Math 
Score]],Table1[[#This Row],[History 
Score]],Table1[[#This Row],[Physics 
Score]],Table1[[#This Row],[Chemistry 
Score]],Table1[[#This Row],[Biology 
Score]],Table1[[#This Row],[English 
Score]],Table1[[#This Row],[Geography 
Score]])</f>
        <v>540</v>
      </c>
      <c r="AA1405" s="3">
        <f>AVERAGE(Table1[[#This Row],[Math 
Score]],Table1[[#This Row],[History 
Score]],Table1[[#This Row],[Physics 
Score]],Table1[[#This Row],[Chemistry 
Score]],Table1[[#This Row],[Biology 
Score]],Table1[[#This Row],[English 
Score]],Table1[[#This Row],[Geography 
Score]])</f>
        <v>77.142857142857139</v>
      </c>
      <c r="AB140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405">
        <f t="shared" si="21"/>
        <v>1513</v>
      </c>
      <c r="AD1405" t="str">
        <f>_xlfn.IFS(Table1[[#This Row],[Absence 
Days]]&lt;3,"Excellent",Table1[[#This Row],[Absence 
Days]]&lt;=6,"Good",Table1[[#This Row],[Absence 
Days]]&gt;6,"Poor")</f>
        <v>Good</v>
      </c>
    </row>
    <row r="1406" spans="1:30" x14ac:dyDescent="0.35">
      <c r="A1406">
        <v>1405</v>
      </c>
      <c r="B1406" s="2" t="s">
        <v>339</v>
      </c>
      <c r="C1406" t="s">
        <v>433</v>
      </c>
      <c r="D1406" t="str">
        <f>_xlfn.TEXTJOIN(" ",TRUE,Table1[[#This Row],[First 
Name]:[Last 
Name]])</f>
        <v>Connor Mitchell</v>
      </c>
      <c r="E1406" t="s">
        <v>2516</v>
      </c>
      <c r="F1406" t="s">
        <v>3244</v>
      </c>
      <c r="G1406" t="str">
        <f ca="1">PROPER(Table1[[#This Row],[Part Time 
Job]])</f>
        <v>False</v>
      </c>
      <c r="H1406" s="3">
        <v>10</v>
      </c>
      <c r="I1406" t="str">
        <f ca="1">PROPER(Table1[[#This Row],[Extracurricular 
Activities]])</f>
        <v>False</v>
      </c>
      <c r="J1406">
        <v>33</v>
      </c>
      <c r="K1406" t="s">
        <v>3112</v>
      </c>
      <c r="L1406">
        <v>72</v>
      </c>
      <c r="M1406" s="12" t="str" cm="1">
        <f t="array" ref="M1406">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406">
        <v>80</v>
      </c>
      <c r="O1406" s="13" t="str" cm="1">
        <f t="array" ref="O140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406">
        <v>84</v>
      </c>
      <c r="Q1406" s="13" t="str" cm="1">
        <f t="array" ref="Q140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406">
        <v>91</v>
      </c>
      <c r="S1406" t="str" cm="1">
        <f t="array" ref="S140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406">
        <v>96</v>
      </c>
      <c r="U1406" t="str" cm="1">
        <f t="array" ref="U140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406">
        <v>93</v>
      </c>
      <c r="W1406" t="str" cm="1">
        <f t="array" ref="W140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406">
        <v>74</v>
      </c>
      <c r="Y1406" t="str" cm="1">
        <f t="array" ref="Y140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406">
        <f>SUM(Table1[[#This Row],[Math 
Score]],Table1[[#This Row],[History 
Score]],Table1[[#This Row],[Physics 
Score]],Table1[[#This Row],[Chemistry 
Score]],Table1[[#This Row],[Biology 
Score]],Table1[[#This Row],[English 
Score]],Table1[[#This Row],[Geography 
Score]])</f>
        <v>590</v>
      </c>
      <c r="AA1406" s="3">
        <f>AVERAGE(Table1[[#This Row],[Math 
Score]],Table1[[#This Row],[History 
Score]],Table1[[#This Row],[Physics 
Score]],Table1[[#This Row],[Chemistry 
Score]],Table1[[#This Row],[Biology 
Score]],Table1[[#This Row],[English 
Score]],Table1[[#This Row],[Geography 
Score]])</f>
        <v>84.285714285714292</v>
      </c>
      <c r="AB140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406">
        <f t="shared" si="21"/>
        <v>531</v>
      </c>
      <c r="AD1406" t="str">
        <f>_xlfn.IFS(Table1[[#This Row],[Absence 
Days]]&lt;3,"Excellent",Table1[[#This Row],[Absence 
Days]]&lt;=6,"Good",Table1[[#This Row],[Absence 
Days]]&gt;6,"Poor")</f>
        <v>Poor</v>
      </c>
    </row>
    <row r="1407" spans="1:30" x14ac:dyDescent="0.35">
      <c r="A1407">
        <v>1406</v>
      </c>
      <c r="B1407" s="2" t="s">
        <v>206</v>
      </c>
      <c r="C1407" t="s">
        <v>653</v>
      </c>
      <c r="D1407" t="str">
        <f>_xlfn.TEXTJOIN(" ",TRUE,Table1[[#This Row],[First 
Name]:[Last 
Name]])</f>
        <v>Christine Nelson</v>
      </c>
      <c r="E1407" t="s">
        <v>2517</v>
      </c>
      <c r="F1407" t="s">
        <v>3245</v>
      </c>
      <c r="G1407" t="str">
        <f ca="1">PROPER(Table1[[#This Row],[Part Time 
Job]])</f>
        <v>False</v>
      </c>
      <c r="H1407" s="3">
        <v>1</v>
      </c>
      <c r="I1407" t="str">
        <f ca="1">PROPER(Table1[[#This Row],[Extracurricular 
Activities]])</f>
        <v>False</v>
      </c>
      <c r="J1407">
        <v>15</v>
      </c>
      <c r="K1407" t="s">
        <v>3118</v>
      </c>
      <c r="L1407">
        <v>94</v>
      </c>
      <c r="M1407" s="12" t="str" cm="1">
        <f t="array" ref="M140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407">
        <v>98</v>
      </c>
      <c r="O1407" s="13" t="str" cm="1">
        <f t="array" ref="O140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407">
        <v>65</v>
      </c>
      <c r="Q1407" s="13" t="str" cm="1">
        <f t="array" ref="Q140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407">
        <v>98</v>
      </c>
      <c r="S1407" t="str" cm="1">
        <f t="array" ref="S140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407">
        <v>78</v>
      </c>
      <c r="U1407" t="str" cm="1">
        <f t="array" ref="U140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407">
        <v>96</v>
      </c>
      <c r="W1407" t="str" cm="1">
        <f t="array" ref="W140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407">
        <v>86</v>
      </c>
      <c r="Y1407" t="str" cm="1">
        <f t="array" ref="Y140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407">
        <f>SUM(Table1[[#This Row],[Math 
Score]],Table1[[#This Row],[History 
Score]],Table1[[#This Row],[Physics 
Score]],Table1[[#This Row],[Chemistry 
Score]],Table1[[#This Row],[Biology 
Score]],Table1[[#This Row],[English 
Score]],Table1[[#This Row],[Geography 
Score]])</f>
        <v>615</v>
      </c>
      <c r="AA1407" s="3">
        <f>AVERAGE(Table1[[#This Row],[Math 
Score]],Table1[[#This Row],[History 
Score]],Table1[[#This Row],[Physics 
Score]],Table1[[#This Row],[Chemistry 
Score]],Table1[[#This Row],[Biology 
Score]],Table1[[#This Row],[English 
Score]],Table1[[#This Row],[Geography 
Score]])</f>
        <v>87.857142857142861</v>
      </c>
      <c r="AB140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407">
        <f t="shared" si="21"/>
        <v>251</v>
      </c>
      <c r="AD1407" t="str">
        <f>_xlfn.IFS(Table1[[#This Row],[Absence 
Days]]&lt;3,"Excellent",Table1[[#This Row],[Absence 
Days]]&lt;=6,"Good",Table1[[#This Row],[Absence 
Days]]&gt;6,"Poor")</f>
        <v>Excellent</v>
      </c>
    </row>
    <row r="1408" spans="1:30" x14ac:dyDescent="0.35">
      <c r="A1408">
        <v>1407</v>
      </c>
      <c r="B1408" s="2" t="s">
        <v>122</v>
      </c>
      <c r="C1408" t="s">
        <v>630</v>
      </c>
      <c r="D1408" t="str">
        <f>_xlfn.TEXTJOIN(" ",TRUE,Table1[[#This Row],[First 
Name]:[Last 
Name]])</f>
        <v>Rebecca Spencer</v>
      </c>
      <c r="E1408" t="s">
        <v>2518</v>
      </c>
      <c r="F1408" t="s">
        <v>3245</v>
      </c>
      <c r="G1408" t="str">
        <f ca="1">PROPER(Table1[[#This Row],[Part Time 
Job]])</f>
        <v>False</v>
      </c>
      <c r="H1408" s="3">
        <v>2</v>
      </c>
      <c r="I1408" t="str">
        <f ca="1">PROPER(Table1[[#This Row],[Extracurricular 
Activities]])</f>
        <v>False</v>
      </c>
      <c r="J1408">
        <v>5</v>
      </c>
      <c r="K1408" t="s">
        <v>3128</v>
      </c>
      <c r="L1408">
        <v>58</v>
      </c>
      <c r="M1408" s="12" t="str" cm="1">
        <f t="array" ref="M1408">_xlfn.IFS(Table1[[#This Row],[Math 
Score]]&gt;=90,"A+",Table1[[#This Row],[Math 
Score]]&gt;=80,"A", Table1[[#This Row],[Math 
Score]]&gt;=75,"A-",Table1[[#This Row],[Math 
Score]]&gt;=70,"B+",Table1[[#This Row],[Math 
Score]]&gt;=65,"B",Table1[[#This Row],[Math 
Score]]&gt;=60,"B-",Table1[[#This Row],[Math 
Score]]&gt;=50,"C",Table1[[#This Row],[Math 
Score]]&gt;=40,"D",Table1[[#This Row],[Math 
Score]]&lt;40,"F")</f>
        <v>C</v>
      </c>
      <c r="N1408">
        <v>71</v>
      </c>
      <c r="O1408" s="13" t="str" cm="1">
        <f t="array" ref="O140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408">
        <v>73</v>
      </c>
      <c r="Q1408" s="13" t="str" cm="1">
        <f t="array" ref="Q140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408">
        <v>65</v>
      </c>
      <c r="S1408" t="str" cm="1">
        <f t="array" ref="S140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408">
        <v>63</v>
      </c>
      <c r="U1408" t="str" cm="1">
        <f t="array" ref="U140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408">
        <v>85</v>
      </c>
      <c r="W1408" t="str" cm="1">
        <f t="array" ref="W140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408">
        <v>64</v>
      </c>
      <c r="Y1408" t="str" cm="1">
        <f t="array" ref="Y140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408">
        <f>SUM(Table1[[#This Row],[Math 
Score]],Table1[[#This Row],[History 
Score]],Table1[[#This Row],[Physics 
Score]],Table1[[#This Row],[Chemistry 
Score]],Table1[[#This Row],[Biology 
Score]],Table1[[#This Row],[English 
Score]],Table1[[#This Row],[Geography 
Score]])</f>
        <v>479</v>
      </c>
      <c r="AA1408" s="3">
        <f>AVERAGE(Table1[[#This Row],[Math 
Score]],Table1[[#This Row],[History 
Score]],Table1[[#This Row],[Physics 
Score]],Table1[[#This Row],[Chemistry 
Score]],Table1[[#This Row],[Biology 
Score]],Table1[[#This Row],[English 
Score]],Table1[[#This Row],[Geography 
Score]])</f>
        <v>68.428571428571431</v>
      </c>
      <c r="AB140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408">
        <f t="shared" si="21"/>
        <v>1938</v>
      </c>
      <c r="AD1408" t="str">
        <f>_xlfn.IFS(Table1[[#This Row],[Absence 
Days]]&lt;3,"Excellent",Table1[[#This Row],[Absence 
Days]]&lt;=6,"Good",Table1[[#This Row],[Absence 
Days]]&gt;6,"Poor")</f>
        <v>Excellent</v>
      </c>
    </row>
    <row r="1409" spans="1:30" x14ac:dyDescent="0.35">
      <c r="A1409">
        <v>1408</v>
      </c>
      <c r="B1409" s="2" t="s">
        <v>20</v>
      </c>
      <c r="C1409" t="s">
        <v>757</v>
      </c>
      <c r="D1409" t="str">
        <f>_xlfn.TEXTJOIN(" ",TRUE,Table1[[#This Row],[First 
Name]:[Last 
Name]])</f>
        <v>Kyle Rojas</v>
      </c>
      <c r="E1409" t="s">
        <v>2519</v>
      </c>
      <c r="F1409" t="s">
        <v>3244</v>
      </c>
      <c r="G1409" t="str">
        <f ca="1">PROPER(Table1[[#This Row],[Part Time 
Job]])</f>
        <v>False</v>
      </c>
      <c r="H1409" s="3">
        <v>3</v>
      </c>
      <c r="I1409" t="str">
        <f ca="1">PROPER(Table1[[#This Row],[Extracurricular 
Activities]])</f>
        <v>False</v>
      </c>
      <c r="J1409">
        <v>29</v>
      </c>
      <c r="K1409" t="s">
        <v>3116</v>
      </c>
      <c r="L1409">
        <v>61</v>
      </c>
      <c r="M1409" s="12" t="str" cm="1">
        <f t="array" ref="M1409">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409">
        <v>86</v>
      </c>
      <c r="O1409" s="13" t="str" cm="1">
        <f t="array" ref="O140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409">
        <v>78</v>
      </c>
      <c r="Q1409" s="13" t="str" cm="1">
        <f t="array" ref="Q140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409">
        <v>80</v>
      </c>
      <c r="S1409" t="str" cm="1">
        <f t="array" ref="S140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409">
        <v>94</v>
      </c>
      <c r="U1409" t="str" cm="1">
        <f t="array" ref="U140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409">
        <v>60</v>
      </c>
      <c r="W1409" t="str" cm="1">
        <f t="array" ref="W140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409">
        <v>88</v>
      </c>
      <c r="Y1409" t="str" cm="1">
        <f t="array" ref="Y140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409">
        <f>SUM(Table1[[#This Row],[Math 
Score]],Table1[[#This Row],[History 
Score]],Table1[[#This Row],[Physics 
Score]],Table1[[#This Row],[Chemistry 
Score]],Table1[[#This Row],[Biology 
Score]],Table1[[#This Row],[English 
Score]],Table1[[#This Row],[Geography 
Score]])</f>
        <v>547</v>
      </c>
      <c r="AA1409" s="3">
        <f>AVERAGE(Table1[[#This Row],[Math 
Score]],Table1[[#This Row],[History 
Score]],Table1[[#This Row],[Physics 
Score]],Table1[[#This Row],[Chemistry 
Score]],Table1[[#This Row],[Biology 
Score]],Table1[[#This Row],[English 
Score]],Table1[[#This Row],[Geography 
Score]])</f>
        <v>78.142857142857139</v>
      </c>
      <c r="AB140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409">
        <f t="shared" si="21"/>
        <v>1388</v>
      </c>
      <c r="AD1409" t="str">
        <f>_xlfn.IFS(Table1[[#This Row],[Absence 
Days]]&lt;3,"Excellent",Table1[[#This Row],[Absence 
Days]]&lt;=6,"Good",Table1[[#This Row],[Absence 
Days]]&gt;6,"Poor")</f>
        <v>Good</v>
      </c>
    </row>
    <row r="1410" spans="1:30" x14ac:dyDescent="0.35">
      <c r="A1410">
        <v>1409</v>
      </c>
      <c r="B1410" s="2" t="s">
        <v>158</v>
      </c>
      <c r="C1410" t="s">
        <v>636</v>
      </c>
      <c r="D1410" t="str">
        <f>_xlfn.TEXTJOIN(" ",TRUE,Table1[[#This Row],[First 
Name]:[Last 
Name]])</f>
        <v>Stacy Sanders</v>
      </c>
      <c r="E1410" t="s">
        <v>2520</v>
      </c>
      <c r="F1410" t="s">
        <v>3245</v>
      </c>
      <c r="G1410" t="str">
        <f ca="1">PROPER(Table1[[#This Row],[Part Time 
Job]])</f>
        <v>True</v>
      </c>
      <c r="H1410" s="3">
        <v>1</v>
      </c>
      <c r="I1410" t="str">
        <f ca="1">PROPER(Table1[[#This Row],[Extracurricular 
Activities]])</f>
        <v>False</v>
      </c>
      <c r="J1410">
        <v>28</v>
      </c>
      <c r="K1410" t="s">
        <v>3113</v>
      </c>
      <c r="L1410">
        <v>89</v>
      </c>
      <c r="M1410" s="12" t="str" cm="1">
        <f t="array" ref="M141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410">
        <v>76</v>
      </c>
      <c r="O1410" s="13" t="str" cm="1">
        <f t="array" ref="O141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410">
        <v>100</v>
      </c>
      <c r="Q1410" s="13" t="str" cm="1">
        <f t="array" ref="Q141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410">
        <v>100</v>
      </c>
      <c r="S1410" t="str" cm="1">
        <f t="array" ref="S141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410">
        <v>99</v>
      </c>
      <c r="U1410" t="str" cm="1">
        <f t="array" ref="U141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410">
        <v>68</v>
      </c>
      <c r="W1410" t="str" cm="1">
        <f t="array" ref="W141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410">
        <v>79</v>
      </c>
      <c r="Y1410" t="str" cm="1">
        <f t="array" ref="Y141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410">
        <f>SUM(Table1[[#This Row],[Math 
Score]],Table1[[#This Row],[History 
Score]],Table1[[#This Row],[Physics 
Score]],Table1[[#This Row],[Chemistry 
Score]],Table1[[#This Row],[Biology 
Score]],Table1[[#This Row],[English 
Score]],Table1[[#This Row],[Geography 
Score]])</f>
        <v>611</v>
      </c>
      <c r="AA1410" s="3">
        <f>AVERAGE(Table1[[#This Row],[Math 
Score]],Table1[[#This Row],[History 
Score]],Table1[[#This Row],[Physics 
Score]],Table1[[#This Row],[Chemistry 
Score]],Table1[[#This Row],[Biology 
Score]],Table1[[#This Row],[English 
Score]],Table1[[#This Row],[Geography 
Score]])</f>
        <v>87.285714285714292</v>
      </c>
      <c r="AB141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410">
        <f t="shared" ref="AC1410:AC1473" si="22">RANK(AA1410,$AA$2:$AA$2001,0)</f>
        <v>291</v>
      </c>
      <c r="AD1410" t="str">
        <f>_xlfn.IFS(Table1[[#This Row],[Absence 
Days]]&lt;3,"Excellent",Table1[[#This Row],[Absence 
Days]]&lt;=6,"Good",Table1[[#This Row],[Absence 
Days]]&gt;6,"Poor")</f>
        <v>Excellent</v>
      </c>
    </row>
    <row r="1411" spans="1:30" x14ac:dyDescent="0.35">
      <c r="A1411">
        <v>1410</v>
      </c>
      <c r="B1411" s="2" t="s">
        <v>188</v>
      </c>
      <c r="C1411" t="s">
        <v>637</v>
      </c>
      <c r="D1411" t="str">
        <f>_xlfn.TEXTJOIN(" ",TRUE,Table1[[#This Row],[First 
Name]:[Last 
Name]])</f>
        <v>Taylor Waters</v>
      </c>
      <c r="E1411" t="s">
        <v>2521</v>
      </c>
      <c r="F1411" t="s">
        <v>3245</v>
      </c>
      <c r="G1411" t="str">
        <f ca="1">PROPER(Table1[[#This Row],[Part Time 
Job]])</f>
        <v>True</v>
      </c>
      <c r="H1411" s="3">
        <v>9</v>
      </c>
      <c r="I1411" t="str">
        <f ca="1">PROPER(Table1[[#This Row],[Extracurricular 
Activities]])</f>
        <v>False</v>
      </c>
      <c r="J1411">
        <v>1</v>
      </c>
      <c r="K1411" t="s">
        <v>3119</v>
      </c>
      <c r="L1411">
        <v>96</v>
      </c>
      <c r="M1411" s="12" t="str" cm="1">
        <f t="array" ref="M141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411">
        <v>58</v>
      </c>
      <c r="O1411" s="13" t="str" cm="1">
        <f t="array" ref="O141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C</v>
      </c>
      <c r="P1411">
        <v>65</v>
      </c>
      <c r="Q1411" s="13" t="str" cm="1">
        <f t="array" ref="Q141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411">
        <v>62</v>
      </c>
      <c r="S1411" t="str" cm="1">
        <f t="array" ref="S141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411">
        <v>76</v>
      </c>
      <c r="U1411" t="str" cm="1">
        <f t="array" ref="U141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411">
        <v>93</v>
      </c>
      <c r="W1411" t="str" cm="1">
        <f t="array" ref="W141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411">
        <v>77</v>
      </c>
      <c r="Y1411" t="str" cm="1">
        <f t="array" ref="Y141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411">
        <f>SUM(Table1[[#This Row],[Math 
Score]],Table1[[#This Row],[History 
Score]],Table1[[#This Row],[Physics 
Score]],Table1[[#This Row],[Chemistry 
Score]],Table1[[#This Row],[Biology 
Score]],Table1[[#This Row],[English 
Score]],Table1[[#This Row],[Geography 
Score]])</f>
        <v>527</v>
      </c>
      <c r="AA1411" s="3">
        <f>AVERAGE(Table1[[#This Row],[Math 
Score]],Table1[[#This Row],[History 
Score]],Table1[[#This Row],[Physics 
Score]],Table1[[#This Row],[Chemistry 
Score]],Table1[[#This Row],[Biology 
Score]],Table1[[#This Row],[English 
Score]],Table1[[#This Row],[Geography 
Score]])</f>
        <v>75.285714285714292</v>
      </c>
      <c r="AB141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411">
        <f t="shared" si="22"/>
        <v>1683</v>
      </c>
      <c r="AD1411" t="str">
        <f>_xlfn.IFS(Table1[[#This Row],[Absence 
Days]]&lt;3,"Excellent",Table1[[#This Row],[Absence 
Days]]&lt;=6,"Good",Table1[[#This Row],[Absence 
Days]]&gt;6,"Poor")</f>
        <v>Poor</v>
      </c>
    </row>
    <row r="1412" spans="1:30" x14ac:dyDescent="0.35">
      <c r="A1412">
        <v>1411</v>
      </c>
      <c r="B1412" s="2" t="s">
        <v>112</v>
      </c>
      <c r="C1412" t="s">
        <v>470</v>
      </c>
      <c r="D1412" t="str">
        <f>_xlfn.TEXTJOIN(" ",TRUE,Table1[[#This Row],[First 
Name]:[Last 
Name]])</f>
        <v>Julie Nichols</v>
      </c>
      <c r="E1412" t="s">
        <v>2522</v>
      </c>
      <c r="F1412" t="s">
        <v>3245</v>
      </c>
      <c r="G1412" t="str">
        <f ca="1">PROPER(Table1[[#This Row],[Part Time 
Job]])</f>
        <v>False</v>
      </c>
      <c r="H1412" s="3">
        <v>2</v>
      </c>
      <c r="I1412" t="str">
        <f ca="1">PROPER(Table1[[#This Row],[Extracurricular 
Activities]])</f>
        <v>False</v>
      </c>
      <c r="J1412">
        <v>22</v>
      </c>
      <c r="K1412" t="s">
        <v>3113</v>
      </c>
      <c r="L1412">
        <v>96</v>
      </c>
      <c r="M1412" s="12" t="str" cm="1">
        <f t="array" ref="M141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412">
        <v>73</v>
      </c>
      <c r="O1412" s="13" t="str" cm="1">
        <f t="array" ref="O141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412">
        <v>80</v>
      </c>
      <c r="Q1412" s="13" t="str" cm="1">
        <f t="array" ref="Q141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412">
        <v>99</v>
      </c>
      <c r="S1412" t="str" cm="1">
        <f t="array" ref="S141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412">
        <v>91</v>
      </c>
      <c r="U1412" t="str" cm="1">
        <f t="array" ref="U141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412">
        <v>82</v>
      </c>
      <c r="W1412" t="str" cm="1">
        <f t="array" ref="W141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412">
        <v>91</v>
      </c>
      <c r="Y1412" t="str" cm="1">
        <f t="array" ref="Y141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412">
        <f>SUM(Table1[[#This Row],[Math 
Score]],Table1[[#This Row],[History 
Score]],Table1[[#This Row],[Physics 
Score]],Table1[[#This Row],[Chemistry 
Score]],Table1[[#This Row],[Biology 
Score]],Table1[[#This Row],[English 
Score]],Table1[[#This Row],[Geography 
Score]])</f>
        <v>612</v>
      </c>
      <c r="AA1412" s="3">
        <f>AVERAGE(Table1[[#This Row],[Math 
Score]],Table1[[#This Row],[History 
Score]],Table1[[#This Row],[Physics 
Score]],Table1[[#This Row],[Chemistry 
Score]],Table1[[#This Row],[Biology 
Score]],Table1[[#This Row],[English 
Score]],Table1[[#This Row],[Geography 
Score]])</f>
        <v>87.428571428571431</v>
      </c>
      <c r="AB141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412">
        <f t="shared" si="22"/>
        <v>283</v>
      </c>
      <c r="AD1412" t="str">
        <f>_xlfn.IFS(Table1[[#This Row],[Absence 
Days]]&lt;3,"Excellent",Table1[[#This Row],[Absence 
Days]]&lt;=6,"Good",Table1[[#This Row],[Absence 
Days]]&gt;6,"Poor")</f>
        <v>Excellent</v>
      </c>
    </row>
    <row r="1413" spans="1:30" x14ac:dyDescent="0.35">
      <c r="A1413">
        <v>1412</v>
      </c>
      <c r="B1413" s="2" t="s">
        <v>124</v>
      </c>
      <c r="C1413" t="s">
        <v>1010</v>
      </c>
      <c r="D1413" t="str">
        <f>_xlfn.TEXTJOIN(" ",TRUE,Table1[[#This Row],[First 
Name]:[Last 
Name]])</f>
        <v>John Lin</v>
      </c>
      <c r="E1413" t="s">
        <v>2523</v>
      </c>
      <c r="F1413" t="s">
        <v>3244</v>
      </c>
      <c r="G1413" t="str">
        <f ca="1">PROPER(Table1[[#This Row],[Part Time 
Job]])</f>
        <v>False</v>
      </c>
      <c r="H1413" s="3">
        <v>6</v>
      </c>
      <c r="I1413" t="str">
        <f ca="1">PROPER(Table1[[#This Row],[Extracurricular 
Activities]])</f>
        <v>False</v>
      </c>
      <c r="J1413">
        <v>21</v>
      </c>
      <c r="K1413" t="s">
        <v>3116</v>
      </c>
      <c r="L1413">
        <v>60</v>
      </c>
      <c r="M1413" s="12" t="str" cm="1">
        <f t="array" ref="M1413">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413">
        <v>88</v>
      </c>
      <c r="O1413" s="13" t="str" cm="1">
        <f t="array" ref="O141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413">
        <v>75</v>
      </c>
      <c r="Q1413" s="13" t="str" cm="1">
        <f t="array" ref="Q141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413">
        <v>86</v>
      </c>
      <c r="S1413" t="str" cm="1">
        <f t="array" ref="S141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413">
        <v>72</v>
      </c>
      <c r="U1413" t="str" cm="1">
        <f t="array" ref="U141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413">
        <v>80</v>
      </c>
      <c r="W1413" t="str" cm="1">
        <f t="array" ref="W141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413">
        <v>69</v>
      </c>
      <c r="Y1413" t="str" cm="1">
        <f t="array" ref="Y141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413">
        <f>SUM(Table1[[#This Row],[Math 
Score]],Table1[[#This Row],[History 
Score]],Table1[[#This Row],[Physics 
Score]],Table1[[#This Row],[Chemistry 
Score]],Table1[[#This Row],[Biology 
Score]],Table1[[#This Row],[English 
Score]],Table1[[#This Row],[Geography 
Score]])</f>
        <v>530</v>
      </c>
      <c r="AA1413" s="3">
        <f>AVERAGE(Table1[[#This Row],[Math 
Score]],Table1[[#This Row],[History 
Score]],Table1[[#This Row],[Physics 
Score]],Table1[[#This Row],[Chemistry 
Score]],Table1[[#This Row],[Biology 
Score]],Table1[[#This Row],[English 
Score]],Table1[[#This Row],[Geography 
Score]])</f>
        <v>75.714285714285708</v>
      </c>
      <c r="AB141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413">
        <f t="shared" si="22"/>
        <v>1646</v>
      </c>
      <c r="AD1413" t="str">
        <f>_xlfn.IFS(Table1[[#This Row],[Absence 
Days]]&lt;3,"Excellent",Table1[[#This Row],[Absence 
Days]]&lt;=6,"Good",Table1[[#This Row],[Absence 
Days]]&gt;6,"Poor")</f>
        <v>Good</v>
      </c>
    </row>
    <row r="1414" spans="1:30" x14ac:dyDescent="0.35">
      <c r="A1414">
        <v>1413</v>
      </c>
      <c r="B1414" s="2" t="s">
        <v>75</v>
      </c>
      <c r="C1414" t="s">
        <v>33</v>
      </c>
      <c r="D1414" t="str">
        <f>_xlfn.TEXTJOIN(" ",TRUE,Table1[[#This Row],[First 
Name]:[Last 
Name]])</f>
        <v>William Ryan</v>
      </c>
      <c r="E1414" t="s">
        <v>2524</v>
      </c>
      <c r="F1414" t="s">
        <v>3244</v>
      </c>
      <c r="G1414" t="str">
        <f ca="1">PROPER(Table1[[#This Row],[Part Time 
Job]])</f>
        <v>False</v>
      </c>
      <c r="H1414" s="3">
        <v>2</v>
      </c>
      <c r="I1414" t="str">
        <f ca="1">PROPER(Table1[[#This Row],[Extracurricular 
Activities]])</f>
        <v>False</v>
      </c>
      <c r="J1414">
        <v>34</v>
      </c>
      <c r="K1414" t="s">
        <v>3117</v>
      </c>
      <c r="L1414">
        <v>93</v>
      </c>
      <c r="M1414" s="12" t="str" cm="1">
        <f t="array" ref="M141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414">
        <v>65</v>
      </c>
      <c r="O1414" s="13" t="str" cm="1">
        <f t="array" ref="O141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414">
        <v>81</v>
      </c>
      <c r="Q1414" s="13" t="str" cm="1">
        <f t="array" ref="Q141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414">
        <v>94</v>
      </c>
      <c r="S1414" t="str" cm="1">
        <f t="array" ref="S141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414">
        <v>92</v>
      </c>
      <c r="U1414" t="str" cm="1">
        <f t="array" ref="U141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414">
        <v>60</v>
      </c>
      <c r="W1414" t="str" cm="1">
        <f t="array" ref="W141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414">
        <v>100</v>
      </c>
      <c r="Y1414" t="str" cm="1">
        <f t="array" ref="Y141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414">
        <f>SUM(Table1[[#This Row],[Math 
Score]],Table1[[#This Row],[History 
Score]],Table1[[#This Row],[Physics 
Score]],Table1[[#This Row],[Chemistry 
Score]],Table1[[#This Row],[Biology 
Score]],Table1[[#This Row],[English 
Score]],Table1[[#This Row],[Geography 
Score]])</f>
        <v>585</v>
      </c>
      <c r="AA1414" s="3">
        <f>AVERAGE(Table1[[#This Row],[Math 
Score]],Table1[[#This Row],[History 
Score]],Table1[[#This Row],[Physics 
Score]],Table1[[#This Row],[Chemistry 
Score]],Table1[[#This Row],[Biology 
Score]],Table1[[#This Row],[English 
Score]],Table1[[#This Row],[Geography 
Score]])</f>
        <v>83.571428571428569</v>
      </c>
      <c r="AB141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414">
        <f t="shared" si="22"/>
        <v>615</v>
      </c>
      <c r="AD1414" t="str">
        <f>_xlfn.IFS(Table1[[#This Row],[Absence 
Days]]&lt;3,"Excellent",Table1[[#This Row],[Absence 
Days]]&lt;=6,"Good",Table1[[#This Row],[Absence 
Days]]&gt;6,"Poor")</f>
        <v>Excellent</v>
      </c>
    </row>
    <row r="1415" spans="1:30" x14ac:dyDescent="0.35">
      <c r="A1415">
        <v>1414</v>
      </c>
      <c r="B1415" s="2" t="s">
        <v>149</v>
      </c>
      <c r="C1415" t="s">
        <v>563</v>
      </c>
      <c r="D1415" t="str">
        <f>_xlfn.TEXTJOIN(" ",TRUE,Table1[[#This Row],[First 
Name]:[Last 
Name]])</f>
        <v>Joseph Phillips</v>
      </c>
      <c r="E1415" t="s">
        <v>2525</v>
      </c>
      <c r="F1415" t="s">
        <v>3244</v>
      </c>
      <c r="G1415" t="str">
        <f ca="1">PROPER(Table1[[#This Row],[Part Time 
Job]])</f>
        <v>False</v>
      </c>
      <c r="H1415" s="3">
        <v>3</v>
      </c>
      <c r="I1415" t="str">
        <f ca="1">PROPER(Table1[[#This Row],[Extracurricular 
Activities]])</f>
        <v>False</v>
      </c>
      <c r="J1415">
        <v>33</v>
      </c>
      <c r="K1415" t="s">
        <v>3127</v>
      </c>
      <c r="L1415">
        <v>93</v>
      </c>
      <c r="M1415" s="12" t="str" cm="1">
        <f t="array" ref="M141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415">
        <v>63</v>
      </c>
      <c r="O1415" s="13" t="str" cm="1">
        <f t="array" ref="O141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415">
        <v>69</v>
      </c>
      <c r="Q1415" s="13" t="str" cm="1">
        <f t="array" ref="Q141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415">
        <v>97</v>
      </c>
      <c r="S1415" t="str" cm="1">
        <f t="array" ref="S141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415">
        <v>64</v>
      </c>
      <c r="U1415" t="str" cm="1">
        <f t="array" ref="U141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415">
        <v>82</v>
      </c>
      <c r="W1415" t="str" cm="1">
        <f t="array" ref="W141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415">
        <v>83</v>
      </c>
      <c r="Y1415" t="str" cm="1">
        <f t="array" ref="Y141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415">
        <f>SUM(Table1[[#This Row],[Math 
Score]],Table1[[#This Row],[History 
Score]],Table1[[#This Row],[Physics 
Score]],Table1[[#This Row],[Chemistry 
Score]],Table1[[#This Row],[Biology 
Score]],Table1[[#This Row],[English 
Score]],Table1[[#This Row],[Geography 
Score]])</f>
        <v>551</v>
      </c>
      <c r="AA1415" s="3">
        <f>AVERAGE(Table1[[#This Row],[Math 
Score]],Table1[[#This Row],[History 
Score]],Table1[[#This Row],[Physics 
Score]],Table1[[#This Row],[Chemistry 
Score]],Table1[[#This Row],[Biology 
Score]],Table1[[#This Row],[English 
Score]],Table1[[#This Row],[Geography 
Score]])</f>
        <v>78.714285714285708</v>
      </c>
      <c r="AB141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415">
        <f t="shared" si="22"/>
        <v>1317</v>
      </c>
      <c r="AD1415" t="str">
        <f>_xlfn.IFS(Table1[[#This Row],[Absence 
Days]]&lt;3,"Excellent",Table1[[#This Row],[Absence 
Days]]&lt;=6,"Good",Table1[[#This Row],[Absence 
Days]]&gt;6,"Poor")</f>
        <v>Good</v>
      </c>
    </row>
    <row r="1416" spans="1:30" x14ac:dyDescent="0.35">
      <c r="A1416">
        <v>1415</v>
      </c>
      <c r="B1416" s="2" t="s">
        <v>139</v>
      </c>
      <c r="C1416" t="s">
        <v>773</v>
      </c>
      <c r="D1416" t="str">
        <f>_xlfn.TEXTJOIN(" ",TRUE,Table1[[#This Row],[First 
Name]:[Last 
Name]])</f>
        <v>Christina Ramirez</v>
      </c>
      <c r="E1416" t="s">
        <v>2526</v>
      </c>
      <c r="F1416" t="s">
        <v>3245</v>
      </c>
      <c r="G1416" t="str">
        <f ca="1">PROPER(Table1[[#This Row],[Part Time 
Job]])</f>
        <v>False</v>
      </c>
      <c r="H1416" s="3">
        <v>10</v>
      </c>
      <c r="I1416" t="str">
        <f ca="1">PROPER(Table1[[#This Row],[Extracurricular 
Activities]])</f>
        <v>True</v>
      </c>
      <c r="J1416">
        <v>3</v>
      </c>
      <c r="K1416" t="s">
        <v>3119</v>
      </c>
      <c r="L1416">
        <v>58</v>
      </c>
      <c r="M1416" s="12" t="str" cm="1">
        <f t="array" ref="M1416">_xlfn.IFS(Table1[[#This Row],[Math 
Score]]&gt;=90,"A+",Table1[[#This Row],[Math 
Score]]&gt;=80,"A", Table1[[#This Row],[Math 
Score]]&gt;=75,"A-",Table1[[#This Row],[Math 
Score]]&gt;=70,"B+",Table1[[#This Row],[Math 
Score]]&gt;=65,"B",Table1[[#This Row],[Math 
Score]]&gt;=60,"B-",Table1[[#This Row],[Math 
Score]]&gt;=50,"C",Table1[[#This Row],[Math 
Score]]&gt;=40,"D",Table1[[#This Row],[Math 
Score]]&lt;40,"F")</f>
        <v>C</v>
      </c>
      <c r="N1416">
        <v>65</v>
      </c>
      <c r="O1416" s="13" t="str" cm="1">
        <f t="array" ref="O141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416">
        <v>72</v>
      </c>
      <c r="Q1416" s="13" t="str" cm="1">
        <f t="array" ref="Q141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416">
        <v>98</v>
      </c>
      <c r="S1416" t="str" cm="1">
        <f t="array" ref="S141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416">
        <v>56</v>
      </c>
      <c r="U1416" t="str" cm="1">
        <f t="array" ref="U141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C</v>
      </c>
      <c r="V1416">
        <v>59</v>
      </c>
      <c r="W1416" t="str" cm="1">
        <f t="array" ref="W141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C</v>
      </c>
      <c r="X1416">
        <v>81</v>
      </c>
      <c r="Y1416" t="str" cm="1">
        <f t="array" ref="Y141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416">
        <f>SUM(Table1[[#This Row],[Math 
Score]],Table1[[#This Row],[History 
Score]],Table1[[#This Row],[Physics 
Score]],Table1[[#This Row],[Chemistry 
Score]],Table1[[#This Row],[Biology 
Score]],Table1[[#This Row],[English 
Score]],Table1[[#This Row],[Geography 
Score]])</f>
        <v>489</v>
      </c>
      <c r="AA1416" s="3">
        <f>AVERAGE(Table1[[#This Row],[Math 
Score]],Table1[[#This Row],[History 
Score]],Table1[[#This Row],[Physics 
Score]],Table1[[#This Row],[Chemistry 
Score]],Table1[[#This Row],[Biology 
Score]],Table1[[#This Row],[English 
Score]],Table1[[#This Row],[Geography 
Score]])</f>
        <v>69.857142857142861</v>
      </c>
      <c r="AB141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416">
        <f t="shared" si="22"/>
        <v>1914</v>
      </c>
      <c r="AD1416" t="str">
        <f>_xlfn.IFS(Table1[[#This Row],[Absence 
Days]]&lt;3,"Excellent",Table1[[#This Row],[Absence 
Days]]&lt;=6,"Good",Table1[[#This Row],[Absence 
Days]]&gt;6,"Poor")</f>
        <v>Poor</v>
      </c>
    </row>
    <row r="1417" spans="1:30" x14ac:dyDescent="0.35">
      <c r="A1417">
        <v>1416</v>
      </c>
      <c r="B1417" s="2" t="s">
        <v>13</v>
      </c>
      <c r="C1417" t="s">
        <v>660</v>
      </c>
      <c r="D1417" t="str">
        <f>_xlfn.TEXTJOIN(" ",TRUE,Table1[[#This Row],[First 
Name]:[Last 
Name]])</f>
        <v>Laura Baxter</v>
      </c>
      <c r="E1417" t="s">
        <v>2527</v>
      </c>
      <c r="F1417" t="s">
        <v>3245</v>
      </c>
      <c r="G1417" t="str">
        <f ca="1">PROPER(Table1[[#This Row],[Part Time 
Job]])</f>
        <v>True</v>
      </c>
      <c r="H1417" s="3">
        <v>1</v>
      </c>
      <c r="I1417" t="str">
        <f ca="1">PROPER(Table1[[#This Row],[Extracurricular 
Activities]])</f>
        <v>False</v>
      </c>
      <c r="J1417">
        <v>0</v>
      </c>
      <c r="K1417" t="s">
        <v>3119</v>
      </c>
      <c r="L1417">
        <v>73</v>
      </c>
      <c r="M1417" s="12" t="str" cm="1">
        <f t="array" ref="M1417">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417">
        <v>85</v>
      </c>
      <c r="O1417" s="13" t="str" cm="1">
        <f t="array" ref="O141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417">
        <v>84</v>
      </c>
      <c r="Q1417" s="13" t="str" cm="1">
        <f t="array" ref="Q141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417">
        <v>88</v>
      </c>
      <c r="S1417" t="str" cm="1">
        <f t="array" ref="S141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417">
        <v>78</v>
      </c>
      <c r="U1417" t="str" cm="1">
        <f t="array" ref="U141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417">
        <v>87</v>
      </c>
      <c r="W1417" t="str" cm="1">
        <f t="array" ref="W141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417">
        <v>76</v>
      </c>
      <c r="Y1417" t="str" cm="1">
        <f t="array" ref="Y141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417">
        <f>SUM(Table1[[#This Row],[Math 
Score]],Table1[[#This Row],[History 
Score]],Table1[[#This Row],[Physics 
Score]],Table1[[#This Row],[Chemistry 
Score]],Table1[[#This Row],[Biology 
Score]],Table1[[#This Row],[English 
Score]],Table1[[#This Row],[Geography 
Score]])</f>
        <v>571</v>
      </c>
      <c r="AA1417" s="3">
        <f>AVERAGE(Table1[[#This Row],[Math 
Score]],Table1[[#This Row],[History 
Score]],Table1[[#This Row],[Physics 
Score]],Table1[[#This Row],[Chemistry 
Score]],Table1[[#This Row],[Biology 
Score]],Table1[[#This Row],[English 
Score]],Table1[[#This Row],[Geography 
Score]])</f>
        <v>81.571428571428569</v>
      </c>
      <c r="AB141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417">
        <f t="shared" si="22"/>
        <v>915</v>
      </c>
      <c r="AD1417" t="str">
        <f>_xlfn.IFS(Table1[[#This Row],[Absence 
Days]]&lt;3,"Excellent",Table1[[#This Row],[Absence 
Days]]&lt;=6,"Good",Table1[[#This Row],[Absence 
Days]]&gt;6,"Poor")</f>
        <v>Excellent</v>
      </c>
    </row>
    <row r="1418" spans="1:30" x14ac:dyDescent="0.35">
      <c r="A1418">
        <v>1417</v>
      </c>
      <c r="B1418" s="2" t="s">
        <v>167</v>
      </c>
      <c r="C1418" t="s">
        <v>294</v>
      </c>
      <c r="D1418" t="str">
        <f>_xlfn.TEXTJOIN(" ",TRUE,Table1[[#This Row],[First 
Name]:[Last 
Name]])</f>
        <v>Kevin Jackson</v>
      </c>
      <c r="E1418" t="s">
        <v>2528</v>
      </c>
      <c r="F1418" t="s">
        <v>3244</v>
      </c>
      <c r="G1418" t="str">
        <f ca="1">PROPER(Table1[[#This Row],[Part Time 
Job]])</f>
        <v>False</v>
      </c>
      <c r="H1418" s="3">
        <v>9</v>
      </c>
      <c r="I1418" t="str">
        <f ca="1">PROPER(Table1[[#This Row],[Extracurricular 
Activities]])</f>
        <v>False</v>
      </c>
      <c r="J1418">
        <v>3</v>
      </c>
      <c r="K1418" t="s">
        <v>3119</v>
      </c>
      <c r="L1418">
        <v>93</v>
      </c>
      <c r="M1418" s="12" t="str" cm="1">
        <f t="array" ref="M141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418">
        <v>51</v>
      </c>
      <c r="O1418" s="13" t="str" cm="1">
        <f t="array" ref="O141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C</v>
      </c>
      <c r="P1418">
        <v>58</v>
      </c>
      <c r="Q1418" s="13" t="str" cm="1">
        <f t="array" ref="Q141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C</v>
      </c>
      <c r="R1418">
        <v>70</v>
      </c>
      <c r="S1418" t="str" cm="1">
        <f t="array" ref="S141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418">
        <v>63</v>
      </c>
      <c r="U1418" t="str" cm="1">
        <f t="array" ref="U141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418">
        <v>64</v>
      </c>
      <c r="W1418" t="str" cm="1">
        <f t="array" ref="W141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418">
        <v>89</v>
      </c>
      <c r="Y1418" t="str" cm="1">
        <f t="array" ref="Y141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418">
        <f>SUM(Table1[[#This Row],[Math 
Score]],Table1[[#This Row],[History 
Score]],Table1[[#This Row],[Physics 
Score]],Table1[[#This Row],[Chemistry 
Score]],Table1[[#This Row],[Biology 
Score]],Table1[[#This Row],[English 
Score]],Table1[[#This Row],[Geography 
Score]])</f>
        <v>488</v>
      </c>
      <c r="AA1418" s="3">
        <f>AVERAGE(Table1[[#This Row],[Math 
Score]],Table1[[#This Row],[History 
Score]],Table1[[#This Row],[Physics 
Score]],Table1[[#This Row],[Chemistry 
Score]],Table1[[#This Row],[Biology 
Score]],Table1[[#This Row],[English 
Score]],Table1[[#This Row],[Geography 
Score]])</f>
        <v>69.714285714285708</v>
      </c>
      <c r="AB141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418">
        <f t="shared" si="22"/>
        <v>1919</v>
      </c>
      <c r="AD1418" t="str">
        <f>_xlfn.IFS(Table1[[#This Row],[Absence 
Days]]&lt;3,"Excellent",Table1[[#This Row],[Absence 
Days]]&lt;=6,"Good",Table1[[#This Row],[Absence 
Days]]&gt;6,"Poor")</f>
        <v>Poor</v>
      </c>
    </row>
    <row r="1419" spans="1:30" x14ac:dyDescent="0.35">
      <c r="A1419">
        <v>1418</v>
      </c>
      <c r="B1419" s="2" t="s">
        <v>404</v>
      </c>
      <c r="C1419" t="s">
        <v>788</v>
      </c>
      <c r="D1419" t="str">
        <f>_xlfn.TEXTJOIN(" ",TRUE,Table1[[#This Row],[First 
Name]:[Last 
Name]])</f>
        <v>Kayla Schwartz</v>
      </c>
      <c r="E1419" t="s">
        <v>2529</v>
      </c>
      <c r="F1419" t="s">
        <v>3245</v>
      </c>
      <c r="G1419" t="str">
        <f ca="1">PROPER(Table1[[#This Row],[Part Time 
Job]])</f>
        <v>False</v>
      </c>
      <c r="H1419" s="3">
        <v>0</v>
      </c>
      <c r="I1419" t="str">
        <f ca="1">PROPER(Table1[[#This Row],[Extracurricular 
Activities]])</f>
        <v>False</v>
      </c>
      <c r="J1419">
        <v>20</v>
      </c>
      <c r="K1419" t="s">
        <v>3123</v>
      </c>
      <c r="L1419">
        <v>92</v>
      </c>
      <c r="M1419" s="12" t="str" cm="1">
        <f t="array" ref="M141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419">
        <v>66</v>
      </c>
      <c r="O1419" s="13" t="str" cm="1">
        <f t="array" ref="O141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419">
        <v>77</v>
      </c>
      <c r="Q1419" s="13" t="str" cm="1">
        <f t="array" ref="Q141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419">
        <v>96</v>
      </c>
      <c r="S1419" t="str" cm="1">
        <f t="array" ref="S141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419">
        <v>92</v>
      </c>
      <c r="U1419" t="str" cm="1">
        <f t="array" ref="U141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419">
        <v>62</v>
      </c>
      <c r="W1419" t="str" cm="1">
        <f t="array" ref="W141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419">
        <v>90</v>
      </c>
      <c r="Y1419" t="str" cm="1">
        <f t="array" ref="Y141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419">
        <f>SUM(Table1[[#This Row],[Math 
Score]],Table1[[#This Row],[History 
Score]],Table1[[#This Row],[Physics 
Score]],Table1[[#This Row],[Chemistry 
Score]],Table1[[#This Row],[Biology 
Score]],Table1[[#This Row],[English 
Score]],Table1[[#This Row],[Geography 
Score]])</f>
        <v>575</v>
      </c>
      <c r="AA1419" s="3">
        <f>AVERAGE(Table1[[#This Row],[Math 
Score]],Table1[[#This Row],[History 
Score]],Table1[[#This Row],[Physics 
Score]],Table1[[#This Row],[Chemistry 
Score]],Table1[[#This Row],[Biology 
Score]],Table1[[#This Row],[English 
Score]],Table1[[#This Row],[Geography 
Score]])</f>
        <v>82.142857142857139</v>
      </c>
      <c r="AB141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419">
        <f t="shared" si="22"/>
        <v>807</v>
      </c>
      <c r="AD1419" t="str">
        <f>_xlfn.IFS(Table1[[#This Row],[Absence 
Days]]&lt;3,"Excellent",Table1[[#This Row],[Absence 
Days]]&lt;=6,"Good",Table1[[#This Row],[Absence 
Days]]&gt;6,"Poor")</f>
        <v>Excellent</v>
      </c>
    </row>
    <row r="1420" spans="1:30" x14ac:dyDescent="0.35">
      <c r="A1420">
        <v>1419</v>
      </c>
      <c r="B1420" s="2" t="s">
        <v>24</v>
      </c>
      <c r="C1420" t="s">
        <v>594</v>
      </c>
      <c r="D1420" t="str">
        <f>_xlfn.TEXTJOIN(" ",TRUE,Table1[[#This Row],[First 
Name]:[Last 
Name]])</f>
        <v>Jason Myers</v>
      </c>
      <c r="E1420" t="s">
        <v>2530</v>
      </c>
      <c r="F1420" t="s">
        <v>3244</v>
      </c>
      <c r="G1420" t="str">
        <f ca="1">PROPER(Table1[[#This Row],[Part Time 
Job]])</f>
        <v>False</v>
      </c>
      <c r="H1420" s="3">
        <v>1</v>
      </c>
      <c r="I1420" t="str">
        <f ca="1">PROPER(Table1[[#This Row],[Extracurricular 
Activities]])</f>
        <v>False</v>
      </c>
      <c r="J1420">
        <v>18</v>
      </c>
      <c r="K1420" t="s">
        <v>3117</v>
      </c>
      <c r="L1420">
        <v>99</v>
      </c>
      <c r="M1420" s="12" t="str" cm="1">
        <f t="array" ref="M142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420">
        <v>99</v>
      </c>
      <c r="O1420" s="13" t="str" cm="1">
        <f t="array" ref="O142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420">
        <v>69</v>
      </c>
      <c r="Q1420" s="13" t="str" cm="1">
        <f t="array" ref="Q142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420">
        <v>92</v>
      </c>
      <c r="S1420" t="str" cm="1">
        <f t="array" ref="S142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420">
        <v>95</v>
      </c>
      <c r="U1420" t="str" cm="1">
        <f t="array" ref="U142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420">
        <v>79</v>
      </c>
      <c r="W1420" t="str" cm="1">
        <f t="array" ref="W142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420">
        <v>81</v>
      </c>
      <c r="Y1420" t="str" cm="1">
        <f t="array" ref="Y142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420">
        <f>SUM(Table1[[#This Row],[Math 
Score]],Table1[[#This Row],[History 
Score]],Table1[[#This Row],[Physics 
Score]],Table1[[#This Row],[Chemistry 
Score]],Table1[[#This Row],[Biology 
Score]],Table1[[#This Row],[English 
Score]],Table1[[#This Row],[Geography 
Score]])</f>
        <v>614</v>
      </c>
      <c r="AA1420" s="3">
        <f>AVERAGE(Table1[[#This Row],[Math 
Score]],Table1[[#This Row],[History 
Score]],Table1[[#This Row],[Physics 
Score]],Table1[[#This Row],[Chemistry 
Score]],Table1[[#This Row],[Biology 
Score]],Table1[[#This Row],[English 
Score]],Table1[[#This Row],[Geography 
Score]])</f>
        <v>87.714285714285708</v>
      </c>
      <c r="AB142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420">
        <f t="shared" si="22"/>
        <v>260</v>
      </c>
      <c r="AD1420" t="str">
        <f>_xlfn.IFS(Table1[[#This Row],[Absence 
Days]]&lt;3,"Excellent",Table1[[#This Row],[Absence 
Days]]&lt;=6,"Good",Table1[[#This Row],[Absence 
Days]]&gt;6,"Poor")</f>
        <v>Excellent</v>
      </c>
    </row>
    <row r="1421" spans="1:30" x14ac:dyDescent="0.35">
      <c r="A1421">
        <v>1420</v>
      </c>
      <c r="B1421" s="2" t="s">
        <v>270</v>
      </c>
      <c r="C1421" t="s">
        <v>1011</v>
      </c>
      <c r="D1421" t="str">
        <f>_xlfn.TEXTJOIN(" ",TRUE,Table1[[#This Row],[First 
Name]:[Last 
Name]])</f>
        <v>Mary Arnold</v>
      </c>
      <c r="E1421" t="s">
        <v>2531</v>
      </c>
      <c r="F1421" t="s">
        <v>3245</v>
      </c>
      <c r="G1421" t="str">
        <f ca="1">PROPER(Table1[[#This Row],[Part Time 
Job]])</f>
        <v>False</v>
      </c>
      <c r="H1421" s="3">
        <v>1</v>
      </c>
      <c r="I1421" t="str">
        <f ca="1">PROPER(Table1[[#This Row],[Extracurricular 
Activities]])</f>
        <v>False</v>
      </c>
      <c r="J1421">
        <v>35</v>
      </c>
      <c r="K1421" t="s">
        <v>3124</v>
      </c>
      <c r="L1421">
        <v>99</v>
      </c>
      <c r="M1421" s="12" t="str" cm="1">
        <f t="array" ref="M142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421">
        <v>96</v>
      </c>
      <c r="O1421" s="13" t="str" cm="1">
        <f t="array" ref="O142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421">
        <v>99</v>
      </c>
      <c r="Q1421" s="13" t="str" cm="1">
        <f t="array" ref="Q142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421">
        <v>91</v>
      </c>
      <c r="S1421" t="str" cm="1">
        <f t="array" ref="S142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421">
        <v>94</v>
      </c>
      <c r="U1421" t="str" cm="1">
        <f t="array" ref="U142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421">
        <v>92</v>
      </c>
      <c r="W1421" t="str" cm="1">
        <f t="array" ref="W142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421">
        <v>99</v>
      </c>
      <c r="Y1421" t="str" cm="1">
        <f t="array" ref="Y142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421">
        <f>SUM(Table1[[#This Row],[Math 
Score]],Table1[[#This Row],[History 
Score]],Table1[[#This Row],[Physics 
Score]],Table1[[#This Row],[Chemistry 
Score]],Table1[[#This Row],[Biology 
Score]],Table1[[#This Row],[English 
Score]],Table1[[#This Row],[Geography 
Score]])</f>
        <v>670</v>
      </c>
      <c r="AA1421" s="3">
        <f>AVERAGE(Table1[[#This Row],[Math 
Score]],Table1[[#This Row],[History 
Score]],Table1[[#This Row],[Physics 
Score]],Table1[[#This Row],[Chemistry 
Score]],Table1[[#This Row],[Biology 
Score]],Table1[[#This Row],[English 
Score]],Table1[[#This Row],[Geography 
Score]])</f>
        <v>95.714285714285708</v>
      </c>
      <c r="AB142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421">
        <f t="shared" si="22"/>
        <v>4</v>
      </c>
      <c r="AD1421" t="str">
        <f>_xlfn.IFS(Table1[[#This Row],[Absence 
Days]]&lt;3,"Excellent",Table1[[#This Row],[Absence 
Days]]&lt;=6,"Good",Table1[[#This Row],[Absence 
Days]]&gt;6,"Poor")</f>
        <v>Excellent</v>
      </c>
    </row>
    <row r="1422" spans="1:30" x14ac:dyDescent="0.35">
      <c r="A1422">
        <v>1421</v>
      </c>
      <c r="B1422" s="2" t="s">
        <v>343</v>
      </c>
      <c r="C1422" t="s">
        <v>616</v>
      </c>
      <c r="D1422" t="str">
        <f>_xlfn.TEXTJOIN(" ",TRUE,Table1[[#This Row],[First 
Name]:[Last 
Name]])</f>
        <v>Suzanne Owens</v>
      </c>
      <c r="E1422" t="s">
        <v>2532</v>
      </c>
      <c r="F1422" t="s">
        <v>3245</v>
      </c>
      <c r="G1422" t="str">
        <f ca="1">PROPER(Table1[[#This Row],[Part Time 
Job]])</f>
        <v>False</v>
      </c>
      <c r="H1422" s="3">
        <v>2</v>
      </c>
      <c r="I1422" t="str">
        <f ca="1">PROPER(Table1[[#This Row],[Extracurricular 
Activities]])</f>
        <v>False</v>
      </c>
      <c r="J1422">
        <v>3</v>
      </c>
      <c r="K1422" t="s">
        <v>3119</v>
      </c>
      <c r="L1422">
        <v>73</v>
      </c>
      <c r="M1422" s="12" t="str" cm="1">
        <f t="array" ref="M1422">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422">
        <v>70</v>
      </c>
      <c r="O1422" s="13" t="str" cm="1">
        <f t="array" ref="O142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422">
        <v>80</v>
      </c>
      <c r="Q1422" s="13" t="str" cm="1">
        <f t="array" ref="Q142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422">
        <v>74</v>
      </c>
      <c r="S1422" t="str" cm="1">
        <f t="array" ref="S142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422">
        <v>71</v>
      </c>
      <c r="U1422" t="str" cm="1">
        <f t="array" ref="U142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422">
        <v>90</v>
      </c>
      <c r="W1422" t="str" cm="1">
        <f t="array" ref="W142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422">
        <v>80</v>
      </c>
      <c r="Y1422" t="str" cm="1">
        <f t="array" ref="Y142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422">
        <f>SUM(Table1[[#This Row],[Math 
Score]],Table1[[#This Row],[History 
Score]],Table1[[#This Row],[Physics 
Score]],Table1[[#This Row],[Chemistry 
Score]],Table1[[#This Row],[Biology 
Score]],Table1[[#This Row],[English 
Score]],Table1[[#This Row],[Geography 
Score]])</f>
        <v>538</v>
      </c>
      <c r="AA1422" s="3">
        <f>AVERAGE(Table1[[#This Row],[Math 
Score]],Table1[[#This Row],[History 
Score]],Table1[[#This Row],[Physics 
Score]],Table1[[#This Row],[Chemistry 
Score]],Table1[[#This Row],[Biology 
Score]],Table1[[#This Row],[English 
Score]],Table1[[#This Row],[Geography 
Score]])</f>
        <v>76.857142857142861</v>
      </c>
      <c r="AB142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422">
        <f t="shared" si="22"/>
        <v>1537</v>
      </c>
      <c r="AD1422" t="str">
        <f>_xlfn.IFS(Table1[[#This Row],[Absence 
Days]]&lt;3,"Excellent",Table1[[#This Row],[Absence 
Days]]&lt;=6,"Good",Table1[[#This Row],[Absence 
Days]]&gt;6,"Poor")</f>
        <v>Excellent</v>
      </c>
    </row>
    <row r="1423" spans="1:30" x14ac:dyDescent="0.35">
      <c r="A1423">
        <v>1422</v>
      </c>
      <c r="B1423" s="2" t="s">
        <v>405</v>
      </c>
      <c r="C1423" t="s">
        <v>495</v>
      </c>
      <c r="D1423" t="str">
        <f>_xlfn.TEXTJOIN(" ",TRUE,Table1[[#This Row],[First 
Name]:[Last 
Name]])</f>
        <v>Misty Stewart</v>
      </c>
      <c r="E1423" t="s">
        <v>2533</v>
      </c>
      <c r="F1423" t="s">
        <v>3245</v>
      </c>
      <c r="G1423" t="str">
        <f ca="1">PROPER(Table1[[#This Row],[Part Time 
Job]])</f>
        <v>False</v>
      </c>
      <c r="H1423" s="3">
        <v>1</v>
      </c>
      <c r="I1423" t="str">
        <f ca="1">PROPER(Table1[[#This Row],[Extracurricular 
Activities]])</f>
        <v>False</v>
      </c>
      <c r="J1423">
        <v>27</v>
      </c>
      <c r="K1423" t="s">
        <v>3116</v>
      </c>
      <c r="L1423">
        <v>87</v>
      </c>
      <c r="M1423" s="12" t="str" cm="1">
        <f t="array" ref="M142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423">
        <v>91</v>
      </c>
      <c r="O1423" s="13" t="str" cm="1">
        <f t="array" ref="O142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423">
        <v>92</v>
      </c>
      <c r="Q1423" s="13" t="str" cm="1">
        <f t="array" ref="Q142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423">
        <v>66</v>
      </c>
      <c r="S1423" t="str" cm="1">
        <f t="array" ref="S142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423">
        <v>62</v>
      </c>
      <c r="U1423" t="str" cm="1">
        <f t="array" ref="U142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423">
        <v>89</v>
      </c>
      <c r="W1423" t="str" cm="1">
        <f t="array" ref="W142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423">
        <v>76</v>
      </c>
      <c r="Y1423" t="str" cm="1">
        <f t="array" ref="Y142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423">
        <f>SUM(Table1[[#This Row],[Math 
Score]],Table1[[#This Row],[History 
Score]],Table1[[#This Row],[Physics 
Score]],Table1[[#This Row],[Chemistry 
Score]],Table1[[#This Row],[Biology 
Score]],Table1[[#This Row],[English 
Score]],Table1[[#This Row],[Geography 
Score]])</f>
        <v>563</v>
      </c>
      <c r="AA1423" s="3">
        <f>AVERAGE(Table1[[#This Row],[Math 
Score]],Table1[[#This Row],[History 
Score]],Table1[[#This Row],[Physics 
Score]],Table1[[#This Row],[Chemistry 
Score]],Table1[[#This Row],[Biology 
Score]],Table1[[#This Row],[English 
Score]],Table1[[#This Row],[Geography 
Score]])</f>
        <v>80.428571428571431</v>
      </c>
      <c r="AB142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423">
        <f t="shared" si="22"/>
        <v>1077</v>
      </c>
      <c r="AD1423" t="str">
        <f>_xlfn.IFS(Table1[[#This Row],[Absence 
Days]]&lt;3,"Excellent",Table1[[#This Row],[Absence 
Days]]&lt;=6,"Good",Table1[[#This Row],[Absence 
Days]]&gt;6,"Poor")</f>
        <v>Excellent</v>
      </c>
    </row>
    <row r="1424" spans="1:30" x14ac:dyDescent="0.35">
      <c r="A1424">
        <v>1423</v>
      </c>
      <c r="B1424" s="2" t="s">
        <v>0</v>
      </c>
      <c r="C1424" t="s">
        <v>592</v>
      </c>
      <c r="D1424" t="str">
        <f>_xlfn.TEXTJOIN(" ",TRUE,Table1[[#This Row],[First 
Name]:[Last 
Name]])</f>
        <v>Paul Johnson</v>
      </c>
      <c r="E1424" t="s">
        <v>2534</v>
      </c>
      <c r="F1424" t="s">
        <v>3244</v>
      </c>
      <c r="G1424" t="str">
        <f ca="1">PROPER(Table1[[#This Row],[Part Time 
Job]])</f>
        <v>False</v>
      </c>
      <c r="H1424" s="3">
        <v>4</v>
      </c>
      <c r="I1424" t="str">
        <f ca="1">PROPER(Table1[[#This Row],[Extracurricular 
Activities]])</f>
        <v>False</v>
      </c>
      <c r="J1424">
        <v>32</v>
      </c>
      <c r="K1424" t="s">
        <v>3113</v>
      </c>
      <c r="L1424">
        <v>86</v>
      </c>
      <c r="M1424" s="12" t="str" cm="1">
        <f t="array" ref="M142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424">
        <v>78</v>
      </c>
      <c r="O1424" s="13" t="str" cm="1">
        <f t="array" ref="O142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424">
        <v>81</v>
      </c>
      <c r="Q1424" s="13" t="str" cm="1">
        <f t="array" ref="Q142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424">
        <v>87</v>
      </c>
      <c r="S1424" t="str" cm="1">
        <f t="array" ref="S142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424">
        <v>99</v>
      </c>
      <c r="U1424" t="str" cm="1">
        <f t="array" ref="U142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424">
        <v>71</v>
      </c>
      <c r="W1424" t="str" cm="1">
        <f t="array" ref="W142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424">
        <v>97</v>
      </c>
      <c r="Y1424" t="str" cm="1">
        <f t="array" ref="Y142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424">
        <f>SUM(Table1[[#This Row],[Math 
Score]],Table1[[#This Row],[History 
Score]],Table1[[#This Row],[Physics 
Score]],Table1[[#This Row],[Chemistry 
Score]],Table1[[#This Row],[Biology 
Score]],Table1[[#This Row],[English 
Score]],Table1[[#This Row],[Geography 
Score]])</f>
        <v>599</v>
      </c>
      <c r="AA1424" s="3">
        <f>AVERAGE(Table1[[#This Row],[Math 
Score]],Table1[[#This Row],[History 
Score]],Table1[[#This Row],[Physics 
Score]],Table1[[#This Row],[Chemistry 
Score]],Table1[[#This Row],[Biology 
Score]],Table1[[#This Row],[English 
Score]],Table1[[#This Row],[Geography 
Score]])</f>
        <v>85.571428571428569</v>
      </c>
      <c r="AB142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424">
        <f t="shared" si="22"/>
        <v>426</v>
      </c>
      <c r="AD1424" t="str">
        <f>_xlfn.IFS(Table1[[#This Row],[Absence 
Days]]&lt;3,"Excellent",Table1[[#This Row],[Absence 
Days]]&lt;=6,"Good",Table1[[#This Row],[Absence 
Days]]&gt;6,"Poor")</f>
        <v>Good</v>
      </c>
    </row>
    <row r="1425" spans="1:30" x14ac:dyDescent="0.35">
      <c r="A1425">
        <v>1424</v>
      </c>
      <c r="B1425" s="2" t="s">
        <v>95</v>
      </c>
      <c r="C1425" t="s">
        <v>1012</v>
      </c>
      <c r="D1425" t="str">
        <f>_xlfn.TEXTJOIN(" ",TRUE,Table1[[#This Row],[First 
Name]:[Last 
Name]])</f>
        <v>Jordan Rocha</v>
      </c>
      <c r="E1425" t="s">
        <v>2535</v>
      </c>
      <c r="F1425" t="s">
        <v>3244</v>
      </c>
      <c r="G1425" t="str">
        <f ca="1">PROPER(Table1[[#This Row],[Part Time 
Job]])</f>
        <v>False</v>
      </c>
      <c r="H1425" s="3">
        <v>1</v>
      </c>
      <c r="I1425" t="str">
        <f ca="1">PROPER(Table1[[#This Row],[Extracurricular 
Activities]])</f>
        <v>False</v>
      </c>
      <c r="J1425">
        <v>30</v>
      </c>
      <c r="K1425" t="s">
        <v>3117</v>
      </c>
      <c r="L1425">
        <v>89</v>
      </c>
      <c r="M1425" s="12" t="str" cm="1">
        <f t="array" ref="M142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425">
        <v>93</v>
      </c>
      <c r="O1425" s="13" t="str" cm="1">
        <f t="array" ref="O142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425">
        <v>71</v>
      </c>
      <c r="Q1425" s="13" t="str" cm="1">
        <f t="array" ref="Q142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425">
        <v>84</v>
      </c>
      <c r="S1425" t="str" cm="1">
        <f t="array" ref="S142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425">
        <v>63</v>
      </c>
      <c r="U1425" t="str" cm="1">
        <f t="array" ref="U142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425">
        <v>61</v>
      </c>
      <c r="W1425" t="str" cm="1">
        <f t="array" ref="W142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425">
        <v>76</v>
      </c>
      <c r="Y1425" t="str" cm="1">
        <f t="array" ref="Y142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425">
        <f>SUM(Table1[[#This Row],[Math 
Score]],Table1[[#This Row],[History 
Score]],Table1[[#This Row],[Physics 
Score]],Table1[[#This Row],[Chemistry 
Score]],Table1[[#This Row],[Biology 
Score]],Table1[[#This Row],[English 
Score]],Table1[[#This Row],[Geography 
Score]])</f>
        <v>537</v>
      </c>
      <c r="AA1425" s="3">
        <f>AVERAGE(Table1[[#This Row],[Math 
Score]],Table1[[#This Row],[History 
Score]],Table1[[#This Row],[Physics 
Score]],Table1[[#This Row],[Chemistry 
Score]],Table1[[#This Row],[Biology 
Score]],Table1[[#This Row],[English 
Score]],Table1[[#This Row],[Geography 
Score]])</f>
        <v>76.714285714285708</v>
      </c>
      <c r="AB142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425">
        <f t="shared" si="22"/>
        <v>1553</v>
      </c>
      <c r="AD1425" t="str">
        <f>_xlfn.IFS(Table1[[#This Row],[Absence 
Days]]&lt;3,"Excellent",Table1[[#This Row],[Absence 
Days]]&lt;=6,"Good",Table1[[#This Row],[Absence 
Days]]&gt;6,"Poor")</f>
        <v>Excellent</v>
      </c>
    </row>
    <row r="1426" spans="1:30" x14ac:dyDescent="0.35">
      <c r="A1426">
        <v>1425</v>
      </c>
      <c r="B1426" s="2" t="s">
        <v>14</v>
      </c>
      <c r="C1426" t="s">
        <v>547</v>
      </c>
      <c r="D1426" t="str">
        <f>_xlfn.TEXTJOIN(" ",TRUE,Table1[[#This Row],[First 
Name]:[Last 
Name]])</f>
        <v>Roger Dixon</v>
      </c>
      <c r="E1426" t="s">
        <v>2536</v>
      </c>
      <c r="F1426" t="s">
        <v>3244</v>
      </c>
      <c r="G1426" t="str">
        <f ca="1">PROPER(Table1[[#This Row],[Part Time 
Job]])</f>
        <v>False</v>
      </c>
      <c r="H1426" s="3">
        <v>7</v>
      </c>
      <c r="I1426" t="str">
        <f ca="1">PROPER(Table1[[#This Row],[Extracurricular 
Activities]])</f>
        <v>False</v>
      </c>
      <c r="J1426">
        <v>3</v>
      </c>
      <c r="K1426" t="s">
        <v>3126</v>
      </c>
      <c r="L1426">
        <v>96</v>
      </c>
      <c r="M1426" s="12" t="str" cm="1">
        <f t="array" ref="M142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426">
        <v>64</v>
      </c>
      <c r="O1426" s="13" t="str" cm="1">
        <f t="array" ref="O142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426">
        <v>85</v>
      </c>
      <c r="Q1426" s="13" t="str" cm="1">
        <f t="array" ref="Q142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426">
        <v>86</v>
      </c>
      <c r="S1426" t="str" cm="1">
        <f t="array" ref="S142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426">
        <v>93</v>
      </c>
      <c r="U1426" t="str" cm="1">
        <f t="array" ref="U142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426">
        <v>92</v>
      </c>
      <c r="W1426" t="str" cm="1">
        <f t="array" ref="W142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426">
        <v>65</v>
      </c>
      <c r="Y1426" t="str" cm="1">
        <f t="array" ref="Y142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426">
        <f>SUM(Table1[[#This Row],[Math 
Score]],Table1[[#This Row],[History 
Score]],Table1[[#This Row],[Physics 
Score]],Table1[[#This Row],[Chemistry 
Score]],Table1[[#This Row],[Biology 
Score]],Table1[[#This Row],[English 
Score]],Table1[[#This Row],[Geography 
Score]])</f>
        <v>581</v>
      </c>
      <c r="AA1426" s="3">
        <f>AVERAGE(Table1[[#This Row],[Math 
Score]],Table1[[#This Row],[History 
Score]],Table1[[#This Row],[Physics 
Score]],Table1[[#This Row],[Chemistry 
Score]],Table1[[#This Row],[Biology 
Score]],Table1[[#This Row],[English 
Score]],Table1[[#This Row],[Geography 
Score]])</f>
        <v>83</v>
      </c>
      <c r="AB142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426">
        <f t="shared" si="22"/>
        <v>688</v>
      </c>
      <c r="AD1426" t="str">
        <f>_xlfn.IFS(Table1[[#This Row],[Absence 
Days]]&lt;3,"Excellent",Table1[[#This Row],[Absence 
Days]]&lt;=6,"Good",Table1[[#This Row],[Absence 
Days]]&gt;6,"Poor")</f>
        <v>Poor</v>
      </c>
    </row>
    <row r="1427" spans="1:30" x14ac:dyDescent="0.35">
      <c r="A1427">
        <v>1426</v>
      </c>
      <c r="B1427" s="2" t="s">
        <v>11</v>
      </c>
      <c r="C1427" t="s">
        <v>1013</v>
      </c>
      <c r="D1427" t="str">
        <f>_xlfn.TEXTJOIN(" ",TRUE,Table1[[#This Row],[First 
Name]:[Last 
Name]])</f>
        <v>Patricia Garrison</v>
      </c>
      <c r="E1427" t="s">
        <v>2537</v>
      </c>
      <c r="F1427" t="s">
        <v>3245</v>
      </c>
      <c r="G1427" t="str">
        <f ca="1">PROPER(Table1[[#This Row],[Part Time 
Job]])</f>
        <v>False</v>
      </c>
      <c r="H1427" s="3">
        <v>2</v>
      </c>
      <c r="I1427" t="str">
        <f ca="1">PROPER(Table1[[#This Row],[Extracurricular 
Activities]])</f>
        <v>True</v>
      </c>
      <c r="J1427">
        <v>19</v>
      </c>
      <c r="K1427" t="s">
        <v>3117</v>
      </c>
      <c r="L1427">
        <v>90</v>
      </c>
      <c r="M1427" s="12" t="str" cm="1">
        <f t="array" ref="M142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427">
        <v>73</v>
      </c>
      <c r="O1427" s="13" t="str" cm="1">
        <f t="array" ref="O142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427">
        <v>71</v>
      </c>
      <c r="Q1427" s="13" t="str" cm="1">
        <f t="array" ref="Q142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427">
        <v>68</v>
      </c>
      <c r="S1427" t="str" cm="1">
        <f t="array" ref="S142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427">
        <v>74</v>
      </c>
      <c r="U1427" t="str" cm="1">
        <f t="array" ref="U142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427">
        <v>87</v>
      </c>
      <c r="W1427" t="str" cm="1">
        <f t="array" ref="W142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427">
        <v>66</v>
      </c>
      <c r="Y1427" t="str" cm="1">
        <f t="array" ref="Y142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427">
        <f>SUM(Table1[[#This Row],[Math 
Score]],Table1[[#This Row],[History 
Score]],Table1[[#This Row],[Physics 
Score]],Table1[[#This Row],[Chemistry 
Score]],Table1[[#This Row],[Biology 
Score]],Table1[[#This Row],[English 
Score]],Table1[[#This Row],[Geography 
Score]])</f>
        <v>529</v>
      </c>
      <c r="AA1427" s="3">
        <f>AVERAGE(Table1[[#This Row],[Math 
Score]],Table1[[#This Row],[History 
Score]],Table1[[#This Row],[Physics 
Score]],Table1[[#This Row],[Chemistry 
Score]],Table1[[#This Row],[Biology 
Score]],Table1[[#This Row],[English 
Score]],Table1[[#This Row],[Geography 
Score]])</f>
        <v>75.571428571428569</v>
      </c>
      <c r="AB142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427">
        <f t="shared" si="22"/>
        <v>1664</v>
      </c>
      <c r="AD1427" t="str">
        <f>_xlfn.IFS(Table1[[#This Row],[Absence 
Days]]&lt;3,"Excellent",Table1[[#This Row],[Absence 
Days]]&lt;=6,"Good",Table1[[#This Row],[Absence 
Days]]&gt;6,"Poor")</f>
        <v>Excellent</v>
      </c>
    </row>
    <row r="1428" spans="1:30" x14ac:dyDescent="0.35">
      <c r="A1428">
        <v>1427</v>
      </c>
      <c r="B1428" s="2" t="s">
        <v>99</v>
      </c>
      <c r="C1428" t="s">
        <v>492</v>
      </c>
      <c r="D1428" t="str">
        <f>_xlfn.TEXTJOIN(" ",TRUE,Table1[[#This Row],[First 
Name]:[Last 
Name]])</f>
        <v>Amanda Davis</v>
      </c>
      <c r="E1428" t="s">
        <v>2538</v>
      </c>
      <c r="F1428" t="s">
        <v>3245</v>
      </c>
      <c r="G1428" t="str">
        <f ca="1">PROPER(Table1[[#This Row],[Part Time 
Job]])</f>
        <v>False</v>
      </c>
      <c r="H1428" s="3">
        <v>2</v>
      </c>
      <c r="I1428" t="str">
        <f ca="1">PROPER(Table1[[#This Row],[Extracurricular 
Activities]])</f>
        <v>False</v>
      </c>
      <c r="J1428">
        <v>9</v>
      </c>
      <c r="K1428" t="s">
        <v>3118</v>
      </c>
      <c r="L1428">
        <v>98</v>
      </c>
      <c r="M1428" s="12" t="str" cm="1">
        <f t="array" ref="M142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428">
        <v>65</v>
      </c>
      <c r="O1428" s="13" t="str" cm="1">
        <f t="array" ref="O142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428">
        <v>66</v>
      </c>
      <c r="Q1428" s="13" t="str" cm="1">
        <f t="array" ref="Q142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428">
        <v>87</v>
      </c>
      <c r="S1428" t="str" cm="1">
        <f t="array" ref="S142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428">
        <v>78</v>
      </c>
      <c r="U1428" t="str" cm="1">
        <f t="array" ref="U142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428">
        <v>84</v>
      </c>
      <c r="W1428" t="str" cm="1">
        <f t="array" ref="W142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428">
        <v>91</v>
      </c>
      <c r="Y1428" t="str" cm="1">
        <f t="array" ref="Y142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428">
        <f>SUM(Table1[[#This Row],[Math 
Score]],Table1[[#This Row],[History 
Score]],Table1[[#This Row],[Physics 
Score]],Table1[[#This Row],[Chemistry 
Score]],Table1[[#This Row],[Biology 
Score]],Table1[[#This Row],[English 
Score]],Table1[[#This Row],[Geography 
Score]])</f>
        <v>569</v>
      </c>
      <c r="AA1428" s="3">
        <f>AVERAGE(Table1[[#This Row],[Math 
Score]],Table1[[#This Row],[History 
Score]],Table1[[#This Row],[Physics 
Score]],Table1[[#This Row],[Chemistry 
Score]],Table1[[#This Row],[Biology 
Score]],Table1[[#This Row],[English 
Score]],Table1[[#This Row],[Geography 
Score]])</f>
        <v>81.285714285714292</v>
      </c>
      <c r="AB142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428">
        <f t="shared" si="22"/>
        <v>957</v>
      </c>
      <c r="AD1428" t="str">
        <f>_xlfn.IFS(Table1[[#This Row],[Absence 
Days]]&lt;3,"Excellent",Table1[[#This Row],[Absence 
Days]]&lt;=6,"Good",Table1[[#This Row],[Absence 
Days]]&gt;6,"Poor")</f>
        <v>Excellent</v>
      </c>
    </row>
    <row r="1429" spans="1:30" x14ac:dyDescent="0.35">
      <c r="A1429">
        <v>1428</v>
      </c>
      <c r="B1429" s="2" t="s">
        <v>34</v>
      </c>
      <c r="C1429" t="s">
        <v>896</v>
      </c>
      <c r="D1429" t="str">
        <f>_xlfn.TEXTJOIN(" ",TRUE,Table1[[#This Row],[First 
Name]:[Last 
Name]])</f>
        <v>Michael Ferguson</v>
      </c>
      <c r="E1429" t="s">
        <v>2539</v>
      </c>
      <c r="F1429" t="s">
        <v>3244</v>
      </c>
      <c r="G1429" t="str">
        <f ca="1">PROPER(Table1[[#This Row],[Part Time 
Job]])</f>
        <v>False</v>
      </c>
      <c r="H1429" s="3">
        <v>3</v>
      </c>
      <c r="I1429" t="str">
        <f ca="1">PROPER(Table1[[#This Row],[Extracurricular 
Activities]])</f>
        <v>False</v>
      </c>
      <c r="J1429">
        <v>26</v>
      </c>
      <c r="K1429" t="s">
        <v>3112</v>
      </c>
      <c r="L1429">
        <v>85</v>
      </c>
      <c r="M1429" s="12" t="str" cm="1">
        <f t="array" ref="M142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429">
        <v>87</v>
      </c>
      <c r="O1429" s="13" t="str" cm="1">
        <f t="array" ref="O142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429">
        <v>85</v>
      </c>
      <c r="Q1429" s="13" t="str" cm="1">
        <f t="array" ref="Q142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429">
        <v>69</v>
      </c>
      <c r="S1429" t="str" cm="1">
        <f t="array" ref="S142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429">
        <v>80</v>
      </c>
      <c r="U1429" t="str" cm="1">
        <f t="array" ref="U142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429">
        <v>99</v>
      </c>
      <c r="W1429" t="str" cm="1">
        <f t="array" ref="W142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429">
        <v>93</v>
      </c>
      <c r="Y1429" t="str" cm="1">
        <f t="array" ref="Y142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429">
        <f>SUM(Table1[[#This Row],[Math 
Score]],Table1[[#This Row],[History 
Score]],Table1[[#This Row],[Physics 
Score]],Table1[[#This Row],[Chemistry 
Score]],Table1[[#This Row],[Biology 
Score]],Table1[[#This Row],[English 
Score]],Table1[[#This Row],[Geography 
Score]])</f>
        <v>598</v>
      </c>
      <c r="AA1429" s="3">
        <f>AVERAGE(Table1[[#This Row],[Math 
Score]],Table1[[#This Row],[History 
Score]],Table1[[#This Row],[Physics 
Score]],Table1[[#This Row],[Chemistry 
Score]],Table1[[#This Row],[Biology 
Score]],Table1[[#This Row],[English 
Score]],Table1[[#This Row],[Geography 
Score]])</f>
        <v>85.428571428571431</v>
      </c>
      <c r="AB142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429">
        <f t="shared" si="22"/>
        <v>436</v>
      </c>
      <c r="AD1429" t="str">
        <f>_xlfn.IFS(Table1[[#This Row],[Absence 
Days]]&lt;3,"Excellent",Table1[[#This Row],[Absence 
Days]]&lt;=6,"Good",Table1[[#This Row],[Absence 
Days]]&gt;6,"Poor")</f>
        <v>Good</v>
      </c>
    </row>
    <row r="1430" spans="1:30" x14ac:dyDescent="0.35">
      <c r="A1430">
        <v>1429</v>
      </c>
      <c r="B1430" s="2" t="s">
        <v>51</v>
      </c>
      <c r="C1430" t="s">
        <v>531</v>
      </c>
      <c r="D1430" t="str">
        <f>_xlfn.TEXTJOIN(" ",TRUE,Table1[[#This Row],[First 
Name]:[Last 
Name]])</f>
        <v>Melissa Robinson</v>
      </c>
      <c r="E1430" t="s">
        <v>2540</v>
      </c>
      <c r="F1430" t="s">
        <v>3245</v>
      </c>
      <c r="G1430" t="str">
        <f ca="1">PROPER(Table1[[#This Row],[Part Time 
Job]])</f>
        <v>False</v>
      </c>
      <c r="H1430" s="3">
        <v>1</v>
      </c>
      <c r="I1430" t="str">
        <f ca="1">PROPER(Table1[[#This Row],[Extracurricular 
Activities]])</f>
        <v>False</v>
      </c>
      <c r="J1430">
        <v>28</v>
      </c>
      <c r="K1430" t="s">
        <v>3117</v>
      </c>
      <c r="L1430">
        <v>85</v>
      </c>
      <c r="M1430" s="12" t="str" cm="1">
        <f t="array" ref="M143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430">
        <v>96</v>
      </c>
      <c r="O1430" s="13" t="str" cm="1">
        <f t="array" ref="O143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430">
        <v>100</v>
      </c>
      <c r="Q1430" s="13" t="str" cm="1">
        <f t="array" ref="Q143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430">
        <v>75</v>
      </c>
      <c r="S1430" t="str" cm="1">
        <f t="array" ref="S143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430">
        <v>63</v>
      </c>
      <c r="U1430" t="str" cm="1">
        <f t="array" ref="U143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430">
        <v>87</v>
      </c>
      <c r="W1430" t="str" cm="1">
        <f t="array" ref="W143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430">
        <v>89</v>
      </c>
      <c r="Y1430" t="str" cm="1">
        <f t="array" ref="Y143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430">
        <f>SUM(Table1[[#This Row],[Math 
Score]],Table1[[#This Row],[History 
Score]],Table1[[#This Row],[Physics 
Score]],Table1[[#This Row],[Chemistry 
Score]],Table1[[#This Row],[Biology 
Score]],Table1[[#This Row],[English 
Score]],Table1[[#This Row],[Geography 
Score]])</f>
        <v>595</v>
      </c>
      <c r="AA1430" s="3">
        <f>AVERAGE(Table1[[#This Row],[Math 
Score]],Table1[[#This Row],[History 
Score]],Table1[[#This Row],[Physics 
Score]],Table1[[#This Row],[Chemistry 
Score]],Table1[[#This Row],[Biology 
Score]],Table1[[#This Row],[English 
Score]],Table1[[#This Row],[Geography 
Score]])</f>
        <v>85</v>
      </c>
      <c r="AB143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430">
        <f t="shared" si="22"/>
        <v>465</v>
      </c>
      <c r="AD1430" t="str">
        <f>_xlfn.IFS(Table1[[#This Row],[Absence 
Days]]&lt;3,"Excellent",Table1[[#This Row],[Absence 
Days]]&lt;=6,"Good",Table1[[#This Row],[Absence 
Days]]&gt;6,"Poor")</f>
        <v>Excellent</v>
      </c>
    </row>
    <row r="1431" spans="1:30" x14ac:dyDescent="0.35">
      <c r="A1431">
        <v>1430</v>
      </c>
      <c r="B1431" s="2" t="s">
        <v>138</v>
      </c>
      <c r="C1431" t="s">
        <v>780</v>
      </c>
      <c r="D1431" t="str">
        <f>_xlfn.TEXTJOIN(" ",TRUE,Table1[[#This Row],[First 
Name]:[Last 
Name]])</f>
        <v>Kathryn Rivera</v>
      </c>
      <c r="E1431" t="s">
        <v>2541</v>
      </c>
      <c r="F1431" t="s">
        <v>3245</v>
      </c>
      <c r="G1431" t="str">
        <f ca="1">PROPER(Table1[[#This Row],[Part Time 
Job]])</f>
        <v>True</v>
      </c>
      <c r="H1431" s="3">
        <v>1</v>
      </c>
      <c r="I1431" t="str">
        <f ca="1">PROPER(Table1[[#This Row],[Extracurricular 
Activities]])</f>
        <v>False</v>
      </c>
      <c r="J1431">
        <v>35</v>
      </c>
      <c r="K1431" t="s">
        <v>3121</v>
      </c>
      <c r="L1431">
        <v>89</v>
      </c>
      <c r="M1431" s="12" t="str" cm="1">
        <f t="array" ref="M143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431">
        <v>94</v>
      </c>
      <c r="O1431" s="13" t="str" cm="1">
        <f t="array" ref="O143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431">
        <v>92</v>
      </c>
      <c r="Q1431" s="13" t="str" cm="1">
        <f t="array" ref="Q143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431">
        <v>98</v>
      </c>
      <c r="S1431" t="str" cm="1">
        <f t="array" ref="S143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431">
        <v>92</v>
      </c>
      <c r="U1431" t="str" cm="1">
        <f t="array" ref="U143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431">
        <v>92</v>
      </c>
      <c r="W1431" t="str" cm="1">
        <f t="array" ref="W143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431">
        <v>99</v>
      </c>
      <c r="Y1431" t="str" cm="1">
        <f t="array" ref="Y143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431">
        <f>SUM(Table1[[#This Row],[Math 
Score]],Table1[[#This Row],[History 
Score]],Table1[[#This Row],[Physics 
Score]],Table1[[#This Row],[Chemistry 
Score]],Table1[[#This Row],[Biology 
Score]],Table1[[#This Row],[English 
Score]],Table1[[#This Row],[Geography 
Score]])</f>
        <v>656</v>
      </c>
      <c r="AA1431" s="3">
        <f>AVERAGE(Table1[[#This Row],[Math 
Score]],Table1[[#This Row],[History 
Score]],Table1[[#This Row],[Physics 
Score]],Table1[[#This Row],[Chemistry 
Score]],Table1[[#This Row],[Biology 
Score]],Table1[[#This Row],[English 
Score]],Table1[[#This Row],[Geography 
Score]])</f>
        <v>93.714285714285708</v>
      </c>
      <c r="AB143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431">
        <f t="shared" si="22"/>
        <v>28</v>
      </c>
      <c r="AD1431" t="str">
        <f>_xlfn.IFS(Table1[[#This Row],[Absence 
Days]]&lt;3,"Excellent",Table1[[#This Row],[Absence 
Days]]&lt;=6,"Good",Table1[[#This Row],[Absence 
Days]]&gt;6,"Poor")</f>
        <v>Excellent</v>
      </c>
    </row>
    <row r="1432" spans="1:30" x14ac:dyDescent="0.35">
      <c r="A1432">
        <v>1431</v>
      </c>
      <c r="B1432" s="2" t="s">
        <v>406</v>
      </c>
      <c r="C1432" t="s">
        <v>1014</v>
      </c>
      <c r="D1432" t="str">
        <f>_xlfn.TEXTJOIN(" ",TRUE,Table1[[#This Row],[First 
Name]:[Last 
Name]])</f>
        <v>Javier Macdonald</v>
      </c>
      <c r="E1432" t="s">
        <v>2542</v>
      </c>
      <c r="F1432" t="s">
        <v>3244</v>
      </c>
      <c r="G1432" t="str">
        <f ca="1">PROPER(Table1[[#This Row],[Part Time 
Job]])</f>
        <v>False</v>
      </c>
      <c r="H1432" s="3">
        <v>4</v>
      </c>
      <c r="I1432" t="str">
        <f ca="1">PROPER(Table1[[#This Row],[Extracurricular 
Activities]])</f>
        <v>False</v>
      </c>
      <c r="J1432">
        <v>32</v>
      </c>
      <c r="K1432" t="s">
        <v>3121</v>
      </c>
      <c r="L1432">
        <v>93</v>
      </c>
      <c r="M1432" s="12" t="str" cm="1">
        <f t="array" ref="M143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432">
        <v>97</v>
      </c>
      <c r="O1432" s="13" t="str" cm="1">
        <f t="array" ref="O143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432">
        <v>93</v>
      </c>
      <c r="Q1432" s="13" t="str" cm="1">
        <f t="array" ref="Q143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432">
        <v>66</v>
      </c>
      <c r="S1432" t="str" cm="1">
        <f t="array" ref="S143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432">
        <v>83</v>
      </c>
      <c r="U1432" t="str" cm="1">
        <f t="array" ref="U143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432">
        <v>88</v>
      </c>
      <c r="W1432" t="str" cm="1">
        <f t="array" ref="W143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432">
        <v>79</v>
      </c>
      <c r="Y1432" t="str" cm="1">
        <f t="array" ref="Y143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432">
        <f>SUM(Table1[[#This Row],[Math 
Score]],Table1[[#This Row],[History 
Score]],Table1[[#This Row],[Physics 
Score]],Table1[[#This Row],[Chemistry 
Score]],Table1[[#This Row],[Biology 
Score]],Table1[[#This Row],[English 
Score]],Table1[[#This Row],[Geography 
Score]])</f>
        <v>599</v>
      </c>
      <c r="AA1432" s="3">
        <f>AVERAGE(Table1[[#This Row],[Math 
Score]],Table1[[#This Row],[History 
Score]],Table1[[#This Row],[Physics 
Score]],Table1[[#This Row],[Chemistry 
Score]],Table1[[#This Row],[Biology 
Score]],Table1[[#This Row],[English 
Score]],Table1[[#This Row],[Geography 
Score]])</f>
        <v>85.571428571428569</v>
      </c>
      <c r="AB143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432">
        <f t="shared" si="22"/>
        <v>426</v>
      </c>
      <c r="AD1432" t="str">
        <f>_xlfn.IFS(Table1[[#This Row],[Absence 
Days]]&lt;3,"Excellent",Table1[[#This Row],[Absence 
Days]]&lt;=6,"Good",Table1[[#This Row],[Absence 
Days]]&gt;6,"Poor")</f>
        <v>Good</v>
      </c>
    </row>
    <row r="1433" spans="1:30" x14ac:dyDescent="0.35">
      <c r="A1433">
        <v>1432</v>
      </c>
      <c r="B1433" s="2" t="s">
        <v>18</v>
      </c>
      <c r="C1433" t="s">
        <v>1015</v>
      </c>
      <c r="D1433" t="str">
        <f>_xlfn.TEXTJOIN(" ",TRUE,Table1[[#This Row],[First 
Name]:[Last 
Name]])</f>
        <v>Angela Elliott</v>
      </c>
      <c r="E1433" t="s">
        <v>2543</v>
      </c>
      <c r="F1433" t="s">
        <v>3245</v>
      </c>
      <c r="G1433" t="str">
        <f ca="1">PROPER(Table1[[#This Row],[Part Time 
Job]])</f>
        <v>True</v>
      </c>
      <c r="H1433" s="3">
        <v>2</v>
      </c>
      <c r="I1433" t="str">
        <f ca="1">PROPER(Table1[[#This Row],[Extracurricular 
Activities]])</f>
        <v>False</v>
      </c>
      <c r="J1433">
        <v>35</v>
      </c>
      <c r="K1433" t="s">
        <v>3117</v>
      </c>
      <c r="L1433">
        <v>96</v>
      </c>
      <c r="M1433" s="12" t="str" cm="1">
        <f t="array" ref="M143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433">
        <v>91</v>
      </c>
      <c r="O1433" s="13" t="str" cm="1">
        <f t="array" ref="O143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433">
        <v>95</v>
      </c>
      <c r="Q1433" s="13" t="str" cm="1">
        <f t="array" ref="Q143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433">
        <v>88</v>
      </c>
      <c r="S1433" t="str" cm="1">
        <f t="array" ref="S143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433">
        <v>89</v>
      </c>
      <c r="U1433" t="str" cm="1">
        <f t="array" ref="U143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433">
        <v>85</v>
      </c>
      <c r="W1433" t="str" cm="1">
        <f t="array" ref="W143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433">
        <v>92</v>
      </c>
      <c r="Y1433" t="str" cm="1">
        <f t="array" ref="Y143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433">
        <f>SUM(Table1[[#This Row],[Math 
Score]],Table1[[#This Row],[History 
Score]],Table1[[#This Row],[Physics 
Score]],Table1[[#This Row],[Chemistry 
Score]],Table1[[#This Row],[Biology 
Score]],Table1[[#This Row],[English 
Score]],Table1[[#This Row],[Geography 
Score]])</f>
        <v>636</v>
      </c>
      <c r="AA1433" s="3">
        <f>AVERAGE(Table1[[#This Row],[Math 
Score]],Table1[[#This Row],[History 
Score]],Table1[[#This Row],[Physics 
Score]],Table1[[#This Row],[Chemistry 
Score]],Table1[[#This Row],[Biology 
Score]],Table1[[#This Row],[English 
Score]],Table1[[#This Row],[Geography 
Score]])</f>
        <v>90.857142857142861</v>
      </c>
      <c r="AB143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433">
        <f t="shared" si="22"/>
        <v>124</v>
      </c>
      <c r="AD1433" t="str">
        <f>_xlfn.IFS(Table1[[#This Row],[Absence 
Days]]&lt;3,"Excellent",Table1[[#This Row],[Absence 
Days]]&lt;=6,"Good",Table1[[#This Row],[Absence 
Days]]&gt;6,"Poor")</f>
        <v>Excellent</v>
      </c>
    </row>
    <row r="1434" spans="1:30" x14ac:dyDescent="0.35">
      <c r="A1434">
        <v>1433</v>
      </c>
      <c r="B1434" s="2" t="s">
        <v>206</v>
      </c>
      <c r="C1434" t="s">
        <v>686</v>
      </c>
      <c r="D1434" t="str">
        <f>_xlfn.TEXTJOIN(" ",TRUE,Table1[[#This Row],[First 
Name]:[Last 
Name]])</f>
        <v>Christine Collins</v>
      </c>
      <c r="E1434" t="s">
        <v>2544</v>
      </c>
      <c r="F1434" t="s">
        <v>3245</v>
      </c>
      <c r="G1434" t="str">
        <f ca="1">PROPER(Table1[[#This Row],[Part Time 
Job]])</f>
        <v>False</v>
      </c>
      <c r="H1434" s="3">
        <v>3</v>
      </c>
      <c r="I1434" t="str">
        <f ca="1">PROPER(Table1[[#This Row],[Extracurricular 
Activities]])</f>
        <v>False</v>
      </c>
      <c r="J1434">
        <v>26</v>
      </c>
      <c r="K1434" t="s">
        <v>3124</v>
      </c>
      <c r="L1434">
        <v>84</v>
      </c>
      <c r="M1434" s="12" t="str" cm="1">
        <f t="array" ref="M143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434">
        <v>64</v>
      </c>
      <c r="O1434" s="13" t="str" cm="1">
        <f t="array" ref="O143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434">
        <v>98</v>
      </c>
      <c r="Q1434" s="13" t="str" cm="1">
        <f t="array" ref="Q143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434">
        <v>100</v>
      </c>
      <c r="S1434" t="str" cm="1">
        <f t="array" ref="S143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434">
        <v>89</v>
      </c>
      <c r="U1434" t="str" cm="1">
        <f t="array" ref="U143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434">
        <v>79</v>
      </c>
      <c r="W1434" t="str" cm="1">
        <f t="array" ref="W143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434">
        <v>96</v>
      </c>
      <c r="Y1434" t="str" cm="1">
        <f t="array" ref="Y143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434">
        <f>SUM(Table1[[#This Row],[Math 
Score]],Table1[[#This Row],[History 
Score]],Table1[[#This Row],[Physics 
Score]],Table1[[#This Row],[Chemistry 
Score]],Table1[[#This Row],[Biology 
Score]],Table1[[#This Row],[English 
Score]],Table1[[#This Row],[Geography 
Score]])</f>
        <v>610</v>
      </c>
      <c r="AA1434" s="3">
        <f>AVERAGE(Table1[[#This Row],[Math 
Score]],Table1[[#This Row],[History 
Score]],Table1[[#This Row],[Physics 
Score]],Table1[[#This Row],[Chemistry 
Score]],Table1[[#This Row],[Biology 
Score]],Table1[[#This Row],[English 
Score]],Table1[[#This Row],[Geography 
Score]])</f>
        <v>87.142857142857139</v>
      </c>
      <c r="AB143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434">
        <f t="shared" si="22"/>
        <v>298</v>
      </c>
      <c r="AD1434" t="str">
        <f>_xlfn.IFS(Table1[[#This Row],[Absence 
Days]]&lt;3,"Excellent",Table1[[#This Row],[Absence 
Days]]&lt;=6,"Good",Table1[[#This Row],[Absence 
Days]]&gt;6,"Poor")</f>
        <v>Good</v>
      </c>
    </row>
    <row r="1435" spans="1:30" x14ac:dyDescent="0.35">
      <c r="A1435">
        <v>1434</v>
      </c>
      <c r="B1435" s="2" t="s">
        <v>395</v>
      </c>
      <c r="C1435" t="s">
        <v>188</v>
      </c>
      <c r="D1435" t="str">
        <f>_xlfn.TEXTJOIN(" ",TRUE,Table1[[#This Row],[First 
Name]:[Last 
Name]])</f>
        <v>Calvin Taylor</v>
      </c>
      <c r="E1435" t="s">
        <v>2545</v>
      </c>
      <c r="F1435" t="s">
        <v>3244</v>
      </c>
      <c r="G1435" t="str">
        <f ca="1">PROPER(Table1[[#This Row],[Part Time 
Job]])</f>
        <v>False</v>
      </c>
      <c r="H1435" s="3">
        <v>3</v>
      </c>
      <c r="I1435" t="str">
        <f ca="1">PROPER(Table1[[#This Row],[Extracurricular 
Activities]])</f>
        <v>False</v>
      </c>
      <c r="J1435">
        <v>14</v>
      </c>
      <c r="K1435" t="s">
        <v>3121</v>
      </c>
      <c r="L1435">
        <v>76</v>
      </c>
      <c r="M1435" s="12" t="str" cm="1">
        <f t="array" ref="M143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435">
        <v>97</v>
      </c>
      <c r="O1435" s="13" t="str" cm="1">
        <f t="array" ref="O143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435">
        <v>99</v>
      </c>
      <c r="Q1435" s="13" t="str" cm="1">
        <f t="array" ref="Q143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435">
        <v>83</v>
      </c>
      <c r="S1435" t="str" cm="1">
        <f t="array" ref="S143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435">
        <v>74</v>
      </c>
      <c r="U1435" t="str" cm="1">
        <f t="array" ref="U143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435">
        <v>94</v>
      </c>
      <c r="W1435" t="str" cm="1">
        <f t="array" ref="W143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435">
        <v>99</v>
      </c>
      <c r="Y1435" t="str" cm="1">
        <f t="array" ref="Y143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435">
        <f>SUM(Table1[[#This Row],[Math 
Score]],Table1[[#This Row],[History 
Score]],Table1[[#This Row],[Physics 
Score]],Table1[[#This Row],[Chemistry 
Score]],Table1[[#This Row],[Biology 
Score]],Table1[[#This Row],[English 
Score]],Table1[[#This Row],[Geography 
Score]])</f>
        <v>622</v>
      </c>
      <c r="AA1435" s="3">
        <f>AVERAGE(Table1[[#This Row],[Math 
Score]],Table1[[#This Row],[History 
Score]],Table1[[#This Row],[Physics 
Score]],Table1[[#This Row],[Chemistry 
Score]],Table1[[#This Row],[Biology 
Score]],Table1[[#This Row],[English 
Score]],Table1[[#This Row],[Geography 
Score]])</f>
        <v>88.857142857142861</v>
      </c>
      <c r="AB143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435">
        <f t="shared" si="22"/>
        <v>208</v>
      </c>
      <c r="AD1435" t="str">
        <f>_xlfn.IFS(Table1[[#This Row],[Absence 
Days]]&lt;3,"Excellent",Table1[[#This Row],[Absence 
Days]]&lt;=6,"Good",Table1[[#This Row],[Absence 
Days]]&gt;6,"Poor")</f>
        <v>Good</v>
      </c>
    </row>
    <row r="1436" spans="1:30" x14ac:dyDescent="0.35">
      <c r="A1436">
        <v>1435</v>
      </c>
      <c r="B1436" s="2" t="s">
        <v>50</v>
      </c>
      <c r="C1436" t="s">
        <v>927</v>
      </c>
      <c r="D1436" t="str">
        <f>_xlfn.TEXTJOIN(" ",TRUE,Table1[[#This Row],[First 
Name]:[Last 
Name]])</f>
        <v>Jennifer Contreras</v>
      </c>
      <c r="E1436" t="s">
        <v>2546</v>
      </c>
      <c r="F1436" t="s">
        <v>3245</v>
      </c>
      <c r="G1436" t="str">
        <f ca="1">PROPER(Table1[[#This Row],[Part Time 
Job]])</f>
        <v>False</v>
      </c>
      <c r="H1436" s="3">
        <v>4</v>
      </c>
      <c r="I1436" t="str">
        <f ca="1">PROPER(Table1[[#This Row],[Extracurricular 
Activities]])</f>
        <v>False</v>
      </c>
      <c r="J1436">
        <v>26</v>
      </c>
      <c r="K1436" t="s">
        <v>3121</v>
      </c>
      <c r="L1436">
        <v>80</v>
      </c>
      <c r="M1436" s="12" t="str" cm="1">
        <f t="array" ref="M143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436">
        <v>78</v>
      </c>
      <c r="O1436" s="13" t="str" cm="1">
        <f t="array" ref="O143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436">
        <v>71</v>
      </c>
      <c r="Q1436" s="13" t="str" cm="1">
        <f t="array" ref="Q143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436">
        <v>69</v>
      </c>
      <c r="S1436" t="str" cm="1">
        <f t="array" ref="S143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436">
        <v>76</v>
      </c>
      <c r="U1436" t="str" cm="1">
        <f t="array" ref="U143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436">
        <v>97</v>
      </c>
      <c r="W1436" t="str" cm="1">
        <f t="array" ref="W143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436">
        <v>77</v>
      </c>
      <c r="Y1436" t="str" cm="1">
        <f t="array" ref="Y143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436">
        <f>SUM(Table1[[#This Row],[Math 
Score]],Table1[[#This Row],[History 
Score]],Table1[[#This Row],[Physics 
Score]],Table1[[#This Row],[Chemistry 
Score]],Table1[[#This Row],[Biology 
Score]],Table1[[#This Row],[English 
Score]],Table1[[#This Row],[Geography 
Score]])</f>
        <v>548</v>
      </c>
      <c r="AA1436" s="3">
        <f>AVERAGE(Table1[[#This Row],[Math 
Score]],Table1[[#This Row],[History 
Score]],Table1[[#This Row],[Physics 
Score]],Table1[[#This Row],[Chemistry 
Score]],Table1[[#This Row],[Biology 
Score]],Table1[[#This Row],[English 
Score]],Table1[[#This Row],[Geography 
Score]])</f>
        <v>78.285714285714292</v>
      </c>
      <c r="AB143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436">
        <f t="shared" si="22"/>
        <v>1374</v>
      </c>
      <c r="AD1436" t="str">
        <f>_xlfn.IFS(Table1[[#This Row],[Absence 
Days]]&lt;3,"Excellent",Table1[[#This Row],[Absence 
Days]]&lt;=6,"Good",Table1[[#This Row],[Absence 
Days]]&gt;6,"Poor")</f>
        <v>Good</v>
      </c>
    </row>
    <row r="1437" spans="1:30" x14ac:dyDescent="0.35">
      <c r="A1437">
        <v>1436</v>
      </c>
      <c r="B1437" s="2" t="s">
        <v>50</v>
      </c>
      <c r="C1437" t="s">
        <v>1016</v>
      </c>
      <c r="D1437" t="str">
        <f>_xlfn.TEXTJOIN(" ",TRUE,Table1[[#This Row],[First 
Name]:[Last 
Name]])</f>
        <v>Jennifer Mccoy</v>
      </c>
      <c r="E1437" t="s">
        <v>2547</v>
      </c>
      <c r="F1437" t="s">
        <v>3245</v>
      </c>
      <c r="G1437" t="str">
        <f ca="1">PROPER(Table1[[#This Row],[Part Time 
Job]])</f>
        <v>False</v>
      </c>
      <c r="H1437" s="3">
        <v>5</v>
      </c>
      <c r="I1437" t="str">
        <f ca="1">PROPER(Table1[[#This Row],[Extracurricular 
Activities]])</f>
        <v>True</v>
      </c>
      <c r="J1437">
        <v>3</v>
      </c>
      <c r="K1437" t="s">
        <v>3128</v>
      </c>
      <c r="L1437">
        <v>63</v>
      </c>
      <c r="M1437" s="12" t="str" cm="1">
        <f t="array" ref="M1437">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437">
        <v>77</v>
      </c>
      <c r="O1437" s="13" t="str" cm="1">
        <f t="array" ref="O143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437">
        <v>89</v>
      </c>
      <c r="Q1437" s="13" t="str" cm="1">
        <f t="array" ref="Q143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437">
        <v>79</v>
      </c>
      <c r="S1437" t="str" cm="1">
        <f t="array" ref="S143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437">
        <v>79</v>
      </c>
      <c r="U1437" t="str" cm="1">
        <f t="array" ref="U143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437">
        <v>60</v>
      </c>
      <c r="W1437" t="str" cm="1">
        <f t="array" ref="W143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437">
        <v>81</v>
      </c>
      <c r="Y1437" t="str" cm="1">
        <f t="array" ref="Y143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437">
        <f>SUM(Table1[[#This Row],[Math 
Score]],Table1[[#This Row],[History 
Score]],Table1[[#This Row],[Physics 
Score]],Table1[[#This Row],[Chemistry 
Score]],Table1[[#This Row],[Biology 
Score]],Table1[[#This Row],[English 
Score]],Table1[[#This Row],[Geography 
Score]])</f>
        <v>528</v>
      </c>
      <c r="AA1437" s="3">
        <f>AVERAGE(Table1[[#This Row],[Math 
Score]],Table1[[#This Row],[History 
Score]],Table1[[#This Row],[Physics 
Score]],Table1[[#This Row],[Chemistry 
Score]],Table1[[#This Row],[Biology 
Score]],Table1[[#This Row],[English 
Score]],Table1[[#This Row],[Geography 
Score]])</f>
        <v>75.428571428571431</v>
      </c>
      <c r="AB143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437">
        <f t="shared" si="22"/>
        <v>1678</v>
      </c>
      <c r="AD1437" t="str">
        <f>_xlfn.IFS(Table1[[#This Row],[Absence 
Days]]&lt;3,"Excellent",Table1[[#This Row],[Absence 
Days]]&lt;=6,"Good",Table1[[#This Row],[Absence 
Days]]&gt;6,"Poor")</f>
        <v>Good</v>
      </c>
    </row>
    <row r="1438" spans="1:30" x14ac:dyDescent="0.35">
      <c r="A1438">
        <v>1437</v>
      </c>
      <c r="B1438" s="2" t="s">
        <v>231</v>
      </c>
      <c r="C1438" t="s">
        <v>80</v>
      </c>
      <c r="D1438" t="str">
        <f>_xlfn.TEXTJOIN(" ",TRUE,Table1[[#This Row],[First 
Name]:[Last 
Name]])</f>
        <v>Daniel Thomas</v>
      </c>
      <c r="E1438" t="s">
        <v>2548</v>
      </c>
      <c r="F1438" t="s">
        <v>3244</v>
      </c>
      <c r="G1438" t="str">
        <f ca="1">PROPER(Table1[[#This Row],[Part Time 
Job]])</f>
        <v>False</v>
      </c>
      <c r="H1438" s="3">
        <v>1</v>
      </c>
      <c r="I1438" t="str">
        <f ca="1">PROPER(Table1[[#This Row],[Extracurricular 
Activities]])</f>
        <v>False</v>
      </c>
      <c r="J1438">
        <v>33</v>
      </c>
      <c r="K1438" t="s">
        <v>3125</v>
      </c>
      <c r="L1438">
        <v>90</v>
      </c>
      <c r="M1438" s="12" t="str" cm="1">
        <f t="array" ref="M143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438">
        <v>86</v>
      </c>
      <c r="O1438" s="13" t="str" cm="1">
        <f t="array" ref="O143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438">
        <v>100</v>
      </c>
      <c r="Q1438" s="13" t="str" cm="1">
        <f t="array" ref="Q143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438">
        <v>90</v>
      </c>
      <c r="S1438" t="str" cm="1">
        <f t="array" ref="S143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438">
        <v>76</v>
      </c>
      <c r="U1438" t="str" cm="1">
        <f t="array" ref="U143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438">
        <v>66</v>
      </c>
      <c r="W1438" t="str" cm="1">
        <f t="array" ref="W143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438">
        <v>83</v>
      </c>
      <c r="Y1438" t="str" cm="1">
        <f t="array" ref="Y143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438">
        <f>SUM(Table1[[#This Row],[Math 
Score]],Table1[[#This Row],[History 
Score]],Table1[[#This Row],[Physics 
Score]],Table1[[#This Row],[Chemistry 
Score]],Table1[[#This Row],[Biology 
Score]],Table1[[#This Row],[English 
Score]],Table1[[#This Row],[Geography 
Score]])</f>
        <v>591</v>
      </c>
      <c r="AA1438" s="3">
        <f>AVERAGE(Table1[[#This Row],[Math 
Score]],Table1[[#This Row],[History 
Score]],Table1[[#This Row],[Physics 
Score]],Table1[[#This Row],[Chemistry 
Score]],Table1[[#This Row],[Biology 
Score]],Table1[[#This Row],[English 
Score]],Table1[[#This Row],[Geography 
Score]])</f>
        <v>84.428571428571431</v>
      </c>
      <c r="AB143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438">
        <f t="shared" si="22"/>
        <v>515</v>
      </c>
      <c r="AD1438" t="str">
        <f>_xlfn.IFS(Table1[[#This Row],[Absence 
Days]]&lt;3,"Excellent",Table1[[#This Row],[Absence 
Days]]&lt;=6,"Good",Table1[[#This Row],[Absence 
Days]]&gt;6,"Poor")</f>
        <v>Excellent</v>
      </c>
    </row>
    <row r="1439" spans="1:30" x14ac:dyDescent="0.35">
      <c r="A1439">
        <v>1438</v>
      </c>
      <c r="B1439" s="2" t="s">
        <v>56</v>
      </c>
      <c r="C1439" t="s">
        <v>790</v>
      </c>
      <c r="D1439" t="str">
        <f>_xlfn.TEXTJOIN(" ",TRUE,Table1[[#This Row],[First 
Name]:[Last 
Name]])</f>
        <v>Brian Hess</v>
      </c>
      <c r="E1439" t="s">
        <v>2549</v>
      </c>
      <c r="F1439" t="s">
        <v>3244</v>
      </c>
      <c r="G1439" t="str">
        <f ca="1">PROPER(Table1[[#This Row],[Part Time 
Job]])</f>
        <v>False</v>
      </c>
      <c r="H1439" s="3">
        <v>1</v>
      </c>
      <c r="I1439" t="str">
        <f ca="1">PROPER(Table1[[#This Row],[Extracurricular 
Activities]])</f>
        <v>False</v>
      </c>
      <c r="J1439">
        <v>35</v>
      </c>
      <c r="K1439" t="s">
        <v>3121</v>
      </c>
      <c r="L1439">
        <v>85</v>
      </c>
      <c r="M1439" s="12" t="str" cm="1">
        <f t="array" ref="M143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439">
        <v>93</v>
      </c>
      <c r="O1439" s="13" t="str" cm="1">
        <f t="array" ref="O143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439">
        <v>85</v>
      </c>
      <c r="Q1439" s="13" t="str" cm="1">
        <f t="array" ref="Q143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439">
        <v>91</v>
      </c>
      <c r="S1439" t="str" cm="1">
        <f t="array" ref="S143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439">
        <v>86</v>
      </c>
      <c r="U1439" t="str" cm="1">
        <f t="array" ref="U143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439">
        <v>94</v>
      </c>
      <c r="W1439" t="str" cm="1">
        <f t="array" ref="W143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439">
        <v>89</v>
      </c>
      <c r="Y1439" t="str" cm="1">
        <f t="array" ref="Y143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439">
        <f>SUM(Table1[[#This Row],[Math 
Score]],Table1[[#This Row],[History 
Score]],Table1[[#This Row],[Physics 
Score]],Table1[[#This Row],[Chemistry 
Score]],Table1[[#This Row],[Biology 
Score]],Table1[[#This Row],[English 
Score]],Table1[[#This Row],[Geography 
Score]])</f>
        <v>623</v>
      </c>
      <c r="AA1439" s="3">
        <f>AVERAGE(Table1[[#This Row],[Math 
Score]],Table1[[#This Row],[History 
Score]],Table1[[#This Row],[Physics 
Score]],Table1[[#This Row],[Chemistry 
Score]],Table1[[#This Row],[Biology 
Score]],Table1[[#This Row],[English 
Score]],Table1[[#This Row],[Geography 
Score]])</f>
        <v>89</v>
      </c>
      <c r="AB143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439">
        <f t="shared" si="22"/>
        <v>201</v>
      </c>
      <c r="AD1439" t="str">
        <f>_xlfn.IFS(Table1[[#This Row],[Absence 
Days]]&lt;3,"Excellent",Table1[[#This Row],[Absence 
Days]]&lt;=6,"Good",Table1[[#This Row],[Absence 
Days]]&gt;6,"Poor")</f>
        <v>Excellent</v>
      </c>
    </row>
    <row r="1440" spans="1:30" x14ac:dyDescent="0.35">
      <c r="A1440">
        <v>1439</v>
      </c>
      <c r="B1440" s="2" t="s">
        <v>102</v>
      </c>
      <c r="C1440" t="s">
        <v>730</v>
      </c>
      <c r="D1440" t="str">
        <f>_xlfn.TEXTJOIN(" ",TRUE,Table1[[#This Row],[First 
Name]:[Last 
Name]])</f>
        <v>Jessica Mathews</v>
      </c>
      <c r="E1440" t="s">
        <v>2550</v>
      </c>
      <c r="F1440" t="s">
        <v>3245</v>
      </c>
      <c r="G1440" t="str">
        <f ca="1">PROPER(Table1[[#This Row],[Part Time 
Job]])</f>
        <v>False</v>
      </c>
      <c r="H1440" s="3">
        <v>1</v>
      </c>
      <c r="I1440" t="str">
        <f ca="1">PROPER(Table1[[#This Row],[Extracurricular 
Activities]])</f>
        <v>False</v>
      </c>
      <c r="J1440">
        <v>22</v>
      </c>
      <c r="K1440" t="s">
        <v>3116</v>
      </c>
      <c r="L1440">
        <v>78</v>
      </c>
      <c r="M1440" s="12" t="str" cm="1">
        <f t="array" ref="M144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440">
        <v>81</v>
      </c>
      <c r="O1440" s="13" t="str" cm="1">
        <f t="array" ref="O144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440">
        <v>94</v>
      </c>
      <c r="Q1440" s="13" t="str" cm="1">
        <f t="array" ref="Q144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440">
        <v>64</v>
      </c>
      <c r="S1440" t="str" cm="1">
        <f t="array" ref="S144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440">
        <v>61</v>
      </c>
      <c r="U1440" t="str" cm="1">
        <f t="array" ref="U144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440">
        <v>91</v>
      </c>
      <c r="W1440" t="str" cm="1">
        <f t="array" ref="W144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440">
        <v>88</v>
      </c>
      <c r="Y1440" t="str" cm="1">
        <f t="array" ref="Y144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440">
        <f>SUM(Table1[[#This Row],[Math 
Score]],Table1[[#This Row],[History 
Score]],Table1[[#This Row],[Physics 
Score]],Table1[[#This Row],[Chemistry 
Score]],Table1[[#This Row],[Biology 
Score]],Table1[[#This Row],[English 
Score]],Table1[[#This Row],[Geography 
Score]])</f>
        <v>557</v>
      </c>
      <c r="AA1440" s="3">
        <f>AVERAGE(Table1[[#This Row],[Math 
Score]],Table1[[#This Row],[History 
Score]],Table1[[#This Row],[Physics 
Score]],Table1[[#This Row],[Chemistry 
Score]],Table1[[#This Row],[Biology 
Score]],Table1[[#This Row],[English 
Score]],Table1[[#This Row],[Geography 
Score]])</f>
        <v>79.571428571428569</v>
      </c>
      <c r="AB144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440">
        <f t="shared" si="22"/>
        <v>1200</v>
      </c>
      <c r="AD1440" t="str">
        <f>_xlfn.IFS(Table1[[#This Row],[Absence 
Days]]&lt;3,"Excellent",Table1[[#This Row],[Absence 
Days]]&lt;=6,"Good",Table1[[#This Row],[Absence 
Days]]&gt;6,"Poor")</f>
        <v>Excellent</v>
      </c>
    </row>
    <row r="1441" spans="1:30" x14ac:dyDescent="0.35">
      <c r="A1441">
        <v>1440</v>
      </c>
      <c r="B1441" s="2" t="s">
        <v>138</v>
      </c>
      <c r="C1441" t="s">
        <v>571</v>
      </c>
      <c r="D1441" t="str">
        <f>_xlfn.TEXTJOIN(" ",TRUE,Table1[[#This Row],[First 
Name]:[Last 
Name]])</f>
        <v>Kathryn Sanchez</v>
      </c>
      <c r="E1441" t="s">
        <v>2551</v>
      </c>
      <c r="F1441" t="s">
        <v>3245</v>
      </c>
      <c r="G1441" t="str">
        <f ca="1">PROPER(Table1[[#This Row],[Part Time 
Job]])</f>
        <v>False</v>
      </c>
      <c r="H1441" s="3">
        <v>2</v>
      </c>
      <c r="I1441" t="str">
        <f ca="1">PROPER(Table1[[#This Row],[Extracurricular 
Activities]])</f>
        <v>False</v>
      </c>
      <c r="J1441">
        <v>23</v>
      </c>
      <c r="K1441" t="s">
        <v>3124</v>
      </c>
      <c r="L1441">
        <v>74</v>
      </c>
      <c r="M1441" s="12" t="str" cm="1">
        <f t="array" ref="M1441">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441">
        <v>90</v>
      </c>
      <c r="O1441" s="13" t="str" cm="1">
        <f t="array" ref="O144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441">
        <v>90</v>
      </c>
      <c r="Q1441" s="13" t="str" cm="1">
        <f t="array" ref="Q144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441">
        <v>80</v>
      </c>
      <c r="S1441" t="str" cm="1">
        <f t="array" ref="S144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441">
        <v>91</v>
      </c>
      <c r="U1441" t="str" cm="1">
        <f t="array" ref="U144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441">
        <v>92</v>
      </c>
      <c r="W1441" t="str" cm="1">
        <f t="array" ref="W144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441">
        <v>100</v>
      </c>
      <c r="Y1441" t="str" cm="1">
        <f t="array" ref="Y144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441">
        <f>SUM(Table1[[#This Row],[Math 
Score]],Table1[[#This Row],[History 
Score]],Table1[[#This Row],[Physics 
Score]],Table1[[#This Row],[Chemistry 
Score]],Table1[[#This Row],[Biology 
Score]],Table1[[#This Row],[English 
Score]],Table1[[#This Row],[Geography 
Score]])</f>
        <v>617</v>
      </c>
      <c r="AA1441" s="3">
        <f>AVERAGE(Table1[[#This Row],[Math 
Score]],Table1[[#This Row],[History 
Score]],Table1[[#This Row],[Physics 
Score]],Table1[[#This Row],[Chemistry 
Score]],Table1[[#This Row],[Biology 
Score]],Table1[[#This Row],[English 
Score]],Table1[[#This Row],[Geography 
Score]])</f>
        <v>88.142857142857139</v>
      </c>
      <c r="AB144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441">
        <f t="shared" si="22"/>
        <v>235</v>
      </c>
      <c r="AD1441" t="str">
        <f>_xlfn.IFS(Table1[[#This Row],[Absence 
Days]]&lt;3,"Excellent",Table1[[#This Row],[Absence 
Days]]&lt;=6,"Good",Table1[[#This Row],[Absence 
Days]]&gt;6,"Poor")</f>
        <v>Excellent</v>
      </c>
    </row>
    <row r="1442" spans="1:30" x14ac:dyDescent="0.35">
      <c r="A1442">
        <v>1441</v>
      </c>
      <c r="B1442" s="2" t="s">
        <v>125</v>
      </c>
      <c r="C1442" t="s">
        <v>619</v>
      </c>
      <c r="D1442" t="str">
        <f>_xlfn.TEXTJOIN(" ",TRUE,Table1[[#This Row],[First 
Name]:[Last 
Name]])</f>
        <v>Jeremy Cook</v>
      </c>
      <c r="E1442" t="s">
        <v>2552</v>
      </c>
      <c r="F1442" t="s">
        <v>3244</v>
      </c>
      <c r="G1442" t="str">
        <f ca="1">PROPER(Table1[[#This Row],[Part Time 
Job]])</f>
        <v>False</v>
      </c>
      <c r="H1442" s="3">
        <v>2</v>
      </c>
      <c r="I1442" t="str">
        <f ca="1">PROPER(Table1[[#This Row],[Extracurricular 
Activities]])</f>
        <v>True</v>
      </c>
      <c r="J1442">
        <v>27</v>
      </c>
      <c r="K1442" t="s">
        <v>3112</v>
      </c>
      <c r="L1442">
        <v>83</v>
      </c>
      <c r="M1442" s="12" t="str" cm="1">
        <f t="array" ref="M144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442">
        <v>89</v>
      </c>
      <c r="O1442" s="13" t="str" cm="1">
        <f t="array" ref="O144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442">
        <v>95</v>
      </c>
      <c r="Q1442" s="13" t="str" cm="1">
        <f t="array" ref="Q144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442">
        <v>70</v>
      </c>
      <c r="S1442" t="str" cm="1">
        <f t="array" ref="S144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442">
        <v>95</v>
      </c>
      <c r="U1442" t="str" cm="1">
        <f t="array" ref="U144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442">
        <v>80</v>
      </c>
      <c r="W1442" t="str" cm="1">
        <f t="array" ref="W144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442">
        <v>70</v>
      </c>
      <c r="Y1442" t="str" cm="1">
        <f t="array" ref="Y144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442">
        <f>SUM(Table1[[#This Row],[Math 
Score]],Table1[[#This Row],[History 
Score]],Table1[[#This Row],[Physics 
Score]],Table1[[#This Row],[Chemistry 
Score]],Table1[[#This Row],[Biology 
Score]],Table1[[#This Row],[English 
Score]],Table1[[#This Row],[Geography 
Score]])</f>
        <v>582</v>
      </c>
      <c r="AA1442" s="3">
        <f>AVERAGE(Table1[[#This Row],[Math 
Score]],Table1[[#This Row],[History 
Score]],Table1[[#This Row],[Physics 
Score]],Table1[[#This Row],[Chemistry 
Score]],Table1[[#This Row],[Biology 
Score]],Table1[[#This Row],[English 
Score]],Table1[[#This Row],[Geography 
Score]])</f>
        <v>83.142857142857139</v>
      </c>
      <c r="AB144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442">
        <f t="shared" si="22"/>
        <v>670</v>
      </c>
      <c r="AD1442" t="str">
        <f>_xlfn.IFS(Table1[[#This Row],[Absence 
Days]]&lt;3,"Excellent",Table1[[#This Row],[Absence 
Days]]&lt;=6,"Good",Table1[[#This Row],[Absence 
Days]]&gt;6,"Poor")</f>
        <v>Excellent</v>
      </c>
    </row>
    <row r="1443" spans="1:30" x14ac:dyDescent="0.35">
      <c r="A1443">
        <v>1442</v>
      </c>
      <c r="B1443" s="2" t="s">
        <v>34</v>
      </c>
      <c r="C1443" t="s">
        <v>673</v>
      </c>
      <c r="D1443" t="str">
        <f>_xlfn.TEXTJOIN(" ",TRUE,Table1[[#This Row],[First 
Name]:[Last 
Name]])</f>
        <v>Michael Anderson</v>
      </c>
      <c r="E1443" t="s">
        <v>2553</v>
      </c>
      <c r="F1443" t="s">
        <v>3244</v>
      </c>
      <c r="G1443" t="str">
        <f ca="1">PROPER(Table1[[#This Row],[Part Time 
Job]])</f>
        <v>False</v>
      </c>
      <c r="H1443" s="3">
        <v>6</v>
      </c>
      <c r="I1443" t="str">
        <f ca="1">PROPER(Table1[[#This Row],[Extracurricular 
Activities]])</f>
        <v>False</v>
      </c>
      <c r="J1443">
        <v>31</v>
      </c>
      <c r="K1443" t="s">
        <v>3117</v>
      </c>
      <c r="L1443">
        <v>87</v>
      </c>
      <c r="M1443" s="12" t="str" cm="1">
        <f t="array" ref="M144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443">
        <v>96</v>
      </c>
      <c r="O1443" s="13" t="str" cm="1">
        <f t="array" ref="O144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443">
        <v>79</v>
      </c>
      <c r="Q1443" s="13" t="str" cm="1">
        <f t="array" ref="Q144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443">
        <v>79</v>
      </c>
      <c r="S1443" t="str" cm="1">
        <f t="array" ref="S144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443">
        <v>74</v>
      </c>
      <c r="U1443" t="str" cm="1">
        <f t="array" ref="U144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443">
        <v>86</v>
      </c>
      <c r="W1443" t="str" cm="1">
        <f t="array" ref="W144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443">
        <v>85</v>
      </c>
      <c r="Y1443" t="str" cm="1">
        <f t="array" ref="Y144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443">
        <f>SUM(Table1[[#This Row],[Math 
Score]],Table1[[#This Row],[History 
Score]],Table1[[#This Row],[Physics 
Score]],Table1[[#This Row],[Chemistry 
Score]],Table1[[#This Row],[Biology 
Score]],Table1[[#This Row],[English 
Score]],Table1[[#This Row],[Geography 
Score]])</f>
        <v>586</v>
      </c>
      <c r="AA1443" s="3">
        <f>AVERAGE(Table1[[#This Row],[Math 
Score]],Table1[[#This Row],[History 
Score]],Table1[[#This Row],[Physics 
Score]],Table1[[#This Row],[Chemistry 
Score]],Table1[[#This Row],[Biology 
Score]],Table1[[#This Row],[English 
Score]],Table1[[#This Row],[Geography 
Score]])</f>
        <v>83.714285714285708</v>
      </c>
      <c r="AB144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443">
        <f t="shared" si="22"/>
        <v>601</v>
      </c>
      <c r="AD1443" t="str">
        <f>_xlfn.IFS(Table1[[#This Row],[Absence 
Days]]&lt;3,"Excellent",Table1[[#This Row],[Absence 
Days]]&lt;=6,"Good",Table1[[#This Row],[Absence 
Days]]&gt;6,"Poor")</f>
        <v>Good</v>
      </c>
    </row>
    <row r="1444" spans="1:30" x14ac:dyDescent="0.35">
      <c r="A1444">
        <v>1443</v>
      </c>
      <c r="B1444" s="2" t="s">
        <v>407</v>
      </c>
      <c r="C1444" t="s">
        <v>918</v>
      </c>
      <c r="D1444" t="str">
        <f>_xlfn.TEXTJOIN(" ",TRUE,Table1[[#This Row],[First 
Name]:[Last 
Name]])</f>
        <v>Olivia Garza</v>
      </c>
      <c r="E1444" t="s">
        <v>2554</v>
      </c>
      <c r="F1444" t="s">
        <v>3245</v>
      </c>
      <c r="G1444" t="str">
        <f ca="1">PROPER(Table1[[#This Row],[Part Time 
Job]])</f>
        <v>False</v>
      </c>
      <c r="H1444" s="3">
        <v>1</v>
      </c>
      <c r="I1444" t="str">
        <f ca="1">PROPER(Table1[[#This Row],[Extracurricular 
Activities]])</f>
        <v>False</v>
      </c>
      <c r="J1444">
        <v>26</v>
      </c>
      <c r="K1444" t="s">
        <v>3121</v>
      </c>
      <c r="L1444">
        <v>90</v>
      </c>
      <c r="M1444" s="12" t="str" cm="1">
        <f t="array" ref="M144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444">
        <v>77</v>
      </c>
      <c r="O1444" s="13" t="str" cm="1">
        <f t="array" ref="O144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444">
        <v>84</v>
      </c>
      <c r="Q1444" s="13" t="str" cm="1">
        <f t="array" ref="Q144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444">
        <v>70</v>
      </c>
      <c r="S1444" t="str" cm="1">
        <f t="array" ref="S144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444">
        <v>77</v>
      </c>
      <c r="U1444" t="str" cm="1">
        <f t="array" ref="U144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444">
        <v>86</v>
      </c>
      <c r="W1444" t="str" cm="1">
        <f t="array" ref="W144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444">
        <v>70</v>
      </c>
      <c r="Y1444" t="str" cm="1">
        <f t="array" ref="Y144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444">
        <f>SUM(Table1[[#This Row],[Math 
Score]],Table1[[#This Row],[History 
Score]],Table1[[#This Row],[Physics 
Score]],Table1[[#This Row],[Chemistry 
Score]],Table1[[#This Row],[Biology 
Score]],Table1[[#This Row],[English 
Score]],Table1[[#This Row],[Geography 
Score]])</f>
        <v>554</v>
      </c>
      <c r="AA1444" s="3">
        <f>AVERAGE(Table1[[#This Row],[Math 
Score]],Table1[[#This Row],[History 
Score]],Table1[[#This Row],[Physics 
Score]],Table1[[#This Row],[Chemistry 
Score]],Table1[[#This Row],[Biology 
Score]],Table1[[#This Row],[English 
Score]],Table1[[#This Row],[Geography 
Score]])</f>
        <v>79.142857142857139</v>
      </c>
      <c r="AB144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444">
        <f t="shared" si="22"/>
        <v>1264</v>
      </c>
      <c r="AD1444" t="str">
        <f>_xlfn.IFS(Table1[[#This Row],[Absence 
Days]]&lt;3,"Excellent",Table1[[#This Row],[Absence 
Days]]&lt;=6,"Good",Table1[[#This Row],[Absence 
Days]]&gt;6,"Poor")</f>
        <v>Excellent</v>
      </c>
    </row>
    <row r="1445" spans="1:30" x14ac:dyDescent="0.35">
      <c r="A1445">
        <v>1444</v>
      </c>
      <c r="B1445" s="2" t="s">
        <v>37</v>
      </c>
      <c r="C1445" t="s">
        <v>807</v>
      </c>
      <c r="D1445" t="str">
        <f>_xlfn.TEXTJOIN(" ",TRUE,Table1[[#This Row],[First 
Name]:[Last 
Name]])</f>
        <v>Emily Mason</v>
      </c>
      <c r="E1445" t="s">
        <v>2555</v>
      </c>
      <c r="F1445" t="s">
        <v>3245</v>
      </c>
      <c r="G1445" t="str">
        <f ca="1">PROPER(Table1[[#This Row],[Part Time 
Job]])</f>
        <v>False</v>
      </c>
      <c r="H1445" s="3">
        <v>4</v>
      </c>
      <c r="I1445" t="str">
        <f ca="1">PROPER(Table1[[#This Row],[Extracurricular 
Activities]])</f>
        <v>False</v>
      </c>
      <c r="J1445">
        <v>1</v>
      </c>
      <c r="K1445" t="s">
        <v>3128</v>
      </c>
      <c r="L1445">
        <v>73</v>
      </c>
      <c r="M1445" s="12" t="str" cm="1">
        <f t="array" ref="M1445">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445">
        <v>71</v>
      </c>
      <c r="O1445" s="13" t="str" cm="1">
        <f t="array" ref="O144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445">
        <v>95</v>
      </c>
      <c r="Q1445" s="13" t="str" cm="1">
        <f t="array" ref="Q144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445">
        <v>63</v>
      </c>
      <c r="S1445" t="str" cm="1">
        <f t="array" ref="S144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445">
        <v>62</v>
      </c>
      <c r="U1445" t="str" cm="1">
        <f t="array" ref="U144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445">
        <v>85</v>
      </c>
      <c r="W1445" t="str" cm="1">
        <f t="array" ref="W144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445">
        <v>99</v>
      </c>
      <c r="Y1445" t="str" cm="1">
        <f t="array" ref="Y144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445">
        <f>SUM(Table1[[#This Row],[Math 
Score]],Table1[[#This Row],[History 
Score]],Table1[[#This Row],[Physics 
Score]],Table1[[#This Row],[Chemistry 
Score]],Table1[[#This Row],[Biology 
Score]],Table1[[#This Row],[English 
Score]],Table1[[#This Row],[Geography 
Score]])</f>
        <v>548</v>
      </c>
      <c r="AA1445" s="3">
        <f>AVERAGE(Table1[[#This Row],[Math 
Score]],Table1[[#This Row],[History 
Score]],Table1[[#This Row],[Physics 
Score]],Table1[[#This Row],[Chemistry 
Score]],Table1[[#This Row],[Biology 
Score]],Table1[[#This Row],[English 
Score]],Table1[[#This Row],[Geography 
Score]])</f>
        <v>78.285714285714292</v>
      </c>
      <c r="AB144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445">
        <f t="shared" si="22"/>
        <v>1374</v>
      </c>
      <c r="AD1445" t="str">
        <f>_xlfn.IFS(Table1[[#This Row],[Absence 
Days]]&lt;3,"Excellent",Table1[[#This Row],[Absence 
Days]]&lt;=6,"Good",Table1[[#This Row],[Absence 
Days]]&gt;6,"Poor")</f>
        <v>Good</v>
      </c>
    </row>
    <row r="1446" spans="1:30" x14ac:dyDescent="0.35">
      <c r="A1446">
        <v>1445</v>
      </c>
      <c r="B1446" s="2" t="s">
        <v>50</v>
      </c>
      <c r="C1446" t="s">
        <v>769</v>
      </c>
      <c r="D1446" t="str">
        <f>_xlfn.TEXTJOIN(" ",TRUE,Table1[[#This Row],[First 
Name]:[Last 
Name]])</f>
        <v>Jennifer Gonzales</v>
      </c>
      <c r="E1446" t="s">
        <v>2556</v>
      </c>
      <c r="F1446" t="s">
        <v>3245</v>
      </c>
      <c r="G1446" t="str">
        <f ca="1">PROPER(Table1[[#This Row],[Part Time 
Job]])</f>
        <v>False</v>
      </c>
      <c r="H1446" s="3">
        <v>2</v>
      </c>
      <c r="I1446" t="str">
        <f ca="1">PROPER(Table1[[#This Row],[Extracurricular 
Activities]])</f>
        <v>False</v>
      </c>
      <c r="J1446">
        <v>7</v>
      </c>
      <c r="K1446" t="s">
        <v>3118</v>
      </c>
      <c r="L1446">
        <v>79</v>
      </c>
      <c r="M1446" s="12" t="str" cm="1">
        <f t="array" ref="M144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446">
        <v>78</v>
      </c>
      <c r="O1446" s="13" t="str" cm="1">
        <f t="array" ref="O144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446">
        <v>100</v>
      </c>
      <c r="Q1446" s="13" t="str" cm="1">
        <f t="array" ref="Q144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446">
        <v>90</v>
      </c>
      <c r="S1446" t="str" cm="1">
        <f t="array" ref="S144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446">
        <v>89</v>
      </c>
      <c r="U1446" t="str" cm="1">
        <f t="array" ref="U144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446">
        <v>80</v>
      </c>
      <c r="W1446" t="str" cm="1">
        <f t="array" ref="W144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446">
        <v>68</v>
      </c>
      <c r="Y1446" t="str" cm="1">
        <f t="array" ref="Y144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446">
        <f>SUM(Table1[[#This Row],[Math 
Score]],Table1[[#This Row],[History 
Score]],Table1[[#This Row],[Physics 
Score]],Table1[[#This Row],[Chemistry 
Score]],Table1[[#This Row],[Biology 
Score]],Table1[[#This Row],[English 
Score]],Table1[[#This Row],[Geography 
Score]])</f>
        <v>584</v>
      </c>
      <c r="AA1446" s="3">
        <f>AVERAGE(Table1[[#This Row],[Math 
Score]],Table1[[#This Row],[History 
Score]],Table1[[#This Row],[Physics 
Score]],Table1[[#This Row],[Chemistry 
Score]],Table1[[#This Row],[Biology 
Score]],Table1[[#This Row],[English 
Score]],Table1[[#This Row],[Geography 
Score]])</f>
        <v>83.428571428571431</v>
      </c>
      <c r="AB144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446">
        <f t="shared" si="22"/>
        <v>635</v>
      </c>
      <c r="AD1446" t="str">
        <f>_xlfn.IFS(Table1[[#This Row],[Absence 
Days]]&lt;3,"Excellent",Table1[[#This Row],[Absence 
Days]]&lt;=6,"Good",Table1[[#This Row],[Absence 
Days]]&gt;6,"Poor")</f>
        <v>Excellent</v>
      </c>
    </row>
    <row r="1447" spans="1:30" x14ac:dyDescent="0.35">
      <c r="A1447">
        <v>1446</v>
      </c>
      <c r="B1447" s="2" t="s">
        <v>146</v>
      </c>
      <c r="C1447" t="s">
        <v>567</v>
      </c>
      <c r="D1447" t="str">
        <f>_xlfn.TEXTJOIN(" ",TRUE,Table1[[#This Row],[First 
Name]:[Last 
Name]])</f>
        <v>Samantha Rodriguez</v>
      </c>
      <c r="E1447" t="s">
        <v>2557</v>
      </c>
      <c r="F1447" t="s">
        <v>3245</v>
      </c>
      <c r="G1447" t="str">
        <f ca="1">PROPER(Table1[[#This Row],[Part Time 
Job]])</f>
        <v>False</v>
      </c>
      <c r="H1447" s="3">
        <v>1</v>
      </c>
      <c r="I1447" t="str">
        <f ca="1">PROPER(Table1[[#This Row],[Extracurricular 
Activities]])</f>
        <v>True</v>
      </c>
      <c r="J1447">
        <v>4</v>
      </c>
      <c r="K1447" t="s">
        <v>3128</v>
      </c>
      <c r="L1447">
        <v>62</v>
      </c>
      <c r="M1447" s="12" t="str" cm="1">
        <f t="array" ref="M1447">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447">
        <v>84</v>
      </c>
      <c r="O1447" s="13" t="str" cm="1">
        <f t="array" ref="O144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447">
        <v>74</v>
      </c>
      <c r="Q1447" s="13" t="str" cm="1">
        <f t="array" ref="Q144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447">
        <v>74</v>
      </c>
      <c r="S1447" t="str" cm="1">
        <f t="array" ref="S144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447">
        <v>66</v>
      </c>
      <c r="U1447" t="str" cm="1">
        <f t="array" ref="U144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447">
        <v>61</v>
      </c>
      <c r="W1447" t="str" cm="1">
        <f t="array" ref="W144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447">
        <v>90</v>
      </c>
      <c r="Y1447" t="str" cm="1">
        <f t="array" ref="Y144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447">
        <f>SUM(Table1[[#This Row],[Math 
Score]],Table1[[#This Row],[History 
Score]],Table1[[#This Row],[Physics 
Score]],Table1[[#This Row],[Chemistry 
Score]],Table1[[#This Row],[Biology 
Score]],Table1[[#This Row],[English 
Score]],Table1[[#This Row],[Geography 
Score]])</f>
        <v>511</v>
      </c>
      <c r="AA1447" s="3">
        <f>AVERAGE(Table1[[#This Row],[Math 
Score]],Table1[[#This Row],[History 
Score]],Table1[[#This Row],[Physics 
Score]],Table1[[#This Row],[Chemistry 
Score]],Table1[[#This Row],[Biology 
Score]],Table1[[#This Row],[English 
Score]],Table1[[#This Row],[Geography 
Score]])</f>
        <v>73</v>
      </c>
      <c r="AB144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447">
        <f t="shared" si="22"/>
        <v>1823</v>
      </c>
      <c r="AD1447" t="str">
        <f>_xlfn.IFS(Table1[[#This Row],[Absence 
Days]]&lt;3,"Excellent",Table1[[#This Row],[Absence 
Days]]&lt;=6,"Good",Table1[[#This Row],[Absence 
Days]]&gt;6,"Poor")</f>
        <v>Excellent</v>
      </c>
    </row>
    <row r="1448" spans="1:30" x14ac:dyDescent="0.35">
      <c r="A1448">
        <v>1447</v>
      </c>
      <c r="B1448" s="2" t="s">
        <v>4</v>
      </c>
      <c r="C1448" t="s">
        <v>618</v>
      </c>
      <c r="D1448" t="str">
        <f>_xlfn.TEXTJOIN(" ",TRUE,Table1[[#This Row],[First 
Name]:[Last 
Name]])</f>
        <v>Anthony Adams</v>
      </c>
      <c r="E1448" t="s">
        <v>2558</v>
      </c>
      <c r="F1448" t="s">
        <v>3244</v>
      </c>
      <c r="G1448" t="str">
        <f ca="1">PROPER(Table1[[#This Row],[Part Time 
Job]])</f>
        <v>False</v>
      </c>
      <c r="H1448" s="3">
        <v>0</v>
      </c>
      <c r="I1448" t="str">
        <f ca="1">PROPER(Table1[[#This Row],[Extracurricular 
Activities]])</f>
        <v>False</v>
      </c>
      <c r="J1448">
        <v>31</v>
      </c>
      <c r="K1448" t="s">
        <v>3117</v>
      </c>
      <c r="L1448">
        <v>87</v>
      </c>
      <c r="M1448" s="12" t="str" cm="1">
        <f t="array" ref="M144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448">
        <v>78</v>
      </c>
      <c r="O1448" s="13" t="str" cm="1">
        <f t="array" ref="O144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448">
        <v>96</v>
      </c>
      <c r="Q1448" s="13" t="str" cm="1">
        <f t="array" ref="Q144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448">
        <v>84</v>
      </c>
      <c r="S1448" t="str" cm="1">
        <f t="array" ref="S144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448">
        <v>97</v>
      </c>
      <c r="U1448" t="str" cm="1">
        <f t="array" ref="U144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448">
        <v>89</v>
      </c>
      <c r="W1448" t="str" cm="1">
        <f t="array" ref="W144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448">
        <v>82</v>
      </c>
      <c r="Y1448" t="str" cm="1">
        <f t="array" ref="Y144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448">
        <f>SUM(Table1[[#This Row],[Math 
Score]],Table1[[#This Row],[History 
Score]],Table1[[#This Row],[Physics 
Score]],Table1[[#This Row],[Chemistry 
Score]],Table1[[#This Row],[Biology 
Score]],Table1[[#This Row],[English 
Score]],Table1[[#This Row],[Geography 
Score]])</f>
        <v>613</v>
      </c>
      <c r="AA1448" s="3">
        <f>AVERAGE(Table1[[#This Row],[Math 
Score]],Table1[[#This Row],[History 
Score]],Table1[[#This Row],[Physics 
Score]],Table1[[#This Row],[Chemistry 
Score]],Table1[[#This Row],[Biology 
Score]],Table1[[#This Row],[English 
Score]],Table1[[#This Row],[Geography 
Score]])</f>
        <v>87.571428571428569</v>
      </c>
      <c r="AB144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448">
        <f t="shared" si="22"/>
        <v>271</v>
      </c>
      <c r="AD1448" t="str">
        <f>_xlfn.IFS(Table1[[#This Row],[Absence 
Days]]&lt;3,"Excellent",Table1[[#This Row],[Absence 
Days]]&lt;=6,"Good",Table1[[#This Row],[Absence 
Days]]&gt;6,"Poor")</f>
        <v>Excellent</v>
      </c>
    </row>
    <row r="1449" spans="1:30" x14ac:dyDescent="0.35">
      <c r="A1449">
        <v>1448</v>
      </c>
      <c r="B1449" s="2" t="s">
        <v>378</v>
      </c>
      <c r="C1449" t="s">
        <v>482</v>
      </c>
      <c r="D1449" t="str">
        <f>_xlfn.TEXTJOIN(" ",TRUE,Table1[[#This Row],[First 
Name]:[Last 
Name]])</f>
        <v>Ronald Diaz</v>
      </c>
      <c r="E1449" t="s">
        <v>2559</v>
      </c>
      <c r="F1449" t="s">
        <v>3244</v>
      </c>
      <c r="G1449" t="str">
        <f ca="1">PROPER(Table1[[#This Row],[Part Time 
Job]])</f>
        <v>False</v>
      </c>
      <c r="H1449" s="3">
        <v>7</v>
      </c>
      <c r="I1449" t="str">
        <f ca="1">PROPER(Table1[[#This Row],[Extracurricular 
Activities]])</f>
        <v>True</v>
      </c>
      <c r="J1449">
        <v>23</v>
      </c>
      <c r="K1449" t="s">
        <v>3123</v>
      </c>
      <c r="L1449">
        <v>81</v>
      </c>
      <c r="M1449" s="12" t="str" cm="1">
        <f t="array" ref="M144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449">
        <v>83</v>
      </c>
      <c r="O1449" s="13" t="str" cm="1">
        <f t="array" ref="O144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449">
        <v>79</v>
      </c>
      <c r="Q1449" s="13" t="str" cm="1">
        <f t="array" ref="Q144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449">
        <v>94</v>
      </c>
      <c r="S1449" t="str" cm="1">
        <f t="array" ref="S144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449">
        <v>37</v>
      </c>
      <c r="U1449" t="str" cm="1">
        <f t="array" ref="U144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F</v>
      </c>
      <c r="V1449">
        <v>84</v>
      </c>
      <c r="W1449" t="str" cm="1">
        <f t="array" ref="W144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449">
        <v>71</v>
      </c>
      <c r="Y1449" t="str" cm="1">
        <f t="array" ref="Y144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449">
        <f>SUM(Table1[[#This Row],[Math 
Score]],Table1[[#This Row],[History 
Score]],Table1[[#This Row],[Physics 
Score]],Table1[[#This Row],[Chemistry 
Score]],Table1[[#This Row],[Biology 
Score]],Table1[[#This Row],[English 
Score]],Table1[[#This Row],[Geography 
Score]])</f>
        <v>529</v>
      </c>
      <c r="AA1449" s="3">
        <f>AVERAGE(Table1[[#This Row],[Math 
Score]],Table1[[#This Row],[History 
Score]],Table1[[#This Row],[Physics 
Score]],Table1[[#This Row],[Chemistry 
Score]],Table1[[#This Row],[Biology 
Score]],Table1[[#This Row],[English 
Score]],Table1[[#This Row],[Geography 
Score]])</f>
        <v>75.571428571428569</v>
      </c>
      <c r="AB144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449">
        <f t="shared" si="22"/>
        <v>1664</v>
      </c>
      <c r="AD1449" t="str">
        <f>_xlfn.IFS(Table1[[#This Row],[Absence 
Days]]&lt;3,"Excellent",Table1[[#This Row],[Absence 
Days]]&lt;=6,"Good",Table1[[#This Row],[Absence 
Days]]&gt;6,"Poor")</f>
        <v>Poor</v>
      </c>
    </row>
    <row r="1450" spans="1:30" x14ac:dyDescent="0.35">
      <c r="A1450">
        <v>1449</v>
      </c>
      <c r="B1450" s="2" t="s">
        <v>408</v>
      </c>
      <c r="C1450" t="s">
        <v>1006</v>
      </c>
      <c r="D1450" t="str">
        <f>_xlfn.TEXTJOIN(" ",TRUE,Table1[[#This Row],[First 
Name]:[Last 
Name]])</f>
        <v>Dana Lambert</v>
      </c>
      <c r="E1450" t="s">
        <v>2560</v>
      </c>
      <c r="F1450" t="s">
        <v>3245</v>
      </c>
      <c r="G1450" t="str">
        <f ca="1">PROPER(Table1[[#This Row],[Part Time 
Job]])</f>
        <v>False</v>
      </c>
      <c r="H1450" s="3">
        <v>4</v>
      </c>
      <c r="I1450" t="str">
        <f ca="1">PROPER(Table1[[#This Row],[Extracurricular 
Activities]])</f>
        <v>False</v>
      </c>
      <c r="J1450">
        <v>5</v>
      </c>
      <c r="K1450" t="s">
        <v>3116</v>
      </c>
      <c r="L1450">
        <v>83</v>
      </c>
      <c r="M1450" s="12" t="str" cm="1">
        <f t="array" ref="M145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450">
        <v>66</v>
      </c>
      <c r="O1450" s="13" t="str" cm="1">
        <f t="array" ref="O145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450">
        <v>94</v>
      </c>
      <c r="Q1450" s="13" t="str" cm="1">
        <f t="array" ref="Q145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450">
        <v>75</v>
      </c>
      <c r="S1450" t="str" cm="1">
        <f t="array" ref="S145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450">
        <v>72</v>
      </c>
      <c r="U1450" t="str" cm="1">
        <f t="array" ref="U145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450">
        <v>78</v>
      </c>
      <c r="W1450" t="str" cm="1">
        <f t="array" ref="W145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450">
        <v>74</v>
      </c>
      <c r="Y1450" t="str" cm="1">
        <f t="array" ref="Y145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450">
        <f>SUM(Table1[[#This Row],[Math 
Score]],Table1[[#This Row],[History 
Score]],Table1[[#This Row],[Physics 
Score]],Table1[[#This Row],[Chemistry 
Score]],Table1[[#This Row],[Biology 
Score]],Table1[[#This Row],[English 
Score]],Table1[[#This Row],[Geography 
Score]])</f>
        <v>542</v>
      </c>
      <c r="AA1450" s="3">
        <f>AVERAGE(Table1[[#This Row],[Math 
Score]],Table1[[#This Row],[History 
Score]],Table1[[#This Row],[Physics 
Score]],Table1[[#This Row],[Chemistry 
Score]],Table1[[#This Row],[Biology 
Score]],Table1[[#This Row],[English 
Score]],Table1[[#This Row],[Geography 
Score]])</f>
        <v>77.428571428571431</v>
      </c>
      <c r="AB145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450">
        <f t="shared" si="22"/>
        <v>1478</v>
      </c>
      <c r="AD1450" t="str">
        <f>_xlfn.IFS(Table1[[#This Row],[Absence 
Days]]&lt;3,"Excellent",Table1[[#This Row],[Absence 
Days]]&lt;=6,"Good",Table1[[#This Row],[Absence 
Days]]&gt;6,"Poor")</f>
        <v>Good</v>
      </c>
    </row>
    <row r="1451" spans="1:30" x14ac:dyDescent="0.35">
      <c r="A1451">
        <v>1450</v>
      </c>
      <c r="B1451" s="2" t="s">
        <v>17</v>
      </c>
      <c r="C1451" t="s">
        <v>866</v>
      </c>
      <c r="D1451" t="str">
        <f>_xlfn.TEXTJOIN(" ",TRUE,Table1[[#This Row],[First 
Name]:[Last 
Name]])</f>
        <v>Jonathan Mckay</v>
      </c>
      <c r="E1451" t="s">
        <v>2561</v>
      </c>
      <c r="F1451" t="s">
        <v>3244</v>
      </c>
      <c r="G1451" t="str">
        <f ca="1">PROPER(Table1[[#This Row],[Part Time 
Job]])</f>
        <v>False</v>
      </c>
      <c r="H1451" s="3">
        <v>10</v>
      </c>
      <c r="I1451" t="str">
        <f ca="1">PROPER(Table1[[#This Row],[Extracurricular 
Activities]])</f>
        <v>False</v>
      </c>
      <c r="J1451">
        <v>1</v>
      </c>
      <c r="K1451" t="s">
        <v>3119</v>
      </c>
      <c r="L1451">
        <v>90</v>
      </c>
      <c r="M1451" s="12" t="str" cm="1">
        <f t="array" ref="M145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451">
        <v>50</v>
      </c>
      <c r="O1451" s="13" t="str" cm="1">
        <f t="array" ref="O145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C</v>
      </c>
      <c r="P1451">
        <v>84</v>
      </c>
      <c r="Q1451" s="13" t="str" cm="1">
        <f t="array" ref="Q145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451">
        <v>90</v>
      </c>
      <c r="S1451" t="str" cm="1">
        <f t="array" ref="S145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451">
        <v>83</v>
      </c>
      <c r="U1451" t="str" cm="1">
        <f t="array" ref="U145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451">
        <v>62</v>
      </c>
      <c r="W1451" t="str" cm="1">
        <f t="array" ref="W145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451">
        <v>100</v>
      </c>
      <c r="Y1451" t="str" cm="1">
        <f t="array" ref="Y145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451">
        <f>SUM(Table1[[#This Row],[Math 
Score]],Table1[[#This Row],[History 
Score]],Table1[[#This Row],[Physics 
Score]],Table1[[#This Row],[Chemistry 
Score]],Table1[[#This Row],[Biology 
Score]],Table1[[#This Row],[English 
Score]],Table1[[#This Row],[Geography 
Score]])</f>
        <v>559</v>
      </c>
      <c r="AA1451" s="3">
        <f>AVERAGE(Table1[[#This Row],[Math 
Score]],Table1[[#This Row],[History 
Score]],Table1[[#This Row],[Physics 
Score]],Table1[[#This Row],[Chemistry 
Score]],Table1[[#This Row],[Biology 
Score]],Table1[[#This Row],[English 
Score]],Table1[[#This Row],[Geography 
Score]])</f>
        <v>79.857142857142861</v>
      </c>
      <c r="AB145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451">
        <f t="shared" si="22"/>
        <v>1155</v>
      </c>
      <c r="AD1451" t="str">
        <f>_xlfn.IFS(Table1[[#This Row],[Absence 
Days]]&lt;3,"Excellent",Table1[[#This Row],[Absence 
Days]]&lt;=6,"Good",Table1[[#This Row],[Absence 
Days]]&gt;6,"Poor")</f>
        <v>Poor</v>
      </c>
    </row>
    <row r="1452" spans="1:30" x14ac:dyDescent="0.35">
      <c r="A1452">
        <v>1451</v>
      </c>
      <c r="B1452" s="2" t="s">
        <v>80</v>
      </c>
      <c r="C1452" t="s">
        <v>1017</v>
      </c>
      <c r="D1452" t="str">
        <f>_xlfn.TEXTJOIN(" ",TRUE,Table1[[#This Row],[First 
Name]:[Last 
Name]])</f>
        <v>Thomas Odom</v>
      </c>
      <c r="E1452" t="s">
        <v>2562</v>
      </c>
      <c r="F1452" t="s">
        <v>3244</v>
      </c>
      <c r="G1452" t="str">
        <f ca="1">PROPER(Table1[[#This Row],[Part Time 
Job]])</f>
        <v>False</v>
      </c>
      <c r="H1452" s="3">
        <v>3</v>
      </c>
      <c r="I1452" t="str">
        <f ca="1">PROPER(Table1[[#This Row],[Extracurricular 
Activities]])</f>
        <v>False</v>
      </c>
      <c r="J1452">
        <v>4</v>
      </c>
      <c r="K1452" t="s">
        <v>3115</v>
      </c>
      <c r="L1452">
        <v>75</v>
      </c>
      <c r="M1452" s="12" t="str" cm="1">
        <f t="array" ref="M145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452">
        <v>69</v>
      </c>
      <c r="O1452" s="13" t="str" cm="1">
        <f t="array" ref="O145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452">
        <v>97</v>
      </c>
      <c r="Q1452" s="13" t="str" cm="1">
        <f t="array" ref="Q145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452">
        <v>98</v>
      </c>
      <c r="S1452" t="str" cm="1">
        <f t="array" ref="S145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452">
        <v>60</v>
      </c>
      <c r="U1452" t="str" cm="1">
        <f t="array" ref="U145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452">
        <v>60</v>
      </c>
      <c r="W1452" t="str" cm="1">
        <f t="array" ref="W145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452">
        <v>85</v>
      </c>
      <c r="Y1452" t="str" cm="1">
        <f t="array" ref="Y145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452">
        <f>SUM(Table1[[#This Row],[Math 
Score]],Table1[[#This Row],[History 
Score]],Table1[[#This Row],[Physics 
Score]],Table1[[#This Row],[Chemistry 
Score]],Table1[[#This Row],[Biology 
Score]],Table1[[#This Row],[English 
Score]],Table1[[#This Row],[Geography 
Score]])</f>
        <v>544</v>
      </c>
      <c r="AA1452" s="3">
        <f>AVERAGE(Table1[[#This Row],[Math 
Score]],Table1[[#This Row],[History 
Score]],Table1[[#This Row],[Physics 
Score]],Table1[[#This Row],[Chemistry 
Score]],Table1[[#This Row],[Biology 
Score]],Table1[[#This Row],[English 
Score]],Table1[[#This Row],[Geography 
Score]])</f>
        <v>77.714285714285708</v>
      </c>
      <c r="AB145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452">
        <f t="shared" si="22"/>
        <v>1446</v>
      </c>
      <c r="AD1452" t="str">
        <f>_xlfn.IFS(Table1[[#This Row],[Absence 
Days]]&lt;3,"Excellent",Table1[[#This Row],[Absence 
Days]]&lt;=6,"Good",Table1[[#This Row],[Absence 
Days]]&gt;6,"Poor")</f>
        <v>Good</v>
      </c>
    </row>
    <row r="1453" spans="1:30" x14ac:dyDescent="0.35">
      <c r="A1453">
        <v>1452</v>
      </c>
      <c r="B1453" s="2" t="s">
        <v>124</v>
      </c>
      <c r="C1453" t="s">
        <v>841</v>
      </c>
      <c r="D1453" t="str">
        <f>_xlfn.TEXTJOIN(" ",TRUE,Table1[[#This Row],[First 
Name]:[Last 
Name]])</f>
        <v>John Wells</v>
      </c>
      <c r="E1453" t="s">
        <v>2563</v>
      </c>
      <c r="F1453" t="s">
        <v>3244</v>
      </c>
      <c r="G1453" t="str">
        <f ca="1">PROPER(Table1[[#This Row],[Part Time 
Job]])</f>
        <v>False</v>
      </c>
      <c r="H1453" s="3">
        <v>0</v>
      </c>
      <c r="I1453" t="str">
        <f ca="1">PROPER(Table1[[#This Row],[Extracurricular 
Activities]])</f>
        <v>True</v>
      </c>
      <c r="J1453">
        <v>23</v>
      </c>
      <c r="K1453" t="s">
        <v>3125</v>
      </c>
      <c r="L1453">
        <v>94</v>
      </c>
      <c r="M1453" s="12" t="str" cm="1">
        <f t="array" ref="M145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453">
        <v>61</v>
      </c>
      <c r="O1453" s="13" t="str" cm="1">
        <f t="array" ref="O145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453">
        <v>81</v>
      </c>
      <c r="Q1453" s="13" t="str" cm="1">
        <f t="array" ref="Q145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453">
        <v>64</v>
      </c>
      <c r="S1453" t="str" cm="1">
        <f t="array" ref="S145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453">
        <v>75</v>
      </c>
      <c r="U1453" t="str" cm="1">
        <f t="array" ref="U145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453">
        <v>72</v>
      </c>
      <c r="W1453" t="str" cm="1">
        <f t="array" ref="W145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453">
        <v>61</v>
      </c>
      <c r="Y1453" t="str" cm="1">
        <f t="array" ref="Y145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453">
        <f>SUM(Table1[[#This Row],[Math 
Score]],Table1[[#This Row],[History 
Score]],Table1[[#This Row],[Physics 
Score]],Table1[[#This Row],[Chemistry 
Score]],Table1[[#This Row],[Biology 
Score]],Table1[[#This Row],[English 
Score]],Table1[[#This Row],[Geography 
Score]])</f>
        <v>508</v>
      </c>
      <c r="AA1453" s="3">
        <f>AVERAGE(Table1[[#This Row],[Math 
Score]],Table1[[#This Row],[History 
Score]],Table1[[#This Row],[Physics 
Score]],Table1[[#This Row],[Chemistry 
Score]],Table1[[#This Row],[Biology 
Score]],Table1[[#This Row],[English 
Score]],Table1[[#This Row],[Geography 
Score]])</f>
        <v>72.571428571428569</v>
      </c>
      <c r="AB145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453">
        <f t="shared" si="22"/>
        <v>1840</v>
      </c>
      <c r="AD1453" t="str">
        <f>_xlfn.IFS(Table1[[#This Row],[Absence 
Days]]&lt;3,"Excellent",Table1[[#This Row],[Absence 
Days]]&lt;=6,"Good",Table1[[#This Row],[Absence 
Days]]&gt;6,"Poor")</f>
        <v>Excellent</v>
      </c>
    </row>
    <row r="1454" spans="1:30" x14ac:dyDescent="0.35">
      <c r="A1454">
        <v>1453</v>
      </c>
      <c r="B1454" s="2" t="s">
        <v>235</v>
      </c>
      <c r="C1454" t="s">
        <v>890</v>
      </c>
      <c r="D1454" t="str">
        <f>_xlfn.TEXTJOIN(" ",TRUE,Table1[[#This Row],[First 
Name]:[Last 
Name]])</f>
        <v>Richard Castillo</v>
      </c>
      <c r="E1454" t="s">
        <v>2564</v>
      </c>
      <c r="F1454" t="s">
        <v>3244</v>
      </c>
      <c r="G1454" t="str">
        <f ca="1">PROPER(Table1[[#This Row],[Part Time 
Job]])</f>
        <v>False</v>
      </c>
      <c r="H1454" s="3">
        <v>3</v>
      </c>
      <c r="I1454" t="str">
        <f ca="1">PROPER(Table1[[#This Row],[Extracurricular 
Activities]])</f>
        <v>False</v>
      </c>
      <c r="J1454">
        <v>15</v>
      </c>
      <c r="K1454" t="s">
        <v>3114</v>
      </c>
      <c r="L1454">
        <v>91</v>
      </c>
      <c r="M1454" s="12" t="str" cm="1">
        <f t="array" ref="M145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454">
        <v>68</v>
      </c>
      <c r="O1454" s="13" t="str" cm="1">
        <f t="array" ref="O145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454">
        <v>62</v>
      </c>
      <c r="Q1454" s="13" t="str" cm="1">
        <f t="array" ref="Q145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454">
        <v>82</v>
      </c>
      <c r="S1454" t="str" cm="1">
        <f t="array" ref="S145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454">
        <v>70</v>
      </c>
      <c r="U1454" t="str" cm="1">
        <f t="array" ref="U145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454">
        <v>92</v>
      </c>
      <c r="W1454" t="str" cm="1">
        <f t="array" ref="W145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454">
        <v>73</v>
      </c>
      <c r="Y1454" t="str" cm="1">
        <f t="array" ref="Y145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454">
        <f>SUM(Table1[[#This Row],[Math 
Score]],Table1[[#This Row],[History 
Score]],Table1[[#This Row],[Physics 
Score]],Table1[[#This Row],[Chemistry 
Score]],Table1[[#This Row],[Biology 
Score]],Table1[[#This Row],[English 
Score]],Table1[[#This Row],[Geography 
Score]])</f>
        <v>538</v>
      </c>
      <c r="AA1454" s="3">
        <f>AVERAGE(Table1[[#This Row],[Math 
Score]],Table1[[#This Row],[History 
Score]],Table1[[#This Row],[Physics 
Score]],Table1[[#This Row],[Chemistry 
Score]],Table1[[#This Row],[Biology 
Score]],Table1[[#This Row],[English 
Score]],Table1[[#This Row],[Geography 
Score]])</f>
        <v>76.857142857142861</v>
      </c>
      <c r="AB145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454">
        <f t="shared" si="22"/>
        <v>1537</v>
      </c>
      <c r="AD1454" t="str">
        <f>_xlfn.IFS(Table1[[#This Row],[Absence 
Days]]&lt;3,"Excellent",Table1[[#This Row],[Absence 
Days]]&lt;=6,"Good",Table1[[#This Row],[Absence 
Days]]&gt;6,"Poor")</f>
        <v>Good</v>
      </c>
    </row>
    <row r="1455" spans="1:30" x14ac:dyDescent="0.35">
      <c r="A1455">
        <v>1454</v>
      </c>
      <c r="B1455" s="2" t="s">
        <v>25</v>
      </c>
      <c r="C1455" t="s">
        <v>1018</v>
      </c>
      <c r="D1455" t="str">
        <f>_xlfn.TEXTJOIN(" ",TRUE,Table1[[#This Row],[First 
Name]:[Last 
Name]])</f>
        <v>Peter Peck</v>
      </c>
      <c r="E1455" t="s">
        <v>2565</v>
      </c>
      <c r="F1455" t="s">
        <v>3244</v>
      </c>
      <c r="G1455" t="str">
        <f ca="1">PROPER(Table1[[#This Row],[Part Time 
Job]])</f>
        <v>False</v>
      </c>
      <c r="H1455" s="3">
        <v>2</v>
      </c>
      <c r="I1455" t="str">
        <f ca="1">PROPER(Table1[[#This Row],[Extracurricular 
Activities]])</f>
        <v>False</v>
      </c>
      <c r="J1455">
        <v>24</v>
      </c>
      <c r="K1455" t="s">
        <v>3112</v>
      </c>
      <c r="L1455">
        <v>96</v>
      </c>
      <c r="M1455" s="12" t="str" cm="1">
        <f t="array" ref="M145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455">
        <v>88</v>
      </c>
      <c r="O1455" s="13" t="str" cm="1">
        <f t="array" ref="O145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455">
        <v>68</v>
      </c>
      <c r="Q1455" s="13" t="str" cm="1">
        <f t="array" ref="Q145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455">
        <v>95</v>
      </c>
      <c r="S1455" t="str" cm="1">
        <f t="array" ref="S145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455">
        <v>67</v>
      </c>
      <c r="U1455" t="str" cm="1">
        <f t="array" ref="U145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455">
        <v>95</v>
      </c>
      <c r="W1455" t="str" cm="1">
        <f t="array" ref="W145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455">
        <v>75</v>
      </c>
      <c r="Y1455" t="str" cm="1">
        <f t="array" ref="Y145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455">
        <f>SUM(Table1[[#This Row],[Math 
Score]],Table1[[#This Row],[History 
Score]],Table1[[#This Row],[Physics 
Score]],Table1[[#This Row],[Chemistry 
Score]],Table1[[#This Row],[Biology 
Score]],Table1[[#This Row],[English 
Score]],Table1[[#This Row],[Geography 
Score]])</f>
        <v>584</v>
      </c>
      <c r="AA1455" s="3">
        <f>AVERAGE(Table1[[#This Row],[Math 
Score]],Table1[[#This Row],[History 
Score]],Table1[[#This Row],[Physics 
Score]],Table1[[#This Row],[Chemistry 
Score]],Table1[[#This Row],[Biology 
Score]],Table1[[#This Row],[English 
Score]],Table1[[#This Row],[Geography 
Score]])</f>
        <v>83.428571428571431</v>
      </c>
      <c r="AB145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455">
        <f t="shared" si="22"/>
        <v>635</v>
      </c>
      <c r="AD1455" t="str">
        <f>_xlfn.IFS(Table1[[#This Row],[Absence 
Days]]&lt;3,"Excellent",Table1[[#This Row],[Absence 
Days]]&lt;=6,"Good",Table1[[#This Row],[Absence 
Days]]&gt;6,"Poor")</f>
        <v>Excellent</v>
      </c>
    </row>
    <row r="1456" spans="1:30" x14ac:dyDescent="0.35">
      <c r="A1456">
        <v>1455</v>
      </c>
      <c r="B1456" s="2" t="s">
        <v>409</v>
      </c>
      <c r="C1456" t="s">
        <v>919</v>
      </c>
      <c r="D1456" t="str">
        <f>_xlfn.TEXTJOIN(" ",TRUE,Table1[[#This Row],[First 
Name]:[Last 
Name]])</f>
        <v>Chris Greene</v>
      </c>
      <c r="E1456" t="s">
        <v>2566</v>
      </c>
      <c r="F1456" t="s">
        <v>3244</v>
      </c>
      <c r="G1456" t="str">
        <f ca="1">PROPER(Table1[[#This Row],[Part Time 
Job]])</f>
        <v>False</v>
      </c>
      <c r="H1456" s="3">
        <v>2</v>
      </c>
      <c r="I1456" t="str">
        <f ca="1">PROPER(Table1[[#This Row],[Extracurricular 
Activities]])</f>
        <v>False</v>
      </c>
      <c r="J1456">
        <v>31</v>
      </c>
      <c r="K1456" t="s">
        <v>3117</v>
      </c>
      <c r="L1456">
        <v>85</v>
      </c>
      <c r="M1456" s="12" t="str" cm="1">
        <f t="array" ref="M145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456">
        <v>76</v>
      </c>
      <c r="O1456" s="13" t="str" cm="1">
        <f t="array" ref="O145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456">
        <v>82</v>
      </c>
      <c r="Q1456" s="13" t="str" cm="1">
        <f t="array" ref="Q145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456">
        <v>85</v>
      </c>
      <c r="S1456" t="str" cm="1">
        <f t="array" ref="S145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456">
        <v>73</v>
      </c>
      <c r="U1456" t="str" cm="1">
        <f t="array" ref="U145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456">
        <v>60</v>
      </c>
      <c r="W1456" t="str" cm="1">
        <f t="array" ref="W145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456">
        <v>90</v>
      </c>
      <c r="Y1456" t="str" cm="1">
        <f t="array" ref="Y145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456">
        <f>SUM(Table1[[#This Row],[Math 
Score]],Table1[[#This Row],[History 
Score]],Table1[[#This Row],[Physics 
Score]],Table1[[#This Row],[Chemistry 
Score]],Table1[[#This Row],[Biology 
Score]],Table1[[#This Row],[English 
Score]],Table1[[#This Row],[Geography 
Score]])</f>
        <v>551</v>
      </c>
      <c r="AA1456" s="3">
        <f>AVERAGE(Table1[[#This Row],[Math 
Score]],Table1[[#This Row],[History 
Score]],Table1[[#This Row],[Physics 
Score]],Table1[[#This Row],[Chemistry 
Score]],Table1[[#This Row],[Biology 
Score]],Table1[[#This Row],[English 
Score]],Table1[[#This Row],[Geography 
Score]])</f>
        <v>78.714285714285708</v>
      </c>
      <c r="AB145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456">
        <f t="shared" si="22"/>
        <v>1317</v>
      </c>
      <c r="AD1456" t="str">
        <f>_xlfn.IFS(Table1[[#This Row],[Absence 
Days]]&lt;3,"Excellent",Table1[[#This Row],[Absence 
Days]]&lt;=6,"Good",Table1[[#This Row],[Absence 
Days]]&gt;6,"Poor")</f>
        <v>Excellent</v>
      </c>
    </row>
    <row r="1457" spans="1:30" x14ac:dyDescent="0.35">
      <c r="A1457">
        <v>1456</v>
      </c>
      <c r="B1457" s="2" t="s">
        <v>34</v>
      </c>
      <c r="C1457" t="s">
        <v>1019</v>
      </c>
      <c r="D1457" t="str">
        <f>_xlfn.TEXTJOIN(" ",TRUE,Table1[[#This Row],[First 
Name]:[Last 
Name]])</f>
        <v>Michael Vance</v>
      </c>
      <c r="E1457" t="s">
        <v>2567</v>
      </c>
      <c r="F1457" t="s">
        <v>3244</v>
      </c>
      <c r="G1457" t="str">
        <f ca="1">PROPER(Table1[[#This Row],[Part Time 
Job]])</f>
        <v>False</v>
      </c>
      <c r="H1457" s="3">
        <v>4</v>
      </c>
      <c r="I1457" t="str">
        <f ca="1">PROPER(Table1[[#This Row],[Extracurricular 
Activities]])</f>
        <v>False</v>
      </c>
      <c r="J1457">
        <v>29</v>
      </c>
      <c r="K1457" t="s">
        <v>3112</v>
      </c>
      <c r="L1457">
        <v>71</v>
      </c>
      <c r="M1457" s="12" t="str" cm="1">
        <f t="array" ref="M1457">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457">
        <v>93</v>
      </c>
      <c r="O1457" s="13" t="str" cm="1">
        <f t="array" ref="O145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457">
        <v>90</v>
      </c>
      <c r="Q1457" s="13" t="str" cm="1">
        <f t="array" ref="Q145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457">
        <v>89</v>
      </c>
      <c r="S1457" t="str" cm="1">
        <f t="array" ref="S145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457">
        <v>69</v>
      </c>
      <c r="U1457" t="str" cm="1">
        <f t="array" ref="U145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457">
        <v>94</v>
      </c>
      <c r="W1457" t="str" cm="1">
        <f t="array" ref="W145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457">
        <v>79</v>
      </c>
      <c r="Y1457" t="str" cm="1">
        <f t="array" ref="Y145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457">
        <f>SUM(Table1[[#This Row],[Math 
Score]],Table1[[#This Row],[History 
Score]],Table1[[#This Row],[Physics 
Score]],Table1[[#This Row],[Chemistry 
Score]],Table1[[#This Row],[Biology 
Score]],Table1[[#This Row],[English 
Score]],Table1[[#This Row],[Geography 
Score]])</f>
        <v>585</v>
      </c>
      <c r="AA1457" s="3">
        <f>AVERAGE(Table1[[#This Row],[Math 
Score]],Table1[[#This Row],[History 
Score]],Table1[[#This Row],[Physics 
Score]],Table1[[#This Row],[Chemistry 
Score]],Table1[[#This Row],[Biology 
Score]],Table1[[#This Row],[English 
Score]],Table1[[#This Row],[Geography 
Score]])</f>
        <v>83.571428571428569</v>
      </c>
      <c r="AB145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457">
        <f t="shared" si="22"/>
        <v>615</v>
      </c>
      <c r="AD1457" t="str">
        <f>_xlfn.IFS(Table1[[#This Row],[Absence 
Days]]&lt;3,"Excellent",Table1[[#This Row],[Absence 
Days]]&lt;=6,"Good",Table1[[#This Row],[Absence 
Days]]&gt;6,"Poor")</f>
        <v>Good</v>
      </c>
    </row>
    <row r="1458" spans="1:30" x14ac:dyDescent="0.35">
      <c r="A1458">
        <v>1457</v>
      </c>
      <c r="B1458" s="2" t="s">
        <v>101</v>
      </c>
      <c r="C1458" t="s">
        <v>850</v>
      </c>
      <c r="D1458" t="str">
        <f>_xlfn.TEXTJOIN(" ",TRUE,Table1[[#This Row],[First 
Name]:[Last 
Name]])</f>
        <v>Joanne Howard</v>
      </c>
      <c r="E1458" t="s">
        <v>2568</v>
      </c>
      <c r="F1458" t="s">
        <v>3245</v>
      </c>
      <c r="G1458" t="str">
        <f ca="1">PROPER(Table1[[#This Row],[Part Time 
Job]])</f>
        <v>False</v>
      </c>
      <c r="H1458" s="3">
        <v>3</v>
      </c>
      <c r="I1458" t="str">
        <f ca="1">PROPER(Table1[[#This Row],[Extracurricular 
Activities]])</f>
        <v>False</v>
      </c>
      <c r="J1458">
        <v>49</v>
      </c>
      <c r="K1458" t="s">
        <v>3113</v>
      </c>
      <c r="L1458">
        <v>98</v>
      </c>
      <c r="M1458" s="12" t="str" cm="1">
        <f t="array" ref="M145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458">
        <v>90</v>
      </c>
      <c r="O1458" s="13" t="str" cm="1">
        <f t="array" ref="O145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458">
        <v>87</v>
      </c>
      <c r="Q1458" s="13" t="str" cm="1">
        <f t="array" ref="Q145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458">
        <v>92</v>
      </c>
      <c r="S1458" t="str" cm="1">
        <f t="array" ref="S145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458">
        <v>92</v>
      </c>
      <c r="U1458" t="str" cm="1">
        <f t="array" ref="U145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458">
        <v>99</v>
      </c>
      <c r="W1458" t="str" cm="1">
        <f t="array" ref="W145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458">
        <v>98</v>
      </c>
      <c r="Y1458" t="str" cm="1">
        <f t="array" ref="Y145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458">
        <f>SUM(Table1[[#This Row],[Math 
Score]],Table1[[#This Row],[History 
Score]],Table1[[#This Row],[Physics 
Score]],Table1[[#This Row],[Chemistry 
Score]],Table1[[#This Row],[Biology 
Score]],Table1[[#This Row],[English 
Score]],Table1[[#This Row],[Geography 
Score]])</f>
        <v>656</v>
      </c>
      <c r="AA1458" s="3">
        <f>AVERAGE(Table1[[#This Row],[Math 
Score]],Table1[[#This Row],[History 
Score]],Table1[[#This Row],[Physics 
Score]],Table1[[#This Row],[Chemistry 
Score]],Table1[[#This Row],[Biology 
Score]],Table1[[#This Row],[English 
Score]],Table1[[#This Row],[Geography 
Score]])</f>
        <v>93.714285714285708</v>
      </c>
      <c r="AB145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458">
        <f t="shared" si="22"/>
        <v>28</v>
      </c>
      <c r="AD1458" t="str">
        <f>_xlfn.IFS(Table1[[#This Row],[Absence 
Days]]&lt;3,"Excellent",Table1[[#This Row],[Absence 
Days]]&lt;=6,"Good",Table1[[#This Row],[Absence 
Days]]&gt;6,"Poor")</f>
        <v>Good</v>
      </c>
    </row>
    <row r="1459" spans="1:30" x14ac:dyDescent="0.35">
      <c r="A1459">
        <v>1458</v>
      </c>
      <c r="B1459" s="2" t="s">
        <v>71</v>
      </c>
      <c r="C1459" t="s">
        <v>792</v>
      </c>
      <c r="D1459" t="str">
        <f>_xlfn.TEXTJOIN(" ",TRUE,Table1[[#This Row],[First 
Name]:[Last 
Name]])</f>
        <v>James Clarke</v>
      </c>
      <c r="E1459" t="s">
        <v>2569</v>
      </c>
      <c r="F1459" t="s">
        <v>3244</v>
      </c>
      <c r="G1459" t="str">
        <f ca="1">PROPER(Table1[[#This Row],[Part Time 
Job]])</f>
        <v>False</v>
      </c>
      <c r="H1459" s="3">
        <v>4</v>
      </c>
      <c r="I1459" t="str">
        <f ca="1">PROPER(Table1[[#This Row],[Extracurricular 
Activities]])</f>
        <v>False</v>
      </c>
      <c r="J1459">
        <v>6</v>
      </c>
      <c r="K1459" t="s">
        <v>3116</v>
      </c>
      <c r="L1459">
        <v>66</v>
      </c>
      <c r="M1459" s="12" t="str" cm="1">
        <f t="array" ref="M1459">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459">
        <v>97</v>
      </c>
      <c r="O1459" s="13" t="str" cm="1">
        <f t="array" ref="O145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459">
        <v>82</v>
      </c>
      <c r="Q1459" s="13" t="str" cm="1">
        <f t="array" ref="Q145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459">
        <v>70</v>
      </c>
      <c r="S1459" t="str" cm="1">
        <f t="array" ref="S145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459">
        <v>93</v>
      </c>
      <c r="U1459" t="str" cm="1">
        <f t="array" ref="U145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459">
        <v>68</v>
      </c>
      <c r="W1459" t="str" cm="1">
        <f t="array" ref="W145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459">
        <v>98</v>
      </c>
      <c r="Y1459" t="str" cm="1">
        <f t="array" ref="Y145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459">
        <f>SUM(Table1[[#This Row],[Math 
Score]],Table1[[#This Row],[History 
Score]],Table1[[#This Row],[Physics 
Score]],Table1[[#This Row],[Chemistry 
Score]],Table1[[#This Row],[Biology 
Score]],Table1[[#This Row],[English 
Score]],Table1[[#This Row],[Geography 
Score]])</f>
        <v>574</v>
      </c>
      <c r="AA1459" s="3">
        <f>AVERAGE(Table1[[#This Row],[Math 
Score]],Table1[[#This Row],[History 
Score]],Table1[[#This Row],[Physics 
Score]],Table1[[#This Row],[Chemistry 
Score]],Table1[[#This Row],[Biology 
Score]],Table1[[#This Row],[English 
Score]],Table1[[#This Row],[Geography 
Score]])</f>
        <v>82</v>
      </c>
      <c r="AB145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459">
        <f t="shared" si="22"/>
        <v>832</v>
      </c>
      <c r="AD1459" t="str">
        <f>_xlfn.IFS(Table1[[#This Row],[Absence 
Days]]&lt;3,"Excellent",Table1[[#This Row],[Absence 
Days]]&lt;=6,"Good",Table1[[#This Row],[Absence 
Days]]&gt;6,"Poor")</f>
        <v>Good</v>
      </c>
    </row>
    <row r="1460" spans="1:30" x14ac:dyDescent="0.35">
      <c r="A1460">
        <v>1459</v>
      </c>
      <c r="B1460" s="2" t="s">
        <v>34</v>
      </c>
      <c r="C1460" t="s">
        <v>458</v>
      </c>
      <c r="D1460" t="str">
        <f>_xlfn.TEXTJOIN(" ",TRUE,Table1[[#This Row],[First 
Name]:[Last 
Name]])</f>
        <v>Michael Smith</v>
      </c>
      <c r="E1460" t="s">
        <v>2570</v>
      </c>
      <c r="F1460" t="s">
        <v>3244</v>
      </c>
      <c r="G1460" t="str">
        <f ca="1">PROPER(Table1[[#This Row],[Part Time 
Job]])</f>
        <v>False</v>
      </c>
      <c r="H1460" s="3">
        <v>7</v>
      </c>
      <c r="I1460" t="str">
        <f ca="1">PROPER(Table1[[#This Row],[Extracurricular 
Activities]])</f>
        <v>True</v>
      </c>
      <c r="J1460">
        <v>33</v>
      </c>
      <c r="K1460" t="s">
        <v>3123</v>
      </c>
      <c r="L1460">
        <v>99</v>
      </c>
      <c r="M1460" s="12" t="str" cm="1">
        <f t="array" ref="M146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460">
        <v>82</v>
      </c>
      <c r="O1460" s="13" t="str" cm="1">
        <f t="array" ref="O146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460">
        <v>69</v>
      </c>
      <c r="Q1460" s="13" t="str" cm="1">
        <f t="array" ref="Q146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460">
        <v>84</v>
      </c>
      <c r="S1460" t="str" cm="1">
        <f t="array" ref="S146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460">
        <v>79</v>
      </c>
      <c r="U1460" t="str" cm="1">
        <f t="array" ref="U146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460">
        <v>88</v>
      </c>
      <c r="W1460" t="str" cm="1">
        <f t="array" ref="W146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460">
        <v>67</v>
      </c>
      <c r="Y1460" t="str" cm="1">
        <f t="array" ref="Y146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460">
        <f>SUM(Table1[[#This Row],[Math 
Score]],Table1[[#This Row],[History 
Score]],Table1[[#This Row],[Physics 
Score]],Table1[[#This Row],[Chemistry 
Score]],Table1[[#This Row],[Biology 
Score]],Table1[[#This Row],[English 
Score]],Table1[[#This Row],[Geography 
Score]])</f>
        <v>568</v>
      </c>
      <c r="AA1460" s="3">
        <f>AVERAGE(Table1[[#This Row],[Math 
Score]],Table1[[#This Row],[History 
Score]],Table1[[#This Row],[Physics 
Score]],Table1[[#This Row],[Chemistry 
Score]],Table1[[#This Row],[Biology 
Score]],Table1[[#This Row],[English 
Score]],Table1[[#This Row],[Geography 
Score]])</f>
        <v>81.142857142857139</v>
      </c>
      <c r="AB146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460">
        <f t="shared" si="22"/>
        <v>975</v>
      </c>
      <c r="AD1460" t="str">
        <f>_xlfn.IFS(Table1[[#This Row],[Absence 
Days]]&lt;3,"Excellent",Table1[[#This Row],[Absence 
Days]]&lt;=6,"Good",Table1[[#This Row],[Absence 
Days]]&gt;6,"Poor")</f>
        <v>Poor</v>
      </c>
    </row>
    <row r="1461" spans="1:30" x14ac:dyDescent="0.35">
      <c r="A1461">
        <v>1460</v>
      </c>
      <c r="B1461" s="2" t="s">
        <v>203</v>
      </c>
      <c r="C1461" t="s">
        <v>800</v>
      </c>
      <c r="D1461" t="str">
        <f>_xlfn.TEXTJOIN(" ",TRUE,Table1[[#This Row],[First 
Name]:[Last 
Name]])</f>
        <v>Nicole King</v>
      </c>
      <c r="E1461" t="s">
        <v>2571</v>
      </c>
      <c r="F1461" t="s">
        <v>3245</v>
      </c>
      <c r="G1461" t="str">
        <f ca="1">PROPER(Table1[[#This Row],[Part Time 
Job]])</f>
        <v>True</v>
      </c>
      <c r="H1461" s="3">
        <v>5</v>
      </c>
      <c r="I1461" t="str">
        <f ca="1">PROPER(Table1[[#This Row],[Extracurricular 
Activities]])</f>
        <v>True</v>
      </c>
      <c r="J1461">
        <v>10</v>
      </c>
      <c r="K1461" t="s">
        <v>3124</v>
      </c>
      <c r="L1461">
        <v>71</v>
      </c>
      <c r="M1461" s="12" t="str" cm="1">
        <f t="array" ref="M1461">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461">
        <v>70</v>
      </c>
      <c r="O1461" s="13" t="str" cm="1">
        <f t="array" ref="O146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461">
        <v>87</v>
      </c>
      <c r="Q1461" s="13" t="str" cm="1">
        <f t="array" ref="Q146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461">
        <v>62</v>
      </c>
      <c r="S1461" t="str" cm="1">
        <f t="array" ref="S146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461">
        <v>92</v>
      </c>
      <c r="U1461" t="str" cm="1">
        <f t="array" ref="U146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461">
        <v>63</v>
      </c>
      <c r="W1461" t="str" cm="1">
        <f t="array" ref="W146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461">
        <v>80</v>
      </c>
      <c r="Y1461" t="str" cm="1">
        <f t="array" ref="Y146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461">
        <f>SUM(Table1[[#This Row],[Math 
Score]],Table1[[#This Row],[History 
Score]],Table1[[#This Row],[Physics 
Score]],Table1[[#This Row],[Chemistry 
Score]],Table1[[#This Row],[Biology 
Score]],Table1[[#This Row],[English 
Score]],Table1[[#This Row],[Geography 
Score]])</f>
        <v>525</v>
      </c>
      <c r="AA1461" s="3">
        <f>AVERAGE(Table1[[#This Row],[Math 
Score]],Table1[[#This Row],[History 
Score]],Table1[[#This Row],[Physics 
Score]],Table1[[#This Row],[Chemistry 
Score]],Table1[[#This Row],[Biology 
Score]],Table1[[#This Row],[English 
Score]],Table1[[#This Row],[Geography 
Score]])</f>
        <v>75</v>
      </c>
      <c r="AB146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461">
        <f t="shared" si="22"/>
        <v>1704</v>
      </c>
      <c r="AD1461" t="str">
        <f>_xlfn.IFS(Table1[[#This Row],[Absence 
Days]]&lt;3,"Excellent",Table1[[#This Row],[Absence 
Days]]&lt;=6,"Good",Table1[[#This Row],[Absence 
Days]]&gt;6,"Poor")</f>
        <v>Good</v>
      </c>
    </row>
    <row r="1462" spans="1:30" x14ac:dyDescent="0.35">
      <c r="A1462">
        <v>1461</v>
      </c>
      <c r="B1462" s="2" t="s">
        <v>410</v>
      </c>
      <c r="C1462" t="s">
        <v>479</v>
      </c>
      <c r="D1462" t="str">
        <f>_xlfn.TEXTJOIN(" ",TRUE,Table1[[#This Row],[First 
Name]:[Last 
Name]])</f>
        <v>Ruth Miller</v>
      </c>
      <c r="E1462" t="s">
        <v>2572</v>
      </c>
      <c r="F1462" t="s">
        <v>3245</v>
      </c>
      <c r="G1462" t="str">
        <f ca="1">PROPER(Table1[[#This Row],[Part Time 
Job]])</f>
        <v>False</v>
      </c>
      <c r="H1462" s="3">
        <v>1</v>
      </c>
      <c r="I1462" t="str">
        <f ca="1">PROPER(Table1[[#This Row],[Extracurricular 
Activities]])</f>
        <v>False</v>
      </c>
      <c r="J1462">
        <v>13</v>
      </c>
      <c r="K1462" t="s">
        <v>3114</v>
      </c>
      <c r="L1462">
        <v>74</v>
      </c>
      <c r="M1462" s="12" t="str" cm="1">
        <f t="array" ref="M1462">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462">
        <v>76</v>
      </c>
      <c r="O1462" s="13" t="str" cm="1">
        <f t="array" ref="O146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462">
        <v>81</v>
      </c>
      <c r="Q1462" s="13" t="str" cm="1">
        <f t="array" ref="Q146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462">
        <v>69</v>
      </c>
      <c r="S1462" t="str" cm="1">
        <f t="array" ref="S146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462">
        <v>98</v>
      </c>
      <c r="U1462" t="str" cm="1">
        <f t="array" ref="U146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462">
        <v>96</v>
      </c>
      <c r="W1462" t="str" cm="1">
        <f t="array" ref="W146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462">
        <v>65</v>
      </c>
      <c r="Y1462" t="str" cm="1">
        <f t="array" ref="Y146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462">
        <f>SUM(Table1[[#This Row],[Math 
Score]],Table1[[#This Row],[History 
Score]],Table1[[#This Row],[Physics 
Score]],Table1[[#This Row],[Chemistry 
Score]],Table1[[#This Row],[Biology 
Score]],Table1[[#This Row],[English 
Score]],Table1[[#This Row],[Geography 
Score]])</f>
        <v>559</v>
      </c>
      <c r="AA1462" s="3">
        <f>AVERAGE(Table1[[#This Row],[Math 
Score]],Table1[[#This Row],[History 
Score]],Table1[[#This Row],[Physics 
Score]],Table1[[#This Row],[Chemistry 
Score]],Table1[[#This Row],[Biology 
Score]],Table1[[#This Row],[English 
Score]],Table1[[#This Row],[Geography 
Score]])</f>
        <v>79.857142857142861</v>
      </c>
      <c r="AB146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462">
        <f t="shared" si="22"/>
        <v>1155</v>
      </c>
      <c r="AD1462" t="str">
        <f>_xlfn.IFS(Table1[[#This Row],[Absence 
Days]]&lt;3,"Excellent",Table1[[#This Row],[Absence 
Days]]&lt;=6,"Good",Table1[[#This Row],[Absence 
Days]]&gt;6,"Poor")</f>
        <v>Excellent</v>
      </c>
    </row>
    <row r="1463" spans="1:30" x14ac:dyDescent="0.35">
      <c r="A1463">
        <v>1462</v>
      </c>
      <c r="B1463" s="2" t="s">
        <v>246</v>
      </c>
      <c r="C1463" t="s">
        <v>502</v>
      </c>
      <c r="D1463" t="str">
        <f>_xlfn.TEXTJOIN(" ",TRUE,Table1[[#This Row],[First 
Name]:[Last 
Name]])</f>
        <v>Katelyn Roman</v>
      </c>
      <c r="E1463" t="s">
        <v>2573</v>
      </c>
      <c r="F1463" t="s">
        <v>3245</v>
      </c>
      <c r="G1463" t="str">
        <f ca="1">PROPER(Table1[[#This Row],[Part Time 
Job]])</f>
        <v>False</v>
      </c>
      <c r="H1463" s="3">
        <v>6</v>
      </c>
      <c r="I1463" t="str">
        <f ca="1">PROPER(Table1[[#This Row],[Extracurricular 
Activities]])</f>
        <v>True</v>
      </c>
      <c r="J1463">
        <v>25</v>
      </c>
      <c r="K1463" t="s">
        <v>3121</v>
      </c>
      <c r="L1463">
        <v>93</v>
      </c>
      <c r="M1463" s="12" t="str" cm="1">
        <f t="array" ref="M146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463">
        <v>60</v>
      </c>
      <c r="O1463" s="13" t="str" cm="1">
        <f t="array" ref="O146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463">
        <v>71</v>
      </c>
      <c r="Q1463" s="13" t="str" cm="1">
        <f t="array" ref="Q146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463">
        <v>63</v>
      </c>
      <c r="S1463" t="str" cm="1">
        <f t="array" ref="S146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463">
        <v>75</v>
      </c>
      <c r="U1463" t="str" cm="1">
        <f t="array" ref="U146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463">
        <v>76</v>
      </c>
      <c r="W1463" t="str" cm="1">
        <f t="array" ref="W146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463">
        <v>77</v>
      </c>
      <c r="Y1463" t="str" cm="1">
        <f t="array" ref="Y146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463">
        <f>SUM(Table1[[#This Row],[Math 
Score]],Table1[[#This Row],[History 
Score]],Table1[[#This Row],[Physics 
Score]],Table1[[#This Row],[Chemistry 
Score]],Table1[[#This Row],[Biology 
Score]],Table1[[#This Row],[English 
Score]],Table1[[#This Row],[Geography 
Score]])</f>
        <v>515</v>
      </c>
      <c r="AA1463" s="3">
        <f>AVERAGE(Table1[[#This Row],[Math 
Score]],Table1[[#This Row],[History 
Score]],Table1[[#This Row],[Physics 
Score]],Table1[[#This Row],[Chemistry 
Score]],Table1[[#This Row],[Biology 
Score]],Table1[[#This Row],[English 
Score]],Table1[[#This Row],[Geography 
Score]])</f>
        <v>73.571428571428569</v>
      </c>
      <c r="AB146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463">
        <f t="shared" si="22"/>
        <v>1798</v>
      </c>
      <c r="AD1463" t="str">
        <f>_xlfn.IFS(Table1[[#This Row],[Absence 
Days]]&lt;3,"Excellent",Table1[[#This Row],[Absence 
Days]]&lt;=6,"Good",Table1[[#This Row],[Absence 
Days]]&gt;6,"Poor")</f>
        <v>Good</v>
      </c>
    </row>
    <row r="1464" spans="1:30" x14ac:dyDescent="0.35">
      <c r="A1464">
        <v>1463</v>
      </c>
      <c r="B1464" s="2" t="s">
        <v>290</v>
      </c>
      <c r="C1464" t="s">
        <v>1020</v>
      </c>
      <c r="D1464" t="str">
        <f>_xlfn.TEXTJOIN(" ",TRUE,Table1[[#This Row],[First 
Name]:[Last 
Name]])</f>
        <v>Allison Hendricks</v>
      </c>
      <c r="E1464" t="s">
        <v>2574</v>
      </c>
      <c r="F1464" t="s">
        <v>3245</v>
      </c>
      <c r="G1464" t="str">
        <f ca="1">PROPER(Table1[[#This Row],[Part Time 
Job]])</f>
        <v>False</v>
      </c>
      <c r="H1464" s="3">
        <v>2</v>
      </c>
      <c r="I1464" t="str">
        <f ca="1">PROPER(Table1[[#This Row],[Extracurricular 
Activities]])</f>
        <v>False</v>
      </c>
      <c r="J1464">
        <v>35</v>
      </c>
      <c r="K1464" t="s">
        <v>3112</v>
      </c>
      <c r="L1464">
        <v>89</v>
      </c>
      <c r="M1464" s="12" t="str" cm="1">
        <f t="array" ref="M146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464">
        <v>90</v>
      </c>
      <c r="O1464" s="13" t="str" cm="1">
        <f t="array" ref="O146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464">
        <v>99</v>
      </c>
      <c r="Q1464" s="13" t="str" cm="1">
        <f t="array" ref="Q146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464">
        <v>91</v>
      </c>
      <c r="S1464" t="str" cm="1">
        <f t="array" ref="S146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464">
        <v>94</v>
      </c>
      <c r="U1464" t="str" cm="1">
        <f t="array" ref="U146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464">
        <v>96</v>
      </c>
      <c r="W1464" t="str" cm="1">
        <f t="array" ref="W146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464">
        <v>85</v>
      </c>
      <c r="Y1464" t="str" cm="1">
        <f t="array" ref="Y146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464">
        <f>SUM(Table1[[#This Row],[Math 
Score]],Table1[[#This Row],[History 
Score]],Table1[[#This Row],[Physics 
Score]],Table1[[#This Row],[Chemistry 
Score]],Table1[[#This Row],[Biology 
Score]],Table1[[#This Row],[English 
Score]],Table1[[#This Row],[Geography 
Score]])</f>
        <v>644</v>
      </c>
      <c r="AA1464" s="3">
        <f>AVERAGE(Table1[[#This Row],[Math 
Score]],Table1[[#This Row],[History 
Score]],Table1[[#This Row],[Physics 
Score]],Table1[[#This Row],[Chemistry 
Score]],Table1[[#This Row],[Biology 
Score]],Table1[[#This Row],[English 
Score]],Table1[[#This Row],[Geography 
Score]])</f>
        <v>92</v>
      </c>
      <c r="AB146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464">
        <f t="shared" si="22"/>
        <v>83</v>
      </c>
      <c r="AD1464" t="str">
        <f>_xlfn.IFS(Table1[[#This Row],[Absence 
Days]]&lt;3,"Excellent",Table1[[#This Row],[Absence 
Days]]&lt;=6,"Good",Table1[[#This Row],[Absence 
Days]]&gt;6,"Poor")</f>
        <v>Excellent</v>
      </c>
    </row>
    <row r="1465" spans="1:30" x14ac:dyDescent="0.35">
      <c r="A1465">
        <v>1464</v>
      </c>
      <c r="B1465" s="2" t="s">
        <v>288</v>
      </c>
      <c r="C1465" t="s">
        <v>774</v>
      </c>
      <c r="D1465" t="str">
        <f>_xlfn.TEXTJOIN(" ",TRUE,Table1[[#This Row],[First 
Name]:[Last 
Name]])</f>
        <v>Zachary Lucero</v>
      </c>
      <c r="E1465" t="s">
        <v>2575</v>
      </c>
      <c r="F1465" t="s">
        <v>3244</v>
      </c>
      <c r="G1465" t="str">
        <f ca="1">PROPER(Table1[[#This Row],[Part Time 
Job]])</f>
        <v>True</v>
      </c>
      <c r="H1465" s="3">
        <v>8</v>
      </c>
      <c r="I1465" t="str">
        <f ca="1">PROPER(Table1[[#This Row],[Extracurricular 
Activities]])</f>
        <v>True</v>
      </c>
      <c r="J1465">
        <v>1</v>
      </c>
      <c r="K1465" t="s">
        <v>3119</v>
      </c>
      <c r="L1465">
        <v>66</v>
      </c>
      <c r="M1465" s="12" t="str" cm="1">
        <f t="array" ref="M1465">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465">
        <v>53</v>
      </c>
      <c r="O1465" s="13" t="str" cm="1">
        <f t="array" ref="O146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C</v>
      </c>
      <c r="P1465">
        <v>85</v>
      </c>
      <c r="Q1465" s="13" t="str" cm="1">
        <f t="array" ref="Q146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465">
        <v>84</v>
      </c>
      <c r="S1465" t="str" cm="1">
        <f t="array" ref="S146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465">
        <v>98</v>
      </c>
      <c r="U1465" t="str" cm="1">
        <f t="array" ref="U146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465">
        <v>86</v>
      </c>
      <c r="W1465" t="str" cm="1">
        <f t="array" ref="W146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465">
        <v>79</v>
      </c>
      <c r="Y1465" t="str" cm="1">
        <f t="array" ref="Y146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465">
        <f>SUM(Table1[[#This Row],[Math 
Score]],Table1[[#This Row],[History 
Score]],Table1[[#This Row],[Physics 
Score]],Table1[[#This Row],[Chemistry 
Score]],Table1[[#This Row],[Biology 
Score]],Table1[[#This Row],[English 
Score]],Table1[[#This Row],[Geography 
Score]])</f>
        <v>551</v>
      </c>
      <c r="AA1465" s="3">
        <f>AVERAGE(Table1[[#This Row],[Math 
Score]],Table1[[#This Row],[History 
Score]],Table1[[#This Row],[Physics 
Score]],Table1[[#This Row],[Chemistry 
Score]],Table1[[#This Row],[Biology 
Score]],Table1[[#This Row],[English 
Score]],Table1[[#This Row],[Geography 
Score]])</f>
        <v>78.714285714285708</v>
      </c>
      <c r="AB146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465">
        <f t="shared" si="22"/>
        <v>1317</v>
      </c>
      <c r="AD1465" t="str">
        <f>_xlfn.IFS(Table1[[#This Row],[Absence 
Days]]&lt;3,"Excellent",Table1[[#This Row],[Absence 
Days]]&lt;=6,"Good",Table1[[#This Row],[Absence 
Days]]&gt;6,"Poor")</f>
        <v>Poor</v>
      </c>
    </row>
    <row r="1466" spans="1:30" x14ac:dyDescent="0.35">
      <c r="A1466">
        <v>1465</v>
      </c>
      <c r="B1466" s="2" t="s">
        <v>257</v>
      </c>
      <c r="C1466" t="s">
        <v>33</v>
      </c>
      <c r="D1466" t="str">
        <f>_xlfn.TEXTJOIN(" ",TRUE,Table1[[#This Row],[First 
Name]:[Last 
Name]])</f>
        <v>Gregory Ryan</v>
      </c>
      <c r="E1466" t="s">
        <v>2576</v>
      </c>
      <c r="F1466" t="s">
        <v>3244</v>
      </c>
      <c r="G1466" t="str">
        <f ca="1">PROPER(Table1[[#This Row],[Part Time 
Job]])</f>
        <v>False</v>
      </c>
      <c r="H1466" s="3">
        <v>1</v>
      </c>
      <c r="I1466" t="str">
        <f ca="1">PROPER(Table1[[#This Row],[Extracurricular 
Activities]])</f>
        <v>False</v>
      </c>
      <c r="J1466">
        <v>29</v>
      </c>
      <c r="K1466" t="s">
        <v>3127</v>
      </c>
      <c r="L1466">
        <v>80</v>
      </c>
      <c r="M1466" s="12" t="str" cm="1">
        <f t="array" ref="M146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466">
        <v>96</v>
      </c>
      <c r="O1466" s="13" t="str" cm="1">
        <f t="array" ref="O146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466">
        <v>79</v>
      </c>
      <c r="Q1466" s="13" t="str" cm="1">
        <f t="array" ref="Q146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466">
        <v>95</v>
      </c>
      <c r="S1466" t="str" cm="1">
        <f t="array" ref="S146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466">
        <v>74</v>
      </c>
      <c r="U1466" t="str" cm="1">
        <f t="array" ref="U146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466">
        <v>95</v>
      </c>
      <c r="W1466" t="str" cm="1">
        <f t="array" ref="W146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466">
        <v>61</v>
      </c>
      <c r="Y1466" t="str" cm="1">
        <f t="array" ref="Y146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466">
        <f>SUM(Table1[[#This Row],[Math 
Score]],Table1[[#This Row],[History 
Score]],Table1[[#This Row],[Physics 
Score]],Table1[[#This Row],[Chemistry 
Score]],Table1[[#This Row],[Biology 
Score]],Table1[[#This Row],[English 
Score]],Table1[[#This Row],[Geography 
Score]])</f>
        <v>580</v>
      </c>
      <c r="AA1466" s="3">
        <f>AVERAGE(Table1[[#This Row],[Math 
Score]],Table1[[#This Row],[History 
Score]],Table1[[#This Row],[Physics 
Score]],Table1[[#This Row],[Chemistry 
Score]],Table1[[#This Row],[Biology 
Score]],Table1[[#This Row],[English 
Score]],Table1[[#This Row],[Geography 
Score]])</f>
        <v>82.857142857142861</v>
      </c>
      <c r="AB146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466">
        <f t="shared" si="22"/>
        <v>709</v>
      </c>
      <c r="AD1466" t="str">
        <f>_xlfn.IFS(Table1[[#This Row],[Absence 
Days]]&lt;3,"Excellent",Table1[[#This Row],[Absence 
Days]]&lt;=6,"Good",Table1[[#This Row],[Absence 
Days]]&gt;6,"Poor")</f>
        <v>Excellent</v>
      </c>
    </row>
    <row r="1467" spans="1:30" x14ac:dyDescent="0.35">
      <c r="A1467">
        <v>1466</v>
      </c>
      <c r="B1467" s="2" t="s">
        <v>52</v>
      </c>
      <c r="C1467" t="s">
        <v>662</v>
      </c>
      <c r="D1467" t="str">
        <f>_xlfn.TEXTJOIN(" ",TRUE,Table1[[#This Row],[First 
Name]:[Last 
Name]])</f>
        <v>Jacob Hall</v>
      </c>
      <c r="E1467" t="s">
        <v>2577</v>
      </c>
      <c r="F1467" t="s">
        <v>3244</v>
      </c>
      <c r="G1467" t="str">
        <f ca="1">PROPER(Table1[[#This Row],[Part Time 
Job]])</f>
        <v>False</v>
      </c>
      <c r="H1467" s="3">
        <v>3</v>
      </c>
      <c r="I1467" t="str">
        <f ca="1">PROPER(Table1[[#This Row],[Extracurricular 
Activities]])</f>
        <v>False</v>
      </c>
      <c r="J1467">
        <v>20</v>
      </c>
      <c r="K1467" t="s">
        <v>3117</v>
      </c>
      <c r="L1467">
        <v>97</v>
      </c>
      <c r="M1467" s="12" t="str" cm="1">
        <f t="array" ref="M146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467">
        <v>93</v>
      </c>
      <c r="O1467" s="13" t="str" cm="1">
        <f t="array" ref="O146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467">
        <v>67</v>
      </c>
      <c r="Q1467" s="13" t="str" cm="1">
        <f t="array" ref="Q146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467">
        <v>85</v>
      </c>
      <c r="S1467" t="str" cm="1">
        <f t="array" ref="S146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467">
        <v>90</v>
      </c>
      <c r="U1467" t="str" cm="1">
        <f t="array" ref="U146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467">
        <v>72</v>
      </c>
      <c r="W1467" t="str" cm="1">
        <f t="array" ref="W146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467">
        <v>96</v>
      </c>
      <c r="Y1467" t="str" cm="1">
        <f t="array" ref="Y146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467">
        <f>SUM(Table1[[#This Row],[Math 
Score]],Table1[[#This Row],[History 
Score]],Table1[[#This Row],[Physics 
Score]],Table1[[#This Row],[Chemistry 
Score]],Table1[[#This Row],[Biology 
Score]],Table1[[#This Row],[English 
Score]],Table1[[#This Row],[Geography 
Score]])</f>
        <v>600</v>
      </c>
      <c r="AA1467" s="3">
        <f>AVERAGE(Table1[[#This Row],[Math 
Score]],Table1[[#This Row],[History 
Score]],Table1[[#This Row],[Physics 
Score]],Table1[[#This Row],[Chemistry 
Score]],Table1[[#This Row],[Biology 
Score]],Table1[[#This Row],[English 
Score]],Table1[[#This Row],[Geography 
Score]])</f>
        <v>85.714285714285708</v>
      </c>
      <c r="AB146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467">
        <f t="shared" si="22"/>
        <v>406</v>
      </c>
      <c r="AD1467" t="str">
        <f>_xlfn.IFS(Table1[[#This Row],[Absence 
Days]]&lt;3,"Excellent",Table1[[#This Row],[Absence 
Days]]&lt;=6,"Good",Table1[[#This Row],[Absence 
Days]]&gt;6,"Poor")</f>
        <v>Good</v>
      </c>
    </row>
    <row r="1468" spans="1:30" x14ac:dyDescent="0.35">
      <c r="A1468">
        <v>1467</v>
      </c>
      <c r="B1468" s="2" t="s">
        <v>109</v>
      </c>
      <c r="C1468" t="s">
        <v>538</v>
      </c>
      <c r="D1468" t="str">
        <f>_xlfn.TEXTJOIN(" ",TRUE,Table1[[#This Row],[First 
Name]:[Last 
Name]])</f>
        <v>Mark Wright</v>
      </c>
      <c r="E1468" t="s">
        <v>2578</v>
      </c>
      <c r="F1468" t="s">
        <v>3244</v>
      </c>
      <c r="G1468" t="str">
        <f ca="1">PROPER(Table1[[#This Row],[Part Time 
Job]])</f>
        <v>True</v>
      </c>
      <c r="H1468" s="3">
        <v>3</v>
      </c>
      <c r="I1468" t="str">
        <f ca="1">PROPER(Table1[[#This Row],[Extracurricular 
Activities]])</f>
        <v>False</v>
      </c>
      <c r="J1468">
        <v>49</v>
      </c>
      <c r="K1468" t="s">
        <v>3113</v>
      </c>
      <c r="L1468">
        <v>87</v>
      </c>
      <c r="M1468" s="12" t="str" cm="1">
        <f t="array" ref="M146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468">
        <v>86</v>
      </c>
      <c r="O1468" s="13" t="str" cm="1">
        <f t="array" ref="O146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468">
        <v>87</v>
      </c>
      <c r="Q1468" s="13" t="str" cm="1">
        <f t="array" ref="Q146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468">
        <v>91</v>
      </c>
      <c r="S1468" t="str" cm="1">
        <f t="array" ref="S146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468">
        <v>86</v>
      </c>
      <c r="U1468" t="str" cm="1">
        <f t="array" ref="U146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468">
        <v>96</v>
      </c>
      <c r="W1468" t="str" cm="1">
        <f t="array" ref="W146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468">
        <v>92</v>
      </c>
      <c r="Y1468" t="str" cm="1">
        <f t="array" ref="Y146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468">
        <f>SUM(Table1[[#This Row],[Math 
Score]],Table1[[#This Row],[History 
Score]],Table1[[#This Row],[Physics 
Score]],Table1[[#This Row],[Chemistry 
Score]],Table1[[#This Row],[Biology 
Score]],Table1[[#This Row],[English 
Score]],Table1[[#This Row],[Geography 
Score]])</f>
        <v>625</v>
      </c>
      <c r="AA1468" s="3">
        <f>AVERAGE(Table1[[#This Row],[Math 
Score]],Table1[[#This Row],[History 
Score]],Table1[[#This Row],[Physics 
Score]],Table1[[#This Row],[Chemistry 
Score]],Table1[[#This Row],[Biology 
Score]],Table1[[#This Row],[English 
Score]],Table1[[#This Row],[Geography 
Score]])</f>
        <v>89.285714285714292</v>
      </c>
      <c r="AB146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468">
        <f t="shared" si="22"/>
        <v>187</v>
      </c>
      <c r="AD1468" t="str">
        <f>_xlfn.IFS(Table1[[#This Row],[Absence 
Days]]&lt;3,"Excellent",Table1[[#This Row],[Absence 
Days]]&lt;=6,"Good",Table1[[#This Row],[Absence 
Days]]&gt;6,"Poor")</f>
        <v>Good</v>
      </c>
    </row>
    <row r="1469" spans="1:30" x14ac:dyDescent="0.35">
      <c r="A1469">
        <v>1468</v>
      </c>
      <c r="B1469" s="2" t="s">
        <v>50</v>
      </c>
      <c r="C1469" t="s">
        <v>538</v>
      </c>
      <c r="D1469" t="str">
        <f>_xlfn.TEXTJOIN(" ",TRUE,Table1[[#This Row],[First 
Name]:[Last 
Name]])</f>
        <v>Jennifer Wright</v>
      </c>
      <c r="E1469" t="s">
        <v>2579</v>
      </c>
      <c r="F1469" t="s">
        <v>3245</v>
      </c>
      <c r="G1469" t="str">
        <f ca="1">PROPER(Table1[[#This Row],[Part Time 
Job]])</f>
        <v>False</v>
      </c>
      <c r="H1469" s="3">
        <v>4</v>
      </c>
      <c r="I1469" t="str">
        <f ca="1">PROPER(Table1[[#This Row],[Extracurricular 
Activities]])</f>
        <v>False</v>
      </c>
      <c r="J1469">
        <v>13</v>
      </c>
      <c r="K1469" t="s">
        <v>3118</v>
      </c>
      <c r="L1469">
        <v>77</v>
      </c>
      <c r="M1469" s="12" t="str" cm="1">
        <f t="array" ref="M146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469">
        <v>87</v>
      </c>
      <c r="O1469" s="13" t="str" cm="1">
        <f t="array" ref="O146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469">
        <v>83</v>
      </c>
      <c r="Q1469" s="13" t="str" cm="1">
        <f t="array" ref="Q146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469">
        <v>81</v>
      </c>
      <c r="S1469" t="str" cm="1">
        <f t="array" ref="S146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469">
        <v>60</v>
      </c>
      <c r="U1469" t="str" cm="1">
        <f t="array" ref="U146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469">
        <v>92</v>
      </c>
      <c r="W1469" t="str" cm="1">
        <f t="array" ref="W146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469">
        <v>76</v>
      </c>
      <c r="Y1469" t="str" cm="1">
        <f t="array" ref="Y146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469">
        <f>SUM(Table1[[#This Row],[Math 
Score]],Table1[[#This Row],[History 
Score]],Table1[[#This Row],[Physics 
Score]],Table1[[#This Row],[Chemistry 
Score]],Table1[[#This Row],[Biology 
Score]],Table1[[#This Row],[English 
Score]],Table1[[#This Row],[Geography 
Score]])</f>
        <v>556</v>
      </c>
      <c r="AA1469" s="3">
        <f>AVERAGE(Table1[[#This Row],[Math 
Score]],Table1[[#This Row],[History 
Score]],Table1[[#This Row],[Physics 
Score]],Table1[[#This Row],[Chemistry 
Score]],Table1[[#This Row],[Biology 
Score]],Table1[[#This Row],[English 
Score]],Table1[[#This Row],[Geography 
Score]])</f>
        <v>79.428571428571431</v>
      </c>
      <c r="AB146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469">
        <f t="shared" si="22"/>
        <v>1224</v>
      </c>
      <c r="AD1469" t="str">
        <f>_xlfn.IFS(Table1[[#This Row],[Absence 
Days]]&lt;3,"Excellent",Table1[[#This Row],[Absence 
Days]]&lt;=6,"Good",Table1[[#This Row],[Absence 
Days]]&gt;6,"Poor")</f>
        <v>Good</v>
      </c>
    </row>
    <row r="1470" spans="1:30" x14ac:dyDescent="0.35">
      <c r="A1470">
        <v>1469</v>
      </c>
      <c r="B1470" s="2" t="s">
        <v>44</v>
      </c>
      <c r="C1470" t="s">
        <v>1021</v>
      </c>
      <c r="D1470" t="str">
        <f>_xlfn.TEXTJOIN(" ",TRUE,Table1[[#This Row],[First 
Name]:[Last 
Name]])</f>
        <v>Kimberly Dyer</v>
      </c>
      <c r="E1470" t="s">
        <v>2580</v>
      </c>
      <c r="F1470" t="s">
        <v>3245</v>
      </c>
      <c r="G1470" t="str">
        <f ca="1">PROPER(Table1[[#This Row],[Part Time 
Job]])</f>
        <v>False</v>
      </c>
      <c r="H1470" s="3">
        <v>2</v>
      </c>
      <c r="I1470" t="str">
        <f ca="1">PROPER(Table1[[#This Row],[Extracurricular 
Activities]])</f>
        <v>False</v>
      </c>
      <c r="J1470">
        <v>20</v>
      </c>
      <c r="K1470" t="s">
        <v>3116</v>
      </c>
      <c r="L1470">
        <v>99</v>
      </c>
      <c r="M1470" s="12" t="str" cm="1">
        <f t="array" ref="M147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470">
        <v>93</v>
      </c>
      <c r="O1470" s="13" t="str" cm="1">
        <f t="array" ref="O147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470">
        <v>90</v>
      </c>
      <c r="Q1470" s="13" t="str" cm="1">
        <f t="array" ref="Q147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470">
        <v>79</v>
      </c>
      <c r="S1470" t="str" cm="1">
        <f t="array" ref="S147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470">
        <v>93</v>
      </c>
      <c r="U1470" t="str" cm="1">
        <f t="array" ref="U147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470">
        <v>71</v>
      </c>
      <c r="W1470" t="str" cm="1">
        <f t="array" ref="W147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470">
        <v>84</v>
      </c>
      <c r="Y1470" t="str" cm="1">
        <f t="array" ref="Y147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470">
        <f>SUM(Table1[[#This Row],[Math 
Score]],Table1[[#This Row],[History 
Score]],Table1[[#This Row],[Physics 
Score]],Table1[[#This Row],[Chemistry 
Score]],Table1[[#This Row],[Biology 
Score]],Table1[[#This Row],[English 
Score]],Table1[[#This Row],[Geography 
Score]])</f>
        <v>609</v>
      </c>
      <c r="AA1470" s="3">
        <f>AVERAGE(Table1[[#This Row],[Math 
Score]],Table1[[#This Row],[History 
Score]],Table1[[#This Row],[Physics 
Score]],Table1[[#This Row],[Chemistry 
Score]],Table1[[#This Row],[Biology 
Score]],Table1[[#This Row],[English 
Score]],Table1[[#This Row],[Geography 
Score]])</f>
        <v>87</v>
      </c>
      <c r="AB147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470">
        <f t="shared" si="22"/>
        <v>309</v>
      </c>
      <c r="AD1470" t="str">
        <f>_xlfn.IFS(Table1[[#This Row],[Absence 
Days]]&lt;3,"Excellent",Table1[[#This Row],[Absence 
Days]]&lt;=6,"Good",Table1[[#This Row],[Absence 
Days]]&gt;6,"Poor")</f>
        <v>Excellent</v>
      </c>
    </row>
    <row r="1471" spans="1:30" x14ac:dyDescent="0.35">
      <c r="A1471">
        <v>1470</v>
      </c>
      <c r="B1471" s="2" t="s">
        <v>203</v>
      </c>
      <c r="C1471" t="s">
        <v>358</v>
      </c>
      <c r="D1471" t="str">
        <f>_xlfn.TEXTJOIN(" ",TRUE,Table1[[#This Row],[First 
Name]:[Last 
Name]])</f>
        <v>Nicole Grant</v>
      </c>
      <c r="E1471" t="s">
        <v>2581</v>
      </c>
      <c r="F1471" t="s">
        <v>3245</v>
      </c>
      <c r="G1471" t="str">
        <f ca="1">PROPER(Table1[[#This Row],[Part Time 
Job]])</f>
        <v>False</v>
      </c>
      <c r="H1471" s="3">
        <v>2</v>
      </c>
      <c r="I1471" t="str">
        <f ca="1">PROPER(Table1[[#This Row],[Extracurricular 
Activities]])</f>
        <v>True</v>
      </c>
      <c r="J1471">
        <v>18</v>
      </c>
      <c r="K1471" t="s">
        <v>3118</v>
      </c>
      <c r="L1471">
        <v>89</v>
      </c>
      <c r="M1471" s="12" t="str" cm="1">
        <f t="array" ref="M147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471">
        <v>75</v>
      </c>
      <c r="O1471" s="13" t="str" cm="1">
        <f t="array" ref="O147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471">
        <v>65</v>
      </c>
      <c r="Q1471" s="13" t="str" cm="1">
        <f t="array" ref="Q147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471">
        <v>100</v>
      </c>
      <c r="S1471" t="str" cm="1">
        <f t="array" ref="S147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471">
        <v>74</v>
      </c>
      <c r="U1471" t="str" cm="1">
        <f t="array" ref="U147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471">
        <v>71</v>
      </c>
      <c r="W1471" t="str" cm="1">
        <f t="array" ref="W147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471">
        <v>75</v>
      </c>
      <c r="Y1471" t="str" cm="1">
        <f t="array" ref="Y147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471">
        <f>SUM(Table1[[#This Row],[Math 
Score]],Table1[[#This Row],[History 
Score]],Table1[[#This Row],[Physics 
Score]],Table1[[#This Row],[Chemistry 
Score]],Table1[[#This Row],[Biology 
Score]],Table1[[#This Row],[English 
Score]],Table1[[#This Row],[Geography 
Score]])</f>
        <v>549</v>
      </c>
      <c r="AA1471" s="3">
        <f>AVERAGE(Table1[[#This Row],[Math 
Score]],Table1[[#This Row],[History 
Score]],Table1[[#This Row],[Physics 
Score]],Table1[[#This Row],[Chemistry 
Score]],Table1[[#This Row],[Biology 
Score]],Table1[[#This Row],[English 
Score]],Table1[[#This Row],[Geography 
Score]])</f>
        <v>78.428571428571431</v>
      </c>
      <c r="AB147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471">
        <f t="shared" si="22"/>
        <v>1355</v>
      </c>
      <c r="AD1471" t="str">
        <f>_xlfn.IFS(Table1[[#This Row],[Absence 
Days]]&lt;3,"Excellent",Table1[[#This Row],[Absence 
Days]]&lt;=6,"Good",Table1[[#This Row],[Absence 
Days]]&gt;6,"Poor")</f>
        <v>Excellent</v>
      </c>
    </row>
    <row r="1472" spans="1:30" x14ac:dyDescent="0.35">
      <c r="A1472">
        <v>1471</v>
      </c>
      <c r="B1472" s="2" t="s">
        <v>25</v>
      </c>
      <c r="C1472" t="s">
        <v>673</v>
      </c>
      <c r="D1472" t="str">
        <f>_xlfn.TEXTJOIN(" ",TRUE,Table1[[#This Row],[First 
Name]:[Last 
Name]])</f>
        <v>Peter Anderson</v>
      </c>
      <c r="E1472" t="s">
        <v>2582</v>
      </c>
      <c r="F1472" t="s">
        <v>3244</v>
      </c>
      <c r="G1472" t="str">
        <f ca="1">PROPER(Table1[[#This Row],[Part Time 
Job]])</f>
        <v>False</v>
      </c>
      <c r="H1472" s="3">
        <v>1</v>
      </c>
      <c r="I1472" t="str">
        <f ca="1">PROPER(Table1[[#This Row],[Extracurricular 
Activities]])</f>
        <v>False</v>
      </c>
      <c r="J1472">
        <v>23</v>
      </c>
      <c r="K1472" t="s">
        <v>3117</v>
      </c>
      <c r="L1472">
        <v>86</v>
      </c>
      <c r="M1472" s="12" t="str" cm="1">
        <f t="array" ref="M147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472">
        <v>79</v>
      </c>
      <c r="O1472" s="13" t="str" cm="1">
        <f t="array" ref="O147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472">
        <v>69</v>
      </c>
      <c r="Q1472" s="13" t="str" cm="1">
        <f t="array" ref="Q147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472">
        <v>60</v>
      </c>
      <c r="S1472" t="str" cm="1">
        <f t="array" ref="S147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472">
        <v>76</v>
      </c>
      <c r="U1472" t="str" cm="1">
        <f t="array" ref="U147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472">
        <v>76</v>
      </c>
      <c r="W1472" t="str" cm="1">
        <f t="array" ref="W147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472">
        <v>92</v>
      </c>
      <c r="Y1472" t="str" cm="1">
        <f t="array" ref="Y147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472">
        <f>SUM(Table1[[#This Row],[Math 
Score]],Table1[[#This Row],[History 
Score]],Table1[[#This Row],[Physics 
Score]],Table1[[#This Row],[Chemistry 
Score]],Table1[[#This Row],[Biology 
Score]],Table1[[#This Row],[English 
Score]],Table1[[#This Row],[Geography 
Score]])</f>
        <v>538</v>
      </c>
      <c r="AA1472" s="3">
        <f>AVERAGE(Table1[[#This Row],[Math 
Score]],Table1[[#This Row],[History 
Score]],Table1[[#This Row],[Physics 
Score]],Table1[[#This Row],[Chemistry 
Score]],Table1[[#This Row],[Biology 
Score]],Table1[[#This Row],[English 
Score]],Table1[[#This Row],[Geography 
Score]])</f>
        <v>76.857142857142861</v>
      </c>
      <c r="AB147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472">
        <f t="shared" si="22"/>
        <v>1537</v>
      </c>
      <c r="AD1472" t="str">
        <f>_xlfn.IFS(Table1[[#This Row],[Absence 
Days]]&lt;3,"Excellent",Table1[[#This Row],[Absence 
Days]]&lt;=6,"Good",Table1[[#This Row],[Absence 
Days]]&gt;6,"Poor")</f>
        <v>Excellent</v>
      </c>
    </row>
    <row r="1473" spans="1:30" x14ac:dyDescent="0.35">
      <c r="A1473">
        <v>1472</v>
      </c>
      <c r="B1473" s="2" t="s">
        <v>206</v>
      </c>
      <c r="C1473" t="s">
        <v>593</v>
      </c>
      <c r="D1473" t="str">
        <f>_xlfn.TEXTJOIN(" ",TRUE,Table1[[#This Row],[First 
Name]:[Last 
Name]])</f>
        <v>Christine Hernandez</v>
      </c>
      <c r="E1473" t="s">
        <v>2583</v>
      </c>
      <c r="F1473" t="s">
        <v>3245</v>
      </c>
      <c r="G1473" t="str">
        <f ca="1">PROPER(Table1[[#This Row],[Part Time 
Job]])</f>
        <v>False</v>
      </c>
      <c r="H1473" s="3">
        <v>0</v>
      </c>
      <c r="I1473" t="str">
        <f ca="1">PROPER(Table1[[#This Row],[Extracurricular 
Activities]])</f>
        <v>False</v>
      </c>
      <c r="J1473">
        <v>10</v>
      </c>
      <c r="K1473" t="s">
        <v>3128</v>
      </c>
      <c r="L1473">
        <v>82</v>
      </c>
      <c r="M1473" s="12" t="str" cm="1">
        <f t="array" ref="M147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473">
        <v>86</v>
      </c>
      <c r="O1473" s="13" t="str" cm="1">
        <f t="array" ref="O147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473">
        <v>91</v>
      </c>
      <c r="Q1473" s="13" t="str" cm="1">
        <f t="array" ref="Q147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473">
        <v>68</v>
      </c>
      <c r="S1473" t="str" cm="1">
        <f t="array" ref="S147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473">
        <v>80</v>
      </c>
      <c r="U1473" t="str" cm="1">
        <f t="array" ref="U147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473">
        <v>62</v>
      </c>
      <c r="W1473" t="str" cm="1">
        <f t="array" ref="W147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473">
        <v>81</v>
      </c>
      <c r="Y1473" t="str" cm="1">
        <f t="array" ref="Y147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473">
        <f>SUM(Table1[[#This Row],[Math 
Score]],Table1[[#This Row],[History 
Score]],Table1[[#This Row],[Physics 
Score]],Table1[[#This Row],[Chemistry 
Score]],Table1[[#This Row],[Biology 
Score]],Table1[[#This Row],[English 
Score]],Table1[[#This Row],[Geography 
Score]])</f>
        <v>550</v>
      </c>
      <c r="AA1473" s="3">
        <f>AVERAGE(Table1[[#This Row],[Math 
Score]],Table1[[#This Row],[History 
Score]],Table1[[#This Row],[Physics 
Score]],Table1[[#This Row],[Chemistry 
Score]],Table1[[#This Row],[Biology 
Score]],Table1[[#This Row],[English 
Score]],Table1[[#This Row],[Geography 
Score]])</f>
        <v>78.571428571428569</v>
      </c>
      <c r="AB147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473">
        <f t="shared" si="22"/>
        <v>1338</v>
      </c>
      <c r="AD1473" t="str">
        <f>_xlfn.IFS(Table1[[#This Row],[Absence 
Days]]&lt;3,"Excellent",Table1[[#This Row],[Absence 
Days]]&lt;=6,"Good",Table1[[#This Row],[Absence 
Days]]&gt;6,"Poor")</f>
        <v>Excellent</v>
      </c>
    </row>
    <row r="1474" spans="1:30" x14ac:dyDescent="0.35">
      <c r="A1474">
        <v>1473</v>
      </c>
      <c r="B1474" s="2" t="s">
        <v>206</v>
      </c>
      <c r="C1474" t="s">
        <v>458</v>
      </c>
      <c r="D1474" t="str">
        <f>_xlfn.TEXTJOIN(" ",TRUE,Table1[[#This Row],[First 
Name]:[Last 
Name]])</f>
        <v>Christine Smith</v>
      </c>
      <c r="E1474" t="s">
        <v>2584</v>
      </c>
      <c r="F1474" t="s">
        <v>3245</v>
      </c>
      <c r="G1474" t="str">
        <f ca="1">PROPER(Table1[[#This Row],[Part Time 
Job]])</f>
        <v>False</v>
      </c>
      <c r="H1474" s="3">
        <v>4</v>
      </c>
      <c r="I1474" t="str">
        <f ca="1">PROPER(Table1[[#This Row],[Extracurricular 
Activities]])</f>
        <v>True</v>
      </c>
      <c r="J1474">
        <v>4</v>
      </c>
      <c r="K1474" t="s">
        <v>3115</v>
      </c>
      <c r="L1474">
        <v>79</v>
      </c>
      <c r="M1474" s="12" t="str" cm="1">
        <f t="array" ref="M147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474">
        <v>100</v>
      </c>
      <c r="O1474" s="13" t="str" cm="1">
        <f t="array" ref="O147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474">
        <v>75</v>
      </c>
      <c r="Q1474" s="13" t="str" cm="1">
        <f t="array" ref="Q147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474">
        <v>85</v>
      </c>
      <c r="S1474" t="str" cm="1">
        <f t="array" ref="S147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474">
        <v>100</v>
      </c>
      <c r="U1474" t="str" cm="1">
        <f t="array" ref="U147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474">
        <v>81</v>
      </c>
      <c r="W1474" t="str" cm="1">
        <f t="array" ref="W147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474">
        <v>64</v>
      </c>
      <c r="Y1474" t="str" cm="1">
        <f t="array" ref="Y147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474">
        <f>SUM(Table1[[#This Row],[Math 
Score]],Table1[[#This Row],[History 
Score]],Table1[[#This Row],[Physics 
Score]],Table1[[#This Row],[Chemistry 
Score]],Table1[[#This Row],[Biology 
Score]],Table1[[#This Row],[English 
Score]],Table1[[#This Row],[Geography 
Score]])</f>
        <v>584</v>
      </c>
      <c r="AA1474" s="3">
        <f>AVERAGE(Table1[[#This Row],[Math 
Score]],Table1[[#This Row],[History 
Score]],Table1[[#This Row],[Physics 
Score]],Table1[[#This Row],[Chemistry 
Score]],Table1[[#This Row],[Biology 
Score]],Table1[[#This Row],[English 
Score]],Table1[[#This Row],[Geography 
Score]])</f>
        <v>83.428571428571431</v>
      </c>
      <c r="AB147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474">
        <f t="shared" ref="AC1474:AC1537" si="23">RANK(AA1474,$AA$2:$AA$2001,0)</f>
        <v>635</v>
      </c>
      <c r="AD1474" t="str">
        <f>_xlfn.IFS(Table1[[#This Row],[Absence 
Days]]&lt;3,"Excellent",Table1[[#This Row],[Absence 
Days]]&lt;=6,"Good",Table1[[#This Row],[Absence 
Days]]&gt;6,"Poor")</f>
        <v>Good</v>
      </c>
    </row>
    <row r="1475" spans="1:30" x14ac:dyDescent="0.35">
      <c r="A1475">
        <v>1474</v>
      </c>
      <c r="B1475" s="2" t="s">
        <v>109</v>
      </c>
      <c r="C1475" t="s">
        <v>531</v>
      </c>
      <c r="D1475" t="str">
        <f>_xlfn.TEXTJOIN(" ",TRUE,Table1[[#This Row],[First 
Name]:[Last 
Name]])</f>
        <v>Mark Robinson</v>
      </c>
      <c r="E1475" t="s">
        <v>2585</v>
      </c>
      <c r="F1475" t="s">
        <v>3244</v>
      </c>
      <c r="G1475" t="str">
        <f ca="1">PROPER(Table1[[#This Row],[Part Time 
Job]])</f>
        <v>False</v>
      </c>
      <c r="H1475" s="3">
        <v>1</v>
      </c>
      <c r="I1475" t="str">
        <f ca="1">PROPER(Table1[[#This Row],[Extracurricular 
Activities]])</f>
        <v>False</v>
      </c>
      <c r="J1475">
        <v>11</v>
      </c>
      <c r="K1475" t="s">
        <v>3125</v>
      </c>
      <c r="L1475">
        <v>89</v>
      </c>
      <c r="M1475" s="12" t="str" cm="1">
        <f t="array" ref="M147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475">
        <v>70</v>
      </c>
      <c r="O1475" s="13" t="str" cm="1">
        <f t="array" ref="O147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475">
        <v>92</v>
      </c>
      <c r="Q1475" s="13" t="str" cm="1">
        <f t="array" ref="Q147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475">
        <v>100</v>
      </c>
      <c r="S1475" t="str" cm="1">
        <f t="array" ref="S147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475">
        <v>100</v>
      </c>
      <c r="U1475" t="str" cm="1">
        <f t="array" ref="U147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475">
        <v>95</v>
      </c>
      <c r="W1475" t="str" cm="1">
        <f t="array" ref="W147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475">
        <v>65</v>
      </c>
      <c r="Y1475" t="str" cm="1">
        <f t="array" ref="Y147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475">
        <f>SUM(Table1[[#This Row],[Math 
Score]],Table1[[#This Row],[History 
Score]],Table1[[#This Row],[Physics 
Score]],Table1[[#This Row],[Chemistry 
Score]],Table1[[#This Row],[Biology 
Score]],Table1[[#This Row],[English 
Score]],Table1[[#This Row],[Geography 
Score]])</f>
        <v>611</v>
      </c>
      <c r="AA1475" s="3">
        <f>AVERAGE(Table1[[#This Row],[Math 
Score]],Table1[[#This Row],[History 
Score]],Table1[[#This Row],[Physics 
Score]],Table1[[#This Row],[Chemistry 
Score]],Table1[[#This Row],[Biology 
Score]],Table1[[#This Row],[English 
Score]],Table1[[#This Row],[Geography 
Score]])</f>
        <v>87.285714285714292</v>
      </c>
      <c r="AB147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475">
        <f t="shared" si="23"/>
        <v>291</v>
      </c>
      <c r="AD1475" t="str">
        <f>_xlfn.IFS(Table1[[#This Row],[Absence 
Days]]&lt;3,"Excellent",Table1[[#This Row],[Absence 
Days]]&lt;=6,"Good",Table1[[#This Row],[Absence 
Days]]&gt;6,"Poor")</f>
        <v>Excellent</v>
      </c>
    </row>
    <row r="1476" spans="1:30" x14ac:dyDescent="0.35">
      <c r="A1476">
        <v>1475</v>
      </c>
      <c r="B1476" s="2" t="s">
        <v>131</v>
      </c>
      <c r="C1476" t="s">
        <v>1022</v>
      </c>
      <c r="D1476" t="str">
        <f>_xlfn.TEXTJOIN(" ",TRUE,Table1[[#This Row],[First 
Name]:[Last 
Name]])</f>
        <v>Joan Estrada</v>
      </c>
      <c r="E1476" t="s">
        <v>2586</v>
      </c>
      <c r="F1476" t="s">
        <v>3245</v>
      </c>
      <c r="G1476" t="str">
        <f ca="1">PROPER(Table1[[#This Row],[Part Time 
Job]])</f>
        <v>False</v>
      </c>
      <c r="H1476" s="3">
        <v>3</v>
      </c>
      <c r="I1476" t="str">
        <f ca="1">PROPER(Table1[[#This Row],[Extracurricular 
Activities]])</f>
        <v>False</v>
      </c>
      <c r="J1476">
        <v>15</v>
      </c>
      <c r="K1476" t="s">
        <v>3118</v>
      </c>
      <c r="L1476">
        <v>77</v>
      </c>
      <c r="M1476" s="12" t="str" cm="1">
        <f t="array" ref="M147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476">
        <v>73</v>
      </c>
      <c r="O1476" s="13" t="str" cm="1">
        <f t="array" ref="O147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476">
        <v>67</v>
      </c>
      <c r="Q1476" s="13" t="str" cm="1">
        <f t="array" ref="Q147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476">
        <v>67</v>
      </c>
      <c r="S1476" t="str" cm="1">
        <f t="array" ref="S147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476">
        <v>88</v>
      </c>
      <c r="U1476" t="str" cm="1">
        <f t="array" ref="U147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476">
        <v>89</v>
      </c>
      <c r="W1476" t="str" cm="1">
        <f t="array" ref="W147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476">
        <v>99</v>
      </c>
      <c r="Y1476" t="str" cm="1">
        <f t="array" ref="Y147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476">
        <f>SUM(Table1[[#This Row],[Math 
Score]],Table1[[#This Row],[History 
Score]],Table1[[#This Row],[Physics 
Score]],Table1[[#This Row],[Chemistry 
Score]],Table1[[#This Row],[Biology 
Score]],Table1[[#This Row],[English 
Score]],Table1[[#This Row],[Geography 
Score]])</f>
        <v>560</v>
      </c>
      <c r="AA1476" s="3">
        <f>AVERAGE(Table1[[#This Row],[Math 
Score]],Table1[[#This Row],[History 
Score]],Table1[[#This Row],[Physics 
Score]],Table1[[#This Row],[Chemistry 
Score]],Table1[[#This Row],[Biology 
Score]],Table1[[#This Row],[English 
Score]],Table1[[#This Row],[Geography 
Score]])</f>
        <v>80</v>
      </c>
      <c r="AB147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476">
        <f t="shared" si="23"/>
        <v>1134</v>
      </c>
      <c r="AD1476" t="str">
        <f>_xlfn.IFS(Table1[[#This Row],[Absence 
Days]]&lt;3,"Excellent",Table1[[#This Row],[Absence 
Days]]&lt;=6,"Good",Table1[[#This Row],[Absence 
Days]]&gt;6,"Poor")</f>
        <v>Good</v>
      </c>
    </row>
    <row r="1477" spans="1:30" x14ac:dyDescent="0.35">
      <c r="A1477">
        <v>1476</v>
      </c>
      <c r="B1477" s="2" t="s">
        <v>411</v>
      </c>
      <c r="C1477" t="s">
        <v>504</v>
      </c>
      <c r="D1477" t="str">
        <f>_xlfn.TEXTJOIN(" ",TRUE,Table1[[#This Row],[First 
Name]:[Last 
Name]])</f>
        <v>Shelby Lewis</v>
      </c>
      <c r="E1477" t="s">
        <v>2587</v>
      </c>
      <c r="F1477" t="s">
        <v>3245</v>
      </c>
      <c r="G1477" t="str">
        <f ca="1">PROPER(Table1[[#This Row],[Part Time 
Job]])</f>
        <v>False</v>
      </c>
      <c r="H1477" s="3">
        <v>1</v>
      </c>
      <c r="I1477" t="str">
        <f ca="1">PROPER(Table1[[#This Row],[Extracurricular 
Activities]])</f>
        <v>True</v>
      </c>
      <c r="J1477">
        <v>16</v>
      </c>
      <c r="K1477" t="s">
        <v>3121</v>
      </c>
      <c r="L1477">
        <v>95</v>
      </c>
      <c r="M1477" s="12" t="str" cm="1">
        <f t="array" ref="M147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477">
        <v>79</v>
      </c>
      <c r="O1477" s="13" t="str" cm="1">
        <f t="array" ref="O147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477">
        <v>85</v>
      </c>
      <c r="Q1477" s="13" t="str" cm="1">
        <f t="array" ref="Q147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477">
        <v>73</v>
      </c>
      <c r="S1477" t="str" cm="1">
        <f t="array" ref="S147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477">
        <v>74</v>
      </c>
      <c r="U1477" t="str" cm="1">
        <f t="array" ref="U147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477">
        <v>86</v>
      </c>
      <c r="W1477" t="str" cm="1">
        <f t="array" ref="W147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477">
        <v>68</v>
      </c>
      <c r="Y1477" t="str" cm="1">
        <f t="array" ref="Y147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477">
        <f>SUM(Table1[[#This Row],[Math 
Score]],Table1[[#This Row],[History 
Score]],Table1[[#This Row],[Physics 
Score]],Table1[[#This Row],[Chemistry 
Score]],Table1[[#This Row],[Biology 
Score]],Table1[[#This Row],[English 
Score]],Table1[[#This Row],[Geography 
Score]])</f>
        <v>560</v>
      </c>
      <c r="AA1477" s="3">
        <f>AVERAGE(Table1[[#This Row],[Math 
Score]],Table1[[#This Row],[History 
Score]],Table1[[#This Row],[Physics 
Score]],Table1[[#This Row],[Chemistry 
Score]],Table1[[#This Row],[Biology 
Score]],Table1[[#This Row],[English 
Score]],Table1[[#This Row],[Geography 
Score]])</f>
        <v>80</v>
      </c>
      <c r="AB147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477">
        <f t="shared" si="23"/>
        <v>1134</v>
      </c>
      <c r="AD1477" t="str">
        <f>_xlfn.IFS(Table1[[#This Row],[Absence 
Days]]&lt;3,"Excellent",Table1[[#This Row],[Absence 
Days]]&lt;=6,"Good",Table1[[#This Row],[Absence 
Days]]&gt;6,"Poor")</f>
        <v>Excellent</v>
      </c>
    </row>
    <row r="1478" spans="1:30" x14ac:dyDescent="0.35">
      <c r="A1478">
        <v>1477</v>
      </c>
      <c r="B1478" s="2" t="s">
        <v>89</v>
      </c>
      <c r="C1478" t="s">
        <v>475</v>
      </c>
      <c r="D1478" t="str">
        <f>_xlfn.TEXTJOIN(" ",TRUE,Table1[[#This Row],[First 
Name]:[Last 
Name]])</f>
        <v>Joshua Williams</v>
      </c>
      <c r="E1478" t="s">
        <v>2588</v>
      </c>
      <c r="F1478" t="s">
        <v>3244</v>
      </c>
      <c r="G1478" t="str">
        <f ca="1">PROPER(Table1[[#This Row],[Part Time 
Job]])</f>
        <v>False</v>
      </c>
      <c r="H1478" s="3">
        <v>10</v>
      </c>
      <c r="I1478" t="str">
        <f ca="1">PROPER(Table1[[#This Row],[Extracurricular 
Activities]])</f>
        <v>True</v>
      </c>
      <c r="J1478">
        <v>5</v>
      </c>
      <c r="K1478" t="s">
        <v>3119</v>
      </c>
      <c r="L1478">
        <v>63</v>
      </c>
      <c r="M1478" s="12" t="str" cm="1">
        <f t="array" ref="M1478">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478">
        <v>54</v>
      </c>
      <c r="O1478" s="13" t="str" cm="1">
        <f t="array" ref="O147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C</v>
      </c>
      <c r="P1478">
        <v>57</v>
      </c>
      <c r="Q1478" s="13" t="str" cm="1">
        <f t="array" ref="Q147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C</v>
      </c>
      <c r="R1478">
        <v>51</v>
      </c>
      <c r="S1478" t="str" cm="1">
        <f t="array" ref="S147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C</v>
      </c>
      <c r="T1478">
        <v>63</v>
      </c>
      <c r="U1478" t="str" cm="1">
        <f t="array" ref="U147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478">
        <v>88</v>
      </c>
      <c r="W1478" t="str" cm="1">
        <f t="array" ref="W147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478">
        <v>83</v>
      </c>
      <c r="Y1478" t="str" cm="1">
        <f t="array" ref="Y147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478">
        <f>SUM(Table1[[#This Row],[Math 
Score]],Table1[[#This Row],[History 
Score]],Table1[[#This Row],[Physics 
Score]],Table1[[#This Row],[Chemistry 
Score]],Table1[[#This Row],[Biology 
Score]],Table1[[#This Row],[English 
Score]],Table1[[#This Row],[Geography 
Score]])</f>
        <v>459</v>
      </c>
      <c r="AA1478" s="3">
        <f>AVERAGE(Table1[[#This Row],[Math 
Score]],Table1[[#This Row],[History 
Score]],Table1[[#This Row],[Physics 
Score]],Table1[[#This Row],[Chemistry 
Score]],Table1[[#This Row],[Biology 
Score]],Table1[[#This Row],[English 
Score]],Table1[[#This Row],[Geography 
Score]])</f>
        <v>65.571428571428569</v>
      </c>
      <c r="AB147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478">
        <f t="shared" si="23"/>
        <v>1981</v>
      </c>
      <c r="AD1478" t="str">
        <f>_xlfn.IFS(Table1[[#This Row],[Absence 
Days]]&lt;3,"Excellent",Table1[[#This Row],[Absence 
Days]]&lt;=6,"Good",Table1[[#This Row],[Absence 
Days]]&gt;6,"Poor")</f>
        <v>Poor</v>
      </c>
    </row>
    <row r="1479" spans="1:30" x14ac:dyDescent="0.35">
      <c r="A1479">
        <v>1478</v>
      </c>
      <c r="B1479" s="2" t="s">
        <v>29</v>
      </c>
      <c r="C1479" t="s">
        <v>486</v>
      </c>
      <c r="D1479" t="str">
        <f>_xlfn.TEXTJOIN(" ",TRUE,Table1[[#This Row],[First 
Name]:[Last 
Name]])</f>
        <v>Cynthia Martinez</v>
      </c>
      <c r="E1479" t="s">
        <v>2589</v>
      </c>
      <c r="F1479" t="s">
        <v>3245</v>
      </c>
      <c r="G1479" t="str">
        <f ca="1">PROPER(Table1[[#This Row],[Part Time 
Job]])</f>
        <v>False</v>
      </c>
      <c r="H1479" s="3">
        <v>1</v>
      </c>
      <c r="I1479" t="str">
        <f ca="1">PROPER(Table1[[#This Row],[Extracurricular 
Activities]])</f>
        <v>True</v>
      </c>
      <c r="J1479">
        <v>26</v>
      </c>
      <c r="K1479" t="s">
        <v>3117</v>
      </c>
      <c r="L1479">
        <v>98</v>
      </c>
      <c r="M1479" s="12" t="str" cm="1">
        <f t="array" ref="M147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479">
        <v>85</v>
      </c>
      <c r="O1479" s="13" t="str" cm="1">
        <f t="array" ref="O147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479">
        <v>95</v>
      </c>
      <c r="Q1479" s="13" t="str" cm="1">
        <f t="array" ref="Q147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479">
        <v>92</v>
      </c>
      <c r="S1479" t="str" cm="1">
        <f t="array" ref="S147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479">
        <v>74</v>
      </c>
      <c r="U1479" t="str" cm="1">
        <f t="array" ref="U147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479">
        <v>79</v>
      </c>
      <c r="W1479" t="str" cm="1">
        <f t="array" ref="W147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479">
        <v>63</v>
      </c>
      <c r="Y1479" t="str" cm="1">
        <f t="array" ref="Y147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479">
        <f>SUM(Table1[[#This Row],[Math 
Score]],Table1[[#This Row],[History 
Score]],Table1[[#This Row],[Physics 
Score]],Table1[[#This Row],[Chemistry 
Score]],Table1[[#This Row],[Biology 
Score]],Table1[[#This Row],[English 
Score]],Table1[[#This Row],[Geography 
Score]])</f>
        <v>586</v>
      </c>
      <c r="AA1479" s="3">
        <f>AVERAGE(Table1[[#This Row],[Math 
Score]],Table1[[#This Row],[History 
Score]],Table1[[#This Row],[Physics 
Score]],Table1[[#This Row],[Chemistry 
Score]],Table1[[#This Row],[Biology 
Score]],Table1[[#This Row],[English 
Score]],Table1[[#This Row],[Geography 
Score]])</f>
        <v>83.714285714285708</v>
      </c>
      <c r="AB147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479">
        <f t="shared" si="23"/>
        <v>601</v>
      </c>
      <c r="AD1479" t="str">
        <f>_xlfn.IFS(Table1[[#This Row],[Absence 
Days]]&lt;3,"Excellent",Table1[[#This Row],[Absence 
Days]]&lt;=6,"Good",Table1[[#This Row],[Absence 
Days]]&gt;6,"Poor")</f>
        <v>Excellent</v>
      </c>
    </row>
    <row r="1480" spans="1:30" x14ac:dyDescent="0.35">
      <c r="A1480">
        <v>1479</v>
      </c>
      <c r="B1480" s="2" t="s">
        <v>167</v>
      </c>
      <c r="C1480" t="s">
        <v>1023</v>
      </c>
      <c r="D1480" t="str">
        <f>_xlfn.TEXTJOIN(" ",TRUE,Table1[[#This Row],[First 
Name]:[Last 
Name]])</f>
        <v>Kevin Holt</v>
      </c>
      <c r="E1480" t="s">
        <v>2590</v>
      </c>
      <c r="F1480" t="s">
        <v>3244</v>
      </c>
      <c r="G1480" t="str">
        <f ca="1">PROPER(Table1[[#This Row],[Part Time 
Job]])</f>
        <v>False</v>
      </c>
      <c r="H1480" s="3">
        <v>2</v>
      </c>
      <c r="I1480" t="str">
        <f ca="1">PROPER(Table1[[#This Row],[Extracurricular 
Activities]])</f>
        <v>False</v>
      </c>
      <c r="J1480">
        <v>29</v>
      </c>
      <c r="K1480" t="s">
        <v>3116</v>
      </c>
      <c r="L1480">
        <v>76</v>
      </c>
      <c r="M1480" s="12" t="str" cm="1">
        <f t="array" ref="M148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480">
        <v>81</v>
      </c>
      <c r="O1480" s="13" t="str" cm="1">
        <f t="array" ref="O148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480">
        <v>69</v>
      </c>
      <c r="Q1480" s="13" t="str" cm="1">
        <f t="array" ref="Q148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480">
        <v>87</v>
      </c>
      <c r="S1480" t="str" cm="1">
        <f t="array" ref="S148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480">
        <v>60</v>
      </c>
      <c r="U1480" t="str" cm="1">
        <f t="array" ref="U148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480">
        <v>93</v>
      </c>
      <c r="W1480" t="str" cm="1">
        <f t="array" ref="W148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480">
        <v>62</v>
      </c>
      <c r="Y1480" t="str" cm="1">
        <f t="array" ref="Y148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480">
        <f>SUM(Table1[[#This Row],[Math 
Score]],Table1[[#This Row],[History 
Score]],Table1[[#This Row],[Physics 
Score]],Table1[[#This Row],[Chemistry 
Score]],Table1[[#This Row],[Biology 
Score]],Table1[[#This Row],[English 
Score]],Table1[[#This Row],[Geography 
Score]])</f>
        <v>528</v>
      </c>
      <c r="AA1480" s="3">
        <f>AVERAGE(Table1[[#This Row],[Math 
Score]],Table1[[#This Row],[History 
Score]],Table1[[#This Row],[Physics 
Score]],Table1[[#This Row],[Chemistry 
Score]],Table1[[#This Row],[Biology 
Score]],Table1[[#This Row],[English 
Score]],Table1[[#This Row],[Geography 
Score]])</f>
        <v>75.428571428571431</v>
      </c>
      <c r="AB148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480">
        <f t="shared" si="23"/>
        <v>1678</v>
      </c>
      <c r="AD1480" t="str">
        <f>_xlfn.IFS(Table1[[#This Row],[Absence 
Days]]&lt;3,"Excellent",Table1[[#This Row],[Absence 
Days]]&lt;=6,"Good",Table1[[#This Row],[Absence 
Days]]&gt;6,"Poor")</f>
        <v>Excellent</v>
      </c>
    </row>
    <row r="1481" spans="1:30" x14ac:dyDescent="0.35">
      <c r="A1481">
        <v>1480</v>
      </c>
      <c r="B1481" s="2" t="s">
        <v>102</v>
      </c>
      <c r="C1481" t="s">
        <v>1024</v>
      </c>
      <c r="D1481" t="str">
        <f>_xlfn.TEXTJOIN(" ",TRUE,Table1[[#This Row],[First 
Name]:[Last 
Name]])</f>
        <v>Jessica Nolan</v>
      </c>
      <c r="E1481" t="s">
        <v>2591</v>
      </c>
      <c r="F1481" t="s">
        <v>3245</v>
      </c>
      <c r="G1481" t="str">
        <f ca="1">PROPER(Table1[[#This Row],[Part Time 
Job]])</f>
        <v>False</v>
      </c>
      <c r="H1481" s="3">
        <v>10</v>
      </c>
      <c r="I1481" t="str">
        <f ca="1">PROPER(Table1[[#This Row],[Extracurricular 
Activities]])</f>
        <v>False</v>
      </c>
      <c r="J1481">
        <v>3</v>
      </c>
      <c r="K1481" t="s">
        <v>3119</v>
      </c>
      <c r="L1481">
        <v>40</v>
      </c>
      <c r="M1481" s="12" t="str" cm="1">
        <f t="array" ref="M1481">_xlfn.IFS(Table1[[#This Row],[Math 
Score]]&gt;=90,"A+",Table1[[#This Row],[Math 
Score]]&gt;=80,"A", Table1[[#This Row],[Math 
Score]]&gt;=75,"A-",Table1[[#This Row],[Math 
Score]]&gt;=70,"B+",Table1[[#This Row],[Math 
Score]]&gt;=65,"B",Table1[[#This Row],[Math 
Score]]&gt;=60,"B-",Table1[[#This Row],[Math 
Score]]&gt;=50,"C",Table1[[#This Row],[Math 
Score]]&gt;=40,"D",Table1[[#This Row],[Math 
Score]]&lt;40,"F")</f>
        <v>D</v>
      </c>
      <c r="N1481">
        <v>81</v>
      </c>
      <c r="O1481" s="13" t="str" cm="1">
        <f t="array" ref="O148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481">
        <v>54</v>
      </c>
      <c r="Q1481" s="13" t="str" cm="1">
        <f t="array" ref="Q148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C</v>
      </c>
      <c r="R1481">
        <v>70</v>
      </c>
      <c r="S1481" t="str" cm="1">
        <f t="array" ref="S148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481">
        <v>53</v>
      </c>
      <c r="U1481" t="str" cm="1">
        <f t="array" ref="U148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C</v>
      </c>
      <c r="V1481">
        <v>98</v>
      </c>
      <c r="W1481" t="str" cm="1">
        <f t="array" ref="W148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481">
        <v>61</v>
      </c>
      <c r="Y1481" t="str" cm="1">
        <f t="array" ref="Y148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481">
        <f>SUM(Table1[[#This Row],[Math 
Score]],Table1[[#This Row],[History 
Score]],Table1[[#This Row],[Physics 
Score]],Table1[[#This Row],[Chemistry 
Score]],Table1[[#This Row],[Biology 
Score]],Table1[[#This Row],[English 
Score]],Table1[[#This Row],[Geography 
Score]])</f>
        <v>457</v>
      </c>
      <c r="AA1481" s="3">
        <f>AVERAGE(Table1[[#This Row],[Math 
Score]],Table1[[#This Row],[History 
Score]],Table1[[#This Row],[Physics 
Score]],Table1[[#This Row],[Chemistry 
Score]],Table1[[#This Row],[Biology 
Score]],Table1[[#This Row],[English 
Score]],Table1[[#This Row],[Geography 
Score]])</f>
        <v>65.285714285714292</v>
      </c>
      <c r="AB148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481">
        <f t="shared" si="23"/>
        <v>1986</v>
      </c>
      <c r="AD1481" t="str">
        <f>_xlfn.IFS(Table1[[#This Row],[Absence 
Days]]&lt;3,"Excellent",Table1[[#This Row],[Absence 
Days]]&lt;=6,"Good",Table1[[#This Row],[Absence 
Days]]&gt;6,"Poor")</f>
        <v>Poor</v>
      </c>
    </row>
    <row r="1482" spans="1:30" x14ac:dyDescent="0.35">
      <c r="A1482">
        <v>1481</v>
      </c>
      <c r="B1482" s="2" t="s">
        <v>30</v>
      </c>
      <c r="C1482" t="s">
        <v>874</v>
      </c>
      <c r="D1482" t="str">
        <f>_xlfn.TEXTJOIN(" ",TRUE,Table1[[#This Row],[First 
Name]:[Last 
Name]])</f>
        <v>Timothy Fowler</v>
      </c>
      <c r="E1482" t="s">
        <v>2592</v>
      </c>
      <c r="F1482" t="s">
        <v>3244</v>
      </c>
      <c r="G1482" t="str">
        <f ca="1">PROPER(Table1[[#This Row],[Part Time 
Job]])</f>
        <v>False</v>
      </c>
      <c r="H1482" s="3">
        <v>4</v>
      </c>
      <c r="I1482" t="str">
        <f ca="1">PROPER(Table1[[#This Row],[Extracurricular 
Activities]])</f>
        <v>True</v>
      </c>
      <c r="J1482">
        <v>32</v>
      </c>
      <c r="K1482" t="s">
        <v>3117</v>
      </c>
      <c r="L1482">
        <v>89</v>
      </c>
      <c r="M1482" s="12" t="str" cm="1">
        <f t="array" ref="M148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482">
        <v>84</v>
      </c>
      <c r="O1482" s="13" t="str" cm="1">
        <f t="array" ref="O148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482">
        <v>84</v>
      </c>
      <c r="Q1482" s="13" t="str" cm="1">
        <f t="array" ref="Q148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482">
        <v>100</v>
      </c>
      <c r="S1482" t="str" cm="1">
        <f t="array" ref="S148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482">
        <v>77</v>
      </c>
      <c r="U1482" t="str" cm="1">
        <f t="array" ref="U148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482">
        <v>62</v>
      </c>
      <c r="W1482" t="str" cm="1">
        <f t="array" ref="W148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482">
        <v>69</v>
      </c>
      <c r="Y1482" t="str" cm="1">
        <f t="array" ref="Y148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482">
        <f>SUM(Table1[[#This Row],[Math 
Score]],Table1[[#This Row],[History 
Score]],Table1[[#This Row],[Physics 
Score]],Table1[[#This Row],[Chemistry 
Score]],Table1[[#This Row],[Biology 
Score]],Table1[[#This Row],[English 
Score]],Table1[[#This Row],[Geography 
Score]])</f>
        <v>565</v>
      </c>
      <c r="AA1482" s="3">
        <f>AVERAGE(Table1[[#This Row],[Math 
Score]],Table1[[#This Row],[History 
Score]],Table1[[#This Row],[Physics 
Score]],Table1[[#This Row],[Chemistry 
Score]],Table1[[#This Row],[Biology 
Score]],Table1[[#This Row],[English 
Score]],Table1[[#This Row],[Geography 
Score]])</f>
        <v>80.714285714285708</v>
      </c>
      <c r="AB148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482">
        <f t="shared" si="23"/>
        <v>1035</v>
      </c>
      <c r="AD1482" t="str">
        <f>_xlfn.IFS(Table1[[#This Row],[Absence 
Days]]&lt;3,"Excellent",Table1[[#This Row],[Absence 
Days]]&lt;=6,"Good",Table1[[#This Row],[Absence 
Days]]&gt;6,"Poor")</f>
        <v>Good</v>
      </c>
    </row>
    <row r="1483" spans="1:30" x14ac:dyDescent="0.35">
      <c r="A1483">
        <v>1482</v>
      </c>
      <c r="B1483" s="2" t="s">
        <v>146</v>
      </c>
      <c r="C1483" t="s">
        <v>1025</v>
      </c>
      <c r="D1483" t="str">
        <f>_xlfn.TEXTJOIN(" ",TRUE,Table1[[#This Row],[First 
Name]:[Last 
Name]])</f>
        <v>Samantha Ibarra</v>
      </c>
      <c r="E1483" t="s">
        <v>2593</v>
      </c>
      <c r="F1483" t="s">
        <v>3245</v>
      </c>
      <c r="G1483" t="str">
        <f ca="1">PROPER(Table1[[#This Row],[Part Time 
Job]])</f>
        <v>False</v>
      </c>
      <c r="H1483" s="3">
        <v>5</v>
      </c>
      <c r="I1483" t="str">
        <f ca="1">PROPER(Table1[[#This Row],[Extracurricular 
Activities]])</f>
        <v>False</v>
      </c>
      <c r="J1483">
        <v>24</v>
      </c>
      <c r="K1483" t="s">
        <v>3113</v>
      </c>
      <c r="L1483">
        <v>86</v>
      </c>
      <c r="M1483" s="12" t="str" cm="1">
        <f t="array" ref="M148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483">
        <v>75</v>
      </c>
      <c r="O1483" s="13" t="str" cm="1">
        <f t="array" ref="O148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483">
        <v>97</v>
      </c>
      <c r="Q1483" s="13" t="str" cm="1">
        <f t="array" ref="Q148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483">
        <v>93</v>
      </c>
      <c r="S1483" t="str" cm="1">
        <f t="array" ref="S148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483">
        <v>88</v>
      </c>
      <c r="U1483" t="str" cm="1">
        <f t="array" ref="U148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483">
        <v>74</v>
      </c>
      <c r="W1483" t="str" cm="1">
        <f t="array" ref="W148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483">
        <v>97</v>
      </c>
      <c r="Y1483" t="str" cm="1">
        <f t="array" ref="Y148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483">
        <f>SUM(Table1[[#This Row],[Math 
Score]],Table1[[#This Row],[History 
Score]],Table1[[#This Row],[Physics 
Score]],Table1[[#This Row],[Chemistry 
Score]],Table1[[#This Row],[Biology 
Score]],Table1[[#This Row],[English 
Score]],Table1[[#This Row],[Geography 
Score]])</f>
        <v>610</v>
      </c>
      <c r="AA1483" s="3">
        <f>AVERAGE(Table1[[#This Row],[Math 
Score]],Table1[[#This Row],[History 
Score]],Table1[[#This Row],[Physics 
Score]],Table1[[#This Row],[Chemistry 
Score]],Table1[[#This Row],[Biology 
Score]],Table1[[#This Row],[English 
Score]],Table1[[#This Row],[Geography 
Score]])</f>
        <v>87.142857142857139</v>
      </c>
      <c r="AB148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483">
        <f t="shared" si="23"/>
        <v>298</v>
      </c>
      <c r="AD1483" t="str">
        <f>_xlfn.IFS(Table1[[#This Row],[Absence 
Days]]&lt;3,"Excellent",Table1[[#This Row],[Absence 
Days]]&lt;=6,"Good",Table1[[#This Row],[Absence 
Days]]&gt;6,"Poor")</f>
        <v>Good</v>
      </c>
    </row>
    <row r="1484" spans="1:30" x14ac:dyDescent="0.35">
      <c r="A1484">
        <v>1483</v>
      </c>
      <c r="B1484" s="2" t="s">
        <v>54</v>
      </c>
      <c r="C1484" t="s">
        <v>776</v>
      </c>
      <c r="D1484" t="str">
        <f>_xlfn.TEXTJOIN(" ",TRUE,Table1[[#This Row],[First 
Name]:[Last 
Name]])</f>
        <v>Michelle Guerrero</v>
      </c>
      <c r="E1484" t="s">
        <v>2594</v>
      </c>
      <c r="F1484" t="s">
        <v>3245</v>
      </c>
      <c r="G1484" t="str">
        <f ca="1">PROPER(Table1[[#This Row],[Part Time 
Job]])</f>
        <v>False</v>
      </c>
      <c r="H1484" s="3">
        <v>3</v>
      </c>
      <c r="I1484" t="str">
        <f ca="1">PROPER(Table1[[#This Row],[Extracurricular 
Activities]])</f>
        <v>True</v>
      </c>
      <c r="J1484">
        <v>20</v>
      </c>
      <c r="K1484" t="s">
        <v>3117</v>
      </c>
      <c r="L1484">
        <v>99</v>
      </c>
      <c r="M1484" s="12" t="str" cm="1">
        <f t="array" ref="M148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484">
        <v>77</v>
      </c>
      <c r="O1484" s="13" t="str" cm="1">
        <f t="array" ref="O148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484">
        <v>60</v>
      </c>
      <c r="Q1484" s="13" t="str" cm="1">
        <f t="array" ref="Q148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484">
        <v>99</v>
      </c>
      <c r="S1484" t="str" cm="1">
        <f t="array" ref="S148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484">
        <v>100</v>
      </c>
      <c r="U1484" t="str" cm="1">
        <f t="array" ref="U148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484">
        <v>83</v>
      </c>
      <c r="W1484" t="str" cm="1">
        <f t="array" ref="W148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484">
        <v>72</v>
      </c>
      <c r="Y1484" t="str" cm="1">
        <f t="array" ref="Y148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484">
        <f>SUM(Table1[[#This Row],[Math 
Score]],Table1[[#This Row],[History 
Score]],Table1[[#This Row],[Physics 
Score]],Table1[[#This Row],[Chemistry 
Score]],Table1[[#This Row],[Biology 
Score]],Table1[[#This Row],[English 
Score]],Table1[[#This Row],[Geography 
Score]])</f>
        <v>590</v>
      </c>
      <c r="AA1484" s="3">
        <f>AVERAGE(Table1[[#This Row],[Math 
Score]],Table1[[#This Row],[History 
Score]],Table1[[#This Row],[Physics 
Score]],Table1[[#This Row],[Chemistry 
Score]],Table1[[#This Row],[Biology 
Score]],Table1[[#This Row],[English 
Score]],Table1[[#This Row],[Geography 
Score]])</f>
        <v>84.285714285714292</v>
      </c>
      <c r="AB148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484">
        <f t="shared" si="23"/>
        <v>531</v>
      </c>
      <c r="AD1484" t="str">
        <f>_xlfn.IFS(Table1[[#This Row],[Absence 
Days]]&lt;3,"Excellent",Table1[[#This Row],[Absence 
Days]]&lt;=6,"Good",Table1[[#This Row],[Absence 
Days]]&gt;6,"Poor")</f>
        <v>Good</v>
      </c>
    </row>
    <row r="1485" spans="1:30" x14ac:dyDescent="0.35">
      <c r="A1485">
        <v>1484</v>
      </c>
      <c r="B1485" s="2" t="s">
        <v>237</v>
      </c>
      <c r="C1485" t="s">
        <v>1026</v>
      </c>
      <c r="D1485" t="str">
        <f>_xlfn.TEXTJOIN(" ",TRUE,Table1[[#This Row],[First 
Name]:[Last 
Name]])</f>
        <v>Stephanie Pineda</v>
      </c>
      <c r="E1485" t="s">
        <v>2595</v>
      </c>
      <c r="F1485" t="s">
        <v>3245</v>
      </c>
      <c r="G1485" t="str">
        <f ca="1">PROPER(Table1[[#This Row],[Part Time 
Job]])</f>
        <v>True</v>
      </c>
      <c r="H1485" s="3">
        <v>5</v>
      </c>
      <c r="I1485" t="str">
        <f ca="1">PROPER(Table1[[#This Row],[Extracurricular 
Activities]])</f>
        <v>True</v>
      </c>
      <c r="J1485">
        <v>1</v>
      </c>
      <c r="K1485" t="s">
        <v>3119</v>
      </c>
      <c r="L1485">
        <v>67</v>
      </c>
      <c r="M1485" s="12" t="str" cm="1">
        <f t="array" ref="M1485">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485">
        <v>61</v>
      </c>
      <c r="O1485" s="13" t="str" cm="1">
        <f t="array" ref="O148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485">
        <v>61</v>
      </c>
      <c r="Q1485" s="13" t="str" cm="1">
        <f t="array" ref="Q148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485">
        <v>82</v>
      </c>
      <c r="S1485" t="str" cm="1">
        <f t="array" ref="S148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485">
        <v>69</v>
      </c>
      <c r="U1485" t="str" cm="1">
        <f t="array" ref="U148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485">
        <v>87</v>
      </c>
      <c r="W1485" t="str" cm="1">
        <f t="array" ref="W148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485">
        <v>97</v>
      </c>
      <c r="Y1485" t="str" cm="1">
        <f t="array" ref="Y148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485">
        <f>SUM(Table1[[#This Row],[Math 
Score]],Table1[[#This Row],[History 
Score]],Table1[[#This Row],[Physics 
Score]],Table1[[#This Row],[Chemistry 
Score]],Table1[[#This Row],[Biology 
Score]],Table1[[#This Row],[English 
Score]],Table1[[#This Row],[Geography 
Score]])</f>
        <v>524</v>
      </c>
      <c r="AA1485" s="3">
        <f>AVERAGE(Table1[[#This Row],[Math 
Score]],Table1[[#This Row],[History 
Score]],Table1[[#This Row],[Physics 
Score]],Table1[[#This Row],[Chemistry 
Score]],Table1[[#This Row],[Biology 
Score]],Table1[[#This Row],[English 
Score]],Table1[[#This Row],[Geography 
Score]])</f>
        <v>74.857142857142861</v>
      </c>
      <c r="AB148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485">
        <f t="shared" si="23"/>
        <v>1715</v>
      </c>
      <c r="AD1485" t="str">
        <f>_xlfn.IFS(Table1[[#This Row],[Absence 
Days]]&lt;3,"Excellent",Table1[[#This Row],[Absence 
Days]]&lt;=6,"Good",Table1[[#This Row],[Absence 
Days]]&gt;6,"Poor")</f>
        <v>Good</v>
      </c>
    </row>
    <row r="1486" spans="1:30" x14ac:dyDescent="0.35">
      <c r="A1486">
        <v>1485</v>
      </c>
      <c r="B1486" s="2" t="s">
        <v>279</v>
      </c>
      <c r="C1486" t="s">
        <v>1027</v>
      </c>
      <c r="D1486" t="str">
        <f>_xlfn.TEXTJOIN(" ",TRUE,Table1[[#This Row],[First 
Name]:[Last 
Name]])</f>
        <v>Philip Blair</v>
      </c>
      <c r="E1486" t="s">
        <v>2596</v>
      </c>
      <c r="F1486" t="s">
        <v>3244</v>
      </c>
      <c r="G1486" t="str">
        <f ca="1">PROPER(Table1[[#This Row],[Part Time 
Job]])</f>
        <v>False</v>
      </c>
      <c r="H1486" s="3">
        <v>9</v>
      </c>
      <c r="I1486" t="str">
        <f ca="1">PROPER(Table1[[#This Row],[Extracurricular 
Activities]])</f>
        <v>False</v>
      </c>
      <c r="J1486">
        <v>0</v>
      </c>
      <c r="K1486" t="s">
        <v>3119</v>
      </c>
      <c r="L1486">
        <v>43</v>
      </c>
      <c r="M1486" s="12" t="str" cm="1">
        <f t="array" ref="M1486">_xlfn.IFS(Table1[[#This Row],[Math 
Score]]&gt;=90,"A+",Table1[[#This Row],[Math 
Score]]&gt;=80,"A", Table1[[#This Row],[Math 
Score]]&gt;=75,"A-",Table1[[#This Row],[Math 
Score]]&gt;=70,"B+",Table1[[#This Row],[Math 
Score]]&gt;=65,"B",Table1[[#This Row],[Math 
Score]]&gt;=60,"B-",Table1[[#This Row],[Math 
Score]]&gt;=50,"C",Table1[[#This Row],[Math 
Score]]&gt;=40,"D",Table1[[#This Row],[Math 
Score]]&lt;40,"F")</f>
        <v>D</v>
      </c>
      <c r="N1486">
        <v>87</v>
      </c>
      <c r="O1486" s="13" t="str" cm="1">
        <f t="array" ref="O148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486">
        <v>81</v>
      </c>
      <c r="Q1486" s="13" t="str" cm="1">
        <f t="array" ref="Q148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486">
        <v>61</v>
      </c>
      <c r="S1486" t="str" cm="1">
        <f t="array" ref="S148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486">
        <v>65</v>
      </c>
      <c r="U1486" t="str" cm="1">
        <f t="array" ref="U148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486">
        <v>53</v>
      </c>
      <c r="W1486" t="str" cm="1">
        <f t="array" ref="W148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C</v>
      </c>
      <c r="X1486">
        <v>84</v>
      </c>
      <c r="Y1486" t="str" cm="1">
        <f t="array" ref="Y148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486">
        <f>SUM(Table1[[#This Row],[Math 
Score]],Table1[[#This Row],[History 
Score]],Table1[[#This Row],[Physics 
Score]],Table1[[#This Row],[Chemistry 
Score]],Table1[[#This Row],[Biology 
Score]],Table1[[#This Row],[English 
Score]],Table1[[#This Row],[Geography 
Score]])</f>
        <v>474</v>
      </c>
      <c r="AA1486" s="3">
        <f>AVERAGE(Table1[[#This Row],[Math 
Score]],Table1[[#This Row],[History 
Score]],Table1[[#This Row],[Physics 
Score]],Table1[[#This Row],[Chemistry 
Score]],Table1[[#This Row],[Biology 
Score]],Table1[[#This Row],[English 
Score]],Table1[[#This Row],[Geography 
Score]])</f>
        <v>67.714285714285708</v>
      </c>
      <c r="AB148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486">
        <f t="shared" si="23"/>
        <v>1949</v>
      </c>
      <c r="AD1486" t="str">
        <f>_xlfn.IFS(Table1[[#This Row],[Absence 
Days]]&lt;3,"Excellent",Table1[[#This Row],[Absence 
Days]]&lt;=6,"Good",Table1[[#This Row],[Absence 
Days]]&gt;6,"Poor")</f>
        <v>Poor</v>
      </c>
    </row>
    <row r="1487" spans="1:30" x14ac:dyDescent="0.35">
      <c r="A1487">
        <v>1486</v>
      </c>
      <c r="B1487" s="2" t="s">
        <v>40</v>
      </c>
      <c r="C1487" t="s">
        <v>677</v>
      </c>
      <c r="D1487" t="str">
        <f>_xlfn.TEXTJOIN(" ",TRUE,Table1[[#This Row],[First 
Name]:[Last 
Name]])</f>
        <v>David Jimenez</v>
      </c>
      <c r="E1487" t="s">
        <v>2597</v>
      </c>
      <c r="F1487" t="s">
        <v>3244</v>
      </c>
      <c r="G1487" t="str">
        <f ca="1">PROPER(Table1[[#This Row],[Part Time 
Job]])</f>
        <v>False</v>
      </c>
      <c r="H1487" s="3">
        <v>8</v>
      </c>
      <c r="I1487" t="str">
        <f ca="1">PROPER(Table1[[#This Row],[Extracurricular 
Activities]])</f>
        <v>True</v>
      </c>
      <c r="J1487">
        <v>5</v>
      </c>
      <c r="K1487" t="s">
        <v>3119</v>
      </c>
      <c r="L1487">
        <v>40</v>
      </c>
      <c r="M1487" s="12" t="str" cm="1">
        <f t="array" ref="M1487">_xlfn.IFS(Table1[[#This Row],[Math 
Score]]&gt;=90,"A+",Table1[[#This Row],[Math 
Score]]&gt;=80,"A", Table1[[#This Row],[Math 
Score]]&gt;=75,"A-",Table1[[#This Row],[Math 
Score]]&gt;=70,"B+",Table1[[#This Row],[Math 
Score]]&gt;=65,"B",Table1[[#This Row],[Math 
Score]]&gt;=60,"B-",Table1[[#This Row],[Math 
Score]]&gt;=50,"C",Table1[[#This Row],[Math 
Score]]&gt;=40,"D",Table1[[#This Row],[Math 
Score]]&lt;40,"F")</f>
        <v>D</v>
      </c>
      <c r="N1487">
        <v>97</v>
      </c>
      <c r="O1487" s="13" t="str" cm="1">
        <f t="array" ref="O148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487">
        <v>92</v>
      </c>
      <c r="Q1487" s="13" t="str" cm="1">
        <f t="array" ref="Q148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487">
        <v>93</v>
      </c>
      <c r="S1487" t="str" cm="1">
        <f t="array" ref="S148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487">
        <v>92</v>
      </c>
      <c r="U1487" t="str" cm="1">
        <f t="array" ref="U148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487">
        <v>65</v>
      </c>
      <c r="W1487" t="str" cm="1">
        <f t="array" ref="W148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487">
        <v>82</v>
      </c>
      <c r="Y1487" t="str" cm="1">
        <f t="array" ref="Y148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487">
        <f>SUM(Table1[[#This Row],[Math 
Score]],Table1[[#This Row],[History 
Score]],Table1[[#This Row],[Physics 
Score]],Table1[[#This Row],[Chemistry 
Score]],Table1[[#This Row],[Biology 
Score]],Table1[[#This Row],[English 
Score]],Table1[[#This Row],[Geography 
Score]])</f>
        <v>561</v>
      </c>
      <c r="AA1487" s="3">
        <f>AVERAGE(Table1[[#This Row],[Math 
Score]],Table1[[#This Row],[History 
Score]],Table1[[#This Row],[Physics 
Score]],Table1[[#This Row],[Chemistry 
Score]],Table1[[#This Row],[Biology 
Score]],Table1[[#This Row],[English 
Score]],Table1[[#This Row],[Geography 
Score]])</f>
        <v>80.142857142857139</v>
      </c>
      <c r="AB148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487">
        <f t="shared" si="23"/>
        <v>1120</v>
      </c>
      <c r="AD1487" t="str">
        <f>_xlfn.IFS(Table1[[#This Row],[Absence 
Days]]&lt;3,"Excellent",Table1[[#This Row],[Absence 
Days]]&lt;=6,"Good",Table1[[#This Row],[Absence 
Days]]&gt;6,"Poor")</f>
        <v>Poor</v>
      </c>
    </row>
    <row r="1488" spans="1:30" x14ac:dyDescent="0.35">
      <c r="A1488">
        <v>1487</v>
      </c>
      <c r="B1488" s="2" t="s">
        <v>226</v>
      </c>
      <c r="C1488" t="s">
        <v>959</v>
      </c>
      <c r="D1488" t="str">
        <f>_xlfn.TEXTJOIN(" ",TRUE,Table1[[#This Row],[First 
Name]:[Last 
Name]])</f>
        <v>Megan Bright</v>
      </c>
      <c r="E1488" t="s">
        <v>2598</v>
      </c>
      <c r="F1488" t="s">
        <v>3245</v>
      </c>
      <c r="G1488" t="str">
        <f ca="1">PROPER(Table1[[#This Row],[Part Time 
Job]])</f>
        <v>False</v>
      </c>
      <c r="H1488" s="3">
        <v>2</v>
      </c>
      <c r="I1488" t="str">
        <f ca="1">PROPER(Table1[[#This Row],[Extracurricular 
Activities]])</f>
        <v>False</v>
      </c>
      <c r="J1488">
        <v>5</v>
      </c>
      <c r="K1488" t="s">
        <v>3119</v>
      </c>
      <c r="L1488">
        <v>65</v>
      </c>
      <c r="M1488" s="12" t="str" cm="1">
        <f t="array" ref="M1488">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488">
        <v>93</v>
      </c>
      <c r="O1488" s="13" t="str" cm="1">
        <f t="array" ref="O148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488">
        <v>67</v>
      </c>
      <c r="Q1488" s="13" t="str" cm="1">
        <f t="array" ref="Q148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488">
        <v>73</v>
      </c>
      <c r="S1488" t="str" cm="1">
        <f t="array" ref="S148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488">
        <v>57</v>
      </c>
      <c r="U1488" t="str" cm="1">
        <f t="array" ref="U148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C</v>
      </c>
      <c r="V1488">
        <v>72</v>
      </c>
      <c r="W1488" t="str" cm="1">
        <f t="array" ref="W148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488">
        <v>97</v>
      </c>
      <c r="Y1488" t="str" cm="1">
        <f t="array" ref="Y148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488">
        <f>SUM(Table1[[#This Row],[Math 
Score]],Table1[[#This Row],[History 
Score]],Table1[[#This Row],[Physics 
Score]],Table1[[#This Row],[Chemistry 
Score]],Table1[[#This Row],[Biology 
Score]],Table1[[#This Row],[English 
Score]],Table1[[#This Row],[Geography 
Score]])</f>
        <v>524</v>
      </c>
      <c r="AA1488" s="3">
        <f>AVERAGE(Table1[[#This Row],[Math 
Score]],Table1[[#This Row],[History 
Score]],Table1[[#This Row],[Physics 
Score]],Table1[[#This Row],[Chemistry 
Score]],Table1[[#This Row],[Biology 
Score]],Table1[[#This Row],[English 
Score]],Table1[[#This Row],[Geography 
Score]])</f>
        <v>74.857142857142861</v>
      </c>
      <c r="AB148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488">
        <f t="shared" si="23"/>
        <v>1715</v>
      </c>
      <c r="AD1488" t="str">
        <f>_xlfn.IFS(Table1[[#This Row],[Absence 
Days]]&lt;3,"Excellent",Table1[[#This Row],[Absence 
Days]]&lt;=6,"Good",Table1[[#This Row],[Absence 
Days]]&gt;6,"Poor")</f>
        <v>Excellent</v>
      </c>
    </row>
    <row r="1489" spans="1:30" x14ac:dyDescent="0.35">
      <c r="A1489">
        <v>1488</v>
      </c>
      <c r="B1489" s="2" t="s">
        <v>80</v>
      </c>
      <c r="C1489" t="s">
        <v>1028</v>
      </c>
      <c r="D1489" t="str">
        <f>_xlfn.TEXTJOIN(" ",TRUE,Table1[[#This Row],[First 
Name]:[Last 
Name]])</f>
        <v>Thomas Montoya</v>
      </c>
      <c r="E1489" t="s">
        <v>2599</v>
      </c>
      <c r="F1489" t="s">
        <v>3244</v>
      </c>
      <c r="G1489" t="str">
        <f ca="1">PROPER(Table1[[#This Row],[Part Time 
Job]])</f>
        <v>False</v>
      </c>
      <c r="H1489" s="3">
        <v>6</v>
      </c>
      <c r="I1489" t="str">
        <f ca="1">PROPER(Table1[[#This Row],[Extracurricular 
Activities]])</f>
        <v>False</v>
      </c>
      <c r="J1489">
        <v>1</v>
      </c>
      <c r="K1489" t="s">
        <v>3119</v>
      </c>
      <c r="L1489">
        <v>96</v>
      </c>
      <c r="M1489" s="12" t="str" cm="1">
        <f t="array" ref="M148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489">
        <v>92</v>
      </c>
      <c r="O1489" s="13" t="str" cm="1">
        <f t="array" ref="O148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489">
        <v>64</v>
      </c>
      <c r="Q1489" s="13" t="str" cm="1">
        <f t="array" ref="Q148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489">
        <v>54</v>
      </c>
      <c r="S1489" t="str" cm="1">
        <f t="array" ref="S148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C</v>
      </c>
      <c r="T1489">
        <v>87</v>
      </c>
      <c r="U1489" t="str" cm="1">
        <f t="array" ref="U148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489">
        <v>60</v>
      </c>
      <c r="W1489" t="str" cm="1">
        <f t="array" ref="W148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489">
        <v>88</v>
      </c>
      <c r="Y1489" t="str" cm="1">
        <f t="array" ref="Y148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489">
        <f>SUM(Table1[[#This Row],[Math 
Score]],Table1[[#This Row],[History 
Score]],Table1[[#This Row],[Physics 
Score]],Table1[[#This Row],[Chemistry 
Score]],Table1[[#This Row],[Biology 
Score]],Table1[[#This Row],[English 
Score]],Table1[[#This Row],[Geography 
Score]])</f>
        <v>541</v>
      </c>
      <c r="AA1489" s="3">
        <f>AVERAGE(Table1[[#This Row],[Math 
Score]],Table1[[#This Row],[History 
Score]],Table1[[#This Row],[Physics 
Score]],Table1[[#This Row],[Chemistry 
Score]],Table1[[#This Row],[Biology 
Score]],Table1[[#This Row],[English 
Score]],Table1[[#This Row],[Geography 
Score]])</f>
        <v>77.285714285714292</v>
      </c>
      <c r="AB148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489">
        <f t="shared" si="23"/>
        <v>1493</v>
      </c>
      <c r="AD1489" t="str">
        <f>_xlfn.IFS(Table1[[#This Row],[Absence 
Days]]&lt;3,"Excellent",Table1[[#This Row],[Absence 
Days]]&lt;=6,"Good",Table1[[#This Row],[Absence 
Days]]&gt;6,"Poor")</f>
        <v>Good</v>
      </c>
    </row>
    <row r="1490" spans="1:30" x14ac:dyDescent="0.35">
      <c r="A1490">
        <v>1489</v>
      </c>
      <c r="B1490" s="2" t="s">
        <v>174</v>
      </c>
      <c r="C1490" t="s">
        <v>972</v>
      </c>
      <c r="D1490" t="str">
        <f>_xlfn.TEXTJOIN(" ",TRUE,Table1[[#This Row],[First 
Name]:[Last 
Name]])</f>
        <v>Brenda Houston</v>
      </c>
      <c r="E1490" t="s">
        <v>2600</v>
      </c>
      <c r="F1490" t="s">
        <v>3245</v>
      </c>
      <c r="G1490" t="str">
        <f ca="1">PROPER(Table1[[#This Row],[Part Time 
Job]])</f>
        <v>False</v>
      </c>
      <c r="H1490" s="3">
        <v>1</v>
      </c>
      <c r="I1490" t="str">
        <f ca="1">PROPER(Table1[[#This Row],[Extracurricular 
Activities]])</f>
        <v>True</v>
      </c>
      <c r="J1490">
        <v>27</v>
      </c>
      <c r="K1490" t="s">
        <v>3117</v>
      </c>
      <c r="L1490">
        <v>96</v>
      </c>
      <c r="M1490" s="12" t="str" cm="1">
        <f t="array" ref="M149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490">
        <v>92</v>
      </c>
      <c r="O1490" s="13" t="str" cm="1">
        <f t="array" ref="O149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490">
        <v>80</v>
      </c>
      <c r="Q1490" s="13" t="str" cm="1">
        <f t="array" ref="Q149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490">
        <v>61</v>
      </c>
      <c r="S1490" t="str" cm="1">
        <f t="array" ref="S149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490">
        <v>66</v>
      </c>
      <c r="U1490" t="str" cm="1">
        <f t="array" ref="U149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490">
        <v>98</v>
      </c>
      <c r="W1490" t="str" cm="1">
        <f t="array" ref="W149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490">
        <v>70</v>
      </c>
      <c r="Y1490" t="str" cm="1">
        <f t="array" ref="Y149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490">
        <f>SUM(Table1[[#This Row],[Math 
Score]],Table1[[#This Row],[History 
Score]],Table1[[#This Row],[Physics 
Score]],Table1[[#This Row],[Chemistry 
Score]],Table1[[#This Row],[Biology 
Score]],Table1[[#This Row],[English 
Score]],Table1[[#This Row],[Geography 
Score]])</f>
        <v>563</v>
      </c>
      <c r="AA1490" s="3">
        <f>AVERAGE(Table1[[#This Row],[Math 
Score]],Table1[[#This Row],[History 
Score]],Table1[[#This Row],[Physics 
Score]],Table1[[#This Row],[Chemistry 
Score]],Table1[[#This Row],[Biology 
Score]],Table1[[#This Row],[English 
Score]],Table1[[#This Row],[Geography 
Score]])</f>
        <v>80.428571428571431</v>
      </c>
      <c r="AB149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490">
        <f t="shared" si="23"/>
        <v>1077</v>
      </c>
      <c r="AD1490" t="str">
        <f>_xlfn.IFS(Table1[[#This Row],[Absence 
Days]]&lt;3,"Excellent",Table1[[#This Row],[Absence 
Days]]&lt;=6,"Good",Table1[[#This Row],[Absence 
Days]]&gt;6,"Poor")</f>
        <v>Excellent</v>
      </c>
    </row>
    <row r="1491" spans="1:30" x14ac:dyDescent="0.35">
      <c r="A1491">
        <v>1490</v>
      </c>
      <c r="B1491" s="2" t="s">
        <v>231</v>
      </c>
      <c r="C1491" t="s">
        <v>326</v>
      </c>
      <c r="D1491" t="str">
        <f>_xlfn.TEXTJOIN(" ",TRUE,Table1[[#This Row],[First 
Name]:[Last 
Name]])</f>
        <v>Daniel Lee</v>
      </c>
      <c r="E1491" t="s">
        <v>2601</v>
      </c>
      <c r="F1491" t="s">
        <v>3244</v>
      </c>
      <c r="G1491" t="str">
        <f ca="1">PROPER(Table1[[#This Row],[Part Time 
Job]])</f>
        <v>True</v>
      </c>
      <c r="H1491" s="3">
        <v>1</v>
      </c>
      <c r="I1491" t="str">
        <f ca="1">PROPER(Table1[[#This Row],[Extracurricular 
Activities]])</f>
        <v>False</v>
      </c>
      <c r="J1491">
        <v>29</v>
      </c>
      <c r="K1491" t="s">
        <v>3112</v>
      </c>
      <c r="L1491">
        <v>90</v>
      </c>
      <c r="M1491" s="12" t="str" cm="1">
        <f t="array" ref="M149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491">
        <v>84</v>
      </c>
      <c r="O1491" s="13" t="str" cm="1">
        <f t="array" ref="O149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491">
        <v>90</v>
      </c>
      <c r="Q1491" s="13" t="str" cm="1">
        <f t="array" ref="Q149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491">
        <v>81</v>
      </c>
      <c r="S1491" t="str" cm="1">
        <f t="array" ref="S149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491">
        <v>92</v>
      </c>
      <c r="U1491" t="str" cm="1">
        <f t="array" ref="U149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491">
        <v>83</v>
      </c>
      <c r="W1491" t="str" cm="1">
        <f t="array" ref="W149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491">
        <v>69</v>
      </c>
      <c r="Y1491" t="str" cm="1">
        <f t="array" ref="Y149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491">
        <f>SUM(Table1[[#This Row],[Math 
Score]],Table1[[#This Row],[History 
Score]],Table1[[#This Row],[Physics 
Score]],Table1[[#This Row],[Chemistry 
Score]],Table1[[#This Row],[Biology 
Score]],Table1[[#This Row],[English 
Score]],Table1[[#This Row],[Geography 
Score]])</f>
        <v>589</v>
      </c>
      <c r="AA1491" s="3">
        <f>AVERAGE(Table1[[#This Row],[Math 
Score]],Table1[[#This Row],[History 
Score]],Table1[[#This Row],[Physics 
Score]],Table1[[#This Row],[Chemistry 
Score]],Table1[[#This Row],[Biology 
Score]],Table1[[#This Row],[English 
Score]],Table1[[#This Row],[Geography 
Score]])</f>
        <v>84.142857142857139</v>
      </c>
      <c r="AB149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491">
        <f t="shared" si="23"/>
        <v>548</v>
      </c>
      <c r="AD1491" t="str">
        <f>_xlfn.IFS(Table1[[#This Row],[Absence 
Days]]&lt;3,"Excellent",Table1[[#This Row],[Absence 
Days]]&lt;=6,"Good",Table1[[#This Row],[Absence 
Days]]&gt;6,"Poor")</f>
        <v>Excellent</v>
      </c>
    </row>
    <row r="1492" spans="1:30" x14ac:dyDescent="0.35">
      <c r="A1492">
        <v>1491</v>
      </c>
      <c r="B1492" s="2" t="s">
        <v>237</v>
      </c>
      <c r="C1492" t="s">
        <v>532</v>
      </c>
      <c r="D1492" t="str">
        <f>_xlfn.TEXTJOIN(" ",TRUE,Table1[[#This Row],[First 
Name]:[Last 
Name]])</f>
        <v>Stephanie Jones</v>
      </c>
      <c r="E1492" t="s">
        <v>2602</v>
      </c>
      <c r="F1492" t="s">
        <v>3245</v>
      </c>
      <c r="G1492" t="str">
        <f ca="1">PROPER(Table1[[#This Row],[Part Time 
Job]])</f>
        <v>True</v>
      </c>
      <c r="H1492" s="3">
        <v>9</v>
      </c>
      <c r="I1492" t="str">
        <f ca="1">PROPER(Table1[[#This Row],[Extracurricular 
Activities]])</f>
        <v>False</v>
      </c>
      <c r="J1492">
        <v>4</v>
      </c>
      <c r="K1492" t="s">
        <v>3119</v>
      </c>
      <c r="L1492">
        <v>85</v>
      </c>
      <c r="M1492" s="12" t="str" cm="1">
        <f t="array" ref="M149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492">
        <v>57</v>
      </c>
      <c r="O1492" s="13" t="str" cm="1">
        <f t="array" ref="O149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C</v>
      </c>
      <c r="P1492">
        <v>77</v>
      </c>
      <c r="Q1492" s="13" t="str" cm="1">
        <f t="array" ref="Q149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492">
        <v>81</v>
      </c>
      <c r="S1492" t="str" cm="1">
        <f t="array" ref="S149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492">
        <v>65</v>
      </c>
      <c r="U1492" t="str" cm="1">
        <f t="array" ref="U149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492">
        <v>75</v>
      </c>
      <c r="W1492" t="str" cm="1">
        <f t="array" ref="W149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492">
        <v>85</v>
      </c>
      <c r="Y1492" t="str" cm="1">
        <f t="array" ref="Y149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492">
        <f>SUM(Table1[[#This Row],[Math 
Score]],Table1[[#This Row],[History 
Score]],Table1[[#This Row],[Physics 
Score]],Table1[[#This Row],[Chemistry 
Score]],Table1[[#This Row],[Biology 
Score]],Table1[[#This Row],[English 
Score]],Table1[[#This Row],[Geography 
Score]])</f>
        <v>525</v>
      </c>
      <c r="AA1492" s="3">
        <f>AVERAGE(Table1[[#This Row],[Math 
Score]],Table1[[#This Row],[History 
Score]],Table1[[#This Row],[Physics 
Score]],Table1[[#This Row],[Chemistry 
Score]],Table1[[#This Row],[Biology 
Score]],Table1[[#This Row],[English 
Score]],Table1[[#This Row],[Geography 
Score]])</f>
        <v>75</v>
      </c>
      <c r="AB149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492">
        <f t="shared" si="23"/>
        <v>1704</v>
      </c>
      <c r="AD1492" t="str">
        <f>_xlfn.IFS(Table1[[#This Row],[Absence 
Days]]&lt;3,"Excellent",Table1[[#This Row],[Absence 
Days]]&lt;=6,"Good",Table1[[#This Row],[Absence 
Days]]&gt;6,"Poor")</f>
        <v>Poor</v>
      </c>
    </row>
    <row r="1493" spans="1:30" x14ac:dyDescent="0.35">
      <c r="A1493">
        <v>1492</v>
      </c>
      <c r="B1493" s="2" t="s">
        <v>129</v>
      </c>
      <c r="C1493" t="s">
        <v>937</v>
      </c>
      <c r="D1493" t="str">
        <f>_xlfn.TEXTJOIN(" ",TRUE,Table1[[#This Row],[First 
Name]:[Last 
Name]])</f>
        <v>Rachel Salas</v>
      </c>
      <c r="E1493" t="s">
        <v>2603</v>
      </c>
      <c r="F1493" t="s">
        <v>3245</v>
      </c>
      <c r="G1493" t="str">
        <f ca="1">PROPER(Table1[[#This Row],[Part Time 
Job]])</f>
        <v>True</v>
      </c>
      <c r="H1493" s="3">
        <v>8</v>
      </c>
      <c r="I1493" t="str">
        <f ca="1">PROPER(Table1[[#This Row],[Extracurricular 
Activities]])</f>
        <v>True</v>
      </c>
      <c r="J1493">
        <v>4</v>
      </c>
      <c r="K1493" t="s">
        <v>3119</v>
      </c>
      <c r="L1493">
        <v>92</v>
      </c>
      <c r="M1493" s="12" t="str" cm="1">
        <f t="array" ref="M149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493">
        <v>96</v>
      </c>
      <c r="O1493" s="13" t="str" cm="1">
        <f t="array" ref="O149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493">
        <v>80</v>
      </c>
      <c r="Q1493" s="13" t="str" cm="1">
        <f t="array" ref="Q149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493">
        <v>98</v>
      </c>
      <c r="S1493" t="str" cm="1">
        <f t="array" ref="S149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493">
        <v>61</v>
      </c>
      <c r="U1493" t="str" cm="1">
        <f t="array" ref="U149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493">
        <v>84</v>
      </c>
      <c r="W1493" t="str" cm="1">
        <f t="array" ref="W149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493">
        <v>74</v>
      </c>
      <c r="Y1493" t="str" cm="1">
        <f t="array" ref="Y149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493">
        <f>SUM(Table1[[#This Row],[Math 
Score]],Table1[[#This Row],[History 
Score]],Table1[[#This Row],[Physics 
Score]],Table1[[#This Row],[Chemistry 
Score]],Table1[[#This Row],[Biology 
Score]],Table1[[#This Row],[English 
Score]],Table1[[#This Row],[Geography 
Score]])</f>
        <v>585</v>
      </c>
      <c r="AA1493" s="3">
        <f>AVERAGE(Table1[[#This Row],[Math 
Score]],Table1[[#This Row],[History 
Score]],Table1[[#This Row],[Physics 
Score]],Table1[[#This Row],[Chemistry 
Score]],Table1[[#This Row],[Biology 
Score]],Table1[[#This Row],[English 
Score]],Table1[[#This Row],[Geography 
Score]])</f>
        <v>83.571428571428569</v>
      </c>
      <c r="AB149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493">
        <f t="shared" si="23"/>
        <v>615</v>
      </c>
      <c r="AD1493" t="str">
        <f>_xlfn.IFS(Table1[[#This Row],[Absence 
Days]]&lt;3,"Excellent",Table1[[#This Row],[Absence 
Days]]&lt;=6,"Good",Table1[[#This Row],[Absence 
Days]]&gt;6,"Poor")</f>
        <v>Poor</v>
      </c>
    </row>
    <row r="1494" spans="1:30" x14ac:dyDescent="0.35">
      <c r="A1494">
        <v>1493</v>
      </c>
      <c r="B1494" s="2" t="s">
        <v>345</v>
      </c>
      <c r="C1494" t="s">
        <v>86</v>
      </c>
      <c r="D1494" t="str">
        <f>_xlfn.TEXTJOIN(" ",TRUE,Table1[[#This Row],[First 
Name]:[Last 
Name]])</f>
        <v>Oscar Benjamin</v>
      </c>
      <c r="E1494" t="s">
        <v>2604</v>
      </c>
      <c r="F1494" t="s">
        <v>3244</v>
      </c>
      <c r="G1494" t="str">
        <f ca="1">PROPER(Table1[[#This Row],[Part Time 
Job]])</f>
        <v>False</v>
      </c>
      <c r="H1494" s="3">
        <v>3</v>
      </c>
      <c r="I1494" t="str">
        <f ca="1">PROPER(Table1[[#This Row],[Extracurricular 
Activities]])</f>
        <v>False</v>
      </c>
      <c r="J1494">
        <v>21</v>
      </c>
      <c r="K1494" t="s">
        <v>3113</v>
      </c>
      <c r="L1494">
        <v>100</v>
      </c>
      <c r="M1494" s="12" t="str" cm="1">
        <f t="array" ref="M149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494">
        <v>82</v>
      </c>
      <c r="O1494" s="13" t="str" cm="1">
        <f t="array" ref="O149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494">
        <v>84</v>
      </c>
      <c r="Q1494" s="13" t="str" cm="1">
        <f t="array" ref="Q149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494">
        <v>100</v>
      </c>
      <c r="S1494" t="str" cm="1">
        <f t="array" ref="S149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494">
        <v>90</v>
      </c>
      <c r="U1494" t="str" cm="1">
        <f t="array" ref="U149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494">
        <v>62</v>
      </c>
      <c r="W1494" t="str" cm="1">
        <f t="array" ref="W149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494">
        <v>87</v>
      </c>
      <c r="Y1494" t="str" cm="1">
        <f t="array" ref="Y149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494">
        <f>SUM(Table1[[#This Row],[Math 
Score]],Table1[[#This Row],[History 
Score]],Table1[[#This Row],[Physics 
Score]],Table1[[#This Row],[Chemistry 
Score]],Table1[[#This Row],[Biology 
Score]],Table1[[#This Row],[English 
Score]],Table1[[#This Row],[Geography 
Score]])</f>
        <v>605</v>
      </c>
      <c r="AA1494" s="3">
        <f>AVERAGE(Table1[[#This Row],[Math 
Score]],Table1[[#This Row],[History 
Score]],Table1[[#This Row],[Physics 
Score]],Table1[[#This Row],[Chemistry 
Score]],Table1[[#This Row],[Biology 
Score]],Table1[[#This Row],[English 
Score]],Table1[[#This Row],[Geography 
Score]])</f>
        <v>86.428571428571431</v>
      </c>
      <c r="AB149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494">
        <f t="shared" si="23"/>
        <v>344</v>
      </c>
      <c r="AD1494" t="str">
        <f>_xlfn.IFS(Table1[[#This Row],[Absence 
Days]]&lt;3,"Excellent",Table1[[#This Row],[Absence 
Days]]&lt;=6,"Good",Table1[[#This Row],[Absence 
Days]]&gt;6,"Poor")</f>
        <v>Good</v>
      </c>
    </row>
    <row r="1495" spans="1:30" x14ac:dyDescent="0.35">
      <c r="A1495">
        <v>1494</v>
      </c>
      <c r="B1495" s="2" t="s">
        <v>160</v>
      </c>
      <c r="C1495" t="s">
        <v>527</v>
      </c>
      <c r="D1495" t="str">
        <f>_xlfn.TEXTJOIN(" ",TRUE,Table1[[#This Row],[First 
Name]:[Last 
Name]])</f>
        <v>Debra Brown</v>
      </c>
      <c r="E1495" t="s">
        <v>2605</v>
      </c>
      <c r="F1495" t="s">
        <v>3245</v>
      </c>
      <c r="G1495" t="str">
        <f ca="1">PROPER(Table1[[#This Row],[Part Time 
Job]])</f>
        <v>False</v>
      </c>
      <c r="H1495" s="3">
        <v>3</v>
      </c>
      <c r="I1495" t="str">
        <f ca="1">PROPER(Table1[[#This Row],[Extracurricular 
Activities]])</f>
        <v>False</v>
      </c>
      <c r="J1495">
        <v>31</v>
      </c>
      <c r="K1495" t="s">
        <v>3127</v>
      </c>
      <c r="L1495">
        <v>94</v>
      </c>
      <c r="M1495" s="12" t="str" cm="1">
        <f t="array" ref="M149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495">
        <v>63</v>
      </c>
      <c r="O1495" s="13" t="str" cm="1">
        <f t="array" ref="O149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495">
        <v>98</v>
      </c>
      <c r="Q1495" s="13" t="str" cm="1">
        <f t="array" ref="Q149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495">
        <v>73</v>
      </c>
      <c r="S1495" t="str" cm="1">
        <f t="array" ref="S149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495">
        <v>63</v>
      </c>
      <c r="U1495" t="str" cm="1">
        <f t="array" ref="U149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495">
        <v>98</v>
      </c>
      <c r="W1495" t="str" cm="1">
        <f t="array" ref="W149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495">
        <v>100</v>
      </c>
      <c r="Y1495" t="str" cm="1">
        <f t="array" ref="Y149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495">
        <f>SUM(Table1[[#This Row],[Math 
Score]],Table1[[#This Row],[History 
Score]],Table1[[#This Row],[Physics 
Score]],Table1[[#This Row],[Chemistry 
Score]],Table1[[#This Row],[Biology 
Score]],Table1[[#This Row],[English 
Score]],Table1[[#This Row],[Geography 
Score]])</f>
        <v>589</v>
      </c>
      <c r="AA1495" s="3">
        <f>AVERAGE(Table1[[#This Row],[Math 
Score]],Table1[[#This Row],[History 
Score]],Table1[[#This Row],[Physics 
Score]],Table1[[#This Row],[Chemistry 
Score]],Table1[[#This Row],[Biology 
Score]],Table1[[#This Row],[English 
Score]],Table1[[#This Row],[Geography 
Score]])</f>
        <v>84.142857142857139</v>
      </c>
      <c r="AB149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495">
        <f t="shared" si="23"/>
        <v>548</v>
      </c>
      <c r="AD1495" t="str">
        <f>_xlfn.IFS(Table1[[#This Row],[Absence 
Days]]&lt;3,"Excellent",Table1[[#This Row],[Absence 
Days]]&lt;=6,"Good",Table1[[#This Row],[Absence 
Days]]&gt;6,"Poor")</f>
        <v>Good</v>
      </c>
    </row>
    <row r="1496" spans="1:30" x14ac:dyDescent="0.35">
      <c r="A1496">
        <v>1495</v>
      </c>
      <c r="B1496" s="2" t="s">
        <v>50</v>
      </c>
      <c r="C1496" t="s">
        <v>353</v>
      </c>
      <c r="D1496" t="str">
        <f>_xlfn.TEXTJOIN(" ",TRUE,Table1[[#This Row],[First 
Name]:[Last 
Name]])</f>
        <v>Jennifer Martin</v>
      </c>
      <c r="E1496" t="s">
        <v>2606</v>
      </c>
      <c r="F1496" t="s">
        <v>3245</v>
      </c>
      <c r="G1496" t="str">
        <f ca="1">PROPER(Table1[[#This Row],[Part Time 
Job]])</f>
        <v>False</v>
      </c>
      <c r="H1496" s="3">
        <v>3</v>
      </c>
      <c r="I1496" t="str">
        <f ca="1">PROPER(Table1[[#This Row],[Extracurricular 
Activities]])</f>
        <v>False</v>
      </c>
      <c r="J1496">
        <v>15</v>
      </c>
      <c r="K1496" t="s">
        <v>3121</v>
      </c>
      <c r="L1496">
        <v>85</v>
      </c>
      <c r="M1496" s="12" t="str" cm="1">
        <f t="array" ref="M149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496">
        <v>76</v>
      </c>
      <c r="O1496" s="13" t="str" cm="1">
        <f t="array" ref="O149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496">
        <v>94</v>
      </c>
      <c r="Q1496" s="13" t="str" cm="1">
        <f t="array" ref="Q149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496">
        <v>89</v>
      </c>
      <c r="S1496" t="str" cm="1">
        <f t="array" ref="S149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496">
        <v>85</v>
      </c>
      <c r="U1496" t="str" cm="1">
        <f t="array" ref="U149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496">
        <v>83</v>
      </c>
      <c r="W1496" t="str" cm="1">
        <f t="array" ref="W149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496">
        <v>80</v>
      </c>
      <c r="Y1496" t="str" cm="1">
        <f t="array" ref="Y149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496">
        <f>SUM(Table1[[#This Row],[Math 
Score]],Table1[[#This Row],[History 
Score]],Table1[[#This Row],[Physics 
Score]],Table1[[#This Row],[Chemistry 
Score]],Table1[[#This Row],[Biology 
Score]],Table1[[#This Row],[English 
Score]],Table1[[#This Row],[Geography 
Score]])</f>
        <v>592</v>
      </c>
      <c r="AA1496" s="3">
        <f>AVERAGE(Table1[[#This Row],[Math 
Score]],Table1[[#This Row],[History 
Score]],Table1[[#This Row],[Physics 
Score]],Table1[[#This Row],[Chemistry 
Score]],Table1[[#This Row],[Biology 
Score]],Table1[[#This Row],[English 
Score]],Table1[[#This Row],[Geography 
Score]])</f>
        <v>84.571428571428569</v>
      </c>
      <c r="AB149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496">
        <f t="shared" si="23"/>
        <v>505</v>
      </c>
      <c r="AD1496" t="str">
        <f>_xlfn.IFS(Table1[[#This Row],[Absence 
Days]]&lt;3,"Excellent",Table1[[#This Row],[Absence 
Days]]&lt;=6,"Good",Table1[[#This Row],[Absence 
Days]]&gt;6,"Poor")</f>
        <v>Good</v>
      </c>
    </row>
    <row r="1497" spans="1:30" x14ac:dyDescent="0.35">
      <c r="A1497">
        <v>1496</v>
      </c>
      <c r="B1497" s="2" t="s">
        <v>26</v>
      </c>
      <c r="C1497" t="s">
        <v>620</v>
      </c>
      <c r="D1497" t="str">
        <f>_xlfn.TEXTJOIN(" ",TRUE,Table1[[#This Row],[First 
Name]:[Last 
Name]])</f>
        <v>Jeffrey Conley</v>
      </c>
      <c r="E1497" t="s">
        <v>2607</v>
      </c>
      <c r="F1497" t="s">
        <v>3244</v>
      </c>
      <c r="G1497" t="str">
        <f ca="1">PROPER(Table1[[#This Row],[Part Time 
Job]])</f>
        <v>False</v>
      </c>
      <c r="H1497" s="3">
        <v>0</v>
      </c>
      <c r="I1497" t="str">
        <f ca="1">PROPER(Table1[[#This Row],[Extracurricular 
Activities]])</f>
        <v>False</v>
      </c>
      <c r="J1497">
        <v>30</v>
      </c>
      <c r="K1497" t="s">
        <v>3112</v>
      </c>
      <c r="L1497">
        <v>80</v>
      </c>
      <c r="M1497" s="12" t="str" cm="1">
        <f t="array" ref="M149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497">
        <v>84</v>
      </c>
      <c r="O1497" s="13" t="str" cm="1">
        <f t="array" ref="O149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497">
        <v>82</v>
      </c>
      <c r="Q1497" s="13" t="str" cm="1">
        <f t="array" ref="Q149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497">
        <v>69</v>
      </c>
      <c r="S1497" t="str" cm="1">
        <f t="array" ref="S149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497">
        <v>91</v>
      </c>
      <c r="U1497" t="str" cm="1">
        <f t="array" ref="U149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497">
        <v>80</v>
      </c>
      <c r="W1497" t="str" cm="1">
        <f t="array" ref="W149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497">
        <v>96</v>
      </c>
      <c r="Y1497" t="str" cm="1">
        <f t="array" ref="Y149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497">
        <f>SUM(Table1[[#This Row],[Math 
Score]],Table1[[#This Row],[History 
Score]],Table1[[#This Row],[Physics 
Score]],Table1[[#This Row],[Chemistry 
Score]],Table1[[#This Row],[Biology 
Score]],Table1[[#This Row],[English 
Score]],Table1[[#This Row],[Geography 
Score]])</f>
        <v>582</v>
      </c>
      <c r="AA1497" s="3">
        <f>AVERAGE(Table1[[#This Row],[Math 
Score]],Table1[[#This Row],[History 
Score]],Table1[[#This Row],[Physics 
Score]],Table1[[#This Row],[Chemistry 
Score]],Table1[[#This Row],[Biology 
Score]],Table1[[#This Row],[English 
Score]],Table1[[#This Row],[Geography 
Score]])</f>
        <v>83.142857142857139</v>
      </c>
      <c r="AB149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497">
        <f t="shared" si="23"/>
        <v>670</v>
      </c>
      <c r="AD1497" t="str">
        <f>_xlfn.IFS(Table1[[#This Row],[Absence 
Days]]&lt;3,"Excellent",Table1[[#This Row],[Absence 
Days]]&lt;=6,"Good",Table1[[#This Row],[Absence 
Days]]&gt;6,"Poor")</f>
        <v>Excellent</v>
      </c>
    </row>
    <row r="1498" spans="1:30" x14ac:dyDescent="0.35">
      <c r="A1498">
        <v>1497</v>
      </c>
      <c r="B1498" s="2" t="s">
        <v>100</v>
      </c>
      <c r="C1498" t="s">
        <v>619</v>
      </c>
      <c r="D1498" t="str">
        <f>_xlfn.TEXTJOIN(" ",TRUE,Table1[[#This Row],[First 
Name]:[Last 
Name]])</f>
        <v>Cory Cook</v>
      </c>
      <c r="E1498" t="s">
        <v>2608</v>
      </c>
      <c r="F1498" t="s">
        <v>3244</v>
      </c>
      <c r="G1498" t="str">
        <f ca="1">PROPER(Table1[[#This Row],[Part Time 
Job]])</f>
        <v>False</v>
      </c>
      <c r="H1498" s="3">
        <v>1</v>
      </c>
      <c r="I1498" t="str">
        <f ca="1">PROPER(Table1[[#This Row],[Extracurricular 
Activities]])</f>
        <v>False</v>
      </c>
      <c r="J1498">
        <v>31</v>
      </c>
      <c r="K1498" t="s">
        <v>3117</v>
      </c>
      <c r="L1498">
        <v>99</v>
      </c>
      <c r="M1498" s="12" t="str" cm="1">
        <f t="array" ref="M149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498">
        <v>61</v>
      </c>
      <c r="O1498" s="13" t="str" cm="1">
        <f t="array" ref="O149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498">
        <v>91</v>
      </c>
      <c r="Q1498" s="13" t="str" cm="1">
        <f t="array" ref="Q149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498">
        <v>73</v>
      </c>
      <c r="S1498" t="str" cm="1">
        <f t="array" ref="S149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498">
        <v>89</v>
      </c>
      <c r="U1498" t="str" cm="1">
        <f t="array" ref="U149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498">
        <v>62</v>
      </c>
      <c r="W1498" t="str" cm="1">
        <f t="array" ref="W149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498">
        <v>82</v>
      </c>
      <c r="Y1498" t="str" cm="1">
        <f t="array" ref="Y149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498">
        <f>SUM(Table1[[#This Row],[Math 
Score]],Table1[[#This Row],[History 
Score]],Table1[[#This Row],[Physics 
Score]],Table1[[#This Row],[Chemistry 
Score]],Table1[[#This Row],[Biology 
Score]],Table1[[#This Row],[English 
Score]],Table1[[#This Row],[Geography 
Score]])</f>
        <v>557</v>
      </c>
      <c r="AA1498" s="3">
        <f>AVERAGE(Table1[[#This Row],[Math 
Score]],Table1[[#This Row],[History 
Score]],Table1[[#This Row],[Physics 
Score]],Table1[[#This Row],[Chemistry 
Score]],Table1[[#This Row],[Biology 
Score]],Table1[[#This Row],[English 
Score]],Table1[[#This Row],[Geography 
Score]])</f>
        <v>79.571428571428569</v>
      </c>
      <c r="AB149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498">
        <f t="shared" si="23"/>
        <v>1200</v>
      </c>
      <c r="AD1498" t="str">
        <f>_xlfn.IFS(Table1[[#This Row],[Absence 
Days]]&lt;3,"Excellent",Table1[[#This Row],[Absence 
Days]]&lt;=6,"Good",Table1[[#This Row],[Absence 
Days]]&gt;6,"Poor")</f>
        <v>Excellent</v>
      </c>
    </row>
    <row r="1499" spans="1:30" x14ac:dyDescent="0.35">
      <c r="A1499">
        <v>1498</v>
      </c>
      <c r="B1499" s="2" t="s">
        <v>40</v>
      </c>
      <c r="C1499" t="s">
        <v>670</v>
      </c>
      <c r="D1499" t="str">
        <f>_xlfn.TEXTJOIN(" ",TRUE,Table1[[#This Row],[First 
Name]:[Last 
Name]])</f>
        <v>David Walters</v>
      </c>
      <c r="E1499" t="s">
        <v>2609</v>
      </c>
      <c r="F1499" t="s">
        <v>3244</v>
      </c>
      <c r="G1499" t="str">
        <f ca="1">PROPER(Table1[[#This Row],[Part Time 
Job]])</f>
        <v>False</v>
      </c>
      <c r="H1499" s="3">
        <v>7</v>
      </c>
      <c r="I1499" t="str">
        <f ca="1">PROPER(Table1[[#This Row],[Extracurricular 
Activities]])</f>
        <v>False</v>
      </c>
      <c r="J1499">
        <v>23</v>
      </c>
      <c r="K1499" t="s">
        <v>3122</v>
      </c>
      <c r="L1499">
        <v>70</v>
      </c>
      <c r="M1499" s="12" t="str" cm="1">
        <f t="array" ref="M1499">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499">
        <v>91</v>
      </c>
      <c r="O1499" s="13" t="str" cm="1">
        <f t="array" ref="O149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499">
        <v>81</v>
      </c>
      <c r="Q1499" s="13" t="str" cm="1">
        <f t="array" ref="Q149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499">
        <v>61</v>
      </c>
      <c r="S1499" t="str" cm="1">
        <f t="array" ref="S149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499">
        <v>64</v>
      </c>
      <c r="U1499" t="str" cm="1">
        <f t="array" ref="U149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499">
        <v>93</v>
      </c>
      <c r="W1499" t="str" cm="1">
        <f t="array" ref="W149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499">
        <v>96</v>
      </c>
      <c r="Y1499" t="str" cm="1">
        <f t="array" ref="Y149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499">
        <f>SUM(Table1[[#This Row],[Math 
Score]],Table1[[#This Row],[History 
Score]],Table1[[#This Row],[Physics 
Score]],Table1[[#This Row],[Chemistry 
Score]],Table1[[#This Row],[Biology 
Score]],Table1[[#This Row],[English 
Score]],Table1[[#This Row],[Geography 
Score]])</f>
        <v>556</v>
      </c>
      <c r="AA1499" s="3">
        <f>AVERAGE(Table1[[#This Row],[Math 
Score]],Table1[[#This Row],[History 
Score]],Table1[[#This Row],[Physics 
Score]],Table1[[#This Row],[Chemistry 
Score]],Table1[[#This Row],[Biology 
Score]],Table1[[#This Row],[English 
Score]],Table1[[#This Row],[Geography 
Score]])</f>
        <v>79.428571428571431</v>
      </c>
      <c r="AB149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499">
        <f t="shared" si="23"/>
        <v>1224</v>
      </c>
      <c r="AD1499" t="str">
        <f>_xlfn.IFS(Table1[[#This Row],[Absence 
Days]]&lt;3,"Excellent",Table1[[#This Row],[Absence 
Days]]&lt;=6,"Good",Table1[[#This Row],[Absence 
Days]]&gt;6,"Poor")</f>
        <v>Poor</v>
      </c>
    </row>
    <row r="1500" spans="1:30" x14ac:dyDescent="0.35">
      <c r="A1500">
        <v>1499</v>
      </c>
      <c r="B1500" s="2" t="s">
        <v>26</v>
      </c>
      <c r="C1500" t="s">
        <v>569</v>
      </c>
      <c r="D1500" t="str">
        <f>_xlfn.TEXTJOIN(" ",TRUE,Table1[[#This Row],[First 
Name]:[Last 
Name]])</f>
        <v>Jeffrey Moore</v>
      </c>
      <c r="E1500" t="s">
        <v>2610</v>
      </c>
      <c r="F1500" t="s">
        <v>3244</v>
      </c>
      <c r="G1500" t="str">
        <f ca="1">PROPER(Table1[[#This Row],[Part Time 
Job]])</f>
        <v>False</v>
      </c>
      <c r="H1500" s="3">
        <v>1</v>
      </c>
      <c r="I1500" t="str">
        <f ca="1">PROPER(Table1[[#This Row],[Extracurricular 
Activities]])</f>
        <v>False</v>
      </c>
      <c r="J1500">
        <v>23</v>
      </c>
      <c r="K1500" t="s">
        <v>3124</v>
      </c>
      <c r="L1500">
        <v>62</v>
      </c>
      <c r="M1500" s="12" t="str" cm="1">
        <f t="array" ref="M1500">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500">
        <v>72</v>
      </c>
      <c r="O1500" s="13" t="str" cm="1">
        <f t="array" ref="O150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500">
        <v>78</v>
      </c>
      <c r="Q1500" s="13" t="str" cm="1">
        <f t="array" ref="Q150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500">
        <v>96</v>
      </c>
      <c r="S1500" t="str" cm="1">
        <f t="array" ref="S150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500">
        <v>70</v>
      </c>
      <c r="U1500" t="str" cm="1">
        <f t="array" ref="U150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500">
        <v>74</v>
      </c>
      <c r="W1500" t="str" cm="1">
        <f t="array" ref="W150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500">
        <v>72</v>
      </c>
      <c r="Y1500" t="str" cm="1">
        <f t="array" ref="Y150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500">
        <f>SUM(Table1[[#This Row],[Math 
Score]],Table1[[#This Row],[History 
Score]],Table1[[#This Row],[Physics 
Score]],Table1[[#This Row],[Chemistry 
Score]],Table1[[#This Row],[Biology 
Score]],Table1[[#This Row],[English 
Score]],Table1[[#This Row],[Geography 
Score]])</f>
        <v>524</v>
      </c>
      <c r="AA1500" s="3">
        <f>AVERAGE(Table1[[#This Row],[Math 
Score]],Table1[[#This Row],[History 
Score]],Table1[[#This Row],[Physics 
Score]],Table1[[#This Row],[Chemistry 
Score]],Table1[[#This Row],[Biology 
Score]],Table1[[#This Row],[English 
Score]],Table1[[#This Row],[Geography 
Score]])</f>
        <v>74.857142857142861</v>
      </c>
      <c r="AB150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500">
        <f t="shared" si="23"/>
        <v>1715</v>
      </c>
      <c r="AD1500" t="str">
        <f>_xlfn.IFS(Table1[[#This Row],[Absence 
Days]]&lt;3,"Excellent",Table1[[#This Row],[Absence 
Days]]&lt;=6,"Good",Table1[[#This Row],[Absence 
Days]]&gt;6,"Poor")</f>
        <v>Excellent</v>
      </c>
    </row>
    <row r="1501" spans="1:30" x14ac:dyDescent="0.35">
      <c r="A1501">
        <v>1500</v>
      </c>
      <c r="B1501" s="2" t="s">
        <v>317</v>
      </c>
      <c r="C1501" t="s">
        <v>475</v>
      </c>
      <c r="D1501" t="str">
        <f>_xlfn.TEXTJOIN(" ",TRUE,Table1[[#This Row],[First 
Name]:[Last 
Name]])</f>
        <v>Stacey Williams</v>
      </c>
      <c r="E1501" t="s">
        <v>2611</v>
      </c>
      <c r="F1501" t="s">
        <v>3245</v>
      </c>
      <c r="G1501" t="str">
        <f ca="1">PROPER(Table1[[#This Row],[Part Time 
Job]])</f>
        <v>True</v>
      </c>
      <c r="H1501" s="3">
        <v>0</v>
      </c>
      <c r="I1501" t="str">
        <f ca="1">PROPER(Table1[[#This Row],[Extracurricular 
Activities]])</f>
        <v>False</v>
      </c>
      <c r="J1501">
        <v>27</v>
      </c>
      <c r="K1501" t="s">
        <v>3117</v>
      </c>
      <c r="L1501">
        <v>94</v>
      </c>
      <c r="M1501" s="12" t="str" cm="1">
        <f t="array" ref="M150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501">
        <v>97</v>
      </c>
      <c r="O1501" s="13" t="str" cm="1">
        <f t="array" ref="O150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501">
        <v>73</v>
      </c>
      <c r="Q1501" s="13" t="str" cm="1">
        <f t="array" ref="Q150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501">
        <v>79</v>
      </c>
      <c r="S1501" t="str" cm="1">
        <f t="array" ref="S150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501">
        <v>84</v>
      </c>
      <c r="U1501" t="str" cm="1">
        <f t="array" ref="U150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501">
        <v>66</v>
      </c>
      <c r="W1501" t="str" cm="1">
        <f t="array" ref="W150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501">
        <v>64</v>
      </c>
      <c r="Y1501" t="str" cm="1">
        <f t="array" ref="Y150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501">
        <f>SUM(Table1[[#This Row],[Math 
Score]],Table1[[#This Row],[History 
Score]],Table1[[#This Row],[Physics 
Score]],Table1[[#This Row],[Chemistry 
Score]],Table1[[#This Row],[Biology 
Score]],Table1[[#This Row],[English 
Score]],Table1[[#This Row],[Geography 
Score]])</f>
        <v>557</v>
      </c>
      <c r="AA1501" s="3">
        <f>AVERAGE(Table1[[#This Row],[Math 
Score]],Table1[[#This Row],[History 
Score]],Table1[[#This Row],[Physics 
Score]],Table1[[#This Row],[Chemistry 
Score]],Table1[[#This Row],[Biology 
Score]],Table1[[#This Row],[English 
Score]],Table1[[#This Row],[Geography 
Score]])</f>
        <v>79.571428571428569</v>
      </c>
      <c r="AB150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501">
        <f t="shared" si="23"/>
        <v>1200</v>
      </c>
      <c r="AD1501" t="str">
        <f>_xlfn.IFS(Table1[[#This Row],[Absence 
Days]]&lt;3,"Excellent",Table1[[#This Row],[Absence 
Days]]&lt;=6,"Good",Table1[[#This Row],[Absence 
Days]]&gt;6,"Poor")</f>
        <v>Excellent</v>
      </c>
    </row>
    <row r="1502" spans="1:30" x14ac:dyDescent="0.35">
      <c r="A1502">
        <v>1501</v>
      </c>
      <c r="B1502" s="2" t="s">
        <v>92</v>
      </c>
      <c r="C1502" t="s">
        <v>508</v>
      </c>
      <c r="D1502" t="str">
        <f>_xlfn.TEXTJOIN(" ",TRUE,Table1[[#This Row],[First 
Name]:[Last 
Name]])</f>
        <v>Beth Stephens</v>
      </c>
      <c r="E1502" t="s">
        <v>2612</v>
      </c>
      <c r="F1502" t="s">
        <v>3245</v>
      </c>
      <c r="G1502" t="str">
        <f ca="1">PROPER(Table1[[#This Row],[Part Time 
Job]])</f>
        <v>False</v>
      </c>
      <c r="H1502" s="3">
        <v>3</v>
      </c>
      <c r="I1502" t="str">
        <f ca="1">PROPER(Table1[[#This Row],[Extracurricular 
Activities]])</f>
        <v>True</v>
      </c>
      <c r="J1502">
        <v>5</v>
      </c>
      <c r="K1502" t="s">
        <v>3128</v>
      </c>
      <c r="L1502">
        <v>79</v>
      </c>
      <c r="M1502" s="12" t="str" cm="1">
        <f t="array" ref="M150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502">
        <v>93</v>
      </c>
      <c r="O1502" s="13" t="str" cm="1">
        <f t="array" ref="O150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502">
        <v>100</v>
      </c>
      <c r="Q1502" s="13" t="str" cm="1">
        <f t="array" ref="Q150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502">
        <v>83</v>
      </c>
      <c r="S1502" t="str" cm="1">
        <f t="array" ref="S150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502">
        <v>78</v>
      </c>
      <c r="U1502" t="str" cm="1">
        <f t="array" ref="U150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502">
        <v>80</v>
      </c>
      <c r="W1502" t="str" cm="1">
        <f t="array" ref="W150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502">
        <v>87</v>
      </c>
      <c r="Y1502" t="str" cm="1">
        <f t="array" ref="Y150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502">
        <f>SUM(Table1[[#This Row],[Math 
Score]],Table1[[#This Row],[History 
Score]],Table1[[#This Row],[Physics 
Score]],Table1[[#This Row],[Chemistry 
Score]],Table1[[#This Row],[Biology 
Score]],Table1[[#This Row],[English 
Score]],Table1[[#This Row],[Geography 
Score]])</f>
        <v>600</v>
      </c>
      <c r="AA1502" s="3">
        <f>AVERAGE(Table1[[#This Row],[Math 
Score]],Table1[[#This Row],[History 
Score]],Table1[[#This Row],[Physics 
Score]],Table1[[#This Row],[Chemistry 
Score]],Table1[[#This Row],[Biology 
Score]],Table1[[#This Row],[English 
Score]],Table1[[#This Row],[Geography 
Score]])</f>
        <v>85.714285714285708</v>
      </c>
      <c r="AB150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502">
        <f t="shared" si="23"/>
        <v>406</v>
      </c>
      <c r="AD1502" t="str">
        <f>_xlfn.IFS(Table1[[#This Row],[Absence 
Days]]&lt;3,"Excellent",Table1[[#This Row],[Absence 
Days]]&lt;=6,"Good",Table1[[#This Row],[Absence 
Days]]&gt;6,"Poor")</f>
        <v>Good</v>
      </c>
    </row>
    <row r="1503" spans="1:30" x14ac:dyDescent="0.35">
      <c r="A1503">
        <v>1502</v>
      </c>
      <c r="B1503" s="2" t="s">
        <v>32</v>
      </c>
      <c r="C1503" t="s">
        <v>922</v>
      </c>
      <c r="D1503" t="str">
        <f>_xlfn.TEXTJOIN(" ",TRUE,Table1[[#This Row],[First 
Name]:[Last 
Name]])</f>
        <v>Lisa Franco</v>
      </c>
      <c r="E1503" t="s">
        <v>2613</v>
      </c>
      <c r="F1503" t="s">
        <v>3245</v>
      </c>
      <c r="G1503" t="str">
        <f ca="1">PROPER(Table1[[#This Row],[Part Time 
Job]])</f>
        <v>True</v>
      </c>
      <c r="H1503" s="3">
        <v>10</v>
      </c>
      <c r="I1503" t="str">
        <f ca="1">PROPER(Table1[[#This Row],[Extracurricular 
Activities]])</f>
        <v>False</v>
      </c>
      <c r="J1503">
        <v>4</v>
      </c>
      <c r="K1503" t="s">
        <v>3119</v>
      </c>
      <c r="L1503">
        <v>47</v>
      </c>
      <c r="M1503" s="12" t="str" cm="1">
        <f t="array" ref="M1503">_xlfn.IFS(Table1[[#This Row],[Math 
Score]]&gt;=90,"A+",Table1[[#This Row],[Math 
Score]]&gt;=80,"A", Table1[[#This Row],[Math 
Score]]&gt;=75,"A-",Table1[[#This Row],[Math 
Score]]&gt;=70,"B+",Table1[[#This Row],[Math 
Score]]&gt;=65,"B",Table1[[#This Row],[Math 
Score]]&gt;=60,"B-",Table1[[#This Row],[Math 
Score]]&gt;=50,"C",Table1[[#This Row],[Math 
Score]]&gt;=40,"D",Table1[[#This Row],[Math 
Score]]&lt;40,"F")</f>
        <v>D</v>
      </c>
      <c r="N1503">
        <v>75</v>
      </c>
      <c r="O1503" s="13" t="str" cm="1">
        <f t="array" ref="O150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503">
        <v>53</v>
      </c>
      <c r="Q1503" s="13" t="str" cm="1">
        <f t="array" ref="Q150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C</v>
      </c>
      <c r="R1503">
        <v>60</v>
      </c>
      <c r="S1503" t="str" cm="1">
        <f t="array" ref="S150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503">
        <v>90</v>
      </c>
      <c r="U1503" t="str" cm="1">
        <f t="array" ref="U150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503">
        <v>59</v>
      </c>
      <c r="W1503" t="str" cm="1">
        <f t="array" ref="W150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C</v>
      </c>
      <c r="X1503">
        <v>86</v>
      </c>
      <c r="Y1503" t="str" cm="1">
        <f t="array" ref="Y150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503">
        <f>SUM(Table1[[#This Row],[Math 
Score]],Table1[[#This Row],[History 
Score]],Table1[[#This Row],[Physics 
Score]],Table1[[#This Row],[Chemistry 
Score]],Table1[[#This Row],[Biology 
Score]],Table1[[#This Row],[English 
Score]],Table1[[#This Row],[Geography 
Score]])</f>
        <v>470</v>
      </c>
      <c r="AA1503" s="3">
        <f>AVERAGE(Table1[[#This Row],[Math 
Score]],Table1[[#This Row],[History 
Score]],Table1[[#This Row],[Physics 
Score]],Table1[[#This Row],[Chemistry 
Score]],Table1[[#This Row],[Biology 
Score]],Table1[[#This Row],[English 
Score]],Table1[[#This Row],[Geography 
Score]])</f>
        <v>67.142857142857139</v>
      </c>
      <c r="AB150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503">
        <f t="shared" si="23"/>
        <v>1961</v>
      </c>
      <c r="AD1503" t="str">
        <f>_xlfn.IFS(Table1[[#This Row],[Absence 
Days]]&lt;3,"Excellent",Table1[[#This Row],[Absence 
Days]]&lt;=6,"Good",Table1[[#This Row],[Absence 
Days]]&gt;6,"Poor")</f>
        <v>Poor</v>
      </c>
    </row>
    <row r="1504" spans="1:30" x14ac:dyDescent="0.35">
      <c r="A1504">
        <v>1503</v>
      </c>
      <c r="B1504" s="2" t="s">
        <v>165</v>
      </c>
      <c r="C1504" t="s">
        <v>1029</v>
      </c>
      <c r="D1504" t="str">
        <f>_xlfn.TEXTJOIN(" ",TRUE,Table1[[#This Row],[First 
Name]:[Last 
Name]])</f>
        <v>Sarah Snow</v>
      </c>
      <c r="E1504" t="s">
        <v>2614</v>
      </c>
      <c r="F1504" t="s">
        <v>3245</v>
      </c>
      <c r="G1504" t="str">
        <f ca="1">PROPER(Table1[[#This Row],[Part Time 
Job]])</f>
        <v>False</v>
      </c>
      <c r="H1504" s="3">
        <v>9</v>
      </c>
      <c r="I1504" t="str">
        <f ca="1">PROPER(Table1[[#This Row],[Extracurricular 
Activities]])</f>
        <v>False</v>
      </c>
      <c r="J1504">
        <v>21</v>
      </c>
      <c r="K1504" t="s">
        <v>3121</v>
      </c>
      <c r="L1504">
        <v>100</v>
      </c>
      <c r="M1504" s="12" t="str" cm="1">
        <f t="array" ref="M150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504">
        <v>73</v>
      </c>
      <c r="O1504" s="13" t="str" cm="1">
        <f t="array" ref="O150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504">
        <v>70</v>
      </c>
      <c r="Q1504" s="13" t="str" cm="1">
        <f t="array" ref="Q150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504">
        <v>71</v>
      </c>
      <c r="S1504" t="str" cm="1">
        <f t="array" ref="S150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504">
        <v>73</v>
      </c>
      <c r="U1504" t="str" cm="1">
        <f t="array" ref="U150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504">
        <v>96</v>
      </c>
      <c r="W1504" t="str" cm="1">
        <f t="array" ref="W150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504">
        <v>67</v>
      </c>
      <c r="Y1504" t="str" cm="1">
        <f t="array" ref="Y150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504">
        <f>SUM(Table1[[#This Row],[Math 
Score]],Table1[[#This Row],[History 
Score]],Table1[[#This Row],[Physics 
Score]],Table1[[#This Row],[Chemistry 
Score]],Table1[[#This Row],[Biology 
Score]],Table1[[#This Row],[English 
Score]],Table1[[#This Row],[Geography 
Score]])</f>
        <v>550</v>
      </c>
      <c r="AA1504" s="3">
        <f>AVERAGE(Table1[[#This Row],[Math 
Score]],Table1[[#This Row],[History 
Score]],Table1[[#This Row],[Physics 
Score]],Table1[[#This Row],[Chemistry 
Score]],Table1[[#This Row],[Biology 
Score]],Table1[[#This Row],[English 
Score]],Table1[[#This Row],[Geography 
Score]])</f>
        <v>78.571428571428569</v>
      </c>
      <c r="AB150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504">
        <f t="shared" si="23"/>
        <v>1338</v>
      </c>
      <c r="AD1504" t="str">
        <f>_xlfn.IFS(Table1[[#This Row],[Absence 
Days]]&lt;3,"Excellent",Table1[[#This Row],[Absence 
Days]]&lt;=6,"Good",Table1[[#This Row],[Absence 
Days]]&gt;6,"Poor")</f>
        <v>Poor</v>
      </c>
    </row>
    <row r="1505" spans="1:30" x14ac:dyDescent="0.35">
      <c r="A1505">
        <v>1504</v>
      </c>
      <c r="B1505" s="2" t="s">
        <v>412</v>
      </c>
      <c r="C1505" t="s">
        <v>589</v>
      </c>
      <c r="D1505" t="str">
        <f>_xlfn.TEXTJOIN(" ",TRUE,Table1[[#This Row],[First 
Name]:[Last 
Name]])</f>
        <v>Frederick Lopez</v>
      </c>
      <c r="E1505" t="s">
        <v>2615</v>
      </c>
      <c r="F1505" t="s">
        <v>3244</v>
      </c>
      <c r="G1505" t="str">
        <f ca="1">PROPER(Table1[[#This Row],[Part Time 
Job]])</f>
        <v>False</v>
      </c>
      <c r="H1505" s="3">
        <v>5</v>
      </c>
      <c r="I1505" t="str">
        <f ca="1">PROPER(Table1[[#This Row],[Extracurricular 
Activities]])</f>
        <v>False</v>
      </c>
      <c r="J1505">
        <v>26</v>
      </c>
      <c r="K1505" t="s">
        <v>3121</v>
      </c>
      <c r="L1505">
        <v>90</v>
      </c>
      <c r="M1505" s="12" t="str" cm="1">
        <f t="array" ref="M150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505">
        <v>69</v>
      </c>
      <c r="O1505" s="13" t="str" cm="1">
        <f t="array" ref="O150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505">
        <v>75</v>
      </c>
      <c r="Q1505" s="13" t="str" cm="1">
        <f t="array" ref="Q150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505">
        <v>98</v>
      </c>
      <c r="S1505" t="str" cm="1">
        <f t="array" ref="S150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505">
        <v>70</v>
      </c>
      <c r="U1505" t="str" cm="1">
        <f t="array" ref="U150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505">
        <v>75</v>
      </c>
      <c r="W1505" t="str" cm="1">
        <f t="array" ref="W150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505">
        <v>80</v>
      </c>
      <c r="Y1505" t="str" cm="1">
        <f t="array" ref="Y150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505">
        <f>SUM(Table1[[#This Row],[Math 
Score]],Table1[[#This Row],[History 
Score]],Table1[[#This Row],[Physics 
Score]],Table1[[#This Row],[Chemistry 
Score]],Table1[[#This Row],[Biology 
Score]],Table1[[#This Row],[English 
Score]],Table1[[#This Row],[Geography 
Score]])</f>
        <v>557</v>
      </c>
      <c r="AA1505" s="3">
        <f>AVERAGE(Table1[[#This Row],[Math 
Score]],Table1[[#This Row],[History 
Score]],Table1[[#This Row],[Physics 
Score]],Table1[[#This Row],[Chemistry 
Score]],Table1[[#This Row],[Biology 
Score]],Table1[[#This Row],[English 
Score]],Table1[[#This Row],[Geography 
Score]])</f>
        <v>79.571428571428569</v>
      </c>
      <c r="AB150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505">
        <f t="shared" si="23"/>
        <v>1200</v>
      </c>
      <c r="AD1505" t="str">
        <f>_xlfn.IFS(Table1[[#This Row],[Absence 
Days]]&lt;3,"Excellent",Table1[[#This Row],[Absence 
Days]]&lt;=6,"Good",Table1[[#This Row],[Absence 
Days]]&gt;6,"Poor")</f>
        <v>Good</v>
      </c>
    </row>
    <row r="1506" spans="1:30" x14ac:dyDescent="0.35">
      <c r="A1506">
        <v>1505</v>
      </c>
      <c r="B1506" s="2" t="s">
        <v>29</v>
      </c>
      <c r="C1506" t="s">
        <v>462</v>
      </c>
      <c r="D1506" t="str">
        <f>_xlfn.TEXTJOIN(" ",TRUE,Table1[[#This Row],[First 
Name]:[Last 
Name]])</f>
        <v>Cynthia White</v>
      </c>
      <c r="E1506" t="s">
        <v>2616</v>
      </c>
      <c r="F1506" t="s">
        <v>3245</v>
      </c>
      <c r="G1506" t="str">
        <f ca="1">PROPER(Table1[[#This Row],[Part Time 
Job]])</f>
        <v>False</v>
      </c>
      <c r="H1506" s="3">
        <v>2</v>
      </c>
      <c r="I1506" t="str">
        <f ca="1">PROPER(Table1[[#This Row],[Extracurricular 
Activities]])</f>
        <v>False</v>
      </c>
      <c r="J1506">
        <v>13</v>
      </c>
      <c r="K1506" t="s">
        <v>3118</v>
      </c>
      <c r="L1506">
        <v>63</v>
      </c>
      <c r="M1506" s="12" t="str" cm="1">
        <f t="array" ref="M1506">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506">
        <v>94</v>
      </c>
      <c r="O1506" s="13" t="str" cm="1">
        <f t="array" ref="O150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506">
        <v>65</v>
      </c>
      <c r="Q1506" s="13" t="str" cm="1">
        <f t="array" ref="Q150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506">
        <v>98</v>
      </c>
      <c r="S1506" t="str" cm="1">
        <f t="array" ref="S150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506">
        <v>69</v>
      </c>
      <c r="U1506" t="str" cm="1">
        <f t="array" ref="U150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506">
        <v>90</v>
      </c>
      <c r="W1506" t="str" cm="1">
        <f t="array" ref="W150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506">
        <v>85</v>
      </c>
      <c r="Y1506" t="str" cm="1">
        <f t="array" ref="Y150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506">
        <f>SUM(Table1[[#This Row],[Math 
Score]],Table1[[#This Row],[History 
Score]],Table1[[#This Row],[Physics 
Score]],Table1[[#This Row],[Chemistry 
Score]],Table1[[#This Row],[Biology 
Score]],Table1[[#This Row],[English 
Score]],Table1[[#This Row],[Geography 
Score]])</f>
        <v>564</v>
      </c>
      <c r="AA1506" s="3">
        <f>AVERAGE(Table1[[#This Row],[Math 
Score]],Table1[[#This Row],[History 
Score]],Table1[[#This Row],[Physics 
Score]],Table1[[#This Row],[Chemistry 
Score]],Table1[[#This Row],[Biology 
Score]],Table1[[#This Row],[English 
Score]],Table1[[#This Row],[Geography 
Score]])</f>
        <v>80.571428571428569</v>
      </c>
      <c r="AB150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506">
        <f t="shared" si="23"/>
        <v>1056</v>
      </c>
      <c r="AD1506" t="str">
        <f>_xlfn.IFS(Table1[[#This Row],[Absence 
Days]]&lt;3,"Excellent",Table1[[#This Row],[Absence 
Days]]&lt;=6,"Good",Table1[[#This Row],[Absence 
Days]]&gt;6,"Poor")</f>
        <v>Excellent</v>
      </c>
    </row>
    <row r="1507" spans="1:30" x14ac:dyDescent="0.35">
      <c r="A1507">
        <v>1506</v>
      </c>
      <c r="B1507" s="2" t="s">
        <v>146</v>
      </c>
      <c r="C1507" t="s">
        <v>940</v>
      </c>
      <c r="D1507" t="str">
        <f>_xlfn.TEXTJOIN(" ",TRUE,Table1[[#This Row],[First 
Name]:[Last 
Name]])</f>
        <v>Samantha Hopkins</v>
      </c>
      <c r="E1507" t="s">
        <v>2617</v>
      </c>
      <c r="F1507" t="s">
        <v>3245</v>
      </c>
      <c r="G1507" t="str">
        <f ca="1">PROPER(Table1[[#This Row],[Part Time 
Job]])</f>
        <v>False</v>
      </c>
      <c r="H1507" s="3">
        <v>7</v>
      </c>
      <c r="I1507" t="str">
        <f ca="1">PROPER(Table1[[#This Row],[Extracurricular 
Activities]])</f>
        <v>False</v>
      </c>
      <c r="J1507">
        <v>10</v>
      </c>
      <c r="K1507" t="s">
        <v>3116</v>
      </c>
      <c r="L1507">
        <v>78</v>
      </c>
      <c r="M1507" s="12" t="str" cm="1">
        <f t="array" ref="M150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507">
        <v>76</v>
      </c>
      <c r="O1507" s="13" t="str" cm="1">
        <f t="array" ref="O150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507">
        <v>93</v>
      </c>
      <c r="Q1507" s="13" t="str" cm="1">
        <f t="array" ref="Q150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507">
        <v>88</v>
      </c>
      <c r="S1507" t="str" cm="1">
        <f t="array" ref="S150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507">
        <v>83</v>
      </c>
      <c r="U1507" t="str" cm="1">
        <f t="array" ref="U150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507">
        <v>99</v>
      </c>
      <c r="W1507" t="str" cm="1">
        <f t="array" ref="W150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507">
        <v>98</v>
      </c>
      <c r="Y1507" t="str" cm="1">
        <f t="array" ref="Y150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507">
        <f>SUM(Table1[[#This Row],[Math 
Score]],Table1[[#This Row],[History 
Score]],Table1[[#This Row],[Physics 
Score]],Table1[[#This Row],[Chemistry 
Score]],Table1[[#This Row],[Biology 
Score]],Table1[[#This Row],[English 
Score]],Table1[[#This Row],[Geography 
Score]])</f>
        <v>615</v>
      </c>
      <c r="AA1507" s="3">
        <f>AVERAGE(Table1[[#This Row],[Math 
Score]],Table1[[#This Row],[History 
Score]],Table1[[#This Row],[Physics 
Score]],Table1[[#This Row],[Chemistry 
Score]],Table1[[#This Row],[Biology 
Score]],Table1[[#This Row],[English 
Score]],Table1[[#This Row],[Geography 
Score]])</f>
        <v>87.857142857142861</v>
      </c>
      <c r="AB150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507">
        <f t="shared" si="23"/>
        <v>251</v>
      </c>
      <c r="AD1507" t="str">
        <f>_xlfn.IFS(Table1[[#This Row],[Absence 
Days]]&lt;3,"Excellent",Table1[[#This Row],[Absence 
Days]]&lt;=6,"Good",Table1[[#This Row],[Absence 
Days]]&gt;6,"Poor")</f>
        <v>Poor</v>
      </c>
    </row>
    <row r="1508" spans="1:30" x14ac:dyDescent="0.35">
      <c r="A1508">
        <v>1507</v>
      </c>
      <c r="B1508" s="2" t="s">
        <v>413</v>
      </c>
      <c r="C1508" t="s">
        <v>965</v>
      </c>
      <c r="D1508" t="str">
        <f>_xlfn.TEXTJOIN(" ",TRUE,Table1[[#This Row],[First 
Name]:[Last 
Name]])</f>
        <v>Destiny Rhodes</v>
      </c>
      <c r="E1508" t="s">
        <v>2618</v>
      </c>
      <c r="F1508" t="s">
        <v>3245</v>
      </c>
      <c r="G1508" t="str">
        <f ca="1">PROPER(Table1[[#This Row],[Part Time 
Job]])</f>
        <v>False</v>
      </c>
      <c r="H1508" s="3">
        <v>4</v>
      </c>
      <c r="I1508" t="str">
        <f ca="1">PROPER(Table1[[#This Row],[Extracurricular 
Activities]])</f>
        <v>False</v>
      </c>
      <c r="J1508">
        <v>25</v>
      </c>
      <c r="K1508" t="s">
        <v>3117</v>
      </c>
      <c r="L1508">
        <v>95</v>
      </c>
      <c r="M1508" s="12" t="str" cm="1">
        <f t="array" ref="M150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508">
        <v>94</v>
      </c>
      <c r="O1508" s="13" t="str" cm="1">
        <f t="array" ref="O150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508">
        <v>69</v>
      </c>
      <c r="Q1508" s="13" t="str" cm="1">
        <f t="array" ref="Q150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508">
        <v>73</v>
      </c>
      <c r="S1508" t="str" cm="1">
        <f t="array" ref="S150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508">
        <v>71</v>
      </c>
      <c r="U1508" t="str" cm="1">
        <f t="array" ref="U150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508">
        <v>93</v>
      </c>
      <c r="W1508" t="str" cm="1">
        <f t="array" ref="W150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508">
        <v>71</v>
      </c>
      <c r="Y1508" t="str" cm="1">
        <f t="array" ref="Y150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508">
        <f>SUM(Table1[[#This Row],[Math 
Score]],Table1[[#This Row],[History 
Score]],Table1[[#This Row],[Physics 
Score]],Table1[[#This Row],[Chemistry 
Score]],Table1[[#This Row],[Biology 
Score]],Table1[[#This Row],[English 
Score]],Table1[[#This Row],[Geography 
Score]])</f>
        <v>566</v>
      </c>
      <c r="AA1508" s="3">
        <f>AVERAGE(Table1[[#This Row],[Math 
Score]],Table1[[#This Row],[History 
Score]],Table1[[#This Row],[Physics 
Score]],Table1[[#This Row],[Chemistry 
Score]],Table1[[#This Row],[Biology 
Score]],Table1[[#This Row],[English 
Score]],Table1[[#This Row],[Geography 
Score]])</f>
        <v>80.857142857142861</v>
      </c>
      <c r="AB150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508">
        <f t="shared" si="23"/>
        <v>1019</v>
      </c>
      <c r="AD1508" t="str">
        <f>_xlfn.IFS(Table1[[#This Row],[Absence 
Days]]&lt;3,"Excellent",Table1[[#This Row],[Absence 
Days]]&lt;=6,"Good",Table1[[#This Row],[Absence 
Days]]&gt;6,"Poor")</f>
        <v>Good</v>
      </c>
    </row>
    <row r="1509" spans="1:30" x14ac:dyDescent="0.35">
      <c r="A1509">
        <v>1508</v>
      </c>
      <c r="B1509" s="2" t="s">
        <v>102</v>
      </c>
      <c r="C1509" t="s">
        <v>532</v>
      </c>
      <c r="D1509" t="str">
        <f>_xlfn.TEXTJOIN(" ",TRUE,Table1[[#This Row],[First 
Name]:[Last 
Name]])</f>
        <v>Jessica Jones</v>
      </c>
      <c r="E1509" t="s">
        <v>2619</v>
      </c>
      <c r="F1509" t="s">
        <v>3245</v>
      </c>
      <c r="G1509" t="str">
        <f ca="1">PROPER(Table1[[#This Row],[Part Time 
Job]])</f>
        <v>False</v>
      </c>
      <c r="H1509" s="3">
        <v>4</v>
      </c>
      <c r="I1509" t="str">
        <f ca="1">PROPER(Table1[[#This Row],[Extracurricular 
Activities]])</f>
        <v>False</v>
      </c>
      <c r="J1509">
        <v>13</v>
      </c>
      <c r="K1509" t="s">
        <v>3116</v>
      </c>
      <c r="L1509">
        <v>88</v>
      </c>
      <c r="M1509" s="12" t="str" cm="1">
        <f t="array" ref="M150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509">
        <v>92</v>
      </c>
      <c r="O1509" s="13" t="str" cm="1">
        <f t="array" ref="O150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509">
        <v>66</v>
      </c>
      <c r="Q1509" s="13" t="str" cm="1">
        <f t="array" ref="Q150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509">
        <v>100</v>
      </c>
      <c r="S1509" t="str" cm="1">
        <f t="array" ref="S150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509">
        <v>98</v>
      </c>
      <c r="U1509" t="str" cm="1">
        <f t="array" ref="U150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509">
        <v>99</v>
      </c>
      <c r="W1509" t="str" cm="1">
        <f t="array" ref="W150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509">
        <v>70</v>
      </c>
      <c r="Y1509" t="str" cm="1">
        <f t="array" ref="Y150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509">
        <f>SUM(Table1[[#This Row],[Math 
Score]],Table1[[#This Row],[History 
Score]],Table1[[#This Row],[Physics 
Score]],Table1[[#This Row],[Chemistry 
Score]],Table1[[#This Row],[Biology 
Score]],Table1[[#This Row],[English 
Score]],Table1[[#This Row],[Geography 
Score]])</f>
        <v>613</v>
      </c>
      <c r="AA1509" s="3">
        <f>AVERAGE(Table1[[#This Row],[Math 
Score]],Table1[[#This Row],[History 
Score]],Table1[[#This Row],[Physics 
Score]],Table1[[#This Row],[Chemistry 
Score]],Table1[[#This Row],[Biology 
Score]],Table1[[#This Row],[English 
Score]],Table1[[#This Row],[Geography 
Score]])</f>
        <v>87.571428571428569</v>
      </c>
      <c r="AB150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509">
        <f t="shared" si="23"/>
        <v>271</v>
      </c>
      <c r="AD1509" t="str">
        <f>_xlfn.IFS(Table1[[#This Row],[Absence 
Days]]&lt;3,"Excellent",Table1[[#This Row],[Absence 
Days]]&lt;=6,"Good",Table1[[#This Row],[Absence 
Days]]&gt;6,"Poor")</f>
        <v>Good</v>
      </c>
    </row>
    <row r="1510" spans="1:30" x14ac:dyDescent="0.35">
      <c r="A1510">
        <v>1509</v>
      </c>
      <c r="B1510" s="2" t="s">
        <v>109</v>
      </c>
      <c r="C1510" t="s">
        <v>458</v>
      </c>
      <c r="D1510" t="str">
        <f>_xlfn.TEXTJOIN(" ",TRUE,Table1[[#This Row],[First 
Name]:[Last 
Name]])</f>
        <v>Mark Smith</v>
      </c>
      <c r="E1510" t="s">
        <v>2620</v>
      </c>
      <c r="F1510" t="s">
        <v>3244</v>
      </c>
      <c r="G1510" t="str">
        <f ca="1">PROPER(Table1[[#This Row],[Part Time 
Job]])</f>
        <v>False</v>
      </c>
      <c r="H1510" s="3">
        <v>2</v>
      </c>
      <c r="I1510" t="str">
        <f ca="1">PROPER(Table1[[#This Row],[Extracurricular 
Activities]])</f>
        <v>False</v>
      </c>
      <c r="J1510">
        <v>29</v>
      </c>
      <c r="K1510" t="s">
        <v>3125</v>
      </c>
      <c r="L1510">
        <v>87</v>
      </c>
      <c r="M1510" s="12" t="str" cm="1">
        <f t="array" ref="M151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510">
        <v>86</v>
      </c>
      <c r="O1510" s="13" t="str" cm="1">
        <f t="array" ref="O151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510">
        <v>95</v>
      </c>
      <c r="Q1510" s="13" t="str" cm="1">
        <f t="array" ref="Q151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510">
        <v>92</v>
      </c>
      <c r="S1510" t="str" cm="1">
        <f t="array" ref="S151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510">
        <v>91</v>
      </c>
      <c r="U1510" t="str" cm="1">
        <f t="array" ref="U151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510">
        <v>79</v>
      </c>
      <c r="W1510" t="str" cm="1">
        <f t="array" ref="W151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510">
        <v>64</v>
      </c>
      <c r="Y1510" t="str" cm="1">
        <f t="array" ref="Y151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510">
        <f>SUM(Table1[[#This Row],[Math 
Score]],Table1[[#This Row],[History 
Score]],Table1[[#This Row],[Physics 
Score]],Table1[[#This Row],[Chemistry 
Score]],Table1[[#This Row],[Biology 
Score]],Table1[[#This Row],[English 
Score]],Table1[[#This Row],[Geography 
Score]])</f>
        <v>594</v>
      </c>
      <c r="AA1510" s="3">
        <f>AVERAGE(Table1[[#This Row],[Math 
Score]],Table1[[#This Row],[History 
Score]],Table1[[#This Row],[Physics 
Score]],Table1[[#This Row],[Chemistry 
Score]],Table1[[#This Row],[Biology 
Score]],Table1[[#This Row],[English 
Score]],Table1[[#This Row],[Geography 
Score]])</f>
        <v>84.857142857142861</v>
      </c>
      <c r="AB151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510">
        <f t="shared" si="23"/>
        <v>479</v>
      </c>
      <c r="AD1510" t="str">
        <f>_xlfn.IFS(Table1[[#This Row],[Absence 
Days]]&lt;3,"Excellent",Table1[[#This Row],[Absence 
Days]]&lt;=6,"Good",Table1[[#This Row],[Absence 
Days]]&gt;6,"Poor")</f>
        <v>Excellent</v>
      </c>
    </row>
    <row r="1511" spans="1:30" x14ac:dyDescent="0.35">
      <c r="A1511">
        <v>1510</v>
      </c>
      <c r="B1511" s="2" t="s">
        <v>347</v>
      </c>
      <c r="C1511" t="s">
        <v>1030</v>
      </c>
      <c r="D1511" t="str">
        <f>_xlfn.TEXTJOIN(" ",TRUE,Table1[[#This Row],[First 
Name]:[Last 
Name]])</f>
        <v>Maureen Cain</v>
      </c>
      <c r="E1511" t="s">
        <v>2621</v>
      </c>
      <c r="F1511" t="s">
        <v>3245</v>
      </c>
      <c r="G1511" t="str">
        <f ca="1">PROPER(Table1[[#This Row],[Part Time 
Job]])</f>
        <v>False</v>
      </c>
      <c r="H1511" s="3">
        <v>4</v>
      </c>
      <c r="I1511" t="str">
        <f ca="1">PROPER(Table1[[#This Row],[Extracurricular 
Activities]])</f>
        <v>False</v>
      </c>
      <c r="J1511">
        <v>1</v>
      </c>
      <c r="K1511" t="s">
        <v>3128</v>
      </c>
      <c r="L1511">
        <v>89</v>
      </c>
      <c r="M1511" s="12" t="str" cm="1">
        <f t="array" ref="M151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511">
        <v>100</v>
      </c>
      <c r="O1511" s="13" t="str" cm="1">
        <f t="array" ref="O151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511">
        <v>81</v>
      </c>
      <c r="Q1511" s="13" t="str" cm="1">
        <f t="array" ref="Q151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511">
        <v>62</v>
      </c>
      <c r="S1511" t="str" cm="1">
        <f t="array" ref="S151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511">
        <v>75</v>
      </c>
      <c r="U1511" t="str" cm="1">
        <f t="array" ref="U151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511">
        <v>68</v>
      </c>
      <c r="W1511" t="str" cm="1">
        <f t="array" ref="W151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511">
        <v>71</v>
      </c>
      <c r="Y1511" t="str" cm="1">
        <f t="array" ref="Y151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511">
        <f>SUM(Table1[[#This Row],[Math 
Score]],Table1[[#This Row],[History 
Score]],Table1[[#This Row],[Physics 
Score]],Table1[[#This Row],[Chemistry 
Score]],Table1[[#This Row],[Biology 
Score]],Table1[[#This Row],[English 
Score]],Table1[[#This Row],[Geography 
Score]])</f>
        <v>546</v>
      </c>
      <c r="AA1511" s="3">
        <f>AVERAGE(Table1[[#This Row],[Math 
Score]],Table1[[#This Row],[History 
Score]],Table1[[#This Row],[Physics 
Score]],Table1[[#This Row],[Chemistry 
Score]],Table1[[#This Row],[Biology 
Score]],Table1[[#This Row],[English 
Score]],Table1[[#This Row],[Geography 
Score]])</f>
        <v>78</v>
      </c>
      <c r="AB151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511">
        <f t="shared" si="23"/>
        <v>1411</v>
      </c>
      <c r="AD1511" t="str">
        <f>_xlfn.IFS(Table1[[#This Row],[Absence 
Days]]&lt;3,"Excellent",Table1[[#This Row],[Absence 
Days]]&lt;=6,"Good",Table1[[#This Row],[Absence 
Days]]&gt;6,"Poor")</f>
        <v>Good</v>
      </c>
    </row>
    <row r="1512" spans="1:30" x14ac:dyDescent="0.35">
      <c r="A1512">
        <v>1511</v>
      </c>
      <c r="B1512" s="2" t="s">
        <v>50</v>
      </c>
      <c r="C1512" t="s">
        <v>1031</v>
      </c>
      <c r="D1512" t="str">
        <f>_xlfn.TEXTJOIN(" ",TRUE,Table1[[#This Row],[First 
Name]:[Last 
Name]])</f>
        <v>Jennifer Fuentes</v>
      </c>
      <c r="E1512" t="s">
        <v>2622</v>
      </c>
      <c r="F1512" t="s">
        <v>3245</v>
      </c>
      <c r="G1512" t="str">
        <f ca="1">PROPER(Table1[[#This Row],[Part Time 
Job]])</f>
        <v>True</v>
      </c>
      <c r="H1512" s="3">
        <v>2</v>
      </c>
      <c r="I1512" t="str">
        <f ca="1">PROPER(Table1[[#This Row],[Extracurricular 
Activities]])</f>
        <v>False</v>
      </c>
      <c r="J1512">
        <v>11</v>
      </c>
      <c r="K1512" t="s">
        <v>3127</v>
      </c>
      <c r="L1512">
        <v>89</v>
      </c>
      <c r="M1512" s="12" t="str" cm="1">
        <f t="array" ref="M151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512">
        <v>65</v>
      </c>
      <c r="O1512" s="13" t="str" cm="1">
        <f t="array" ref="O151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512">
        <v>82</v>
      </c>
      <c r="Q1512" s="13" t="str" cm="1">
        <f t="array" ref="Q151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512">
        <v>77</v>
      </c>
      <c r="S1512" t="str" cm="1">
        <f t="array" ref="S151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512">
        <v>90</v>
      </c>
      <c r="U1512" t="str" cm="1">
        <f t="array" ref="U151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512">
        <v>76</v>
      </c>
      <c r="W1512" t="str" cm="1">
        <f t="array" ref="W151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512">
        <v>84</v>
      </c>
      <c r="Y1512" t="str" cm="1">
        <f t="array" ref="Y151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512">
        <f>SUM(Table1[[#This Row],[Math 
Score]],Table1[[#This Row],[History 
Score]],Table1[[#This Row],[Physics 
Score]],Table1[[#This Row],[Chemistry 
Score]],Table1[[#This Row],[Biology 
Score]],Table1[[#This Row],[English 
Score]],Table1[[#This Row],[Geography 
Score]])</f>
        <v>563</v>
      </c>
      <c r="AA1512" s="3">
        <f>AVERAGE(Table1[[#This Row],[Math 
Score]],Table1[[#This Row],[History 
Score]],Table1[[#This Row],[Physics 
Score]],Table1[[#This Row],[Chemistry 
Score]],Table1[[#This Row],[Biology 
Score]],Table1[[#This Row],[English 
Score]],Table1[[#This Row],[Geography 
Score]])</f>
        <v>80.428571428571431</v>
      </c>
      <c r="AB151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512">
        <f t="shared" si="23"/>
        <v>1077</v>
      </c>
      <c r="AD1512" t="str">
        <f>_xlfn.IFS(Table1[[#This Row],[Absence 
Days]]&lt;3,"Excellent",Table1[[#This Row],[Absence 
Days]]&lt;=6,"Good",Table1[[#This Row],[Absence 
Days]]&gt;6,"Poor")</f>
        <v>Excellent</v>
      </c>
    </row>
    <row r="1513" spans="1:30" x14ac:dyDescent="0.35">
      <c r="A1513">
        <v>1512</v>
      </c>
      <c r="B1513" s="2" t="s">
        <v>50</v>
      </c>
      <c r="C1513" t="s">
        <v>1011</v>
      </c>
      <c r="D1513" t="str">
        <f>_xlfn.TEXTJOIN(" ",TRUE,Table1[[#This Row],[First 
Name]:[Last 
Name]])</f>
        <v>Jennifer Arnold</v>
      </c>
      <c r="E1513" t="s">
        <v>2623</v>
      </c>
      <c r="F1513" t="s">
        <v>3245</v>
      </c>
      <c r="G1513" t="str">
        <f ca="1">PROPER(Table1[[#This Row],[Part Time 
Job]])</f>
        <v>False</v>
      </c>
      <c r="H1513" s="3">
        <v>1</v>
      </c>
      <c r="I1513" t="str">
        <f ca="1">PROPER(Table1[[#This Row],[Extracurricular 
Activities]])</f>
        <v>False</v>
      </c>
      <c r="J1513">
        <v>26</v>
      </c>
      <c r="K1513" t="s">
        <v>3112</v>
      </c>
      <c r="L1513">
        <v>90</v>
      </c>
      <c r="M1513" s="12" t="str" cm="1">
        <f t="array" ref="M151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513">
        <v>100</v>
      </c>
      <c r="O1513" s="13" t="str" cm="1">
        <f t="array" ref="O151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513">
        <v>89</v>
      </c>
      <c r="Q1513" s="13" t="str" cm="1">
        <f t="array" ref="Q151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513">
        <v>69</v>
      </c>
      <c r="S1513" t="str" cm="1">
        <f t="array" ref="S151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513">
        <v>100</v>
      </c>
      <c r="U1513" t="str" cm="1">
        <f t="array" ref="U151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513">
        <v>95</v>
      </c>
      <c r="W1513" t="str" cm="1">
        <f t="array" ref="W151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513">
        <v>94</v>
      </c>
      <c r="Y1513" t="str" cm="1">
        <f t="array" ref="Y151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513">
        <f>SUM(Table1[[#This Row],[Math 
Score]],Table1[[#This Row],[History 
Score]],Table1[[#This Row],[Physics 
Score]],Table1[[#This Row],[Chemistry 
Score]],Table1[[#This Row],[Biology 
Score]],Table1[[#This Row],[English 
Score]],Table1[[#This Row],[Geography 
Score]])</f>
        <v>637</v>
      </c>
      <c r="AA1513" s="3">
        <f>AVERAGE(Table1[[#This Row],[Math 
Score]],Table1[[#This Row],[History 
Score]],Table1[[#This Row],[Physics 
Score]],Table1[[#This Row],[Chemistry 
Score]],Table1[[#This Row],[Biology 
Score]],Table1[[#This Row],[English 
Score]],Table1[[#This Row],[Geography 
Score]])</f>
        <v>91</v>
      </c>
      <c r="AB151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513">
        <f t="shared" si="23"/>
        <v>115</v>
      </c>
      <c r="AD1513" t="str">
        <f>_xlfn.IFS(Table1[[#This Row],[Absence 
Days]]&lt;3,"Excellent",Table1[[#This Row],[Absence 
Days]]&lt;=6,"Good",Table1[[#This Row],[Absence 
Days]]&gt;6,"Poor")</f>
        <v>Excellent</v>
      </c>
    </row>
    <row r="1514" spans="1:30" x14ac:dyDescent="0.35">
      <c r="A1514">
        <v>1513</v>
      </c>
      <c r="B1514" s="2" t="s">
        <v>13</v>
      </c>
      <c r="C1514" t="s">
        <v>458</v>
      </c>
      <c r="D1514" t="str">
        <f>_xlfn.TEXTJOIN(" ",TRUE,Table1[[#This Row],[First 
Name]:[Last 
Name]])</f>
        <v>Laura Smith</v>
      </c>
      <c r="E1514" t="s">
        <v>2624</v>
      </c>
      <c r="F1514" t="s">
        <v>3245</v>
      </c>
      <c r="G1514" t="str">
        <f ca="1">PROPER(Table1[[#This Row],[Part Time 
Job]])</f>
        <v>False</v>
      </c>
      <c r="H1514" s="3">
        <v>0</v>
      </c>
      <c r="I1514" t="str">
        <f ca="1">PROPER(Table1[[#This Row],[Extracurricular 
Activities]])</f>
        <v>False</v>
      </c>
      <c r="J1514">
        <v>12</v>
      </c>
      <c r="K1514" t="s">
        <v>3118</v>
      </c>
      <c r="L1514">
        <v>99</v>
      </c>
      <c r="M1514" s="12" t="str" cm="1">
        <f t="array" ref="M151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514">
        <v>75</v>
      </c>
      <c r="O1514" s="13" t="str" cm="1">
        <f t="array" ref="O151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514">
        <v>71</v>
      </c>
      <c r="Q1514" s="13" t="str" cm="1">
        <f t="array" ref="Q151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514">
        <v>90</v>
      </c>
      <c r="S1514" t="str" cm="1">
        <f t="array" ref="S151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514">
        <v>92</v>
      </c>
      <c r="U1514" t="str" cm="1">
        <f t="array" ref="U151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514">
        <v>78</v>
      </c>
      <c r="W1514" t="str" cm="1">
        <f t="array" ref="W151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514">
        <v>69</v>
      </c>
      <c r="Y1514" t="str" cm="1">
        <f t="array" ref="Y151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514">
        <f>SUM(Table1[[#This Row],[Math 
Score]],Table1[[#This Row],[History 
Score]],Table1[[#This Row],[Physics 
Score]],Table1[[#This Row],[Chemistry 
Score]],Table1[[#This Row],[Biology 
Score]],Table1[[#This Row],[English 
Score]],Table1[[#This Row],[Geography 
Score]])</f>
        <v>574</v>
      </c>
      <c r="AA1514" s="3">
        <f>AVERAGE(Table1[[#This Row],[Math 
Score]],Table1[[#This Row],[History 
Score]],Table1[[#This Row],[Physics 
Score]],Table1[[#This Row],[Chemistry 
Score]],Table1[[#This Row],[Biology 
Score]],Table1[[#This Row],[English 
Score]],Table1[[#This Row],[Geography 
Score]])</f>
        <v>82</v>
      </c>
      <c r="AB151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514">
        <f t="shared" si="23"/>
        <v>832</v>
      </c>
      <c r="AD1514" t="str">
        <f>_xlfn.IFS(Table1[[#This Row],[Absence 
Days]]&lt;3,"Excellent",Table1[[#This Row],[Absence 
Days]]&lt;=6,"Good",Table1[[#This Row],[Absence 
Days]]&gt;6,"Poor")</f>
        <v>Excellent</v>
      </c>
    </row>
    <row r="1515" spans="1:30" x14ac:dyDescent="0.35">
      <c r="A1515">
        <v>1514</v>
      </c>
      <c r="B1515" s="2" t="s">
        <v>40</v>
      </c>
      <c r="C1515" t="s">
        <v>1032</v>
      </c>
      <c r="D1515" t="str">
        <f>_xlfn.TEXTJOIN(" ",TRUE,Table1[[#This Row],[First 
Name]:[Last 
Name]])</f>
        <v>David Shaw</v>
      </c>
      <c r="E1515" t="s">
        <v>2625</v>
      </c>
      <c r="F1515" t="s">
        <v>3244</v>
      </c>
      <c r="G1515" t="str">
        <f ca="1">PROPER(Table1[[#This Row],[Part Time 
Job]])</f>
        <v>True</v>
      </c>
      <c r="H1515" s="3">
        <v>0</v>
      </c>
      <c r="I1515" t="str">
        <f ca="1">PROPER(Table1[[#This Row],[Extracurricular 
Activities]])</f>
        <v>False</v>
      </c>
      <c r="J1515">
        <v>32</v>
      </c>
      <c r="K1515" t="s">
        <v>3117</v>
      </c>
      <c r="L1515">
        <v>91</v>
      </c>
      <c r="M1515" s="12" t="str" cm="1">
        <f t="array" ref="M151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515">
        <v>75</v>
      </c>
      <c r="O1515" s="13" t="str" cm="1">
        <f t="array" ref="O151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515">
        <v>77</v>
      </c>
      <c r="Q1515" s="13" t="str" cm="1">
        <f t="array" ref="Q151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515">
        <v>95</v>
      </c>
      <c r="S1515" t="str" cm="1">
        <f t="array" ref="S151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515">
        <v>80</v>
      </c>
      <c r="U1515" t="str" cm="1">
        <f t="array" ref="U151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515">
        <v>95</v>
      </c>
      <c r="W1515" t="str" cm="1">
        <f t="array" ref="W151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515">
        <v>88</v>
      </c>
      <c r="Y1515" t="str" cm="1">
        <f t="array" ref="Y151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515">
        <f>SUM(Table1[[#This Row],[Math 
Score]],Table1[[#This Row],[History 
Score]],Table1[[#This Row],[Physics 
Score]],Table1[[#This Row],[Chemistry 
Score]],Table1[[#This Row],[Biology 
Score]],Table1[[#This Row],[English 
Score]],Table1[[#This Row],[Geography 
Score]])</f>
        <v>601</v>
      </c>
      <c r="AA1515" s="3">
        <f>AVERAGE(Table1[[#This Row],[Math 
Score]],Table1[[#This Row],[History 
Score]],Table1[[#This Row],[Physics 
Score]],Table1[[#This Row],[Chemistry 
Score]],Table1[[#This Row],[Biology 
Score]],Table1[[#This Row],[English 
Score]],Table1[[#This Row],[Geography 
Score]])</f>
        <v>85.857142857142861</v>
      </c>
      <c r="AB151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515">
        <f t="shared" si="23"/>
        <v>394</v>
      </c>
      <c r="AD1515" t="str">
        <f>_xlfn.IFS(Table1[[#This Row],[Absence 
Days]]&lt;3,"Excellent",Table1[[#This Row],[Absence 
Days]]&lt;=6,"Good",Table1[[#This Row],[Absence 
Days]]&gt;6,"Poor")</f>
        <v>Excellent</v>
      </c>
    </row>
    <row r="1516" spans="1:30" x14ac:dyDescent="0.35">
      <c r="A1516">
        <v>1515</v>
      </c>
      <c r="B1516" s="2" t="s">
        <v>201</v>
      </c>
      <c r="C1516" t="s">
        <v>1033</v>
      </c>
      <c r="D1516" t="str">
        <f>_xlfn.TEXTJOIN(" ",TRUE,Table1[[#This Row],[First 
Name]:[Last 
Name]])</f>
        <v>Diana Russo</v>
      </c>
      <c r="E1516" t="s">
        <v>2626</v>
      </c>
      <c r="F1516" t="s">
        <v>3245</v>
      </c>
      <c r="G1516" t="str">
        <f ca="1">PROPER(Table1[[#This Row],[Part Time 
Job]])</f>
        <v>False</v>
      </c>
      <c r="H1516" s="3">
        <v>5</v>
      </c>
      <c r="I1516" t="str">
        <f ca="1">PROPER(Table1[[#This Row],[Extracurricular 
Activities]])</f>
        <v>False</v>
      </c>
      <c r="J1516">
        <v>28</v>
      </c>
      <c r="K1516" t="s">
        <v>3123</v>
      </c>
      <c r="L1516">
        <v>75</v>
      </c>
      <c r="M1516" s="12" t="str" cm="1">
        <f t="array" ref="M151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516">
        <v>99</v>
      </c>
      <c r="O1516" s="13" t="str" cm="1">
        <f t="array" ref="O151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516">
        <v>60</v>
      </c>
      <c r="Q1516" s="13" t="str" cm="1">
        <f t="array" ref="Q151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516">
        <v>90</v>
      </c>
      <c r="S1516" t="str" cm="1">
        <f t="array" ref="S151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516">
        <v>51</v>
      </c>
      <c r="U1516" t="str" cm="1">
        <f t="array" ref="U151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C</v>
      </c>
      <c r="V1516">
        <v>77</v>
      </c>
      <c r="W1516" t="str" cm="1">
        <f t="array" ref="W151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516">
        <v>84</v>
      </c>
      <c r="Y1516" t="str" cm="1">
        <f t="array" ref="Y151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516">
        <f>SUM(Table1[[#This Row],[Math 
Score]],Table1[[#This Row],[History 
Score]],Table1[[#This Row],[Physics 
Score]],Table1[[#This Row],[Chemistry 
Score]],Table1[[#This Row],[Biology 
Score]],Table1[[#This Row],[English 
Score]],Table1[[#This Row],[Geography 
Score]])</f>
        <v>536</v>
      </c>
      <c r="AA1516" s="3">
        <f>AVERAGE(Table1[[#This Row],[Math 
Score]],Table1[[#This Row],[History 
Score]],Table1[[#This Row],[Physics 
Score]],Table1[[#This Row],[Chemistry 
Score]],Table1[[#This Row],[Biology 
Score]],Table1[[#This Row],[English 
Score]],Table1[[#This Row],[Geography 
Score]])</f>
        <v>76.571428571428569</v>
      </c>
      <c r="AB151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516">
        <f t="shared" si="23"/>
        <v>1567</v>
      </c>
      <c r="AD1516" t="str">
        <f>_xlfn.IFS(Table1[[#This Row],[Absence 
Days]]&lt;3,"Excellent",Table1[[#This Row],[Absence 
Days]]&lt;=6,"Good",Table1[[#This Row],[Absence 
Days]]&gt;6,"Poor")</f>
        <v>Good</v>
      </c>
    </row>
    <row r="1517" spans="1:30" x14ac:dyDescent="0.35">
      <c r="A1517">
        <v>1516</v>
      </c>
      <c r="B1517" s="2" t="s">
        <v>291</v>
      </c>
      <c r="C1517" t="s">
        <v>592</v>
      </c>
      <c r="D1517" t="str">
        <f>_xlfn.TEXTJOIN(" ",TRUE,Table1[[#This Row],[First 
Name]:[Last 
Name]])</f>
        <v>Hayley Johnson</v>
      </c>
      <c r="E1517" t="s">
        <v>2627</v>
      </c>
      <c r="F1517" t="s">
        <v>3245</v>
      </c>
      <c r="G1517" t="str">
        <f ca="1">PROPER(Table1[[#This Row],[Part Time 
Job]])</f>
        <v>False</v>
      </c>
      <c r="H1517" s="3">
        <v>1</v>
      </c>
      <c r="I1517" t="str">
        <f ca="1">PROPER(Table1[[#This Row],[Extracurricular 
Activities]])</f>
        <v>False</v>
      </c>
      <c r="J1517">
        <v>34</v>
      </c>
      <c r="K1517" t="s">
        <v>3116</v>
      </c>
      <c r="L1517">
        <v>60</v>
      </c>
      <c r="M1517" s="12" t="str" cm="1">
        <f t="array" ref="M1517">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517">
        <v>93</v>
      </c>
      <c r="O1517" s="13" t="str" cm="1">
        <f t="array" ref="O151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517">
        <v>99</v>
      </c>
      <c r="Q1517" s="13" t="str" cm="1">
        <f t="array" ref="Q151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517">
        <v>81</v>
      </c>
      <c r="S1517" t="str" cm="1">
        <f t="array" ref="S151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517">
        <v>96</v>
      </c>
      <c r="U1517" t="str" cm="1">
        <f t="array" ref="U151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517">
        <v>92</v>
      </c>
      <c r="W1517" t="str" cm="1">
        <f t="array" ref="W151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517">
        <v>80</v>
      </c>
      <c r="Y1517" t="str" cm="1">
        <f t="array" ref="Y151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517">
        <f>SUM(Table1[[#This Row],[Math 
Score]],Table1[[#This Row],[History 
Score]],Table1[[#This Row],[Physics 
Score]],Table1[[#This Row],[Chemistry 
Score]],Table1[[#This Row],[Biology 
Score]],Table1[[#This Row],[English 
Score]],Table1[[#This Row],[Geography 
Score]])</f>
        <v>601</v>
      </c>
      <c r="AA1517" s="3">
        <f>AVERAGE(Table1[[#This Row],[Math 
Score]],Table1[[#This Row],[History 
Score]],Table1[[#This Row],[Physics 
Score]],Table1[[#This Row],[Chemistry 
Score]],Table1[[#This Row],[Biology 
Score]],Table1[[#This Row],[English 
Score]],Table1[[#This Row],[Geography 
Score]])</f>
        <v>85.857142857142861</v>
      </c>
      <c r="AB151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517">
        <f t="shared" si="23"/>
        <v>394</v>
      </c>
      <c r="AD1517" t="str">
        <f>_xlfn.IFS(Table1[[#This Row],[Absence 
Days]]&lt;3,"Excellent",Table1[[#This Row],[Absence 
Days]]&lt;=6,"Good",Table1[[#This Row],[Absence 
Days]]&gt;6,"Poor")</f>
        <v>Excellent</v>
      </c>
    </row>
    <row r="1518" spans="1:30" x14ac:dyDescent="0.35">
      <c r="A1518">
        <v>1517</v>
      </c>
      <c r="B1518" s="2" t="s">
        <v>51</v>
      </c>
      <c r="C1518" t="s">
        <v>294</v>
      </c>
      <c r="D1518" t="str">
        <f>_xlfn.TEXTJOIN(" ",TRUE,Table1[[#This Row],[First 
Name]:[Last 
Name]])</f>
        <v>Melissa Jackson</v>
      </c>
      <c r="E1518" t="s">
        <v>2628</v>
      </c>
      <c r="F1518" t="s">
        <v>3245</v>
      </c>
      <c r="G1518" t="str">
        <f ca="1">PROPER(Table1[[#This Row],[Part Time 
Job]])</f>
        <v>False</v>
      </c>
      <c r="H1518" s="3">
        <v>6</v>
      </c>
      <c r="I1518" t="str">
        <f ca="1">PROPER(Table1[[#This Row],[Extracurricular 
Activities]])</f>
        <v>False</v>
      </c>
      <c r="J1518">
        <v>17</v>
      </c>
      <c r="K1518" t="s">
        <v>3117</v>
      </c>
      <c r="L1518">
        <v>90</v>
      </c>
      <c r="M1518" s="12" t="str" cm="1">
        <f t="array" ref="M151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518">
        <v>64</v>
      </c>
      <c r="O1518" s="13" t="str" cm="1">
        <f t="array" ref="O151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518">
        <v>79</v>
      </c>
      <c r="Q1518" s="13" t="str" cm="1">
        <f t="array" ref="Q151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518">
        <v>66</v>
      </c>
      <c r="S1518" t="str" cm="1">
        <f t="array" ref="S151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518">
        <v>96</v>
      </c>
      <c r="U1518" t="str" cm="1">
        <f t="array" ref="U151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518">
        <v>61</v>
      </c>
      <c r="W1518" t="str" cm="1">
        <f t="array" ref="W151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518">
        <v>81</v>
      </c>
      <c r="Y1518" t="str" cm="1">
        <f t="array" ref="Y151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518">
        <f>SUM(Table1[[#This Row],[Math 
Score]],Table1[[#This Row],[History 
Score]],Table1[[#This Row],[Physics 
Score]],Table1[[#This Row],[Chemistry 
Score]],Table1[[#This Row],[Biology 
Score]],Table1[[#This Row],[English 
Score]],Table1[[#This Row],[Geography 
Score]])</f>
        <v>537</v>
      </c>
      <c r="AA1518" s="3">
        <f>AVERAGE(Table1[[#This Row],[Math 
Score]],Table1[[#This Row],[History 
Score]],Table1[[#This Row],[Physics 
Score]],Table1[[#This Row],[Chemistry 
Score]],Table1[[#This Row],[Biology 
Score]],Table1[[#This Row],[English 
Score]],Table1[[#This Row],[Geography 
Score]])</f>
        <v>76.714285714285708</v>
      </c>
      <c r="AB151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518">
        <f t="shared" si="23"/>
        <v>1553</v>
      </c>
      <c r="AD1518" t="str">
        <f>_xlfn.IFS(Table1[[#This Row],[Absence 
Days]]&lt;3,"Excellent",Table1[[#This Row],[Absence 
Days]]&lt;=6,"Good",Table1[[#This Row],[Absence 
Days]]&gt;6,"Poor")</f>
        <v>Good</v>
      </c>
    </row>
    <row r="1519" spans="1:30" x14ac:dyDescent="0.35">
      <c r="A1519">
        <v>1518</v>
      </c>
      <c r="B1519" s="2" t="s">
        <v>44</v>
      </c>
      <c r="C1519" t="s">
        <v>479</v>
      </c>
      <c r="D1519" t="str">
        <f>_xlfn.TEXTJOIN(" ",TRUE,Table1[[#This Row],[First 
Name]:[Last 
Name]])</f>
        <v>Kimberly Miller</v>
      </c>
      <c r="E1519" t="s">
        <v>2629</v>
      </c>
      <c r="F1519" t="s">
        <v>3245</v>
      </c>
      <c r="G1519" t="str">
        <f ca="1">PROPER(Table1[[#This Row],[Part Time 
Job]])</f>
        <v>False</v>
      </c>
      <c r="H1519" s="3">
        <v>2</v>
      </c>
      <c r="I1519" t="str">
        <f ca="1">PROPER(Table1[[#This Row],[Extracurricular 
Activities]])</f>
        <v>False</v>
      </c>
      <c r="J1519">
        <v>31</v>
      </c>
      <c r="K1519" t="s">
        <v>3117</v>
      </c>
      <c r="L1519">
        <v>93</v>
      </c>
      <c r="M1519" s="12" t="str" cm="1">
        <f t="array" ref="M151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519">
        <v>74</v>
      </c>
      <c r="O1519" s="13" t="str" cm="1">
        <f t="array" ref="O151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519">
        <v>80</v>
      </c>
      <c r="Q1519" s="13" t="str" cm="1">
        <f t="array" ref="Q151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519">
        <v>79</v>
      </c>
      <c r="S1519" t="str" cm="1">
        <f t="array" ref="S151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519">
        <v>70</v>
      </c>
      <c r="U1519" t="str" cm="1">
        <f t="array" ref="U151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519">
        <v>66</v>
      </c>
      <c r="W1519" t="str" cm="1">
        <f t="array" ref="W151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519">
        <v>91</v>
      </c>
      <c r="Y1519" t="str" cm="1">
        <f t="array" ref="Y151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519">
        <f>SUM(Table1[[#This Row],[Math 
Score]],Table1[[#This Row],[History 
Score]],Table1[[#This Row],[Physics 
Score]],Table1[[#This Row],[Chemistry 
Score]],Table1[[#This Row],[Biology 
Score]],Table1[[#This Row],[English 
Score]],Table1[[#This Row],[Geography 
Score]])</f>
        <v>553</v>
      </c>
      <c r="AA1519" s="3">
        <f>AVERAGE(Table1[[#This Row],[Math 
Score]],Table1[[#This Row],[History 
Score]],Table1[[#This Row],[Physics 
Score]],Table1[[#This Row],[Chemistry 
Score]],Table1[[#This Row],[Biology 
Score]],Table1[[#This Row],[English 
Score]],Table1[[#This Row],[Geography 
Score]])</f>
        <v>79</v>
      </c>
      <c r="AB151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519">
        <f t="shared" si="23"/>
        <v>1284</v>
      </c>
      <c r="AD1519" t="str">
        <f>_xlfn.IFS(Table1[[#This Row],[Absence 
Days]]&lt;3,"Excellent",Table1[[#This Row],[Absence 
Days]]&lt;=6,"Good",Table1[[#This Row],[Absence 
Days]]&gt;6,"Poor")</f>
        <v>Excellent</v>
      </c>
    </row>
    <row r="1520" spans="1:30" x14ac:dyDescent="0.35">
      <c r="A1520">
        <v>1519</v>
      </c>
      <c r="B1520" s="2" t="s">
        <v>93</v>
      </c>
      <c r="C1520" t="s">
        <v>7</v>
      </c>
      <c r="D1520" t="str">
        <f>_xlfn.TEXTJOIN(" ",TRUE,Table1[[#This Row],[First 
Name]:[Last 
Name]])</f>
        <v>Andrew Stanley</v>
      </c>
      <c r="E1520" t="s">
        <v>2630</v>
      </c>
      <c r="F1520" t="s">
        <v>3244</v>
      </c>
      <c r="G1520" t="str">
        <f ca="1">PROPER(Table1[[#This Row],[Part Time 
Job]])</f>
        <v>False</v>
      </c>
      <c r="H1520" s="3">
        <v>2</v>
      </c>
      <c r="I1520" t="str">
        <f ca="1">PROPER(Table1[[#This Row],[Extracurricular 
Activities]])</f>
        <v>True</v>
      </c>
      <c r="J1520">
        <v>25</v>
      </c>
      <c r="K1520" t="s">
        <v>3123</v>
      </c>
      <c r="L1520">
        <v>93</v>
      </c>
      <c r="M1520" s="12" t="str" cm="1">
        <f t="array" ref="M152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520">
        <v>74</v>
      </c>
      <c r="O1520" s="13" t="str" cm="1">
        <f t="array" ref="O152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520">
        <v>96</v>
      </c>
      <c r="Q1520" s="13" t="str" cm="1">
        <f t="array" ref="Q152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520">
        <v>69</v>
      </c>
      <c r="S1520" t="str" cm="1">
        <f t="array" ref="S152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520">
        <v>71</v>
      </c>
      <c r="U1520" t="str" cm="1">
        <f t="array" ref="U152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520">
        <v>82</v>
      </c>
      <c r="W1520" t="str" cm="1">
        <f t="array" ref="W152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520">
        <v>76</v>
      </c>
      <c r="Y1520" t="str" cm="1">
        <f t="array" ref="Y152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520">
        <f>SUM(Table1[[#This Row],[Math 
Score]],Table1[[#This Row],[History 
Score]],Table1[[#This Row],[Physics 
Score]],Table1[[#This Row],[Chemistry 
Score]],Table1[[#This Row],[Biology 
Score]],Table1[[#This Row],[English 
Score]],Table1[[#This Row],[Geography 
Score]])</f>
        <v>561</v>
      </c>
      <c r="AA1520" s="3">
        <f>AVERAGE(Table1[[#This Row],[Math 
Score]],Table1[[#This Row],[History 
Score]],Table1[[#This Row],[Physics 
Score]],Table1[[#This Row],[Chemistry 
Score]],Table1[[#This Row],[Biology 
Score]],Table1[[#This Row],[English 
Score]],Table1[[#This Row],[Geography 
Score]])</f>
        <v>80.142857142857139</v>
      </c>
      <c r="AB152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520">
        <f t="shared" si="23"/>
        <v>1120</v>
      </c>
      <c r="AD1520" t="str">
        <f>_xlfn.IFS(Table1[[#This Row],[Absence 
Days]]&lt;3,"Excellent",Table1[[#This Row],[Absence 
Days]]&lt;=6,"Good",Table1[[#This Row],[Absence 
Days]]&gt;6,"Poor")</f>
        <v>Excellent</v>
      </c>
    </row>
    <row r="1521" spans="1:30" x14ac:dyDescent="0.35">
      <c r="A1521">
        <v>1520</v>
      </c>
      <c r="B1521" s="2" t="s">
        <v>270</v>
      </c>
      <c r="C1521" t="s">
        <v>188</v>
      </c>
      <c r="D1521" t="str">
        <f>_xlfn.TEXTJOIN(" ",TRUE,Table1[[#This Row],[First 
Name]:[Last 
Name]])</f>
        <v>Mary Taylor</v>
      </c>
      <c r="E1521" t="s">
        <v>2631</v>
      </c>
      <c r="F1521" t="s">
        <v>3245</v>
      </c>
      <c r="G1521" t="str">
        <f ca="1">PROPER(Table1[[#This Row],[Part Time 
Job]])</f>
        <v>False</v>
      </c>
      <c r="H1521" s="3">
        <v>7</v>
      </c>
      <c r="I1521" t="str">
        <f ca="1">PROPER(Table1[[#This Row],[Extracurricular 
Activities]])</f>
        <v>False</v>
      </c>
      <c r="J1521">
        <v>14</v>
      </c>
      <c r="K1521" t="s">
        <v>3117</v>
      </c>
      <c r="L1521">
        <v>92</v>
      </c>
      <c r="M1521" s="12" t="str" cm="1">
        <f t="array" ref="M152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521">
        <v>74</v>
      </c>
      <c r="O1521" s="13" t="str" cm="1">
        <f t="array" ref="O152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521">
        <v>90</v>
      </c>
      <c r="Q1521" s="13" t="str" cm="1">
        <f t="array" ref="Q152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521">
        <v>87</v>
      </c>
      <c r="S1521" t="str" cm="1">
        <f t="array" ref="S152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521">
        <v>89</v>
      </c>
      <c r="U1521" t="str" cm="1">
        <f t="array" ref="U152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521">
        <v>94</v>
      </c>
      <c r="W1521" t="str" cm="1">
        <f t="array" ref="W152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521">
        <v>87</v>
      </c>
      <c r="Y1521" t="str" cm="1">
        <f t="array" ref="Y152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521">
        <f>SUM(Table1[[#This Row],[Math 
Score]],Table1[[#This Row],[History 
Score]],Table1[[#This Row],[Physics 
Score]],Table1[[#This Row],[Chemistry 
Score]],Table1[[#This Row],[Biology 
Score]],Table1[[#This Row],[English 
Score]],Table1[[#This Row],[Geography 
Score]])</f>
        <v>613</v>
      </c>
      <c r="AA1521" s="3">
        <f>AVERAGE(Table1[[#This Row],[Math 
Score]],Table1[[#This Row],[History 
Score]],Table1[[#This Row],[Physics 
Score]],Table1[[#This Row],[Chemistry 
Score]],Table1[[#This Row],[Biology 
Score]],Table1[[#This Row],[English 
Score]],Table1[[#This Row],[Geography 
Score]])</f>
        <v>87.571428571428569</v>
      </c>
      <c r="AB152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521">
        <f t="shared" si="23"/>
        <v>271</v>
      </c>
      <c r="AD1521" t="str">
        <f>_xlfn.IFS(Table1[[#This Row],[Absence 
Days]]&lt;3,"Excellent",Table1[[#This Row],[Absence 
Days]]&lt;=6,"Good",Table1[[#This Row],[Absence 
Days]]&gt;6,"Poor")</f>
        <v>Poor</v>
      </c>
    </row>
    <row r="1522" spans="1:30" x14ac:dyDescent="0.35">
      <c r="A1522">
        <v>1521</v>
      </c>
      <c r="B1522" s="2" t="s">
        <v>414</v>
      </c>
      <c r="C1522" t="s">
        <v>532</v>
      </c>
      <c r="D1522" t="str">
        <f>_xlfn.TEXTJOIN(" ",TRUE,Table1[[#This Row],[First 
Name]:[Last 
Name]])</f>
        <v>Mindy Jones</v>
      </c>
      <c r="E1522" t="s">
        <v>2632</v>
      </c>
      <c r="F1522" t="s">
        <v>3245</v>
      </c>
      <c r="G1522" t="str">
        <f ca="1">PROPER(Table1[[#This Row],[Part Time 
Job]])</f>
        <v>False</v>
      </c>
      <c r="H1522" s="3">
        <v>2</v>
      </c>
      <c r="I1522" t="str">
        <f ca="1">PROPER(Table1[[#This Row],[Extracurricular 
Activities]])</f>
        <v>False</v>
      </c>
      <c r="J1522">
        <v>2</v>
      </c>
      <c r="K1522" t="s">
        <v>3126</v>
      </c>
      <c r="L1522">
        <v>86</v>
      </c>
      <c r="M1522" s="12" t="str" cm="1">
        <f t="array" ref="M152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522">
        <v>60</v>
      </c>
      <c r="O1522" s="13" t="str" cm="1">
        <f t="array" ref="O152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522">
        <v>91</v>
      </c>
      <c r="Q1522" s="13" t="str" cm="1">
        <f t="array" ref="Q152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522">
        <v>82</v>
      </c>
      <c r="S1522" t="str" cm="1">
        <f t="array" ref="S152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522">
        <v>73</v>
      </c>
      <c r="U1522" t="str" cm="1">
        <f t="array" ref="U152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522">
        <v>77</v>
      </c>
      <c r="W1522" t="str" cm="1">
        <f t="array" ref="W152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522">
        <v>64</v>
      </c>
      <c r="Y1522" t="str" cm="1">
        <f t="array" ref="Y152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522">
        <f>SUM(Table1[[#This Row],[Math 
Score]],Table1[[#This Row],[History 
Score]],Table1[[#This Row],[Physics 
Score]],Table1[[#This Row],[Chemistry 
Score]],Table1[[#This Row],[Biology 
Score]],Table1[[#This Row],[English 
Score]],Table1[[#This Row],[Geography 
Score]])</f>
        <v>533</v>
      </c>
      <c r="AA1522" s="3">
        <f>AVERAGE(Table1[[#This Row],[Math 
Score]],Table1[[#This Row],[History 
Score]],Table1[[#This Row],[Physics 
Score]],Table1[[#This Row],[Chemistry 
Score]],Table1[[#This Row],[Biology 
Score]],Table1[[#This Row],[English 
Score]],Table1[[#This Row],[Geography 
Score]])</f>
        <v>76.142857142857139</v>
      </c>
      <c r="AB152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522">
        <f t="shared" si="23"/>
        <v>1613</v>
      </c>
      <c r="AD1522" t="str">
        <f>_xlfn.IFS(Table1[[#This Row],[Absence 
Days]]&lt;3,"Excellent",Table1[[#This Row],[Absence 
Days]]&lt;=6,"Good",Table1[[#This Row],[Absence 
Days]]&gt;6,"Poor")</f>
        <v>Excellent</v>
      </c>
    </row>
    <row r="1523" spans="1:30" x14ac:dyDescent="0.35">
      <c r="A1523">
        <v>1522</v>
      </c>
      <c r="B1523" s="2" t="s">
        <v>124</v>
      </c>
      <c r="C1523" t="s">
        <v>661</v>
      </c>
      <c r="D1523" t="str">
        <f>_xlfn.TEXTJOIN(" ",TRUE,Table1[[#This Row],[First 
Name]:[Last 
Name]])</f>
        <v>John Powell</v>
      </c>
      <c r="E1523" t="s">
        <v>2633</v>
      </c>
      <c r="F1523" t="s">
        <v>3244</v>
      </c>
      <c r="G1523" t="str">
        <f ca="1">PROPER(Table1[[#This Row],[Part Time 
Job]])</f>
        <v>True</v>
      </c>
      <c r="H1523" s="3">
        <v>10</v>
      </c>
      <c r="I1523" t="str">
        <f ca="1">PROPER(Table1[[#This Row],[Extracurricular 
Activities]])</f>
        <v>False</v>
      </c>
      <c r="J1523">
        <v>5</v>
      </c>
      <c r="K1523" t="s">
        <v>3119</v>
      </c>
      <c r="L1523">
        <v>64</v>
      </c>
      <c r="M1523" s="12" t="str" cm="1">
        <f t="array" ref="M1523">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523">
        <v>69</v>
      </c>
      <c r="O1523" s="13" t="str" cm="1">
        <f t="array" ref="O152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523">
        <v>85</v>
      </c>
      <c r="Q1523" s="13" t="str" cm="1">
        <f t="array" ref="Q152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523">
        <v>99</v>
      </c>
      <c r="S1523" t="str" cm="1">
        <f t="array" ref="S152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523">
        <v>76</v>
      </c>
      <c r="U1523" t="str" cm="1">
        <f t="array" ref="U152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523">
        <v>98</v>
      </c>
      <c r="W1523" t="str" cm="1">
        <f t="array" ref="W152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523">
        <v>60</v>
      </c>
      <c r="Y1523" t="str" cm="1">
        <f t="array" ref="Y152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523">
        <f>SUM(Table1[[#This Row],[Math 
Score]],Table1[[#This Row],[History 
Score]],Table1[[#This Row],[Physics 
Score]],Table1[[#This Row],[Chemistry 
Score]],Table1[[#This Row],[Biology 
Score]],Table1[[#This Row],[English 
Score]],Table1[[#This Row],[Geography 
Score]])</f>
        <v>551</v>
      </c>
      <c r="AA1523" s="3">
        <f>AVERAGE(Table1[[#This Row],[Math 
Score]],Table1[[#This Row],[History 
Score]],Table1[[#This Row],[Physics 
Score]],Table1[[#This Row],[Chemistry 
Score]],Table1[[#This Row],[Biology 
Score]],Table1[[#This Row],[English 
Score]],Table1[[#This Row],[Geography 
Score]])</f>
        <v>78.714285714285708</v>
      </c>
      <c r="AB152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523">
        <f t="shared" si="23"/>
        <v>1317</v>
      </c>
      <c r="AD1523" t="str">
        <f>_xlfn.IFS(Table1[[#This Row],[Absence 
Days]]&lt;3,"Excellent",Table1[[#This Row],[Absence 
Days]]&lt;=6,"Good",Table1[[#This Row],[Absence 
Days]]&gt;6,"Poor")</f>
        <v>Poor</v>
      </c>
    </row>
    <row r="1524" spans="1:30" x14ac:dyDescent="0.35">
      <c r="A1524">
        <v>1523</v>
      </c>
      <c r="B1524" s="2" t="s">
        <v>99</v>
      </c>
      <c r="C1524" t="s">
        <v>635</v>
      </c>
      <c r="D1524" t="str">
        <f>_xlfn.TEXTJOIN(" ",TRUE,Table1[[#This Row],[First 
Name]:[Last 
Name]])</f>
        <v>Amanda Padilla</v>
      </c>
      <c r="E1524" t="s">
        <v>2634</v>
      </c>
      <c r="F1524" t="s">
        <v>3245</v>
      </c>
      <c r="G1524" t="str">
        <f ca="1">PROPER(Table1[[#This Row],[Part Time 
Job]])</f>
        <v>False</v>
      </c>
      <c r="H1524" s="3">
        <v>2</v>
      </c>
      <c r="I1524" t="str">
        <f ca="1">PROPER(Table1[[#This Row],[Extracurricular 
Activities]])</f>
        <v>False</v>
      </c>
      <c r="J1524">
        <v>2</v>
      </c>
      <c r="K1524" t="s">
        <v>3115</v>
      </c>
      <c r="L1524">
        <v>91</v>
      </c>
      <c r="M1524" s="12" t="str" cm="1">
        <f t="array" ref="M152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524">
        <v>87</v>
      </c>
      <c r="O1524" s="13" t="str" cm="1">
        <f t="array" ref="O152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524">
        <v>84</v>
      </c>
      <c r="Q1524" s="13" t="str" cm="1">
        <f t="array" ref="Q152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524">
        <v>91</v>
      </c>
      <c r="S1524" t="str" cm="1">
        <f t="array" ref="S152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524">
        <v>96</v>
      </c>
      <c r="U1524" t="str" cm="1">
        <f t="array" ref="U152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524">
        <v>88</v>
      </c>
      <c r="W1524" t="str" cm="1">
        <f t="array" ref="W152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524">
        <v>82</v>
      </c>
      <c r="Y1524" t="str" cm="1">
        <f t="array" ref="Y152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524">
        <f>SUM(Table1[[#This Row],[Math 
Score]],Table1[[#This Row],[History 
Score]],Table1[[#This Row],[Physics 
Score]],Table1[[#This Row],[Chemistry 
Score]],Table1[[#This Row],[Biology 
Score]],Table1[[#This Row],[English 
Score]],Table1[[#This Row],[Geography 
Score]])</f>
        <v>619</v>
      </c>
      <c r="AA1524" s="3">
        <f>AVERAGE(Table1[[#This Row],[Math 
Score]],Table1[[#This Row],[History 
Score]],Table1[[#This Row],[Physics 
Score]],Table1[[#This Row],[Chemistry 
Score]],Table1[[#This Row],[Biology 
Score]],Table1[[#This Row],[English 
Score]],Table1[[#This Row],[Geography 
Score]])</f>
        <v>88.428571428571431</v>
      </c>
      <c r="AB152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524">
        <f t="shared" si="23"/>
        <v>221</v>
      </c>
      <c r="AD1524" t="str">
        <f>_xlfn.IFS(Table1[[#This Row],[Absence 
Days]]&lt;3,"Excellent",Table1[[#This Row],[Absence 
Days]]&lt;=6,"Good",Table1[[#This Row],[Absence 
Days]]&gt;6,"Poor")</f>
        <v>Excellent</v>
      </c>
    </row>
    <row r="1525" spans="1:30" x14ac:dyDescent="0.35">
      <c r="A1525">
        <v>1524</v>
      </c>
      <c r="B1525" s="2" t="s">
        <v>167</v>
      </c>
      <c r="C1525" t="s">
        <v>503</v>
      </c>
      <c r="D1525" t="str">
        <f>_xlfn.TEXTJOIN(" ",TRUE,Table1[[#This Row],[First 
Name]:[Last 
Name]])</f>
        <v>Kevin Koch</v>
      </c>
      <c r="E1525" t="s">
        <v>2635</v>
      </c>
      <c r="F1525" t="s">
        <v>3244</v>
      </c>
      <c r="G1525" t="str">
        <f ca="1">PROPER(Table1[[#This Row],[Part Time 
Job]])</f>
        <v>False</v>
      </c>
      <c r="H1525" s="3">
        <v>3</v>
      </c>
      <c r="I1525" t="str">
        <f ca="1">PROPER(Table1[[#This Row],[Extracurricular 
Activities]])</f>
        <v>False</v>
      </c>
      <c r="J1525">
        <v>33</v>
      </c>
      <c r="K1525" t="s">
        <v>3120</v>
      </c>
      <c r="L1525">
        <v>76</v>
      </c>
      <c r="M1525" s="12" t="str" cm="1">
        <f t="array" ref="M152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525">
        <v>66</v>
      </c>
      <c r="O1525" s="13" t="str" cm="1">
        <f t="array" ref="O152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525">
        <v>96</v>
      </c>
      <c r="Q1525" s="13" t="str" cm="1">
        <f t="array" ref="Q152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525">
        <v>86</v>
      </c>
      <c r="S1525" t="str" cm="1">
        <f t="array" ref="S152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525">
        <v>85</v>
      </c>
      <c r="U1525" t="str" cm="1">
        <f t="array" ref="U152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525">
        <v>62</v>
      </c>
      <c r="W1525" t="str" cm="1">
        <f t="array" ref="W152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525">
        <v>68</v>
      </c>
      <c r="Y1525" t="str" cm="1">
        <f t="array" ref="Y152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525">
        <f>SUM(Table1[[#This Row],[Math 
Score]],Table1[[#This Row],[History 
Score]],Table1[[#This Row],[Physics 
Score]],Table1[[#This Row],[Chemistry 
Score]],Table1[[#This Row],[Biology 
Score]],Table1[[#This Row],[English 
Score]],Table1[[#This Row],[Geography 
Score]])</f>
        <v>539</v>
      </c>
      <c r="AA1525" s="3">
        <f>AVERAGE(Table1[[#This Row],[Math 
Score]],Table1[[#This Row],[History 
Score]],Table1[[#This Row],[Physics 
Score]],Table1[[#This Row],[Chemistry 
Score]],Table1[[#This Row],[Biology 
Score]],Table1[[#This Row],[English 
Score]],Table1[[#This Row],[Geography 
Score]])</f>
        <v>77</v>
      </c>
      <c r="AB152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525">
        <f t="shared" si="23"/>
        <v>1531</v>
      </c>
      <c r="AD1525" t="str">
        <f>_xlfn.IFS(Table1[[#This Row],[Absence 
Days]]&lt;3,"Excellent",Table1[[#This Row],[Absence 
Days]]&lt;=6,"Good",Table1[[#This Row],[Absence 
Days]]&gt;6,"Poor")</f>
        <v>Good</v>
      </c>
    </row>
    <row r="1526" spans="1:30" x14ac:dyDescent="0.35">
      <c r="A1526">
        <v>1525</v>
      </c>
      <c r="B1526" s="2" t="s">
        <v>145</v>
      </c>
      <c r="C1526" t="s">
        <v>764</v>
      </c>
      <c r="D1526" t="str">
        <f>_xlfn.TEXTJOIN(" ",TRUE,Table1[[#This Row],[First 
Name]:[Last 
Name]])</f>
        <v>Chad Moreno</v>
      </c>
      <c r="E1526" t="s">
        <v>2636</v>
      </c>
      <c r="F1526" t="s">
        <v>3244</v>
      </c>
      <c r="G1526" t="str">
        <f ca="1">PROPER(Table1[[#This Row],[Part Time 
Job]])</f>
        <v>False</v>
      </c>
      <c r="H1526" s="3">
        <v>6</v>
      </c>
      <c r="I1526" t="str">
        <f ca="1">PROPER(Table1[[#This Row],[Extracurricular 
Activities]])</f>
        <v>False</v>
      </c>
      <c r="J1526">
        <v>33</v>
      </c>
      <c r="K1526" t="s">
        <v>3116</v>
      </c>
      <c r="L1526">
        <v>72</v>
      </c>
      <c r="M1526" s="12" t="str" cm="1">
        <f t="array" ref="M1526">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526">
        <v>67</v>
      </c>
      <c r="O1526" s="13" t="str" cm="1">
        <f t="array" ref="O152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526">
        <v>65</v>
      </c>
      <c r="Q1526" s="13" t="str" cm="1">
        <f t="array" ref="Q152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526">
        <v>76</v>
      </c>
      <c r="S1526" t="str" cm="1">
        <f t="array" ref="S152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526">
        <v>69</v>
      </c>
      <c r="U1526" t="str" cm="1">
        <f t="array" ref="U152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526">
        <v>81</v>
      </c>
      <c r="W1526" t="str" cm="1">
        <f t="array" ref="W152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526">
        <v>70</v>
      </c>
      <c r="Y1526" t="str" cm="1">
        <f t="array" ref="Y152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526">
        <f>SUM(Table1[[#This Row],[Math 
Score]],Table1[[#This Row],[History 
Score]],Table1[[#This Row],[Physics 
Score]],Table1[[#This Row],[Chemistry 
Score]],Table1[[#This Row],[Biology 
Score]],Table1[[#This Row],[English 
Score]],Table1[[#This Row],[Geography 
Score]])</f>
        <v>500</v>
      </c>
      <c r="AA1526" s="3">
        <f>AVERAGE(Table1[[#This Row],[Math 
Score]],Table1[[#This Row],[History 
Score]],Table1[[#This Row],[Physics 
Score]],Table1[[#This Row],[Chemistry 
Score]],Table1[[#This Row],[Biology 
Score]],Table1[[#This Row],[English 
Score]],Table1[[#This Row],[Geography 
Score]])</f>
        <v>71.428571428571431</v>
      </c>
      <c r="AB152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526">
        <f t="shared" si="23"/>
        <v>1875</v>
      </c>
      <c r="AD1526" t="str">
        <f>_xlfn.IFS(Table1[[#This Row],[Absence 
Days]]&lt;3,"Excellent",Table1[[#This Row],[Absence 
Days]]&lt;=6,"Good",Table1[[#This Row],[Absence 
Days]]&gt;6,"Poor")</f>
        <v>Good</v>
      </c>
    </row>
    <row r="1527" spans="1:30" x14ac:dyDescent="0.35">
      <c r="A1527">
        <v>1526</v>
      </c>
      <c r="B1527" s="2" t="s">
        <v>237</v>
      </c>
      <c r="C1527" t="s">
        <v>630</v>
      </c>
      <c r="D1527" t="str">
        <f>_xlfn.TEXTJOIN(" ",TRUE,Table1[[#This Row],[First 
Name]:[Last 
Name]])</f>
        <v>Stephanie Spencer</v>
      </c>
      <c r="E1527" t="s">
        <v>2637</v>
      </c>
      <c r="F1527" t="s">
        <v>3245</v>
      </c>
      <c r="G1527" t="str">
        <f ca="1">PROPER(Table1[[#This Row],[Part Time 
Job]])</f>
        <v>False</v>
      </c>
      <c r="H1527" s="3">
        <v>1</v>
      </c>
      <c r="I1527" t="str">
        <f ca="1">PROPER(Table1[[#This Row],[Extracurricular 
Activities]])</f>
        <v>False</v>
      </c>
      <c r="J1527">
        <v>5</v>
      </c>
      <c r="K1527" t="s">
        <v>3115</v>
      </c>
      <c r="L1527">
        <v>63</v>
      </c>
      <c r="M1527" s="12" t="str" cm="1">
        <f t="array" ref="M1527">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527">
        <v>86</v>
      </c>
      <c r="O1527" s="13" t="str" cm="1">
        <f t="array" ref="O152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527">
        <v>72</v>
      </c>
      <c r="Q1527" s="13" t="str" cm="1">
        <f t="array" ref="Q152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527">
        <v>72</v>
      </c>
      <c r="S1527" t="str" cm="1">
        <f t="array" ref="S152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527">
        <v>90</v>
      </c>
      <c r="U1527" t="str" cm="1">
        <f t="array" ref="U152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527">
        <v>75</v>
      </c>
      <c r="W1527" t="str" cm="1">
        <f t="array" ref="W152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527">
        <v>92</v>
      </c>
      <c r="Y1527" t="str" cm="1">
        <f t="array" ref="Y152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527">
        <f>SUM(Table1[[#This Row],[Math 
Score]],Table1[[#This Row],[History 
Score]],Table1[[#This Row],[Physics 
Score]],Table1[[#This Row],[Chemistry 
Score]],Table1[[#This Row],[Biology 
Score]],Table1[[#This Row],[English 
Score]],Table1[[#This Row],[Geography 
Score]])</f>
        <v>550</v>
      </c>
      <c r="AA1527" s="3">
        <f>AVERAGE(Table1[[#This Row],[Math 
Score]],Table1[[#This Row],[History 
Score]],Table1[[#This Row],[Physics 
Score]],Table1[[#This Row],[Chemistry 
Score]],Table1[[#This Row],[Biology 
Score]],Table1[[#This Row],[English 
Score]],Table1[[#This Row],[Geography 
Score]])</f>
        <v>78.571428571428569</v>
      </c>
      <c r="AB152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527">
        <f t="shared" si="23"/>
        <v>1338</v>
      </c>
      <c r="AD1527" t="str">
        <f>_xlfn.IFS(Table1[[#This Row],[Absence 
Days]]&lt;3,"Excellent",Table1[[#This Row],[Absence 
Days]]&lt;=6,"Good",Table1[[#This Row],[Absence 
Days]]&gt;6,"Poor")</f>
        <v>Excellent</v>
      </c>
    </row>
    <row r="1528" spans="1:30" x14ac:dyDescent="0.35">
      <c r="A1528">
        <v>1527</v>
      </c>
      <c r="B1528" s="2" t="s">
        <v>25</v>
      </c>
      <c r="C1528" t="s">
        <v>1034</v>
      </c>
      <c r="D1528" t="str">
        <f>_xlfn.TEXTJOIN(" ",TRUE,Table1[[#This Row],[First 
Name]:[Last 
Name]])</f>
        <v>Peter Vargas</v>
      </c>
      <c r="E1528" t="s">
        <v>2638</v>
      </c>
      <c r="F1528" t="s">
        <v>3244</v>
      </c>
      <c r="G1528" t="str">
        <f ca="1">PROPER(Table1[[#This Row],[Part Time 
Job]])</f>
        <v>True</v>
      </c>
      <c r="H1528" s="3">
        <v>3</v>
      </c>
      <c r="I1528" t="str">
        <f ca="1">PROPER(Table1[[#This Row],[Extracurricular 
Activities]])</f>
        <v>False</v>
      </c>
      <c r="J1528">
        <v>23</v>
      </c>
      <c r="K1528" t="s">
        <v>3117</v>
      </c>
      <c r="L1528">
        <v>94</v>
      </c>
      <c r="M1528" s="12" t="str" cm="1">
        <f t="array" ref="M152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528">
        <v>61</v>
      </c>
      <c r="O1528" s="13" t="str" cm="1">
        <f t="array" ref="O152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528">
        <v>72</v>
      </c>
      <c r="Q1528" s="13" t="str" cm="1">
        <f t="array" ref="Q152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528">
        <v>70</v>
      </c>
      <c r="S1528" t="str" cm="1">
        <f t="array" ref="S152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528">
        <v>87</v>
      </c>
      <c r="U1528" t="str" cm="1">
        <f t="array" ref="U152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528">
        <v>82</v>
      </c>
      <c r="W1528" t="str" cm="1">
        <f t="array" ref="W152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528">
        <v>76</v>
      </c>
      <c r="Y1528" t="str" cm="1">
        <f t="array" ref="Y152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528">
        <f>SUM(Table1[[#This Row],[Math 
Score]],Table1[[#This Row],[History 
Score]],Table1[[#This Row],[Physics 
Score]],Table1[[#This Row],[Chemistry 
Score]],Table1[[#This Row],[Biology 
Score]],Table1[[#This Row],[English 
Score]],Table1[[#This Row],[Geography 
Score]])</f>
        <v>542</v>
      </c>
      <c r="AA1528" s="3">
        <f>AVERAGE(Table1[[#This Row],[Math 
Score]],Table1[[#This Row],[History 
Score]],Table1[[#This Row],[Physics 
Score]],Table1[[#This Row],[Chemistry 
Score]],Table1[[#This Row],[Biology 
Score]],Table1[[#This Row],[English 
Score]],Table1[[#This Row],[Geography 
Score]])</f>
        <v>77.428571428571431</v>
      </c>
      <c r="AB152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528">
        <f t="shared" si="23"/>
        <v>1478</v>
      </c>
      <c r="AD1528" t="str">
        <f>_xlfn.IFS(Table1[[#This Row],[Absence 
Days]]&lt;3,"Excellent",Table1[[#This Row],[Absence 
Days]]&lt;=6,"Good",Table1[[#This Row],[Absence 
Days]]&gt;6,"Poor")</f>
        <v>Good</v>
      </c>
    </row>
    <row r="1529" spans="1:30" x14ac:dyDescent="0.35">
      <c r="A1529">
        <v>1528</v>
      </c>
      <c r="B1529" s="2" t="s">
        <v>404</v>
      </c>
      <c r="C1529" t="s">
        <v>960</v>
      </c>
      <c r="D1529" t="str">
        <f>_xlfn.TEXTJOIN(" ",TRUE,Table1[[#This Row],[First 
Name]:[Last 
Name]])</f>
        <v>Kayla Bailey</v>
      </c>
      <c r="E1529" t="s">
        <v>2639</v>
      </c>
      <c r="F1529" t="s">
        <v>3245</v>
      </c>
      <c r="G1529" t="str">
        <f ca="1">PROPER(Table1[[#This Row],[Part Time 
Job]])</f>
        <v>False</v>
      </c>
      <c r="H1529" s="3">
        <v>10</v>
      </c>
      <c r="I1529" t="str">
        <f ca="1">PROPER(Table1[[#This Row],[Extracurricular 
Activities]])</f>
        <v>False</v>
      </c>
      <c r="J1529">
        <v>2</v>
      </c>
      <c r="K1529" t="s">
        <v>3119</v>
      </c>
      <c r="L1529">
        <v>70</v>
      </c>
      <c r="M1529" s="12" t="str" cm="1">
        <f t="array" ref="M1529">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529">
        <v>75</v>
      </c>
      <c r="O1529" s="13" t="str" cm="1">
        <f t="array" ref="O152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529">
        <v>59</v>
      </c>
      <c r="Q1529" s="13" t="str" cm="1">
        <f t="array" ref="Q152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C</v>
      </c>
      <c r="R1529">
        <v>91</v>
      </c>
      <c r="S1529" t="str" cm="1">
        <f t="array" ref="S152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529">
        <v>53</v>
      </c>
      <c r="U1529" t="str" cm="1">
        <f t="array" ref="U152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C</v>
      </c>
      <c r="V1529">
        <v>97</v>
      </c>
      <c r="W1529" t="str" cm="1">
        <f t="array" ref="W152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529">
        <v>95</v>
      </c>
      <c r="Y1529" t="str" cm="1">
        <f t="array" ref="Y152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529">
        <f>SUM(Table1[[#This Row],[Math 
Score]],Table1[[#This Row],[History 
Score]],Table1[[#This Row],[Physics 
Score]],Table1[[#This Row],[Chemistry 
Score]],Table1[[#This Row],[Biology 
Score]],Table1[[#This Row],[English 
Score]],Table1[[#This Row],[Geography 
Score]])</f>
        <v>540</v>
      </c>
      <c r="AA1529" s="3">
        <f>AVERAGE(Table1[[#This Row],[Math 
Score]],Table1[[#This Row],[History 
Score]],Table1[[#This Row],[Physics 
Score]],Table1[[#This Row],[Chemistry 
Score]],Table1[[#This Row],[Biology 
Score]],Table1[[#This Row],[English 
Score]],Table1[[#This Row],[Geography 
Score]])</f>
        <v>77.142857142857139</v>
      </c>
      <c r="AB152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529">
        <f t="shared" si="23"/>
        <v>1513</v>
      </c>
      <c r="AD1529" t="str">
        <f>_xlfn.IFS(Table1[[#This Row],[Absence 
Days]]&lt;3,"Excellent",Table1[[#This Row],[Absence 
Days]]&lt;=6,"Good",Table1[[#This Row],[Absence 
Days]]&gt;6,"Poor")</f>
        <v>Poor</v>
      </c>
    </row>
    <row r="1530" spans="1:30" x14ac:dyDescent="0.35">
      <c r="A1530">
        <v>1529</v>
      </c>
      <c r="B1530" s="2" t="s">
        <v>237</v>
      </c>
      <c r="C1530" t="s">
        <v>532</v>
      </c>
      <c r="D1530" t="str">
        <f>_xlfn.TEXTJOIN(" ",TRUE,Table1[[#This Row],[First 
Name]:[Last 
Name]])</f>
        <v>Stephanie Jones</v>
      </c>
      <c r="E1530" t="s">
        <v>2640</v>
      </c>
      <c r="F1530" t="s">
        <v>3245</v>
      </c>
      <c r="G1530" t="str">
        <f ca="1">PROPER(Table1[[#This Row],[Part Time 
Job]])</f>
        <v>False</v>
      </c>
      <c r="H1530" s="3">
        <v>3</v>
      </c>
      <c r="I1530" t="str">
        <f ca="1">PROPER(Table1[[#This Row],[Extracurricular 
Activities]])</f>
        <v>False</v>
      </c>
      <c r="J1530">
        <v>23</v>
      </c>
      <c r="K1530" t="s">
        <v>3121</v>
      </c>
      <c r="L1530">
        <v>83</v>
      </c>
      <c r="M1530" s="12" t="str" cm="1">
        <f t="array" ref="M153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530">
        <v>69</v>
      </c>
      <c r="O1530" s="13" t="str" cm="1">
        <f t="array" ref="O153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530">
        <v>66</v>
      </c>
      <c r="Q1530" s="13" t="str" cm="1">
        <f t="array" ref="Q153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530">
        <v>95</v>
      </c>
      <c r="S1530" t="str" cm="1">
        <f t="array" ref="S153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530">
        <v>93</v>
      </c>
      <c r="U1530" t="str" cm="1">
        <f t="array" ref="U153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530">
        <v>77</v>
      </c>
      <c r="W1530" t="str" cm="1">
        <f t="array" ref="W153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530">
        <v>77</v>
      </c>
      <c r="Y1530" t="str" cm="1">
        <f t="array" ref="Y153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530">
        <f>SUM(Table1[[#This Row],[Math 
Score]],Table1[[#This Row],[History 
Score]],Table1[[#This Row],[Physics 
Score]],Table1[[#This Row],[Chemistry 
Score]],Table1[[#This Row],[Biology 
Score]],Table1[[#This Row],[English 
Score]],Table1[[#This Row],[Geography 
Score]])</f>
        <v>560</v>
      </c>
      <c r="AA1530" s="3">
        <f>AVERAGE(Table1[[#This Row],[Math 
Score]],Table1[[#This Row],[History 
Score]],Table1[[#This Row],[Physics 
Score]],Table1[[#This Row],[Chemistry 
Score]],Table1[[#This Row],[Biology 
Score]],Table1[[#This Row],[English 
Score]],Table1[[#This Row],[Geography 
Score]])</f>
        <v>80</v>
      </c>
      <c r="AB153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530">
        <f t="shared" si="23"/>
        <v>1134</v>
      </c>
      <c r="AD1530" t="str">
        <f>_xlfn.IFS(Table1[[#This Row],[Absence 
Days]]&lt;3,"Excellent",Table1[[#This Row],[Absence 
Days]]&lt;=6,"Good",Table1[[#This Row],[Absence 
Days]]&gt;6,"Poor")</f>
        <v>Good</v>
      </c>
    </row>
    <row r="1531" spans="1:30" x14ac:dyDescent="0.35">
      <c r="A1531">
        <v>1530</v>
      </c>
      <c r="B1531" s="2" t="s">
        <v>114</v>
      </c>
      <c r="C1531" t="s">
        <v>941</v>
      </c>
      <c r="D1531" t="str">
        <f>_xlfn.TEXTJOIN(" ",TRUE,Table1[[#This Row],[First 
Name]:[Last 
Name]])</f>
        <v>Nancy Hartman</v>
      </c>
      <c r="E1531" t="s">
        <v>2641</v>
      </c>
      <c r="F1531" t="s">
        <v>3245</v>
      </c>
      <c r="G1531" t="str">
        <f ca="1">PROPER(Table1[[#This Row],[Part Time 
Job]])</f>
        <v>False</v>
      </c>
      <c r="H1531" s="3">
        <v>6</v>
      </c>
      <c r="I1531" t="str">
        <f ca="1">PROPER(Table1[[#This Row],[Extracurricular 
Activities]])</f>
        <v>False</v>
      </c>
      <c r="J1531">
        <v>3</v>
      </c>
      <c r="K1531" t="s">
        <v>3119</v>
      </c>
      <c r="L1531">
        <v>50</v>
      </c>
      <c r="M1531" s="12" t="str" cm="1">
        <f t="array" ref="M1531">_xlfn.IFS(Table1[[#This Row],[Math 
Score]]&gt;=90,"A+",Table1[[#This Row],[Math 
Score]]&gt;=80,"A", Table1[[#This Row],[Math 
Score]]&gt;=75,"A-",Table1[[#This Row],[Math 
Score]]&gt;=70,"B+",Table1[[#This Row],[Math 
Score]]&gt;=65,"B",Table1[[#This Row],[Math 
Score]]&gt;=60,"B-",Table1[[#This Row],[Math 
Score]]&gt;=50,"C",Table1[[#This Row],[Math 
Score]]&gt;=40,"D",Table1[[#This Row],[Math 
Score]]&lt;40,"F")</f>
        <v>C</v>
      </c>
      <c r="N1531">
        <v>61</v>
      </c>
      <c r="O1531" s="13" t="str" cm="1">
        <f t="array" ref="O153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531">
        <v>50</v>
      </c>
      <c r="Q1531" s="13" t="str" cm="1">
        <f t="array" ref="Q153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C</v>
      </c>
      <c r="R1531">
        <v>96</v>
      </c>
      <c r="S1531" t="str" cm="1">
        <f t="array" ref="S153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531">
        <v>70</v>
      </c>
      <c r="U1531" t="str" cm="1">
        <f t="array" ref="U153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531">
        <v>58</v>
      </c>
      <c r="W1531" t="str" cm="1">
        <f t="array" ref="W153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C</v>
      </c>
      <c r="X1531">
        <v>86</v>
      </c>
      <c r="Y1531" t="str" cm="1">
        <f t="array" ref="Y153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531">
        <f>SUM(Table1[[#This Row],[Math 
Score]],Table1[[#This Row],[History 
Score]],Table1[[#This Row],[Physics 
Score]],Table1[[#This Row],[Chemistry 
Score]],Table1[[#This Row],[Biology 
Score]],Table1[[#This Row],[English 
Score]],Table1[[#This Row],[Geography 
Score]])</f>
        <v>471</v>
      </c>
      <c r="AA1531" s="3">
        <f>AVERAGE(Table1[[#This Row],[Math 
Score]],Table1[[#This Row],[History 
Score]],Table1[[#This Row],[Physics 
Score]],Table1[[#This Row],[Chemistry 
Score]],Table1[[#This Row],[Biology 
Score]],Table1[[#This Row],[English 
Score]],Table1[[#This Row],[Geography 
Score]])</f>
        <v>67.285714285714292</v>
      </c>
      <c r="AB153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531">
        <f t="shared" si="23"/>
        <v>1957</v>
      </c>
      <c r="AD1531" t="str">
        <f>_xlfn.IFS(Table1[[#This Row],[Absence 
Days]]&lt;3,"Excellent",Table1[[#This Row],[Absence 
Days]]&lt;=6,"Good",Table1[[#This Row],[Absence 
Days]]&gt;6,"Poor")</f>
        <v>Good</v>
      </c>
    </row>
    <row r="1532" spans="1:30" x14ac:dyDescent="0.35">
      <c r="A1532">
        <v>1531</v>
      </c>
      <c r="B1532" s="2" t="s">
        <v>415</v>
      </c>
      <c r="C1532" t="s">
        <v>527</v>
      </c>
      <c r="D1532" t="str">
        <f>_xlfn.TEXTJOIN(" ",TRUE,Table1[[#This Row],[First 
Name]:[Last 
Name]])</f>
        <v>Eduardo Brown</v>
      </c>
      <c r="E1532" t="s">
        <v>2642</v>
      </c>
      <c r="F1532" t="s">
        <v>3244</v>
      </c>
      <c r="G1532" t="str">
        <f ca="1">PROPER(Table1[[#This Row],[Part Time 
Job]])</f>
        <v>False</v>
      </c>
      <c r="H1532" s="3">
        <v>0</v>
      </c>
      <c r="I1532" t="str">
        <f ca="1">PROPER(Table1[[#This Row],[Extracurricular 
Activities]])</f>
        <v>False</v>
      </c>
      <c r="J1532">
        <v>48</v>
      </c>
      <c r="K1532" t="s">
        <v>3113</v>
      </c>
      <c r="L1532">
        <v>99</v>
      </c>
      <c r="M1532" s="12" t="str" cm="1">
        <f t="array" ref="M153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532">
        <v>89</v>
      </c>
      <c r="O1532" s="13" t="str" cm="1">
        <f t="array" ref="O153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532">
        <v>96</v>
      </c>
      <c r="Q1532" s="13" t="str" cm="1">
        <f t="array" ref="Q153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532">
        <v>98</v>
      </c>
      <c r="S1532" t="str" cm="1">
        <f t="array" ref="S153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532">
        <v>89</v>
      </c>
      <c r="U1532" t="str" cm="1">
        <f t="array" ref="U153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532">
        <v>98</v>
      </c>
      <c r="W1532" t="str" cm="1">
        <f t="array" ref="W153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532">
        <v>93</v>
      </c>
      <c r="Y1532" t="str" cm="1">
        <f t="array" ref="Y153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532">
        <f>SUM(Table1[[#This Row],[Math 
Score]],Table1[[#This Row],[History 
Score]],Table1[[#This Row],[Physics 
Score]],Table1[[#This Row],[Chemistry 
Score]],Table1[[#This Row],[Biology 
Score]],Table1[[#This Row],[English 
Score]],Table1[[#This Row],[Geography 
Score]])</f>
        <v>662</v>
      </c>
      <c r="AA1532" s="3">
        <f>AVERAGE(Table1[[#This Row],[Math 
Score]],Table1[[#This Row],[History 
Score]],Table1[[#This Row],[Physics 
Score]],Table1[[#This Row],[Chemistry 
Score]],Table1[[#This Row],[Biology 
Score]],Table1[[#This Row],[English 
Score]],Table1[[#This Row],[Geography 
Score]])</f>
        <v>94.571428571428569</v>
      </c>
      <c r="AB153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532">
        <f t="shared" si="23"/>
        <v>13</v>
      </c>
      <c r="AD1532" t="str">
        <f>_xlfn.IFS(Table1[[#This Row],[Absence 
Days]]&lt;3,"Excellent",Table1[[#This Row],[Absence 
Days]]&lt;=6,"Good",Table1[[#This Row],[Absence 
Days]]&gt;6,"Poor")</f>
        <v>Excellent</v>
      </c>
    </row>
    <row r="1533" spans="1:30" x14ac:dyDescent="0.35">
      <c r="A1533">
        <v>1532</v>
      </c>
      <c r="B1533" s="2" t="s">
        <v>80</v>
      </c>
      <c r="C1533" t="s">
        <v>727</v>
      </c>
      <c r="D1533" t="str">
        <f>_xlfn.TEXTJOIN(" ",TRUE,Table1[[#This Row],[First 
Name]:[Last 
Name]])</f>
        <v>Thomas Stone</v>
      </c>
      <c r="E1533" t="s">
        <v>2643</v>
      </c>
      <c r="F1533" t="s">
        <v>3244</v>
      </c>
      <c r="G1533" t="str">
        <f ca="1">PROPER(Table1[[#This Row],[Part Time 
Job]])</f>
        <v>False</v>
      </c>
      <c r="H1533" s="3">
        <v>3</v>
      </c>
      <c r="I1533" t="str">
        <f ca="1">PROPER(Table1[[#This Row],[Extracurricular 
Activities]])</f>
        <v>False</v>
      </c>
      <c r="J1533">
        <v>32</v>
      </c>
      <c r="K1533" t="s">
        <v>3121</v>
      </c>
      <c r="L1533">
        <v>76</v>
      </c>
      <c r="M1533" s="12" t="str" cm="1">
        <f t="array" ref="M153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533">
        <v>85</v>
      </c>
      <c r="O1533" s="13" t="str" cm="1">
        <f t="array" ref="O153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533">
        <v>62</v>
      </c>
      <c r="Q1533" s="13" t="str" cm="1">
        <f t="array" ref="Q153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533">
        <v>65</v>
      </c>
      <c r="S1533" t="str" cm="1">
        <f t="array" ref="S153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533">
        <v>79</v>
      </c>
      <c r="U1533" t="str" cm="1">
        <f t="array" ref="U153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533">
        <v>81</v>
      </c>
      <c r="W1533" t="str" cm="1">
        <f t="array" ref="W153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533">
        <v>61</v>
      </c>
      <c r="Y1533" t="str" cm="1">
        <f t="array" ref="Y153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533">
        <f>SUM(Table1[[#This Row],[Math 
Score]],Table1[[#This Row],[History 
Score]],Table1[[#This Row],[Physics 
Score]],Table1[[#This Row],[Chemistry 
Score]],Table1[[#This Row],[Biology 
Score]],Table1[[#This Row],[English 
Score]],Table1[[#This Row],[Geography 
Score]])</f>
        <v>509</v>
      </c>
      <c r="AA1533" s="3">
        <f>AVERAGE(Table1[[#This Row],[Math 
Score]],Table1[[#This Row],[History 
Score]],Table1[[#This Row],[Physics 
Score]],Table1[[#This Row],[Chemistry 
Score]],Table1[[#This Row],[Biology 
Score]],Table1[[#This Row],[English 
Score]],Table1[[#This Row],[Geography 
Score]])</f>
        <v>72.714285714285708</v>
      </c>
      <c r="AB153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533">
        <f t="shared" si="23"/>
        <v>1835</v>
      </c>
      <c r="AD1533" t="str">
        <f>_xlfn.IFS(Table1[[#This Row],[Absence 
Days]]&lt;3,"Excellent",Table1[[#This Row],[Absence 
Days]]&lt;=6,"Good",Table1[[#This Row],[Absence 
Days]]&gt;6,"Poor")</f>
        <v>Good</v>
      </c>
    </row>
    <row r="1534" spans="1:30" x14ac:dyDescent="0.35">
      <c r="A1534">
        <v>1533</v>
      </c>
      <c r="B1534" s="2" t="s">
        <v>318</v>
      </c>
      <c r="C1534" t="s">
        <v>825</v>
      </c>
      <c r="D1534" t="str">
        <f>_xlfn.TEXTJOIN(" ",TRUE,Table1[[#This Row],[First 
Name]:[Last 
Name]])</f>
        <v>Craig Carter</v>
      </c>
      <c r="E1534" t="s">
        <v>2644</v>
      </c>
      <c r="F1534" t="s">
        <v>3244</v>
      </c>
      <c r="G1534" t="str">
        <f ca="1">PROPER(Table1[[#This Row],[Part Time 
Job]])</f>
        <v>True</v>
      </c>
      <c r="H1534" s="3">
        <v>4</v>
      </c>
      <c r="I1534" t="str">
        <f ca="1">PROPER(Table1[[#This Row],[Extracurricular 
Activities]])</f>
        <v>True</v>
      </c>
      <c r="J1534">
        <v>3</v>
      </c>
      <c r="K1534" t="s">
        <v>3119</v>
      </c>
      <c r="L1534">
        <v>71</v>
      </c>
      <c r="M1534" s="12" t="str" cm="1">
        <f t="array" ref="M1534">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534">
        <v>66</v>
      </c>
      <c r="O1534" s="13" t="str" cm="1">
        <f t="array" ref="O153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534">
        <v>52</v>
      </c>
      <c r="Q1534" s="13" t="str" cm="1">
        <f t="array" ref="Q153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C</v>
      </c>
      <c r="R1534">
        <v>99</v>
      </c>
      <c r="S1534" t="str" cm="1">
        <f t="array" ref="S153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534">
        <v>87</v>
      </c>
      <c r="U1534" t="str" cm="1">
        <f t="array" ref="U153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534">
        <v>89</v>
      </c>
      <c r="W1534" t="str" cm="1">
        <f t="array" ref="W153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534">
        <v>70</v>
      </c>
      <c r="Y1534" t="str" cm="1">
        <f t="array" ref="Y153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534">
        <f>SUM(Table1[[#This Row],[Math 
Score]],Table1[[#This Row],[History 
Score]],Table1[[#This Row],[Physics 
Score]],Table1[[#This Row],[Chemistry 
Score]],Table1[[#This Row],[Biology 
Score]],Table1[[#This Row],[English 
Score]],Table1[[#This Row],[Geography 
Score]])</f>
        <v>534</v>
      </c>
      <c r="AA1534" s="3">
        <f>AVERAGE(Table1[[#This Row],[Math 
Score]],Table1[[#This Row],[History 
Score]],Table1[[#This Row],[Physics 
Score]],Table1[[#This Row],[Chemistry 
Score]],Table1[[#This Row],[Biology 
Score]],Table1[[#This Row],[English 
Score]],Table1[[#This Row],[Geography 
Score]])</f>
        <v>76.285714285714292</v>
      </c>
      <c r="AB153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534">
        <f t="shared" si="23"/>
        <v>1595</v>
      </c>
      <c r="AD1534" t="str">
        <f>_xlfn.IFS(Table1[[#This Row],[Absence 
Days]]&lt;3,"Excellent",Table1[[#This Row],[Absence 
Days]]&lt;=6,"Good",Table1[[#This Row],[Absence 
Days]]&gt;6,"Poor")</f>
        <v>Good</v>
      </c>
    </row>
    <row r="1535" spans="1:30" x14ac:dyDescent="0.35">
      <c r="A1535">
        <v>1534</v>
      </c>
      <c r="B1535" s="2" t="s">
        <v>34</v>
      </c>
      <c r="C1535" t="s">
        <v>758</v>
      </c>
      <c r="D1535" t="str">
        <f>_xlfn.TEXTJOIN(" ",TRUE,Table1[[#This Row],[First 
Name]:[Last 
Name]])</f>
        <v>Michael Harrington</v>
      </c>
      <c r="E1535" t="s">
        <v>2645</v>
      </c>
      <c r="F1535" t="s">
        <v>3244</v>
      </c>
      <c r="G1535" t="str">
        <f ca="1">PROPER(Table1[[#This Row],[Part Time 
Job]])</f>
        <v>False</v>
      </c>
      <c r="H1535" s="3">
        <v>1</v>
      </c>
      <c r="I1535" t="str">
        <f ca="1">PROPER(Table1[[#This Row],[Extracurricular 
Activities]])</f>
        <v>False</v>
      </c>
      <c r="J1535">
        <v>24</v>
      </c>
      <c r="K1535" t="s">
        <v>3116</v>
      </c>
      <c r="L1535">
        <v>60</v>
      </c>
      <c r="M1535" s="12" t="str" cm="1">
        <f t="array" ref="M1535">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535">
        <v>78</v>
      </c>
      <c r="O1535" s="13" t="str" cm="1">
        <f t="array" ref="O153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535">
        <v>96</v>
      </c>
      <c r="Q1535" s="13" t="str" cm="1">
        <f t="array" ref="Q153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535">
        <v>93</v>
      </c>
      <c r="S1535" t="str" cm="1">
        <f t="array" ref="S153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535">
        <v>62</v>
      </c>
      <c r="U1535" t="str" cm="1">
        <f t="array" ref="U153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535">
        <v>60</v>
      </c>
      <c r="W1535" t="str" cm="1">
        <f t="array" ref="W153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535">
        <v>83</v>
      </c>
      <c r="Y1535" t="str" cm="1">
        <f t="array" ref="Y153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535">
        <f>SUM(Table1[[#This Row],[Math 
Score]],Table1[[#This Row],[History 
Score]],Table1[[#This Row],[Physics 
Score]],Table1[[#This Row],[Chemistry 
Score]],Table1[[#This Row],[Biology 
Score]],Table1[[#This Row],[English 
Score]],Table1[[#This Row],[Geography 
Score]])</f>
        <v>532</v>
      </c>
      <c r="AA1535" s="3">
        <f>AVERAGE(Table1[[#This Row],[Math 
Score]],Table1[[#This Row],[History 
Score]],Table1[[#This Row],[Physics 
Score]],Table1[[#This Row],[Chemistry 
Score]],Table1[[#This Row],[Biology 
Score]],Table1[[#This Row],[English 
Score]],Table1[[#This Row],[Geography 
Score]])</f>
        <v>76</v>
      </c>
      <c r="AB153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535">
        <f t="shared" si="23"/>
        <v>1622</v>
      </c>
      <c r="AD1535" t="str">
        <f>_xlfn.IFS(Table1[[#This Row],[Absence 
Days]]&lt;3,"Excellent",Table1[[#This Row],[Absence 
Days]]&lt;=6,"Good",Table1[[#This Row],[Absence 
Days]]&gt;6,"Poor")</f>
        <v>Excellent</v>
      </c>
    </row>
    <row r="1536" spans="1:30" x14ac:dyDescent="0.35">
      <c r="A1536">
        <v>1535</v>
      </c>
      <c r="B1536" s="2" t="s">
        <v>332</v>
      </c>
      <c r="C1536" t="s">
        <v>470</v>
      </c>
      <c r="D1536" t="str">
        <f>_xlfn.TEXTJOIN(" ",TRUE,Table1[[#This Row],[First 
Name]:[Last 
Name]])</f>
        <v>Valerie Nichols</v>
      </c>
      <c r="E1536" t="s">
        <v>2646</v>
      </c>
      <c r="F1536" t="s">
        <v>3245</v>
      </c>
      <c r="G1536" t="str">
        <f ca="1">PROPER(Table1[[#This Row],[Part Time 
Job]])</f>
        <v>False</v>
      </c>
      <c r="H1536" s="3">
        <v>4</v>
      </c>
      <c r="I1536" t="str">
        <f ca="1">PROPER(Table1[[#This Row],[Extracurricular 
Activities]])</f>
        <v>False</v>
      </c>
      <c r="J1536">
        <v>21</v>
      </c>
      <c r="K1536" t="s">
        <v>3117</v>
      </c>
      <c r="L1536">
        <v>87</v>
      </c>
      <c r="M1536" s="12" t="str" cm="1">
        <f t="array" ref="M153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536">
        <v>74</v>
      </c>
      <c r="O1536" s="13" t="str" cm="1">
        <f t="array" ref="O153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536">
        <v>81</v>
      </c>
      <c r="Q1536" s="13" t="str" cm="1">
        <f t="array" ref="Q153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536">
        <v>65</v>
      </c>
      <c r="S1536" t="str" cm="1">
        <f t="array" ref="S153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536">
        <v>74</v>
      </c>
      <c r="U1536" t="str" cm="1">
        <f t="array" ref="U153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536">
        <v>91</v>
      </c>
      <c r="W1536" t="str" cm="1">
        <f t="array" ref="W153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536">
        <v>82</v>
      </c>
      <c r="Y1536" t="str" cm="1">
        <f t="array" ref="Y153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536">
        <f>SUM(Table1[[#This Row],[Math 
Score]],Table1[[#This Row],[History 
Score]],Table1[[#This Row],[Physics 
Score]],Table1[[#This Row],[Chemistry 
Score]],Table1[[#This Row],[Biology 
Score]],Table1[[#This Row],[English 
Score]],Table1[[#This Row],[Geography 
Score]])</f>
        <v>554</v>
      </c>
      <c r="AA1536" s="3">
        <f>AVERAGE(Table1[[#This Row],[Math 
Score]],Table1[[#This Row],[History 
Score]],Table1[[#This Row],[Physics 
Score]],Table1[[#This Row],[Chemistry 
Score]],Table1[[#This Row],[Biology 
Score]],Table1[[#This Row],[English 
Score]],Table1[[#This Row],[Geography 
Score]])</f>
        <v>79.142857142857139</v>
      </c>
      <c r="AB153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536">
        <f t="shared" si="23"/>
        <v>1264</v>
      </c>
      <c r="AD1536" t="str">
        <f>_xlfn.IFS(Table1[[#This Row],[Absence 
Days]]&lt;3,"Excellent",Table1[[#This Row],[Absence 
Days]]&lt;=6,"Good",Table1[[#This Row],[Absence 
Days]]&gt;6,"Poor")</f>
        <v>Good</v>
      </c>
    </row>
    <row r="1537" spans="1:30" x14ac:dyDescent="0.35">
      <c r="A1537">
        <v>1536</v>
      </c>
      <c r="B1537" s="2" t="s">
        <v>56</v>
      </c>
      <c r="C1537" t="s">
        <v>516</v>
      </c>
      <c r="D1537" t="str">
        <f>_xlfn.TEXTJOIN(" ",TRUE,Table1[[#This Row],[First 
Name]:[Last 
Name]])</f>
        <v>Brian Garcia</v>
      </c>
      <c r="E1537" t="s">
        <v>2647</v>
      </c>
      <c r="F1537" t="s">
        <v>3244</v>
      </c>
      <c r="G1537" t="str">
        <f ca="1">PROPER(Table1[[#This Row],[Part Time 
Job]])</f>
        <v>False</v>
      </c>
      <c r="H1537" s="3">
        <v>10</v>
      </c>
      <c r="I1537" t="str">
        <f ca="1">PROPER(Table1[[#This Row],[Extracurricular 
Activities]])</f>
        <v>False</v>
      </c>
      <c r="J1537">
        <v>0</v>
      </c>
      <c r="K1537" t="s">
        <v>3119</v>
      </c>
      <c r="L1537">
        <v>93</v>
      </c>
      <c r="M1537" s="12" t="str" cm="1">
        <f t="array" ref="M153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537">
        <v>84</v>
      </c>
      <c r="O1537" s="13" t="str" cm="1">
        <f t="array" ref="O153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537">
        <v>65</v>
      </c>
      <c r="Q1537" s="13" t="str" cm="1">
        <f t="array" ref="Q153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537">
        <v>56</v>
      </c>
      <c r="S1537" t="str" cm="1">
        <f t="array" ref="S153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C</v>
      </c>
      <c r="T1537">
        <v>67</v>
      </c>
      <c r="U1537" t="str" cm="1">
        <f t="array" ref="U153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537">
        <v>92</v>
      </c>
      <c r="W1537" t="str" cm="1">
        <f t="array" ref="W153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537">
        <v>81</v>
      </c>
      <c r="Y1537" t="str" cm="1">
        <f t="array" ref="Y153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537">
        <f>SUM(Table1[[#This Row],[Math 
Score]],Table1[[#This Row],[History 
Score]],Table1[[#This Row],[Physics 
Score]],Table1[[#This Row],[Chemistry 
Score]],Table1[[#This Row],[Biology 
Score]],Table1[[#This Row],[English 
Score]],Table1[[#This Row],[Geography 
Score]])</f>
        <v>538</v>
      </c>
      <c r="AA1537" s="3">
        <f>AVERAGE(Table1[[#This Row],[Math 
Score]],Table1[[#This Row],[History 
Score]],Table1[[#This Row],[Physics 
Score]],Table1[[#This Row],[Chemistry 
Score]],Table1[[#This Row],[Biology 
Score]],Table1[[#This Row],[English 
Score]],Table1[[#This Row],[Geography 
Score]])</f>
        <v>76.857142857142861</v>
      </c>
      <c r="AB153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537">
        <f t="shared" si="23"/>
        <v>1537</v>
      </c>
      <c r="AD1537" t="str">
        <f>_xlfn.IFS(Table1[[#This Row],[Absence 
Days]]&lt;3,"Excellent",Table1[[#This Row],[Absence 
Days]]&lt;=6,"Good",Table1[[#This Row],[Absence 
Days]]&gt;6,"Poor")</f>
        <v>Poor</v>
      </c>
    </row>
    <row r="1538" spans="1:30" x14ac:dyDescent="0.35">
      <c r="A1538">
        <v>1537</v>
      </c>
      <c r="B1538" s="2" t="s">
        <v>416</v>
      </c>
      <c r="C1538" t="s">
        <v>458</v>
      </c>
      <c r="D1538" t="str">
        <f>_xlfn.TEXTJOIN(" ",TRUE,Table1[[#This Row],[First 
Name]:[Last 
Name]])</f>
        <v>Renee Smith</v>
      </c>
      <c r="E1538" t="s">
        <v>2648</v>
      </c>
      <c r="F1538" t="s">
        <v>3245</v>
      </c>
      <c r="G1538" t="str">
        <f ca="1">PROPER(Table1[[#This Row],[Part Time 
Job]])</f>
        <v>False</v>
      </c>
      <c r="H1538" s="3">
        <v>0</v>
      </c>
      <c r="I1538" t="str">
        <f ca="1">PROPER(Table1[[#This Row],[Extracurricular 
Activities]])</f>
        <v>False</v>
      </c>
      <c r="J1538">
        <v>25</v>
      </c>
      <c r="K1538" t="s">
        <v>3112</v>
      </c>
      <c r="L1538">
        <v>87</v>
      </c>
      <c r="M1538" s="12" t="str" cm="1">
        <f t="array" ref="M153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538">
        <v>87</v>
      </c>
      <c r="O1538" s="13" t="str" cm="1">
        <f t="array" ref="O153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538">
        <v>69</v>
      </c>
      <c r="Q1538" s="13" t="str" cm="1">
        <f t="array" ref="Q153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538">
        <v>71</v>
      </c>
      <c r="S1538" t="str" cm="1">
        <f t="array" ref="S153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538">
        <v>74</v>
      </c>
      <c r="U1538" t="str" cm="1">
        <f t="array" ref="U153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538">
        <v>91</v>
      </c>
      <c r="W1538" t="str" cm="1">
        <f t="array" ref="W153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538">
        <v>74</v>
      </c>
      <c r="Y1538" t="str" cm="1">
        <f t="array" ref="Y153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538">
        <f>SUM(Table1[[#This Row],[Math 
Score]],Table1[[#This Row],[History 
Score]],Table1[[#This Row],[Physics 
Score]],Table1[[#This Row],[Chemistry 
Score]],Table1[[#This Row],[Biology 
Score]],Table1[[#This Row],[English 
Score]],Table1[[#This Row],[Geography 
Score]])</f>
        <v>553</v>
      </c>
      <c r="AA1538" s="3">
        <f>AVERAGE(Table1[[#This Row],[Math 
Score]],Table1[[#This Row],[History 
Score]],Table1[[#This Row],[Physics 
Score]],Table1[[#This Row],[Chemistry 
Score]],Table1[[#This Row],[Biology 
Score]],Table1[[#This Row],[English 
Score]],Table1[[#This Row],[Geography 
Score]])</f>
        <v>79</v>
      </c>
      <c r="AB153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538">
        <f t="shared" ref="AC1538:AC1601" si="24">RANK(AA1538,$AA$2:$AA$2001,0)</f>
        <v>1284</v>
      </c>
      <c r="AD1538" t="str">
        <f>_xlfn.IFS(Table1[[#This Row],[Absence 
Days]]&lt;3,"Excellent",Table1[[#This Row],[Absence 
Days]]&lt;=6,"Good",Table1[[#This Row],[Absence 
Days]]&gt;6,"Poor")</f>
        <v>Excellent</v>
      </c>
    </row>
    <row r="1539" spans="1:30" x14ac:dyDescent="0.35">
      <c r="A1539">
        <v>1538</v>
      </c>
      <c r="B1539" s="2" t="s">
        <v>417</v>
      </c>
      <c r="C1539" t="s">
        <v>597</v>
      </c>
      <c r="D1539" t="str">
        <f>_xlfn.TEXTJOIN(" ",TRUE,Table1[[#This Row],[First 
Name]:[Last 
Name]])</f>
        <v>Kaitlyn Frazier</v>
      </c>
      <c r="E1539" t="s">
        <v>2649</v>
      </c>
      <c r="F1539" t="s">
        <v>3245</v>
      </c>
      <c r="G1539" t="str">
        <f ca="1">PROPER(Table1[[#This Row],[Part Time 
Job]])</f>
        <v>False</v>
      </c>
      <c r="H1539" s="3">
        <v>3</v>
      </c>
      <c r="I1539" t="str">
        <f ca="1">PROPER(Table1[[#This Row],[Extracurricular 
Activities]])</f>
        <v>False</v>
      </c>
      <c r="J1539">
        <v>10</v>
      </c>
      <c r="K1539" t="s">
        <v>3114</v>
      </c>
      <c r="L1539">
        <v>93</v>
      </c>
      <c r="M1539" s="12" t="str" cm="1">
        <f t="array" ref="M153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539">
        <v>68</v>
      </c>
      <c r="O1539" s="13" t="str" cm="1">
        <f t="array" ref="O153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539">
        <v>61</v>
      </c>
      <c r="Q1539" s="13" t="str" cm="1">
        <f t="array" ref="Q153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539">
        <v>78</v>
      </c>
      <c r="S1539" t="str" cm="1">
        <f t="array" ref="S153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539">
        <v>80</v>
      </c>
      <c r="U1539" t="str" cm="1">
        <f t="array" ref="U153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539">
        <v>65</v>
      </c>
      <c r="W1539" t="str" cm="1">
        <f t="array" ref="W153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539">
        <v>77</v>
      </c>
      <c r="Y1539" t="str" cm="1">
        <f t="array" ref="Y153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539">
        <f>SUM(Table1[[#This Row],[Math 
Score]],Table1[[#This Row],[History 
Score]],Table1[[#This Row],[Physics 
Score]],Table1[[#This Row],[Chemistry 
Score]],Table1[[#This Row],[Biology 
Score]],Table1[[#This Row],[English 
Score]],Table1[[#This Row],[Geography 
Score]])</f>
        <v>522</v>
      </c>
      <c r="AA1539" s="3">
        <f>AVERAGE(Table1[[#This Row],[Math 
Score]],Table1[[#This Row],[History 
Score]],Table1[[#This Row],[Physics 
Score]],Table1[[#This Row],[Chemistry 
Score]],Table1[[#This Row],[Biology 
Score]],Table1[[#This Row],[English 
Score]],Table1[[#This Row],[Geography 
Score]])</f>
        <v>74.571428571428569</v>
      </c>
      <c r="AB153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539">
        <f t="shared" si="24"/>
        <v>1739</v>
      </c>
      <c r="AD1539" t="str">
        <f>_xlfn.IFS(Table1[[#This Row],[Absence 
Days]]&lt;3,"Excellent",Table1[[#This Row],[Absence 
Days]]&lt;=6,"Good",Table1[[#This Row],[Absence 
Days]]&gt;6,"Poor")</f>
        <v>Good</v>
      </c>
    </row>
    <row r="1540" spans="1:30" x14ac:dyDescent="0.35">
      <c r="A1540">
        <v>1539</v>
      </c>
      <c r="B1540" s="2" t="s">
        <v>308</v>
      </c>
      <c r="C1540" t="s">
        <v>722</v>
      </c>
      <c r="D1540" t="str">
        <f>_xlfn.TEXTJOIN(" ",TRUE,Table1[[#This Row],[First 
Name]:[Last 
Name]])</f>
        <v>Jesse Green</v>
      </c>
      <c r="E1540" t="s">
        <v>2650</v>
      </c>
      <c r="F1540" t="s">
        <v>3244</v>
      </c>
      <c r="G1540" t="str">
        <f ca="1">PROPER(Table1[[#This Row],[Part Time 
Job]])</f>
        <v>False</v>
      </c>
      <c r="H1540" s="3">
        <v>1</v>
      </c>
      <c r="I1540" t="str">
        <f ca="1">PROPER(Table1[[#This Row],[Extracurricular 
Activities]])</f>
        <v>False</v>
      </c>
      <c r="J1540">
        <v>4</v>
      </c>
      <c r="K1540" t="s">
        <v>3126</v>
      </c>
      <c r="L1540">
        <v>96</v>
      </c>
      <c r="M1540" s="12" t="str" cm="1">
        <f t="array" ref="M154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540">
        <v>64</v>
      </c>
      <c r="O1540" s="13" t="str" cm="1">
        <f t="array" ref="O154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540">
        <v>91</v>
      </c>
      <c r="Q1540" s="13" t="str" cm="1">
        <f t="array" ref="Q154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540">
        <v>69</v>
      </c>
      <c r="S1540" t="str" cm="1">
        <f t="array" ref="S154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540">
        <v>60</v>
      </c>
      <c r="U1540" t="str" cm="1">
        <f t="array" ref="U154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540">
        <v>62</v>
      </c>
      <c r="W1540" t="str" cm="1">
        <f t="array" ref="W154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540">
        <v>62</v>
      </c>
      <c r="Y1540" t="str" cm="1">
        <f t="array" ref="Y154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540">
        <f>SUM(Table1[[#This Row],[Math 
Score]],Table1[[#This Row],[History 
Score]],Table1[[#This Row],[Physics 
Score]],Table1[[#This Row],[Chemistry 
Score]],Table1[[#This Row],[Biology 
Score]],Table1[[#This Row],[English 
Score]],Table1[[#This Row],[Geography 
Score]])</f>
        <v>504</v>
      </c>
      <c r="AA1540" s="3">
        <f>AVERAGE(Table1[[#This Row],[Math 
Score]],Table1[[#This Row],[History 
Score]],Table1[[#This Row],[Physics 
Score]],Table1[[#This Row],[Chemistry 
Score]],Table1[[#This Row],[Biology 
Score]],Table1[[#This Row],[English 
Score]],Table1[[#This Row],[Geography 
Score]])</f>
        <v>72</v>
      </c>
      <c r="AB154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540">
        <f t="shared" si="24"/>
        <v>1858</v>
      </c>
      <c r="AD1540" t="str">
        <f>_xlfn.IFS(Table1[[#This Row],[Absence 
Days]]&lt;3,"Excellent",Table1[[#This Row],[Absence 
Days]]&lt;=6,"Good",Table1[[#This Row],[Absence 
Days]]&gt;6,"Poor")</f>
        <v>Excellent</v>
      </c>
    </row>
    <row r="1541" spans="1:30" x14ac:dyDescent="0.35">
      <c r="A1541">
        <v>1540</v>
      </c>
      <c r="B1541" s="2" t="s">
        <v>44</v>
      </c>
      <c r="C1541" t="s">
        <v>857</v>
      </c>
      <c r="D1541" t="str">
        <f>_xlfn.TEXTJOIN(" ",TRUE,Table1[[#This Row],[First 
Name]:[Last 
Name]])</f>
        <v>Kimberly Cooper</v>
      </c>
      <c r="E1541" t="s">
        <v>2651</v>
      </c>
      <c r="F1541" t="s">
        <v>3245</v>
      </c>
      <c r="G1541" t="str">
        <f ca="1">PROPER(Table1[[#This Row],[Part Time 
Job]])</f>
        <v>False</v>
      </c>
      <c r="H1541" s="3">
        <v>2</v>
      </c>
      <c r="I1541" t="str">
        <f ca="1">PROPER(Table1[[#This Row],[Extracurricular 
Activities]])</f>
        <v>False</v>
      </c>
      <c r="J1541">
        <v>7</v>
      </c>
      <c r="K1541" t="s">
        <v>3116</v>
      </c>
      <c r="L1541">
        <v>62</v>
      </c>
      <c r="M1541" s="12" t="str" cm="1">
        <f t="array" ref="M1541">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541">
        <v>73</v>
      </c>
      <c r="O1541" s="13" t="str" cm="1">
        <f t="array" ref="O154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541">
        <v>74</v>
      </c>
      <c r="Q1541" s="13" t="str" cm="1">
        <f t="array" ref="Q154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541">
        <v>72</v>
      </c>
      <c r="S1541" t="str" cm="1">
        <f t="array" ref="S154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541">
        <v>83</v>
      </c>
      <c r="U1541" t="str" cm="1">
        <f t="array" ref="U154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541">
        <v>63</v>
      </c>
      <c r="W1541" t="str" cm="1">
        <f t="array" ref="W154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541">
        <v>79</v>
      </c>
      <c r="Y1541" t="str" cm="1">
        <f t="array" ref="Y154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541">
        <f>SUM(Table1[[#This Row],[Math 
Score]],Table1[[#This Row],[History 
Score]],Table1[[#This Row],[Physics 
Score]],Table1[[#This Row],[Chemistry 
Score]],Table1[[#This Row],[Biology 
Score]],Table1[[#This Row],[English 
Score]],Table1[[#This Row],[Geography 
Score]])</f>
        <v>506</v>
      </c>
      <c r="AA1541" s="3">
        <f>AVERAGE(Table1[[#This Row],[Math 
Score]],Table1[[#This Row],[History 
Score]],Table1[[#This Row],[Physics 
Score]],Table1[[#This Row],[Chemistry 
Score]],Table1[[#This Row],[Biology 
Score]],Table1[[#This Row],[English 
Score]],Table1[[#This Row],[Geography 
Score]])</f>
        <v>72.285714285714292</v>
      </c>
      <c r="AB154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541">
        <f t="shared" si="24"/>
        <v>1848</v>
      </c>
      <c r="AD1541" t="str">
        <f>_xlfn.IFS(Table1[[#This Row],[Absence 
Days]]&lt;3,"Excellent",Table1[[#This Row],[Absence 
Days]]&lt;=6,"Good",Table1[[#This Row],[Absence 
Days]]&gt;6,"Poor")</f>
        <v>Excellent</v>
      </c>
    </row>
    <row r="1542" spans="1:30" x14ac:dyDescent="0.35">
      <c r="A1542">
        <v>1541</v>
      </c>
      <c r="B1542" s="2" t="s">
        <v>110</v>
      </c>
      <c r="C1542" t="s">
        <v>1035</v>
      </c>
      <c r="D1542" t="str">
        <f>_xlfn.TEXTJOIN(" ",TRUE,Table1[[#This Row],[First 
Name]:[Last 
Name]])</f>
        <v>Matthew Chambers</v>
      </c>
      <c r="E1542" t="s">
        <v>2652</v>
      </c>
      <c r="F1542" t="s">
        <v>3244</v>
      </c>
      <c r="G1542" t="str">
        <f ca="1">PROPER(Table1[[#This Row],[Part Time 
Job]])</f>
        <v>True</v>
      </c>
      <c r="H1542" s="3">
        <v>8</v>
      </c>
      <c r="I1542" t="str">
        <f ca="1">PROPER(Table1[[#This Row],[Extracurricular 
Activities]])</f>
        <v>False</v>
      </c>
      <c r="J1542">
        <v>0</v>
      </c>
      <c r="K1542" t="s">
        <v>3119</v>
      </c>
      <c r="L1542">
        <v>50</v>
      </c>
      <c r="M1542" s="12" t="str" cm="1">
        <f t="array" ref="M1542">_xlfn.IFS(Table1[[#This Row],[Math 
Score]]&gt;=90,"A+",Table1[[#This Row],[Math 
Score]]&gt;=80,"A", Table1[[#This Row],[Math 
Score]]&gt;=75,"A-",Table1[[#This Row],[Math 
Score]]&gt;=70,"B+",Table1[[#This Row],[Math 
Score]]&gt;=65,"B",Table1[[#This Row],[Math 
Score]]&gt;=60,"B-",Table1[[#This Row],[Math 
Score]]&gt;=50,"C",Table1[[#This Row],[Math 
Score]]&gt;=40,"D",Table1[[#This Row],[Math 
Score]]&lt;40,"F")</f>
        <v>C</v>
      </c>
      <c r="N1542">
        <v>80</v>
      </c>
      <c r="O1542" s="13" t="str" cm="1">
        <f t="array" ref="O154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542">
        <v>100</v>
      </c>
      <c r="Q1542" s="13" t="str" cm="1">
        <f t="array" ref="Q154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542">
        <v>81</v>
      </c>
      <c r="S1542" t="str" cm="1">
        <f t="array" ref="S154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542">
        <v>61</v>
      </c>
      <c r="U1542" t="str" cm="1">
        <f t="array" ref="U154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542">
        <v>68</v>
      </c>
      <c r="W1542" t="str" cm="1">
        <f t="array" ref="W154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542">
        <v>72</v>
      </c>
      <c r="Y1542" t="str" cm="1">
        <f t="array" ref="Y154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542">
        <f>SUM(Table1[[#This Row],[Math 
Score]],Table1[[#This Row],[History 
Score]],Table1[[#This Row],[Physics 
Score]],Table1[[#This Row],[Chemistry 
Score]],Table1[[#This Row],[Biology 
Score]],Table1[[#This Row],[English 
Score]],Table1[[#This Row],[Geography 
Score]])</f>
        <v>512</v>
      </c>
      <c r="AA1542" s="3">
        <f>AVERAGE(Table1[[#This Row],[Math 
Score]],Table1[[#This Row],[History 
Score]],Table1[[#This Row],[Physics 
Score]],Table1[[#This Row],[Chemistry 
Score]],Table1[[#This Row],[Biology 
Score]],Table1[[#This Row],[English 
Score]],Table1[[#This Row],[Geography 
Score]])</f>
        <v>73.142857142857139</v>
      </c>
      <c r="AB154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542">
        <f t="shared" si="24"/>
        <v>1815</v>
      </c>
      <c r="AD1542" t="str">
        <f>_xlfn.IFS(Table1[[#This Row],[Absence 
Days]]&lt;3,"Excellent",Table1[[#This Row],[Absence 
Days]]&lt;=6,"Good",Table1[[#This Row],[Absence 
Days]]&gt;6,"Poor")</f>
        <v>Poor</v>
      </c>
    </row>
    <row r="1543" spans="1:30" x14ac:dyDescent="0.35">
      <c r="A1543">
        <v>1542</v>
      </c>
      <c r="B1543" s="2" t="s">
        <v>237</v>
      </c>
      <c r="C1543" t="s">
        <v>1036</v>
      </c>
      <c r="D1543" t="str">
        <f>_xlfn.TEXTJOIN(" ",TRUE,Table1[[#This Row],[First 
Name]:[Last 
Name]])</f>
        <v>Stephanie Yu</v>
      </c>
      <c r="E1543" t="s">
        <v>2653</v>
      </c>
      <c r="F1543" t="s">
        <v>3245</v>
      </c>
      <c r="G1543" t="str">
        <f ca="1">PROPER(Table1[[#This Row],[Part Time 
Job]])</f>
        <v>False</v>
      </c>
      <c r="H1543" s="3">
        <v>4</v>
      </c>
      <c r="I1543" t="str">
        <f ca="1">PROPER(Table1[[#This Row],[Extracurricular 
Activities]])</f>
        <v>False</v>
      </c>
      <c r="J1543">
        <v>2</v>
      </c>
      <c r="K1543" t="s">
        <v>3116</v>
      </c>
      <c r="L1543">
        <v>71</v>
      </c>
      <c r="M1543" s="12" t="str" cm="1">
        <f t="array" ref="M1543">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543">
        <v>68</v>
      </c>
      <c r="O1543" s="13" t="str" cm="1">
        <f t="array" ref="O154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543">
        <v>77</v>
      </c>
      <c r="Q1543" s="13" t="str" cm="1">
        <f t="array" ref="Q154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543">
        <v>73</v>
      </c>
      <c r="S1543" t="str" cm="1">
        <f t="array" ref="S154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543">
        <v>68</v>
      </c>
      <c r="U1543" t="str" cm="1">
        <f t="array" ref="U154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543">
        <v>73</v>
      </c>
      <c r="W1543" t="str" cm="1">
        <f t="array" ref="W154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543">
        <v>64</v>
      </c>
      <c r="Y1543" t="str" cm="1">
        <f t="array" ref="Y154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543">
        <f>SUM(Table1[[#This Row],[Math 
Score]],Table1[[#This Row],[History 
Score]],Table1[[#This Row],[Physics 
Score]],Table1[[#This Row],[Chemistry 
Score]],Table1[[#This Row],[Biology 
Score]],Table1[[#This Row],[English 
Score]],Table1[[#This Row],[Geography 
Score]])</f>
        <v>494</v>
      </c>
      <c r="AA1543" s="3">
        <f>AVERAGE(Table1[[#This Row],[Math 
Score]],Table1[[#This Row],[History 
Score]],Table1[[#This Row],[Physics 
Score]],Table1[[#This Row],[Chemistry 
Score]],Table1[[#This Row],[Biology 
Score]],Table1[[#This Row],[English 
Score]],Table1[[#This Row],[Geography 
Score]])</f>
        <v>70.571428571428569</v>
      </c>
      <c r="AB154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543">
        <f t="shared" si="24"/>
        <v>1897</v>
      </c>
      <c r="AD1543" t="str">
        <f>_xlfn.IFS(Table1[[#This Row],[Absence 
Days]]&lt;3,"Excellent",Table1[[#This Row],[Absence 
Days]]&lt;=6,"Good",Table1[[#This Row],[Absence 
Days]]&gt;6,"Poor")</f>
        <v>Good</v>
      </c>
    </row>
    <row r="1544" spans="1:30" x14ac:dyDescent="0.35">
      <c r="A1544">
        <v>1543</v>
      </c>
      <c r="B1544" s="2" t="s">
        <v>283</v>
      </c>
      <c r="C1544" t="s">
        <v>513</v>
      </c>
      <c r="D1544" t="str">
        <f>_xlfn.TEXTJOIN(" ",TRUE,Table1[[#This Row],[First 
Name]:[Last 
Name]])</f>
        <v>Jose Hodge</v>
      </c>
      <c r="E1544" t="s">
        <v>2654</v>
      </c>
      <c r="F1544" t="s">
        <v>3244</v>
      </c>
      <c r="G1544" t="str">
        <f ca="1">PROPER(Table1[[#This Row],[Part Time 
Job]])</f>
        <v>False</v>
      </c>
      <c r="H1544" s="3">
        <v>0</v>
      </c>
      <c r="I1544" t="str">
        <f ca="1">PROPER(Table1[[#This Row],[Extracurricular 
Activities]])</f>
        <v>True</v>
      </c>
      <c r="J1544">
        <v>16</v>
      </c>
      <c r="K1544" t="s">
        <v>3125</v>
      </c>
      <c r="L1544">
        <v>99</v>
      </c>
      <c r="M1544" s="12" t="str" cm="1">
        <f t="array" ref="M154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544">
        <v>88</v>
      </c>
      <c r="O1544" s="13" t="str" cm="1">
        <f t="array" ref="O154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544">
        <v>88</v>
      </c>
      <c r="Q1544" s="13" t="str" cm="1">
        <f t="array" ref="Q154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544">
        <v>90</v>
      </c>
      <c r="S1544" t="str" cm="1">
        <f t="array" ref="S154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544">
        <v>82</v>
      </c>
      <c r="U1544" t="str" cm="1">
        <f t="array" ref="U154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544">
        <v>88</v>
      </c>
      <c r="W1544" t="str" cm="1">
        <f t="array" ref="W154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544">
        <v>90</v>
      </c>
      <c r="Y1544" t="str" cm="1">
        <f t="array" ref="Y154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544">
        <f>SUM(Table1[[#This Row],[Math 
Score]],Table1[[#This Row],[History 
Score]],Table1[[#This Row],[Physics 
Score]],Table1[[#This Row],[Chemistry 
Score]],Table1[[#This Row],[Biology 
Score]],Table1[[#This Row],[English 
Score]],Table1[[#This Row],[Geography 
Score]])</f>
        <v>625</v>
      </c>
      <c r="AA1544" s="3">
        <f>AVERAGE(Table1[[#This Row],[Math 
Score]],Table1[[#This Row],[History 
Score]],Table1[[#This Row],[Physics 
Score]],Table1[[#This Row],[Chemistry 
Score]],Table1[[#This Row],[Biology 
Score]],Table1[[#This Row],[English 
Score]],Table1[[#This Row],[Geography 
Score]])</f>
        <v>89.285714285714292</v>
      </c>
      <c r="AB154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544">
        <f t="shared" si="24"/>
        <v>187</v>
      </c>
      <c r="AD1544" t="str">
        <f>_xlfn.IFS(Table1[[#This Row],[Absence 
Days]]&lt;3,"Excellent",Table1[[#This Row],[Absence 
Days]]&lt;=6,"Good",Table1[[#This Row],[Absence 
Days]]&gt;6,"Poor")</f>
        <v>Excellent</v>
      </c>
    </row>
    <row r="1545" spans="1:30" x14ac:dyDescent="0.35">
      <c r="A1545">
        <v>1544</v>
      </c>
      <c r="B1545" s="2" t="s">
        <v>418</v>
      </c>
      <c r="C1545" t="s">
        <v>5</v>
      </c>
      <c r="D1545" t="str">
        <f>_xlfn.TEXTJOIN(" ",TRUE,Table1[[#This Row],[First 
Name]:[Last 
Name]])</f>
        <v>Steve Kelly</v>
      </c>
      <c r="E1545" t="s">
        <v>2655</v>
      </c>
      <c r="F1545" t="s">
        <v>3244</v>
      </c>
      <c r="G1545" t="str">
        <f ca="1">PROPER(Table1[[#This Row],[Part Time 
Job]])</f>
        <v>False</v>
      </c>
      <c r="H1545" s="3">
        <v>4</v>
      </c>
      <c r="I1545" t="str">
        <f ca="1">PROPER(Table1[[#This Row],[Extracurricular 
Activities]])</f>
        <v>False</v>
      </c>
      <c r="J1545">
        <v>12</v>
      </c>
      <c r="K1545" t="s">
        <v>3127</v>
      </c>
      <c r="L1545">
        <v>100</v>
      </c>
      <c r="M1545" s="12" t="str" cm="1">
        <f t="array" ref="M154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545">
        <v>67</v>
      </c>
      <c r="O1545" s="13" t="str" cm="1">
        <f t="array" ref="O154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545">
        <v>100</v>
      </c>
      <c r="Q1545" s="13" t="str" cm="1">
        <f t="array" ref="Q154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545">
        <v>60</v>
      </c>
      <c r="S1545" t="str" cm="1">
        <f t="array" ref="S154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545">
        <v>94</v>
      </c>
      <c r="U1545" t="str" cm="1">
        <f t="array" ref="U154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545">
        <v>72</v>
      </c>
      <c r="W1545" t="str" cm="1">
        <f t="array" ref="W154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545">
        <v>70</v>
      </c>
      <c r="Y1545" t="str" cm="1">
        <f t="array" ref="Y154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545">
        <f>SUM(Table1[[#This Row],[Math 
Score]],Table1[[#This Row],[History 
Score]],Table1[[#This Row],[Physics 
Score]],Table1[[#This Row],[Chemistry 
Score]],Table1[[#This Row],[Biology 
Score]],Table1[[#This Row],[English 
Score]],Table1[[#This Row],[Geography 
Score]])</f>
        <v>563</v>
      </c>
      <c r="AA1545" s="3">
        <f>AVERAGE(Table1[[#This Row],[Math 
Score]],Table1[[#This Row],[History 
Score]],Table1[[#This Row],[Physics 
Score]],Table1[[#This Row],[Chemistry 
Score]],Table1[[#This Row],[Biology 
Score]],Table1[[#This Row],[English 
Score]],Table1[[#This Row],[Geography 
Score]])</f>
        <v>80.428571428571431</v>
      </c>
      <c r="AB154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545">
        <f t="shared" si="24"/>
        <v>1077</v>
      </c>
      <c r="AD1545" t="str">
        <f>_xlfn.IFS(Table1[[#This Row],[Absence 
Days]]&lt;3,"Excellent",Table1[[#This Row],[Absence 
Days]]&lt;=6,"Good",Table1[[#This Row],[Absence 
Days]]&gt;6,"Poor")</f>
        <v>Good</v>
      </c>
    </row>
    <row r="1546" spans="1:30" x14ac:dyDescent="0.35">
      <c r="A1546">
        <v>1545</v>
      </c>
      <c r="B1546" s="2" t="s">
        <v>262</v>
      </c>
      <c r="C1546" t="s">
        <v>250</v>
      </c>
      <c r="D1546" t="str">
        <f>_xlfn.TEXTJOIN(" ",TRUE,Table1[[#This Row],[First 
Name]:[Last 
Name]])</f>
        <v>Justin Morgan</v>
      </c>
      <c r="E1546" t="s">
        <v>2656</v>
      </c>
      <c r="F1546" t="s">
        <v>3244</v>
      </c>
      <c r="G1546" t="str">
        <f ca="1">PROPER(Table1[[#This Row],[Part Time 
Job]])</f>
        <v>True</v>
      </c>
      <c r="H1546" s="3">
        <v>9</v>
      </c>
      <c r="I1546" t="str">
        <f ca="1">PROPER(Table1[[#This Row],[Extracurricular 
Activities]])</f>
        <v>False</v>
      </c>
      <c r="J1546">
        <v>4</v>
      </c>
      <c r="K1546" t="s">
        <v>3119</v>
      </c>
      <c r="L1546">
        <v>77</v>
      </c>
      <c r="M1546" s="12" t="str" cm="1">
        <f t="array" ref="M154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546">
        <v>59</v>
      </c>
      <c r="O1546" s="13" t="str" cm="1">
        <f t="array" ref="O154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C</v>
      </c>
      <c r="P1546">
        <v>60</v>
      </c>
      <c r="Q1546" s="13" t="str" cm="1">
        <f t="array" ref="Q154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546">
        <v>98</v>
      </c>
      <c r="S1546" t="str" cm="1">
        <f t="array" ref="S154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546">
        <v>74</v>
      </c>
      <c r="U1546" t="str" cm="1">
        <f t="array" ref="U154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546">
        <v>76</v>
      </c>
      <c r="W1546" t="str" cm="1">
        <f t="array" ref="W154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546">
        <v>60</v>
      </c>
      <c r="Y1546" t="str" cm="1">
        <f t="array" ref="Y154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546">
        <f>SUM(Table1[[#This Row],[Math 
Score]],Table1[[#This Row],[History 
Score]],Table1[[#This Row],[Physics 
Score]],Table1[[#This Row],[Chemistry 
Score]],Table1[[#This Row],[Biology 
Score]],Table1[[#This Row],[English 
Score]],Table1[[#This Row],[Geography 
Score]])</f>
        <v>504</v>
      </c>
      <c r="AA1546" s="3">
        <f>AVERAGE(Table1[[#This Row],[Math 
Score]],Table1[[#This Row],[History 
Score]],Table1[[#This Row],[Physics 
Score]],Table1[[#This Row],[Chemistry 
Score]],Table1[[#This Row],[Biology 
Score]],Table1[[#This Row],[English 
Score]],Table1[[#This Row],[Geography 
Score]])</f>
        <v>72</v>
      </c>
      <c r="AB154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546">
        <f t="shared" si="24"/>
        <v>1858</v>
      </c>
      <c r="AD1546" t="str">
        <f>_xlfn.IFS(Table1[[#This Row],[Absence 
Days]]&lt;3,"Excellent",Table1[[#This Row],[Absence 
Days]]&lt;=6,"Good",Table1[[#This Row],[Absence 
Days]]&gt;6,"Poor")</f>
        <v>Poor</v>
      </c>
    </row>
    <row r="1547" spans="1:30" x14ac:dyDescent="0.35">
      <c r="A1547">
        <v>1546</v>
      </c>
      <c r="B1547" s="2" t="s">
        <v>74</v>
      </c>
      <c r="C1547" t="s">
        <v>1037</v>
      </c>
      <c r="D1547" t="str">
        <f>_xlfn.TEXTJOIN(" ",TRUE,Table1[[#This Row],[First 
Name]:[Last 
Name]])</f>
        <v>Robert Black</v>
      </c>
      <c r="E1547" t="s">
        <v>2657</v>
      </c>
      <c r="F1547" t="s">
        <v>3244</v>
      </c>
      <c r="G1547" t="str">
        <f ca="1">PROPER(Table1[[#This Row],[Part Time 
Job]])</f>
        <v>False</v>
      </c>
      <c r="H1547" s="3">
        <v>3</v>
      </c>
      <c r="I1547" t="str">
        <f ca="1">PROPER(Table1[[#This Row],[Extracurricular 
Activities]])</f>
        <v>True</v>
      </c>
      <c r="J1547">
        <v>23</v>
      </c>
      <c r="K1547" t="s">
        <v>3117</v>
      </c>
      <c r="L1547">
        <v>88</v>
      </c>
      <c r="M1547" s="12" t="str" cm="1">
        <f t="array" ref="M154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547">
        <v>73</v>
      </c>
      <c r="O1547" s="13" t="str" cm="1">
        <f t="array" ref="O154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547">
        <v>86</v>
      </c>
      <c r="Q1547" s="13" t="str" cm="1">
        <f t="array" ref="Q154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547">
        <v>75</v>
      </c>
      <c r="S1547" t="str" cm="1">
        <f t="array" ref="S154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547">
        <v>65</v>
      </c>
      <c r="U1547" t="str" cm="1">
        <f t="array" ref="U154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547">
        <v>62</v>
      </c>
      <c r="W1547" t="str" cm="1">
        <f t="array" ref="W154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547">
        <v>83</v>
      </c>
      <c r="Y1547" t="str" cm="1">
        <f t="array" ref="Y154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547">
        <f>SUM(Table1[[#This Row],[Math 
Score]],Table1[[#This Row],[History 
Score]],Table1[[#This Row],[Physics 
Score]],Table1[[#This Row],[Chemistry 
Score]],Table1[[#This Row],[Biology 
Score]],Table1[[#This Row],[English 
Score]],Table1[[#This Row],[Geography 
Score]])</f>
        <v>532</v>
      </c>
      <c r="AA1547" s="3">
        <f>AVERAGE(Table1[[#This Row],[Math 
Score]],Table1[[#This Row],[History 
Score]],Table1[[#This Row],[Physics 
Score]],Table1[[#This Row],[Chemistry 
Score]],Table1[[#This Row],[Biology 
Score]],Table1[[#This Row],[English 
Score]],Table1[[#This Row],[Geography 
Score]])</f>
        <v>76</v>
      </c>
      <c r="AB154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547">
        <f t="shared" si="24"/>
        <v>1622</v>
      </c>
      <c r="AD1547" t="str">
        <f>_xlfn.IFS(Table1[[#This Row],[Absence 
Days]]&lt;3,"Excellent",Table1[[#This Row],[Absence 
Days]]&lt;=6,"Good",Table1[[#This Row],[Absence 
Days]]&gt;6,"Poor")</f>
        <v>Good</v>
      </c>
    </row>
    <row r="1548" spans="1:30" x14ac:dyDescent="0.35">
      <c r="A1548">
        <v>1547</v>
      </c>
      <c r="B1548" s="2" t="s">
        <v>419</v>
      </c>
      <c r="C1548" t="s">
        <v>650</v>
      </c>
      <c r="D1548" t="str">
        <f>_xlfn.TEXTJOIN(" ",TRUE,Table1[[#This Row],[First 
Name]:[Last 
Name]])</f>
        <v>Gabriella Pierce</v>
      </c>
      <c r="E1548" t="s">
        <v>2658</v>
      </c>
      <c r="F1548" t="s">
        <v>3245</v>
      </c>
      <c r="G1548" t="str">
        <f ca="1">PROPER(Table1[[#This Row],[Part Time 
Job]])</f>
        <v>False</v>
      </c>
      <c r="H1548" s="3">
        <v>6</v>
      </c>
      <c r="I1548" t="str">
        <f ca="1">PROPER(Table1[[#This Row],[Extracurricular 
Activities]])</f>
        <v>False</v>
      </c>
      <c r="J1548">
        <v>15</v>
      </c>
      <c r="K1548" t="s">
        <v>3123</v>
      </c>
      <c r="L1548">
        <v>88</v>
      </c>
      <c r="M1548" s="12" t="str" cm="1">
        <f t="array" ref="M154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548">
        <v>99</v>
      </c>
      <c r="O1548" s="13" t="str" cm="1">
        <f t="array" ref="O154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548">
        <v>64</v>
      </c>
      <c r="Q1548" s="13" t="str" cm="1">
        <f t="array" ref="Q154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548">
        <v>79</v>
      </c>
      <c r="S1548" t="str" cm="1">
        <f t="array" ref="S154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548">
        <v>52</v>
      </c>
      <c r="U1548" t="str" cm="1">
        <f t="array" ref="U154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C</v>
      </c>
      <c r="V1548">
        <v>75</v>
      </c>
      <c r="W1548" t="str" cm="1">
        <f t="array" ref="W154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548">
        <v>92</v>
      </c>
      <c r="Y1548" t="str" cm="1">
        <f t="array" ref="Y154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548">
        <f>SUM(Table1[[#This Row],[Math 
Score]],Table1[[#This Row],[History 
Score]],Table1[[#This Row],[Physics 
Score]],Table1[[#This Row],[Chemistry 
Score]],Table1[[#This Row],[Biology 
Score]],Table1[[#This Row],[English 
Score]],Table1[[#This Row],[Geography 
Score]])</f>
        <v>549</v>
      </c>
      <c r="AA1548" s="3">
        <f>AVERAGE(Table1[[#This Row],[Math 
Score]],Table1[[#This Row],[History 
Score]],Table1[[#This Row],[Physics 
Score]],Table1[[#This Row],[Chemistry 
Score]],Table1[[#This Row],[Biology 
Score]],Table1[[#This Row],[English 
Score]],Table1[[#This Row],[Geography 
Score]])</f>
        <v>78.428571428571431</v>
      </c>
      <c r="AB154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548">
        <f t="shared" si="24"/>
        <v>1355</v>
      </c>
      <c r="AD1548" t="str">
        <f>_xlfn.IFS(Table1[[#This Row],[Absence 
Days]]&lt;3,"Excellent",Table1[[#This Row],[Absence 
Days]]&lt;=6,"Good",Table1[[#This Row],[Absence 
Days]]&gt;6,"Poor")</f>
        <v>Good</v>
      </c>
    </row>
    <row r="1549" spans="1:30" x14ac:dyDescent="0.35">
      <c r="A1549">
        <v>1548</v>
      </c>
      <c r="B1549" s="2" t="s">
        <v>75</v>
      </c>
      <c r="C1549" t="s">
        <v>1038</v>
      </c>
      <c r="D1549" t="str">
        <f>_xlfn.TEXTJOIN(" ",TRUE,Table1[[#This Row],[First 
Name]:[Last 
Name]])</f>
        <v>William Clay</v>
      </c>
      <c r="E1549" t="s">
        <v>2659</v>
      </c>
      <c r="F1549" t="s">
        <v>3244</v>
      </c>
      <c r="G1549" t="str">
        <f ca="1">PROPER(Table1[[#This Row],[Part Time 
Job]])</f>
        <v>False</v>
      </c>
      <c r="H1549" s="3">
        <v>2</v>
      </c>
      <c r="I1549" t="str">
        <f ca="1">PROPER(Table1[[#This Row],[Extracurricular 
Activities]])</f>
        <v>False</v>
      </c>
      <c r="J1549">
        <v>31</v>
      </c>
      <c r="K1549" t="s">
        <v>3127</v>
      </c>
      <c r="L1549">
        <v>99</v>
      </c>
      <c r="M1549" s="12" t="str" cm="1">
        <f t="array" ref="M154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549">
        <v>88</v>
      </c>
      <c r="O1549" s="13" t="str" cm="1">
        <f t="array" ref="O154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549">
        <v>97</v>
      </c>
      <c r="Q1549" s="13" t="str" cm="1">
        <f t="array" ref="Q154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549">
        <v>97</v>
      </c>
      <c r="S1549" t="str" cm="1">
        <f t="array" ref="S154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549">
        <v>71</v>
      </c>
      <c r="U1549" t="str" cm="1">
        <f t="array" ref="U154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549">
        <v>67</v>
      </c>
      <c r="W1549" t="str" cm="1">
        <f t="array" ref="W154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549">
        <v>79</v>
      </c>
      <c r="Y1549" t="str" cm="1">
        <f t="array" ref="Y154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549">
        <f>SUM(Table1[[#This Row],[Math 
Score]],Table1[[#This Row],[History 
Score]],Table1[[#This Row],[Physics 
Score]],Table1[[#This Row],[Chemistry 
Score]],Table1[[#This Row],[Biology 
Score]],Table1[[#This Row],[English 
Score]],Table1[[#This Row],[Geography 
Score]])</f>
        <v>598</v>
      </c>
      <c r="AA1549" s="3">
        <f>AVERAGE(Table1[[#This Row],[Math 
Score]],Table1[[#This Row],[History 
Score]],Table1[[#This Row],[Physics 
Score]],Table1[[#This Row],[Chemistry 
Score]],Table1[[#This Row],[Biology 
Score]],Table1[[#This Row],[English 
Score]],Table1[[#This Row],[Geography 
Score]])</f>
        <v>85.428571428571431</v>
      </c>
      <c r="AB154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549">
        <f t="shared" si="24"/>
        <v>436</v>
      </c>
      <c r="AD1549" t="str">
        <f>_xlfn.IFS(Table1[[#This Row],[Absence 
Days]]&lt;3,"Excellent",Table1[[#This Row],[Absence 
Days]]&lt;=6,"Good",Table1[[#This Row],[Absence 
Days]]&gt;6,"Poor")</f>
        <v>Excellent</v>
      </c>
    </row>
    <row r="1550" spans="1:30" x14ac:dyDescent="0.35">
      <c r="A1550">
        <v>1549</v>
      </c>
      <c r="B1550" s="2" t="s">
        <v>117</v>
      </c>
      <c r="C1550" t="s">
        <v>509</v>
      </c>
      <c r="D1550" t="str">
        <f>_xlfn.TEXTJOIN(" ",TRUE,Table1[[#This Row],[First 
Name]:[Last 
Name]])</f>
        <v>Nicholas Shea</v>
      </c>
      <c r="E1550" t="s">
        <v>2660</v>
      </c>
      <c r="F1550" t="s">
        <v>3244</v>
      </c>
      <c r="G1550" t="str">
        <f ca="1">PROPER(Table1[[#This Row],[Part Time 
Job]])</f>
        <v>True</v>
      </c>
      <c r="H1550" s="3">
        <v>8</v>
      </c>
      <c r="I1550" t="str">
        <f ca="1">PROPER(Table1[[#This Row],[Extracurricular 
Activities]])</f>
        <v>False</v>
      </c>
      <c r="J1550">
        <v>3</v>
      </c>
      <c r="K1550" t="s">
        <v>3119</v>
      </c>
      <c r="L1550">
        <v>50</v>
      </c>
      <c r="M1550" s="12" t="str" cm="1">
        <f t="array" ref="M1550">_xlfn.IFS(Table1[[#This Row],[Math 
Score]]&gt;=90,"A+",Table1[[#This Row],[Math 
Score]]&gt;=80,"A", Table1[[#This Row],[Math 
Score]]&gt;=75,"A-",Table1[[#This Row],[Math 
Score]]&gt;=70,"B+",Table1[[#This Row],[Math 
Score]]&gt;=65,"B",Table1[[#This Row],[Math 
Score]]&gt;=60,"B-",Table1[[#This Row],[Math 
Score]]&gt;=50,"C",Table1[[#This Row],[Math 
Score]]&gt;=40,"D",Table1[[#This Row],[Math 
Score]]&lt;40,"F")</f>
        <v>C</v>
      </c>
      <c r="N1550">
        <v>88</v>
      </c>
      <c r="O1550" s="13" t="str" cm="1">
        <f t="array" ref="O155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550">
        <v>58</v>
      </c>
      <c r="Q1550" s="13" t="str" cm="1">
        <f t="array" ref="Q155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C</v>
      </c>
      <c r="R1550">
        <v>78</v>
      </c>
      <c r="S1550" t="str" cm="1">
        <f t="array" ref="S155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550">
        <v>83</v>
      </c>
      <c r="U1550" t="str" cm="1">
        <f t="array" ref="U155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550">
        <v>97</v>
      </c>
      <c r="W1550" t="str" cm="1">
        <f t="array" ref="W155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550">
        <v>88</v>
      </c>
      <c r="Y1550" t="str" cm="1">
        <f t="array" ref="Y155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550">
        <f>SUM(Table1[[#This Row],[Math 
Score]],Table1[[#This Row],[History 
Score]],Table1[[#This Row],[Physics 
Score]],Table1[[#This Row],[Chemistry 
Score]],Table1[[#This Row],[Biology 
Score]],Table1[[#This Row],[English 
Score]],Table1[[#This Row],[Geography 
Score]])</f>
        <v>542</v>
      </c>
      <c r="AA1550" s="3">
        <f>AVERAGE(Table1[[#This Row],[Math 
Score]],Table1[[#This Row],[History 
Score]],Table1[[#This Row],[Physics 
Score]],Table1[[#This Row],[Chemistry 
Score]],Table1[[#This Row],[Biology 
Score]],Table1[[#This Row],[English 
Score]],Table1[[#This Row],[Geography 
Score]])</f>
        <v>77.428571428571431</v>
      </c>
      <c r="AB155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550">
        <f t="shared" si="24"/>
        <v>1478</v>
      </c>
      <c r="AD1550" t="str">
        <f>_xlfn.IFS(Table1[[#This Row],[Absence 
Days]]&lt;3,"Excellent",Table1[[#This Row],[Absence 
Days]]&lt;=6,"Good",Table1[[#This Row],[Absence 
Days]]&gt;6,"Poor")</f>
        <v>Poor</v>
      </c>
    </row>
    <row r="1551" spans="1:30" x14ac:dyDescent="0.35">
      <c r="A1551">
        <v>1550</v>
      </c>
      <c r="B1551" s="2" t="s">
        <v>155</v>
      </c>
      <c r="C1551" t="s">
        <v>625</v>
      </c>
      <c r="D1551" t="str">
        <f>_xlfn.TEXTJOIN(" ",TRUE,Table1[[#This Row],[First 
Name]:[Last 
Name]])</f>
        <v>Heidi Ellis</v>
      </c>
      <c r="E1551" t="s">
        <v>2661</v>
      </c>
      <c r="F1551" t="s">
        <v>3245</v>
      </c>
      <c r="G1551" t="str">
        <f ca="1">PROPER(Table1[[#This Row],[Part Time 
Job]])</f>
        <v>False</v>
      </c>
      <c r="H1551" s="3">
        <v>4</v>
      </c>
      <c r="I1551" t="str">
        <f ca="1">PROPER(Table1[[#This Row],[Extracurricular 
Activities]])</f>
        <v>False</v>
      </c>
      <c r="J1551">
        <v>2</v>
      </c>
      <c r="K1551" t="s">
        <v>3116</v>
      </c>
      <c r="L1551">
        <v>69</v>
      </c>
      <c r="M1551" s="12" t="str" cm="1">
        <f t="array" ref="M1551">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551">
        <v>93</v>
      </c>
      <c r="O1551" s="13" t="str" cm="1">
        <f t="array" ref="O155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551">
        <v>62</v>
      </c>
      <c r="Q1551" s="13" t="str" cm="1">
        <f t="array" ref="Q155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551">
        <v>99</v>
      </c>
      <c r="S1551" t="str" cm="1">
        <f t="array" ref="S155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551">
        <v>98</v>
      </c>
      <c r="U1551" t="str" cm="1">
        <f t="array" ref="U155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551">
        <v>98</v>
      </c>
      <c r="W1551" t="str" cm="1">
        <f t="array" ref="W155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551">
        <v>68</v>
      </c>
      <c r="Y1551" t="str" cm="1">
        <f t="array" ref="Y155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551">
        <f>SUM(Table1[[#This Row],[Math 
Score]],Table1[[#This Row],[History 
Score]],Table1[[#This Row],[Physics 
Score]],Table1[[#This Row],[Chemistry 
Score]],Table1[[#This Row],[Biology 
Score]],Table1[[#This Row],[English 
Score]],Table1[[#This Row],[Geography 
Score]])</f>
        <v>587</v>
      </c>
      <c r="AA1551" s="3">
        <f>AVERAGE(Table1[[#This Row],[Math 
Score]],Table1[[#This Row],[History 
Score]],Table1[[#This Row],[Physics 
Score]],Table1[[#This Row],[Chemistry 
Score]],Table1[[#This Row],[Biology 
Score]],Table1[[#This Row],[English 
Score]],Table1[[#This Row],[Geography 
Score]])</f>
        <v>83.857142857142861</v>
      </c>
      <c r="AB155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551">
        <f t="shared" si="24"/>
        <v>583</v>
      </c>
      <c r="AD1551" t="str">
        <f>_xlfn.IFS(Table1[[#This Row],[Absence 
Days]]&lt;3,"Excellent",Table1[[#This Row],[Absence 
Days]]&lt;=6,"Good",Table1[[#This Row],[Absence 
Days]]&gt;6,"Poor")</f>
        <v>Good</v>
      </c>
    </row>
    <row r="1552" spans="1:30" x14ac:dyDescent="0.35">
      <c r="A1552">
        <v>1551</v>
      </c>
      <c r="B1552" s="2" t="s">
        <v>23</v>
      </c>
      <c r="C1552" t="s">
        <v>1039</v>
      </c>
      <c r="D1552" t="str">
        <f>_xlfn.TEXTJOIN(" ",TRUE,Table1[[#This Row],[First 
Name]:[Last 
Name]])</f>
        <v>Cassandra Mills</v>
      </c>
      <c r="E1552" t="s">
        <v>2662</v>
      </c>
      <c r="F1552" t="s">
        <v>3245</v>
      </c>
      <c r="G1552" t="str">
        <f ca="1">PROPER(Table1[[#This Row],[Part Time 
Job]])</f>
        <v>False</v>
      </c>
      <c r="H1552" s="3">
        <v>5</v>
      </c>
      <c r="I1552" t="str">
        <f ca="1">PROPER(Table1[[#This Row],[Extracurricular 
Activities]])</f>
        <v>False</v>
      </c>
      <c r="J1552">
        <v>35</v>
      </c>
      <c r="K1552" t="s">
        <v>3121</v>
      </c>
      <c r="L1552">
        <v>89</v>
      </c>
      <c r="M1552" s="12" t="str" cm="1">
        <f t="array" ref="M155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552">
        <v>86</v>
      </c>
      <c r="O1552" s="13" t="str" cm="1">
        <f t="array" ref="O155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552">
        <v>96</v>
      </c>
      <c r="Q1552" s="13" t="str" cm="1">
        <f t="array" ref="Q155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552">
        <v>92</v>
      </c>
      <c r="S1552" t="str" cm="1">
        <f t="array" ref="S155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552">
        <v>97</v>
      </c>
      <c r="U1552" t="str" cm="1">
        <f t="array" ref="U155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552">
        <v>89</v>
      </c>
      <c r="W1552" t="str" cm="1">
        <f t="array" ref="W155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552">
        <v>95</v>
      </c>
      <c r="Y1552" t="str" cm="1">
        <f t="array" ref="Y155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552">
        <f>SUM(Table1[[#This Row],[Math 
Score]],Table1[[#This Row],[History 
Score]],Table1[[#This Row],[Physics 
Score]],Table1[[#This Row],[Chemistry 
Score]],Table1[[#This Row],[Biology 
Score]],Table1[[#This Row],[English 
Score]],Table1[[#This Row],[Geography 
Score]])</f>
        <v>644</v>
      </c>
      <c r="AA1552" s="3">
        <f>AVERAGE(Table1[[#This Row],[Math 
Score]],Table1[[#This Row],[History 
Score]],Table1[[#This Row],[Physics 
Score]],Table1[[#This Row],[Chemistry 
Score]],Table1[[#This Row],[Biology 
Score]],Table1[[#This Row],[English 
Score]],Table1[[#This Row],[Geography 
Score]])</f>
        <v>92</v>
      </c>
      <c r="AB155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552">
        <f t="shared" si="24"/>
        <v>83</v>
      </c>
      <c r="AD1552" t="str">
        <f>_xlfn.IFS(Table1[[#This Row],[Absence 
Days]]&lt;3,"Excellent",Table1[[#This Row],[Absence 
Days]]&lt;=6,"Good",Table1[[#This Row],[Absence 
Days]]&gt;6,"Poor")</f>
        <v>Good</v>
      </c>
    </row>
    <row r="1553" spans="1:30" x14ac:dyDescent="0.35">
      <c r="A1553">
        <v>1552</v>
      </c>
      <c r="B1553" s="2" t="s">
        <v>74</v>
      </c>
      <c r="C1553" t="s">
        <v>702</v>
      </c>
      <c r="D1553" t="str">
        <f>_xlfn.TEXTJOIN(" ",TRUE,Table1[[#This Row],[First 
Name]:[Last 
Name]])</f>
        <v>Robert Hart</v>
      </c>
      <c r="E1553" t="s">
        <v>2663</v>
      </c>
      <c r="F1553" t="s">
        <v>3244</v>
      </c>
      <c r="G1553" t="str">
        <f ca="1">PROPER(Table1[[#This Row],[Part Time 
Job]])</f>
        <v>False</v>
      </c>
      <c r="H1553" s="3">
        <v>5</v>
      </c>
      <c r="I1553" t="str">
        <f ca="1">PROPER(Table1[[#This Row],[Extracurricular 
Activities]])</f>
        <v>False</v>
      </c>
      <c r="J1553">
        <v>27</v>
      </c>
      <c r="K1553" t="s">
        <v>3124</v>
      </c>
      <c r="L1553">
        <v>93</v>
      </c>
      <c r="M1553" s="12" t="str" cm="1">
        <f t="array" ref="M155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553">
        <v>97</v>
      </c>
      <c r="O1553" s="13" t="str" cm="1">
        <f t="array" ref="O155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553">
        <v>77</v>
      </c>
      <c r="Q1553" s="13" t="str" cm="1">
        <f t="array" ref="Q155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553">
        <v>70</v>
      </c>
      <c r="S1553" t="str" cm="1">
        <f t="array" ref="S155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553">
        <v>81</v>
      </c>
      <c r="U1553" t="str" cm="1">
        <f t="array" ref="U155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553">
        <v>83</v>
      </c>
      <c r="W1553" t="str" cm="1">
        <f t="array" ref="W155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553">
        <v>87</v>
      </c>
      <c r="Y1553" t="str" cm="1">
        <f t="array" ref="Y155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553">
        <f>SUM(Table1[[#This Row],[Math 
Score]],Table1[[#This Row],[History 
Score]],Table1[[#This Row],[Physics 
Score]],Table1[[#This Row],[Chemistry 
Score]],Table1[[#This Row],[Biology 
Score]],Table1[[#This Row],[English 
Score]],Table1[[#This Row],[Geography 
Score]])</f>
        <v>588</v>
      </c>
      <c r="AA1553" s="3">
        <f>AVERAGE(Table1[[#This Row],[Math 
Score]],Table1[[#This Row],[History 
Score]],Table1[[#This Row],[Physics 
Score]],Table1[[#This Row],[Chemistry 
Score]],Table1[[#This Row],[Biology 
Score]],Table1[[#This Row],[English 
Score]],Table1[[#This Row],[Geography 
Score]])</f>
        <v>84</v>
      </c>
      <c r="AB155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553">
        <f t="shared" si="24"/>
        <v>565</v>
      </c>
      <c r="AD1553" t="str">
        <f>_xlfn.IFS(Table1[[#This Row],[Absence 
Days]]&lt;3,"Excellent",Table1[[#This Row],[Absence 
Days]]&lt;=6,"Good",Table1[[#This Row],[Absence 
Days]]&gt;6,"Poor")</f>
        <v>Good</v>
      </c>
    </row>
    <row r="1554" spans="1:30" x14ac:dyDescent="0.35">
      <c r="A1554">
        <v>1553</v>
      </c>
      <c r="B1554" s="2" t="s">
        <v>77</v>
      </c>
      <c r="C1554" t="s">
        <v>1013</v>
      </c>
      <c r="D1554" t="str">
        <f>_xlfn.TEXTJOIN(" ",TRUE,Table1[[#This Row],[First 
Name]:[Last 
Name]])</f>
        <v>Natalie Garrison</v>
      </c>
      <c r="E1554" t="s">
        <v>2664</v>
      </c>
      <c r="F1554" t="s">
        <v>3245</v>
      </c>
      <c r="G1554" t="str">
        <f ca="1">PROPER(Table1[[#This Row],[Part Time 
Job]])</f>
        <v>False</v>
      </c>
      <c r="H1554" s="3">
        <v>5</v>
      </c>
      <c r="I1554" t="str">
        <f ca="1">PROPER(Table1[[#This Row],[Extracurricular 
Activities]])</f>
        <v>False</v>
      </c>
      <c r="J1554">
        <v>32</v>
      </c>
      <c r="K1554" t="s">
        <v>3117</v>
      </c>
      <c r="L1554">
        <v>96</v>
      </c>
      <c r="M1554" s="12" t="str" cm="1">
        <f t="array" ref="M155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554">
        <v>83</v>
      </c>
      <c r="O1554" s="13" t="str" cm="1">
        <f t="array" ref="O155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554">
        <v>67</v>
      </c>
      <c r="Q1554" s="13" t="str" cm="1">
        <f t="array" ref="Q155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554">
        <v>86</v>
      </c>
      <c r="S1554" t="str" cm="1">
        <f t="array" ref="S155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554">
        <v>81</v>
      </c>
      <c r="U1554" t="str" cm="1">
        <f t="array" ref="U155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554">
        <v>92</v>
      </c>
      <c r="W1554" t="str" cm="1">
        <f t="array" ref="W155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554">
        <v>73</v>
      </c>
      <c r="Y1554" t="str" cm="1">
        <f t="array" ref="Y155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554">
        <f>SUM(Table1[[#This Row],[Math 
Score]],Table1[[#This Row],[History 
Score]],Table1[[#This Row],[Physics 
Score]],Table1[[#This Row],[Chemistry 
Score]],Table1[[#This Row],[Biology 
Score]],Table1[[#This Row],[English 
Score]],Table1[[#This Row],[Geography 
Score]])</f>
        <v>578</v>
      </c>
      <c r="AA1554" s="3">
        <f>AVERAGE(Table1[[#This Row],[Math 
Score]],Table1[[#This Row],[History 
Score]],Table1[[#This Row],[Physics 
Score]],Table1[[#This Row],[Chemistry 
Score]],Table1[[#This Row],[Biology 
Score]],Table1[[#This Row],[English 
Score]],Table1[[#This Row],[Geography 
Score]])</f>
        <v>82.571428571428569</v>
      </c>
      <c r="AB155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554">
        <f t="shared" si="24"/>
        <v>752</v>
      </c>
      <c r="AD1554" t="str">
        <f>_xlfn.IFS(Table1[[#This Row],[Absence 
Days]]&lt;3,"Excellent",Table1[[#This Row],[Absence 
Days]]&lt;=6,"Good",Table1[[#This Row],[Absence 
Days]]&gt;6,"Poor")</f>
        <v>Good</v>
      </c>
    </row>
    <row r="1555" spans="1:30" x14ac:dyDescent="0.35">
      <c r="A1555">
        <v>1554</v>
      </c>
      <c r="B1555" s="2" t="s">
        <v>51</v>
      </c>
      <c r="C1555" t="s">
        <v>664</v>
      </c>
      <c r="D1555" t="str">
        <f>_xlfn.TEXTJOIN(" ",TRUE,Table1[[#This Row],[First 
Name]:[Last 
Name]])</f>
        <v>Melissa Campbell</v>
      </c>
      <c r="E1555" t="s">
        <v>2665</v>
      </c>
      <c r="F1555" t="s">
        <v>3245</v>
      </c>
      <c r="G1555" t="str">
        <f ca="1">PROPER(Table1[[#This Row],[Part Time 
Job]])</f>
        <v>True</v>
      </c>
      <c r="H1555" s="3">
        <v>4</v>
      </c>
      <c r="I1555" t="str">
        <f ca="1">PROPER(Table1[[#This Row],[Extracurricular 
Activities]])</f>
        <v>False</v>
      </c>
      <c r="J1555">
        <v>24</v>
      </c>
      <c r="K1555" t="s">
        <v>3117</v>
      </c>
      <c r="L1555">
        <v>92</v>
      </c>
      <c r="M1555" s="12" t="str" cm="1">
        <f t="array" ref="M155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555">
        <v>98</v>
      </c>
      <c r="O1555" s="13" t="str" cm="1">
        <f t="array" ref="O155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555">
        <v>93</v>
      </c>
      <c r="Q1555" s="13" t="str" cm="1">
        <f t="array" ref="Q155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555">
        <v>60</v>
      </c>
      <c r="S1555" t="str" cm="1">
        <f t="array" ref="S155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555">
        <v>74</v>
      </c>
      <c r="U1555" t="str" cm="1">
        <f t="array" ref="U155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555">
        <v>84</v>
      </c>
      <c r="W1555" t="str" cm="1">
        <f t="array" ref="W155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555">
        <v>97</v>
      </c>
      <c r="Y1555" t="str" cm="1">
        <f t="array" ref="Y155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555">
        <f>SUM(Table1[[#This Row],[Math 
Score]],Table1[[#This Row],[History 
Score]],Table1[[#This Row],[Physics 
Score]],Table1[[#This Row],[Chemistry 
Score]],Table1[[#This Row],[Biology 
Score]],Table1[[#This Row],[English 
Score]],Table1[[#This Row],[Geography 
Score]])</f>
        <v>598</v>
      </c>
      <c r="AA1555" s="3">
        <f>AVERAGE(Table1[[#This Row],[Math 
Score]],Table1[[#This Row],[History 
Score]],Table1[[#This Row],[Physics 
Score]],Table1[[#This Row],[Chemistry 
Score]],Table1[[#This Row],[Biology 
Score]],Table1[[#This Row],[English 
Score]],Table1[[#This Row],[Geography 
Score]])</f>
        <v>85.428571428571431</v>
      </c>
      <c r="AB155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555">
        <f t="shared" si="24"/>
        <v>436</v>
      </c>
      <c r="AD1555" t="str">
        <f>_xlfn.IFS(Table1[[#This Row],[Absence 
Days]]&lt;3,"Excellent",Table1[[#This Row],[Absence 
Days]]&lt;=6,"Good",Table1[[#This Row],[Absence 
Days]]&gt;6,"Poor")</f>
        <v>Good</v>
      </c>
    </row>
    <row r="1556" spans="1:30" x14ac:dyDescent="0.35">
      <c r="A1556">
        <v>1555</v>
      </c>
      <c r="B1556" s="2" t="s">
        <v>89</v>
      </c>
      <c r="C1556" t="s">
        <v>1040</v>
      </c>
      <c r="D1556" t="str">
        <f>_xlfn.TEXTJOIN(" ",TRUE,Table1[[#This Row],[First 
Name]:[Last 
Name]])</f>
        <v>Joshua Cervantes</v>
      </c>
      <c r="E1556" t="s">
        <v>2666</v>
      </c>
      <c r="F1556" t="s">
        <v>3244</v>
      </c>
      <c r="G1556" t="str">
        <f ca="1">PROPER(Table1[[#This Row],[Part Time 
Job]])</f>
        <v>False</v>
      </c>
      <c r="H1556" s="3">
        <v>3</v>
      </c>
      <c r="I1556" t="str">
        <f ca="1">PROPER(Table1[[#This Row],[Extracurricular 
Activities]])</f>
        <v>True</v>
      </c>
      <c r="J1556">
        <v>29</v>
      </c>
      <c r="K1556" t="s">
        <v>3117</v>
      </c>
      <c r="L1556">
        <v>99</v>
      </c>
      <c r="M1556" s="12" t="str" cm="1">
        <f t="array" ref="M155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556">
        <v>72</v>
      </c>
      <c r="O1556" s="13" t="str" cm="1">
        <f t="array" ref="O155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556">
        <v>65</v>
      </c>
      <c r="Q1556" s="13" t="str" cm="1">
        <f t="array" ref="Q155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556">
        <v>66</v>
      </c>
      <c r="S1556" t="str" cm="1">
        <f t="array" ref="S155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556">
        <v>71</v>
      </c>
      <c r="U1556" t="str" cm="1">
        <f t="array" ref="U155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556">
        <v>85</v>
      </c>
      <c r="W1556" t="str" cm="1">
        <f t="array" ref="W155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556">
        <v>83</v>
      </c>
      <c r="Y1556" t="str" cm="1">
        <f t="array" ref="Y155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556">
        <f>SUM(Table1[[#This Row],[Math 
Score]],Table1[[#This Row],[History 
Score]],Table1[[#This Row],[Physics 
Score]],Table1[[#This Row],[Chemistry 
Score]],Table1[[#This Row],[Biology 
Score]],Table1[[#This Row],[English 
Score]],Table1[[#This Row],[Geography 
Score]])</f>
        <v>541</v>
      </c>
      <c r="AA1556" s="3">
        <f>AVERAGE(Table1[[#This Row],[Math 
Score]],Table1[[#This Row],[History 
Score]],Table1[[#This Row],[Physics 
Score]],Table1[[#This Row],[Chemistry 
Score]],Table1[[#This Row],[Biology 
Score]],Table1[[#This Row],[English 
Score]],Table1[[#This Row],[Geography 
Score]])</f>
        <v>77.285714285714292</v>
      </c>
      <c r="AB155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556">
        <f t="shared" si="24"/>
        <v>1493</v>
      </c>
      <c r="AD1556" t="str">
        <f>_xlfn.IFS(Table1[[#This Row],[Absence 
Days]]&lt;3,"Excellent",Table1[[#This Row],[Absence 
Days]]&lt;=6,"Good",Table1[[#This Row],[Absence 
Days]]&gt;6,"Poor")</f>
        <v>Good</v>
      </c>
    </row>
    <row r="1557" spans="1:30" x14ac:dyDescent="0.35">
      <c r="A1557">
        <v>1556</v>
      </c>
      <c r="B1557" s="2" t="s">
        <v>265</v>
      </c>
      <c r="C1557" t="s">
        <v>826</v>
      </c>
      <c r="D1557" t="str">
        <f>_xlfn.TEXTJOIN(" ",TRUE,Table1[[#This Row],[First 
Name]:[Last 
Name]])</f>
        <v>Carlos Long</v>
      </c>
      <c r="E1557" t="s">
        <v>2667</v>
      </c>
      <c r="F1557" t="s">
        <v>3244</v>
      </c>
      <c r="G1557" t="str">
        <f ca="1">PROPER(Table1[[#This Row],[Part Time 
Job]])</f>
        <v>False</v>
      </c>
      <c r="H1557" s="3">
        <v>10</v>
      </c>
      <c r="I1557" t="str">
        <f ca="1">PROPER(Table1[[#This Row],[Extracurricular 
Activities]])</f>
        <v>True</v>
      </c>
      <c r="J1557">
        <v>4</v>
      </c>
      <c r="K1557" t="s">
        <v>3119</v>
      </c>
      <c r="L1557">
        <v>86</v>
      </c>
      <c r="M1557" s="12" t="str" cm="1">
        <f t="array" ref="M155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557">
        <v>59</v>
      </c>
      <c r="O1557" s="13" t="str" cm="1">
        <f t="array" ref="O155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C</v>
      </c>
      <c r="P1557">
        <v>81</v>
      </c>
      <c r="Q1557" s="13" t="str" cm="1">
        <f t="array" ref="Q155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557">
        <v>55</v>
      </c>
      <c r="S1557" t="str" cm="1">
        <f t="array" ref="S155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C</v>
      </c>
      <c r="T1557">
        <v>77</v>
      </c>
      <c r="U1557" t="str" cm="1">
        <f t="array" ref="U155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557">
        <v>69</v>
      </c>
      <c r="W1557" t="str" cm="1">
        <f t="array" ref="W155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557">
        <v>87</v>
      </c>
      <c r="Y1557" t="str" cm="1">
        <f t="array" ref="Y155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557">
        <f>SUM(Table1[[#This Row],[Math 
Score]],Table1[[#This Row],[History 
Score]],Table1[[#This Row],[Physics 
Score]],Table1[[#This Row],[Chemistry 
Score]],Table1[[#This Row],[Biology 
Score]],Table1[[#This Row],[English 
Score]],Table1[[#This Row],[Geography 
Score]])</f>
        <v>514</v>
      </c>
      <c r="AA1557" s="3">
        <f>AVERAGE(Table1[[#This Row],[Math 
Score]],Table1[[#This Row],[History 
Score]],Table1[[#This Row],[Physics 
Score]],Table1[[#This Row],[Chemistry 
Score]],Table1[[#This Row],[Biology 
Score]],Table1[[#This Row],[English 
Score]],Table1[[#This Row],[Geography 
Score]])</f>
        <v>73.428571428571431</v>
      </c>
      <c r="AB155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557">
        <f t="shared" si="24"/>
        <v>1805</v>
      </c>
      <c r="AD1557" t="str">
        <f>_xlfn.IFS(Table1[[#This Row],[Absence 
Days]]&lt;3,"Excellent",Table1[[#This Row],[Absence 
Days]]&lt;=6,"Good",Table1[[#This Row],[Absence 
Days]]&gt;6,"Poor")</f>
        <v>Poor</v>
      </c>
    </row>
    <row r="1558" spans="1:30" x14ac:dyDescent="0.35">
      <c r="A1558">
        <v>1557</v>
      </c>
      <c r="B1558" s="2" t="s">
        <v>152</v>
      </c>
      <c r="C1558" t="s">
        <v>1041</v>
      </c>
      <c r="D1558" t="str">
        <f>_xlfn.TEXTJOIN(" ",TRUE,Table1[[#This Row],[First 
Name]:[Last 
Name]])</f>
        <v>Keith Hunt</v>
      </c>
      <c r="E1558" t="s">
        <v>2668</v>
      </c>
      <c r="F1558" t="s">
        <v>3244</v>
      </c>
      <c r="G1558" t="str">
        <f ca="1">PROPER(Table1[[#This Row],[Part Time 
Job]])</f>
        <v>False</v>
      </c>
      <c r="H1558" s="3">
        <v>4</v>
      </c>
      <c r="I1558" t="str">
        <f ca="1">PROPER(Table1[[#This Row],[Extracurricular 
Activities]])</f>
        <v>False</v>
      </c>
      <c r="J1558">
        <v>17</v>
      </c>
      <c r="K1558" t="s">
        <v>3117</v>
      </c>
      <c r="L1558">
        <v>91</v>
      </c>
      <c r="M1558" s="12" t="str" cm="1">
        <f t="array" ref="M155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558">
        <v>92</v>
      </c>
      <c r="O1558" s="13" t="str" cm="1">
        <f t="array" ref="O155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558">
        <v>95</v>
      </c>
      <c r="Q1558" s="13" t="str" cm="1">
        <f t="array" ref="Q155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558">
        <v>90</v>
      </c>
      <c r="S1558" t="str" cm="1">
        <f t="array" ref="S155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558">
        <v>73</v>
      </c>
      <c r="U1558" t="str" cm="1">
        <f t="array" ref="U155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558">
        <v>75</v>
      </c>
      <c r="W1558" t="str" cm="1">
        <f t="array" ref="W155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558">
        <v>95</v>
      </c>
      <c r="Y1558" t="str" cm="1">
        <f t="array" ref="Y155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558">
        <f>SUM(Table1[[#This Row],[Math 
Score]],Table1[[#This Row],[History 
Score]],Table1[[#This Row],[Physics 
Score]],Table1[[#This Row],[Chemistry 
Score]],Table1[[#This Row],[Biology 
Score]],Table1[[#This Row],[English 
Score]],Table1[[#This Row],[Geography 
Score]])</f>
        <v>611</v>
      </c>
      <c r="AA1558" s="3">
        <f>AVERAGE(Table1[[#This Row],[Math 
Score]],Table1[[#This Row],[History 
Score]],Table1[[#This Row],[Physics 
Score]],Table1[[#This Row],[Chemistry 
Score]],Table1[[#This Row],[Biology 
Score]],Table1[[#This Row],[English 
Score]],Table1[[#This Row],[Geography 
Score]])</f>
        <v>87.285714285714292</v>
      </c>
      <c r="AB155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558">
        <f t="shared" si="24"/>
        <v>291</v>
      </c>
      <c r="AD1558" t="str">
        <f>_xlfn.IFS(Table1[[#This Row],[Absence 
Days]]&lt;3,"Excellent",Table1[[#This Row],[Absence 
Days]]&lt;=6,"Good",Table1[[#This Row],[Absence 
Days]]&gt;6,"Poor")</f>
        <v>Good</v>
      </c>
    </row>
    <row r="1559" spans="1:30" x14ac:dyDescent="0.35">
      <c r="A1559">
        <v>1558</v>
      </c>
      <c r="B1559" s="2" t="s">
        <v>167</v>
      </c>
      <c r="C1559" t="s">
        <v>544</v>
      </c>
      <c r="D1559" t="str">
        <f>_xlfn.TEXTJOIN(" ",TRUE,Table1[[#This Row],[First 
Name]:[Last 
Name]])</f>
        <v>Kevin Turner</v>
      </c>
      <c r="E1559" t="s">
        <v>2669</v>
      </c>
      <c r="F1559" t="s">
        <v>3244</v>
      </c>
      <c r="G1559" t="str">
        <f ca="1">PROPER(Table1[[#This Row],[Part Time 
Job]])</f>
        <v>True</v>
      </c>
      <c r="H1559" s="3">
        <v>3</v>
      </c>
      <c r="I1559" t="str">
        <f ca="1">PROPER(Table1[[#This Row],[Extracurricular 
Activities]])</f>
        <v>False</v>
      </c>
      <c r="J1559">
        <v>18</v>
      </c>
      <c r="K1559" t="s">
        <v>3121</v>
      </c>
      <c r="L1559">
        <v>95</v>
      </c>
      <c r="M1559" s="12" t="str" cm="1">
        <f t="array" ref="M155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559">
        <v>91</v>
      </c>
      <c r="O1559" s="13" t="str" cm="1">
        <f t="array" ref="O155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559">
        <v>74</v>
      </c>
      <c r="Q1559" s="13" t="str" cm="1">
        <f t="array" ref="Q155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559">
        <v>61</v>
      </c>
      <c r="S1559" t="str" cm="1">
        <f t="array" ref="S155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559">
        <v>94</v>
      </c>
      <c r="U1559" t="str" cm="1">
        <f t="array" ref="U155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559">
        <v>86</v>
      </c>
      <c r="W1559" t="str" cm="1">
        <f t="array" ref="W155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559">
        <v>87</v>
      </c>
      <c r="Y1559" t="str" cm="1">
        <f t="array" ref="Y155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559">
        <f>SUM(Table1[[#This Row],[Math 
Score]],Table1[[#This Row],[History 
Score]],Table1[[#This Row],[Physics 
Score]],Table1[[#This Row],[Chemistry 
Score]],Table1[[#This Row],[Biology 
Score]],Table1[[#This Row],[English 
Score]],Table1[[#This Row],[Geography 
Score]])</f>
        <v>588</v>
      </c>
      <c r="AA1559" s="3">
        <f>AVERAGE(Table1[[#This Row],[Math 
Score]],Table1[[#This Row],[History 
Score]],Table1[[#This Row],[Physics 
Score]],Table1[[#This Row],[Chemistry 
Score]],Table1[[#This Row],[Biology 
Score]],Table1[[#This Row],[English 
Score]],Table1[[#This Row],[Geography 
Score]])</f>
        <v>84</v>
      </c>
      <c r="AB155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559">
        <f t="shared" si="24"/>
        <v>565</v>
      </c>
      <c r="AD1559" t="str">
        <f>_xlfn.IFS(Table1[[#This Row],[Absence 
Days]]&lt;3,"Excellent",Table1[[#This Row],[Absence 
Days]]&lt;=6,"Good",Table1[[#This Row],[Absence 
Days]]&gt;6,"Poor")</f>
        <v>Good</v>
      </c>
    </row>
    <row r="1560" spans="1:30" x14ac:dyDescent="0.35">
      <c r="A1560">
        <v>1559</v>
      </c>
      <c r="B1560" s="2" t="s">
        <v>420</v>
      </c>
      <c r="C1560" t="s">
        <v>752</v>
      </c>
      <c r="D1560" t="str">
        <f>_xlfn.TEXTJOIN(" ",TRUE,Table1[[#This Row],[First 
Name]:[Last 
Name]])</f>
        <v>Shane Washington</v>
      </c>
      <c r="E1560" t="s">
        <v>2670</v>
      </c>
      <c r="F1560" t="s">
        <v>3244</v>
      </c>
      <c r="G1560" t="str">
        <f ca="1">PROPER(Table1[[#This Row],[Part Time 
Job]])</f>
        <v>False</v>
      </c>
      <c r="H1560" s="3">
        <v>5</v>
      </c>
      <c r="I1560" t="str">
        <f ca="1">PROPER(Table1[[#This Row],[Extracurricular 
Activities]])</f>
        <v>False</v>
      </c>
      <c r="J1560">
        <v>15</v>
      </c>
      <c r="K1560" t="s">
        <v>3114</v>
      </c>
      <c r="L1560">
        <v>61</v>
      </c>
      <c r="M1560" s="12" t="str" cm="1">
        <f t="array" ref="M1560">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560">
        <v>94</v>
      </c>
      <c r="O1560" s="13" t="str" cm="1">
        <f t="array" ref="O156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560">
        <v>87</v>
      </c>
      <c r="Q1560" s="13" t="str" cm="1">
        <f t="array" ref="Q156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560">
        <v>74</v>
      </c>
      <c r="S1560" t="str" cm="1">
        <f t="array" ref="S156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560">
        <v>92</v>
      </c>
      <c r="U1560" t="str" cm="1">
        <f t="array" ref="U156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560">
        <v>79</v>
      </c>
      <c r="W1560" t="str" cm="1">
        <f t="array" ref="W156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560">
        <v>97</v>
      </c>
      <c r="Y1560" t="str" cm="1">
        <f t="array" ref="Y156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560">
        <f>SUM(Table1[[#This Row],[Math 
Score]],Table1[[#This Row],[History 
Score]],Table1[[#This Row],[Physics 
Score]],Table1[[#This Row],[Chemistry 
Score]],Table1[[#This Row],[Biology 
Score]],Table1[[#This Row],[English 
Score]],Table1[[#This Row],[Geography 
Score]])</f>
        <v>584</v>
      </c>
      <c r="AA1560" s="3">
        <f>AVERAGE(Table1[[#This Row],[Math 
Score]],Table1[[#This Row],[History 
Score]],Table1[[#This Row],[Physics 
Score]],Table1[[#This Row],[Chemistry 
Score]],Table1[[#This Row],[Biology 
Score]],Table1[[#This Row],[English 
Score]],Table1[[#This Row],[Geography 
Score]])</f>
        <v>83.428571428571431</v>
      </c>
      <c r="AB156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560">
        <f t="shared" si="24"/>
        <v>635</v>
      </c>
      <c r="AD1560" t="str">
        <f>_xlfn.IFS(Table1[[#This Row],[Absence 
Days]]&lt;3,"Excellent",Table1[[#This Row],[Absence 
Days]]&lt;=6,"Good",Table1[[#This Row],[Absence 
Days]]&gt;6,"Poor")</f>
        <v>Good</v>
      </c>
    </row>
    <row r="1561" spans="1:30" x14ac:dyDescent="0.35">
      <c r="A1561">
        <v>1560</v>
      </c>
      <c r="B1561" s="2" t="s">
        <v>109</v>
      </c>
      <c r="C1561" t="s">
        <v>1042</v>
      </c>
      <c r="D1561" t="str">
        <f>_xlfn.TEXTJOIN(" ",TRUE,Table1[[#This Row],[First 
Name]:[Last 
Name]])</f>
        <v>Mark Duke</v>
      </c>
      <c r="E1561" t="s">
        <v>2671</v>
      </c>
      <c r="F1561" t="s">
        <v>3244</v>
      </c>
      <c r="G1561" t="str">
        <f ca="1">PROPER(Table1[[#This Row],[Part Time 
Job]])</f>
        <v>False</v>
      </c>
      <c r="H1561" s="3">
        <v>1</v>
      </c>
      <c r="I1561" t="str">
        <f ca="1">PROPER(Table1[[#This Row],[Extracurricular 
Activities]])</f>
        <v>False</v>
      </c>
      <c r="J1561">
        <v>32</v>
      </c>
      <c r="K1561" t="s">
        <v>3122</v>
      </c>
      <c r="L1561">
        <v>65</v>
      </c>
      <c r="M1561" s="12" t="str" cm="1">
        <f t="array" ref="M1561">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561">
        <v>89</v>
      </c>
      <c r="O1561" s="13" t="str" cm="1">
        <f t="array" ref="O156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561">
        <v>70</v>
      </c>
      <c r="Q1561" s="13" t="str" cm="1">
        <f t="array" ref="Q156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561">
        <v>71</v>
      </c>
      <c r="S1561" t="str" cm="1">
        <f t="array" ref="S156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561">
        <v>74</v>
      </c>
      <c r="U1561" t="str" cm="1">
        <f t="array" ref="U156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561">
        <v>97</v>
      </c>
      <c r="W1561" t="str" cm="1">
        <f t="array" ref="W156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561">
        <v>64</v>
      </c>
      <c r="Y1561" t="str" cm="1">
        <f t="array" ref="Y156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561">
        <f>SUM(Table1[[#This Row],[Math 
Score]],Table1[[#This Row],[History 
Score]],Table1[[#This Row],[Physics 
Score]],Table1[[#This Row],[Chemistry 
Score]],Table1[[#This Row],[Biology 
Score]],Table1[[#This Row],[English 
Score]],Table1[[#This Row],[Geography 
Score]])</f>
        <v>530</v>
      </c>
      <c r="AA1561" s="3">
        <f>AVERAGE(Table1[[#This Row],[Math 
Score]],Table1[[#This Row],[History 
Score]],Table1[[#This Row],[Physics 
Score]],Table1[[#This Row],[Chemistry 
Score]],Table1[[#This Row],[Biology 
Score]],Table1[[#This Row],[English 
Score]],Table1[[#This Row],[Geography 
Score]])</f>
        <v>75.714285714285708</v>
      </c>
      <c r="AB156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561">
        <f t="shared" si="24"/>
        <v>1646</v>
      </c>
      <c r="AD1561" t="str">
        <f>_xlfn.IFS(Table1[[#This Row],[Absence 
Days]]&lt;3,"Excellent",Table1[[#This Row],[Absence 
Days]]&lt;=6,"Good",Table1[[#This Row],[Absence 
Days]]&gt;6,"Poor")</f>
        <v>Excellent</v>
      </c>
    </row>
    <row r="1562" spans="1:30" x14ac:dyDescent="0.35">
      <c r="A1562">
        <v>1561</v>
      </c>
      <c r="B1562" s="2" t="s">
        <v>65</v>
      </c>
      <c r="C1562" t="s">
        <v>679</v>
      </c>
      <c r="D1562" t="str">
        <f>_xlfn.TEXTJOIN(" ",TRUE,Table1[[#This Row],[First 
Name]:[Last 
Name]])</f>
        <v>Anna Lane</v>
      </c>
      <c r="E1562" t="s">
        <v>2672</v>
      </c>
      <c r="F1562" t="s">
        <v>3245</v>
      </c>
      <c r="G1562" t="str">
        <f ca="1">PROPER(Table1[[#This Row],[Part Time 
Job]])</f>
        <v>False</v>
      </c>
      <c r="H1562" s="3">
        <v>7</v>
      </c>
      <c r="I1562" t="str">
        <f ca="1">PROPER(Table1[[#This Row],[Extracurricular 
Activities]])</f>
        <v>False</v>
      </c>
      <c r="J1562">
        <v>3</v>
      </c>
      <c r="K1562" t="s">
        <v>3126</v>
      </c>
      <c r="L1562">
        <v>94</v>
      </c>
      <c r="M1562" s="12" t="str" cm="1">
        <f t="array" ref="M156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562">
        <v>97</v>
      </c>
      <c r="O1562" s="13" t="str" cm="1">
        <f t="array" ref="O156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562">
        <v>97</v>
      </c>
      <c r="Q1562" s="13" t="str" cm="1">
        <f t="array" ref="Q156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562">
        <v>75</v>
      </c>
      <c r="S1562" t="str" cm="1">
        <f t="array" ref="S156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562">
        <v>79</v>
      </c>
      <c r="U1562" t="str" cm="1">
        <f t="array" ref="U156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562">
        <v>68</v>
      </c>
      <c r="W1562" t="str" cm="1">
        <f t="array" ref="W156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562">
        <v>92</v>
      </c>
      <c r="Y1562" t="str" cm="1">
        <f t="array" ref="Y156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562">
        <f>SUM(Table1[[#This Row],[Math 
Score]],Table1[[#This Row],[History 
Score]],Table1[[#This Row],[Physics 
Score]],Table1[[#This Row],[Chemistry 
Score]],Table1[[#This Row],[Biology 
Score]],Table1[[#This Row],[English 
Score]],Table1[[#This Row],[Geography 
Score]])</f>
        <v>602</v>
      </c>
      <c r="AA1562" s="3">
        <f>AVERAGE(Table1[[#This Row],[Math 
Score]],Table1[[#This Row],[History 
Score]],Table1[[#This Row],[Physics 
Score]],Table1[[#This Row],[Chemistry 
Score]],Table1[[#This Row],[Biology 
Score]],Table1[[#This Row],[English 
Score]],Table1[[#This Row],[Geography 
Score]])</f>
        <v>86</v>
      </c>
      <c r="AB156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562">
        <f t="shared" si="24"/>
        <v>380</v>
      </c>
      <c r="AD1562" t="str">
        <f>_xlfn.IFS(Table1[[#This Row],[Absence 
Days]]&lt;3,"Excellent",Table1[[#This Row],[Absence 
Days]]&lt;=6,"Good",Table1[[#This Row],[Absence 
Days]]&gt;6,"Poor")</f>
        <v>Poor</v>
      </c>
    </row>
    <row r="1563" spans="1:30" x14ac:dyDescent="0.35">
      <c r="A1563">
        <v>1562</v>
      </c>
      <c r="B1563" s="2" t="s">
        <v>151</v>
      </c>
      <c r="C1563" t="s">
        <v>1025</v>
      </c>
      <c r="D1563" t="str">
        <f>_xlfn.TEXTJOIN(" ",TRUE,Table1[[#This Row],[First 
Name]:[Last 
Name]])</f>
        <v>Catherine Ibarra</v>
      </c>
      <c r="E1563" t="s">
        <v>2673</v>
      </c>
      <c r="F1563" t="s">
        <v>3245</v>
      </c>
      <c r="G1563" t="str">
        <f ca="1">PROPER(Table1[[#This Row],[Part Time 
Job]])</f>
        <v>False</v>
      </c>
      <c r="H1563" s="3">
        <v>5</v>
      </c>
      <c r="I1563" t="str">
        <f ca="1">PROPER(Table1[[#This Row],[Extracurricular 
Activities]])</f>
        <v>False</v>
      </c>
      <c r="J1563">
        <v>31</v>
      </c>
      <c r="K1563" t="s">
        <v>3124</v>
      </c>
      <c r="L1563">
        <v>94</v>
      </c>
      <c r="M1563" s="12" t="str" cm="1">
        <f t="array" ref="M156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563">
        <v>68</v>
      </c>
      <c r="O1563" s="13" t="str" cm="1">
        <f t="array" ref="O156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563">
        <v>89</v>
      </c>
      <c r="Q1563" s="13" t="str" cm="1">
        <f t="array" ref="Q156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563">
        <v>90</v>
      </c>
      <c r="S1563" t="str" cm="1">
        <f t="array" ref="S156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563">
        <v>91</v>
      </c>
      <c r="U1563" t="str" cm="1">
        <f t="array" ref="U156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563">
        <v>98</v>
      </c>
      <c r="W1563" t="str" cm="1">
        <f t="array" ref="W156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563">
        <v>72</v>
      </c>
      <c r="Y1563" t="str" cm="1">
        <f t="array" ref="Y156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563">
        <f>SUM(Table1[[#This Row],[Math 
Score]],Table1[[#This Row],[History 
Score]],Table1[[#This Row],[Physics 
Score]],Table1[[#This Row],[Chemistry 
Score]],Table1[[#This Row],[Biology 
Score]],Table1[[#This Row],[English 
Score]],Table1[[#This Row],[Geography 
Score]])</f>
        <v>602</v>
      </c>
      <c r="AA1563" s="3">
        <f>AVERAGE(Table1[[#This Row],[Math 
Score]],Table1[[#This Row],[History 
Score]],Table1[[#This Row],[Physics 
Score]],Table1[[#This Row],[Chemistry 
Score]],Table1[[#This Row],[Biology 
Score]],Table1[[#This Row],[English 
Score]],Table1[[#This Row],[Geography 
Score]])</f>
        <v>86</v>
      </c>
      <c r="AB156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563">
        <f t="shared" si="24"/>
        <v>380</v>
      </c>
      <c r="AD1563" t="str">
        <f>_xlfn.IFS(Table1[[#This Row],[Absence 
Days]]&lt;3,"Excellent",Table1[[#This Row],[Absence 
Days]]&lt;=6,"Good",Table1[[#This Row],[Absence 
Days]]&gt;6,"Poor")</f>
        <v>Good</v>
      </c>
    </row>
    <row r="1564" spans="1:30" x14ac:dyDescent="0.35">
      <c r="A1564">
        <v>1563</v>
      </c>
      <c r="B1564" s="2" t="s">
        <v>56</v>
      </c>
      <c r="C1564" t="s">
        <v>618</v>
      </c>
      <c r="D1564" t="str">
        <f>_xlfn.TEXTJOIN(" ",TRUE,Table1[[#This Row],[First 
Name]:[Last 
Name]])</f>
        <v>Brian Adams</v>
      </c>
      <c r="E1564" t="s">
        <v>2674</v>
      </c>
      <c r="F1564" t="s">
        <v>3244</v>
      </c>
      <c r="G1564" t="str">
        <f ca="1">PROPER(Table1[[#This Row],[Part Time 
Job]])</f>
        <v>False</v>
      </c>
      <c r="H1564" s="3">
        <v>5</v>
      </c>
      <c r="I1564" t="str">
        <f ca="1">PROPER(Table1[[#This Row],[Extracurricular 
Activities]])</f>
        <v>True</v>
      </c>
      <c r="J1564">
        <v>3</v>
      </c>
      <c r="K1564" t="s">
        <v>3119</v>
      </c>
      <c r="L1564">
        <v>56</v>
      </c>
      <c r="M1564" s="12" t="str" cm="1">
        <f t="array" ref="M1564">_xlfn.IFS(Table1[[#This Row],[Math 
Score]]&gt;=90,"A+",Table1[[#This Row],[Math 
Score]]&gt;=80,"A", Table1[[#This Row],[Math 
Score]]&gt;=75,"A-",Table1[[#This Row],[Math 
Score]]&gt;=70,"B+",Table1[[#This Row],[Math 
Score]]&gt;=65,"B",Table1[[#This Row],[Math 
Score]]&gt;=60,"B-",Table1[[#This Row],[Math 
Score]]&gt;=50,"C",Table1[[#This Row],[Math 
Score]]&gt;=40,"D",Table1[[#This Row],[Math 
Score]]&lt;40,"F")</f>
        <v>C</v>
      </c>
      <c r="N1564">
        <v>67</v>
      </c>
      <c r="O1564" s="13" t="str" cm="1">
        <f t="array" ref="O156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564">
        <v>87</v>
      </c>
      <c r="Q1564" s="13" t="str" cm="1">
        <f t="array" ref="Q156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564">
        <v>97</v>
      </c>
      <c r="S1564" t="str" cm="1">
        <f t="array" ref="S156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564">
        <v>88</v>
      </c>
      <c r="U1564" t="str" cm="1">
        <f t="array" ref="U156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564">
        <v>57</v>
      </c>
      <c r="W1564" t="str" cm="1">
        <f t="array" ref="W156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C</v>
      </c>
      <c r="X1564">
        <v>86</v>
      </c>
      <c r="Y1564" t="str" cm="1">
        <f t="array" ref="Y156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564">
        <f>SUM(Table1[[#This Row],[Math 
Score]],Table1[[#This Row],[History 
Score]],Table1[[#This Row],[Physics 
Score]],Table1[[#This Row],[Chemistry 
Score]],Table1[[#This Row],[Biology 
Score]],Table1[[#This Row],[English 
Score]],Table1[[#This Row],[Geography 
Score]])</f>
        <v>538</v>
      </c>
      <c r="AA1564" s="3">
        <f>AVERAGE(Table1[[#This Row],[Math 
Score]],Table1[[#This Row],[History 
Score]],Table1[[#This Row],[Physics 
Score]],Table1[[#This Row],[Chemistry 
Score]],Table1[[#This Row],[Biology 
Score]],Table1[[#This Row],[English 
Score]],Table1[[#This Row],[Geography 
Score]])</f>
        <v>76.857142857142861</v>
      </c>
      <c r="AB156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564">
        <f t="shared" si="24"/>
        <v>1537</v>
      </c>
      <c r="AD1564" t="str">
        <f>_xlfn.IFS(Table1[[#This Row],[Absence 
Days]]&lt;3,"Excellent",Table1[[#This Row],[Absence 
Days]]&lt;=6,"Good",Table1[[#This Row],[Absence 
Days]]&gt;6,"Poor")</f>
        <v>Good</v>
      </c>
    </row>
    <row r="1565" spans="1:30" x14ac:dyDescent="0.35">
      <c r="A1565">
        <v>1564</v>
      </c>
      <c r="B1565" s="2" t="s">
        <v>34</v>
      </c>
      <c r="C1565" t="s">
        <v>71</v>
      </c>
      <c r="D1565" t="str">
        <f>_xlfn.TEXTJOIN(" ",TRUE,Table1[[#This Row],[First 
Name]:[Last 
Name]])</f>
        <v>Michael James</v>
      </c>
      <c r="E1565" t="s">
        <v>2675</v>
      </c>
      <c r="F1565" t="s">
        <v>3244</v>
      </c>
      <c r="G1565" t="str">
        <f ca="1">PROPER(Table1[[#This Row],[Part Time 
Job]])</f>
        <v>False</v>
      </c>
      <c r="H1565" s="3">
        <v>7</v>
      </c>
      <c r="I1565" t="str">
        <f ca="1">PROPER(Table1[[#This Row],[Extracurricular 
Activities]])</f>
        <v>False</v>
      </c>
      <c r="J1565">
        <v>25</v>
      </c>
      <c r="K1565" t="s">
        <v>3117</v>
      </c>
      <c r="L1565">
        <v>89</v>
      </c>
      <c r="M1565" s="12" t="str" cm="1">
        <f t="array" ref="M156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565">
        <v>63</v>
      </c>
      <c r="O1565" s="13" t="str" cm="1">
        <f t="array" ref="O156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565">
        <v>88</v>
      </c>
      <c r="Q1565" s="13" t="str" cm="1">
        <f t="array" ref="Q156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565">
        <v>73</v>
      </c>
      <c r="S1565" t="str" cm="1">
        <f t="array" ref="S156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565">
        <v>78</v>
      </c>
      <c r="U1565" t="str" cm="1">
        <f t="array" ref="U156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565">
        <v>84</v>
      </c>
      <c r="W1565" t="str" cm="1">
        <f t="array" ref="W156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565">
        <v>74</v>
      </c>
      <c r="Y1565" t="str" cm="1">
        <f t="array" ref="Y156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565">
        <f>SUM(Table1[[#This Row],[Math 
Score]],Table1[[#This Row],[History 
Score]],Table1[[#This Row],[Physics 
Score]],Table1[[#This Row],[Chemistry 
Score]],Table1[[#This Row],[Biology 
Score]],Table1[[#This Row],[English 
Score]],Table1[[#This Row],[Geography 
Score]])</f>
        <v>549</v>
      </c>
      <c r="AA1565" s="3">
        <f>AVERAGE(Table1[[#This Row],[Math 
Score]],Table1[[#This Row],[History 
Score]],Table1[[#This Row],[Physics 
Score]],Table1[[#This Row],[Chemistry 
Score]],Table1[[#This Row],[Biology 
Score]],Table1[[#This Row],[English 
Score]],Table1[[#This Row],[Geography 
Score]])</f>
        <v>78.428571428571431</v>
      </c>
      <c r="AB156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565">
        <f t="shared" si="24"/>
        <v>1355</v>
      </c>
      <c r="AD1565" t="str">
        <f>_xlfn.IFS(Table1[[#This Row],[Absence 
Days]]&lt;3,"Excellent",Table1[[#This Row],[Absence 
Days]]&lt;=6,"Good",Table1[[#This Row],[Absence 
Days]]&gt;6,"Poor")</f>
        <v>Poor</v>
      </c>
    </row>
    <row r="1566" spans="1:30" x14ac:dyDescent="0.35">
      <c r="A1566">
        <v>1565</v>
      </c>
      <c r="B1566" s="2" t="s">
        <v>74</v>
      </c>
      <c r="C1566" t="s">
        <v>593</v>
      </c>
      <c r="D1566" t="str">
        <f>_xlfn.TEXTJOIN(" ",TRUE,Table1[[#This Row],[First 
Name]:[Last 
Name]])</f>
        <v>Robert Hernandez</v>
      </c>
      <c r="E1566" t="s">
        <v>2676</v>
      </c>
      <c r="F1566" t="s">
        <v>3244</v>
      </c>
      <c r="G1566" t="str">
        <f ca="1">PROPER(Table1[[#This Row],[Part Time 
Job]])</f>
        <v>True</v>
      </c>
      <c r="H1566" s="3">
        <v>1</v>
      </c>
      <c r="I1566" t="str">
        <f ca="1">PROPER(Table1[[#This Row],[Extracurricular 
Activities]])</f>
        <v>True</v>
      </c>
      <c r="J1566">
        <v>0</v>
      </c>
      <c r="K1566" t="s">
        <v>3128</v>
      </c>
      <c r="L1566">
        <v>65</v>
      </c>
      <c r="M1566" s="12" t="str" cm="1">
        <f t="array" ref="M1566">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566">
        <v>70</v>
      </c>
      <c r="O1566" s="13" t="str" cm="1">
        <f t="array" ref="O156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566">
        <v>100</v>
      </c>
      <c r="Q1566" s="13" t="str" cm="1">
        <f t="array" ref="Q156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566">
        <v>66</v>
      </c>
      <c r="S1566" t="str" cm="1">
        <f t="array" ref="S156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566">
        <v>71</v>
      </c>
      <c r="U1566" t="str" cm="1">
        <f t="array" ref="U156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566">
        <v>61</v>
      </c>
      <c r="W1566" t="str" cm="1">
        <f t="array" ref="W156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566">
        <v>61</v>
      </c>
      <c r="Y1566" t="str" cm="1">
        <f t="array" ref="Y156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566">
        <f>SUM(Table1[[#This Row],[Math 
Score]],Table1[[#This Row],[History 
Score]],Table1[[#This Row],[Physics 
Score]],Table1[[#This Row],[Chemistry 
Score]],Table1[[#This Row],[Biology 
Score]],Table1[[#This Row],[English 
Score]],Table1[[#This Row],[Geography 
Score]])</f>
        <v>494</v>
      </c>
      <c r="AA1566" s="3">
        <f>AVERAGE(Table1[[#This Row],[Math 
Score]],Table1[[#This Row],[History 
Score]],Table1[[#This Row],[Physics 
Score]],Table1[[#This Row],[Chemistry 
Score]],Table1[[#This Row],[Biology 
Score]],Table1[[#This Row],[English 
Score]],Table1[[#This Row],[Geography 
Score]])</f>
        <v>70.571428571428569</v>
      </c>
      <c r="AB156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566">
        <f t="shared" si="24"/>
        <v>1897</v>
      </c>
      <c r="AD1566" t="str">
        <f>_xlfn.IFS(Table1[[#This Row],[Absence 
Days]]&lt;3,"Excellent",Table1[[#This Row],[Absence 
Days]]&lt;=6,"Good",Table1[[#This Row],[Absence 
Days]]&gt;6,"Poor")</f>
        <v>Excellent</v>
      </c>
    </row>
    <row r="1567" spans="1:30" x14ac:dyDescent="0.35">
      <c r="A1567">
        <v>1566</v>
      </c>
      <c r="B1567" s="2" t="s">
        <v>4</v>
      </c>
      <c r="C1567" t="s">
        <v>1043</v>
      </c>
      <c r="D1567" t="str">
        <f>_xlfn.TEXTJOIN(" ",TRUE,Table1[[#This Row],[First 
Name]:[Last 
Name]])</f>
        <v>Anthony Walton</v>
      </c>
      <c r="E1567" t="s">
        <v>2677</v>
      </c>
      <c r="F1567" t="s">
        <v>3244</v>
      </c>
      <c r="G1567" t="str">
        <f ca="1">PROPER(Table1[[#This Row],[Part Time 
Job]])</f>
        <v>True</v>
      </c>
      <c r="H1567" s="3">
        <v>1</v>
      </c>
      <c r="I1567" t="str">
        <f ca="1">PROPER(Table1[[#This Row],[Extracurricular 
Activities]])</f>
        <v>False</v>
      </c>
      <c r="J1567">
        <v>29</v>
      </c>
      <c r="K1567" t="s">
        <v>3127</v>
      </c>
      <c r="L1567">
        <v>91</v>
      </c>
      <c r="M1567" s="12" t="str" cm="1">
        <f t="array" ref="M156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567">
        <v>96</v>
      </c>
      <c r="O1567" s="13" t="str" cm="1">
        <f t="array" ref="O156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567">
        <v>63</v>
      </c>
      <c r="Q1567" s="13" t="str" cm="1">
        <f t="array" ref="Q156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567">
        <v>81</v>
      </c>
      <c r="S1567" t="str" cm="1">
        <f t="array" ref="S156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567">
        <v>97</v>
      </c>
      <c r="U1567" t="str" cm="1">
        <f t="array" ref="U156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567">
        <v>74</v>
      </c>
      <c r="W1567" t="str" cm="1">
        <f t="array" ref="W156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567">
        <v>66</v>
      </c>
      <c r="Y1567" t="str" cm="1">
        <f t="array" ref="Y156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567">
        <f>SUM(Table1[[#This Row],[Math 
Score]],Table1[[#This Row],[History 
Score]],Table1[[#This Row],[Physics 
Score]],Table1[[#This Row],[Chemistry 
Score]],Table1[[#This Row],[Biology 
Score]],Table1[[#This Row],[English 
Score]],Table1[[#This Row],[Geography 
Score]])</f>
        <v>568</v>
      </c>
      <c r="AA1567" s="3">
        <f>AVERAGE(Table1[[#This Row],[Math 
Score]],Table1[[#This Row],[History 
Score]],Table1[[#This Row],[Physics 
Score]],Table1[[#This Row],[Chemistry 
Score]],Table1[[#This Row],[Biology 
Score]],Table1[[#This Row],[English 
Score]],Table1[[#This Row],[Geography 
Score]])</f>
        <v>81.142857142857139</v>
      </c>
      <c r="AB156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567">
        <f t="shared" si="24"/>
        <v>975</v>
      </c>
      <c r="AD1567" t="str">
        <f>_xlfn.IFS(Table1[[#This Row],[Absence 
Days]]&lt;3,"Excellent",Table1[[#This Row],[Absence 
Days]]&lt;=6,"Good",Table1[[#This Row],[Absence 
Days]]&gt;6,"Poor")</f>
        <v>Excellent</v>
      </c>
    </row>
    <row r="1568" spans="1:30" x14ac:dyDescent="0.35">
      <c r="A1568">
        <v>1567</v>
      </c>
      <c r="B1568" s="2" t="s">
        <v>421</v>
      </c>
      <c r="C1568" t="s">
        <v>504</v>
      </c>
      <c r="D1568" t="str">
        <f>_xlfn.TEXTJOIN(" ",TRUE,Table1[[#This Row],[First 
Name]:[Last 
Name]])</f>
        <v>Meghan Lewis</v>
      </c>
      <c r="E1568" t="s">
        <v>2678</v>
      </c>
      <c r="F1568" t="s">
        <v>3245</v>
      </c>
      <c r="G1568" t="str">
        <f ca="1">PROPER(Table1[[#This Row],[Part Time 
Job]])</f>
        <v>False</v>
      </c>
      <c r="H1568" s="3">
        <v>1</v>
      </c>
      <c r="I1568" t="str">
        <f ca="1">PROPER(Table1[[#This Row],[Extracurricular 
Activities]])</f>
        <v>False</v>
      </c>
      <c r="J1568">
        <v>17</v>
      </c>
      <c r="K1568" t="s">
        <v>3121</v>
      </c>
      <c r="L1568">
        <v>88</v>
      </c>
      <c r="M1568" s="12" t="str" cm="1">
        <f t="array" ref="M156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568">
        <v>100</v>
      </c>
      <c r="O1568" s="13" t="str" cm="1">
        <f t="array" ref="O156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568">
        <v>71</v>
      </c>
      <c r="Q1568" s="13" t="str" cm="1">
        <f t="array" ref="Q156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568">
        <v>85</v>
      </c>
      <c r="S1568" t="str" cm="1">
        <f t="array" ref="S156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568">
        <v>72</v>
      </c>
      <c r="U1568" t="str" cm="1">
        <f t="array" ref="U156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568">
        <v>91</v>
      </c>
      <c r="W1568" t="str" cm="1">
        <f t="array" ref="W156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568">
        <v>81</v>
      </c>
      <c r="Y1568" t="str" cm="1">
        <f t="array" ref="Y156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568">
        <f>SUM(Table1[[#This Row],[Math 
Score]],Table1[[#This Row],[History 
Score]],Table1[[#This Row],[Physics 
Score]],Table1[[#This Row],[Chemistry 
Score]],Table1[[#This Row],[Biology 
Score]],Table1[[#This Row],[English 
Score]],Table1[[#This Row],[Geography 
Score]])</f>
        <v>588</v>
      </c>
      <c r="AA1568" s="3">
        <f>AVERAGE(Table1[[#This Row],[Math 
Score]],Table1[[#This Row],[History 
Score]],Table1[[#This Row],[Physics 
Score]],Table1[[#This Row],[Chemistry 
Score]],Table1[[#This Row],[Biology 
Score]],Table1[[#This Row],[English 
Score]],Table1[[#This Row],[Geography 
Score]])</f>
        <v>84</v>
      </c>
      <c r="AB156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568">
        <f t="shared" si="24"/>
        <v>565</v>
      </c>
      <c r="AD1568" t="str">
        <f>_xlfn.IFS(Table1[[#This Row],[Absence 
Days]]&lt;3,"Excellent",Table1[[#This Row],[Absence 
Days]]&lt;=6,"Good",Table1[[#This Row],[Absence 
Days]]&gt;6,"Poor")</f>
        <v>Excellent</v>
      </c>
    </row>
    <row r="1569" spans="1:30" x14ac:dyDescent="0.35">
      <c r="A1569">
        <v>1568</v>
      </c>
      <c r="B1569" s="2" t="s">
        <v>94</v>
      </c>
      <c r="C1569" t="s">
        <v>1044</v>
      </c>
      <c r="D1569" t="str">
        <f>_xlfn.TEXTJOIN(" ",TRUE,Table1[[#This Row],[First 
Name]:[Last 
Name]])</f>
        <v>Crystal Holland</v>
      </c>
      <c r="E1569" t="s">
        <v>2679</v>
      </c>
      <c r="F1569" t="s">
        <v>3245</v>
      </c>
      <c r="G1569" t="str">
        <f ca="1">PROPER(Table1[[#This Row],[Part Time 
Job]])</f>
        <v>True</v>
      </c>
      <c r="H1569" s="3">
        <v>4</v>
      </c>
      <c r="I1569" t="str">
        <f ca="1">PROPER(Table1[[#This Row],[Extracurricular 
Activities]])</f>
        <v>False</v>
      </c>
      <c r="J1569">
        <v>0</v>
      </c>
      <c r="K1569" t="s">
        <v>3119</v>
      </c>
      <c r="L1569">
        <v>49</v>
      </c>
      <c r="M1569" s="12" t="str" cm="1">
        <f t="array" ref="M1569">_xlfn.IFS(Table1[[#This Row],[Math 
Score]]&gt;=90,"A+",Table1[[#This Row],[Math 
Score]]&gt;=80,"A", Table1[[#This Row],[Math 
Score]]&gt;=75,"A-",Table1[[#This Row],[Math 
Score]]&gt;=70,"B+",Table1[[#This Row],[Math 
Score]]&gt;=65,"B",Table1[[#This Row],[Math 
Score]]&gt;=60,"B-",Table1[[#This Row],[Math 
Score]]&gt;=50,"C",Table1[[#This Row],[Math 
Score]]&gt;=40,"D",Table1[[#This Row],[Math 
Score]]&lt;40,"F")</f>
        <v>D</v>
      </c>
      <c r="N1569">
        <v>51</v>
      </c>
      <c r="O1569" s="13" t="str" cm="1">
        <f t="array" ref="O156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C</v>
      </c>
      <c r="P1569">
        <v>57</v>
      </c>
      <c r="Q1569" s="13" t="str" cm="1">
        <f t="array" ref="Q156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C</v>
      </c>
      <c r="R1569">
        <v>80</v>
      </c>
      <c r="S1569" t="str" cm="1">
        <f t="array" ref="S156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569">
        <v>89</v>
      </c>
      <c r="U1569" t="str" cm="1">
        <f t="array" ref="U156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569">
        <v>53</v>
      </c>
      <c r="W1569" t="str" cm="1">
        <f t="array" ref="W156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C</v>
      </c>
      <c r="X1569">
        <v>76</v>
      </c>
      <c r="Y1569" t="str" cm="1">
        <f t="array" ref="Y156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569">
        <f>SUM(Table1[[#This Row],[Math 
Score]],Table1[[#This Row],[History 
Score]],Table1[[#This Row],[Physics 
Score]],Table1[[#This Row],[Chemistry 
Score]],Table1[[#This Row],[Biology 
Score]],Table1[[#This Row],[English 
Score]],Table1[[#This Row],[Geography 
Score]])</f>
        <v>455</v>
      </c>
      <c r="AA1569" s="3">
        <f>AVERAGE(Table1[[#This Row],[Math 
Score]],Table1[[#This Row],[History 
Score]],Table1[[#This Row],[Physics 
Score]],Table1[[#This Row],[Chemistry 
Score]],Table1[[#This Row],[Biology 
Score]],Table1[[#This Row],[English 
Score]],Table1[[#This Row],[Geography 
Score]])</f>
        <v>65</v>
      </c>
      <c r="AB156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569">
        <f t="shared" si="24"/>
        <v>1989</v>
      </c>
      <c r="AD1569" t="str">
        <f>_xlfn.IFS(Table1[[#This Row],[Absence 
Days]]&lt;3,"Excellent",Table1[[#This Row],[Absence 
Days]]&lt;=6,"Good",Table1[[#This Row],[Absence 
Days]]&gt;6,"Poor")</f>
        <v>Good</v>
      </c>
    </row>
    <row r="1570" spans="1:30" x14ac:dyDescent="0.35">
      <c r="A1570">
        <v>1569</v>
      </c>
      <c r="B1570" s="2" t="s">
        <v>56</v>
      </c>
      <c r="C1570" t="s">
        <v>541</v>
      </c>
      <c r="D1570" t="str">
        <f>_xlfn.TEXTJOIN(" ",TRUE,Table1[[#This Row],[First 
Name]:[Last 
Name]])</f>
        <v>Brian Gibson</v>
      </c>
      <c r="E1570" t="s">
        <v>2680</v>
      </c>
      <c r="F1570" t="s">
        <v>3244</v>
      </c>
      <c r="G1570" t="str">
        <f ca="1">PROPER(Table1[[#This Row],[Part Time 
Job]])</f>
        <v>False</v>
      </c>
      <c r="H1570" s="3">
        <v>5</v>
      </c>
      <c r="I1570" t="str">
        <f ca="1">PROPER(Table1[[#This Row],[Extracurricular 
Activities]])</f>
        <v>False</v>
      </c>
      <c r="J1570">
        <v>25</v>
      </c>
      <c r="K1570" t="s">
        <v>3122</v>
      </c>
      <c r="L1570">
        <v>73</v>
      </c>
      <c r="M1570" s="12" t="str" cm="1">
        <f t="array" ref="M1570">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570">
        <v>94</v>
      </c>
      <c r="O1570" s="13" t="str" cm="1">
        <f t="array" ref="O157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570">
        <v>74</v>
      </c>
      <c r="Q1570" s="13" t="str" cm="1">
        <f t="array" ref="Q157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570">
        <v>72</v>
      </c>
      <c r="S1570" t="str" cm="1">
        <f t="array" ref="S157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570">
        <v>80</v>
      </c>
      <c r="U1570" t="str" cm="1">
        <f t="array" ref="U157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570">
        <v>98</v>
      </c>
      <c r="W1570" t="str" cm="1">
        <f t="array" ref="W157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570">
        <v>100</v>
      </c>
      <c r="Y1570" t="str" cm="1">
        <f t="array" ref="Y157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570">
        <f>SUM(Table1[[#This Row],[Math 
Score]],Table1[[#This Row],[History 
Score]],Table1[[#This Row],[Physics 
Score]],Table1[[#This Row],[Chemistry 
Score]],Table1[[#This Row],[Biology 
Score]],Table1[[#This Row],[English 
Score]],Table1[[#This Row],[Geography 
Score]])</f>
        <v>591</v>
      </c>
      <c r="AA1570" s="3">
        <f>AVERAGE(Table1[[#This Row],[Math 
Score]],Table1[[#This Row],[History 
Score]],Table1[[#This Row],[Physics 
Score]],Table1[[#This Row],[Chemistry 
Score]],Table1[[#This Row],[Biology 
Score]],Table1[[#This Row],[English 
Score]],Table1[[#This Row],[Geography 
Score]])</f>
        <v>84.428571428571431</v>
      </c>
      <c r="AB157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570">
        <f t="shared" si="24"/>
        <v>515</v>
      </c>
      <c r="AD1570" t="str">
        <f>_xlfn.IFS(Table1[[#This Row],[Absence 
Days]]&lt;3,"Excellent",Table1[[#This Row],[Absence 
Days]]&lt;=6,"Good",Table1[[#This Row],[Absence 
Days]]&gt;6,"Poor")</f>
        <v>Good</v>
      </c>
    </row>
    <row r="1571" spans="1:30" x14ac:dyDescent="0.35">
      <c r="A1571">
        <v>1570</v>
      </c>
      <c r="B1571" s="2" t="s">
        <v>58</v>
      </c>
      <c r="C1571" t="s">
        <v>756</v>
      </c>
      <c r="D1571" t="str">
        <f>_xlfn.TEXTJOIN(" ",TRUE,Table1[[#This Row],[First 
Name]:[Last 
Name]])</f>
        <v>Eric Heath</v>
      </c>
      <c r="E1571" t="s">
        <v>2681</v>
      </c>
      <c r="F1571" t="s">
        <v>3244</v>
      </c>
      <c r="G1571" t="str">
        <f ca="1">PROPER(Table1[[#This Row],[Part Time 
Job]])</f>
        <v>False</v>
      </c>
      <c r="H1571" s="3">
        <v>2</v>
      </c>
      <c r="I1571" t="str">
        <f ca="1">PROPER(Table1[[#This Row],[Extracurricular 
Activities]])</f>
        <v>False</v>
      </c>
      <c r="J1571">
        <v>23</v>
      </c>
      <c r="K1571" t="s">
        <v>3117</v>
      </c>
      <c r="L1571">
        <v>94</v>
      </c>
      <c r="M1571" s="12" t="str" cm="1">
        <f t="array" ref="M157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571">
        <v>94</v>
      </c>
      <c r="O1571" s="13" t="str" cm="1">
        <f t="array" ref="O157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571">
        <v>74</v>
      </c>
      <c r="Q1571" s="13" t="str" cm="1">
        <f t="array" ref="Q157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571">
        <v>66</v>
      </c>
      <c r="S1571" t="str" cm="1">
        <f t="array" ref="S157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571">
        <v>73</v>
      </c>
      <c r="U1571" t="str" cm="1">
        <f t="array" ref="U157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571">
        <v>92</v>
      </c>
      <c r="W1571" t="str" cm="1">
        <f t="array" ref="W157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571">
        <v>80</v>
      </c>
      <c r="Y1571" t="str" cm="1">
        <f t="array" ref="Y157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571">
        <f>SUM(Table1[[#This Row],[Math 
Score]],Table1[[#This Row],[History 
Score]],Table1[[#This Row],[Physics 
Score]],Table1[[#This Row],[Chemistry 
Score]],Table1[[#This Row],[Biology 
Score]],Table1[[#This Row],[English 
Score]],Table1[[#This Row],[Geography 
Score]])</f>
        <v>573</v>
      </c>
      <c r="AA1571" s="3">
        <f>AVERAGE(Table1[[#This Row],[Math 
Score]],Table1[[#This Row],[History 
Score]],Table1[[#This Row],[Physics 
Score]],Table1[[#This Row],[Chemistry 
Score]],Table1[[#This Row],[Biology 
Score]],Table1[[#This Row],[English 
Score]],Table1[[#This Row],[Geography 
Score]])</f>
        <v>81.857142857142861</v>
      </c>
      <c r="AB157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571">
        <f t="shared" si="24"/>
        <v>864</v>
      </c>
      <c r="AD1571" t="str">
        <f>_xlfn.IFS(Table1[[#This Row],[Absence 
Days]]&lt;3,"Excellent",Table1[[#This Row],[Absence 
Days]]&lt;=6,"Good",Table1[[#This Row],[Absence 
Days]]&gt;6,"Poor")</f>
        <v>Excellent</v>
      </c>
    </row>
    <row r="1572" spans="1:30" x14ac:dyDescent="0.35">
      <c r="A1572">
        <v>1571</v>
      </c>
      <c r="B1572" s="2" t="s">
        <v>159</v>
      </c>
      <c r="C1572" t="s">
        <v>833</v>
      </c>
      <c r="D1572" t="str">
        <f>_xlfn.TEXTJOIN(" ",TRUE,Table1[[#This Row],[First 
Name]:[Last 
Name]])</f>
        <v>Holly Dunn</v>
      </c>
      <c r="E1572" t="s">
        <v>2682</v>
      </c>
      <c r="F1572" t="s">
        <v>3245</v>
      </c>
      <c r="G1572" t="str">
        <f ca="1">PROPER(Table1[[#This Row],[Part Time 
Job]])</f>
        <v>True</v>
      </c>
      <c r="H1572" s="3">
        <v>5</v>
      </c>
      <c r="I1572" t="str">
        <f ca="1">PROPER(Table1[[#This Row],[Extracurricular 
Activities]])</f>
        <v>False</v>
      </c>
      <c r="J1572">
        <v>4</v>
      </c>
      <c r="K1572" t="s">
        <v>3119</v>
      </c>
      <c r="L1572">
        <v>84</v>
      </c>
      <c r="M1572" s="12" t="str" cm="1">
        <f t="array" ref="M157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572">
        <v>61</v>
      </c>
      <c r="O1572" s="13" t="str" cm="1">
        <f t="array" ref="O157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572">
        <v>59</v>
      </c>
      <c r="Q1572" s="13" t="str" cm="1">
        <f t="array" ref="Q157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C</v>
      </c>
      <c r="R1572">
        <v>76</v>
      </c>
      <c r="S1572" t="str" cm="1">
        <f t="array" ref="S157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572">
        <v>72</v>
      </c>
      <c r="U1572" t="str" cm="1">
        <f t="array" ref="U157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572">
        <v>54</v>
      </c>
      <c r="W1572" t="str" cm="1">
        <f t="array" ref="W157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C</v>
      </c>
      <c r="X1572">
        <v>66</v>
      </c>
      <c r="Y1572" t="str" cm="1">
        <f t="array" ref="Y157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572">
        <f>SUM(Table1[[#This Row],[Math 
Score]],Table1[[#This Row],[History 
Score]],Table1[[#This Row],[Physics 
Score]],Table1[[#This Row],[Chemistry 
Score]],Table1[[#This Row],[Biology 
Score]],Table1[[#This Row],[English 
Score]],Table1[[#This Row],[Geography 
Score]])</f>
        <v>472</v>
      </c>
      <c r="AA1572" s="3">
        <f>AVERAGE(Table1[[#This Row],[Math 
Score]],Table1[[#This Row],[History 
Score]],Table1[[#This Row],[Physics 
Score]],Table1[[#This Row],[Chemistry 
Score]],Table1[[#This Row],[Biology 
Score]],Table1[[#This Row],[English 
Score]],Table1[[#This Row],[Geography 
Score]])</f>
        <v>67.428571428571431</v>
      </c>
      <c r="AB157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572">
        <f t="shared" si="24"/>
        <v>1955</v>
      </c>
      <c r="AD1572" t="str">
        <f>_xlfn.IFS(Table1[[#This Row],[Absence 
Days]]&lt;3,"Excellent",Table1[[#This Row],[Absence 
Days]]&lt;=6,"Good",Table1[[#This Row],[Absence 
Days]]&gt;6,"Poor")</f>
        <v>Good</v>
      </c>
    </row>
    <row r="1573" spans="1:30" x14ac:dyDescent="0.35">
      <c r="A1573">
        <v>1572</v>
      </c>
      <c r="B1573" s="2" t="s">
        <v>0</v>
      </c>
      <c r="C1573" t="s">
        <v>479</v>
      </c>
      <c r="D1573" t="str">
        <f>_xlfn.TEXTJOIN(" ",TRUE,Table1[[#This Row],[First 
Name]:[Last 
Name]])</f>
        <v>Paul Miller</v>
      </c>
      <c r="E1573" t="s">
        <v>2683</v>
      </c>
      <c r="F1573" t="s">
        <v>3244</v>
      </c>
      <c r="G1573" t="str">
        <f ca="1">PROPER(Table1[[#This Row],[Part Time 
Job]])</f>
        <v>False</v>
      </c>
      <c r="H1573" s="3">
        <v>7</v>
      </c>
      <c r="I1573" t="str">
        <f ca="1">PROPER(Table1[[#This Row],[Extracurricular 
Activities]])</f>
        <v>True</v>
      </c>
      <c r="J1573">
        <v>11</v>
      </c>
      <c r="K1573" t="s">
        <v>3125</v>
      </c>
      <c r="L1573">
        <v>97</v>
      </c>
      <c r="M1573" s="12" t="str" cm="1">
        <f t="array" ref="M157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573">
        <v>91</v>
      </c>
      <c r="O1573" s="13" t="str" cm="1">
        <f t="array" ref="O157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573">
        <v>91</v>
      </c>
      <c r="Q1573" s="13" t="str" cm="1">
        <f t="array" ref="Q157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573">
        <v>61</v>
      </c>
      <c r="S1573" t="str" cm="1">
        <f t="array" ref="S157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573">
        <v>68</v>
      </c>
      <c r="U1573" t="str" cm="1">
        <f t="array" ref="U157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573">
        <v>77</v>
      </c>
      <c r="W1573" t="str" cm="1">
        <f t="array" ref="W157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573">
        <v>97</v>
      </c>
      <c r="Y1573" t="str" cm="1">
        <f t="array" ref="Y157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573">
        <f>SUM(Table1[[#This Row],[Math 
Score]],Table1[[#This Row],[History 
Score]],Table1[[#This Row],[Physics 
Score]],Table1[[#This Row],[Chemistry 
Score]],Table1[[#This Row],[Biology 
Score]],Table1[[#This Row],[English 
Score]],Table1[[#This Row],[Geography 
Score]])</f>
        <v>582</v>
      </c>
      <c r="AA1573" s="3">
        <f>AVERAGE(Table1[[#This Row],[Math 
Score]],Table1[[#This Row],[History 
Score]],Table1[[#This Row],[Physics 
Score]],Table1[[#This Row],[Chemistry 
Score]],Table1[[#This Row],[Biology 
Score]],Table1[[#This Row],[English 
Score]],Table1[[#This Row],[Geography 
Score]])</f>
        <v>83.142857142857139</v>
      </c>
      <c r="AB157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573">
        <f t="shared" si="24"/>
        <v>670</v>
      </c>
      <c r="AD1573" t="str">
        <f>_xlfn.IFS(Table1[[#This Row],[Absence 
Days]]&lt;3,"Excellent",Table1[[#This Row],[Absence 
Days]]&lt;=6,"Good",Table1[[#This Row],[Absence 
Days]]&gt;6,"Poor")</f>
        <v>Poor</v>
      </c>
    </row>
    <row r="1574" spans="1:30" x14ac:dyDescent="0.35">
      <c r="A1574">
        <v>1573</v>
      </c>
      <c r="B1574" s="2" t="s">
        <v>282</v>
      </c>
      <c r="C1574" t="s">
        <v>506</v>
      </c>
      <c r="D1574" t="str">
        <f>_xlfn.TEXTJOIN(" ",TRUE,Table1[[#This Row],[First 
Name]:[Last 
Name]])</f>
        <v>Katherine Reyes</v>
      </c>
      <c r="E1574" t="s">
        <v>2684</v>
      </c>
      <c r="F1574" t="s">
        <v>3245</v>
      </c>
      <c r="G1574" t="str">
        <f ca="1">PROPER(Table1[[#This Row],[Part Time 
Job]])</f>
        <v>False</v>
      </c>
      <c r="H1574" s="3">
        <v>7</v>
      </c>
      <c r="I1574" t="str">
        <f ca="1">PROPER(Table1[[#This Row],[Extracurricular 
Activities]])</f>
        <v>False</v>
      </c>
      <c r="J1574">
        <v>12</v>
      </c>
      <c r="K1574" t="s">
        <v>3116</v>
      </c>
      <c r="L1574">
        <v>82</v>
      </c>
      <c r="M1574" s="12" t="str" cm="1">
        <f t="array" ref="M157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574">
        <v>84</v>
      </c>
      <c r="O1574" s="13" t="str" cm="1">
        <f t="array" ref="O157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574">
        <v>69</v>
      </c>
      <c r="Q1574" s="13" t="str" cm="1">
        <f t="array" ref="Q157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574">
        <v>66</v>
      </c>
      <c r="S1574" t="str" cm="1">
        <f t="array" ref="S157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574">
        <v>65</v>
      </c>
      <c r="U1574" t="str" cm="1">
        <f t="array" ref="U157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574">
        <v>74</v>
      </c>
      <c r="W1574" t="str" cm="1">
        <f t="array" ref="W157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574">
        <v>68</v>
      </c>
      <c r="Y1574" t="str" cm="1">
        <f t="array" ref="Y157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574">
        <f>SUM(Table1[[#This Row],[Math 
Score]],Table1[[#This Row],[History 
Score]],Table1[[#This Row],[Physics 
Score]],Table1[[#This Row],[Chemistry 
Score]],Table1[[#This Row],[Biology 
Score]],Table1[[#This Row],[English 
Score]],Table1[[#This Row],[Geography 
Score]])</f>
        <v>508</v>
      </c>
      <c r="AA1574" s="3">
        <f>AVERAGE(Table1[[#This Row],[Math 
Score]],Table1[[#This Row],[History 
Score]],Table1[[#This Row],[Physics 
Score]],Table1[[#This Row],[Chemistry 
Score]],Table1[[#This Row],[Biology 
Score]],Table1[[#This Row],[English 
Score]],Table1[[#This Row],[Geography 
Score]])</f>
        <v>72.571428571428569</v>
      </c>
      <c r="AB157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574">
        <f t="shared" si="24"/>
        <v>1840</v>
      </c>
      <c r="AD1574" t="str">
        <f>_xlfn.IFS(Table1[[#This Row],[Absence 
Days]]&lt;3,"Excellent",Table1[[#This Row],[Absence 
Days]]&lt;=6,"Good",Table1[[#This Row],[Absence 
Days]]&gt;6,"Poor")</f>
        <v>Poor</v>
      </c>
    </row>
    <row r="1575" spans="1:30" x14ac:dyDescent="0.35">
      <c r="A1575">
        <v>1574</v>
      </c>
      <c r="B1575" s="2" t="s">
        <v>422</v>
      </c>
      <c r="C1575" t="s">
        <v>593</v>
      </c>
      <c r="D1575" t="str">
        <f>_xlfn.TEXTJOIN(" ",TRUE,Table1[[#This Row],[First 
Name]:[Last 
Name]])</f>
        <v>Paula Hernandez</v>
      </c>
      <c r="E1575" t="s">
        <v>2685</v>
      </c>
      <c r="F1575" t="s">
        <v>3245</v>
      </c>
      <c r="G1575" t="str">
        <f ca="1">PROPER(Table1[[#This Row],[Part Time 
Job]])</f>
        <v>True</v>
      </c>
      <c r="H1575" s="3">
        <v>2</v>
      </c>
      <c r="I1575" t="str">
        <f ca="1">PROPER(Table1[[#This Row],[Extracurricular 
Activities]])</f>
        <v>False</v>
      </c>
      <c r="J1575">
        <v>48</v>
      </c>
      <c r="K1575" t="s">
        <v>3113</v>
      </c>
      <c r="L1575">
        <v>96</v>
      </c>
      <c r="M1575" s="12" t="str" cm="1">
        <f t="array" ref="M157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575">
        <v>97</v>
      </c>
      <c r="O1575" s="13" t="str" cm="1">
        <f t="array" ref="O157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575">
        <v>98</v>
      </c>
      <c r="Q1575" s="13" t="str" cm="1">
        <f t="array" ref="Q157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575">
        <v>98</v>
      </c>
      <c r="S1575" t="str" cm="1">
        <f t="array" ref="S157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575">
        <v>97</v>
      </c>
      <c r="U1575" t="str" cm="1">
        <f t="array" ref="U157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575">
        <v>96</v>
      </c>
      <c r="W1575" t="str" cm="1">
        <f t="array" ref="W157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575">
        <v>89</v>
      </c>
      <c r="Y1575" t="str" cm="1">
        <f t="array" ref="Y157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575">
        <f>SUM(Table1[[#This Row],[Math 
Score]],Table1[[#This Row],[History 
Score]],Table1[[#This Row],[Physics 
Score]],Table1[[#This Row],[Chemistry 
Score]],Table1[[#This Row],[Biology 
Score]],Table1[[#This Row],[English 
Score]],Table1[[#This Row],[Geography 
Score]])</f>
        <v>671</v>
      </c>
      <c r="AA1575" s="3">
        <f>AVERAGE(Table1[[#This Row],[Math 
Score]],Table1[[#This Row],[History 
Score]],Table1[[#This Row],[Physics 
Score]],Table1[[#This Row],[Chemistry 
Score]],Table1[[#This Row],[Biology 
Score]],Table1[[#This Row],[English 
Score]],Table1[[#This Row],[Geography 
Score]])</f>
        <v>95.857142857142861</v>
      </c>
      <c r="AB157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575">
        <f t="shared" si="24"/>
        <v>2</v>
      </c>
      <c r="AD1575" t="str">
        <f>_xlfn.IFS(Table1[[#This Row],[Absence 
Days]]&lt;3,"Excellent",Table1[[#This Row],[Absence 
Days]]&lt;=6,"Good",Table1[[#This Row],[Absence 
Days]]&gt;6,"Poor")</f>
        <v>Excellent</v>
      </c>
    </row>
    <row r="1576" spans="1:30" x14ac:dyDescent="0.35">
      <c r="A1576">
        <v>1575</v>
      </c>
      <c r="B1576" s="2" t="s">
        <v>292</v>
      </c>
      <c r="C1576" t="s">
        <v>1045</v>
      </c>
      <c r="D1576" t="str">
        <f>_xlfn.TEXTJOIN(" ",TRUE,Table1[[#This Row],[First 
Name]:[Last 
Name]])</f>
        <v>Aaron Ortega</v>
      </c>
      <c r="E1576" t="s">
        <v>2686</v>
      </c>
      <c r="F1576" t="s">
        <v>3244</v>
      </c>
      <c r="G1576" t="str">
        <f ca="1">PROPER(Table1[[#This Row],[Part Time 
Job]])</f>
        <v>False</v>
      </c>
      <c r="H1576" s="3">
        <v>4</v>
      </c>
      <c r="I1576" t="str">
        <f ca="1">PROPER(Table1[[#This Row],[Extracurricular 
Activities]])</f>
        <v>True</v>
      </c>
      <c r="J1576">
        <v>0</v>
      </c>
      <c r="K1576" t="s">
        <v>3119</v>
      </c>
      <c r="L1576">
        <v>44</v>
      </c>
      <c r="M1576" s="12" t="str" cm="1">
        <f t="array" ref="M1576">_xlfn.IFS(Table1[[#This Row],[Math 
Score]]&gt;=90,"A+",Table1[[#This Row],[Math 
Score]]&gt;=80,"A", Table1[[#This Row],[Math 
Score]]&gt;=75,"A-",Table1[[#This Row],[Math 
Score]]&gt;=70,"B+",Table1[[#This Row],[Math 
Score]]&gt;=65,"B",Table1[[#This Row],[Math 
Score]]&gt;=60,"B-",Table1[[#This Row],[Math 
Score]]&gt;=50,"C",Table1[[#This Row],[Math 
Score]]&gt;=40,"D",Table1[[#This Row],[Math 
Score]]&lt;40,"F")</f>
        <v>D</v>
      </c>
      <c r="N1576">
        <v>98</v>
      </c>
      <c r="O1576" s="13" t="str" cm="1">
        <f t="array" ref="O157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576">
        <v>53</v>
      </c>
      <c r="Q1576" s="13" t="str" cm="1">
        <f t="array" ref="Q157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C</v>
      </c>
      <c r="R1576">
        <v>68</v>
      </c>
      <c r="S1576" t="str" cm="1">
        <f t="array" ref="S157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576">
        <v>94</v>
      </c>
      <c r="U1576" t="str" cm="1">
        <f t="array" ref="U157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576">
        <v>91</v>
      </c>
      <c r="W1576" t="str" cm="1">
        <f t="array" ref="W157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576">
        <v>84</v>
      </c>
      <c r="Y1576" t="str" cm="1">
        <f t="array" ref="Y157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576">
        <f>SUM(Table1[[#This Row],[Math 
Score]],Table1[[#This Row],[History 
Score]],Table1[[#This Row],[Physics 
Score]],Table1[[#This Row],[Chemistry 
Score]],Table1[[#This Row],[Biology 
Score]],Table1[[#This Row],[English 
Score]],Table1[[#This Row],[Geography 
Score]])</f>
        <v>532</v>
      </c>
      <c r="AA1576" s="3">
        <f>AVERAGE(Table1[[#This Row],[Math 
Score]],Table1[[#This Row],[History 
Score]],Table1[[#This Row],[Physics 
Score]],Table1[[#This Row],[Chemistry 
Score]],Table1[[#This Row],[Biology 
Score]],Table1[[#This Row],[English 
Score]],Table1[[#This Row],[Geography 
Score]])</f>
        <v>76</v>
      </c>
      <c r="AB157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576">
        <f t="shared" si="24"/>
        <v>1622</v>
      </c>
      <c r="AD1576" t="str">
        <f>_xlfn.IFS(Table1[[#This Row],[Absence 
Days]]&lt;3,"Excellent",Table1[[#This Row],[Absence 
Days]]&lt;=6,"Good",Table1[[#This Row],[Absence 
Days]]&gt;6,"Poor")</f>
        <v>Good</v>
      </c>
    </row>
    <row r="1577" spans="1:30" x14ac:dyDescent="0.35">
      <c r="A1577">
        <v>1576</v>
      </c>
      <c r="B1577" s="2" t="s">
        <v>17</v>
      </c>
      <c r="C1577" t="s">
        <v>825</v>
      </c>
      <c r="D1577" t="str">
        <f>_xlfn.TEXTJOIN(" ",TRUE,Table1[[#This Row],[First 
Name]:[Last 
Name]])</f>
        <v>Jonathan Carter</v>
      </c>
      <c r="E1577" t="s">
        <v>2687</v>
      </c>
      <c r="F1577" t="s">
        <v>3244</v>
      </c>
      <c r="G1577" t="str">
        <f ca="1">PROPER(Table1[[#This Row],[Part Time 
Job]])</f>
        <v>False</v>
      </c>
      <c r="H1577" s="3">
        <v>7</v>
      </c>
      <c r="I1577" t="str">
        <f ca="1">PROPER(Table1[[#This Row],[Extracurricular 
Activities]])</f>
        <v>True</v>
      </c>
      <c r="J1577">
        <v>12</v>
      </c>
      <c r="K1577" t="s">
        <v>3121</v>
      </c>
      <c r="L1577">
        <v>97</v>
      </c>
      <c r="M1577" s="12" t="str" cm="1">
        <f t="array" ref="M157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577">
        <v>64</v>
      </c>
      <c r="O1577" s="13" t="str" cm="1">
        <f t="array" ref="O157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577">
        <v>90</v>
      </c>
      <c r="Q1577" s="13" t="str" cm="1">
        <f t="array" ref="Q157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577">
        <v>69</v>
      </c>
      <c r="S1577" t="str" cm="1">
        <f t="array" ref="S157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577">
        <v>88</v>
      </c>
      <c r="U1577" t="str" cm="1">
        <f t="array" ref="U157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577">
        <v>83</v>
      </c>
      <c r="W1577" t="str" cm="1">
        <f t="array" ref="W157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577">
        <v>77</v>
      </c>
      <c r="Y1577" t="str" cm="1">
        <f t="array" ref="Y157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577">
        <f>SUM(Table1[[#This Row],[Math 
Score]],Table1[[#This Row],[History 
Score]],Table1[[#This Row],[Physics 
Score]],Table1[[#This Row],[Chemistry 
Score]],Table1[[#This Row],[Biology 
Score]],Table1[[#This Row],[English 
Score]],Table1[[#This Row],[Geography 
Score]])</f>
        <v>568</v>
      </c>
      <c r="AA1577" s="3">
        <f>AVERAGE(Table1[[#This Row],[Math 
Score]],Table1[[#This Row],[History 
Score]],Table1[[#This Row],[Physics 
Score]],Table1[[#This Row],[Chemistry 
Score]],Table1[[#This Row],[Biology 
Score]],Table1[[#This Row],[English 
Score]],Table1[[#This Row],[Geography 
Score]])</f>
        <v>81.142857142857139</v>
      </c>
      <c r="AB157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577">
        <f t="shared" si="24"/>
        <v>975</v>
      </c>
      <c r="AD1577" t="str">
        <f>_xlfn.IFS(Table1[[#This Row],[Absence 
Days]]&lt;3,"Excellent",Table1[[#This Row],[Absence 
Days]]&lt;=6,"Good",Table1[[#This Row],[Absence 
Days]]&gt;6,"Poor")</f>
        <v>Poor</v>
      </c>
    </row>
    <row r="1578" spans="1:30" x14ac:dyDescent="0.35">
      <c r="A1578">
        <v>1577</v>
      </c>
      <c r="B1578" s="2" t="s">
        <v>139</v>
      </c>
      <c r="C1578" t="s">
        <v>711</v>
      </c>
      <c r="D1578" t="str">
        <f>_xlfn.TEXTJOIN(" ",TRUE,Table1[[#This Row],[First 
Name]:[Last 
Name]])</f>
        <v>Christina Nguyen</v>
      </c>
      <c r="E1578" t="s">
        <v>2688</v>
      </c>
      <c r="F1578" t="s">
        <v>3245</v>
      </c>
      <c r="G1578" t="str">
        <f ca="1">PROPER(Table1[[#This Row],[Part Time 
Job]])</f>
        <v>False</v>
      </c>
      <c r="H1578" s="3">
        <v>1</v>
      </c>
      <c r="I1578" t="str">
        <f ca="1">PROPER(Table1[[#This Row],[Extracurricular 
Activities]])</f>
        <v>True</v>
      </c>
      <c r="J1578">
        <v>31</v>
      </c>
      <c r="K1578" t="s">
        <v>3121</v>
      </c>
      <c r="L1578">
        <v>77</v>
      </c>
      <c r="M1578" s="12" t="str" cm="1">
        <f t="array" ref="M157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578">
        <v>93</v>
      </c>
      <c r="O1578" s="13" t="str" cm="1">
        <f t="array" ref="O157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578">
        <v>65</v>
      </c>
      <c r="Q1578" s="13" t="str" cm="1">
        <f t="array" ref="Q157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578">
        <v>68</v>
      </c>
      <c r="S1578" t="str" cm="1">
        <f t="array" ref="S157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578">
        <v>71</v>
      </c>
      <c r="U1578" t="str" cm="1">
        <f t="array" ref="U157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578">
        <v>75</v>
      </c>
      <c r="W1578" t="str" cm="1">
        <f t="array" ref="W157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578">
        <v>76</v>
      </c>
      <c r="Y1578" t="str" cm="1">
        <f t="array" ref="Y157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578">
        <f>SUM(Table1[[#This Row],[Math 
Score]],Table1[[#This Row],[History 
Score]],Table1[[#This Row],[Physics 
Score]],Table1[[#This Row],[Chemistry 
Score]],Table1[[#This Row],[Biology 
Score]],Table1[[#This Row],[English 
Score]],Table1[[#This Row],[Geography 
Score]])</f>
        <v>525</v>
      </c>
      <c r="AA1578" s="3">
        <f>AVERAGE(Table1[[#This Row],[Math 
Score]],Table1[[#This Row],[History 
Score]],Table1[[#This Row],[Physics 
Score]],Table1[[#This Row],[Chemistry 
Score]],Table1[[#This Row],[Biology 
Score]],Table1[[#This Row],[English 
Score]],Table1[[#This Row],[Geography 
Score]])</f>
        <v>75</v>
      </c>
      <c r="AB157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578">
        <f t="shared" si="24"/>
        <v>1704</v>
      </c>
      <c r="AD1578" t="str">
        <f>_xlfn.IFS(Table1[[#This Row],[Absence 
Days]]&lt;3,"Excellent",Table1[[#This Row],[Absence 
Days]]&lt;=6,"Good",Table1[[#This Row],[Absence 
Days]]&gt;6,"Poor")</f>
        <v>Excellent</v>
      </c>
    </row>
    <row r="1579" spans="1:30" x14ac:dyDescent="0.35">
      <c r="A1579">
        <v>1578</v>
      </c>
      <c r="B1579" s="2" t="s">
        <v>115</v>
      </c>
      <c r="C1579" t="s">
        <v>825</v>
      </c>
      <c r="D1579" t="str">
        <f>_xlfn.TEXTJOIN(" ",TRUE,Table1[[#This Row],[First 
Name]:[Last 
Name]])</f>
        <v>Anita Carter</v>
      </c>
      <c r="E1579" t="s">
        <v>2689</v>
      </c>
      <c r="F1579" t="s">
        <v>3245</v>
      </c>
      <c r="G1579" t="str">
        <f ca="1">PROPER(Table1[[#This Row],[Part Time 
Job]])</f>
        <v>True</v>
      </c>
      <c r="H1579" s="3">
        <v>9</v>
      </c>
      <c r="I1579" t="str">
        <f ca="1">PROPER(Table1[[#This Row],[Extracurricular 
Activities]])</f>
        <v>False</v>
      </c>
      <c r="J1579">
        <v>19</v>
      </c>
      <c r="K1579" t="s">
        <v>3123</v>
      </c>
      <c r="L1579">
        <v>89</v>
      </c>
      <c r="M1579" s="12" t="str" cm="1">
        <f t="array" ref="M157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579">
        <v>99</v>
      </c>
      <c r="O1579" s="13" t="str" cm="1">
        <f t="array" ref="O157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579">
        <v>96</v>
      </c>
      <c r="Q1579" s="13" t="str" cm="1">
        <f t="array" ref="Q157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579">
        <v>72</v>
      </c>
      <c r="S1579" t="str" cm="1">
        <f t="array" ref="S157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579">
        <v>84</v>
      </c>
      <c r="U1579" t="str" cm="1">
        <f t="array" ref="U157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579">
        <v>62</v>
      </c>
      <c r="W1579" t="str" cm="1">
        <f t="array" ref="W157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579">
        <v>98</v>
      </c>
      <c r="Y1579" t="str" cm="1">
        <f t="array" ref="Y157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579">
        <f>SUM(Table1[[#This Row],[Math 
Score]],Table1[[#This Row],[History 
Score]],Table1[[#This Row],[Physics 
Score]],Table1[[#This Row],[Chemistry 
Score]],Table1[[#This Row],[Biology 
Score]],Table1[[#This Row],[English 
Score]],Table1[[#This Row],[Geography 
Score]])</f>
        <v>600</v>
      </c>
      <c r="AA1579" s="3">
        <f>AVERAGE(Table1[[#This Row],[Math 
Score]],Table1[[#This Row],[History 
Score]],Table1[[#This Row],[Physics 
Score]],Table1[[#This Row],[Chemistry 
Score]],Table1[[#This Row],[Biology 
Score]],Table1[[#This Row],[English 
Score]],Table1[[#This Row],[Geography 
Score]])</f>
        <v>85.714285714285708</v>
      </c>
      <c r="AB157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579">
        <f t="shared" si="24"/>
        <v>406</v>
      </c>
      <c r="AD1579" t="str">
        <f>_xlfn.IFS(Table1[[#This Row],[Absence 
Days]]&lt;3,"Excellent",Table1[[#This Row],[Absence 
Days]]&lt;=6,"Good",Table1[[#This Row],[Absence 
Days]]&gt;6,"Poor")</f>
        <v>Poor</v>
      </c>
    </row>
    <row r="1580" spans="1:30" x14ac:dyDescent="0.35">
      <c r="A1580">
        <v>1579</v>
      </c>
      <c r="B1580" s="2" t="s">
        <v>423</v>
      </c>
      <c r="C1580" t="s">
        <v>639</v>
      </c>
      <c r="D1580" t="str">
        <f>_xlfn.TEXTJOIN(" ",TRUE,Table1[[#This Row],[First 
Name]:[Last 
Name]])</f>
        <v>Madeline Holmes</v>
      </c>
      <c r="E1580" t="s">
        <v>2690</v>
      </c>
      <c r="F1580" t="s">
        <v>3245</v>
      </c>
      <c r="G1580" t="str">
        <f ca="1">PROPER(Table1[[#This Row],[Part Time 
Job]])</f>
        <v>False</v>
      </c>
      <c r="H1580" s="3">
        <v>0</v>
      </c>
      <c r="I1580" t="str">
        <f ca="1">PROPER(Table1[[#This Row],[Extracurricular 
Activities]])</f>
        <v>False</v>
      </c>
      <c r="J1580">
        <v>17</v>
      </c>
      <c r="K1580" t="s">
        <v>3117</v>
      </c>
      <c r="L1580">
        <v>86</v>
      </c>
      <c r="M1580" s="12" t="str" cm="1">
        <f t="array" ref="M158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580">
        <v>92</v>
      </c>
      <c r="O1580" s="13" t="str" cm="1">
        <f t="array" ref="O158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580">
        <v>65</v>
      </c>
      <c r="Q1580" s="13" t="str" cm="1">
        <f t="array" ref="Q158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580">
        <v>81</v>
      </c>
      <c r="S1580" t="str" cm="1">
        <f t="array" ref="S158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580">
        <v>73</v>
      </c>
      <c r="U1580" t="str" cm="1">
        <f t="array" ref="U158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580">
        <v>84</v>
      </c>
      <c r="W1580" t="str" cm="1">
        <f t="array" ref="W158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580">
        <v>79</v>
      </c>
      <c r="Y1580" t="str" cm="1">
        <f t="array" ref="Y158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580">
        <f>SUM(Table1[[#This Row],[Math 
Score]],Table1[[#This Row],[History 
Score]],Table1[[#This Row],[Physics 
Score]],Table1[[#This Row],[Chemistry 
Score]],Table1[[#This Row],[Biology 
Score]],Table1[[#This Row],[English 
Score]],Table1[[#This Row],[Geography 
Score]])</f>
        <v>560</v>
      </c>
      <c r="AA1580" s="3">
        <f>AVERAGE(Table1[[#This Row],[Math 
Score]],Table1[[#This Row],[History 
Score]],Table1[[#This Row],[Physics 
Score]],Table1[[#This Row],[Chemistry 
Score]],Table1[[#This Row],[Biology 
Score]],Table1[[#This Row],[English 
Score]],Table1[[#This Row],[Geography 
Score]])</f>
        <v>80</v>
      </c>
      <c r="AB158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580">
        <f t="shared" si="24"/>
        <v>1134</v>
      </c>
      <c r="AD1580" t="str">
        <f>_xlfn.IFS(Table1[[#This Row],[Absence 
Days]]&lt;3,"Excellent",Table1[[#This Row],[Absence 
Days]]&lt;=6,"Good",Table1[[#This Row],[Absence 
Days]]&gt;6,"Poor")</f>
        <v>Excellent</v>
      </c>
    </row>
    <row r="1581" spans="1:30" x14ac:dyDescent="0.35">
      <c r="A1581">
        <v>1580</v>
      </c>
      <c r="B1581" s="2" t="s">
        <v>322</v>
      </c>
      <c r="C1581" t="s">
        <v>668</v>
      </c>
      <c r="D1581" t="str">
        <f>_xlfn.TEXTJOIN(" ",TRUE,Table1[[#This Row],[First 
Name]:[Last 
Name]])</f>
        <v>Luis Klein</v>
      </c>
      <c r="E1581" t="s">
        <v>2691</v>
      </c>
      <c r="F1581" t="s">
        <v>3244</v>
      </c>
      <c r="G1581" t="str">
        <f ca="1">PROPER(Table1[[#This Row],[Part Time 
Job]])</f>
        <v>False</v>
      </c>
      <c r="H1581" s="3">
        <v>6</v>
      </c>
      <c r="I1581" t="str">
        <f ca="1">PROPER(Table1[[#This Row],[Extracurricular 
Activities]])</f>
        <v>True</v>
      </c>
      <c r="J1581">
        <v>24</v>
      </c>
      <c r="K1581" t="s">
        <v>3116</v>
      </c>
      <c r="L1581">
        <v>73</v>
      </c>
      <c r="M1581" s="12" t="str" cm="1">
        <f t="array" ref="M1581">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581">
        <v>71</v>
      </c>
      <c r="O1581" s="13" t="str" cm="1">
        <f t="array" ref="O158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581">
        <v>84</v>
      </c>
      <c r="Q1581" s="13" t="str" cm="1">
        <f t="array" ref="Q158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581">
        <v>96</v>
      </c>
      <c r="S1581" t="str" cm="1">
        <f t="array" ref="S158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581">
        <v>92</v>
      </c>
      <c r="U1581" t="str" cm="1">
        <f t="array" ref="U158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581">
        <v>94</v>
      </c>
      <c r="W1581" t="str" cm="1">
        <f t="array" ref="W158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581">
        <v>75</v>
      </c>
      <c r="Y1581" t="str" cm="1">
        <f t="array" ref="Y158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581">
        <f>SUM(Table1[[#This Row],[Math 
Score]],Table1[[#This Row],[History 
Score]],Table1[[#This Row],[Physics 
Score]],Table1[[#This Row],[Chemistry 
Score]],Table1[[#This Row],[Biology 
Score]],Table1[[#This Row],[English 
Score]],Table1[[#This Row],[Geography 
Score]])</f>
        <v>585</v>
      </c>
      <c r="AA1581" s="3">
        <f>AVERAGE(Table1[[#This Row],[Math 
Score]],Table1[[#This Row],[History 
Score]],Table1[[#This Row],[Physics 
Score]],Table1[[#This Row],[Chemistry 
Score]],Table1[[#This Row],[Biology 
Score]],Table1[[#This Row],[English 
Score]],Table1[[#This Row],[Geography 
Score]])</f>
        <v>83.571428571428569</v>
      </c>
      <c r="AB158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581">
        <f t="shared" si="24"/>
        <v>615</v>
      </c>
      <c r="AD1581" t="str">
        <f>_xlfn.IFS(Table1[[#This Row],[Absence 
Days]]&lt;3,"Excellent",Table1[[#This Row],[Absence 
Days]]&lt;=6,"Good",Table1[[#This Row],[Absence 
Days]]&gt;6,"Poor")</f>
        <v>Good</v>
      </c>
    </row>
    <row r="1582" spans="1:30" x14ac:dyDescent="0.35">
      <c r="A1582">
        <v>1581</v>
      </c>
      <c r="B1582" s="2" t="s">
        <v>13</v>
      </c>
      <c r="C1582" t="s">
        <v>496</v>
      </c>
      <c r="D1582" t="str">
        <f>_xlfn.TEXTJOIN(" ",TRUE,Table1[[#This Row],[First 
Name]:[Last 
Name]])</f>
        <v>Laura Thornton</v>
      </c>
      <c r="E1582" t="s">
        <v>2692</v>
      </c>
      <c r="F1582" t="s">
        <v>3245</v>
      </c>
      <c r="G1582" t="str">
        <f ca="1">PROPER(Table1[[#This Row],[Part Time 
Job]])</f>
        <v>False</v>
      </c>
      <c r="H1582" s="3">
        <v>2</v>
      </c>
      <c r="I1582" t="str">
        <f ca="1">PROPER(Table1[[#This Row],[Extracurricular 
Activities]])</f>
        <v>False</v>
      </c>
      <c r="J1582">
        <v>11</v>
      </c>
      <c r="K1582" t="s">
        <v>3118</v>
      </c>
      <c r="L1582">
        <v>61</v>
      </c>
      <c r="M1582" s="12" t="str" cm="1">
        <f t="array" ref="M1582">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582">
        <v>75</v>
      </c>
      <c r="O1582" s="13" t="str" cm="1">
        <f t="array" ref="O158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582">
        <v>95</v>
      </c>
      <c r="Q1582" s="13" t="str" cm="1">
        <f t="array" ref="Q158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582">
        <v>62</v>
      </c>
      <c r="S1582" t="str" cm="1">
        <f t="array" ref="S158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582">
        <v>93</v>
      </c>
      <c r="U1582" t="str" cm="1">
        <f t="array" ref="U158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582">
        <v>92</v>
      </c>
      <c r="W1582" t="str" cm="1">
        <f t="array" ref="W158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582">
        <v>87</v>
      </c>
      <c r="Y1582" t="str" cm="1">
        <f t="array" ref="Y158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582">
        <f>SUM(Table1[[#This Row],[Math 
Score]],Table1[[#This Row],[History 
Score]],Table1[[#This Row],[Physics 
Score]],Table1[[#This Row],[Chemistry 
Score]],Table1[[#This Row],[Biology 
Score]],Table1[[#This Row],[English 
Score]],Table1[[#This Row],[Geography 
Score]])</f>
        <v>565</v>
      </c>
      <c r="AA1582" s="3">
        <f>AVERAGE(Table1[[#This Row],[Math 
Score]],Table1[[#This Row],[History 
Score]],Table1[[#This Row],[Physics 
Score]],Table1[[#This Row],[Chemistry 
Score]],Table1[[#This Row],[Biology 
Score]],Table1[[#This Row],[English 
Score]],Table1[[#This Row],[Geography 
Score]])</f>
        <v>80.714285714285708</v>
      </c>
      <c r="AB158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582">
        <f t="shared" si="24"/>
        <v>1035</v>
      </c>
      <c r="AD1582" t="str">
        <f>_xlfn.IFS(Table1[[#This Row],[Absence 
Days]]&lt;3,"Excellent",Table1[[#This Row],[Absence 
Days]]&lt;=6,"Good",Table1[[#This Row],[Absence 
Days]]&gt;6,"Poor")</f>
        <v>Excellent</v>
      </c>
    </row>
    <row r="1583" spans="1:30" x14ac:dyDescent="0.35">
      <c r="A1583">
        <v>1582</v>
      </c>
      <c r="B1583" s="2" t="s">
        <v>75</v>
      </c>
      <c r="C1583" t="s">
        <v>733</v>
      </c>
      <c r="D1583" t="str">
        <f>_xlfn.TEXTJOIN(" ",TRUE,Table1[[#This Row],[First 
Name]:[Last 
Name]])</f>
        <v>William Ball</v>
      </c>
      <c r="E1583" t="s">
        <v>2693</v>
      </c>
      <c r="F1583" t="s">
        <v>3244</v>
      </c>
      <c r="G1583" t="str">
        <f ca="1">PROPER(Table1[[#This Row],[Part Time 
Job]])</f>
        <v>True</v>
      </c>
      <c r="H1583" s="3">
        <v>6</v>
      </c>
      <c r="I1583" t="str">
        <f ca="1">PROPER(Table1[[#This Row],[Extracurricular 
Activities]])</f>
        <v>False</v>
      </c>
      <c r="J1583">
        <v>2</v>
      </c>
      <c r="K1583" t="s">
        <v>3119</v>
      </c>
      <c r="L1583">
        <v>81</v>
      </c>
      <c r="M1583" s="12" t="str" cm="1">
        <f t="array" ref="M158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583">
        <v>90</v>
      </c>
      <c r="O1583" s="13" t="str" cm="1">
        <f t="array" ref="O158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583">
        <v>75</v>
      </c>
      <c r="Q1583" s="13" t="str" cm="1">
        <f t="array" ref="Q158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583">
        <v>83</v>
      </c>
      <c r="S1583" t="str" cm="1">
        <f t="array" ref="S158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583">
        <v>70</v>
      </c>
      <c r="U1583" t="str" cm="1">
        <f t="array" ref="U158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583">
        <v>55</v>
      </c>
      <c r="W1583" t="str" cm="1">
        <f t="array" ref="W158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C</v>
      </c>
      <c r="X1583">
        <v>62</v>
      </c>
      <c r="Y1583" t="str" cm="1">
        <f t="array" ref="Y158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583">
        <f>SUM(Table1[[#This Row],[Math 
Score]],Table1[[#This Row],[History 
Score]],Table1[[#This Row],[Physics 
Score]],Table1[[#This Row],[Chemistry 
Score]],Table1[[#This Row],[Biology 
Score]],Table1[[#This Row],[English 
Score]],Table1[[#This Row],[Geography 
Score]])</f>
        <v>516</v>
      </c>
      <c r="AA1583" s="3">
        <f>AVERAGE(Table1[[#This Row],[Math 
Score]],Table1[[#This Row],[History 
Score]],Table1[[#This Row],[Physics 
Score]],Table1[[#This Row],[Chemistry 
Score]],Table1[[#This Row],[Biology 
Score]],Table1[[#This Row],[English 
Score]],Table1[[#This Row],[Geography 
Score]])</f>
        <v>73.714285714285708</v>
      </c>
      <c r="AB158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583">
        <f t="shared" si="24"/>
        <v>1792</v>
      </c>
      <c r="AD1583" t="str">
        <f>_xlfn.IFS(Table1[[#This Row],[Absence 
Days]]&lt;3,"Excellent",Table1[[#This Row],[Absence 
Days]]&lt;=6,"Good",Table1[[#This Row],[Absence 
Days]]&gt;6,"Poor")</f>
        <v>Good</v>
      </c>
    </row>
    <row r="1584" spans="1:30" x14ac:dyDescent="0.35">
      <c r="A1584">
        <v>1583</v>
      </c>
      <c r="B1584" s="2" t="s">
        <v>204</v>
      </c>
      <c r="C1584" t="s">
        <v>932</v>
      </c>
      <c r="D1584" t="str">
        <f>_xlfn.TEXTJOIN(" ",TRUE,Table1[[#This Row],[First 
Name]:[Last 
Name]])</f>
        <v>Kristin Gilbert</v>
      </c>
      <c r="E1584" t="s">
        <v>2694</v>
      </c>
      <c r="F1584" t="s">
        <v>3245</v>
      </c>
      <c r="G1584" t="str">
        <f ca="1">PROPER(Table1[[#This Row],[Part Time 
Job]])</f>
        <v>True</v>
      </c>
      <c r="H1584" s="3">
        <v>2</v>
      </c>
      <c r="I1584" t="str">
        <f ca="1">PROPER(Table1[[#This Row],[Extracurricular 
Activities]])</f>
        <v>True</v>
      </c>
      <c r="J1584">
        <v>32</v>
      </c>
      <c r="K1584" t="s">
        <v>3113</v>
      </c>
      <c r="L1584">
        <v>90</v>
      </c>
      <c r="M1584" s="12" t="str" cm="1">
        <f t="array" ref="M158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584">
        <v>99</v>
      </c>
      <c r="O1584" s="13" t="str" cm="1">
        <f t="array" ref="O158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584">
        <v>94</v>
      </c>
      <c r="Q1584" s="13" t="str" cm="1">
        <f t="array" ref="Q158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584">
        <v>91</v>
      </c>
      <c r="S1584" t="str" cm="1">
        <f t="array" ref="S158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584">
        <v>92</v>
      </c>
      <c r="U1584" t="str" cm="1">
        <f t="array" ref="U158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584">
        <v>85</v>
      </c>
      <c r="W1584" t="str" cm="1">
        <f t="array" ref="W158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584">
        <v>64</v>
      </c>
      <c r="Y1584" t="str" cm="1">
        <f t="array" ref="Y158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584">
        <f>SUM(Table1[[#This Row],[Math 
Score]],Table1[[#This Row],[History 
Score]],Table1[[#This Row],[Physics 
Score]],Table1[[#This Row],[Chemistry 
Score]],Table1[[#This Row],[Biology 
Score]],Table1[[#This Row],[English 
Score]],Table1[[#This Row],[Geography 
Score]])</f>
        <v>615</v>
      </c>
      <c r="AA1584" s="3">
        <f>AVERAGE(Table1[[#This Row],[Math 
Score]],Table1[[#This Row],[History 
Score]],Table1[[#This Row],[Physics 
Score]],Table1[[#This Row],[Chemistry 
Score]],Table1[[#This Row],[Biology 
Score]],Table1[[#This Row],[English 
Score]],Table1[[#This Row],[Geography 
Score]])</f>
        <v>87.857142857142861</v>
      </c>
      <c r="AB158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584">
        <f t="shared" si="24"/>
        <v>251</v>
      </c>
      <c r="AD1584" t="str">
        <f>_xlfn.IFS(Table1[[#This Row],[Absence 
Days]]&lt;3,"Excellent",Table1[[#This Row],[Absence 
Days]]&lt;=6,"Good",Table1[[#This Row],[Absence 
Days]]&gt;6,"Poor")</f>
        <v>Excellent</v>
      </c>
    </row>
    <row r="1585" spans="1:30" x14ac:dyDescent="0.35">
      <c r="A1585">
        <v>1584</v>
      </c>
      <c r="B1585" s="2" t="s">
        <v>292</v>
      </c>
      <c r="C1585" t="s">
        <v>551</v>
      </c>
      <c r="D1585" t="str">
        <f>_xlfn.TEXTJOIN(" ",TRUE,Table1[[#This Row],[First 
Name]:[Last 
Name]])</f>
        <v>Aaron Ware</v>
      </c>
      <c r="E1585" t="s">
        <v>2695</v>
      </c>
      <c r="F1585" t="s">
        <v>3244</v>
      </c>
      <c r="G1585" t="str">
        <f ca="1">PROPER(Table1[[#This Row],[Part Time 
Job]])</f>
        <v>False</v>
      </c>
      <c r="H1585" s="3">
        <v>7</v>
      </c>
      <c r="I1585" t="str">
        <f ca="1">PROPER(Table1[[#This Row],[Extracurricular 
Activities]])</f>
        <v>False</v>
      </c>
      <c r="J1585">
        <v>5</v>
      </c>
      <c r="K1585" t="s">
        <v>3126</v>
      </c>
      <c r="L1585">
        <v>88</v>
      </c>
      <c r="M1585" s="12" t="str" cm="1">
        <f t="array" ref="M158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585">
        <v>60</v>
      </c>
      <c r="O1585" s="13" t="str" cm="1">
        <f t="array" ref="O158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585">
        <v>87</v>
      </c>
      <c r="Q1585" s="13" t="str" cm="1">
        <f t="array" ref="Q158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585">
        <v>95</v>
      </c>
      <c r="S1585" t="str" cm="1">
        <f t="array" ref="S158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585">
        <v>65</v>
      </c>
      <c r="U1585" t="str" cm="1">
        <f t="array" ref="U158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585">
        <v>75</v>
      </c>
      <c r="W1585" t="str" cm="1">
        <f t="array" ref="W158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585">
        <v>76</v>
      </c>
      <c r="Y1585" t="str" cm="1">
        <f t="array" ref="Y158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585">
        <f>SUM(Table1[[#This Row],[Math 
Score]],Table1[[#This Row],[History 
Score]],Table1[[#This Row],[Physics 
Score]],Table1[[#This Row],[Chemistry 
Score]],Table1[[#This Row],[Biology 
Score]],Table1[[#This Row],[English 
Score]],Table1[[#This Row],[Geography 
Score]])</f>
        <v>546</v>
      </c>
      <c r="AA1585" s="3">
        <f>AVERAGE(Table1[[#This Row],[Math 
Score]],Table1[[#This Row],[History 
Score]],Table1[[#This Row],[Physics 
Score]],Table1[[#This Row],[Chemistry 
Score]],Table1[[#This Row],[Biology 
Score]],Table1[[#This Row],[English 
Score]],Table1[[#This Row],[Geography 
Score]])</f>
        <v>78</v>
      </c>
      <c r="AB158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585">
        <f t="shared" si="24"/>
        <v>1411</v>
      </c>
      <c r="AD1585" t="str">
        <f>_xlfn.IFS(Table1[[#This Row],[Absence 
Days]]&lt;3,"Excellent",Table1[[#This Row],[Absence 
Days]]&lt;=6,"Good",Table1[[#This Row],[Absence 
Days]]&gt;6,"Poor")</f>
        <v>Poor</v>
      </c>
    </row>
    <row r="1586" spans="1:30" x14ac:dyDescent="0.35">
      <c r="A1586">
        <v>1585</v>
      </c>
      <c r="B1586" s="2" t="s">
        <v>390</v>
      </c>
      <c r="C1586" t="s">
        <v>838</v>
      </c>
      <c r="D1586" t="str">
        <f>_xlfn.TEXTJOIN(" ",TRUE,Table1[[#This Row],[First 
Name]:[Last 
Name]])</f>
        <v>Danny Carlson</v>
      </c>
      <c r="E1586" t="s">
        <v>2696</v>
      </c>
      <c r="F1586" t="s">
        <v>3244</v>
      </c>
      <c r="G1586" t="str">
        <f ca="1">PROPER(Table1[[#This Row],[Part Time 
Job]])</f>
        <v>False</v>
      </c>
      <c r="H1586" s="3">
        <v>5</v>
      </c>
      <c r="I1586" t="str">
        <f ca="1">PROPER(Table1[[#This Row],[Extracurricular 
Activities]])</f>
        <v>True</v>
      </c>
      <c r="J1586">
        <v>23</v>
      </c>
      <c r="K1586" t="s">
        <v>3113</v>
      </c>
      <c r="L1586">
        <v>86</v>
      </c>
      <c r="M1586" s="12" t="str" cm="1">
        <f t="array" ref="M158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586">
        <v>92</v>
      </c>
      <c r="O1586" s="13" t="str" cm="1">
        <f t="array" ref="O158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586">
        <v>84</v>
      </c>
      <c r="Q1586" s="13" t="str" cm="1">
        <f t="array" ref="Q158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586">
        <v>82</v>
      </c>
      <c r="S1586" t="str" cm="1">
        <f t="array" ref="S158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586">
        <v>88</v>
      </c>
      <c r="U1586" t="str" cm="1">
        <f t="array" ref="U158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586">
        <v>84</v>
      </c>
      <c r="W1586" t="str" cm="1">
        <f t="array" ref="W158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586">
        <v>65</v>
      </c>
      <c r="Y1586" t="str" cm="1">
        <f t="array" ref="Y158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586">
        <f>SUM(Table1[[#This Row],[Math 
Score]],Table1[[#This Row],[History 
Score]],Table1[[#This Row],[Physics 
Score]],Table1[[#This Row],[Chemistry 
Score]],Table1[[#This Row],[Biology 
Score]],Table1[[#This Row],[English 
Score]],Table1[[#This Row],[Geography 
Score]])</f>
        <v>581</v>
      </c>
      <c r="AA1586" s="3">
        <f>AVERAGE(Table1[[#This Row],[Math 
Score]],Table1[[#This Row],[History 
Score]],Table1[[#This Row],[Physics 
Score]],Table1[[#This Row],[Chemistry 
Score]],Table1[[#This Row],[Biology 
Score]],Table1[[#This Row],[English 
Score]],Table1[[#This Row],[Geography 
Score]])</f>
        <v>83</v>
      </c>
      <c r="AB158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586">
        <f t="shared" si="24"/>
        <v>688</v>
      </c>
      <c r="AD1586" t="str">
        <f>_xlfn.IFS(Table1[[#This Row],[Absence 
Days]]&lt;3,"Excellent",Table1[[#This Row],[Absence 
Days]]&lt;=6,"Good",Table1[[#This Row],[Absence 
Days]]&gt;6,"Poor")</f>
        <v>Good</v>
      </c>
    </row>
    <row r="1587" spans="1:30" x14ac:dyDescent="0.35">
      <c r="A1587">
        <v>1586</v>
      </c>
      <c r="B1587" s="2" t="s">
        <v>112</v>
      </c>
      <c r="C1587" t="s">
        <v>1046</v>
      </c>
      <c r="D1587" t="str">
        <f>_xlfn.TEXTJOIN(" ",TRUE,Table1[[#This Row],[First 
Name]:[Last 
Name]])</f>
        <v>Julie Adkins</v>
      </c>
      <c r="E1587" t="s">
        <v>2697</v>
      </c>
      <c r="F1587" t="s">
        <v>3245</v>
      </c>
      <c r="G1587" t="str">
        <f ca="1">PROPER(Table1[[#This Row],[Part Time 
Job]])</f>
        <v>False</v>
      </c>
      <c r="H1587" s="3">
        <v>8</v>
      </c>
      <c r="I1587" t="str">
        <f ca="1">PROPER(Table1[[#This Row],[Extracurricular 
Activities]])</f>
        <v>False</v>
      </c>
      <c r="J1587">
        <v>14</v>
      </c>
      <c r="K1587" t="s">
        <v>3121</v>
      </c>
      <c r="L1587">
        <v>78</v>
      </c>
      <c r="M1587" s="12" t="str" cm="1">
        <f t="array" ref="M158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587">
        <v>75</v>
      </c>
      <c r="O1587" s="13" t="str" cm="1">
        <f t="array" ref="O158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587">
        <v>82</v>
      </c>
      <c r="Q1587" s="13" t="str" cm="1">
        <f t="array" ref="Q158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587">
        <v>91</v>
      </c>
      <c r="S1587" t="str" cm="1">
        <f t="array" ref="S158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587">
        <v>86</v>
      </c>
      <c r="U1587" t="str" cm="1">
        <f t="array" ref="U158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587">
        <v>76</v>
      </c>
      <c r="W1587" t="str" cm="1">
        <f t="array" ref="W158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587">
        <v>69</v>
      </c>
      <c r="Y1587" t="str" cm="1">
        <f t="array" ref="Y158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587">
        <f>SUM(Table1[[#This Row],[Math 
Score]],Table1[[#This Row],[History 
Score]],Table1[[#This Row],[Physics 
Score]],Table1[[#This Row],[Chemistry 
Score]],Table1[[#This Row],[Biology 
Score]],Table1[[#This Row],[English 
Score]],Table1[[#This Row],[Geography 
Score]])</f>
        <v>557</v>
      </c>
      <c r="AA1587" s="3">
        <f>AVERAGE(Table1[[#This Row],[Math 
Score]],Table1[[#This Row],[History 
Score]],Table1[[#This Row],[Physics 
Score]],Table1[[#This Row],[Chemistry 
Score]],Table1[[#This Row],[Biology 
Score]],Table1[[#This Row],[English 
Score]],Table1[[#This Row],[Geography 
Score]])</f>
        <v>79.571428571428569</v>
      </c>
      <c r="AB158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587">
        <f t="shared" si="24"/>
        <v>1200</v>
      </c>
      <c r="AD1587" t="str">
        <f>_xlfn.IFS(Table1[[#This Row],[Absence 
Days]]&lt;3,"Excellent",Table1[[#This Row],[Absence 
Days]]&lt;=6,"Good",Table1[[#This Row],[Absence 
Days]]&gt;6,"Poor")</f>
        <v>Poor</v>
      </c>
    </row>
    <row r="1588" spans="1:30" x14ac:dyDescent="0.35">
      <c r="A1588">
        <v>1587</v>
      </c>
      <c r="B1588" s="2" t="s">
        <v>240</v>
      </c>
      <c r="C1588" t="s">
        <v>844</v>
      </c>
      <c r="D1588" t="str">
        <f>_xlfn.TEXTJOIN(" ",TRUE,Table1[[#This Row],[First 
Name]:[Last 
Name]])</f>
        <v>Jerry Aguirre</v>
      </c>
      <c r="E1588" t="s">
        <v>2698</v>
      </c>
      <c r="F1588" t="s">
        <v>3244</v>
      </c>
      <c r="G1588" t="str">
        <f ca="1">PROPER(Table1[[#This Row],[Part Time 
Job]])</f>
        <v>True</v>
      </c>
      <c r="H1588" s="3">
        <v>6</v>
      </c>
      <c r="I1588" t="str">
        <f ca="1">PROPER(Table1[[#This Row],[Extracurricular 
Activities]])</f>
        <v>False</v>
      </c>
      <c r="J1588">
        <v>1</v>
      </c>
      <c r="K1588" t="s">
        <v>3119</v>
      </c>
      <c r="L1588">
        <v>73</v>
      </c>
      <c r="M1588" s="12" t="str" cm="1">
        <f t="array" ref="M1588">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588">
        <v>90</v>
      </c>
      <c r="O1588" s="13" t="str" cm="1">
        <f t="array" ref="O158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588">
        <v>70</v>
      </c>
      <c r="Q1588" s="13" t="str" cm="1">
        <f t="array" ref="Q158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588">
        <v>80</v>
      </c>
      <c r="S1588" t="str" cm="1">
        <f t="array" ref="S158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588">
        <v>64</v>
      </c>
      <c r="U1588" t="str" cm="1">
        <f t="array" ref="U158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588">
        <v>53</v>
      </c>
      <c r="W1588" t="str" cm="1">
        <f t="array" ref="W158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C</v>
      </c>
      <c r="X1588">
        <v>79</v>
      </c>
      <c r="Y1588" t="str" cm="1">
        <f t="array" ref="Y158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588">
        <f>SUM(Table1[[#This Row],[Math 
Score]],Table1[[#This Row],[History 
Score]],Table1[[#This Row],[Physics 
Score]],Table1[[#This Row],[Chemistry 
Score]],Table1[[#This Row],[Biology 
Score]],Table1[[#This Row],[English 
Score]],Table1[[#This Row],[Geography 
Score]])</f>
        <v>509</v>
      </c>
      <c r="AA1588" s="3">
        <f>AVERAGE(Table1[[#This Row],[Math 
Score]],Table1[[#This Row],[History 
Score]],Table1[[#This Row],[Physics 
Score]],Table1[[#This Row],[Chemistry 
Score]],Table1[[#This Row],[Biology 
Score]],Table1[[#This Row],[English 
Score]],Table1[[#This Row],[Geography 
Score]])</f>
        <v>72.714285714285708</v>
      </c>
      <c r="AB158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588">
        <f t="shared" si="24"/>
        <v>1835</v>
      </c>
      <c r="AD1588" t="str">
        <f>_xlfn.IFS(Table1[[#This Row],[Absence 
Days]]&lt;3,"Excellent",Table1[[#This Row],[Absence 
Days]]&lt;=6,"Good",Table1[[#This Row],[Absence 
Days]]&gt;6,"Poor")</f>
        <v>Good</v>
      </c>
    </row>
    <row r="1589" spans="1:30" x14ac:dyDescent="0.35">
      <c r="A1589">
        <v>1588</v>
      </c>
      <c r="B1589" s="2" t="s">
        <v>24</v>
      </c>
      <c r="C1589" t="s">
        <v>80</v>
      </c>
      <c r="D1589" t="str">
        <f>_xlfn.TEXTJOIN(" ",TRUE,Table1[[#This Row],[First 
Name]:[Last 
Name]])</f>
        <v>Jason Thomas</v>
      </c>
      <c r="E1589" t="s">
        <v>2699</v>
      </c>
      <c r="F1589" t="s">
        <v>3244</v>
      </c>
      <c r="G1589" t="str">
        <f ca="1">PROPER(Table1[[#This Row],[Part Time 
Job]])</f>
        <v>False</v>
      </c>
      <c r="H1589" s="3">
        <v>4</v>
      </c>
      <c r="I1589" t="str">
        <f ca="1">PROPER(Table1[[#This Row],[Extracurricular 
Activities]])</f>
        <v>False</v>
      </c>
      <c r="J1589">
        <v>32</v>
      </c>
      <c r="K1589" t="s">
        <v>3120</v>
      </c>
      <c r="L1589">
        <v>98</v>
      </c>
      <c r="M1589" s="12" t="str" cm="1">
        <f t="array" ref="M158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589">
        <v>82</v>
      </c>
      <c r="O1589" s="13" t="str" cm="1">
        <f t="array" ref="O158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589">
        <v>91</v>
      </c>
      <c r="Q1589" s="13" t="str" cm="1">
        <f t="array" ref="Q158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589">
        <v>93</v>
      </c>
      <c r="S1589" t="str" cm="1">
        <f t="array" ref="S158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589">
        <v>85</v>
      </c>
      <c r="U1589" t="str" cm="1">
        <f t="array" ref="U158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589">
        <v>75</v>
      </c>
      <c r="W1589" t="str" cm="1">
        <f t="array" ref="W158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589">
        <v>78</v>
      </c>
      <c r="Y1589" t="str" cm="1">
        <f t="array" ref="Y158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589">
        <f>SUM(Table1[[#This Row],[Math 
Score]],Table1[[#This Row],[History 
Score]],Table1[[#This Row],[Physics 
Score]],Table1[[#This Row],[Chemistry 
Score]],Table1[[#This Row],[Biology 
Score]],Table1[[#This Row],[English 
Score]],Table1[[#This Row],[Geography 
Score]])</f>
        <v>602</v>
      </c>
      <c r="AA1589" s="3">
        <f>AVERAGE(Table1[[#This Row],[Math 
Score]],Table1[[#This Row],[History 
Score]],Table1[[#This Row],[Physics 
Score]],Table1[[#This Row],[Chemistry 
Score]],Table1[[#This Row],[Biology 
Score]],Table1[[#This Row],[English 
Score]],Table1[[#This Row],[Geography 
Score]])</f>
        <v>86</v>
      </c>
      <c r="AB158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589">
        <f t="shared" si="24"/>
        <v>380</v>
      </c>
      <c r="AD1589" t="str">
        <f>_xlfn.IFS(Table1[[#This Row],[Absence 
Days]]&lt;3,"Excellent",Table1[[#This Row],[Absence 
Days]]&lt;=6,"Good",Table1[[#This Row],[Absence 
Days]]&gt;6,"Poor")</f>
        <v>Good</v>
      </c>
    </row>
    <row r="1590" spans="1:30" x14ac:dyDescent="0.35">
      <c r="A1590">
        <v>1589</v>
      </c>
      <c r="B1590" s="2" t="s">
        <v>288</v>
      </c>
      <c r="C1590" t="s">
        <v>972</v>
      </c>
      <c r="D1590" t="str">
        <f>_xlfn.TEXTJOIN(" ",TRUE,Table1[[#This Row],[First 
Name]:[Last 
Name]])</f>
        <v>Zachary Houston</v>
      </c>
      <c r="E1590" t="s">
        <v>2700</v>
      </c>
      <c r="F1590" t="s">
        <v>3244</v>
      </c>
      <c r="G1590" t="str">
        <f ca="1">PROPER(Table1[[#This Row],[Part Time 
Job]])</f>
        <v>False</v>
      </c>
      <c r="H1590" s="3">
        <v>1</v>
      </c>
      <c r="I1590" t="str">
        <f ca="1">PROPER(Table1[[#This Row],[Extracurricular 
Activities]])</f>
        <v>False</v>
      </c>
      <c r="J1590">
        <v>34</v>
      </c>
      <c r="K1590" t="s">
        <v>3120</v>
      </c>
      <c r="L1590">
        <v>81</v>
      </c>
      <c r="M1590" s="12" t="str" cm="1">
        <f t="array" ref="M159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590">
        <v>79</v>
      </c>
      <c r="O1590" s="13" t="str" cm="1">
        <f t="array" ref="O159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590">
        <v>100</v>
      </c>
      <c r="Q1590" s="13" t="str" cm="1">
        <f t="array" ref="Q159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590">
        <v>88</v>
      </c>
      <c r="S1590" t="str" cm="1">
        <f t="array" ref="S159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590">
        <v>81</v>
      </c>
      <c r="U1590" t="str" cm="1">
        <f t="array" ref="U159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590">
        <v>64</v>
      </c>
      <c r="W1590" t="str" cm="1">
        <f t="array" ref="W159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590">
        <v>95</v>
      </c>
      <c r="Y1590" t="str" cm="1">
        <f t="array" ref="Y159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590">
        <f>SUM(Table1[[#This Row],[Math 
Score]],Table1[[#This Row],[History 
Score]],Table1[[#This Row],[Physics 
Score]],Table1[[#This Row],[Chemistry 
Score]],Table1[[#This Row],[Biology 
Score]],Table1[[#This Row],[English 
Score]],Table1[[#This Row],[Geography 
Score]])</f>
        <v>588</v>
      </c>
      <c r="AA1590" s="3">
        <f>AVERAGE(Table1[[#This Row],[Math 
Score]],Table1[[#This Row],[History 
Score]],Table1[[#This Row],[Physics 
Score]],Table1[[#This Row],[Chemistry 
Score]],Table1[[#This Row],[Biology 
Score]],Table1[[#This Row],[English 
Score]],Table1[[#This Row],[Geography 
Score]])</f>
        <v>84</v>
      </c>
      <c r="AB159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590">
        <f t="shared" si="24"/>
        <v>565</v>
      </c>
      <c r="AD1590" t="str">
        <f>_xlfn.IFS(Table1[[#This Row],[Absence 
Days]]&lt;3,"Excellent",Table1[[#This Row],[Absence 
Days]]&lt;=6,"Good",Table1[[#This Row],[Absence 
Days]]&gt;6,"Poor")</f>
        <v>Excellent</v>
      </c>
    </row>
    <row r="1591" spans="1:30" x14ac:dyDescent="0.35">
      <c r="A1591">
        <v>1590</v>
      </c>
      <c r="B1591" s="2" t="s">
        <v>352</v>
      </c>
      <c r="C1591" t="s">
        <v>883</v>
      </c>
      <c r="D1591" t="str">
        <f>_xlfn.TEXTJOIN(" ",TRUE,Table1[[#This Row],[First 
Name]:[Last 
Name]])</f>
        <v>Donna Hoffman</v>
      </c>
      <c r="E1591" t="s">
        <v>2701</v>
      </c>
      <c r="F1591" t="s">
        <v>3245</v>
      </c>
      <c r="G1591" t="str">
        <f ca="1">PROPER(Table1[[#This Row],[Part Time 
Job]])</f>
        <v>False</v>
      </c>
      <c r="H1591" s="3">
        <v>2</v>
      </c>
      <c r="I1591" t="str">
        <f ca="1">PROPER(Table1[[#This Row],[Extracurricular 
Activities]])</f>
        <v>True</v>
      </c>
      <c r="J1591">
        <v>13</v>
      </c>
      <c r="K1591" t="s">
        <v>3116</v>
      </c>
      <c r="L1591">
        <v>73</v>
      </c>
      <c r="M1591" s="12" t="str" cm="1">
        <f t="array" ref="M1591">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591">
        <v>87</v>
      </c>
      <c r="O1591" s="13" t="str" cm="1">
        <f t="array" ref="O159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591">
        <v>72</v>
      </c>
      <c r="Q1591" s="13" t="str" cm="1">
        <f t="array" ref="Q159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591">
        <v>98</v>
      </c>
      <c r="S1591" t="str" cm="1">
        <f t="array" ref="S159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591">
        <v>82</v>
      </c>
      <c r="U1591" t="str" cm="1">
        <f t="array" ref="U159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591">
        <v>89</v>
      </c>
      <c r="W1591" t="str" cm="1">
        <f t="array" ref="W159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591">
        <v>98</v>
      </c>
      <c r="Y1591" t="str" cm="1">
        <f t="array" ref="Y159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591">
        <f>SUM(Table1[[#This Row],[Math 
Score]],Table1[[#This Row],[History 
Score]],Table1[[#This Row],[Physics 
Score]],Table1[[#This Row],[Chemistry 
Score]],Table1[[#This Row],[Biology 
Score]],Table1[[#This Row],[English 
Score]],Table1[[#This Row],[Geography 
Score]])</f>
        <v>599</v>
      </c>
      <c r="AA1591" s="3">
        <f>AVERAGE(Table1[[#This Row],[Math 
Score]],Table1[[#This Row],[History 
Score]],Table1[[#This Row],[Physics 
Score]],Table1[[#This Row],[Chemistry 
Score]],Table1[[#This Row],[Biology 
Score]],Table1[[#This Row],[English 
Score]],Table1[[#This Row],[Geography 
Score]])</f>
        <v>85.571428571428569</v>
      </c>
      <c r="AB159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591">
        <f t="shared" si="24"/>
        <v>426</v>
      </c>
      <c r="AD1591" t="str">
        <f>_xlfn.IFS(Table1[[#This Row],[Absence 
Days]]&lt;3,"Excellent",Table1[[#This Row],[Absence 
Days]]&lt;=6,"Good",Table1[[#This Row],[Absence 
Days]]&gt;6,"Poor")</f>
        <v>Excellent</v>
      </c>
    </row>
    <row r="1592" spans="1:30" x14ac:dyDescent="0.35">
      <c r="A1592">
        <v>1591</v>
      </c>
      <c r="B1592" s="2" t="s">
        <v>219</v>
      </c>
      <c r="C1592" t="s">
        <v>636</v>
      </c>
      <c r="D1592" t="str">
        <f>_xlfn.TEXTJOIN(" ",TRUE,Table1[[#This Row],[First 
Name]:[Last 
Name]])</f>
        <v>Austin Sanders</v>
      </c>
      <c r="E1592" t="s">
        <v>2702</v>
      </c>
      <c r="F1592" t="s">
        <v>3244</v>
      </c>
      <c r="G1592" t="str">
        <f ca="1">PROPER(Table1[[#This Row],[Part Time 
Job]])</f>
        <v>False</v>
      </c>
      <c r="H1592" s="3">
        <v>1</v>
      </c>
      <c r="I1592" t="str">
        <f ca="1">PROPER(Table1[[#This Row],[Extracurricular 
Activities]])</f>
        <v>False</v>
      </c>
      <c r="J1592">
        <v>24</v>
      </c>
      <c r="K1592" t="s">
        <v>3112</v>
      </c>
      <c r="L1592">
        <v>84</v>
      </c>
      <c r="M1592" s="12" t="str" cm="1">
        <f t="array" ref="M159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592">
        <v>95</v>
      </c>
      <c r="O1592" s="13" t="str" cm="1">
        <f t="array" ref="O159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592">
        <v>87</v>
      </c>
      <c r="Q1592" s="13" t="str" cm="1">
        <f t="array" ref="Q159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592">
        <v>100</v>
      </c>
      <c r="S1592" t="str" cm="1">
        <f t="array" ref="S159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592">
        <v>96</v>
      </c>
      <c r="U1592" t="str" cm="1">
        <f t="array" ref="U159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592">
        <v>92</v>
      </c>
      <c r="W1592" t="str" cm="1">
        <f t="array" ref="W159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592">
        <v>76</v>
      </c>
      <c r="Y1592" t="str" cm="1">
        <f t="array" ref="Y159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592">
        <f>SUM(Table1[[#This Row],[Math 
Score]],Table1[[#This Row],[History 
Score]],Table1[[#This Row],[Physics 
Score]],Table1[[#This Row],[Chemistry 
Score]],Table1[[#This Row],[Biology 
Score]],Table1[[#This Row],[English 
Score]],Table1[[#This Row],[Geography 
Score]])</f>
        <v>630</v>
      </c>
      <c r="AA1592" s="3">
        <f>AVERAGE(Table1[[#This Row],[Math 
Score]],Table1[[#This Row],[History 
Score]],Table1[[#This Row],[Physics 
Score]],Table1[[#This Row],[Chemistry 
Score]],Table1[[#This Row],[Biology 
Score]],Table1[[#This Row],[English 
Score]],Table1[[#This Row],[Geography 
Score]])</f>
        <v>90</v>
      </c>
      <c r="AB159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592">
        <f t="shared" si="24"/>
        <v>154</v>
      </c>
      <c r="AD1592" t="str">
        <f>_xlfn.IFS(Table1[[#This Row],[Absence 
Days]]&lt;3,"Excellent",Table1[[#This Row],[Absence 
Days]]&lt;=6,"Good",Table1[[#This Row],[Absence 
Days]]&gt;6,"Poor")</f>
        <v>Excellent</v>
      </c>
    </row>
    <row r="1593" spans="1:30" x14ac:dyDescent="0.35">
      <c r="A1593">
        <v>1592</v>
      </c>
      <c r="B1593" s="2" t="s">
        <v>424</v>
      </c>
      <c r="C1593" t="s">
        <v>1047</v>
      </c>
      <c r="D1593" t="str">
        <f>_xlfn.TEXTJOIN(" ",TRUE,Table1[[#This Row],[First 
Name]:[Last 
Name]])</f>
        <v>Leslie Mercado</v>
      </c>
      <c r="E1593" t="s">
        <v>2703</v>
      </c>
      <c r="F1593" t="s">
        <v>3245</v>
      </c>
      <c r="G1593" t="str">
        <f ca="1">PROPER(Table1[[#This Row],[Part Time 
Job]])</f>
        <v>False</v>
      </c>
      <c r="H1593" s="3">
        <v>5</v>
      </c>
      <c r="I1593" t="str">
        <f ca="1">PROPER(Table1[[#This Row],[Extracurricular 
Activities]])</f>
        <v>False</v>
      </c>
      <c r="J1593">
        <v>32</v>
      </c>
      <c r="K1593" t="s">
        <v>3112</v>
      </c>
      <c r="L1593">
        <v>81</v>
      </c>
      <c r="M1593" s="12" t="str" cm="1">
        <f t="array" ref="M159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593">
        <v>90</v>
      </c>
      <c r="O1593" s="13" t="str" cm="1">
        <f t="array" ref="O159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593">
        <v>82</v>
      </c>
      <c r="Q1593" s="13" t="str" cm="1">
        <f t="array" ref="Q159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593">
        <v>80</v>
      </c>
      <c r="S1593" t="str" cm="1">
        <f t="array" ref="S159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593">
        <v>98</v>
      </c>
      <c r="U1593" t="str" cm="1">
        <f t="array" ref="U159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593">
        <v>81</v>
      </c>
      <c r="W1593" t="str" cm="1">
        <f t="array" ref="W159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593">
        <v>91</v>
      </c>
      <c r="Y1593" t="str" cm="1">
        <f t="array" ref="Y159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593">
        <f>SUM(Table1[[#This Row],[Math 
Score]],Table1[[#This Row],[History 
Score]],Table1[[#This Row],[Physics 
Score]],Table1[[#This Row],[Chemistry 
Score]],Table1[[#This Row],[Biology 
Score]],Table1[[#This Row],[English 
Score]],Table1[[#This Row],[Geography 
Score]])</f>
        <v>603</v>
      </c>
      <c r="AA1593" s="3">
        <f>AVERAGE(Table1[[#This Row],[Math 
Score]],Table1[[#This Row],[History 
Score]],Table1[[#This Row],[Physics 
Score]],Table1[[#This Row],[Chemistry 
Score]],Table1[[#This Row],[Biology 
Score]],Table1[[#This Row],[English 
Score]],Table1[[#This Row],[Geography 
Score]])</f>
        <v>86.142857142857139</v>
      </c>
      <c r="AB159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593">
        <f t="shared" si="24"/>
        <v>370</v>
      </c>
      <c r="AD1593" t="str">
        <f>_xlfn.IFS(Table1[[#This Row],[Absence 
Days]]&lt;3,"Excellent",Table1[[#This Row],[Absence 
Days]]&lt;=6,"Good",Table1[[#This Row],[Absence 
Days]]&gt;6,"Poor")</f>
        <v>Good</v>
      </c>
    </row>
    <row r="1594" spans="1:30" x14ac:dyDescent="0.35">
      <c r="A1594">
        <v>1593</v>
      </c>
      <c r="B1594" s="2" t="s">
        <v>81</v>
      </c>
      <c r="C1594" t="s">
        <v>605</v>
      </c>
      <c r="D1594" t="str">
        <f>_xlfn.TEXTJOIN(" ",TRUE,Table1[[#This Row],[First 
Name]:[Last 
Name]])</f>
        <v>Derrick Tucker</v>
      </c>
      <c r="E1594" t="s">
        <v>2704</v>
      </c>
      <c r="F1594" t="s">
        <v>3244</v>
      </c>
      <c r="G1594" t="str">
        <f ca="1">PROPER(Table1[[#This Row],[Part Time 
Job]])</f>
        <v>False</v>
      </c>
      <c r="H1594" s="3">
        <v>2</v>
      </c>
      <c r="I1594" t="str">
        <f ca="1">PROPER(Table1[[#This Row],[Extracurricular 
Activities]])</f>
        <v>False</v>
      </c>
      <c r="J1594">
        <v>21</v>
      </c>
      <c r="K1594" t="s">
        <v>3121</v>
      </c>
      <c r="L1594">
        <v>100</v>
      </c>
      <c r="M1594" s="12" t="str" cm="1">
        <f t="array" ref="M159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594">
        <v>77</v>
      </c>
      <c r="O1594" s="13" t="str" cm="1">
        <f t="array" ref="O159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594">
        <v>90</v>
      </c>
      <c r="Q1594" s="13" t="str" cm="1">
        <f t="array" ref="Q159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594">
        <v>83</v>
      </c>
      <c r="S1594" t="str" cm="1">
        <f t="array" ref="S159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594">
        <v>88</v>
      </c>
      <c r="U1594" t="str" cm="1">
        <f t="array" ref="U159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594">
        <v>91</v>
      </c>
      <c r="W1594" t="str" cm="1">
        <f t="array" ref="W159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594">
        <v>80</v>
      </c>
      <c r="Y1594" t="str" cm="1">
        <f t="array" ref="Y159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594">
        <f>SUM(Table1[[#This Row],[Math 
Score]],Table1[[#This Row],[History 
Score]],Table1[[#This Row],[Physics 
Score]],Table1[[#This Row],[Chemistry 
Score]],Table1[[#This Row],[Biology 
Score]],Table1[[#This Row],[English 
Score]],Table1[[#This Row],[Geography 
Score]])</f>
        <v>609</v>
      </c>
      <c r="AA1594" s="3">
        <f>AVERAGE(Table1[[#This Row],[Math 
Score]],Table1[[#This Row],[History 
Score]],Table1[[#This Row],[Physics 
Score]],Table1[[#This Row],[Chemistry 
Score]],Table1[[#This Row],[Biology 
Score]],Table1[[#This Row],[English 
Score]],Table1[[#This Row],[Geography 
Score]])</f>
        <v>87</v>
      </c>
      <c r="AB159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594">
        <f t="shared" si="24"/>
        <v>309</v>
      </c>
      <c r="AD1594" t="str">
        <f>_xlfn.IFS(Table1[[#This Row],[Absence 
Days]]&lt;3,"Excellent",Table1[[#This Row],[Absence 
Days]]&lt;=6,"Good",Table1[[#This Row],[Absence 
Days]]&gt;6,"Poor")</f>
        <v>Excellent</v>
      </c>
    </row>
    <row r="1595" spans="1:30" x14ac:dyDescent="0.35">
      <c r="A1595">
        <v>1594</v>
      </c>
      <c r="B1595" s="2" t="s">
        <v>90</v>
      </c>
      <c r="C1595" t="s">
        <v>261</v>
      </c>
      <c r="D1595" t="str">
        <f>_xlfn.TEXTJOIN(" ",TRUE,Table1[[#This Row],[First 
Name]:[Last 
Name]])</f>
        <v>Kelsey Alexander</v>
      </c>
      <c r="E1595" t="s">
        <v>2705</v>
      </c>
      <c r="F1595" t="s">
        <v>3245</v>
      </c>
      <c r="G1595" t="str">
        <f ca="1">PROPER(Table1[[#This Row],[Part Time 
Job]])</f>
        <v>True</v>
      </c>
      <c r="H1595" s="3">
        <v>6</v>
      </c>
      <c r="I1595" t="str">
        <f ca="1">PROPER(Table1[[#This Row],[Extracurricular 
Activities]])</f>
        <v>False</v>
      </c>
      <c r="J1595">
        <v>0</v>
      </c>
      <c r="K1595" t="s">
        <v>3119</v>
      </c>
      <c r="L1595">
        <v>83</v>
      </c>
      <c r="M1595" s="12" t="str" cm="1">
        <f t="array" ref="M159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595">
        <v>50</v>
      </c>
      <c r="O1595" s="13" t="str" cm="1">
        <f t="array" ref="O159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C</v>
      </c>
      <c r="P1595">
        <v>59</v>
      </c>
      <c r="Q1595" s="13" t="str" cm="1">
        <f t="array" ref="Q159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C</v>
      </c>
      <c r="R1595">
        <v>77</v>
      </c>
      <c r="S1595" t="str" cm="1">
        <f t="array" ref="S159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595">
        <v>66</v>
      </c>
      <c r="U1595" t="str" cm="1">
        <f t="array" ref="U159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595">
        <v>87</v>
      </c>
      <c r="W1595" t="str" cm="1">
        <f t="array" ref="W159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595">
        <v>60</v>
      </c>
      <c r="Y1595" t="str" cm="1">
        <f t="array" ref="Y159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595">
        <f>SUM(Table1[[#This Row],[Math 
Score]],Table1[[#This Row],[History 
Score]],Table1[[#This Row],[Physics 
Score]],Table1[[#This Row],[Chemistry 
Score]],Table1[[#This Row],[Biology 
Score]],Table1[[#This Row],[English 
Score]],Table1[[#This Row],[Geography 
Score]])</f>
        <v>482</v>
      </c>
      <c r="AA1595" s="3">
        <f>AVERAGE(Table1[[#This Row],[Math 
Score]],Table1[[#This Row],[History 
Score]],Table1[[#This Row],[Physics 
Score]],Table1[[#This Row],[Chemistry 
Score]],Table1[[#This Row],[Biology 
Score]],Table1[[#This Row],[English 
Score]],Table1[[#This Row],[Geography 
Score]])</f>
        <v>68.857142857142861</v>
      </c>
      <c r="AB159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595">
        <f t="shared" si="24"/>
        <v>1930</v>
      </c>
      <c r="AD1595" t="str">
        <f>_xlfn.IFS(Table1[[#This Row],[Absence 
Days]]&lt;3,"Excellent",Table1[[#This Row],[Absence 
Days]]&lt;=6,"Good",Table1[[#This Row],[Absence 
Days]]&gt;6,"Poor")</f>
        <v>Good</v>
      </c>
    </row>
    <row r="1596" spans="1:30" x14ac:dyDescent="0.35">
      <c r="A1596">
        <v>1595</v>
      </c>
      <c r="B1596" s="2" t="s">
        <v>67</v>
      </c>
      <c r="C1596" t="s">
        <v>458</v>
      </c>
      <c r="D1596" t="str">
        <f>_xlfn.TEXTJOIN(" ",TRUE,Table1[[#This Row],[First 
Name]:[Last 
Name]])</f>
        <v>Rhonda Smith</v>
      </c>
      <c r="E1596" t="s">
        <v>2706</v>
      </c>
      <c r="F1596" t="s">
        <v>3245</v>
      </c>
      <c r="G1596" t="str">
        <f ca="1">PROPER(Table1[[#This Row],[Part Time 
Job]])</f>
        <v>False</v>
      </c>
      <c r="H1596" s="3">
        <v>6</v>
      </c>
      <c r="I1596" t="str">
        <f ca="1">PROPER(Table1[[#This Row],[Extracurricular 
Activities]])</f>
        <v>False</v>
      </c>
      <c r="J1596">
        <v>34</v>
      </c>
      <c r="K1596" t="s">
        <v>3123</v>
      </c>
      <c r="L1596">
        <v>87</v>
      </c>
      <c r="M1596" s="12" t="str" cm="1">
        <f t="array" ref="M159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596">
        <v>75</v>
      </c>
      <c r="O1596" s="13" t="str" cm="1">
        <f t="array" ref="O159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596">
        <v>90</v>
      </c>
      <c r="Q1596" s="13" t="str" cm="1">
        <f t="array" ref="Q159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596">
        <v>82</v>
      </c>
      <c r="S1596" t="str" cm="1">
        <f t="array" ref="S159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596">
        <v>99</v>
      </c>
      <c r="U1596" t="str" cm="1">
        <f t="array" ref="U159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596">
        <v>66</v>
      </c>
      <c r="W1596" t="str" cm="1">
        <f t="array" ref="W159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596">
        <v>92</v>
      </c>
      <c r="Y1596" t="str" cm="1">
        <f t="array" ref="Y159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596">
        <f>SUM(Table1[[#This Row],[Math 
Score]],Table1[[#This Row],[History 
Score]],Table1[[#This Row],[Physics 
Score]],Table1[[#This Row],[Chemistry 
Score]],Table1[[#This Row],[Biology 
Score]],Table1[[#This Row],[English 
Score]],Table1[[#This Row],[Geography 
Score]])</f>
        <v>591</v>
      </c>
      <c r="AA1596" s="3">
        <f>AVERAGE(Table1[[#This Row],[Math 
Score]],Table1[[#This Row],[History 
Score]],Table1[[#This Row],[Physics 
Score]],Table1[[#This Row],[Chemistry 
Score]],Table1[[#This Row],[Biology 
Score]],Table1[[#This Row],[English 
Score]],Table1[[#This Row],[Geography 
Score]])</f>
        <v>84.428571428571431</v>
      </c>
      <c r="AB159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596">
        <f t="shared" si="24"/>
        <v>515</v>
      </c>
      <c r="AD1596" t="str">
        <f>_xlfn.IFS(Table1[[#This Row],[Absence 
Days]]&lt;3,"Excellent",Table1[[#This Row],[Absence 
Days]]&lt;=6,"Good",Table1[[#This Row],[Absence 
Days]]&gt;6,"Poor")</f>
        <v>Good</v>
      </c>
    </row>
    <row r="1597" spans="1:30" x14ac:dyDescent="0.35">
      <c r="A1597">
        <v>1596</v>
      </c>
      <c r="B1597" s="2" t="s">
        <v>286</v>
      </c>
      <c r="C1597" t="s">
        <v>1048</v>
      </c>
      <c r="D1597" t="str">
        <f>_xlfn.TEXTJOIN(" ",TRUE,Table1[[#This Row],[First 
Name]:[Last 
Name]])</f>
        <v>Isaac Santos</v>
      </c>
      <c r="E1597" t="s">
        <v>2707</v>
      </c>
      <c r="F1597" t="s">
        <v>3244</v>
      </c>
      <c r="G1597" t="str">
        <f ca="1">PROPER(Table1[[#This Row],[Part Time 
Job]])</f>
        <v>False</v>
      </c>
      <c r="H1597" s="3">
        <v>2</v>
      </c>
      <c r="I1597" t="str">
        <f ca="1">PROPER(Table1[[#This Row],[Extracurricular 
Activities]])</f>
        <v>False</v>
      </c>
      <c r="J1597">
        <v>14</v>
      </c>
      <c r="K1597" t="s">
        <v>3124</v>
      </c>
      <c r="L1597">
        <v>96</v>
      </c>
      <c r="M1597" s="12" t="str" cm="1">
        <f t="array" ref="M159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597">
        <v>94</v>
      </c>
      <c r="O1597" s="13" t="str" cm="1">
        <f t="array" ref="O159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597">
        <v>60</v>
      </c>
      <c r="Q1597" s="13" t="str" cm="1">
        <f t="array" ref="Q159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597">
        <v>62</v>
      </c>
      <c r="S1597" t="str" cm="1">
        <f t="array" ref="S159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597">
        <v>86</v>
      </c>
      <c r="U1597" t="str" cm="1">
        <f t="array" ref="U159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597">
        <v>79</v>
      </c>
      <c r="W1597" t="str" cm="1">
        <f t="array" ref="W159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597">
        <v>79</v>
      </c>
      <c r="Y1597" t="str" cm="1">
        <f t="array" ref="Y159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597">
        <f>SUM(Table1[[#This Row],[Math 
Score]],Table1[[#This Row],[History 
Score]],Table1[[#This Row],[Physics 
Score]],Table1[[#This Row],[Chemistry 
Score]],Table1[[#This Row],[Biology 
Score]],Table1[[#This Row],[English 
Score]],Table1[[#This Row],[Geography 
Score]])</f>
        <v>556</v>
      </c>
      <c r="AA1597" s="3">
        <f>AVERAGE(Table1[[#This Row],[Math 
Score]],Table1[[#This Row],[History 
Score]],Table1[[#This Row],[Physics 
Score]],Table1[[#This Row],[Chemistry 
Score]],Table1[[#This Row],[Biology 
Score]],Table1[[#This Row],[English 
Score]],Table1[[#This Row],[Geography 
Score]])</f>
        <v>79.428571428571431</v>
      </c>
      <c r="AB159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597">
        <f t="shared" si="24"/>
        <v>1224</v>
      </c>
      <c r="AD1597" t="str">
        <f>_xlfn.IFS(Table1[[#This Row],[Absence 
Days]]&lt;3,"Excellent",Table1[[#This Row],[Absence 
Days]]&lt;=6,"Good",Table1[[#This Row],[Absence 
Days]]&gt;6,"Poor")</f>
        <v>Excellent</v>
      </c>
    </row>
    <row r="1598" spans="1:30" x14ac:dyDescent="0.35">
      <c r="A1598">
        <v>1597</v>
      </c>
      <c r="B1598" s="2" t="s">
        <v>40</v>
      </c>
      <c r="C1598" t="s">
        <v>1049</v>
      </c>
      <c r="D1598" t="str">
        <f>_xlfn.TEXTJOIN(" ",TRUE,Table1[[#This Row],[First 
Name]:[Last 
Name]])</f>
        <v>David Sloan</v>
      </c>
      <c r="E1598" t="s">
        <v>2708</v>
      </c>
      <c r="F1598" t="s">
        <v>3244</v>
      </c>
      <c r="G1598" t="str">
        <f ca="1">PROPER(Table1[[#This Row],[Part Time 
Job]])</f>
        <v>False</v>
      </c>
      <c r="H1598" s="3">
        <v>3</v>
      </c>
      <c r="I1598" t="str">
        <f ca="1">PROPER(Table1[[#This Row],[Extracurricular 
Activities]])</f>
        <v>False</v>
      </c>
      <c r="J1598">
        <v>25</v>
      </c>
      <c r="K1598" t="s">
        <v>3117</v>
      </c>
      <c r="L1598">
        <v>98</v>
      </c>
      <c r="M1598" s="12" t="str" cm="1">
        <f t="array" ref="M159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598">
        <v>76</v>
      </c>
      <c r="O1598" s="13" t="str" cm="1">
        <f t="array" ref="O159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598">
        <v>69</v>
      </c>
      <c r="Q1598" s="13" t="str" cm="1">
        <f t="array" ref="Q159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598">
        <v>75</v>
      </c>
      <c r="S1598" t="str" cm="1">
        <f t="array" ref="S159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598">
        <v>76</v>
      </c>
      <c r="U1598" t="str" cm="1">
        <f t="array" ref="U159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598">
        <v>98</v>
      </c>
      <c r="W1598" t="str" cm="1">
        <f t="array" ref="W159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598">
        <v>81</v>
      </c>
      <c r="Y1598" t="str" cm="1">
        <f t="array" ref="Y159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598">
        <f>SUM(Table1[[#This Row],[Math 
Score]],Table1[[#This Row],[History 
Score]],Table1[[#This Row],[Physics 
Score]],Table1[[#This Row],[Chemistry 
Score]],Table1[[#This Row],[Biology 
Score]],Table1[[#This Row],[English 
Score]],Table1[[#This Row],[Geography 
Score]])</f>
        <v>573</v>
      </c>
      <c r="AA1598" s="3">
        <f>AVERAGE(Table1[[#This Row],[Math 
Score]],Table1[[#This Row],[History 
Score]],Table1[[#This Row],[Physics 
Score]],Table1[[#This Row],[Chemistry 
Score]],Table1[[#This Row],[Biology 
Score]],Table1[[#This Row],[English 
Score]],Table1[[#This Row],[Geography 
Score]])</f>
        <v>81.857142857142861</v>
      </c>
      <c r="AB159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598">
        <f t="shared" si="24"/>
        <v>864</v>
      </c>
      <c r="AD1598" t="str">
        <f>_xlfn.IFS(Table1[[#This Row],[Absence 
Days]]&lt;3,"Excellent",Table1[[#This Row],[Absence 
Days]]&lt;=6,"Good",Table1[[#This Row],[Absence 
Days]]&gt;6,"Poor")</f>
        <v>Good</v>
      </c>
    </row>
    <row r="1599" spans="1:30" x14ac:dyDescent="0.35">
      <c r="A1599">
        <v>1598</v>
      </c>
      <c r="B1599" s="2" t="s">
        <v>99</v>
      </c>
      <c r="C1599" t="s">
        <v>578</v>
      </c>
      <c r="D1599" t="str">
        <f>_xlfn.TEXTJOIN(" ",TRUE,Table1[[#This Row],[First 
Name]:[Last 
Name]])</f>
        <v>Amanda Peterson</v>
      </c>
      <c r="E1599" t="s">
        <v>2709</v>
      </c>
      <c r="F1599" t="s">
        <v>3245</v>
      </c>
      <c r="G1599" t="str">
        <f ca="1">PROPER(Table1[[#This Row],[Part Time 
Job]])</f>
        <v>False</v>
      </c>
      <c r="H1599" s="3">
        <v>3</v>
      </c>
      <c r="I1599" t="str">
        <f ca="1">PROPER(Table1[[#This Row],[Extracurricular 
Activities]])</f>
        <v>False</v>
      </c>
      <c r="J1599">
        <v>5</v>
      </c>
      <c r="K1599" t="s">
        <v>3126</v>
      </c>
      <c r="L1599">
        <v>83</v>
      </c>
      <c r="M1599" s="12" t="str" cm="1">
        <f t="array" ref="M159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599">
        <v>66</v>
      </c>
      <c r="O1599" s="13" t="str" cm="1">
        <f t="array" ref="O159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599">
        <v>97</v>
      </c>
      <c r="Q1599" s="13" t="str" cm="1">
        <f t="array" ref="Q159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599">
        <v>95</v>
      </c>
      <c r="S1599" t="str" cm="1">
        <f t="array" ref="S159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599">
        <v>91</v>
      </c>
      <c r="U1599" t="str" cm="1">
        <f t="array" ref="U159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599">
        <v>76</v>
      </c>
      <c r="W1599" t="str" cm="1">
        <f t="array" ref="W159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599">
        <v>80</v>
      </c>
      <c r="Y1599" t="str" cm="1">
        <f t="array" ref="Y159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599">
        <f>SUM(Table1[[#This Row],[Math 
Score]],Table1[[#This Row],[History 
Score]],Table1[[#This Row],[Physics 
Score]],Table1[[#This Row],[Chemistry 
Score]],Table1[[#This Row],[Biology 
Score]],Table1[[#This Row],[English 
Score]],Table1[[#This Row],[Geography 
Score]])</f>
        <v>588</v>
      </c>
      <c r="AA1599" s="3">
        <f>AVERAGE(Table1[[#This Row],[Math 
Score]],Table1[[#This Row],[History 
Score]],Table1[[#This Row],[Physics 
Score]],Table1[[#This Row],[Chemistry 
Score]],Table1[[#This Row],[Biology 
Score]],Table1[[#This Row],[English 
Score]],Table1[[#This Row],[Geography 
Score]])</f>
        <v>84</v>
      </c>
      <c r="AB159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599">
        <f t="shared" si="24"/>
        <v>565</v>
      </c>
      <c r="AD1599" t="str">
        <f>_xlfn.IFS(Table1[[#This Row],[Absence 
Days]]&lt;3,"Excellent",Table1[[#This Row],[Absence 
Days]]&lt;=6,"Good",Table1[[#This Row],[Absence 
Days]]&gt;6,"Poor")</f>
        <v>Good</v>
      </c>
    </row>
    <row r="1600" spans="1:30" x14ac:dyDescent="0.35">
      <c r="A1600">
        <v>1599</v>
      </c>
      <c r="B1600" s="2" t="s">
        <v>29</v>
      </c>
      <c r="C1600" t="s">
        <v>835</v>
      </c>
      <c r="D1600" t="str">
        <f>_xlfn.TEXTJOIN(" ",TRUE,Table1[[#This Row],[First 
Name]:[Last 
Name]])</f>
        <v>Cynthia Weeks</v>
      </c>
      <c r="E1600" t="s">
        <v>2710</v>
      </c>
      <c r="F1600" t="s">
        <v>3245</v>
      </c>
      <c r="G1600" t="str">
        <f ca="1">PROPER(Table1[[#This Row],[Part Time 
Job]])</f>
        <v>True</v>
      </c>
      <c r="H1600" s="3">
        <v>10</v>
      </c>
      <c r="I1600" t="str">
        <f ca="1">PROPER(Table1[[#This Row],[Extracurricular 
Activities]])</f>
        <v>False</v>
      </c>
      <c r="J1600">
        <v>3</v>
      </c>
      <c r="K1600" t="s">
        <v>3119</v>
      </c>
      <c r="L1600">
        <v>86</v>
      </c>
      <c r="M1600" s="12" t="str" cm="1">
        <f t="array" ref="M160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600">
        <v>59</v>
      </c>
      <c r="O1600" s="13" t="str" cm="1">
        <f t="array" ref="O160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C</v>
      </c>
      <c r="P1600">
        <v>83</v>
      </c>
      <c r="Q1600" s="13" t="str" cm="1">
        <f t="array" ref="Q160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600">
        <v>81</v>
      </c>
      <c r="S1600" t="str" cm="1">
        <f t="array" ref="S160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600">
        <v>100</v>
      </c>
      <c r="U1600" t="str" cm="1">
        <f t="array" ref="U160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600">
        <v>82</v>
      </c>
      <c r="W1600" t="str" cm="1">
        <f t="array" ref="W160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600">
        <v>99</v>
      </c>
      <c r="Y1600" t="str" cm="1">
        <f t="array" ref="Y160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600">
        <f>SUM(Table1[[#This Row],[Math 
Score]],Table1[[#This Row],[History 
Score]],Table1[[#This Row],[Physics 
Score]],Table1[[#This Row],[Chemistry 
Score]],Table1[[#This Row],[Biology 
Score]],Table1[[#This Row],[English 
Score]],Table1[[#This Row],[Geography 
Score]])</f>
        <v>590</v>
      </c>
      <c r="AA1600" s="3">
        <f>AVERAGE(Table1[[#This Row],[Math 
Score]],Table1[[#This Row],[History 
Score]],Table1[[#This Row],[Physics 
Score]],Table1[[#This Row],[Chemistry 
Score]],Table1[[#This Row],[Biology 
Score]],Table1[[#This Row],[English 
Score]],Table1[[#This Row],[Geography 
Score]])</f>
        <v>84.285714285714292</v>
      </c>
      <c r="AB160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600">
        <f t="shared" si="24"/>
        <v>531</v>
      </c>
      <c r="AD1600" t="str">
        <f>_xlfn.IFS(Table1[[#This Row],[Absence 
Days]]&lt;3,"Excellent",Table1[[#This Row],[Absence 
Days]]&lt;=6,"Good",Table1[[#This Row],[Absence 
Days]]&gt;6,"Poor")</f>
        <v>Poor</v>
      </c>
    </row>
    <row r="1601" spans="1:30" x14ac:dyDescent="0.35">
      <c r="A1601">
        <v>1600</v>
      </c>
      <c r="B1601" s="2" t="s">
        <v>282</v>
      </c>
      <c r="C1601" t="s">
        <v>544</v>
      </c>
      <c r="D1601" t="str">
        <f>_xlfn.TEXTJOIN(" ",TRUE,Table1[[#This Row],[First 
Name]:[Last 
Name]])</f>
        <v>Katherine Turner</v>
      </c>
      <c r="E1601" t="s">
        <v>2711</v>
      </c>
      <c r="F1601" t="s">
        <v>3245</v>
      </c>
      <c r="G1601" t="str">
        <f ca="1">PROPER(Table1[[#This Row],[Part Time 
Job]])</f>
        <v>False</v>
      </c>
      <c r="H1601" s="3">
        <v>7</v>
      </c>
      <c r="I1601" t="str">
        <f ca="1">PROPER(Table1[[#This Row],[Extracurricular 
Activities]])</f>
        <v>False</v>
      </c>
      <c r="J1601">
        <v>20</v>
      </c>
      <c r="K1601" t="s">
        <v>3124</v>
      </c>
      <c r="L1601">
        <v>82</v>
      </c>
      <c r="M1601" s="12" t="str" cm="1">
        <f t="array" ref="M160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601">
        <v>67</v>
      </c>
      <c r="O1601" s="13" t="str" cm="1">
        <f t="array" ref="O160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601">
        <v>88</v>
      </c>
      <c r="Q1601" s="13" t="str" cm="1">
        <f t="array" ref="Q160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601">
        <v>62</v>
      </c>
      <c r="S1601" t="str" cm="1">
        <f t="array" ref="S160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601">
        <v>73</v>
      </c>
      <c r="U1601" t="str" cm="1">
        <f t="array" ref="U160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601">
        <v>64</v>
      </c>
      <c r="W1601" t="str" cm="1">
        <f t="array" ref="W160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601">
        <v>79</v>
      </c>
      <c r="Y1601" t="str" cm="1">
        <f t="array" ref="Y160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601">
        <f>SUM(Table1[[#This Row],[Math 
Score]],Table1[[#This Row],[History 
Score]],Table1[[#This Row],[Physics 
Score]],Table1[[#This Row],[Chemistry 
Score]],Table1[[#This Row],[Biology 
Score]],Table1[[#This Row],[English 
Score]],Table1[[#This Row],[Geography 
Score]])</f>
        <v>515</v>
      </c>
      <c r="AA1601" s="3">
        <f>AVERAGE(Table1[[#This Row],[Math 
Score]],Table1[[#This Row],[History 
Score]],Table1[[#This Row],[Physics 
Score]],Table1[[#This Row],[Chemistry 
Score]],Table1[[#This Row],[Biology 
Score]],Table1[[#This Row],[English 
Score]],Table1[[#This Row],[Geography 
Score]])</f>
        <v>73.571428571428569</v>
      </c>
      <c r="AB160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601">
        <f t="shared" si="24"/>
        <v>1798</v>
      </c>
      <c r="AD1601" t="str">
        <f>_xlfn.IFS(Table1[[#This Row],[Absence 
Days]]&lt;3,"Excellent",Table1[[#This Row],[Absence 
Days]]&lt;=6,"Good",Table1[[#This Row],[Absence 
Days]]&gt;6,"Poor")</f>
        <v>Poor</v>
      </c>
    </row>
    <row r="1602" spans="1:30" x14ac:dyDescent="0.35">
      <c r="A1602">
        <v>1601</v>
      </c>
      <c r="B1602" s="2" t="s">
        <v>149</v>
      </c>
      <c r="C1602" t="s">
        <v>735</v>
      </c>
      <c r="D1602" t="str">
        <f>_xlfn.TEXTJOIN(" ",TRUE,Table1[[#This Row],[First 
Name]:[Last 
Name]])</f>
        <v>Joseph Patterson</v>
      </c>
      <c r="E1602" t="s">
        <v>2712</v>
      </c>
      <c r="F1602" t="s">
        <v>3244</v>
      </c>
      <c r="G1602" t="str">
        <f ca="1">PROPER(Table1[[#This Row],[Part Time 
Job]])</f>
        <v>False</v>
      </c>
      <c r="H1602" s="3">
        <v>1</v>
      </c>
      <c r="I1602" t="str">
        <f ca="1">PROPER(Table1[[#This Row],[Extracurricular 
Activities]])</f>
        <v>True</v>
      </c>
      <c r="J1602">
        <v>26</v>
      </c>
      <c r="K1602" t="s">
        <v>3124</v>
      </c>
      <c r="L1602">
        <v>82</v>
      </c>
      <c r="M1602" s="12" t="str" cm="1">
        <f t="array" ref="M160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602">
        <v>98</v>
      </c>
      <c r="O1602" s="13" t="str" cm="1">
        <f t="array" ref="O160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602">
        <v>78</v>
      </c>
      <c r="Q1602" s="13" t="str" cm="1">
        <f t="array" ref="Q160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602">
        <v>63</v>
      </c>
      <c r="S1602" t="str" cm="1">
        <f t="array" ref="S160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602">
        <v>83</v>
      </c>
      <c r="U1602" t="str" cm="1">
        <f t="array" ref="U160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602">
        <v>91</v>
      </c>
      <c r="W1602" t="str" cm="1">
        <f t="array" ref="W160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602">
        <v>94</v>
      </c>
      <c r="Y1602" t="str" cm="1">
        <f t="array" ref="Y160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602">
        <f>SUM(Table1[[#This Row],[Math 
Score]],Table1[[#This Row],[History 
Score]],Table1[[#This Row],[Physics 
Score]],Table1[[#This Row],[Chemistry 
Score]],Table1[[#This Row],[Biology 
Score]],Table1[[#This Row],[English 
Score]],Table1[[#This Row],[Geography 
Score]])</f>
        <v>589</v>
      </c>
      <c r="AA1602" s="3">
        <f>AVERAGE(Table1[[#This Row],[Math 
Score]],Table1[[#This Row],[History 
Score]],Table1[[#This Row],[Physics 
Score]],Table1[[#This Row],[Chemistry 
Score]],Table1[[#This Row],[Biology 
Score]],Table1[[#This Row],[English 
Score]],Table1[[#This Row],[Geography 
Score]])</f>
        <v>84.142857142857139</v>
      </c>
      <c r="AB160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602">
        <f t="shared" ref="AC1602:AC1665" si="25">RANK(AA1602,$AA$2:$AA$2001,0)</f>
        <v>548</v>
      </c>
      <c r="AD1602" t="str">
        <f>_xlfn.IFS(Table1[[#This Row],[Absence 
Days]]&lt;3,"Excellent",Table1[[#This Row],[Absence 
Days]]&lt;=6,"Good",Table1[[#This Row],[Absence 
Days]]&gt;6,"Poor")</f>
        <v>Excellent</v>
      </c>
    </row>
    <row r="1603" spans="1:30" x14ac:dyDescent="0.35">
      <c r="A1603">
        <v>1602</v>
      </c>
      <c r="B1603" s="2" t="s">
        <v>63</v>
      </c>
      <c r="C1603" t="s">
        <v>492</v>
      </c>
      <c r="D1603" t="str">
        <f>_xlfn.TEXTJOIN(" ",TRUE,Table1[[#This Row],[First 
Name]:[Last 
Name]])</f>
        <v>Jill Davis</v>
      </c>
      <c r="E1603" t="s">
        <v>2713</v>
      </c>
      <c r="F1603" t="s">
        <v>3245</v>
      </c>
      <c r="G1603" t="str">
        <f ca="1">PROPER(Table1[[#This Row],[Part Time 
Job]])</f>
        <v>False</v>
      </c>
      <c r="H1603" s="3">
        <v>9</v>
      </c>
      <c r="I1603" t="str">
        <f ca="1">PROPER(Table1[[#This Row],[Extracurricular 
Activities]])</f>
        <v>False</v>
      </c>
      <c r="J1603">
        <v>2</v>
      </c>
      <c r="K1603" t="s">
        <v>3119</v>
      </c>
      <c r="L1603">
        <v>100</v>
      </c>
      <c r="M1603" s="12" t="str" cm="1">
        <f t="array" ref="M160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603">
        <v>71</v>
      </c>
      <c r="O1603" s="13" t="str" cm="1">
        <f t="array" ref="O160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603">
        <v>70</v>
      </c>
      <c r="Q1603" s="13" t="str" cm="1">
        <f t="array" ref="Q160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603">
        <v>86</v>
      </c>
      <c r="S1603" t="str" cm="1">
        <f t="array" ref="S160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603">
        <v>80</v>
      </c>
      <c r="U1603" t="str" cm="1">
        <f t="array" ref="U160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603">
        <v>91</v>
      </c>
      <c r="W1603" t="str" cm="1">
        <f t="array" ref="W160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603">
        <v>62</v>
      </c>
      <c r="Y1603" t="str" cm="1">
        <f t="array" ref="Y160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603">
        <f>SUM(Table1[[#This Row],[Math 
Score]],Table1[[#This Row],[History 
Score]],Table1[[#This Row],[Physics 
Score]],Table1[[#This Row],[Chemistry 
Score]],Table1[[#This Row],[Biology 
Score]],Table1[[#This Row],[English 
Score]],Table1[[#This Row],[Geography 
Score]])</f>
        <v>560</v>
      </c>
      <c r="AA1603" s="3">
        <f>AVERAGE(Table1[[#This Row],[Math 
Score]],Table1[[#This Row],[History 
Score]],Table1[[#This Row],[Physics 
Score]],Table1[[#This Row],[Chemistry 
Score]],Table1[[#This Row],[Biology 
Score]],Table1[[#This Row],[English 
Score]],Table1[[#This Row],[Geography 
Score]])</f>
        <v>80</v>
      </c>
      <c r="AB160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603">
        <f t="shared" si="25"/>
        <v>1134</v>
      </c>
      <c r="AD1603" t="str">
        <f>_xlfn.IFS(Table1[[#This Row],[Absence 
Days]]&lt;3,"Excellent",Table1[[#This Row],[Absence 
Days]]&lt;=6,"Good",Table1[[#This Row],[Absence 
Days]]&gt;6,"Poor")</f>
        <v>Poor</v>
      </c>
    </row>
    <row r="1604" spans="1:30" x14ac:dyDescent="0.35">
      <c r="A1604">
        <v>1603</v>
      </c>
      <c r="B1604" s="2" t="s">
        <v>119</v>
      </c>
      <c r="C1604" t="s">
        <v>569</v>
      </c>
      <c r="D1604" t="str">
        <f>_xlfn.TEXTJOIN(" ",TRUE,Table1[[#This Row],[First 
Name]:[Last 
Name]])</f>
        <v>Amy Moore</v>
      </c>
      <c r="E1604" t="s">
        <v>2714</v>
      </c>
      <c r="F1604" t="s">
        <v>3245</v>
      </c>
      <c r="G1604" t="str">
        <f ca="1">PROPER(Table1[[#This Row],[Part Time 
Job]])</f>
        <v>False</v>
      </c>
      <c r="H1604" s="3">
        <v>3</v>
      </c>
      <c r="I1604" t="str">
        <f ca="1">PROPER(Table1[[#This Row],[Extracurricular 
Activities]])</f>
        <v>True</v>
      </c>
      <c r="J1604">
        <v>1</v>
      </c>
      <c r="K1604" t="s">
        <v>3128</v>
      </c>
      <c r="L1604">
        <v>100</v>
      </c>
      <c r="M1604" s="12" t="str" cm="1">
        <f t="array" ref="M160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604">
        <v>80</v>
      </c>
      <c r="O1604" s="13" t="str" cm="1">
        <f t="array" ref="O160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604">
        <v>88</v>
      </c>
      <c r="Q1604" s="13" t="str" cm="1">
        <f t="array" ref="Q160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604">
        <v>81</v>
      </c>
      <c r="S1604" t="str" cm="1">
        <f t="array" ref="S160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604">
        <v>93</v>
      </c>
      <c r="U1604" t="str" cm="1">
        <f t="array" ref="U160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604">
        <v>93</v>
      </c>
      <c r="W1604" t="str" cm="1">
        <f t="array" ref="W160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604">
        <v>84</v>
      </c>
      <c r="Y1604" t="str" cm="1">
        <f t="array" ref="Y160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604">
        <f>SUM(Table1[[#This Row],[Math 
Score]],Table1[[#This Row],[History 
Score]],Table1[[#This Row],[Physics 
Score]],Table1[[#This Row],[Chemistry 
Score]],Table1[[#This Row],[Biology 
Score]],Table1[[#This Row],[English 
Score]],Table1[[#This Row],[Geography 
Score]])</f>
        <v>619</v>
      </c>
      <c r="AA1604" s="3">
        <f>AVERAGE(Table1[[#This Row],[Math 
Score]],Table1[[#This Row],[History 
Score]],Table1[[#This Row],[Physics 
Score]],Table1[[#This Row],[Chemistry 
Score]],Table1[[#This Row],[Biology 
Score]],Table1[[#This Row],[English 
Score]],Table1[[#This Row],[Geography 
Score]])</f>
        <v>88.428571428571431</v>
      </c>
      <c r="AB160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604">
        <f t="shared" si="25"/>
        <v>221</v>
      </c>
      <c r="AD1604" t="str">
        <f>_xlfn.IFS(Table1[[#This Row],[Absence 
Days]]&lt;3,"Excellent",Table1[[#This Row],[Absence 
Days]]&lt;=6,"Good",Table1[[#This Row],[Absence 
Days]]&gt;6,"Poor")</f>
        <v>Good</v>
      </c>
    </row>
    <row r="1605" spans="1:30" x14ac:dyDescent="0.35">
      <c r="A1605">
        <v>1604</v>
      </c>
      <c r="B1605" s="2" t="s">
        <v>58</v>
      </c>
      <c r="C1605" t="s">
        <v>912</v>
      </c>
      <c r="D1605" t="str">
        <f>_xlfn.TEXTJOIN(" ",TRUE,Table1[[#This Row],[First 
Name]:[Last 
Name]])</f>
        <v>Eric Matthews</v>
      </c>
      <c r="E1605" t="s">
        <v>2715</v>
      </c>
      <c r="F1605" t="s">
        <v>3244</v>
      </c>
      <c r="G1605" t="str">
        <f ca="1">PROPER(Table1[[#This Row],[Part Time 
Job]])</f>
        <v>False</v>
      </c>
      <c r="H1605" s="3">
        <v>10</v>
      </c>
      <c r="I1605" t="str">
        <f ca="1">PROPER(Table1[[#This Row],[Extracurricular 
Activities]])</f>
        <v>False</v>
      </c>
      <c r="J1605">
        <v>1</v>
      </c>
      <c r="K1605" t="s">
        <v>3119</v>
      </c>
      <c r="L1605">
        <v>83</v>
      </c>
      <c r="M1605" s="12" t="str" cm="1">
        <f t="array" ref="M160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605">
        <v>93</v>
      </c>
      <c r="O1605" s="13" t="str" cm="1">
        <f t="array" ref="O160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605">
        <v>75</v>
      </c>
      <c r="Q1605" s="13" t="str" cm="1">
        <f t="array" ref="Q160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605">
        <v>55</v>
      </c>
      <c r="S1605" t="str" cm="1">
        <f t="array" ref="S160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C</v>
      </c>
      <c r="T1605">
        <v>82</v>
      </c>
      <c r="U1605" t="str" cm="1">
        <f t="array" ref="U160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605">
        <v>51</v>
      </c>
      <c r="W1605" t="str" cm="1">
        <f t="array" ref="W160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C</v>
      </c>
      <c r="X1605">
        <v>91</v>
      </c>
      <c r="Y1605" t="str" cm="1">
        <f t="array" ref="Y160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605">
        <f>SUM(Table1[[#This Row],[Math 
Score]],Table1[[#This Row],[History 
Score]],Table1[[#This Row],[Physics 
Score]],Table1[[#This Row],[Chemistry 
Score]],Table1[[#This Row],[Biology 
Score]],Table1[[#This Row],[English 
Score]],Table1[[#This Row],[Geography 
Score]])</f>
        <v>530</v>
      </c>
      <c r="AA1605" s="3">
        <f>AVERAGE(Table1[[#This Row],[Math 
Score]],Table1[[#This Row],[History 
Score]],Table1[[#This Row],[Physics 
Score]],Table1[[#This Row],[Chemistry 
Score]],Table1[[#This Row],[Biology 
Score]],Table1[[#This Row],[English 
Score]],Table1[[#This Row],[Geography 
Score]])</f>
        <v>75.714285714285708</v>
      </c>
      <c r="AB160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605">
        <f t="shared" si="25"/>
        <v>1646</v>
      </c>
      <c r="AD1605" t="str">
        <f>_xlfn.IFS(Table1[[#This Row],[Absence 
Days]]&lt;3,"Excellent",Table1[[#This Row],[Absence 
Days]]&lt;=6,"Good",Table1[[#This Row],[Absence 
Days]]&gt;6,"Poor")</f>
        <v>Poor</v>
      </c>
    </row>
    <row r="1606" spans="1:30" x14ac:dyDescent="0.35">
      <c r="A1606">
        <v>1605</v>
      </c>
      <c r="B1606" s="2" t="s">
        <v>249</v>
      </c>
      <c r="C1606" t="s">
        <v>549</v>
      </c>
      <c r="D1606" t="str">
        <f>_xlfn.TEXTJOIN(" ",TRUE,Table1[[#This Row],[First 
Name]:[Last 
Name]])</f>
        <v>Tamara Bennett</v>
      </c>
      <c r="E1606" t="s">
        <v>2716</v>
      </c>
      <c r="F1606" t="s">
        <v>3245</v>
      </c>
      <c r="G1606" t="str">
        <f ca="1">PROPER(Table1[[#This Row],[Part Time 
Job]])</f>
        <v>False</v>
      </c>
      <c r="H1606" s="3">
        <v>10</v>
      </c>
      <c r="I1606" t="str">
        <f ca="1">PROPER(Table1[[#This Row],[Extracurricular 
Activities]])</f>
        <v>False</v>
      </c>
      <c r="J1606">
        <v>25</v>
      </c>
      <c r="K1606" t="s">
        <v>3121</v>
      </c>
      <c r="L1606">
        <v>93</v>
      </c>
      <c r="M1606" s="12" t="str" cm="1">
        <f t="array" ref="M160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606">
        <v>92</v>
      </c>
      <c r="O1606" s="13" t="str" cm="1">
        <f t="array" ref="O160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606">
        <v>71</v>
      </c>
      <c r="Q1606" s="13" t="str" cm="1">
        <f t="array" ref="Q160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606">
        <v>89</v>
      </c>
      <c r="S1606" t="str" cm="1">
        <f t="array" ref="S160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606">
        <v>91</v>
      </c>
      <c r="U1606" t="str" cm="1">
        <f t="array" ref="U160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606">
        <v>76</v>
      </c>
      <c r="W1606" t="str" cm="1">
        <f t="array" ref="W160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606">
        <v>61</v>
      </c>
      <c r="Y1606" t="str" cm="1">
        <f t="array" ref="Y160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606">
        <f>SUM(Table1[[#This Row],[Math 
Score]],Table1[[#This Row],[History 
Score]],Table1[[#This Row],[Physics 
Score]],Table1[[#This Row],[Chemistry 
Score]],Table1[[#This Row],[Biology 
Score]],Table1[[#This Row],[English 
Score]],Table1[[#This Row],[Geography 
Score]])</f>
        <v>573</v>
      </c>
      <c r="AA1606" s="3">
        <f>AVERAGE(Table1[[#This Row],[Math 
Score]],Table1[[#This Row],[History 
Score]],Table1[[#This Row],[Physics 
Score]],Table1[[#This Row],[Chemistry 
Score]],Table1[[#This Row],[Biology 
Score]],Table1[[#This Row],[English 
Score]],Table1[[#This Row],[Geography 
Score]])</f>
        <v>81.857142857142861</v>
      </c>
      <c r="AB160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606">
        <f t="shared" si="25"/>
        <v>864</v>
      </c>
      <c r="AD1606" t="str">
        <f>_xlfn.IFS(Table1[[#This Row],[Absence 
Days]]&lt;3,"Excellent",Table1[[#This Row],[Absence 
Days]]&lt;=6,"Good",Table1[[#This Row],[Absence 
Days]]&gt;6,"Poor")</f>
        <v>Poor</v>
      </c>
    </row>
    <row r="1607" spans="1:30" x14ac:dyDescent="0.35">
      <c r="A1607">
        <v>1606</v>
      </c>
      <c r="B1607" s="2" t="s">
        <v>244</v>
      </c>
      <c r="C1607" t="s">
        <v>555</v>
      </c>
      <c r="D1607" t="str">
        <f>_xlfn.TEXTJOIN(" ",TRUE,Table1[[#This Row],[First 
Name]:[Last 
Name]])</f>
        <v>Maria Perkins</v>
      </c>
      <c r="E1607" t="s">
        <v>2717</v>
      </c>
      <c r="F1607" t="s">
        <v>3245</v>
      </c>
      <c r="G1607" t="str">
        <f ca="1">PROPER(Table1[[#This Row],[Part Time 
Job]])</f>
        <v>False</v>
      </c>
      <c r="H1607" s="3">
        <v>5</v>
      </c>
      <c r="I1607" t="str">
        <f ca="1">PROPER(Table1[[#This Row],[Extracurricular 
Activities]])</f>
        <v>False</v>
      </c>
      <c r="J1607">
        <v>35</v>
      </c>
      <c r="K1607" t="s">
        <v>3112</v>
      </c>
      <c r="L1607">
        <v>86</v>
      </c>
      <c r="M1607" s="12" t="str" cm="1">
        <f t="array" ref="M160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607">
        <v>86</v>
      </c>
      <c r="O1607" s="13" t="str" cm="1">
        <f t="array" ref="O160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607">
        <v>100</v>
      </c>
      <c r="Q1607" s="13" t="str" cm="1">
        <f t="array" ref="Q160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607">
        <v>86</v>
      </c>
      <c r="S1607" t="str" cm="1">
        <f t="array" ref="S160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607">
        <v>94</v>
      </c>
      <c r="U1607" t="str" cm="1">
        <f t="array" ref="U160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607">
        <v>87</v>
      </c>
      <c r="W1607" t="str" cm="1">
        <f t="array" ref="W160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607">
        <v>85</v>
      </c>
      <c r="Y1607" t="str" cm="1">
        <f t="array" ref="Y160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607">
        <f>SUM(Table1[[#This Row],[Math 
Score]],Table1[[#This Row],[History 
Score]],Table1[[#This Row],[Physics 
Score]],Table1[[#This Row],[Chemistry 
Score]],Table1[[#This Row],[Biology 
Score]],Table1[[#This Row],[English 
Score]],Table1[[#This Row],[Geography 
Score]])</f>
        <v>624</v>
      </c>
      <c r="AA1607" s="3">
        <f>AVERAGE(Table1[[#This Row],[Math 
Score]],Table1[[#This Row],[History 
Score]],Table1[[#This Row],[Physics 
Score]],Table1[[#This Row],[Chemistry 
Score]],Table1[[#This Row],[Biology 
Score]],Table1[[#This Row],[English 
Score]],Table1[[#This Row],[Geography 
Score]])</f>
        <v>89.142857142857139</v>
      </c>
      <c r="AB160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607">
        <f t="shared" si="25"/>
        <v>194</v>
      </c>
      <c r="AD1607" t="str">
        <f>_xlfn.IFS(Table1[[#This Row],[Absence 
Days]]&lt;3,"Excellent",Table1[[#This Row],[Absence 
Days]]&lt;=6,"Good",Table1[[#This Row],[Absence 
Days]]&gt;6,"Poor")</f>
        <v>Good</v>
      </c>
    </row>
    <row r="1608" spans="1:30" x14ac:dyDescent="0.35">
      <c r="A1608">
        <v>1607</v>
      </c>
      <c r="B1608" s="2" t="s">
        <v>365</v>
      </c>
      <c r="C1608" t="s">
        <v>781</v>
      </c>
      <c r="D1608" t="str">
        <f>_xlfn.TEXTJOIN(" ",TRUE,Table1[[#This Row],[First 
Name]:[Last 
Name]])</f>
        <v>Jillian Reed</v>
      </c>
      <c r="E1608" t="s">
        <v>2718</v>
      </c>
      <c r="F1608" t="s">
        <v>3245</v>
      </c>
      <c r="G1608" t="str">
        <f ca="1">PROPER(Table1[[#This Row],[Part Time 
Job]])</f>
        <v>True</v>
      </c>
      <c r="H1608" s="3">
        <v>3</v>
      </c>
      <c r="I1608" t="str">
        <f ca="1">PROPER(Table1[[#This Row],[Extracurricular 
Activities]])</f>
        <v>False</v>
      </c>
      <c r="J1608">
        <v>2</v>
      </c>
      <c r="K1608" t="s">
        <v>3119</v>
      </c>
      <c r="L1608">
        <v>50</v>
      </c>
      <c r="M1608" s="12" t="str" cm="1">
        <f t="array" ref="M1608">_xlfn.IFS(Table1[[#This Row],[Math 
Score]]&gt;=90,"A+",Table1[[#This Row],[Math 
Score]]&gt;=80,"A", Table1[[#This Row],[Math 
Score]]&gt;=75,"A-",Table1[[#This Row],[Math 
Score]]&gt;=70,"B+",Table1[[#This Row],[Math 
Score]]&gt;=65,"B",Table1[[#This Row],[Math 
Score]]&gt;=60,"B-",Table1[[#This Row],[Math 
Score]]&gt;=50,"C",Table1[[#This Row],[Math 
Score]]&gt;=40,"D",Table1[[#This Row],[Math 
Score]]&lt;40,"F")</f>
        <v>C</v>
      </c>
      <c r="N1608">
        <v>78</v>
      </c>
      <c r="O1608" s="13" t="str" cm="1">
        <f t="array" ref="O160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608">
        <v>67</v>
      </c>
      <c r="Q1608" s="13" t="str" cm="1">
        <f t="array" ref="Q160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608">
        <v>95</v>
      </c>
      <c r="S1608" t="str" cm="1">
        <f t="array" ref="S160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608">
        <v>82</v>
      </c>
      <c r="U1608" t="str" cm="1">
        <f t="array" ref="U160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608">
        <v>97</v>
      </c>
      <c r="W1608" t="str" cm="1">
        <f t="array" ref="W160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608">
        <v>80</v>
      </c>
      <c r="Y1608" t="str" cm="1">
        <f t="array" ref="Y160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608">
        <f>SUM(Table1[[#This Row],[Math 
Score]],Table1[[#This Row],[History 
Score]],Table1[[#This Row],[Physics 
Score]],Table1[[#This Row],[Chemistry 
Score]],Table1[[#This Row],[Biology 
Score]],Table1[[#This Row],[English 
Score]],Table1[[#This Row],[Geography 
Score]])</f>
        <v>549</v>
      </c>
      <c r="AA1608" s="3">
        <f>AVERAGE(Table1[[#This Row],[Math 
Score]],Table1[[#This Row],[History 
Score]],Table1[[#This Row],[Physics 
Score]],Table1[[#This Row],[Chemistry 
Score]],Table1[[#This Row],[Biology 
Score]],Table1[[#This Row],[English 
Score]],Table1[[#This Row],[Geography 
Score]])</f>
        <v>78.428571428571431</v>
      </c>
      <c r="AB160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608">
        <f t="shared" si="25"/>
        <v>1355</v>
      </c>
      <c r="AD1608" t="str">
        <f>_xlfn.IFS(Table1[[#This Row],[Absence 
Days]]&lt;3,"Excellent",Table1[[#This Row],[Absence 
Days]]&lt;=6,"Good",Table1[[#This Row],[Absence 
Days]]&gt;6,"Poor")</f>
        <v>Good</v>
      </c>
    </row>
    <row r="1609" spans="1:30" x14ac:dyDescent="0.35">
      <c r="A1609">
        <v>1608</v>
      </c>
      <c r="B1609" s="2" t="s">
        <v>51</v>
      </c>
      <c r="C1609" t="s">
        <v>1050</v>
      </c>
      <c r="D1609" t="str">
        <f>_xlfn.TEXTJOIN(" ",TRUE,Table1[[#This Row],[First 
Name]:[Last 
Name]])</f>
        <v>Melissa Mora</v>
      </c>
      <c r="E1609" t="s">
        <v>2719</v>
      </c>
      <c r="F1609" t="s">
        <v>3245</v>
      </c>
      <c r="G1609" t="str">
        <f ca="1">PROPER(Table1[[#This Row],[Part Time 
Job]])</f>
        <v>False</v>
      </c>
      <c r="H1609" s="3">
        <v>7</v>
      </c>
      <c r="I1609" t="str">
        <f ca="1">PROPER(Table1[[#This Row],[Extracurricular 
Activities]])</f>
        <v>False</v>
      </c>
      <c r="J1609">
        <v>5</v>
      </c>
      <c r="K1609" t="s">
        <v>3119</v>
      </c>
      <c r="L1609">
        <v>78</v>
      </c>
      <c r="M1609" s="12" t="str" cm="1">
        <f t="array" ref="M160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609">
        <v>68</v>
      </c>
      <c r="O1609" s="13" t="str" cm="1">
        <f t="array" ref="O160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609">
        <v>56</v>
      </c>
      <c r="Q1609" s="13" t="str" cm="1">
        <f t="array" ref="Q160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C</v>
      </c>
      <c r="R1609">
        <v>50</v>
      </c>
      <c r="S1609" t="str" cm="1">
        <f t="array" ref="S160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C</v>
      </c>
      <c r="T1609">
        <v>76</v>
      </c>
      <c r="U1609" t="str" cm="1">
        <f t="array" ref="U160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609">
        <v>67</v>
      </c>
      <c r="W1609" t="str" cm="1">
        <f t="array" ref="W160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609">
        <v>97</v>
      </c>
      <c r="Y1609" t="str" cm="1">
        <f t="array" ref="Y160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609">
        <f>SUM(Table1[[#This Row],[Math 
Score]],Table1[[#This Row],[History 
Score]],Table1[[#This Row],[Physics 
Score]],Table1[[#This Row],[Chemistry 
Score]],Table1[[#This Row],[Biology 
Score]],Table1[[#This Row],[English 
Score]],Table1[[#This Row],[Geography 
Score]])</f>
        <v>492</v>
      </c>
      <c r="AA1609" s="3">
        <f>AVERAGE(Table1[[#This Row],[Math 
Score]],Table1[[#This Row],[History 
Score]],Table1[[#This Row],[Physics 
Score]],Table1[[#This Row],[Chemistry 
Score]],Table1[[#This Row],[Biology 
Score]],Table1[[#This Row],[English 
Score]],Table1[[#This Row],[Geography 
Score]])</f>
        <v>70.285714285714292</v>
      </c>
      <c r="AB160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609">
        <f t="shared" si="25"/>
        <v>1905</v>
      </c>
      <c r="AD1609" t="str">
        <f>_xlfn.IFS(Table1[[#This Row],[Absence 
Days]]&lt;3,"Excellent",Table1[[#This Row],[Absence 
Days]]&lt;=6,"Good",Table1[[#This Row],[Absence 
Days]]&gt;6,"Poor")</f>
        <v>Poor</v>
      </c>
    </row>
    <row r="1610" spans="1:30" x14ac:dyDescent="0.35">
      <c r="A1610">
        <v>1609</v>
      </c>
      <c r="B1610" s="2" t="s">
        <v>2</v>
      </c>
      <c r="C1610" t="s">
        <v>458</v>
      </c>
      <c r="D1610" t="str">
        <f>_xlfn.TEXTJOIN(" ",TRUE,Table1[[#This Row],[First 
Name]:[Last 
Name]])</f>
        <v>Tina Smith</v>
      </c>
      <c r="E1610" t="s">
        <v>2720</v>
      </c>
      <c r="F1610" t="s">
        <v>3245</v>
      </c>
      <c r="G1610" t="str">
        <f ca="1">PROPER(Table1[[#This Row],[Part Time 
Job]])</f>
        <v>False</v>
      </c>
      <c r="H1610" s="3">
        <v>3</v>
      </c>
      <c r="I1610" t="str">
        <f ca="1">PROPER(Table1[[#This Row],[Extracurricular 
Activities]])</f>
        <v>False</v>
      </c>
      <c r="J1610">
        <v>24</v>
      </c>
      <c r="K1610" t="s">
        <v>3117</v>
      </c>
      <c r="L1610">
        <v>91</v>
      </c>
      <c r="M1610" s="12" t="str" cm="1">
        <f t="array" ref="M161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610">
        <v>69</v>
      </c>
      <c r="O1610" s="13" t="str" cm="1">
        <f t="array" ref="O161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610">
        <v>82</v>
      </c>
      <c r="Q1610" s="13" t="str" cm="1">
        <f t="array" ref="Q161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610">
        <v>87</v>
      </c>
      <c r="S1610" t="str" cm="1">
        <f t="array" ref="S161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610">
        <v>100</v>
      </c>
      <c r="U1610" t="str" cm="1">
        <f t="array" ref="U161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610">
        <v>93</v>
      </c>
      <c r="W1610" t="str" cm="1">
        <f t="array" ref="W161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610">
        <v>100</v>
      </c>
      <c r="Y1610" t="str" cm="1">
        <f t="array" ref="Y161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610">
        <f>SUM(Table1[[#This Row],[Math 
Score]],Table1[[#This Row],[History 
Score]],Table1[[#This Row],[Physics 
Score]],Table1[[#This Row],[Chemistry 
Score]],Table1[[#This Row],[Biology 
Score]],Table1[[#This Row],[English 
Score]],Table1[[#This Row],[Geography 
Score]])</f>
        <v>622</v>
      </c>
      <c r="AA1610" s="3">
        <f>AVERAGE(Table1[[#This Row],[Math 
Score]],Table1[[#This Row],[History 
Score]],Table1[[#This Row],[Physics 
Score]],Table1[[#This Row],[Chemistry 
Score]],Table1[[#This Row],[Biology 
Score]],Table1[[#This Row],[English 
Score]],Table1[[#This Row],[Geography 
Score]])</f>
        <v>88.857142857142861</v>
      </c>
      <c r="AB161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610">
        <f t="shared" si="25"/>
        <v>208</v>
      </c>
      <c r="AD1610" t="str">
        <f>_xlfn.IFS(Table1[[#This Row],[Absence 
Days]]&lt;3,"Excellent",Table1[[#This Row],[Absence 
Days]]&lt;=6,"Good",Table1[[#This Row],[Absence 
Days]]&gt;6,"Poor")</f>
        <v>Good</v>
      </c>
    </row>
    <row r="1611" spans="1:30" x14ac:dyDescent="0.35">
      <c r="A1611">
        <v>1610</v>
      </c>
      <c r="B1611" s="2" t="s">
        <v>67</v>
      </c>
      <c r="C1611" t="s">
        <v>710</v>
      </c>
      <c r="D1611" t="str">
        <f>_xlfn.TEXTJOIN(" ",TRUE,Table1[[#This Row],[First 
Name]:[Last 
Name]])</f>
        <v>Rhonda Munoz</v>
      </c>
      <c r="E1611" t="s">
        <v>2721</v>
      </c>
      <c r="F1611" t="s">
        <v>3245</v>
      </c>
      <c r="G1611" t="str">
        <f ca="1">PROPER(Table1[[#This Row],[Part Time 
Job]])</f>
        <v>False</v>
      </c>
      <c r="H1611" s="3">
        <v>0</v>
      </c>
      <c r="I1611" t="str">
        <f ca="1">PROPER(Table1[[#This Row],[Extracurricular 
Activities]])</f>
        <v>False</v>
      </c>
      <c r="J1611">
        <v>5</v>
      </c>
      <c r="K1611" t="s">
        <v>3115</v>
      </c>
      <c r="L1611">
        <v>73</v>
      </c>
      <c r="M1611" s="12" t="str" cm="1">
        <f t="array" ref="M1611">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611">
        <v>100</v>
      </c>
      <c r="O1611" s="13" t="str" cm="1">
        <f t="array" ref="O161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611">
        <v>78</v>
      </c>
      <c r="Q1611" s="13" t="str" cm="1">
        <f t="array" ref="Q161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611">
        <v>77</v>
      </c>
      <c r="S1611" t="str" cm="1">
        <f t="array" ref="S161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611">
        <v>71</v>
      </c>
      <c r="U1611" t="str" cm="1">
        <f t="array" ref="U161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611">
        <v>61</v>
      </c>
      <c r="W1611" t="str" cm="1">
        <f t="array" ref="W161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611">
        <v>66</v>
      </c>
      <c r="Y1611" t="str" cm="1">
        <f t="array" ref="Y161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611">
        <f>SUM(Table1[[#This Row],[Math 
Score]],Table1[[#This Row],[History 
Score]],Table1[[#This Row],[Physics 
Score]],Table1[[#This Row],[Chemistry 
Score]],Table1[[#This Row],[Biology 
Score]],Table1[[#This Row],[English 
Score]],Table1[[#This Row],[Geography 
Score]])</f>
        <v>526</v>
      </c>
      <c r="AA1611" s="3">
        <f>AVERAGE(Table1[[#This Row],[Math 
Score]],Table1[[#This Row],[History 
Score]],Table1[[#This Row],[Physics 
Score]],Table1[[#This Row],[Chemistry 
Score]],Table1[[#This Row],[Biology 
Score]],Table1[[#This Row],[English 
Score]],Table1[[#This Row],[Geography 
Score]])</f>
        <v>75.142857142857139</v>
      </c>
      <c r="AB161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611">
        <f t="shared" si="25"/>
        <v>1688</v>
      </c>
      <c r="AD1611" t="str">
        <f>_xlfn.IFS(Table1[[#This Row],[Absence 
Days]]&lt;3,"Excellent",Table1[[#This Row],[Absence 
Days]]&lt;=6,"Good",Table1[[#This Row],[Absence 
Days]]&gt;6,"Poor")</f>
        <v>Excellent</v>
      </c>
    </row>
    <row r="1612" spans="1:30" x14ac:dyDescent="0.35">
      <c r="A1612">
        <v>1611</v>
      </c>
      <c r="B1612" s="2" t="s">
        <v>155</v>
      </c>
      <c r="C1612" t="s">
        <v>592</v>
      </c>
      <c r="D1612" t="str">
        <f>_xlfn.TEXTJOIN(" ",TRUE,Table1[[#This Row],[First 
Name]:[Last 
Name]])</f>
        <v>Heidi Johnson</v>
      </c>
      <c r="E1612" t="s">
        <v>2722</v>
      </c>
      <c r="F1612" t="s">
        <v>3245</v>
      </c>
      <c r="G1612" t="str">
        <f ca="1">PROPER(Table1[[#This Row],[Part Time 
Job]])</f>
        <v>False</v>
      </c>
      <c r="H1612" s="3">
        <v>6</v>
      </c>
      <c r="I1612" t="str">
        <f ca="1">PROPER(Table1[[#This Row],[Extracurricular 
Activities]])</f>
        <v>False</v>
      </c>
      <c r="J1612">
        <v>3</v>
      </c>
      <c r="K1612" t="s">
        <v>3126</v>
      </c>
      <c r="L1612">
        <v>99</v>
      </c>
      <c r="M1612" s="12" t="str" cm="1">
        <f t="array" ref="M161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612">
        <v>66</v>
      </c>
      <c r="O1612" s="13" t="str" cm="1">
        <f t="array" ref="O161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612">
        <v>81</v>
      </c>
      <c r="Q1612" s="13" t="str" cm="1">
        <f t="array" ref="Q161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612">
        <v>69</v>
      </c>
      <c r="S1612" t="str" cm="1">
        <f t="array" ref="S161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612">
        <v>82</v>
      </c>
      <c r="U1612" t="str" cm="1">
        <f t="array" ref="U161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612">
        <v>73</v>
      </c>
      <c r="W1612" t="str" cm="1">
        <f t="array" ref="W161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612">
        <v>72</v>
      </c>
      <c r="Y1612" t="str" cm="1">
        <f t="array" ref="Y161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612">
        <f>SUM(Table1[[#This Row],[Math 
Score]],Table1[[#This Row],[History 
Score]],Table1[[#This Row],[Physics 
Score]],Table1[[#This Row],[Chemistry 
Score]],Table1[[#This Row],[Biology 
Score]],Table1[[#This Row],[English 
Score]],Table1[[#This Row],[Geography 
Score]])</f>
        <v>542</v>
      </c>
      <c r="AA1612" s="3">
        <f>AVERAGE(Table1[[#This Row],[Math 
Score]],Table1[[#This Row],[History 
Score]],Table1[[#This Row],[Physics 
Score]],Table1[[#This Row],[Chemistry 
Score]],Table1[[#This Row],[Biology 
Score]],Table1[[#This Row],[English 
Score]],Table1[[#This Row],[Geography 
Score]])</f>
        <v>77.428571428571431</v>
      </c>
      <c r="AB161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612">
        <f t="shared" si="25"/>
        <v>1478</v>
      </c>
      <c r="AD1612" t="str">
        <f>_xlfn.IFS(Table1[[#This Row],[Absence 
Days]]&lt;3,"Excellent",Table1[[#This Row],[Absence 
Days]]&lt;=6,"Good",Table1[[#This Row],[Absence 
Days]]&gt;6,"Poor")</f>
        <v>Good</v>
      </c>
    </row>
    <row r="1613" spans="1:30" x14ac:dyDescent="0.35">
      <c r="A1613">
        <v>1612</v>
      </c>
      <c r="B1613" s="2" t="s">
        <v>89</v>
      </c>
      <c r="C1613" t="s">
        <v>492</v>
      </c>
      <c r="D1613" t="str">
        <f>_xlfn.TEXTJOIN(" ",TRUE,Table1[[#This Row],[First 
Name]:[Last 
Name]])</f>
        <v>Joshua Davis</v>
      </c>
      <c r="E1613" t="s">
        <v>2723</v>
      </c>
      <c r="F1613" t="s">
        <v>3244</v>
      </c>
      <c r="G1613" t="str">
        <f ca="1">PROPER(Table1[[#This Row],[Part Time 
Job]])</f>
        <v>False</v>
      </c>
      <c r="H1613" s="3">
        <v>6</v>
      </c>
      <c r="I1613" t="str">
        <f ca="1">PROPER(Table1[[#This Row],[Extracurricular 
Activities]])</f>
        <v>False</v>
      </c>
      <c r="J1613">
        <v>5</v>
      </c>
      <c r="K1613" t="s">
        <v>3126</v>
      </c>
      <c r="L1613">
        <v>88</v>
      </c>
      <c r="M1613" s="12" t="str" cm="1">
        <f t="array" ref="M161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613">
        <v>82</v>
      </c>
      <c r="O1613" s="13" t="str" cm="1">
        <f t="array" ref="O161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613">
        <v>99</v>
      </c>
      <c r="Q1613" s="13" t="str" cm="1">
        <f t="array" ref="Q161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613">
        <v>65</v>
      </c>
      <c r="S1613" t="str" cm="1">
        <f t="array" ref="S161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613">
        <v>83</v>
      </c>
      <c r="U1613" t="str" cm="1">
        <f t="array" ref="U161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613">
        <v>65</v>
      </c>
      <c r="W1613" t="str" cm="1">
        <f t="array" ref="W161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613">
        <v>98</v>
      </c>
      <c r="Y1613" t="str" cm="1">
        <f t="array" ref="Y161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613">
        <f>SUM(Table1[[#This Row],[Math 
Score]],Table1[[#This Row],[History 
Score]],Table1[[#This Row],[Physics 
Score]],Table1[[#This Row],[Chemistry 
Score]],Table1[[#This Row],[Biology 
Score]],Table1[[#This Row],[English 
Score]],Table1[[#This Row],[Geography 
Score]])</f>
        <v>580</v>
      </c>
      <c r="AA1613" s="3">
        <f>AVERAGE(Table1[[#This Row],[Math 
Score]],Table1[[#This Row],[History 
Score]],Table1[[#This Row],[Physics 
Score]],Table1[[#This Row],[Chemistry 
Score]],Table1[[#This Row],[Biology 
Score]],Table1[[#This Row],[English 
Score]],Table1[[#This Row],[Geography 
Score]])</f>
        <v>82.857142857142861</v>
      </c>
      <c r="AB161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613">
        <f t="shared" si="25"/>
        <v>709</v>
      </c>
      <c r="AD1613" t="str">
        <f>_xlfn.IFS(Table1[[#This Row],[Absence 
Days]]&lt;3,"Excellent",Table1[[#This Row],[Absence 
Days]]&lt;=6,"Good",Table1[[#This Row],[Absence 
Days]]&gt;6,"Poor")</f>
        <v>Good</v>
      </c>
    </row>
    <row r="1614" spans="1:30" x14ac:dyDescent="0.35">
      <c r="A1614">
        <v>1613</v>
      </c>
      <c r="B1614" s="2" t="s">
        <v>13</v>
      </c>
      <c r="C1614" t="s">
        <v>636</v>
      </c>
      <c r="D1614" t="str">
        <f>_xlfn.TEXTJOIN(" ",TRUE,Table1[[#This Row],[First 
Name]:[Last 
Name]])</f>
        <v>Laura Sanders</v>
      </c>
      <c r="E1614" t="s">
        <v>2724</v>
      </c>
      <c r="F1614" t="s">
        <v>3245</v>
      </c>
      <c r="G1614" t="str">
        <f ca="1">PROPER(Table1[[#This Row],[Part Time 
Job]])</f>
        <v>False</v>
      </c>
      <c r="H1614" s="3">
        <v>1</v>
      </c>
      <c r="I1614" t="str">
        <f ca="1">PROPER(Table1[[#This Row],[Extracurricular 
Activities]])</f>
        <v>False</v>
      </c>
      <c r="J1614">
        <v>33</v>
      </c>
      <c r="K1614" t="s">
        <v>3112</v>
      </c>
      <c r="L1614">
        <v>100</v>
      </c>
      <c r="M1614" s="12" t="str" cm="1">
        <f t="array" ref="M161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614">
        <v>82</v>
      </c>
      <c r="O1614" s="13" t="str" cm="1">
        <f t="array" ref="O161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614">
        <v>85</v>
      </c>
      <c r="Q1614" s="13" t="str" cm="1">
        <f t="array" ref="Q161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614">
        <v>68</v>
      </c>
      <c r="S1614" t="str" cm="1">
        <f t="array" ref="S161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614">
        <v>97</v>
      </c>
      <c r="U1614" t="str" cm="1">
        <f t="array" ref="U161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614">
        <v>81</v>
      </c>
      <c r="W1614" t="str" cm="1">
        <f t="array" ref="W161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614">
        <v>100</v>
      </c>
      <c r="Y1614" t="str" cm="1">
        <f t="array" ref="Y161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614">
        <f>SUM(Table1[[#This Row],[Math 
Score]],Table1[[#This Row],[History 
Score]],Table1[[#This Row],[Physics 
Score]],Table1[[#This Row],[Chemistry 
Score]],Table1[[#This Row],[Biology 
Score]],Table1[[#This Row],[English 
Score]],Table1[[#This Row],[Geography 
Score]])</f>
        <v>613</v>
      </c>
      <c r="AA1614" s="3">
        <f>AVERAGE(Table1[[#This Row],[Math 
Score]],Table1[[#This Row],[History 
Score]],Table1[[#This Row],[Physics 
Score]],Table1[[#This Row],[Chemistry 
Score]],Table1[[#This Row],[Biology 
Score]],Table1[[#This Row],[English 
Score]],Table1[[#This Row],[Geography 
Score]])</f>
        <v>87.571428571428569</v>
      </c>
      <c r="AB161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614">
        <f t="shared" si="25"/>
        <v>271</v>
      </c>
      <c r="AD1614" t="str">
        <f>_xlfn.IFS(Table1[[#This Row],[Absence 
Days]]&lt;3,"Excellent",Table1[[#This Row],[Absence 
Days]]&lt;=6,"Good",Table1[[#This Row],[Absence 
Days]]&gt;6,"Poor")</f>
        <v>Excellent</v>
      </c>
    </row>
    <row r="1615" spans="1:30" x14ac:dyDescent="0.35">
      <c r="A1615">
        <v>1614</v>
      </c>
      <c r="B1615" s="2" t="s">
        <v>121</v>
      </c>
      <c r="C1615" t="s">
        <v>205</v>
      </c>
      <c r="D1615" t="str">
        <f>_xlfn.TEXTJOIN(" ",TRUE,Table1[[#This Row],[First 
Name]:[Last 
Name]])</f>
        <v>Evan Francis</v>
      </c>
      <c r="E1615" t="s">
        <v>2725</v>
      </c>
      <c r="F1615" t="s">
        <v>3244</v>
      </c>
      <c r="G1615" t="str">
        <f ca="1">PROPER(Table1[[#This Row],[Part Time 
Job]])</f>
        <v>False</v>
      </c>
      <c r="H1615" s="3">
        <v>2</v>
      </c>
      <c r="I1615" t="str">
        <f ca="1">PROPER(Table1[[#This Row],[Extracurricular 
Activities]])</f>
        <v>False</v>
      </c>
      <c r="J1615">
        <v>15</v>
      </c>
      <c r="K1615" t="s">
        <v>3116</v>
      </c>
      <c r="L1615">
        <v>100</v>
      </c>
      <c r="M1615" s="12" t="str" cm="1">
        <f t="array" ref="M161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615">
        <v>62</v>
      </c>
      <c r="O1615" s="13" t="str" cm="1">
        <f t="array" ref="O161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615">
        <v>84</v>
      </c>
      <c r="Q1615" s="13" t="str" cm="1">
        <f t="array" ref="Q161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615">
        <v>66</v>
      </c>
      <c r="S1615" t="str" cm="1">
        <f t="array" ref="S161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615">
        <v>88</v>
      </c>
      <c r="U1615" t="str" cm="1">
        <f t="array" ref="U161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615">
        <v>90</v>
      </c>
      <c r="W1615" t="str" cm="1">
        <f t="array" ref="W161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615">
        <v>71</v>
      </c>
      <c r="Y1615" t="str" cm="1">
        <f t="array" ref="Y161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615">
        <f>SUM(Table1[[#This Row],[Math 
Score]],Table1[[#This Row],[History 
Score]],Table1[[#This Row],[Physics 
Score]],Table1[[#This Row],[Chemistry 
Score]],Table1[[#This Row],[Biology 
Score]],Table1[[#This Row],[English 
Score]],Table1[[#This Row],[Geography 
Score]])</f>
        <v>561</v>
      </c>
      <c r="AA1615" s="3">
        <f>AVERAGE(Table1[[#This Row],[Math 
Score]],Table1[[#This Row],[History 
Score]],Table1[[#This Row],[Physics 
Score]],Table1[[#This Row],[Chemistry 
Score]],Table1[[#This Row],[Biology 
Score]],Table1[[#This Row],[English 
Score]],Table1[[#This Row],[Geography 
Score]])</f>
        <v>80.142857142857139</v>
      </c>
      <c r="AB161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615">
        <f t="shared" si="25"/>
        <v>1120</v>
      </c>
      <c r="AD1615" t="str">
        <f>_xlfn.IFS(Table1[[#This Row],[Absence 
Days]]&lt;3,"Excellent",Table1[[#This Row],[Absence 
Days]]&lt;=6,"Good",Table1[[#This Row],[Absence 
Days]]&gt;6,"Poor")</f>
        <v>Excellent</v>
      </c>
    </row>
    <row r="1616" spans="1:30" x14ac:dyDescent="0.35">
      <c r="A1616">
        <v>1615</v>
      </c>
      <c r="B1616" s="2" t="s">
        <v>29</v>
      </c>
      <c r="C1616" t="s">
        <v>479</v>
      </c>
      <c r="D1616" t="str">
        <f>_xlfn.TEXTJOIN(" ",TRUE,Table1[[#This Row],[First 
Name]:[Last 
Name]])</f>
        <v>Cynthia Miller</v>
      </c>
      <c r="E1616" t="s">
        <v>2726</v>
      </c>
      <c r="F1616" t="s">
        <v>3245</v>
      </c>
      <c r="G1616" t="str">
        <f ca="1">PROPER(Table1[[#This Row],[Part Time 
Job]])</f>
        <v>True</v>
      </c>
      <c r="H1616" s="3">
        <v>5</v>
      </c>
      <c r="I1616" t="str">
        <f ca="1">PROPER(Table1[[#This Row],[Extracurricular 
Activities]])</f>
        <v>False</v>
      </c>
      <c r="J1616">
        <v>32</v>
      </c>
      <c r="K1616" t="s">
        <v>3121</v>
      </c>
      <c r="L1616">
        <v>99</v>
      </c>
      <c r="M1616" s="12" t="str" cm="1">
        <f t="array" ref="M161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616">
        <v>61</v>
      </c>
      <c r="O1616" s="13" t="str" cm="1">
        <f t="array" ref="O161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616">
        <v>76</v>
      </c>
      <c r="Q1616" s="13" t="str" cm="1">
        <f t="array" ref="Q161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616">
        <v>95</v>
      </c>
      <c r="S1616" t="str" cm="1">
        <f t="array" ref="S161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616">
        <v>79</v>
      </c>
      <c r="U1616" t="str" cm="1">
        <f t="array" ref="U161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616">
        <v>78</v>
      </c>
      <c r="W1616" t="str" cm="1">
        <f t="array" ref="W161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616">
        <v>66</v>
      </c>
      <c r="Y1616" t="str" cm="1">
        <f t="array" ref="Y161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616">
        <f>SUM(Table1[[#This Row],[Math 
Score]],Table1[[#This Row],[History 
Score]],Table1[[#This Row],[Physics 
Score]],Table1[[#This Row],[Chemistry 
Score]],Table1[[#This Row],[Biology 
Score]],Table1[[#This Row],[English 
Score]],Table1[[#This Row],[Geography 
Score]])</f>
        <v>554</v>
      </c>
      <c r="AA1616" s="3">
        <f>AVERAGE(Table1[[#This Row],[Math 
Score]],Table1[[#This Row],[History 
Score]],Table1[[#This Row],[Physics 
Score]],Table1[[#This Row],[Chemistry 
Score]],Table1[[#This Row],[Biology 
Score]],Table1[[#This Row],[English 
Score]],Table1[[#This Row],[Geography 
Score]])</f>
        <v>79.142857142857139</v>
      </c>
      <c r="AB161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616">
        <f t="shared" si="25"/>
        <v>1264</v>
      </c>
      <c r="AD1616" t="str">
        <f>_xlfn.IFS(Table1[[#This Row],[Absence 
Days]]&lt;3,"Excellent",Table1[[#This Row],[Absence 
Days]]&lt;=6,"Good",Table1[[#This Row],[Absence 
Days]]&gt;6,"Poor")</f>
        <v>Good</v>
      </c>
    </row>
    <row r="1617" spans="1:30" x14ac:dyDescent="0.35">
      <c r="A1617">
        <v>1616</v>
      </c>
      <c r="B1617" s="2" t="s">
        <v>325</v>
      </c>
      <c r="C1617" t="s">
        <v>479</v>
      </c>
      <c r="D1617" t="str">
        <f>_xlfn.TEXTJOIN(" ",TRUE,Table1[[#This Row],[First 
Name]:[Last 
Name]])</f>
        <v>Bobby Miller</v>
      </c>
      <c r="E1617" t="s">
        <v>2727</v>
      </c>
      <c r="F1617" t="s">
        <v>3244</v>
      </c>
      <c r="G1617" t="str">
        <f ca="1">PROPER(Table1[[#This Row],[Part Time 
Job]])</f>
        <v>False</v>
      </c>
      <c r="H1617" s="3">
        <v>0</v>
      </c>
      <c r="I1617" t="str">
        <f ca="1">PROPER(Table1[[#This Row],[Extracurricular 
Activities]])</f>
        <v>True</v>
      </c>
      <c r="J1617">
        <v>14</v>
      </c>
      <c r="K1617" t="s">
        <v>3121</v>
      </c>
      <c r="L1617">
        <v>81</v>
      </c>
      <c r="M1617" s="12" t="str" cm="1">
        <f t="array" ref="M161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617">
        <v>99</v>
      </c>
      <c r="O1617" s="13" t="str" cm="1">
        <f t="array" ref="O161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617">
        <v>85</v>
      </c>
      <c r="Q1617" s="13" t="str" cm="1">
        <f t="array" ref="Q161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617">
        <v>72</v>
      </c>
      <c r="S1617" t="str" cm="1">
        <f t="array" ref="S161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617">
        <v>67</v>
      </c>
      <c r="U1617" t="str" cm="1">
        <f t="array" ref="U161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617">
        <v>78</v>
      </c>
      <c r="W1617" t="str" cm="1">
        <f t="array" ref="W161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617">
        <v>69</v>
      </c>
      <c r="Y1617" t="str" cm="1">
        <f t="array" ref="Y161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617">
        <f>SUM(Table1[[#This Row],[Math 
Score]],Table1[[#This Row],[History 
Score]],Table1[[#This Row],[Physics 
Score]],Table1[[#This Row],[Chemistry 
Score]],Table1[[#This Row],[Biology 
Score]],Table1[[#This Row],[English 
Score]],Table1[[#This Row],[Geography 
Score]])</f>
        <v>551</v>
      </c>
      <c r="AA1617" s="3">
        <f>AVERAGE(Table1[[#This Row],[Math 
Score]],Table1[[#This Row],[History 
Score]],Table1[[#This Row],[Physics 
Score]],Table1[[#This Row],[Chemistry 
Score]],Table1[[#This Row],[Biology 
Score]],Table1[[#This Row],[English 
Score]],Table1[[#This Row],[Geography 
Score]])</f>
        <v>78.714285714285708</v>
      </c>
      <c r="AB161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617">
        <f t="shared" si="25"/>
        <v>1317</v>
      </c>
      <c r="AD1617" t="str">
        <f>_xlfn.IFS(Table1[[#This Row],[Absence 
Days]]&lt;3,"Excellent",Table1[[#This Row],[Absence 
Days]]&lt;=6,"Good",Table1[[#This Row],[Absence 
Days]]&gt;6,"Poor")</f>
        <v>Excellent</v>
      </c>
    </row>
    <row r="1618" spans="1:30" x14ac:dyDescent="0.35">
      <c r="A1618">
        <v>1617</v>
      </c>
      <c r="B1618" s="2" t="s">
        <v>262</v>
      </c>
      <c r="C1618" t="s">
        <v>847</v>
      </c>
      <c r="D1618" t="str">
        <f>_xlfn.TEXTJOIN(" ",TRUE,Table1[[#This Row],[First 
Name]:[Last 
Name]])</f>
        <v>Justin Brooks</v>
      </c>
      <c r="E1618" t="s">
        <v>2728</v>
      </c>
      <c r="F1618" t="s">
        <v>3244</v>
      </c>
      <c r="G1618" t="str">
        <f ca="1">PROPER(Table1[[#This Row],[Part Time 
Job]])</f>
        <v>False</v>
      </c>
      <c r="H1618" s="3">
        <v>3</v>
      </c>
      <c r="I1618" t="str">
        <f ca="1">PROPER(Table1[[#This Row],[Extracurricular 
Activities]])</f>
        <v>False</v>
      </c>
      <c r="J1618">
        <v>47</v>
      </c>
      <c r="K1618" t="s">
        <v>3113</v>
      </c>
      <c r="L1618">
        <v>90</v>
      </c>
      <c r="M1618" s="12" t="str" cm="1">
        <f t="array" ref="M161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618">
        <v>86</v>
      </c>
      <c r="O1618" s="13" t="str" cm="1">
        <f t="array" ref="O161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618">
        <v>98</v>
      </c>
      <c r="Q1618" s="13" t="str" cm="1">
        <f t="array" ref="Q161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618">
        <v>97</v>
      </c>
      <c r="S1618" t="str" cm="1">
        <f t="array" ref="S161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618">
        <v>99</v>
      </c>
      <c r="U1618" t="str" cm="1">
        <f t="array" ref="U161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618">
        <v>96</v>
      </c>
      <c r="W1618" t="str" cm="1">
        <f t="array" ref="W161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618">
        <v>85</v>
      </c>
      <c r="Y1618" t="str" cm="1">
        <f t="array" ref="Y161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618">
        <f>SUM(Table1[[#This Row],[Math 
Score]],Table1[[#This Row],[History 
Score]],Table1[[#This Row],[Physics 
Score]],Table1[[#This Row],[Chemistry 
Score]],Table1[[#This Row],[Biology 
Score]],Table1[[#This Row],[English 
Score]],Table1[[#This Row],[Geography 
Score]])</f>
        <v>651</v>
      </c>
      <c r="AA1618" s="3">
        <f>AVERAGE(Table1[[#This Row],[Math 
Score]],Table1[[#This Row],[History 
Score]],Table1[[#This Row],[Physics 
Score]],Table1[[#This Row],[Chemistry 
Score]],Table1[[#This Row],[Biology 
Score]],Table1[[#This Row],[English 
Score]],Table1[[#This Row],[Geography 
Score]])</f>
        <v>93</v>
      </c>
      <c r="AB161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618">
        <f t="shared" si="25"/>
        <v>51</v>
      </c>
      <c r="AD1618" t="str">
        <f>_xlfn.IFS(Table1[[#This Row],[Absence 
Days]]&lt;3,"Excellent",Table1[[#This Row],[Absence 
Days]]&lt;=6,"Good",Table1[[#This Row],[Absence 
Days]]&gt;6,"Poor")</f>
        <v>Good</v>
      </c>
    </row>
    <row r="1619" spans="1:30" x14ac:dyDescent="0.35">
      <c r="A1619">
        <v>1618</v>
      </c>
      <c r="B1619" s="2" t="s">
        <v>404</v>
      </c>
      <c r="C1619" t="s">
        <v>1051</v>
      </c>
      <c r="D1619" t="str">
        <f>_xlfn.TEXTJOIN(" ",TRUE,Table1[[#This Row],[First 
Name]:[Last 
Name]])</f>
        <v>Kayla Krueger</v>
      </c>
      <c r="E1619" t="s">
        <v>2729</v>
      </c>
      <c r="F1619" t="s">
        <v>3245</v>
      </c>
      <c r="G1619" t="str">
        <f ca="1">PROPER(Table1[[#This Row],[Part Time 
Job]])</f>
        <v>False</v>
      </c>
      <c r="H1619" s="3">
        <v>4</v>
      </c>
      <c r="I1619" t="str">
        <f ca="1">PROPER(Table1[[#This Row],[Extracurricular 
Activities]])</f>
        <v>False</v>
      </c>
      <c r="J1619">
        <v>6</v>
      </c>
      <c r="K1619" t="s">
        <v>3116</v>
      </c>
      <c r="L1619">
        <v>67</v>
      </c>
      <c r="M1619" s="12" t="str" cm="1">
        <f t="array" ref="M1619">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619">
        <v>88</v>
      </c>
      <c r="O1619" s="13" t="str" cm="1">
        <f t="array" ref="O161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619">
        <v>89</v>
      </c>
      <c r="Q1619" s="13" t="str" cm="1">
        <f t="array" ref="Q161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619">
        <v>90</v>
      </c>
      <c r="S1619" t="str" cm="1">
        <f t="array" ref="S161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619">
        <v>78</v>
      </c>
      <c r="U1619" t="str" cm="1">
        <f t="array" ref="U161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619">
        <v>84</v>
      </c>
      <c r="W1619" t="str" cm="1">
        <f t="array" ref="W161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619">
        <v>73</v>
      </c>
      <c r="Y1619" t="str" cm="1">
        <f t="array" ref="Y161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619">
        <f>SUM(Table1[[#This Row],[Math 
Score]],Table1[[#This Row],[History 
Score]],Table1[[#This Row],[Physics 
Score]],Table1[[#This Row],[Chemistry 
Score]],Table1[[#This Row],[Biology 
Score]],Table1[[#This Row],[English 
Score]],Table1[[#This Row],[Geography 
Score]])</f>
        <v>569</v>
      </c>
      <c r="AA1619" s="3">
        <f>AVERAGE(Table1[[#This Row],[Math 
Score]],Table1[[#This Row],[History 
Score]],Table1[[#This Row],[Physics 
Score]],Table1[[#This Row],[Chemistry 
Score]],Table1[[#This Row],[Biology 
Score]],Table1[[#This Row],[English 
Score]],Table1[[#This Row],[Geography 
Score]])</f>
        <v>81.285714285714292</v>
      </c>
      <c r="AB161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619">
        <f t="shared" si="25"/>
        <v>957</v>
      </c>
      <c r="AD1619" t="str">
        <f>_xlfn.IFS(Table1[[#This Row],[Absence 
Days]]&lt;3,"Excellent",Table1[[#This Row],[Absence 
Days]]&lt;=6,"Good",Table1[[#This Row],[Absence 
Days]]&gt;6,"Poor")</f>
        <v>Good</v>
      </c>
    </row>
    <row r="1620" spans="1:30" x14ac:dyDescent="0.35">
      <c r="A1620">
        <v>1619</v>
      </c>
      <c r="B1620" s="2" t="s">
        <v>262</v>
      </c>
      <c r="C1620" t="s">
        <v>169</v>
      </c>
      <c r="D1620" t="str">
        <f>_xlfn.TEXTJOIN(" ",TRUE,Table1[[#This Row],[First 
Name]:[Last 
Name]])</f>
        <v>Justin Kim</v>
      </c>
      <c r="E1620" t="s">
        <v>2730</v>
      </c>
      <c r="F1620" t="s">
        <v>3244</v>
      </c>
      <c r="G1620" t="str">
        <f ca="1">PROPER(Table1[[#This Row],[Part Time 
Job]])</f>
        <v>False</v>
      </c>
      <c r="H1620" s="3">
        <v>5</v>
      </c>
      <c r="I1620" t="str">
        <f ca="1">PROPER(Table1[[#This Row],[Extracurricular 
Activities]])</f>
        <v>True</v>
      </c>
      <c r="J1620">
        <v>3</v>
      </c>
      <c r="K1620" t="s">
        <v>3128</v>
      </c>
      <c r="L1620">
        <v>68</v>
      </c>
      <c r="M1620" s="12" t="str" cm="1">
        <f t="array" ref="M1620">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620">
        <v>91</v>
      </c>
      <c r="O1620" s="13" t="str" cm="1">
        <f t="array" ref="O162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620">
        <v>78</v>
      </c>
      <c r="Q1620" s="13" t="str" cm="1">
        <f t="array" ref="Q162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620">
        <v>63</v>
      </c>
      <c r="S1620" t="str" cm="1">
        <f t="array" ref="S162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620">
        <v>90</v>
      </c>
      <c r="U1620" t="str" cm="1">
        <f t="array" ref="U162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620">
        <v>95</v>
      </c>
      <c r="W1620" t="str" cm="1">
        <f t="array" ref="W162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620">
        <v>80</v>
      </c>
      <c r="Y1620" t="str" cm="1">
        <f t="array" ref="Y162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620">
        <f>SUM(Table1[[#This Row],[Math 
Score]],Table1[[#This Row],[History 
Score]],Table1[[#This Row],[Physics 
Score]],Table1[[#This Row],[Chemistry 
Score]],Table1[[#This Row],[Biology 
Score]],Table1[[#This Row],[English 
Score]],Table1[[#This Row],[Geography 
Score]])</f>
        <v>565</v>
      </c>
      <c r="AA1620" s="3">
        <f>AVERAGE(Table1[[#This Row],[Math 
Score]],Table1[[#This Row],[History 
Score]],Table1[[#This Row],[Physics 
Score]],Table1[[#This Row],[Chemistry 
Score]],Table1[[#This Row],[Biology 
Score]],Table1[[#This Row],[English 
Score]],Table1[[#This Row],[Geography 
Score]])</f>
        <v>80.714285714285708</v>
      </c>
      <c r="AB162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620">
        <f t="shared" si="25"/>
        <v>1035</v>
      </c>
      <c r="AD1620" t="str">
        <f>_xlfn.IFS(Table1[[#This Row],[Absence 
Days]]&lt;3,"Excellent",Table1[[#This Row],[Absence 
Days]]&lt;=6,"Good",Table1[[#This Row],[Absence 
Days]]&gt;6,"Poor")</f>
        <v>Good</v>
      </c>
    </row>
    <row r="1621" spans="1:30" x14ac:dyDescent="0.35">
      <c r="A1621">
        <v>1620</v>
      </c>
      <c r="B1621" s="2" t="s">
        <v>222</v>
      </c>
      <c r="C1621" t="s">
        <v>1052</v>
      </c>
      <c r="D1621" t="str">
        <f>_xlfn.TEXTJOIN(" ",TRUE,Table1[[#This Row],[First 
Name]:[Last 
Name]])</f>
        <v>Christian Blankenship</v>
      </c>
      <c r="E1621" t="s">
        <v>2731</v>
      </c>
      <c r="F1621" t="s">
        <v>3244</v>
      </c>
      <c r="G1621" t="str">
        <f ca="1">PROPER(Table1[[#This Row],[Part Time 
Job]])</f>
        <v>False</v>
      </c>
      <c r="H1621" s="3">
        <v>1</v>
      </c>
      <c r="I1621" t="str">
        <f ca="1">PROPER(Table1[[#This Row],[Extracurricular 
Activities]])</f>
        <v>True</v>
      </c>
      <c r="J1621">
        <v>42</v>
      </c>
      <c r="K1621" t="s">
        <v>3113</v>
      </c>
      <c r="L1621">
        <v>93</v>
      </c>
      <c r="M1621" s="12" t="str" cm="1">
        <f t="array" ref="M162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621">
        <v>90</v>
      </c>
      <c r="O1621" s="13" t="str" cm="1">
        <f t="array" ref="O162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621">
        <v>93</v>
      </c>
      <c r="Q1621" s="13" t="str" cm="1">
        <f t="array" ref="Q162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621">
        <v>89</v>
      </c>
      <c r="S1621" t="str" cm="1">
        <f t="array" ref="S162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621">
        <v>92</v>
      </c>
      <c r="U1621" t="str" cm="1">
        <f t="array" ref="U162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621">
        <v>93</v>
      </c>
      <c r="W1621" t="str" cm="1">
        <f t="array" ref="W162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621">
        <v>100</v>
      </c>
      <c r="Y1621" t="str" cm="1">
        <f t="array" ref="Y162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621">
        <f>SUM(Table1[[#This Row],[Math 
Score]],Table1[[#This Row],[History 
Score]],Table1[[#This Row],[Physics 
Score]],Table1[[#This Row],[Chemistry 
Score]],Table1[[#This Row],[Biology 
Score]],Table1[[#This Row],[English 
Score]],Table1[[#This Row],[Geography 
Score]])</f>
        <v>650</v>
      </c>
      <c r="AA1621" s="3">
        <f>AVERAGE(Table1[[#This Row],[Math 
Score]],Table1[[#This Row],[History 
Score]],Table1[[#This Row],[Physics 
Score]],Table1[[#This Row],[Chemistry 
Score]],Table1[[#This Row],[Biology 
Score]],Table1[[#This Row],[English 
Score]],Table1[[#This Row],[Geography 
Score]])</f>
        <v>92.857142857142861</v>
      </c>
      <c r="AB162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621">
        <f t="shared" si="25"/>
        <v>56</v>
      </c>
      <c r="AD1621" t="str">
        <f>_xlfn.IFS(Table1[[#This Row],[Absence 
Days]]&lt;3,"Excellent",Table1[[#This Row],[Absence 
Days]]&lt;=6,"Good",Table1[[#This Row],[Absence 
Days]]&gt;6,"Poor")</f>
        <v>Excellent</v>
      </c>
    </row>
    <row r="1622" spans="1:30" x14ac:dyDescent="0.35">
      <c r="A1622">
        <v>1621</v>
      </c>
      <c r="B1622" s="2" t="s">
        <v>253</v>
      </c>
      <c r="C1622" t="s">
        <v>475</v>
      </c>
      <c r="D1622" t="str">
        <f>_xlfn.TEXTJOIN(" ",TRUE,Table1[[#This Row],[First 
Name]:[Last 
Name]])</f>
        <v>Todd Williams</v>
      </c>
      <c r="E1622" t="s">
        <v>2732</v>
      </c>
      <c r="F1622" t="s">
        <v>3244</v>
      </c>
      <c r="G1622" t="str">
        <f ca="1">PROPER(Table1[[#This Row],[Part Time 
Job]])</f>
        <v>False</v>
      </c>
      <c r="H1622" s="3">
        <v>1</v>
      </c>
      <c r="I1622" t="str">
        <f ca="1">PROPER(Table1[[#This Row],[Extracurricular 
Activities]])</f>
        <v>False</v>
      </c>
      <c r="J1622">
        <v>22</v>
      </c>
      <c r="K1622" t="s">
        <v>3125</v>
      </c>
      <c r="L1622">
        <v>94</v>
      </c>
      <c r="M1622" s="12" t="str" cm="1">
        <f t="array" ref="M162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622">
        <v>95</v>
      </c>
      <c r="O1622" s="13" t="str" cm="1">
        <f t="array" ref="O162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622">
        <v>80</v>
      </c>
      <c r="Q1622" s="13" t="str" cm="1">
        <f t="array" ref="Q162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622">
        <v>60</v>
      </c>
      <c r="S1622" t="str" cm="1">
        <f t="array" ref="S162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622">
        <v>89</v>
      </c>
      <c r="U1622" t="str" cm="1">
        <f t="array" ref="U162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622">
        <v>93</v>
      </c>
      <c r="W1622" t="str" cm="1">
        <f t="array" ref="W162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622">
        <v>88</v>
      </c>
      <c r="Y1622" t="str" cm="1">
        <f t="array" ref="Y162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622">
        <f>SUM(Table1[[#This Row],[Math 
Score]],Table1[[#This Row],[History 
Score]],Table1[[#This Row],[Physics 
Score]],Table1[[#This Row],[Chemistry 
Score]],Table1[[#This Row],[Biology 
Score]],Table1[[#This Row],[English 
Score]],Table1[[#This Row],[Geography 
Score]])</f>
        <v>599</v>
      </c>
      <c r="AA1622" s="3">
        <f>AVERAGE(Table1[[#This Row],[Math 
Score]],Table1[[#This Row],[History 
Score]],Table1[[#This Row],[Physics 
Score]],Table1[[#This Row],[Chemistry 
Score]],Table1[[#This Row],[Biology 
Score]],Table1[[#This Row],[English 
Score]],Table1[[#This Row],[Geography 
Score]])</f>
        <v>85.571428571428569</v>
      </c>
      <c r="AB162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622">
        <f t="shared" si="25"/>
        <v>426</v>
      </c>
      <c r="AD1622" t="str">
        <f>_xlfn.IFS(Table1[[#This Row],[Absence 
Days]]&lt;3,"Excellent",Table1[[#This Row],[Absence 
Days]]&lt;=6,"Good",Table1[[#This Row],[Absence 
Days]]&gt;6,"Poor")</f>
        <v>Excellent</v>
      </c>
    </row>
    <row r="1623" spans="1:30" x14ac:dyDescent="0.35">
      <c r="A1623">
        <v>1622</v>
      </c>
      <c r="B1623" s="2" t="s">
        <v>78</v>
      </c>
      <c r="C1623" t="s">
        <v>510</v>
      </c>
      <c r="D1623" t="str">
        <f>_xlfn.TEXTJOIN(" ",TRUE,Table1[[#This Row],[First 
Name]:[Last 
Name]])</f>
        <v>Victoria Perez</v>
      </c>
      <c r="E1623" t="s">
        <v>2733</v>
      </c>
      <c r="F1623" t="s">
        <v>3245</v>
      </c>
      <c r="G1623" t="str">
        <f ca="1">PROPER(Table1[[#This Row],[Part Time 
Job]])</f>
        <v>False</v>
      </c>
      <c r="H1623" s="3">
        <v>7</v>
      </c>
      <c r="I1623" t="str">
        <f ca="1">PROPER(Table1[[#This Row],[Extracurricular 
Activities]])</f>
        <v>False</v>
      </c>
      <c r="J1623">
        <v>1</v>
      </c>
      <c r="K1623" t="s">
        <v>3119</v>
      </c>
      <c r="L1623">
        <v>88</v>
      </c>
      <c r="M1623" s="12" t="str" cm="1">
        <f t="array" ref="M162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623">
        <v>96</v>
      </c>
      <c r="O1623" s="13" t="str" cm="1">
        <f t="array" ref="O162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623">
        <v>74</v>
      </c>
      <c r="Q1623" s="13" t="str" cm="1">
        <f t="array" ref="Q162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623">
        <v>90</v>
      </c>
      <c r="S1623" t="str" cm="1">
        <f t="array" ref="S162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623">
        <v>82</v>
      </c>
      <c r="U1623" t="str" cm="1">
        <f t="array" ref="U162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623">
        <v>70</v>
      </c>
      <c r="W1623" t="str" cm="1">
        <f t="array" ref="W162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623">
        <v>83</v>
      </c>
      <c r="Y1623" t="str" cm="1">
        <f t="array" ref="Y162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623">
        <f>SUM(Table1[[#This Row],[Math 
Score]],Table1[[#This Row],[History 
Score]],Table1[[#This Row],[Physics 
Score]],Table1[[#This Row],[Chemistry 
Score]],Table1[[#This Row],[Biology 
Score]],Table1[[#This Row],[English 
Score]],Table1[[#This Row],[Geography 
Score]])</f>
        <v>583</v>
      </c>
      <c r="AA1623" s="3">
        <f>AVERAGE(Table1[[#This Row],[Math 
Score]],Table1[[#This Row],[History 
Score]],Table1[[#This Row],[Physics 
Score]],Table1[[#This Row],[Chemistry 
Score]],Table1[[#This Row],[Biology 
Score]],Table1[[#This Row],[English 
Score]],Table1[[#This Row],[Geography 
Score]])</f>
        <v>83.285714285714292</v>
      </c>
      <c r="AB162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623">
        <f t="shared" si="25"/>
        <v>655</v>
      </c>
      <c r="AD1623" t="str">
        <f>_xlfn.IFS(Table1[[#This Row],[Absence 
Days]]&lt;3,"Excellent",Table1[[#This Row],[Absence 
Days]]&lt;=6,"Good",Table1[[#This Row],[Absence 
Days]]&gt;6,"Poor")</f>
        <v>Poor</v>
      </c>
    </row>
    <row r="1624" spans="1:30" x14ac:dyDescent="0.35">
      <c r="A1624">
        <v>1623</v>
      </c>
      <c r="B1624" s="2" t="s">
        <v>423</v>
      </c>
      <c r="C1624" t="s">
        <v>702</v>
      </c>
      <c r="D1624" t="str">
        <f>_xlfn.TEXTJOIN(" ",TRUE,Table1[[#This Row],[First 
Name]:[Last 
Name]])</f>
        <v>Madeline Hart</v>
      </c>
      <c r="E1624" t="s">
        <v>2734</v>
      </c>
      <c r="F1624" t="s">
        <v>3245</v>
      </c>
      <c r="G1624" t="str">
        <f ca="1">PROPER(Table1[[#This Row],[Part Time 
Job]])</f>
        <v>False</v>
      </c>
      <c r="H1624" s="3">
        <v>1</v>
      </c>
      <c r="I1624" t="str">
        <f ca="1">PROPER(Table1[[#This Row],[Extracurricular 
Activities]])</f>
        <v>True</v>
      </c>
      <c r="J1624">
        <v>21</v>
      </c>
      <c r="K1624" t="s">
        <v>3121</v>
      </c>
      <c r="L1624">
        <v>75</v>
      </c>
      <c r="M1624" s="12" t="str" cm="1">
        <f t="array" ref="M162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624">
        <v>93</v>
      </c>
      <c r="O1624" s="13" t="str" cm="1">
        <f t="array" ref="O162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624">
        <v>66</v>
      </c>
      <c r="Q1624" s="13" t="str" cm="1">
        <f t="array" ref="Q162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624">
        <v>63</v>
      </c>
      <c r="S1624" t="str" cm="1">
        <f t="array" ref="S162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624">
        <v>68</v>
      </c>
      <c r="U1624" t="str" cm="1">
        <f t="array" ref="U162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624">
        <v>91</v>
      </c>
      <c r="W1624" t="str" cm="1">
        <f t="array" ref="W162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624">
        <v>99</v>
      </c>
      <c r="Y1624" t="str" cm="1">
        <f t="array" ref="Y162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624">
        <f>SUM(Table1[[#This Row],[Math 
Score]],Table1[[#This Row],[History 
Score]],Table1[[#This Row],[Physics 
Score]],Table1[[#This Row],[Chemistry 
Score]],Table1[[#This Row],[Biology 
Score]],Table1[[#This Row],[English 
Score]],Table1[[#This Row],[Geography 
Score]])</f>
        <v>555</v>
      </c>
      <c r="AA1624" s="3">
        <f>AVERAGE(Table1[[#This Row],[Math 
Score]],Table1[[#This Row],[History 
Score]],Table1[[#This Row],[Physics 
Score]],Table1[[#This Row],[Chemistry 
Score]],Table1[[#This Row],[Biology 
Score]],Table1[[#This Row],[English 
Score]],Table1[[#This Row],[Geography 
Score]])</f>
        <v>79.285714285714292</v>
      </c>
      <c r="AB162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624">
        <f t="shared" si="25"/>
        <v>1245</v>
      </c>
      <c r="AD1624" t="str">
        <f>_xlfn.IFS(Table1[[#This Row],[Absence 
Days]]&lt;3,"Excellent",Table1[[#This Row],[Absence 
Days]]&lt;=6,"Good",Table1[[#This Row],[Absence 
Days]]&gt;6,"Poor")</f>
        <v>Excellent</v>
      </c>
    </row>
    <row r="1625" spans="1:30" x14ac:dyDescent="0.35">
      <c r="A1625">
        <v>1624</v>
      </c>
      <c r="B1625" s="2" t="s">
        <v>36</v>
      </c>
      <c r="C1625" t="s">
        <v>895</v>
      </c>
      <c r="D1625" t="str">
        <f>_xlfn.TEXTJOIN(" ",TRUE,Table1[[#This Row],[First 
Name]:[Last 
Name]])</f>
        <v>Christopher Meyer</v>
      </c>
      <c r="E1625" t="s">
        <v>2735</v>
      </c>
      <c r="F1625" t="s">
        <v>3244</v>
      </c>
      <c r="G1625" t="str">
        <f ca="1">PROPER(Table1[[#This Row],[Part Time 
Job]])</f>
        <v>False</v>
      </c>
      <c r="H1625" s="3">
        <v>4</v>
      </c>
      <c r="I1625" t="str">
        <f ca="1">PROPER(Table1[[#This Row],[Extracurricular 
Activities]])</f>
        <v>False</v>
      </c>
      <c r="J1625">
        <v>50</v>
      </c>
      <c r="K1625" t="s">
        <v>3113</v>
      </c>
      <c r="L1625">
        <v>99</v>
      </c>
      <c r="M1625" s="12" t="str" cm="1">
        <f t="array" ref="M162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625">
        <v>89</v>
      </c>
      <c r="O1625" s="13" t="str" cm="1">
        <f t="array" ref="O162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625">
        <v>87</v>
      </c>
      <c r="Q1625" s="13" t="str" cm="1">
        <f t="array" ref="Q162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625">
        <v>90</v>
      </c>
      <c r="S1625" t="str" cm="1">
        <f t="array" ref="S162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625">
        <v>87</v>
      </c>
      <c r="U1625" t="str" cm="1">
        <f t="array" ref="U162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625">
        <v>90</v>
      </c>
      <c r="W1625" t="str" cm="1">
        <f t="array" ref="W162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625">
        <v>95</v>
      </c>
      <c r="Y1625" t="str" cm="1">
        <f t="array" ref="Y162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625">
        <f>SUM(Table1[[#This Row],[Math 
Score]],Table1[[#This Row],[History 
Score]],Table1[[#This Row],[Physics 
Score]],Table1[[#This Row],[Chemistry 
Score]],Table1[[#This Row],[Biology 
Score]],Table1[[#This Row],[English 
Score]],Table1[[#This Row],[Geography 
Score]])</f>
        <v>637</v>
      </c>
      <c r="AA1625" s="3">
        <f>AVERAGE(Table1[[#This Row],[Math 
Score]],Table1[[#This Row],[History 
Score]],Table1[[#This Row],[Physics 
Score]],Table1[[#This Row],[Chemistry 
Score]],Table1[[#This Row],[Biology 
Score]],Table1[[#This Row],[English 
Score]],Table1[[#This Row],[Geography 
Score]])</f>
        <v>91</v>
      </c>
      <c r="AB162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625">
        <f t="shared" si="25"/>
        <v>115</v>
      </c>
      <c r="AD1625" t="str">
        <f>_xlfn.IFS(Table1[[#This Row],[Absence 
Days]]&lt;3,"Excellent",Table1[[#This Row],[Absence 
Days]]&lt;=6,"Good",Table1[[#This Row],[Absence 
Days]]&gt;6,"Poor")</f>
        <v>Good</v>
      </c>
    </row>
    <row r="1626" spans="1:30" x14ac:dyDescent="0.35">
      <c r="A1626">
        <v>1625</v>
      </c>
      <c r="B1626" s="2" t="s">
        <v>36</v>
      </c>
      <c r="C1626" t="s">
        <v>931</v>
      </c>
      <c r="D1626" t="str">
        <f>_xlfn.TEXTJOIN(" ",TRUE,Table1[[#This Row],[First 
Name]:[Last 
Name]])</f>
        <v>Christopher Fleming</v>
      </c>
      <c r="E1626" t="s">
        <v>2736</v>
      </c>
      <c r="F1626" t="s">
        <v>3244</v>
      </c>
      <c r="G1626" t="str">
        <f ca="1">PROPER(Table1[[#This Row],[Part Time 
Job]])</f>
        <v>True</v>
      </c>
      <c r="H1626" s="3">
        <v>7</v>
      </c>
      <c r="I1626" t="str">
        <f ca="1">PROPER(Table1[[#This Row],[Extracurricular 
Activities]])</f>
        <v>False</v>
      </c>
      <c r="J1626">
        <v>29</v>
      </c>
      <c r="K1626" t="s">
        <v>3123</v>
      </c>
      <c r="L1626">
        <v>93</v>
      </c>
      <c r="M1626" s="12" t="str" cm="1">
        <f t="array" ref="M162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626">
        <v>64</v>
      </c>
      <c r="O1626" s="13" t="str" cm="1">
        <f t="array" ref="O162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626">
        <v>86</v>
      </c>
      <c r="Q1626" s="13" t="str" cm="1">
        <f t="array" ref="Q162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626">
        <v>82</v>
      </c>
      <c r="S1626" t="str" cm="1">
        <f t="array" ref="S162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626">
        <v>35</v>
      </c>
      <c r="U1626" t="str" cm="1">
        <f t="array" ref="U162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F</v>
      </c>
      <c r="V1626">
        <v>73</v>
      </c>
      <c r="W1626" t="str" cm="1">
        <f t="array" ref="W162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626">
        <v>84</v>
      </c>
      <c r="Y1626" t="str" cm="1">
        <f t="array" ref="Y162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626">
        <f>SUM(Table1[[#This Row],[Math 
Score]],Table1[[#This Row],[History 
Score]],Table1[[#This Row],[Physics 
Score]],Table1[[#This Row],[Chemistry 
Score]],Table1[[#This Row],[Biology 
Score]],Table1[[#This Row],[English 
Score]],Table1[[#This Row],[Geography 
Score]])</f>
        <v>517</v>
      </c>
      <c r="AA1626" s="3">
        <f>AVERAGE(Table1[[#This Row],[Math 
Score]],Table1[[#This Row],[History 
Score]],Table1[[#This Row],[Physics 
Score]],Table1[[#This Row],[Chemistry 
Score]],Table1[[#This Row],[Biology 
Score]],Table1[[#This Row],[English 
Score]],Table1[[#This Row],[Geography 
Score]])</f>
        <v>73.857142857142861</v>
      </c>
      <c r="AB162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626">
        <f t="shared" si="25"/>
        <v>1781</v>
      </c>
      <c r="AD1626" t="str">
        <f>_xlfn.IFS(Table1[[#This Row],[Absence 
Days]]&lt;3,"Excellent",Table1[[#This Row],[Absence 
Days]]&lt;=6,"Good",Table1[[#This Row],[Absence 
Days]]&gt;6,"Poor")</f>
        <v>Poor</v>
      </c>
    </row>
    <row r="1627" spans="1:30" x14ac:dyDescent="0.35">
      <c r="A1627">
        <v>1626</v>
      </c>
      <c r="B1627" s="2" t="s">
        <v>137</v>
      </c>
      <c r="C1627" t="s">
        <v>1053</v>
      </c>
      <c r="D1627" t="str">
        <f>_xlfn.TEXTJOIN(" ",TRUE,Table1[[#This Row],[First 
Name]:[Last 
Name]])</f>
        <v>Karen Ramsey</v>
      </c>
      <c r="E1627" t="s">
        <v>2737</v>
      </c>
      <c r="F1627" t="s">
        <v>3245</v>
      </c>
      <c r="G1627" t="str">
        <f ca="1">PROPER(Table1[[#This Row],[Part Time 
Job]])</f>
        <v>False</v>
      </c>
      <c r="H1627" s="3">
        <v>4</v>
      </c>
      <c r="I1627" t="str">
        <f ca="1">PROPER(Table1[[#This Row],[Extracurricular 
Activities]])</f>
        <v>False</v>
      </c>
      <c r="J1627">
        <v>31</v>
      </c>
      <c r="K1627" t="s">
        <v>3112</v>
      </c>
      <c r="L1627">
        <v>73</v>
      </c>
      <c r="M1627" s="12" t="str" cm="1">
        <f t="array" ref="M1627">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627">
        <v>95</v>
      </c>
      <c r="O1627" s="13" t="str" cm="1">
        <f t="array" ref="O162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627">
        <v>78</v>
      </c>
      <c r="Q1627" s="13" t="str" cm="1">
        <f t="array" ref="Q162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627">
        <v>79</v>
      </c>
      <c r="S1627" t="str" cm="1">
        <f t="array" ref="S162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627">
        <v>84</v>
      </c>
      <c r="U1627" t="str" cm="1">
        <f t="array" ref="U162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627">
        <v>89</v>
      </c>
      <c r="W1627" t="str" cm="1">
        <f t="array" ref="W162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627">
        <v>96</v>
      </c>
      <c r="Y1627" t="str" cm="1">
        <f t="array" ref="Y162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627">
        <f>SUM(Table1[[#This Row],[Math 
Score]],Table1[[#This Row],[History 
Score]],Table1[[#This Row],[Physics 
Score]],Table1[[#This Row],[Chemistry 
Score]],Table1[[#This Row],[Biology 
Score]],Table1[[#This Row],[English 
Score]],Table1[[#This Row],[Geography 
Score]])</f>
        <v>594</v>
      </c>
      <c r="AA1627" s="3">
        <f>AVERAGE(Table1[[#This Row],[Math 
Score]],Table1[[#This Row],[History 
Score]],Table1[[#This Row],[Physics 
Score]],Table1[[#This Row],[Chemistry 
Score]],Table1[[#This Row],[Biology 
Score]],Table1[[#This Row],[English 
Score]],Table1[[#This Row],[Geography 
Score]])</f>
        <v>84.857142857142861</v>
      </c>
      <c r="AB162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627">
        <f t="shared" si="25"/>
        <v>479</v>
      </c>
      <c r="AD1627" t="str">
        <f>_xlfn.IFS(Table1[[#This Row],[Absence 
Days]]&lt;3,"Excellent",Table1[[#This Row],[Absence 
Days]]&lt;=6,"Good",Table1[[#This Row],[Absence 
Days]]&gt;6,"Poor")</f>
        <v>Good</v>
      </c>
    </row>
    <row r="1628" spans="1:30" x14ac:dyDescent="0.35">
      <c r="A1628">
        <v>1627</v>
      </c>
      <c r="B1628" s="2" t="s">
        <v>258</v>
      </c>
      <c r="C1628" t="s">
        <v>863</v>
      </c>
      <c r="D1628" t="str">
        <f>_xlfn.TEXTJOIN(" ",TRUE,Table1[[#This Row],[First 
Name]:[Last 
Name]])</f>
        <v>Monica Dalton</v>
      </c>
      <c r="E1628" t="s">
        <v>2738</v>
      </c>
      <c r="F1628" t="s">
        <v>3245</v>
      </c>
      <c r="G1628" t="str">
        <f ca="1">PROPER(Table1[[#This Row],[Part Time 
Job]])</f>
        <v>False</v>
      </c>
      <c r="H1628" s="3">
        <v>6</v>
      </c>
      <c r="I1628" t="str">
        <f ca="1">PROPER(Table1[[#This Row],[Extracurricular 
Activities]])</f>
        <v>False</v>
      </c>
      <c r="J1628">
        <v>5</v>
      </c>
      <c r="K1628" t="s">
        <v>3128</v>
      </c>
      <c r="L1628">
        <v>64</v>
      </c>
      <c r="M1628" s="12" t="str" cm="1">
        <f t="array" ref="M1628">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628">
        <v>61</v>
      </c>
      <c r="O1628" s="13" t="str" cm="1">
        <f t="array" ref="O162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628">
        <v>76</v>
      </c>
      <c r="Q1628" s="13" t="str" cm="1">
        <f t="array" ref="Q162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628">
        <v>100</v>
      </c>
      <c r="S1628" t="str" cm="1">
        <f t="array" ref="S162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628">
        <v>93</v>
      </c>
      <c r="U1628" t="str" cm="1">
        <f t="array" ref="U162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628">
        <v>61</v>
      </c>
      <c r="W1628" t="str" cm="1">
        <f t="array" ref="W162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628">
        <v>65</v>
      </c>
      <c r="Y1628" t="str" cm="1">
        <f t="array" ref="Y162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628">
        <f>SUM(Table1[[#This Row],[Math 
Score]],Table1[[#This Row],[History 
Score]],Table1[[#This Row],[Physics 
Score]],Table1[[#This Row],[Chemistry 
Score]],Table1[[#This Row],[Biology 
Score]],Table1[[#This Row],[English 
Score]],Table1[[#This Row],[Geography 
Score]])</f>
        <v>520</v>
      </c>
      <c r="AA1628" s="3">
        <f>AVERAGE(Table1[[#This Row],[Math 
Score]],Table1[[#This Row],[History 
Score]],Table1[[#This Row],[Physics 
Score]],Table1[[#This Row],[Chemistry 
Score]],Table1[[#This Row],[Biology 
Score]],Table1[[#This Row],[English 
Score]],Table1[[#This Row],[Geography 
Score]])</f>
        <v>74.285714285714292</v>
      </c>
      <c r="AB162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628">
        <f t="shared" si="25"/>
        <v>1753</v>
      </c>
      <c r="AD1628" t="str">
        <f>_xlfn.IFS(Table1[[#This Row],[Absence 
Days]]&lt;3,"Excellent",Table1[[#This Row],[Absence 
Days]]&lt;=6,"Good",Table1[[#This Row],[Absence 
Days]]&gt;6,"Poor")</f>
        <v>Good</v>
      </c>
    </row>
    <row r="1629" spans="1:30" x14ac:dyDescent="0.35">
      <c r="A1629">
        <v>1628</v>
      </c>
      <c r="B1629" s="2" t="s">
        <v>202</v>
      </c>
      <c r="C1629" t="s">
        <v>1054</v>
      </c>
      <c r="D1629" t="str">
        <f>_xlfn.TEXTJOIN(" ",TRUE,Table1[[#This Row],[First 
Name]:[Last 
Name]])</f>
        <v>Gary Odonnell</v>
      </c>
      <c r="E1629" t="s">
        <v>2739</v>
      </c>
      <c r="F1629" t="s">
        <v>3244</v>
      </c>
      <c r="G1629" t="str">
        <f ca="1">PROPER(Table1[[#This Row],[Part Time 
Job]])</f>
        <v>False</v>
      </c>
      <c r="H1629" s="3">
        <v>1</v>
      </c>
      <c r="I1629" t="str">
        <f ca="1">PROPER(Table1[[#This Row],[Extracurricular 
Activities]])</f>
        <v>True</v>
      </c>
      <c r="J1629">
        <v>25</v>
      </c>
      <c r="K1629" t="s">
        <v>3112</v>
      </c>
      <c r="L1629">
        <v>76</v>
      </c>
      <c r="M1629" s="12" t="str" cm="1">
        <f t="array" ref="M162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629">
        <v>87</v>
      </c>
      <c r="O1629" s="13" t="str" cm="1">
        <f t="array" ref="O162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629">
        <v>98</v>
      </c>
      <c r="Q1629" s="13" t="str" cm="1">
        <f t="array" ref="Q162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629">
        <v>88</v>
      </c>
      <c r="S1629" t="str" cm="1">
        <f t="array" ref="S162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629">
        <v>94</v>
      </c>
      <c r="U1629" t="str" cm="1">
        <f t="array" ref="U162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629">
        <v>86</v>
      </c>
      <c r="W1629" t="str" cm="1">
        <f t="array" ref="W162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629">
        <v>64</v>
      </c>
      <c r="Y1629" t="str" cm="1">
        <f t="array" ref="Y162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629">
        <f>SUM(Table1[[#This Row],[Math 
Score]],Table1[[#This Row],[History 
Score]],Table1[[#This Row],[Physics 
Score]],Table1[[#This Row],[Chemistry 
Score]],Table1[[#This Row],[Biology 
Score]],Table1[[#This Row],[English 
Score]],Table1[[#This Row],[Geography 
Score]])</f>
        <v>593</v>
      </c>
      <c r="AA1629" s="3">
        <f>AVERAGE(Table1[[#This Row],[Math 
Score]],Table1[[#This Row],[History 
Score]],Table1[[#This Row],[Physics 
Score]],Table1[[#This Row],[Chemistry 
Score]],Table1[[#This Row],[Biology 
Score]],Table1[[#This Row],[English 
Score]],Table1[[#This Row],[Geography 
Score]])</f>
        <v>84.714285714285708</v>
      </c>
      <c r="AB162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629">
        <f t="shared" si="25"/>
        <v>494</v>
      </c>
      <c r="AD1629" t="str">
        <f>_xlfn.IFS(Table1[[#This Row],[Absence 
Days]]&lt;3,"Excellent",Table1[[#This Row],[Absence 
Days]]&lt;=6,"Good",Table1[[#This Row],[Absence 
Days]]&gt;6,"Poor")</f>
        <v>Excellent</v>
      </c>
    </row>
    <row r="1630" spans="1:30" x14ac:dyDescent="0.35">
      <c r="A1630">
        <v>1629</v>
      </c>
      <c r="B1630" s="2" t="s">
        <v>299</v>
      </c>
      <c r="C1630" t="s">
        <v>192</v>
      </c>
      <c r="D1630" t="str">
        <f>_xlfn.TEXTJOIN(" ",TRUE,Table1[[#This Row],[First 
Name]:[Last 
Name]])</f>
        <v>Ann Scott</v>
      </c>
      <c r="E1630" t="s">
        <v>2740</v>
      </c>
      <c r="F1630" t="s">
        <v>3245</v>
      </c>
      <c r="G1630" t="str">
        <f ca="1">PROPER(Table1[[#This Row],[Part Time 
Job]])</f>
        <v>False</v>
      </c>
      <c r="H1630" s="3">
        <v>2</v>
      </c>
      <c r="I1630" t="str">
        <f ca="1">PROPER(Table1[[#This Row],[Extracurricular 
Activities]])</f>
        <v>False</v>
      </c>
      <c r="J1630">
        <v>22</v>
      </c>
      <c r="K1630" t="s">
        <v>3127</v>
      </c>
      <c r="L1630">
        <v>91</v>
      </c>
      <c r="M1630" s="12" t="str" cm="1">
        <f t="array" ref="M163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630">
        <v>93</v>
      </c>
      <c r="O1630" s="13" t="str" cm="1">
        <f t="array" ref="O163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630">
        <v>82</v>
      </c>
      <c r="Q1630" s="13" t="str" cm="1">
        <f t="array" ref="Q163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630">
        <v>81</v>
      </c>
      <c r="S1630" t="str" cm="1">
        <f t="array" ref="S163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630">
        <v>95</v>
      </c>
      <c r="U1630" t="str" cm="1">
        <f t="array" ref="U163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630">
        <v>91</v>
      </c>
      <c r="W1630" t="str" cm="1">
        <f t="array" ref="W163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630">
        <v>70</v>
      </c>
      <c r="Y1630" t="str" cm="1">
        <f t="array" ref="Y163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630">
        <f>SUM(Table1[[#This Row],[Math 
Score]],Table1[[#This Row],[History 
Score]],Table1[[#This Row],[Physics 
Score]],Table1[[#This Row],[Chemistry 
Score]],Table1[[#This Row],[Biology 
Score]],Table1[[#This Row],[English 
Score]],Table1[[#This Row],[Geography 
Score]])</f>
        <v>603</v>
      </c>
      <c r="AA1630" s="3">
        <f>AVERAGE(Table1[[#This Row],[Math 
Score]],Table1[[#This Row],[History 
Score]],Table1[[#This Row],[Physics 
Score]],Table1[[#This Row],[Chemistry 
Score]],Table1[[#This Row],[Biology 
Score]],Table1[[#This Row],[English 
Score]],Table1[[#This Row],[Geography 
Score]])</f>
        <v>86.142857142857139</v>
      </c>
      <c r="AB163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630">
        <f t="shared" si="25"/>
        <v>370</v>
      </c>
      <c r="AD1630" t="str">
        <f>_xlfn.IFS(Table1[[#This Row],[Absence 
Days]]&lt;3,"Excellent",Table1[[#This Row],[Absence 
Days]]&lt;=6,"Good",Table1[[#This Row],[Absence 
Days]]&gt;6,"Poor")</f>
        <v>Excellent</v>
      </c>
    </row>
    <row r="1631" spans="1:30" x14ac:dyDescent="0.35">
      <c r="A1631">
        <v>1630</v>
      </c>
      <c r="B1631" s="2" t="s">
        <v>102</v>
      </c>
      <c r="C1631" t="s">
        <v>294</v>
      </c>
      <c r="D1631" t="str">
        <f>_xlfn.TEXTJOIN(" ",TRUE,Table1[[#This Row],[First 
Name]:[Last 
Name]])</f>
        <v>Jessica Jackson</v>
      </c>
      <c r="E1631" t="s">
        <v>2741</v>
      </c>
      <c r="F1631" t="s">
        <v>3245</v>
      </c>
      <c r="G1631" t="str">
        <f ca="1">PROPER(Table1[[#This Row],[Part Time 
Job]])</f>
        <v>False</v>
      </c>
      <c r="H1631" s="3">
        <v>8</v>
      </c>
      <c r="I1631" t="str">
        <f ca="1">PROPER(Table1[[#This Row],[Extracurricular 
Activities]])</f>
        <v>True</v>
      </c>
      <c r="J1631">
        <v>1</v>
      </c>
      <c r="K1631" t="s">
        <v>3119</v>
      </c>
      <c r="L1631">
        <v>70</v>
      </c>
      <c r="M1631" s="12" t="str" cm="1">
        <f t="array" ref="M1631">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631">
        <v>98</v>
      </c>
      <c r="O1631" s="13" t="str" cm="1">
        <f t="array" ref="O163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631">
        <v>51</v>
      </c>
      <c r="Q1631" s="13" t="str" cm="1">
        <f t="array" ref="Q163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C</v>
      </c>
      <c r="R1631">
        <v>51</v>
      </c>
      <c r="S1631" t="str" cm="1">
        <f t="array" ref="S163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C</v>
      </c>
      <c r="T1631">
        <v>96</v>
      </c>
      <c r="U1631" t="str" cm="1">
        <f t="array" ref="U163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631">
        <v>96</v>
      </c>
      <c r="W1631" t="str" cm="1">
        <f t="array" ref="W163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631">
        <v>70</v>
      </c>
      <c r="Y1631" t="str" cm="1">
        <f t="array" ref="Y163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631">
        <f>SUM(Table1[[#This Row],[Math 
Score]],Table1[[#This Row],[History 
Score]],Table1[[#This Row],[Physics 
Score]],Table1[[#This Row],[Chemistry 
Score]],Table1[[#This Row],[Biology 
Score]],Table1[[#This Row],[English 
Score]],Table1[[#This Row],[Geography 
Score]])</f>
        <v>532</v>
      </c>
      <c r="AA1631" s="3">
        <f>AVERAGE(Table1[[#This Row],[Math 
Score]],Table1[[#This Row],[History 
Score]],Table1[[#This Row],[Physics 
Score]],Table1[[#This Row],[Chemistry 
Score]],Table1[[#This Row],[Biology 
Score]],Table1[[#This Row],[English 
Score]],Table1[[#This Row],[Geography 
Score]])</f>
        <v>76</v>
      </c>
      <c r="AB163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631">
        <f t="shared" si="25"/>
        <v>1622</v>
      </c>
      <c r="AD1631" t="str">
        <f>_xlfn.IFS(Table1[[#This Row],[Absence 
Days]]&lt;3,"Excellent",Table1[[#This Row],[Absence 
Days]]&lt;=6,"Good",Table1[[#This Row],[Absence 
Days]]&gt;6,"Poor")</f>
        <v>Poor</v>
      </c>
    </row>
    <row r="1632" spans="1:30" x14ac:dyDescent="0.35">
      <c r="A1632">
        <v>1631</v>
      </c>
      <c r="B1632" s="2" t="s">
        <v>39</v>
      </c>
      <c r="C1632" t="s">
        <v>925</v>
      </c>
      <c r="D1632" t="str">
        <f>_xlfn.TEXTJOIN(" ",TRUE,Table1[[#This Row],[First 
Name]:[Last 
Name]])</f>
        <v>Lauren Morrison</v>
      </c>
      <c r="E1632" t="s">
        <v>2742</v>
      </c>
      <c r="F1632" t="s">
        <v>3245</v>
      </c>
      <c r="G1632" t="str">
        <f ca="1">PROPER(Table1[[#This Row],[Part Time 
Job]])</f>
        <v>False</v>
      </c>
      <c r="H1632" s="3">
        <v>5</v>
      </c>
      <c r="I1632" t="str">
        <f ca="1">PROPER(Table1[[#This Row],[Extracurricular 
Activities]])</f>
        <v>False</v>
      </c>
      <c r="J1632">
        <v>26</v>
      </c>
      <c r="K1632" t="s">
        <v>3113</v>
      </c>
      <c r="L1632">
        <v>90</v>
      </c>
      <c r="M1632" s="12" t="str" cm="1">
        <f t="array" ref="M163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632">
        <v>92</v>
      </c>
      <c r="O1632" s="13" t="str" cm="1">
        <f t="array" ref="O163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632">
        <v>95</v>
      </c>
      <c r="Q1632" s="13" t="str" cm="1">
        <f t="array" ref="Q163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632">
        <v>85</v>
      </c>
      <c r="S1632" t="str" cm="1">
        <f t="array" ref="S163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632">
        <v>93</v>
      </c>
      <c r="U1632" t="str" cm="1">
        <f t="array" ref="U163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632">
        <v>69</v>
      </c>
      <c r="W1632" t="str" cm="1">
        <f t="array" ref="W163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632">
        <v>65</v>
      </c>
      <c r="Y1632" t="str" cm="1">
        <f t="array" ref="Y163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632">
        <f>SUM(Table1[[#This Row],[Math 
Score]],Table1[[#This Row],[History 
Score]],Table1[[#This Row],[Physics 
Score]],Table1[[#This Row],[Chemistry 
Score]],Table1[[#This Row],[Biology 
Score]],Table1[[#This Row],[English 
Score]],Table1[[#This Row],[Geography 
Score]])</f>
        <v>589</v>
      </c>
      <c r="AA1632" s="3">
        <f>AVERAGE(Table1[[#This Row],[Math 
Score]],Table1[[#This Row],[History 
Score]],Table1[[#This Row],[Physics 
Score]],Table1[[#This Row],[Chemistry 
Score]],Table1[[#This Row],[Biology 
Score]],Table1[[#This Row],[English 
Score]],Table1[[#This Row],[Geography 
Score]])</f>
        <v>84.142857142857139</v>
      </c>
      <c r="AB163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632">
        <f t="shared" si="25"/>
        <v>548</v>
      </c>
      <c r="AD1632" t="str">
        <f>_xlfn.IFS(Table1[[#This Row],[Absence 
Days]]&lt;3,"Excellent",Table1[[#This Row],[Absence 
Days]]&lt;=6,"Good",Table1[[#This Row],[Absence 
Days]]&gt;6,"Poor")</f>
        <v>Good</v>
      </c>
    </row>
    <row r="1633" spans="1:30" x14ac:dyDescent="0.35">
      <c r="A1633">
        <v>1632</v>
      </c>
      <c r="B1633" s="2" t="s">
        <v>261</v>
      </c>
      <c r="C1633" t="s">
        <v>527</v>
      </c>
      <c r="D1633" t="str">
        <f>_xlfn.TEXTJOIN(" ",TRUE,Table1[[#This Row],[First 
Name]:[Last 
Name]])</f>
        <v>Alexander Brown</v>
      </c>
      <c r="E1633" t="s">
        <v>2743</v>
      </c>
      <c r="F1633" t="s">
        <v>3244</v>
      </c>
      <c r="G1633" t="str">
        <f ca="1">PROPER(Table1[[#This Row],[Part Time 
Job]])</f>
        <v>False</v>
      </c>
      <c r="H1633" s="3">
        <v>9</v>
      </c>
      <c r="I1633" t="str">
        <f ca="1">PROPER(Table1[[#This Row],[Extracurricular 
Activities]])</f>
        <v>False</v>
      </c>
      <c r="J1633">
        <v>3</v>
      </c>
      <c r="K1633" t="s">
        <v>3119</v>
      </c>
      <c r="L1633">
        <v>93</v>
      </c>
      <c r="M1633" s="12" t="str" cm="1">
        <f t="array" ref="M163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633">
        <v>83</v>
      </c>
      <c r="O1633" s="13" t="str" cm="1">
        <f t="array" ref="O163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633">
        <v>61</v>
      </c>
      <c r="Q1633" s="13" t="str" cm="1">
        <f t="array" ref="Q163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633">
        <v>95</v>
      </c>
      <c r="S1633" t="str" cm="1">
        <f t="array" ref="S163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633">
        <v>70</v>
      </c>
      <c r="U1633" t="str" cm="1">
        <f t="array" ref="U163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633">
        <v>93</v>
      </c>
      <c r="W1633" t="str" cm="1">
        <f t="array" ref="W163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633">
        <v>65</v>
      </c>
      <c r="Y1633" t="str" cm="1">
        <f t="array" ref="Y163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633">
        <f>SUM(Table1[[#This Row],[Math 
Score]],Table1[[#This Row],[History 
Score]],Table1[[#This Row],[Physics 
Score]],Table1[[#This Row],[Chemistry 
Score]],Table1[[#This Row],[Biology 
Score]],Table1[[#This Row],[English 
Score]],Table1[[#This Row],[Geography 
Score]])</f>
        <v>560</v>
      </c>
      <c r="AA1633" s="3">
        <f>AVERAGE(Table1[[#This Row],[Math 
Score]],Table1[[#This Row],[History 
Score]],Table1[[#This Row],[Physics 
Score]],Table1[[#This Row],[Chemistry 
Score]],Table1[[#This Row],[Biology 
Score]],Table1[[#This Row],[English 
Score]],Table1[[#This Row],[Geography 
Score]])</f>
        <v>80</v>
      </c>
      <c r="AB163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633">
        <f t="shared" si="25"/>
        <v>1134</v>
      </c>
      <c r="AD1633" t="str">
        <f>_xlfn.IFS(Table1[[#This Row],[Absence 
Days]]&lt;3,"Excellent",Table1[[#This Row],[Absence 
Days]]&lt;=6,"Good",Table1[[#This Row],[Absence 
Days]]&gt;6,"Poor")</f>
        <v>Poor</v>
      </c>
    </row>
    <row r="1634" spans="1:30" x14ac:dyDescent="0.35">
      <c r="A1634">
        <v>1633</v>
      </c>
      <c r="B1634" s="2" t="s">
        <v>80</v>
      </c>
      <c r="C1634" t="s">
        <v>458</v>
      </c>
      <c r="D1634" t="str">
        <f>_xlfn.TEXTJOIN(" ",TRUE,Table1[[#This Row],[First 
Name]:[Last 
Name]])</f>
        <v>Thomas Smith</v>
      </c>
      <c r="E1634" t="s">
        <v>2744</v>
      </c>
      <c r="F1634" t="s">
        <v>3244</v>
      </c>
      <c r="G1634" t="str">
        <f ca="1">PROPER(Table1[[#This Row],[Part Time 
Job]])</f>
        <v>True</v>
      </c>
      <c r="H1634" s="3">
        <v>7</v>
      </c>
      <c r="I1634" t="str">
        <f ca="1">PROPER(Table1[[#This Row],[Extracurricular 
Activities]])</f>
        <v>False</v>
      </c>
      <c r="J1634">
        <v>12</v>
      </c>
      <c r="K1634" t="s">
        <v>3116</v>
      </c>
      <c r="L1634">
        <v>61</v>
      </c>
      <c r="M1634" s="12" t="str" cm="1">
        <f t="array" ref="M1634">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634">
        <v>99</v>
      </c>
      <c r="O1634" s="13" t="str" cm="1">
        <f t="array" ref="O163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634">
        <v>66</v>
      </c>
      <c r="Q1634" s="13" t="str" cm="1">
        <f t="array" ref="Q163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634">
        <v>99</v>
      </c>
      <c r="S1634" t="str" cm="1">
        <f t="array" ref="S163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634">
        <v>100</v>
      </c>
      <c r="U1634" t="str" cm="1">
        <f t="array" ref="U163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634">
        <v>70</v>
      </c>
      <c r="W1634" t="str" cm="1">
        <f t="array" ref="W163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634">
        <v>60</v>
      </c>
      <c r="Y1634" t="str" cm="1">
        <f t="array" ref="Y163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634">
        <f>SUM(Table1[[#This Row],[Math 
Score]],Table1[[#This Row],[History 
Score]],Table1[[#This Row],[Physics 
Score]],Table1[[#This Row],[Chemistry 
Score]],Table1[[#This Row],[Biology 
Score]],Table1[[#This Row],[English 
Score]],Table1[[#This Row],[Geography 
Score]])</f>
        <v>555</v>
      </c>
      <c r="AA1634" s="3">
        <f>AVERAGE(Table1[[#This Row],[Math 
Score]],Table1[[#This Row],[History 
Score]],Table1[[#This Row],[Physics 
Score]],Table1[[#This Row],[Chemistry 
Score]],Table1[[#This Row],[Biology 
Score]],Table1[[#This Row],[English 
Score]],Table1[[#This Row],[Geography 
Score]])</f>
        <v>79.285714285714292</v>
      </c>
      <c r="AB163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634">
        <f t="shared" si="25"/>
        <v>1245</v>
      </c>
      <c r="AD1634" t="str">
        <f>_xlfn.IFS(Table1[[#This Row],[Absence 
Days]]&lt;3,"Excellent",Table1[[#This Row],[Absence 
Days]]&lt;=6,"Good",Table1[[#This Row],[Absence 
Days]]&gt;6,"Poor")</f>
        <v>Poor</v>
      </c>
    </row>
    <row r="1635" spans="1:30" x14ac:dyDescent="0.35">
      <c r="A1635">
        <v>1634</v>
      </c>
      <c r="B1635" s="2" t="s">
        <v>17</v>
      </c>
      <c r="C1635" t="s">
        <v>614</v>
      </c>
      <c r="D1635" t="str">
        <f>_xlfn.TEXTJOIN(" ",TRUE,Table1[[#This Row],[First 
Name]:[Last 
Name]])</f>
        <v>Jonathan Torres</v>
      </c>
      <c r="E1635" t="s">
        <v>2745</v>
      </c>
      <c r="F1635" t="s">
        <v>3244</v>
      </c>
      <c r="G1635" t="str">
        <f ca="1">PROPER(Table1[[#This Row],[Part Time 
Job]])</f>
        <v>False</v>
      </c>
      <c r="H1635" s="3">
        <v>1</v>
      </c>
      <c r="I1635" t="str">
        <f ca="1">PROPER(Table1[[#This Row],[Extracurricular 
Activities]])</f>
        <v>False</v>
      </c>
      <c r="J1635">
        <v>1</v>
      </c>
      <c r="K1635" t="s">
        <v>3119</v>
      </c>
      <c r="L1635">
        <v>51</v>
      </c>
      <c r="M1635" s="12" t="str" cm="1">
        <f t="array" ref="M1635">_xlfn.IFS(Table1[[#This Row],[Math 
Score]]&gt;=90,"A+",Table1[[#This Row],[Math 
Score]]&gt;=80,"A", Table1[[#This Row],[Math 
Score]]&gt;=75,"A-",Table1[[#This Row],[Math 
Score]]&gt;=70,"B+",Table1[[#This Row],[Math 
Score]]&gt;=65,"B",Table1[[#This Row],[Math 
Score]]&gt;=60,"B-",Table1[[#This Row],[Math 
Score]]&gt;=50,"C",Table1[[#This Row],[Math 
Score]]&gt;=40,"D",Table1[[#This Row],[Math 
Score]]&lt;40,"F")</f>
        <v>C</v>
      </c>
      <c r="N1635">
        <v>69</v>
      </c>
      <c r="O1635" s="13" t="str" cm="1">
        <f t="array" ref="O163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635">
        <v>85</v>
      </c>
      <c r="Q1635" s="13" t="str" cm="1">
        <f t="array" ref="Q163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635">
        <v>61</v>
      </c>
      <c r="S1635" t="str" cm="1">
        <f t="array" ref="S163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635">
        <v>59</v>
      </c>
      <c r="U1635" t="str" cm="1">
        <f t="array" ref="U163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C</v>
      </c>
      <c r="V1635">
        <v>81</v>
      </c>
      <c r="W1635" t="str" cm="1">
        <f t="array" ref="W163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635">
        <v>63</v>
      </c>
      <c r="Y1635" t="str" cm="1">
        <f t="array" ref="Y163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635">
        <f>SUM(Table1[[#This Row],[Math 
Score]],Table1[[#This Row],[History 
Score]],Table1[[#This Row],[Physics 
Score]],Table1[[#This Row],[Chemistry 
Score]],Table1[[#This Row],[Biology 
Score]],Table1[[#This Row],[English 
Score]],Table1[[#This Row],[Geography 
Score]])</f>
        <v>469</v>
      </c>
      <c r="AA1635" s="3">
        <f>AVERAGE(Table1[[#This Row],[Math 
Score]],Table1[[#This Row],[History 
Score]],Table1[[#This Row],[Physics 
Score]],Table1[[#This Row],[Chemistry 
Score]],Table1[[#This Row],[Biology 
Score]],Table1[[#This Row],[English 
Score]],Table1[[#This Row],[Geography 
Score]])</f>
        <v>67</v>
      </c>
      <c r="AB163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635">
        <f t="shared" si="25"/>
        <v>1963</v>
      </c>
      <c r="AD1635" t="str">
        <f>_xlfn.IFS(Table1[[#This Row],[Absence 
Days]]&lt;3,"Excellent",Table1[[#This Row],[Absence 
Days]]&lt;=6,"Good",Table1[[#This Row],[Absence 
Days]]&gt;6,"Poor")</f>
        <v>Excellent</v>
      </c>
    </row>
    <row r="1636" spans="1:30" x14ac:dyDescent="0.35">
      <c r="A1636">
        <v>1635</v>
      </c>
      <c r="B1636" s="2" t="s">
        <v>173</v>
      </c>
      <c r="C1636" t="s">
        <v>231</v>
      </c>
      <c r="D1636" t="str">
        <f>_xlfn.TEXTJOIN(" ",TRUE,Table1[[#This Row],[First 
Name]:[Last 
Name]])</f>
        <v>Robin Daniel</v>
      </c>
      <c r="E1636" t="s">
        <v>2746</v>
      </c>
      <c r="F1636" t="s">
        <v>3245</v>
      </c>
      <c r="G1636" t="str">
        <f ca="1">PROPER(Table1[[#This Row],[Part Time 
Job]])</f>
        <v>False</v>
      </c>
      <c r="H1636" s="3">
        <v>4</v>
      </c>
      <c r="I1636" t="str">
        <f ca="1">PROPER(Table1[[#This Row],[Extracurricular 
Activities]])</f>
        <v>True</v>
      </c>
      <c r="J1636">
        <v>18</v>
      </c>
      <c r="K1636" t="s">
        <v>3116</v>
      </c>
      <c r="L1636">
        <v>91</v>
      </c>
      <c r="M1636" s="12" t="str" cm="1">
        <f t="array" ref="M163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636">
        <v>72</v>
      </c>
      <c r="O1636" s="13" t="str" cm="1">
        <f t="array" ref="O163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636">
        <v>69</v>
      </c>
      <c r="Q1636" s="13" t="str" cm="1">
        <f t="array" ref="Q163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636">
        <v>88</v>
      </c>
      <c r="S1636" t="str" cm="1">
        <f t="array" ref="S163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636">
        <v>92</v>
      </c>
      <c r="U1636" t="str" cm="1">
        <f t="array" ref="U163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636">
        <v>61</v>
      </c>
      <c r="W1636" t="str" cm="1">
        <f t="array" ref="W163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636">
        <v>76</v>
      </c>
      <c r="Y1636" t="str" cm="1">
        <f t="array" ref="Y163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636">
        <f>SUM(Table1[[#This Row],[Math 
Score]],Table1[[#This Row],[History 
Score]],Table1[[#This Row],[Physics 
Score]],Table1[[#This Row],[Chemistry 
Score]],Table1[[#This Row],[Biology 
Score]],Table1[[#This Row],[English 
Score]],Table1[[#This Row],[Geography 
Score]])</f>
        <v>549</v>
      </c>
      <c r="AA1636" s="3">
        <f>AVERAGE(Table1[[#This Row],[Math 
Score]],Table1[[#This Row],[History 
Score]],Table1[[#This Row],[Physics 
Score]],Table1[[#This Row],[Chemistry 
Score]],Table1[[#This Row],[Biology 
Score]],Table1[[#This Row],[English 
Score]],Table1[[#This Row],[Geography 
Score]])</f>
        <v>78.428571428571431</v>
      </c>
      <c r="AB163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636">
        <f t="shared" si="25"/>
        <v>1355</v>
      </c>
      <c r="AD1636" t="str">
        <f>_xlfn.IFS(Table1[[#This Row],[Absence 
Days]]&lt;3,"Excellent",Table1[[#This Row],[Absence 
Days]]&lt;=6,"Good",Table1[[#This Row],[Absence 
Days]]&gt;6,"Poor")</f>
        <v>Good</v>
      </c>
    </row>
    <row r="1637" spans="1:30" x14ac:dyDescent="0.35">
      <c r="A1637">
        <v>1636</v>
      </c>
      <c r="B1637" s="2" t="s">
        <v>4</v>
      </c>
      <c r="C1637" t="s">
        <v>578</v>
      </c>
      <c r="D1637" t="str">
        <f>_xlfn.TEXTJOIN(" ",TRUE,Table1[[#This Row],[First 
Name]:[Last 
Name]])</f>
        <v>Anthony Peterson</v>
      </c>
      <c r="E1637" t="s">
        <v>2747</v>
      </c>
      <c r="F1637" t="s">
        <v>3244</v>
      </c>
      <c r="G1637" t="str">
        <f ca="1">PROPER(Table1[[#This Row],[Part Time 
Job]])</f>
        <v>False</v>
      </c>
      <c r="H1637" s="3">
        <v>3</v>
      </c>
      <c r="I1637" t="str">
        <f ca="1">PROPER(Table1[[#This Row],[Extracurricular 
Activities]])</f>
        <v>False</v>
      </c>
      <c r="J1637">
        <v>27</v>
      </c>
      <c r="K1637" t="s">
        <v>3123</v>
      </c>
      <c r="L1637">
        <v>96</v>
      </c>
      <c r="M1637" s="12" t="str" cm="1">
        <f t="array" ref="M163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637">
        <v>64</v>
      </c>
      <c r="O1637" s="13" t="str" cm="1">
        <f t="array" ref="O163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637">
        <v>76</v>
      </c>
      <c r="Q1637" s="13" t="str" cm="1">
        <f t="array" ref="Q163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637">
        <v>97</v>
      </c>
      <c r="S1637" t="str" cm="1">
        <f t="array" ref="S163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637">
        <v>81</v>
      </c>
      <c r="U1637" t="str" cm="1">
        <f t="array" ref="U163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637">
        <v>87</v>
      </c>
      <c r="W1637" t="str" cm="1">
        <f t="array" ref="W163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637">
        <v>99</v>
      </c>
      <c r="Y1637" t="str" cm="1">
        <f t="array" ref="Y163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637">
        <f>SUM(Table1[[#This Row],[Math 
Score]],Table1[[#This Row],[History 
Score]],Table1[[#This Row],[Physics 
Score]],Table1[[#This Row],[Chemistry 
Score]],Table1[[#This Row],[Biology 
Score]],Table1[[#This Row],[English 
Score]],Table1[[#This Row],[Geography 
Score]])</f>
        <v>600</v>
      </c>
      <c r="AA1637" s="3">
        <f>AVERAGE(Table1[[#This Row],[Math 
Score]],Table1[[#This Row],[History 
Score]],Table1[[#This Row],[Physics 
Score]],Table1[[#This Row],[Chemistry 
Score]],Table1[[#This Row],[Biology 
Score]],Table1[[#This Row],[English 
Score]],Table1[[#This Row],[Geography 
Score]])</f>
        <v>85.714285714285708</v>
      </c>
      <c r="AB163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637">
        <f t="shared" si="25"/>
        <v>406</v>
      </c>
      <c r="AD1637" t="str">
        <f>_xlfn.IFS(Table1[[#This Row],[Absence 
Days]]&lt;3,"Excellent",Table1[[#This Row],[Absence 
Days]]&lt;=6,"Good",Table1[[#This Row],[Absence 
Days]]&gt;6,"Poor")</f>
        <v>Good</v>
      </c>
    </row>
    <row r="1638" spans="1:30" x14ac:dyDescent="0.35">
      <c r="A1638">
        <v>1637</v>
      </c>
      <c r="B1638" s="2" t="s">
        <v>182</v>
      </c>
      <c r="C1638" t="s">
        <v>1052</v>
      </c>
      <c r="D1638" t="str">
        <f>_xlfn.TEXTJOIN(" ",TRUE,Table1[[#This Row],[First 
Name]:[Last 
Name]])</f>
        <v>Ashley Blankenship</v>
      </c>
      <c r="E1638" t="s">
        <v>2748</v>
      </c>
      <c r="F1638" t="s">
        <v>3245</v>
      </c>
      <c r="G1638" t="str">
        <f ca="1">PROPER(Table1[[#This Row],[Part Time 
Job]])</f>
        <v>False</v>
      </c>
      <c r="H1638" s="3">
        <v>5</v>
      </c>
      <c r="I1638" t="str">
        <f ca="1">PROPER(Table1[[#This Row],[Extracurricular 
Activities]])</f>
        <v>False</v>
      </c>
      <c r="J1638">
        <v>24</v>
      </c>
      <c r="K1638" t="s">
        <v>3117</v>
      </c>
      <c r="L1638">
        <v>93</v>
      </c>
      <c r="M1638" s="12" t="str" cm="1">
        <f t="array" ref="M163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638">
        <v>75</v>
      </c>
      <c r="O1638" s="13" t="str" cm="1">
        <f t="array" ref="O163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638">
        <v>84</v>
      </c>
      <c r="Q1638" s="13" t="str" cm="1">
        <f t="array" ref="Q163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638">
        <v>66</v>
      </c>
      <c r="S1638" t="str" cm="1">
        <f t="array" ref="S163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638">
        <v>74</v>
      </c>
      <c r="U1638" t="str" cm="1">
        <f t="array" ref="U163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638">
        <v>99</v>
      </c>
      <c r="W1638" t="str" cm="1">
        <f t="array" ref="W163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638">
        <v>66</v>
      </c>
      <c r="Y1638" t="str" cm="1">
        <f t="array" ref="Y163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638">
        <f>SUM(Table1[[#This Row],[Math 
Score]],Table1[[#This Row],[History 
Score]],Table1[[#This Row],[Physics 
Score]],Table1[[#This Row],[Chemistry 
Score]],Table1[[#This Row],[Biology 
Score]],Table1[[#This Row],[English 
Score]],Table1[[#This Row],[Geography 
Score]])</f>
        <v>557</v>
      </c>
      <c r="AA1638" s="3">
        <f>AVERAGE(Table1[[#This Row],[Math 
Score]],Table1[[#This Row],[History 
Score]],Table1[[#This Row],[Physics 
Score]],Table1[[#This Row],[Chemistry 
Score]],Table1[[#This Row],[Biology 
Score]],Table1[[#This Row],[English 
Score]],Table1[[#This Row],[Geography 
Score]])</f>
        <v>79.571428571428569</v>
      </c>
      <c r="AB163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638">
        <f t="shared" si="25"/>
        <v>1200</v>
      </c>
      <c r="AD1638" t="str">
        <f>_xlfn.IFS(Table1[[#This Row],[Absence 
Days]]&lt;3,"Excellent",Table1[[#This Row],[Absence 
Days]]&lt;=6,"Good",Table1[[#This Row],[Absence 
Days]]&gt;6,"Poor")</f>
        <v>Good</v>
      </c>
    </row>
    <row r="1639" spans="1:30" x14ac:dyDescent="0.35">
      <c r="A1639">
        <v>1638</v>
      </c>
      <c r="B1639" s="2" t="s">
        <v>50</v>
      </c>
      <c r="C1639" t="s">
        <v>495</v>
      </c>
      <c r="D1639" t="str">
        <f>_xlfn.TEXTJOIN(" ",TRUE,Table1[[#This Row],[First 
Name]:[Last 
Name]])</f>
        <v>Jennifer Stewart</v>
      </c>
      <c r="E1639" t="s">
        <v>2749</v>
      </c>
      <c r="F1639" t="s">
        <v>3245</v>
      </c>
      <c r="G1639" t="str">
        <f ca="1">PROPER(Table1[[#This Row],[Part Time 
Job]])</f>
        <v>False</v>
      </c>
      <c r="H1639" s="3">
        <v>1</v>
      </c>
      <c r="I1639" t="str">
        <f ca="1">PROPER(Table1[[#This Row],[Extracurricular 
Activities]])</f>
        <v>True</v>
      </c>
      <c r="J1639">
        <v>19</v>
      </c>
      <c r="K1639" t="s">
        <v>3116</v>
      </c>
      <c r="L1639">
        <v>70</v>
      </c>
      <c r="M1639" s="12" t="str" cm="1">
        <f t="array" ref="M1639">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639">
        <v>96</v>
      </c>
      <c r="O1639" s="13" t="str" cm="1">
        <f t="array" ref="O163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639">
        <v>60</v>
      </c>
      <c r="Q1639" s="13" t="str" cm="1">
        <f t="array" ref="Q163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639">
        <v>87</v>
      </c>
      <c r="S1639" t="str" cm="1">
        <f t="array" ref="S163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639">
        <v>92</v>
      </c>
      <c r="U1639" t="str" cm="1">
        <f t="array" ref="U163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639">
        <v>63</v>
      </c>
      <c r="W1639" t="str" cm="1">
        <f t="array" ref="W163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639">
        <v>95</v>
      </c>
      <c r="Y1639" t="str" cm="1">
        <f t="array" ref="Y163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639">
        <f>SUM(Table1[[#This Row],[Math 
Score]],Table1[[#This Row],[History 
Score]],Table1[[#This Row],[Physics 
Score]],Table1[[#This Row],[Chemistry 
Score]],Table1[[#This Row],[Biology 
Score]],Table1[[#This Row],[English 
Score]],Table1[[#This Row],[Geography 
Score]])</f>
        <v>563</v>
      </c>
      <c r="AA1639" s="3">
        <f>AVERAGE(Table1[[#This Row],[Math 
Score]],Table1[[#This Row],[History 
Score]],Table1[[#This Row],[Physics 
Score]],Table1[[#This Row],[Chemistry 
Score]],Table1[[#This Row],[Biology 
Score]],Table1[[#This Row],[English 
Score]],Table1[[#This Row],[Geography 
Score]])</f>
        <v>80.428571428571431</v>
      </c>
      <c r="AB163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639">
        <f t="shared" si="25"/>
        <v>1077</v>
      </c>
      <c r="AD1639" t="str">
        <f>_xlfn.IFS(Table1[[#This Row],[Absence 
Days]]&lt;3,"Excellent",Table1[[#This Row],[Absence 
Days]]&lt;=6,"Good",Table1[[#This Row],[Absence 
Days]]&gt;6,"Poor")</f>
        <v>Excellent</v>
      </c>
    </row>
    <row r="1640" spans="1:30" x14ac:dyDescent="0.35">
      <c r="A1640">
        <v>1639</v>
      </c>
      <c r="B1640" s="2" t="s">
        <v>71</v>
      </c>
      <c r="C1640" t="s">
        <v>1055</v>
      </c>
      <c r="D1640" t="str">
        <f>_xlfn.TEXTJOIN(" ",TRUE,Table1[[#This Row],[First 
Name]:[Last 
Name]])</f>
        <v>James Compton</v>
      </c>
      <c r="E1640" t="s">
        <v>2750</v>
      </c>
      <c r="F1640" t="s">
        <v>3244</v>
      </c>
      <c r="G1640" t="str">
        <f ca="1">PROPER(Table1[[#This Row],[Part Time 
Job]])</f>
        <v>False</v>
      </c>
      <c r="H1640" s="3">
        <v>2</v>
      </c>
      <c r="I1640" t="str">
        <f ca="1">PROPER(Table1[[#This Row],[Extracurricular 
Activities]])</f>
        <v>False</v>
      </c>
      <c r="J1640">
        <v>47</v>
      </c>
      <c r="K1640" t="s">
        <v>3113</v>
      </c>
      <c r="L1640">
        <v>90</v>
      </c>
      <c r="M1640" s="12" t="str" cm="1">
        <f t="array" ref="M164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640">
        <v>90</v>
      </c>
      <c r="O1640" s="13" t="str" cm="1">
        <f t="array" ref="O164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640">
        <v>93</v>
      </c>
      <c r="Q1640" s="13" t="str" cm="1">
        <f t="array" ref="Q164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640">
        <v>87</v>
      </c>
      <c r="S1640" t="str" cm="1">
        <f t="array" ref="S164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640">
        <v>93</v>
      </c>
      <c r="U1640" t="str" cm="1">
        <f t="array" ref="U164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640">
        <v>99</v>
      </c>
      <c r="W1640" t="str" cm="1">
        <f t="array" ref="W164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640">
        <v>100</v>
      </c>
      <c r="Y1640" t="str" cm="1">
        <f t="array" ref="Y164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640">
        <f>SUM(Table1[[#This Row],[Math 
Score]],Table1[[#This Row],[History 
Score]],Table1[[#This Row],[Physics 
Score]],Table1[[#This Row],[Chemistry 
Score]],Table1[[#This Row],[Biology 
Score]],Table1[[#This Row],[English 
Score]],Table1[[#This Row],[Geography 
Score]])</f>
        <v>652</v>
      </c>
      <c r="AA1640" s="3">
        <f>AVERAGE(Table1[[#This Row],[Math 
Score]],Table1[[#This Row],[History 
Score]],Table1[[#This Row],[Physics 
Score]],Table1[[#This Row],[Chemistry 
Score]],Table1[[#This Row],[Biology 
Score]],Table1[[#This Row],[English 
Score]],Table1[[#This Row],[Geography 
Score]])</f>
        <v>93.142857142857139</v>
      </c>
      <c r="AB164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640">
        <f t="shared" si="25"/>
        <v>46</v>
      </c>
      <c r="AD1640" t="str">
        <f>_xlfn.IFS(Table1[[#This Row],[Absence 
Days]]&lt;3,"Excellent",Table1[[#This Row],[Absence 
Days]]&lt;=6,"Good",Table1[[#This Row],[Absence 
Days]]&gt;6,"Poor")</f>
        <v>Excellent</v>
      </c>
    </row>
    <row r="1641" spans="1:30" x14ac:dyDescent="0.35">
      <c r="A1641">
        <v>1640</v>
      </c>
      <c r="B1641" s="2" t="s">
        <v>40</v>
      </c>
      <c r="C1641" t="s">
        <v>980</v>
      </c>
      <c r="D1641" t="str">
        <f>_xlfn.TEXTJOIN(" ",TRUE,Table1[[#This Row],[First 
Name]:[Last 
Name]])</f>
        <v>David Bates</v>
      </c>
      <c r="E1641" t="s">
        <v>2751</v>
      </c>
      <c r="F1641" t="s">
        <v>3244</v>
      </c>
      <c r="G1641" t="str">
        <f ca="1">PROPER(Table1[[#This Row],[Part Time 
Job]])</f>
        <v>False</v>
      </c>
      <c r="H1641" s="3">
        <v>1</v>
      </c>
      <c r="I1641" t="str">
        <f ca="1">PROPER(Table1[[#This Row],[Extracurricular 
Activities]])</f>
        <v>False</v>
      </c>
      <c r="J1641">
        <v>11</v>
      </c>
      <c r="K1641" t="s">
        <v>3116</v>
      </c>
      <c r="L1641">
        <v>69</v>
      </c>
      <c r="M1641" s="12" t="str" cm="1">
        <f t="array" ref="M1641">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641">
        <v>78</v>
      </c>
      <c r="O1641" s="13" t="str" cm="1">
        <f t="array" ref="O164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641">
        <v>80</v>
      </c>
      <c r="Q1641" s="13" t="str" cm="1">
        <f t="array" ref="Q164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641">
        <v>60</v>
      </c>
      <c r="S1641" t="str" cm="1">
        <f t="array" ref="S164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641">
        <v>76</v>
      </c>
      <c r="U1641" t="str" cm="1">
        <f t="array" ref="U164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641">
        <v>86</v>
      </c>
      <c r="W1641" t="str" cm="1">
        <f t="array" ref="W164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641">
        <v>96</v>
      </c>
      <c r="Y1641" t="str" cm="1">
        <f t="array" ref="Y164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641">
        <f>SUM(Table1[[#This Row],[Math 
Score]],Table1[[#This Row],[History 
Score]],Table1[[#This Row],[Physics 
Score]],Table1[[#This Row],[Chemistry 
Score]],Table1[[#This Row],[Biology 
Score]],Table1[[#This Row],[English 
Score]],Table1[[#This Row],[Geography 
Score]])</f>
        <v>545</v>
      </c>
      <c r="AA1641" s="3">
        <f>AVERAGE(Table1[[#This Row],[Math 
Score]],Table1[[#This Row],[History 
Score]],Table1[[#This Row],[Physics 
Score]],Table1[[#This Row],[Chemistry 
Score]],Table1[[#This Row],[Biology 
Score]],Table1[[#This Row],[English 
Score]],Table1[[#This Row],[Geography 
Score]])</f>
        <v>77.857142857142861</v>
      </c>
      <c r="AB164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641">
        <f t="shared" si="25"/>
        <v>1432</v>
      </c>
      <c r="AD1641" t="str">
        <f>_xlfn.IFS(Table1[[#This Row],[Absence 
Days]]&lt;3,"Excellent",Table1[[#This Row],[Absence 
Days]]&lt;=6,"Good",Table1[[#This Row],[Absence 
Days]]&gt;6,"Poor")</f>
        <v>Excellent</v>
      </c>
    </row>
    <row r="1642" spans="1:30" x14ac:dyDescent="0.35">
      <c r="A1642">
        <v>1641</v>
      </c>
      <c r="B1642" s="2" t="s">
        <v>237</v>
      </c>
      <c r="C1642" t="s">
        <v>722</v>
      </c>
      <c r="D1642" t="str">
        <f>_xlfn.TEXTJOIN(" ",TRUE,Table1[[#This Row],[First 
Name]:[Last 
Name]])</f>
        <v>Stephanie Green</v>
      </c>
      <c r="E1642" t="s">
        <v>2752</v>
      </c>
      <c r="F1642" t="s">
        <v>3245</v>
      </c>
      <c r="G1642" t="str">
        <f ca="1">PROPER(Table1[[#This Row],[Part Time 
Job]])</f>
        <v>False</v>
      </c>
      <c r="H1642" s="3">
        <v>2</v>
      </c>
      <c r="I1642" t="str">
        <f ca="1">PROPER(Table1[[#This Row],[Extracurricular 
Activities]])</f>
        <v>False</v>
      </c>
      <c r="J1642">
        <v>29</v>
      </c>
      <c r="K1642" t="s">
        <v>3117</v>
      </c>
      <c r="L1642">
        <v>89</v>
      </c>
      <c r="M1642" s="12" t="str" cm="1">
        <f t="array" ref="M164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642">
        <v>90</v>
      </c>
      <c r="O1642" s="13" t="str" cm="1">
        <f t="array" ref="O164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642">
        <v>72</v>
      </c>
      <c r="Q1642" s="13" t="str" cm="1">
        <f t="array" ref="Q164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642">
        <v>98</v>
      </c>
      <c r="S1642" t="str" cm="1">
        <f t="array" ref="S164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642">
        <v>96</v>
      </c>
      <c r="U1642" t="str" cm="1">
        <f t="array" ref="U164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642">
        <v>84</v>
      </c>
      <c r="W1642" t="str" cm="1">
        <f t="array" ref="W164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642">
        <v>87</v>
      </c>
      <c r="Y1642" t="str" cm="1">
        <f t="array" ref="Y164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642">
        <f>SUM(Table1[[#This Row],[Math 
Score]],Table1[[#This Row],[History 
Score]],Table1[[#This Row],[Physics 
Score]],Table1[[#This Row],[Chemistry 
Score]],Table1[[#This Row],[Biology 
Score]],Table1[[#This Row],[English 
Score]],Table1[[#This Row],[Geography 
Score]])</f>
        <v>616</v>
      </c>
      <c r="AA1642" s="3">
        <f>AVERAGE(Table1[[#This Row],[Math 
Score]],Table1[[#This Row],[History 
Score]],Table1[[#This Row],[Physics 
Score]],Table1[[#This Row],[Chemistry 
Score]],Table1[[#This Row],[Biology 
Score]],Table1[[#This Row],[English 
Score]],Table1[[#This Row],[Geography 
Score]])</f>
        <v>88</v>
      </c>
      <c r="AB164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642">
        <f t="shared" si="25"/>
        <v>243</v>
      </c>
      <c r="AD1642" t="str">
        <f>_xlfn.IFS(Table1[[#This Row],[Absence 
Days]]&lt;3,"Excellent",Table1[[#This Row],[Absence 
Days]]&lt;=6,"Good",Table1[[#This Row],[Absence 
Days]]&gt;6,"Poor")</f>
        <v>Excellent</v>
      </c>
    </row>
    <row r="1643" spans="1:30" x14ac:dyDescent="0.35">
      <c r="A1643">
        <v>1642</v>
      </c>
      <c r="B1643" s="2" t="s">
        <v>425</v>
      </c>
      <c r="C1643" t="s">
        <v>470</v>
      </c>
      <c r="D1643" t="str">
        <f>_xlfn.TEXTJOIN(" ",TRUE,Table1[[#This Row],[First 
Name]:[Last 
Name]])</f>
        <v>Garrett Nichols</v>
      </c>
      <c r="E1643" t="s">
        <v>2753</v>
      </c>
      <c r="F1643" t="s">
        <v>3244</v>
      </c>
      <c r="G1643" t="str">
        <f ca="1">PROPER(Table1[[#This Row],[Part Time 
Job]])</f>
        <v>False</v>
      </c>
      <c r="H1643" s="3">
        <v>2</v>
      </c>
      <c r="I1643" t="str">
        <f ca="1">PROPER(Table1[[#This Row],[Extracurricular 
Activities]])</f>
        <v>True</v>
      </c>
      <c r="J1643">
        <v>14</v>
      </c>
      <c r="K1643" t="s">
        <v>3117</v>
      </c>
      <c r="L1643">
        <v>86</v>
      </c>
      <c r="M1643" s="12" t="str" cm="1">
        <f t="array" ref="M164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643">
        <v>99</v>
      </c>
      <c r="O1643" s="13" t="str" cm="1">
        <f t="array" ref="O164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643">
        <v>90</v>
      </c>
      <c r="Q1643" s="13" t="str" cm="1">
        <f t="array" ref="Q164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643">
        <v>61</v>
      </c>
      <c r="S1643" t="str" cm="1">
        <f t="array" ref="S164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643">
        <v>66</v>
      </c>
      <c r="U1643" t="str" cm="1">
        <f t="array" ref="U164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643">
        <v>96</v>
      </c>
      <c r="W1643" t="str" cm="1">
        <f t="array" ref="W164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643">
        <v>87</v>
      </c>
      <c r="Y1643" t="str" cm="1">
        <f t="array" ref="Y164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643">
        <f>SUM(Table1[[#This Row],[Math 
Score]],Table1[[#This Row],[History 
Score]],Table1[[#This Row],[Physics 
Score]],Table1[[#This Row],[Chemistry 
Score]],Table1[[#This Row],[Biology 
Score]],Table1[[#This Row],[English 
Score]],Table1[[#This Row],[Geography 
Score]])</f>
        <v>585</v>
      </c>
      <c r="AA1643" s="3">
        <f>AVERAGE(Table1[[#This Row],[Math 
Score]],Table1[[#This Row],[History 
Score]],Table1[[#This Row],[Physics 
Score]],Table1[[#This Row],[Chemistry 
Score]],Table1[[#This Row],[Biology 
Score]],Table1[[#This Row],[English 
Score]],Table1[[#This Row],[Geography 
Score]])</f>
        <v>83.571428571428569</v>
      </c>
      <c r="AB164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643">
        <f t="shared" si="25"/>
        <v>615</v>
      </c>
      <c r="AD1643" t="str">
        <f>_xlfn.IFS(Table1[[#This Row],[Absence 
Days]]&lt;3,"Excellent",Table1[[#This Row],[Absence 
Days]]&lt;=6,"Good",Table1[[#This Row],[Absence 
Days]]&gt;6,"Poor")</f>
        <v>Excellent</v>
      </c>
    </row>
    <row r="1644" spans="1:30" x14ac:dyDescent="0.35">
      <c r="A1644">
        <v>1643</v>
      </c>
      <c r="B1644" s="2" t="s">
        <v>123</v>
      </c>
      <c r="C1644" t="s">
        <v>589</v>
      </c>
      <c r="D1644" t="str">
        <f>_xlfn.TEXTJOIN(" ",TRUE,Table1[[#This Row],[First 
Name]:[Last 
Name]])</f>
        <v>Erica Lopez</v>
      </c>
      <c r="E1644" t="s">
        <v>2754</v>
      </c>
      <c r="F1644" t="s">
        <v>3245</v>
      </c>
      <c r="G1644" t="str">
        <f ca="1">PROPER(Table1[[#This Row],[Part Time 
Job]])</f>
        <v>False</v>
      </c>
      <c r="H1644" s="3">
        <v>5</v>
      </c>
      <c r="I1644" t="str">
        <f ca="1">PROPER(Table1[[#This Row],[Extracurricular 
Activities]])</f>
        <v>False</v>
      </c>
      <c r="J1644">
        <v>4</v>
      </c>
      <c r="K1644" t="s">
        <v>3115</v>
      </c>
      <c r="L1644">
        <v>80</v>
      </c>
      <c r="M1644" s="12" t="str" cm="1">
        <f t="array" ref="M164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644">
        <v>61</v>
      </c>
      <c r="O1644" s="13" t="str" cm="1">
        <f t="array" ref="O164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644">
        <v>89</v>
      </c>
      <c r="Q1644" s="13" t="str" cm="1">
        <f t="array" ref="Q164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644">
        <v>98</v>
      </c>
      <c r="S1644" t="str" cm="1">
        <f t="array" ref="S164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644">
        <v>73</v>
      </c>
      <c r="U1644" t="str" cm="1">
        <f t="array" ref="U164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644">
        <v>90</v>
      </c>
      <c r="W1644" t="str" cm="1">
        <f t="array" ref="W164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644">
        <v>88</v>
      </c>
      <c r="Y1644" t="str" cm="1">
        <f t="array" ref="Y164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644">
        <f>SUM(Table1[[#This Row],[Math 
Score]],Table1[[#This Row],[History 
Score]],Table1[[#This Row],[Physics 
Score]],Table1[[#This Row],[Chemistry 
Score]],Table1[[#This Row],[Biology 
Score]],Table1[[#This Row],[English 
Score]],Table1[[#This Row],[Geography 
Score]])</f>
        <v>579</v>
      </c>
      <c r="AA1644" s="3">
        <f>AVERAGE(Table1[[#This Row],[Math 
Score]],Table1[[#This Row],[History 
Score]],Table1[[#This Row],[Physics 
Score]],Table1[[#This Row],[Chemistry 
Score]],Table1[[#This Row],[Biology 
Score]],Table1[[#This Row],[English 
Score]],Table1[[#This Row],[Geography 
Score]])</f>
        <v>82.714285714285708</v>
      </c>
      <c r="AB164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644">
        <f t="shared" si="25"/>
        <v>730</v>
      </c>
      <c r="AD1644" t="str">
        <f>_xlfn.IFS(Table1[[#This Row],[Absence 
Days]]&lt;3,"Excellent",Table1[[#This Row],[Absence 
Days]]&lt;=6,"Good",Table1[[#This Row],[Absence 
Days]]&gt;6,"Poor")</f>
        <v>Good</v>
      </c>
    </row>
    <row r="1645" spans="1:30" x14ac:dyDescent="0.35">
      <c r="A1645">
        <v>1644</v>
      </c>
      <c r="B1645" s="2" t="s">
        <v>32</v>
      </c>
      <c r="C1645" t="s">
        <v>1056</v>
      </c>
      <c r="D1645" t="str">
        <f>_xlfn.TEXTJOIN(" ",TRUE,Table1[[#This Row],[First 
Name]:[Last 
Name]])</f>
        <v>Lisa Benitez</v>
      </c>
      <c r="E1645" t="s">
        <v>2755</v>
      </c>
      <c r="F1645" t="s">
        <v>3245</v>
      </c>
      <c r="G1645" t="str">
        <f ca="1">PROPER(Table1[[#This Row],[Part Time 
Job]])</f>
        <v>False</v>
      </c>
      <c r="H1645" s="3">
        <v>4</v>
      </c>
      <c r="I1645" t="str">
        <f ca="1">PROPER(Table1[[#This Row],[Extracurricular 
Activities]])</f>
        <v>False</v>
      </c>
      <c r="J1645">
        <v>15</v>
      </c>
      <c r="K1645" t="s">
        <v>3117</v>
      </c>
      <c r="L1645">
        <v>93</v>
      </c>
      <c r="M1645" s="12" t="str" cm="1">
        <f t="array" ref="M164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645">
        <v>77</v>
      </c>
      <c r="O1645" s="13" t="str" cm="1">
        <f t="array" ref="O164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645">
        <v>85</v>
      </c>
      <c r="Q1645" s="13" t="str" cm="1">
        <f t="array" ref="Q164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645">
        <v>95</v>
      </c>
      <c r="S1645" t="str" cm="1">
        <f t="array" ref="S164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645">
        <v>60</v>
      </c>
      <c r="U1645" t="str" cm="1">
        <f t="array" ref="U164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645">
        <v>99</v>
      </c>
      <c r="W1645" t="str" cm="1">
        <f t="array" ref="W164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645">
        <v>67</v>
      </c>
      <c r="Y1645" t="str" cm="1">
        <f t="array" ref="Y164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645">
        <f>SUM(Table1[[#This Row],[Math 
Score]],Table1[[#This Row],[History 
Score]],Table1[[#This Row],[Physics 
Score]],Table1[[#This Row],[Chemistry 
Score]],Table1[[#This Row],[Biology 
Score]],Table1[[#This Row],[English 
Score]],Table1[[#This Row],[Geography 
Score]])</f>
        <v>576</v>
      </c>
      <c r="AA1645" s="3">
        <f>AVERAGE(Table1[[#This Row],[Math 
Score]],Table1[[#This Row],[History 
Score]],Table1[[#This Row],[Physics 
Score]],Table1[[#This Row],[Chemistry 
Score]],Table1[[#This Row],[Biology 
Score]],Table1[[#This Row],[English 
Score]],Table1[[#This Row],[Geography 
Score]])</f>
        <v>82.285714285714292</v>
      </c>
      <c r="AB164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645">
        <f t="shared" si="25"/>
        <v>789</v>
      </c>
      <c r="AD1645" t="str">
        <f>_xlfn.IFS(Table1[[#This Row],[Absence 
Days]]&lt;3,"Excellent",Table1[[#This Row],[Absence 
Days]]&lt;=6,"Good",Table1[[#This Row],[Absence 
Days]]&gt;6,"Poor")</f>
        <v>Good</v>
      </c>
    </row>
    <row r="1646" spans="1:30" x14ac:dyDescent="0.35">
      <c r="A1646">
        <v>1645</v>
      </c>
      <c r="B1646" s="2" t="s">
        <v>212</v>
      </c>
      <c r="C1646" t="s">
        <v>460</v>
      </c>
      <c r="D1646" t="str">
        <f>_xlfn.TEXTJOIN(" ",TRUE,Table1[[#This Row],[First 
Name]:[Last 
Name]])</f>
        <v>Cheryl Gutierrez</v>
      </c>
      <c r="E1646" t="s">
        <v>2756</v>
      </c>
      <c r="F1646" t="s">
        <v>3245</v>
      </c>
      <c r="G1646" t="str">
        <f ca="1">PROPER(Table1[[#This Row],[Part Time 
Job]])</f>
        <v>False</v>
      </c>
      <c r="H1646" s="3">
        <v>5</v>
      </c>
      <c r="I1646" t="str">
        <f ca="1">PROPER(Table1[[#This Row],[Extracurricular 
Activities]])</f>
        <v>False</v>
      </c>
      <c r="J1646">
        <v>32</v>
      </c>
      <c r="K1646" t="s">
        <v>3117</v>
      </c>
      <c r="L1646">
        <v>87</v>
      </c>
      <c r="M1646" s="12" t="str" cm="1">
        <f t="array" ref="M164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646">
        <v>91</v>
      </c>
      <c r="O1646" s="13" t="str" cm="1">
        <f t="array" ref="O164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646">
        <v>86</v>
      </c>
      <c r="Q1646" s="13" t="str" cm="1">
        <f t="array" ref="Q164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646">
        <v>96</v>
      </c>
      <c r="S1646" t="str" cm="1">
        <f t="array" ref="S164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646">
        <v>65</v>
      </c>
      <c r="U1646" t="str" cm="1">
        <f t="array" ref="U164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646">
        <v>77</v>
      </c>
      <c r="W1646" t="str" cm="1">
        <f t="array" ref="W164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646">
        <v>83</v>
      </c>
      <c r="Y1646" t="str" cm="1">
        <f t="array" ref="Y164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646">
        <f>SUM(Table1[[#This Row],[Math 
Score]],Table1[[#This Row],[History 
Score]],Table1[[#This Row],[Physics 
Score]],Table1[[#This Row],[Chemistry 
Score]],Table1[[#This Row],[Biology 
Score]],Table1[[#This Row],[English 
Score]],Table1[[#This Row],[Geography 
Score]])</f>
        <v>585</v>
      </c>
      <c r="AA1646" s="3">
        <f>AVERAGE(Table1[[#This Row],[Math 
Score]],Table1[[#This Row],[History 
Score]],Table1[[#This Row],[Physics 
Score]],Table1[[#This Row],[Chemistry 
Score]],Table1[[#This Row],[Biology 
Score]],Table1[[#This Row],[English 
Score]],Table1[[#This Row],[Geography 
Score]])</f>
        <v>83.571428571428569</v>
      </c>
      <c r="AB164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646">
        <f t="shared" si="25"/>
        <v>615</v>
      </c>
      <c r="AD1646" t="str">
        <f>_xlfn.IFS(Table1[[#This Row],[Absence 
Days]]&lt;3,"Excellent",Table1[[#This Row],[Absence 
Days]]&lt;=6,"Good",Table1[[#This Row],[Absence 
Days]]&gt;6,"Poor")</f>
        <v>Good</v>
      </c>
    </row>
    <row r="1647" spans="1:30" x14ac:dyDescent="0.35">
      <c r="A1647">
        <v>1646</v>
      </c>
      <c r="B1647" s="2" t="s">
        <v>83</v>
      </c>
      <c r="C1647" t="s">
        <v>626</v>
      </c>
      <c r="D1647" t="str">
        <f>_xlfn.TEXTJOIN(" ",TRUE,Table1[[#This Row],[First 
Name]:[Last 
Name]])</f>
        <v>Stephen Hawkins</v>
      </c>
      <c r="E1647" t="s">
        <v>2757</v>
      </c>
      <c r="F1647" t="s">
        <v>3244</v>
      </c>
      <c r="G1647" t="str">
        <f ca="1">PROPER(Table1[[#This Row],[Part Time 
Job]])</f>
        <v>False</v>
      </c>
      <c r="H1647" s="3">
        <v>7</v>
      </c>
      <c r="I1647" t="str">
        <f ca="1">PROPER(Table1[[#This Row],[Extracurricular 
Activities]])</f>
        <v>False</v>
      </c>
      <c r="J1647">
        <v>33</v>
      </c>
      <c r="K1647" t="s">
        <v>3127</v>
      </c>
      <c r="L1647">
        <v>86</v>
      </c>
      <c r="M1647" s="12" t="str" cm="1">
        <f t="array" ref="M164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647">
        <v>88</v>
      </c>
      <c r="O1647" s="13" t="str" cm="1">
        <f t="array" ref="O164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647">
        <v>96</v>
      </c>
      <c r="Q1647" s="13" t="str" cm="1">
        <f t="array" ref="Q164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647">
        <v>86</v>
      </c>
      <c r="S1647" t="str" cm="1">
        <f t="array" ref="S164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647">
        <v>87</v>
      </c>
      <c r="U1647" t="str" cm="1">
        <f t="array" ref="U164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647">
        <v>99</v>
      </c>
      <c r="W1647" t="str" cm="1">
        <f t="array" ref="W164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647">
        <v>80</v>
      </c>
      <c r="Y1647" t="str" cm="1">
        <f t="array" ref="Y164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647">
        <f>SUM(Table1[[#This Row],[Math 
Score]],Table1[[#This Row],[History 
Score]],Table1[[#This Row],[Physics 
Score]],Table1[[#This Row],[Chemistry 
Score]],Table1[[#This Row],[Biology 
Score]],Table1[[#This Row],[English 
Score]],Table1[[#This Row],[Geography 
Score]])</f>
        <v>622</v>
      </c>
      <c r="AA1647" s="3">
        <f>AVERAGE(Table1[[#This Row],[Math 
Score]],Table1[[#This Row],[History 
Score]],Table1[[#This Row],[Physics 
Score]],Table1[[#This Row],[Chemistry 
Score]],Table1[[#This Row],[Biology 
Score]],Table1[[#This Row],[English 
Score]],Table1[[#This Row],[Geography 
Score]])</f>
        <v>88.857142857142861</v>
      </c>
      <c r="AB164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647">
        <f t="shared" si="25"/>
        <v>208</v>
      </c>
      <c r="AD1647" t="str">
        <f>_xlfn.IFS(Table1[[#This Row],[Absence 
Days]]&lt;3,"Excellent",Table1[[#This Row],[Absence 
Days]]&lt;=6,"Good",Table1[[#This Row],[Absence 
Days]]&gt;6,"Poor")</f>
        <v>Poor</v>
      </c>
    </row>
    <row r="1648" spans="1:30" x14ac:dyDescent="0.35">
      <c r="A1648">
        <v>1647</v>
      </c>
      <c r="B1648" s="2" t="s">
        <v>77</v>
      </c>
      <c r="C1648" t="s">
        <v>475</v>
      </c>
      <c r="D1648" t="str">
        <f>_xlfn.TEXTJOIN(" ",TRUE,Table1[[#This Row],[First 
Name]:[Last 
Name]])</f>
        <v>Natalie Williams</v>
      </c>
      <c r="E1648" t="s">
        <v>2758</v>
      </c>
      <c r="F1648" t="s">
        <v>3245</v>
      </c>
      <c r="G1648" t="str">
        <f ca="1">PROPER(Table1[[#This Row],[Part Time 
Job]])</f>
        <v>False</v>
      </c>
      <c r="H1648" s="3">
        <v>4</v>
      </c>
      <c r="I1648" t="str">
        <f ca="1">PROPER(Table1[[#This Row],[Extracurricular 
Activities]])</f>
        <v>True</v>
      </c>
      <c r="J1648">
        <v>29</v>
      </c>
      <c r="K1648" t="s">
        <v>3117</v>
      </c>
      <c r="L1648">
        <v>87</v>
      </c>
      <c r="M1648" s="12" t="str" cm="1">
        <f t="array" ref="M164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648">
        <v>80</v>
      </c>
      <c r="O1648" s="13" t="str" cm="1">
        <f t="array" ref="O164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648">
        <v>97</v>
      </c>
      <c r="Q1648" s="13" t="str" cm="1">
        <f t="array" ref="Q164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648">
        <v>98</v>
      </c>
      <c r="S1648" t="str" cm="1">
        <f t="array" ref="S164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648">
        <v>91</v>
      </c>
      <c r="U1648" t="str" cm="1">
        <f t="array" ref="U164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648">
        <v>64</v>
      </c>
      <c r="W1648" t="str" cm="1">
        <f t="array" ref="W164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648">
        <v>97</v>
      </c>
      <c r="Y1648" t="str" cm="1">
        <f t="array" ref="Y164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648">
        <f>SUM(Table1[[#This Row],[Math 
Score]],Table1[[#This Row],[History 
Score]],Table1[[#This Row],[Physics 
Score]],Table1[[#This Row],[Chemistry 
Score]],Table1[[#This Row],[Biology 
Score]],Table1[[#This Row],[English 
Score]],Table1[[#This Row],[Geography 
Score]])</f>
        <v>614</v>
      </c>
      <c r="AA1648" s="3">
        <f>AVERAGE(Table1[[#This Row],[Math 
Score]],Table1[[#This Row],[History 
Score]],Table1[[#This Row],[Physics 
Score]],Table1[[#This Row],[Chemistry 
Score]],Table1[[#This Row],[Biology 
Score]],Table1[[#This Row],[English 
Score]],Table1[[#This Row],[Geography 
Score]])</f>
        <v>87.714285714285708</v>
      </c>
      <c r="AB164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648">
        <f t="shared" si="25"/>
        <v>260</v>
      </c>
      <c r="AD1648" t="str">
        <f>_xlfn.IFS(Table1[[#This Row],[Absence 
Days]]&lt;3,"Excellent",Table1[[#This Row],[Absence 
Days]]&lt;=6,"Good",Table1[[#This Row],[Absence 
Days]]&gt;6,"Poor")</f>
        <v>Good</v>
      </c>
    </row>
    <row r="1649" spans="1:30" x14ac:dyDescent="0.35">
      <c r="A1649">
        <v>1648</v>
      </c>
      <c r="B1649" s="2" t="s">
        <v>4</v>
      </c>
      <c r="C1649" t="s">
        <v>1011</v>
      </c>
      <c r="D1649" t="str">
        <f>_xlfn.TEXTJOIN(" ",TRUE,Table1[[#This Row],[First 
Name]:[Last 
Name]])</f>
        <v>Anthony Arnold</v>
      </c>
      <c r="E1649" t="s">
        <v>2759</v>
      </c>
      <c r="F1649" t="s">
        <v>3244</v>
      </c>
      <c r="G1649" t="str">
        <f ca="1">PROPER(Table1[[#This Row],[Part Time 
Job]])</f>
        <v>False</v>
      </c>
      <c r="H1649" s="3">
        <v>2</v>
      </c>
      <c r="I1649" t="str">
        <f ca="1">PROPER(Table1[[#This Row],[Extracurricular 
Activities]])</f>
        <v>False</v>
      </c>
      <c r="J1649">
        <v>31</v>
      </c>
      <c r="K1649" t="s">
        <v>3112</v>
      </c>
      <c r="L1649">
        <v>96</v>
      </c>
      <c r="M1649" s="12" t="str" cm="1">
        <f t="array" ref="M164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649">
        <v>83</v>
      </c>
      <c r="O1649" s="13" t="str" cm="1">
        <f t="array" ref="O164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649">
        <v>97</v>
      </c>
      <c r="Q1649" s="13" t="str" cm="1">
        <f t="array" ref="Q164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649">
        <v>100</v>
      </c>
      <c r="S1649" t="str" cm="1">
        <f t="array" ref="S164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649">
        <v>85</v>
      </c>
      <c r="U1649" t="str" cm="1">
        <f t="array" ref="U164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649">
        <v>92</v>
      </c>
      <c r="W1649" t="str" cm="1">
        <f t="array" ref="W164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649">
        <v>69</v>
      </c>
      <c r="Y1649" t="str" cm="1">
        <f t="array" ref="Y164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649">
        <f>SUM(Table1[[#This Row],[Math 
Score]],Table1[[#This Row],[History 
Score]],Table1[[#This Row],[Physics 
Score]],Table1[[#This Row],[Chemistry 
Score]],Table1[[#This Row],[Biology 
Score]],Table1[[#This Row],[English 
Score]],Table1[[#This Row],[Geography 
Score]])</f>
        <v>622</v>
      </c>
      <c r="AA1649" s="3">
        <f>AVERAGE(Table1[[#This Row],[Math 
Score]],Table1[[#This Row],[History 
Score]],Table1[[#This Row],[Physics 
Score]],Table1[[#This Row],[Chemistry 
Score]],Table1[[#This Row],[Biology 
Score]],Table1[[#This Row],[English 
Score]],Table1[[#This Row],[Geography 
Score]])</f>
        <v>88.857142857142861</v>
      </c>
      <c r="AB164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649">
        <f t="shared" si="25"/>
        <v>208</v>
      </c>
      <c r="AD1649" t="str">
        <f>_xlfn.IFS(Table1[[#This Row],[Absence 
Days]]&lt;3,"Excellent",Table1[[#This Row],[Absence 
Days]]&lt;=6,"Good",Table1[[#This Row],[Absence 
Days]]&gt;6,"Poor")</f>
        <v>Excellent</v>
      </c>
    </row>
    <row r="1650" spans="1:30" x14ac:dyDescent="0.35">
      <c r="A1650">
        <v>1649</v>
      </c>
      <c r="B1650" s="2" t="s">
        <v>426</v>
      </c>
      <c r="C1650" t="s">
        <v>814</v>
      </c>
      <c r="D1650" t="str">
        <f>_xlfn.TEXTJOIN(" ",TRUE,Table1[[#This Row],[First 
Name]:[Last 
Name]])</f>
        <v>Deanna Coleman</v>
      </c>
      <c r="E1650" t="s">
        <v>2760</v>
      </c>
      <c r="F1650" t="s">
        <v>3245</v>
      </c>
      <c r="G1650" t="str">
        <f ca="1">PROPER(Table1[[#This Row],[Part Time 
Job]])</f>
        <v>False</v>
      </c>
      <c r="H1650" s="3">
        <v>5</v>
      </c>
      <c r="I1650" t="str">
        <f ca="1">PROPER(Table1[[#This Row],[Extracurricular 
Activities]])</f>
        <v>False</v>
      </c>
      <c r="J1650">
        <v>29</v>
      </c>
      <c r="K1650" t="s">
        <v>3112</v>
      </c>
      <c r="L1650">
        <v>90</v>
      </c>
      <c r="M1650" s="12" t="str" cm="1">
        <f t="array" ref="M165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650">
        <v>89</v>
      </c>
      <c r="O1650" s="13" t="str" cm="1">
        <f t="array" ref="O165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650">
        <v>70</v>
      </c>
      <c r="Q1650" s="13" t="str" cm="1">
        <f t="array" ref="Q165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650">
        <v>90</v>
      </c>
      <c r="S1650" t="str" cm="1">
        <f t="array" ref="S165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650">
        <v>83</v>
      </c>
      <c r="U1650" t="str" cm="1">
        <f t="array" ref="U165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650">
        <v>82</v>
      </c>
      <c r="W1650" t="str" cm="1">
        <f t="array" ref="W165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650">
        <v>87</v>
      </c>
      <c r="Y1650" t="str" cm="1">
        <f t="array" ref="Y165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650">
        <f>SUM(Table1[[#This Row],[Math 
Score]],Table1[[#This Row],[History 
Score]],Table1[[#This Row],[Physics 
Score]],Table1[[#This Row],[Chemistry 
Score]],Table1[[#This Row],[Biology 
Score]],Table1[[#This Row],[English 
Score]],Table1[[#This Row],[Geography 
Score]])</f>
        <v>591</v>
      </c>
      <c r="AA1650" s="3">
        <f>AVERAGE(Table1[[#This Row],[Math 
Score]],Table1[[#This Row],[History 
Score]],Table1[[#This Row],[Physics 
Score]],Table1[[#This Row],[Chemistry 
Score]],Table1[[#This Row],[Biology 
Score]],Table1[[#This Row],[English 
Score]],Table1[[#This Row],[Geography 
Score]])</f>
        <v>84.428571428571431</v>
      </c>
      <c r="AB165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650">
        <f t="shared" si="25"/>
        <v>515</v>
      </c>
      <c r="AD1650" t="str">
        <f>_xlfn.IFS(Table1[[#This Row],[Absence 
Days]]&lt;3,"Excellent",Table1[[#This Row],[Absence 
Days]]&lt;=6,"Good",Table1[[#This Row],[Absence 
Days]]&gt;6,"Poor")</f>
        <v>Good</v>
      </c>
    </row>
    <row r="1651" spans="1:30" x14ac:dyDescent="0.35">
      <c r="A1651">
        <v>1650</v>
      </c>
      <c r="B1651" s="2" t="s">
        <v>32</v>
      </c>
      <c r="C1651" t="s">
        <v>1057</v>
      </c>
      <c r="D1651" t="str">
        <f>_xlfn.TEXTJOIN(" ",TRUE,Table1[[#This Row],[First 
Name]:[Last 
Name]])</f>
        <v>Lisa Barber</v>
      </c>
      <c r="E1651" t="s">
        <v>2761</v>
      </c>
      <c r="F1651" t="s">
        <v>3245</v>
      </c>
      <c r="G1651" t="str">
        <f ca="1">PROPER(Table1[[#This Row],[Part Time 
Job]])</f>
        <v>True</v>
      </c>
      <c r="H1651" s="3">
        <v>5</v>
      </c>
      <c r="I1651" t="str">
        <f ca="1">PROPER(Table1[[#This Row],[Extracurricular 
Activities]])</f>
        <v>False</v>
      </c>
      <c r="J1651">
        <v>0</v>
      </c>
      <c r="K1651" t="s">
        <v>3119</v>
      </c>
      <c r="L1651">
        <v>89</v>
      </c>
      <c r="M1651" s="12" t="str" cm="1">
        <f t="array" ref="M165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651">
        <v>65</v>
      </c>
      <c r="O1651" s="13" t="str" cm="1">
        <f t="array" ref="O165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651">
        <v>65</v>
      </c>
      <c r="Q1651" s="13" t="str" cm="1">
        <f t="array" ref="Q165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651">
        <v>91</v>
      </c>
      <c r="S1651" t="str" cm="1">
        <f t="array" ref="S165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651">
        <v>76</v>
      </c>
      <c r="U1651" t="str" cm="1">
        <f t="array" ref="U165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651">
        <v>91</v>
      </c>
      <c r="W1651" t="str" cm="1">
        <f t="array" ref="W165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651">
        <v>92</v>
      </c>
      <c r="Y1651" t="str" cm="1">
        <f t="array" ref="Y165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651">
        <f>SUM(Table1[[#This Row],[Math 
Score]],Table1[[#This Row],[History 
Score]],Table1[[#This Row],[Physics 
Score]],Table1[[#This Row],[Chemistry 
Score]],Table1[[#This Row],[Biology 
Score]],Table1[[#This Row],[English 
Score]],Table1[[#This Row],[Geography 
Score]])</f>
        <v>569</v>
      </c>
      <c r="AA1651" s="3">
        <f>AVERAGE(Table1[[#This Row],[Math 
Score]],Table1[[#This Row],[History 
Score]],Table1[[#This Row],[Physics 
Score]],Table1[[#This Row],[Chemistry 
Score]],Table1[[#This Row],[Biology 
Score]],Table1[[#This Row],[English 
Score]],Table1[[#This Row],[Geography 
Score]])</f>
        <v>81.285714285714292</v>
      </c>
      <c r="AB165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651">
        <f t="shared" si="25"/>
        <v>957</v>
      </c>
      <c r="AD1651" t="str">
        <f>_xlfn.IFS(Table1[[#This Row],[Absence 
Days]]&lt;3,"Excellent",Table1[[#This Row],[Absence 
Days]]&lt;=6,"Good",Table1[[#This Row],[Absence 
Days]]&gt;6,"Poor")</f>
        <v>Good</v>
      </c>
    </row>
    <row r="1652" spans="1:30" x14ac:dyDescent="0.35">
      <c r="A1652">
        <v>1651</v>
      </c>
      <c r="B1652" s="2" t="s">
        <v>237</v>
      </c>
      <c r="C1652" t="s">
        <v>479</v>
      </c>
      <c r="D1652" t="str">
        <f>_xlfn.TEXTJOIN(" ",TRUE,Table1[[#This Row],[First 
Name]:[Last 
Name]])</f>
        <v>Stephanie Miller</v>
      </c>
      <c r="E1652" t="s">
        <v>2762</v>
      </c>
      <c r="F1652" t="s">
        <v>3245</v>
      </c>
      <c r="G1652" t="str">
        <f ca="1">PROPER(Table1[[#This Row],[Part Time 
Job]])</f>
        <v>True</v>
      </c>
      <c r="H1652" s="3">
        <v>6</v>
      </c>
      <c r="I1652" t="str">
        <f ca="1">PROPER(Table1[[#This Row],[Extracurricular 
Activities]])</f>
        <v>False</v>
      </c>
      <c r="J1652">
        <v>1</v>
      </c>
      <c r="K1652" t="s">
        <v>3119</v>
      </c>
      <c r="L1652">
        <v>98</v>
      </c>
      <c r="M1652" s="12" t="str" cm="1">
        <f t="array" ref="M165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652">
        <v>62</v>
      </c>
      <c r="O1652" s="13" t="str" cm="1">
        <f t="array" ref="O165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652">
        <v>75</v>
      </c>
      <c r="Q1652" s="13" t="str" cm="1">
        <f t="array" ref="Q165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652">
        <v>72</v>
      </c>
      <c r="S1652" t="str" cm="1">
        <f t="array" ref="S165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652">
        <v>81</v>
      </c>
      <c r="U1652" t="str" cm="1">
        <f t="array" ref="U165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652">
        <v>73</v>
      </c>
      <c r="W1652" t="str" cm="1">
        <f t="array" ref="W165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652">
        <v>93</v>
      </c>
      <c r="Y1652" t="str" cm="1">
        <f t="array" ref="Y165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652">
        <f>SUM(Table1[[#This Row],[Math 
Score]],Table1[[#This Row],[History 
Score]],Table1[[#This Row],[Physics 
Score]],Table1[[#This Row],[Chemistry 
Score]],Table1[[#This Row],[Biology 
Score]],Table1[[#This Row],[English 
Score]],Table1[[#This Row],[Geography 
Score]])</f>
        <v>554</v>
      </c>
      <c r="AA1652" s="3">
        <f>AVERAGE(Table1[[#This Row],[Math 
Score]],Table1[[#This Row],[History 
Score]],Table1[[#This Row],[Physics 
Score]],Table1[[#This Row],[Chemistry 
Score]],Table1[[#This Row],[Biology 
Score]],Table1[[#This Row],[English 
Score]],Table1[[#This Row],[Geography 
Score]])</f>
        <v>79.142857142857139</v>
      </c>
      <c r="AB165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652">
        <f t="shared" si="25"/>
        <v>1264</v>
      </c>
      <c r="AD1652" t="str">
        <f>_xlfn.IFS(Table1[[#This Row],[Absence 
Days]]&lt;3,"Excellent",Table1[[#This Row],[Absence 
Days]]&lt;=6,"Good",Table1[[#This Row],[Absence 
Days]]&gt;6,"Poor")</f>
        <v>Good</v>
      </c>
    </row>
    <row r="1653" spans="1:30" x14ac:dyDescent="0.35">
      <c r="A1653">
        <v>1652</v>
      </c>
      <c r="B1653" s="2" t="s">
        <v>119</v>
      </c>
      <c r="C1653" t="s">
        <v>462</v>
      </c>
      <c r="D1653" t="str">
        <f>_xlfn.TEXTJOIN(" ",TRUE,Table1[[#This Row],[First 
Name]:[Last 
Name]])</f>
        <v>Amy White</v>
      </c>
      <c r="E1653" t="s">
        <v>2763</v>
      </c>
      <c r="F1653" t="s">
        <v>3245</v>
      </c>
      <c r="G1653" t="str">
        <f ca="1">PROPER(Table1[[#This Row],[Part Time 
Job]])</f>
        <v>False</v>
      </c>
      <c r="H1653" s="3">
        <v>3</v>
      </c>
      <c r="I1653" t="str">
        <f ca="1">PROPER(Table1[[#This Row],[Extracurricular 
Activities]])</f>
        <v>False</v>
      </c>
      <c r="J1653">
        <v>42</v>
      </c>
      <c r="K1653" t="s">
        <v>3113</v>
      </c>
      <c r="L1653">
        <v>99</v>
      </c>
      <c r="M1653" s="12" t="str" cm="1">
        <f t="array" ref="M165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653">
        <v>100</v>
      </c>
      <c r="O1653" s="13" t="str" cm="1">
        <f t="array" ref="O165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653">
        <v>87</v>
      </c>
      <c r="Q1653" s="13" t="str" cm="1">
        <f t="array" ref="Q165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653">
        <v>96</v>
      </c>
      <c r="S1653" t="str" cm="1">
        <f t="array" ref="S165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653">
        <v>93</v>
      </c>
      <c r="U1653" t="str" cm="1">
        <f t="array" ref="U165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653">
        <v>92</v>
      </c>
      <c r="W1653" t="str" cm="1">
        <f t="array" ref="W165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653">
        <v>88</v>
      </c>
      <c r="Y1653" t="str" cm="1">
        <f t="array" ref="Y165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653">
        <f>SUM(Table1[[#This Row],[Math 
Score]],Table1[[#This Row],[History 
Score]],Table1[[#This Row],[Physics 
Score]],Table1[[#This Row],[Chemistry 
Score]],Table1[[#This Row],[Biology 
Score]],Table1[[#This Row],[English 
Score]],Table1[[#This Row],[Geography 
Score]])</f>
        <v>655</v>
      </c>
      <c r="AA1653" s="3">
        <f>AVERAGE(Table1[[#This Row],[Math 
Score]],Table1[[#This Row],[History 
Score]],Table1[[#This Row],[Physics 
Score]],Table1[[#This Row],[Chemistry 
Score]],Table1[[#This Row],[Biology 
Score]],Table1[[#This Row],[English 
Score]],Table1[[#This Row],[Geography 
Score]])</f>
        <v>93.571428571428569</v>
      </c>
      <c r="AB165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653">
        <f t="shared" si="25"/>
        <v>34</v>
      </c>
      <c r="AD1653" t="str">
        <f>_xlfn.IFS(Table1[[#This Row],[Absence 
Days]]&lt;3,"Excellent",Table1[[#This Row],[Absence 
Days]]&lt;=6,"Good",Table1[[#This Row],[Absence 
Days]]&gt;6,"Poor")</f>
        <v>Good</v>
      </c>
    </row>
    <row r="1654" spans="1:30" x14ac:dyDescent="0.35">
      <c r="A1654">
        <v>1653</v>
      </c>
      <c r="B1654" s="2" t="s">
        <v>427</v>
      </c>
      <c r="C1654" t="s">
        <v>474</v>
      </c>
      <c r="D1654" t="str">
        <f>_xlfn.TEXTJOIN(" ",TRUE,Table1[[#This Row],[First 
Name]:[Last 
Name]])</f>
        <v>Beverly Chavez</v>
      </c>
      <c r="E1654" t="s">
        <v>2764</v>
      </c>
      <c r="F1654" t="s">
        <v>3245</v>
      </c>
      <c r="G1654" t="str">
        <f ca="1">PROPER(Table1[[#This Row],[Part Time 
Job]])</f>
        <v>True</v>
      </c>
      <c r="H1654" s="3">
        <v>9</v>
      </c>
      <c r="I1654" t="str">
        <f ca="1">PROPER(Table1[[#This Row],[Extracurricular 
Activities]])</f>
        <v>True</v>
      </c>
      <c r="J1654">
        <v>2</v>
      </c>
      <c r="K1654" t="s">
        <v>3119</v>
      </c>
      <c r="L1654">
        <v>99</v>
      </c>
      <c r="M1654" s="12" t="str" cm="1">
        <f t="array" ref="M165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654">
        <v>65</v>
      </c>
      <c r="O1654" s="13" t="str" cm="1">
        <f t="array" ref="O165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654">
        <v>100</v>
      </c>
      <c r="Q1654" s="13" t="str" cm="1">
        <f t="array" ref="Q165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654">
        <v>93</v>
      </c>
      <c r="S1654" t="str" cm="1">
        <f t="array" ref="S165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654">
        <v>91</v>
      </c>
      <c r="U1654" t="str" cm="1">
        <f t="array" ref="U165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654">
        <v>60</v>
      </c>
      <c r="W1654" t="str" cm="1">
        <f t="array" ref="W165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654">
        <v>83</v>
      </c>
      <c r="Y1654" t="str" cm="1">
        <f t="array" ref="Y165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654">
        <f>SUM(Table1[[#This Row],[Math 
Score]],Table1[[#This Row],[History 
Score]],Table1[[#This Row],[Physics 
Score]],Table1[[#This Row],[Chemistry 
Score]],Table1[[#This Row],[Biology 
Score]],Table1[[#This Row],[English 
Score]],Table1[[#This Row],[Geography 
Score]])</f>
        <v>591</v>
      </c>
      <c r="AA1654" s="3">
        <f>AVERAGE(Table1[[#This Row],[Math 
Score]],Table1[[#This Row],[History 
Score]],Table1[[#This Row],[Physics 
Score]],Table1[[#This Row],[Chemistry 
Score]],Table1[[#This Row],[Biology 
Score]],Table1[[#This Row],[English 
Score]],Table1[[#This Row],[Geography 
Score]])</f>
        <v>84.428571428571431</v>
      </c>
      <c r="AB165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654">
        <f t="shared" si="25"/>
        <v>515</v>
      </c>
      <c r="AD1654" t="str">
        <f>_xlfn.IFS(Table1[[#This Row],[Absence 
Days]]&lt;3,"Excellent",Table1[[#This Row],[Absence 
Days]]&lt;=6,"Good",Table1[[#This Row],[Absence 
Days]]&gt;6,"Poor")</f>
        <v>Poor</v>
      </c>
    </row>
    <row r="1655" spans="1:30" x14ac:dyDescent="0.35">
      <c r="A1655">
        <v>1654</v>
      </c>
      <c r="B1655" s="2" t="s">
        <v>235</v>
      </c>
      <c r="C1655" t="s">
        <v>884</v>
      </c>
      <c r="D1655" t="str">
        <f>_xlfn.TEXTJOIN(" ",TRUE,Table1[[#This Row],[First 
Name]:[Last 
Name]])</f>
        <v>Richard Cortez</v>
      </c>
      <c r="E1655" t="s">
        <v>2765</v>
      </c>
      <c r="F1655" t="s">
        <v>3244</v>
      </c>
      <c r="G1655" t="str">
        <f ca="1">PROPER(Table1[[#This Row],[Part Time 
Job]])</f>
        <v>False</v>
      </c>
      <c r="H1655" s="3">
        <v>3</v>
      </c>
      <c r="I1655" t="str">
        <f ca="1">PROPER(Table1[[#This Row],[Extracurricular 
Activities]])</f>
        <v>False</v>
      </c>
      <c r="J1655">
        <v>1</v>
      </c>
      <c r="K1655" t="s">
        <v>3128</v>
      </c>
      <c r="L1655">
        <v>55</v>
      </c>
      <c r="M1655" s="12" t="str" cm="1">
        <f t="array" ref="M1655">_xlfn.IFS(Table1[[#This Row],[Math 
Score]]&gt;=90,"A+",Table1[[#This Row],[Math 
Score]]&gt;=80,"A", Table1[[#This Row],[Math 
Score]]&gt;=75,"A-",Table1[[#This Row],[Math 
Score]]&gt;=70,"B+",Table1[[#This Row],[Math 
Score]]&gt;=65,"B",Table1[[#This Row],[Math 
Score]]&gt;=60,"B-",Table1[[#This Row],[Math 
Score]]&gt;=50,"C",Table1[[#This Row],[Math 
Score]]&gt;=40,"D",Table1[[#This Row],[Math 
Score]]&lt;40,"F")</f>
        <v>C</v>
      </c>
      <c r="N1655">
        <v>81</v>
      </c>
      <c r="O1655" s="13" t="str" cm="1">
        <f t="array" ref="O165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655">
        <v>72</v>
      </c>
      <c r="Q1655" s="13" t="str" cm="1">
        <f t="array" ref="Q165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655">
        <v>100</v>
      </c>
      <c r="S1655" t="str" cm="1">
        <f t="array" ref="S165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655">
        <v>87</v>
      </c>
      <c r="U1655" t="str" cm="1">
        <f t="array" ref="U165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655">
        <v>85</v>
      </c>
      <c r="W1655" t="str" cm="1">
        <f t="array" ref="W165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655">
        <v>94</v>
      </c>
      <c r="Y1655" t="str" cm="1">
        <f t="array" ref="Y165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655">
        <f>SUM(Table1[[#This Row],[Math 
Score]],Table1[[#This Row],[History 
Score]],Table1[[#This Row],[Physics 
Score]],Table1[[#This Row],[Chemistry 
Score]],Table1[[#This Row],[Biology 
Score]],Table1[[#This Row],[English 
Score]],Table1[[#This Row],[Geography 
Score]])</f>
        <v>574</v>
      </c>
      <c r="AA1655" s="3">
        <f>AVERAGE(Table1[[#This Row],[Math 
Score]],Table1[[#This Row],[History 
Score]],Table1[[#This Row],[Physics 
Score]],Table1[[#This Row],[Chemistry 
Score]],Table1[[#This Row],[Biology 
Score]],Table1[[#This Row],[English 
Score]],Table1[[#This Row],[Geography 
Score]])</f>
        <v>82</v>
      </c>
      <c r="AB165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655">
        <f t="shared" si="25"/>
        <v>832</v>
      </c>
      <c r="AD1655" t="str">
        <f>_xlfn.IFS(Table1[[#This Row],[Absence 
Days]]&lt;3,"Excellent",Table1[[#This Row],[Absence 
Days]]&lt;=6,"Good",Table1[[#This Row],[Absence 
Days]]&gt;6,"Poor")</f>
        <v>Good</v>
      </c>
    </row>
    <row r="1656" spans="1:30" x14ac:dyDescent="0.35">
      <c r="A1656">
        <v>1655</v>
      </c>
      <c r="B1656" s="2" t="s">
        <v>167</v>
      </c>
      <c r="C1656" t="s">
        <v>250</v>
      </c>
      <c r="D1656" t="str">
        <f>_xlfn.TEXTJOIN(" ",TRUE,Table1[[#This Row],[First 
Name]:[Last 
Name]])</f>
        <v>Kevin Morgan</v>
      </c>
      <c r="E1656" t="s">
        <v>2766</v>
      </c>
      <c r="F1656" t="s">
        <v>3244</v>
      </c>
      <c r="G1656" t="str">
        <f ca="1">PROPER(Table1[[#This Row],[Part Time 
Job]])</f>
        <v>False</v>
      </c>
      <c r="H1656" s="3">
        <v>1</v>
      </c>
      <c r="I1656" t="str">
        <f ca="1">PROPER(Table1[[#This Row],[Extracurricular 
Activities]])</f>
        <v>False</v>
      </c>
      <c r="J1656">
        <v>11</v>
      </c>
      <c r="K1656" t="s">
        <v>3114</v>
      </c>
      <c r="L1656">
        <v>86</v>
      </c>
      <c r="M1656" s="12" t="str" cm="1">
        <f t="array" ref="M165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656">
        <v>87</v>
      </c>
      <c r="O1656" s="13" t="str" cm="1">
        <f t="array" ref="O165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656">
        <v>64</v>
      </c>
      <c r="Q1656" s="13" t="str" cm="1">
        <f t="array" ref="Q165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656">
        <v>74</v>
      </c>
      <c r="S1656" t="str" cm="1">
        <f t="array" ref="S165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656">
        <v>60</v>
      </c>
      <c r="U1656" t="str" cm="1">
        <f t="array" ref="U165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656">
        <v>89</v>
      </c>
      <c r="W1656" t="str" cm="1">
        <f t="array" ref="W165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656">
        <v>84</v>
      </c>
      <c r="Y1656" t="str" cm="1">
        <f t="array" ref="Y165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656">
        <f>SUM(Table1[[#This Row],[Math 
Score]],Table1[[#This Row],[History 
Score]],Table1[[#This Row],[Physics 
Score]],Table1[[#This Row],[Chemistry 
Score]],Table1[[#This Row],[Biology 
Score]],Table1[[#This Row],[English 
Score]],Table1[[#This Row],[Geography 
Score]])</f>
        <v>544</v>
      </c>
      <c r="AA1656" s="3">
        <f>AVERAGE(Table1[[#This Row],[Math 
Score]],Table1[[#This Row],[History 
Score]],Table1[[#This Row],[Physics 
Score]],Table1[[#This Row],[Chemistry 
Score]],Table1[[#This Row],[Biology 
Score]],Table1[[#This Row],[English 
Score]],Table1[[#This Row],[Geography 
Score]])</f>
        <v>77.714285714285708</v>
      </c>
      <c r="AB165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656">
        <f t="shared" si="25"/>
        <v>1446</v>
      </c>
      <c r="AD1656" t="str">
        <f>_xlfn.IFS(Table1[[#This Row],[Absence 
Days]]&lt;3,"Excellent",Table1[[#This Row],[Absence 
Days]]&lt;=6,"Good",Table1[[#This Row],[Absence 
Days]]&gt;6,"Poor")</f>
        <v>Excellent</v>
      </c>
    </row>
    <row r="1657" spans="1:30" x14ac:dyDescent="0.35">
      <c r="A1657">
        <v>1656</v>
      </c>
      <c r="B1657" s="2" t="s">
        <v>37</v>
      </c>
      <c r="C1657" t="s">
        <v>1058</v>
      </c>
      <c r="D1657" t="str">
        <f>_xlfn.TEXTJOIN(" ",TRUE,Table1[[#This Row],[First 
Name]:[Last 
Name]])</f>
        <v>Emily Hebert</v>
      </c>
      <c r="E1657" t="s">
        <v>2767</v>
      </c>
      <c r="F1657" t="s">
        <v>3245</v>
      </c>
      <c r="G1657" t="str">
        <f ca="1">PROPER(Table1[[#This Row],[Part Time 
Job]])</f>
        <v>True</v>
      </c>
      <c r="H1657" s="3">
        <v>4</v>
      </c>
      <c r="I1657" t="str">
        <f ca="1">PROPER(Table1[[#This Row],[Extracurricular 
Activities]])</f>
        <v>False</v>
      </c>
      <c r="J1657">
        <v>18</v>
      </c>
      <c r="K1657" t="s">
        <v>3117</v>
      </c>
      <c r="L1657">
        <v>89</v>
      </c>
      <c r="M1657" s="12" t="str" cm="1">
        <f t="array" ref="M165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657">
        <v>65</v>
      </c>
      <c r="O1657" s="13" t="str" cm="1">
        <f t="array" ref="O165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657">
        <v>60</v>
      </c>
      <c r="Q1657" s="13" t="str" cm="1">
        <f t="array" ref="Q165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657">
        <v>70</v>
      </c>
      <c r="S1657" t="str" cm="1">
        <f t="array" ref="S165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657">
        <v>86</v>
      </c>
      <c r="U1657" t="str" cm="1">
        <f t="array" ref="U165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657">
        <v>62</v>
      </c>
      <c r="W1657" t="str" cm="1">
        <f t="array" ref="W165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657">
        <v>74</v>
      </c>
      <c r="Y1657" t="str" cm="1">
        <f t="array" ref="Y165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657">
        <f>SUM(Table1[[#This Row],[Math 
Score]],Table1[[#This Row],[History 
Score]],Table1[[#This Row],[Physics 
Score]],Table1[[#This Row],[Chemistry 
Score]],Table1[[#This Row],[Biology 
Score]],Table1[[#This Row],[English 
Score]],Table1[[#This Row],[Geography 
Score]])</f>
        <v>506</v>
      </c>
      <c r="AA1657" s="3">
        <f>AVERAGE(Table1[[#This Row],[Math 
Score]],Table1[[#This Row],[History 
Score]],Table1[[#This Row],[Physics 
Score]],Table1[[#This Row],[Chemistry 
Score]],Table1[[#This Row],[Biology 
Score]],Table1[[#This Row],[English 
Score]],Table1[[#This Row],[Geography 
Score]])</f>
        <v>72.285714285714292</v>
      </c>
      <c r="AB165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657">
        <f t="shared" si="25"/>
        <v>1848</v>
      </c>
      <c r="AD1657" t="str">
        <f>_xlfn.IFS(Table1[[#This Row],[Absence 
Days]]&lt;3,"Excellent",Table1[[#This Row],[Absence 
Days]]&lt;=6,"Good",Table1[[#This Row],[Absence 
Days]]&gt;6,"Poor")</f>
        <v>Good</v>
      </c>
    </row>
    <row r="1658" spans="1:30" x14ac:dyDescent="0.35">
      <c r="A1658">
        <v>1657</v>
      </c>
      <c r="B1658" s="2" t="s">
        <v>230</v>
      </c>
      <c r="C1658" t="s">
        <v>603</v>
      </c>
      <c r="D1658" t="str">
        <f>_xlfn.TEXTJOIN(" ",TRUE,Table1[[#This Row],[First 
Name]:[Last 
Name]])</f>
        <v>Lori Roberts</v>
      </c>
      <c r="E1658" t="s">
        <v>2768</v>
      </c>
      <c r="F1658" t="s">
        <v>3245</v>
      </c>
      <c r="G1658" t="str">
        <f ca="1">PROPER(Table1[[#This Row],[Part Time 
Job]])</f>
        <v>False</v>
      </c>
      <c r="H1658" s="3">
        <v>2</v>
      </c>
      <c r="I1658" t="str">
        <f ca="1">PROPER(Table1[[#This Row],[Extracurricular 
Activities]])</f>
        <v>True</v>
      </c>
      <c r="J1658">
        <v>35</v>
      </c>
      <c r="K1658" t="s">
        <v>3117</v>
      </c>
      <c r="L1658">
        <v>94</v>
      </c>
      <c r="M1658" s="12" t="str" cm="1">
        <f t="array" ref="M165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658">
        <v>97</v>
      </c>
      <c r="O1658" s="13" t="str" cm="1">
        <f t="array" ref="O165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658">
        <v>90</v>
      </c>
      <c r="Q1658" s="13" t="str" cm="1">
        <f t="array" ref="Q165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658">
        <v>93</v>
      </c>
      <c r="S1658" t="str" cm="1">
        <f t="array" ref="S165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658">
        <v>85</v>
      </c>
      <c r="U1658" t="str" cm="1">
        <f t="array" ref="U165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658">
        <v>95</v>
      </c>
      <c r="W1658" t="str" cm="1">
        <f t="array" ref="W165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658">
        <v>92</v>
      </c>
      <c r="Y1658" t="str" cm="1">
        <f t="array" ref="Y165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658">
        <f>SUM(Table1[[#This Row],[Math 
Score]],Table1[[#This Row],[History 
Score]],Table1[[#This Row],[Physics 
Score]],Table1[[#This Row],[Chemistry 
Score]],Table1[[#This Row],[Biology 
Score]],Table1[[#This Row],[English 
Score]],Table1[[#This Row],[Geography 
Score]])</f>
        <v>646</v>
      </c>
      <c r="AA1658" s="3">
        <f>AVERAGE(Table1[[#This Row],[Math 
Score]],Table1[[#This Row],[History 
Score]],Table1[[#This Row],[Physics 
Score]],Table1[[#This Row],[Chemistry 
Score]],Table1[[#This Row],[Biology 
Score]],Table1[[#This Row],[English 
Score]],Table1[[#This Row],[Geography 
Score]])</f>
        <v>92.285714285714292</v>
      </c>
      <c r="AB165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658">
        <f t="shared" si="25"/>
        <v>73</v>
      </c>
      <c r="AD1658" t="str">
        <f>_xlfn.IFS(Table1[[#This Row],[Absence 
Days]]&lt;3,"Excellent",Table1[[#This Row],[Absence 
Days]]&lt;=6,"Good",Table1[[#This Row],[Absence 
Days]]&gt;6,"Poor")</f>
        <v>Excellent</v>
      </c>
    </row>
    <row r="1659" spans="1:30" x14ac:dyDescent="0.35">
      <c r="A1659">
        <v>1658</v>
      </c>
      <c r="B1659" s="2" t="s">
        <v>74</v>
      </c>
      <c r="C1659" t="s">
        <v>1059</v>
      </c>
      <c r="D1659" t="str">
        <f>_xlfn.TEXTJOIN(" ",TRUE,Table1[[#This Row],[First 
Name]:[Last 
Name]])</f>
        <v>Robert Kirby</v>
      </c>
      <c r="E1659" t="s">
        <v>2769</v>
      </c>
      <c r="F1659" t="s">
        <v>3244</v>
      </c>
      <c r="G1659" t="str">
        <f ca="1">PROPER(Table1[[#This Row],[Part Time 
Job]])</f>
        <v>False</v>
      </c>
      <c r="H1659" s="3">
        <v>1</v>
      </c>
      <c r="I1659" t="str">
        <f ca="1">PROPER(Table1[[#This Row],[Extracurricular 
Activities]])</f>
        <v>False</v>
      </c>
      <c r="J1659">
        <v>1</v>
      </c>
      <c r="K1659" t="s">
        <v>3126</v>
      </c>
      <c r="L1659">
        <v>85</v>
      </c>
      <c r="M1659" s="12" t="str" cm="1">
        <f t="array" ref="M165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659">
        <v>61</v>
      </c>
      <c r="O1659" s="13" t="str" cm="1">
        <f t="array" ref="O165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659">
        <v>100</v>
      </c>
      <c r="Q1659" s="13" t="str" cm="1">
        <f t="array" ref="Q165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659">
        <v>75</v>
      </c>
      <c r="S1659" t="str" cm="1">
        <f t="array" ref="S165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659">
        <v>70</v>
      </c>
      <c r="U1659" t="str" cm="1">
        <f t="array" ref="U165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659">
        <v>89</v>
      </c>
      <c r="W1659" t="str" cm="1">
        <f t="array" ref="W165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659">
        <v>80</v>
      </c>
      <c r="Y1659" t="str" cm="1">
        <f t="array" ref="Y165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659">
        <f>SUM(Table1[[#This Row],[Math 
Score]],Table1[[#This Row],[History 
Score]],Table1[[#This Row],[Physics 
Score]],Table1[[#This Row],[Chemistry 
Score]],Table1[[#This Row],[Biology 
Score]],Table1[[#This Row],[English 
Score]],Table1[[#This Row],[Geography 
Score]])</f>
        <v>560</v>
      </c>
      <c r="AA1659" s="3">
        <f>AVERAGE(Table1[[#This Row],[Math 
Score]],Table1[[#This Row],[History 
Score]],Table1[[#This Row],[Physics 
Score]],Table1[[#This Row],[Chemistry 
Score]],Table1[[#This Row],[Biology 
Score]],Table1[[#This Row],[English 
Score]],Table1[[#This Row],[Geography 
Score]])</f>
        <v>80</v>
      </c>
      <c r="AB165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659">
        <f t="shared" si="25"/>
        <v>1134</v>
      </c>
      <c r="AD1659" t="str">
        <f>_xlfn.IFS(Table1[[#This Row],[Absence 
Days]]&lt;3,"Excellent",Table1[[#This Row],[Absence 
Days]]&lt;=6,"Good",Table1[[#This Row],[Absence 
Days]]&gt;6,"Poor")</f>
        <v>Excellent</v>
      </c>
    </row>
    <row r="1660" spans="1:30" x14ac:dyDescent="0.35">
      <c r="A1660">
        <v>1659</v>
      </c>
      <c r="B1660" s="2" t="s">
        <v>58</v>
      </c>
      <c r="C1660" t="s">
        <v>293</v>
      </c>
      <c r="D1660" t="str">
        <f>_xlfn.TEXTJOIN(" ",TRUE,Table1[[#This Row],[First 
Name]:[Last 
Name]])</f>
        <v>Eric Ross</v>
      </c>
      <c r="E1660" t="s">
        <v>2770</v>
      </c>
      <c r="F1660" t="s">
        <v>3244</v>
      </c>
      <c r="G1660" t="str">
        <f ca="1">PROPER(Table1[[#This Row],[Part Time 
Job]])</f>
        <v>True</v>
      </c>
      <c r="H1660" s="3">
        <v>0</v>
      </c>
      <c r="I1660" t="str">
        <f ca="1">PROPER(Table1[[#This Row],[Extracurricular 
Activities]])</f>
        <v>False</v>
      </c>
      <c r="J1660">
        <v>12</v>
      </c>
      <c r="K1660" t="s">
        <v>3116</v>
      </c>
      <c r="L1660">
        <v>78</v>
      </c>
      <c r="M1660" s="12" t="str" cm="1">
        <f t="array" ref="M166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660">
        <v>70</v>
      </c>
      <c r="O1660" s="13" t="str" cm="1">
        <f t="array" ref="O166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660">
        <v>90</v>
      </c>
      <c r="Q1660" s="13" t="str" cm="1">
        <f t="array" ref="Q166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660">
        <v>68</v>
      </c>
      <c r="S1660" t="str" cm="1">
        <f t="array" ref="S166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660">
        <v>90</v>
      </c>
      <c r="U1660" t="str" cm="1">
        <f t="array" ref="U166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660">
        <v>87</v>
      </c>
      <c r="W1660" t="str" cm="1">
        <f t="array" ref="W166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660">
        <v>77</v>
      </c>
      <c r="Y1660" t="str" cm="1">
        <f t="array" ref="Y166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660">
        <f>SUM(Table1[[#This Row],[Math 
Score]],Table1[[#This Row],[History 
Score]],Table1[[#This Row],[Physics 
Score]],Table1[[#This Row],[Chemistry 
Score]],Table1[[#This Row],[Biology 
Score]],Table1[[#This Row],[English 
Score]],Table1[[#This Row],[Geography 
Score]])</f>
        <v>560</v>
      </c>
      <c r="AA1660" s="3">
        <f>AVERAGE(Table1[[#This Row],[Math 
Score]],Table1[[#This Row],[History 
Score]],Table1[[#This Row],[Physics 
Score]],Table1[[#This Row],[Chemistry 
Score]],Table1[[#This Row],[Biology 
Score]],Table1[[#This Row],[English 
Score]],Table1[[#This Row],[Geography 
Score]])</f>
        <v>80</v>
      </c>
      <c r="AB166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660">
        <f t="shared" si="25"/>
        <v>1134</v>
      </c>
      <c r="AD1660" t="str">
        <f>_xlfn.IFS(Table1[[#This Row],[Absence 
Days]]&lt;3,"Excellent",Table1[[#This Row],[Absence 
Days]]&lt;=6,"Good",Table1[[#This Row],[Absence 
Days]]&gt;6,"Poor")</f>
        <v>Excellent</v>
      </c>
    </row>
    <row r="1661" spans="1:30" x14ac:dyDescent="0.35">
      <c r="A1661">
        <v>1660</v>
      </c>
      <c r="B1661" s="2" t="s">
        <v>428</v>
      </c>
      <c r="C1661" t="s">
        <v>566</v>
      </c>
      <c r="D1661" t="str">
        <f>_xlfn.TEXTJOIN(" ",TRUE,Table1[[#This Row],[First 
Name]:[Last 
Name]])</f>
        <v>Rachael Perry</v>
      </c>
      <c r="E1661" t="s">
        <v>2771</v>
      </c>
      <c r="F1661" t="s">
        <v>3245</v>
      </c>
      <c r="G1661" t="str">
        <f ca="1">PROPER(Table1[[#This Row],[Part Time 
Job]])</f>
        <v>False</v>
      </c>
      <c r="H1661" s="3">
        <v>2</v>
      </c>
      <c r="I1661" t="str">
        <f ca="1">PROPER(Table1[[#This Row],[Extracurricular 
Activities]])</f>
        <v>False</v>
      </c>
      <c r="J1661">
        <v>21</v>
      </c>
      <c r="K1661" t="s">
        <v>3121</v>
      </c>
      <c r="L1661">
        <v>75</v>
      </c>
      <c r="M1661" s="12" t="str" cm="1">
        <f t="array" ref="M166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661">
        <v>67</v>
      </c>
      <c r="O1661" s="13" t="str" cm="1">
        <f t="array" ref="O166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661">
        <v>64</v>
      </c>
      <c r="Q1661" s="13" t="str" cm="1">
        <f t="array" ref="Q166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661">
        <v>80</v>
      </c>
      <c r="S1661" t="str" cm="1">
        <f t="array" ref="S166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661">
        <v>79</v>
      </c>
      <c r="U1661" t="str" cm="1">
        <f t="array" ref="U166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661">
        <v>77</v>
      </c>
      <c r="W1661" t="str" cm="1">
        <f t="array" ref="W166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661">
        <v>80</v>
      </c>
      <c r="Y1661" t="str" cm="1">
        <f t="array" ref="Y166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661">
        <f>SUM(Table1[[#This Row],[Math 
Score]],Table1[[#This Row],[History 
Score]],Table1[[#This Row],[Physics 
Score]],Table1[[#This Row],[Chemistry 
Score]],Table1[[#This Row],[Biology 
Score]],Table1[[#This Row],[English 
Score]],Table1[[#This Row],[Geography 
Score]])</f>
        <v>522</v>
      </c>
      <c r="AA1661" s="3">
        <f>AVERAGE(Table1[[#This Row],[Math 
Score]],Table1[[#This Row],[History 
Score]],Table1[[#This Row],[Physics 
Score]],Table1[[#This Row],[Chemistry 
Score]],Table1[[#This Row],[Biology 
Score]],Table1[[#This Row],[English 
Score]],Table1[[#This Row],[Geography 
Score]])</f>
        <v>74.571428571428569</v>
      </c>
      <c r="AB166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661">
        <f t="shared" si="25"/>
        <v>1739</v>
      </c>
      <c r="AD1661" t="str">
        <f>_xlfn.IFS(Table1[[#This Row],[Absence 
Days]]&lt;3,"Excellent",Table1[[#This Row],[Absence 
Days]]&lt;=6,"Good",Table1[[#This Row],[Absence 
Days]]&gt;6,"Poor")</f>
        <v>Excellent</v>
      </c>
    </row>
    <row r="1662" spans="1:30" x14ac:dyDescent="0.35">
      <c r="A1662">
        <v>1661</v>
      </c>
      <c r="B1662" s="2" t="s">
        <v>41</v>
      </c>
      <c r="C1662" t="s">
        <v>741</v>
      </c>
      <c r="D1662" t="str">
        <f>_xlfn.TEXTJOIN(" ",TRUE,Table1[[#This Row],[First 
Name]:[Last 
Name]])</f>
        <v>Kenneth Gallagher</v>
      </c>
      <c r="E1662" t="s">
        <v>2772</v>
      </c>
      <c r="F1662" t="s">
        <v>3244</v>
      </c>
      <c r="G1662" t="str">
        <f ca="1">PROPER(Table1[[#This Row],[Part Time 
Job]])</f>
        <v>False</v>
      </c>
      <c r="H1662" s="3">
        <v>2</v>
      </c>
      <c r="I1662" t="str">
        <f ca="1">PROPER(Table1[[#This Row],[Extracurricular 
Activities]])</f>
        <v>True</v>
      </c>
      <c r="J1662">
        <v>18</v>
      </c>
      <c r="K1662" t="s">
        <v>3125</v>
      </c>
      <c r="L1662">
        <v>82</v>
      </c>
      <c r="M1662" s="12" t="str" cm="1">
        <f t="array" ref="M166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662">
        <v>61</v>
      </c>
      <c r="O1662" s="13" t="str" cm="1">
        <f t="array" ref="O166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662">
        <v>89</v>
      </c>
      <c r="Q1662" s="13" t="str" cm="1">
        <f t="array" ref="Q166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662">
        <v>88</v>
      </c>
      <c r="S1662" t="str" cm="1">
        <f t="array" ref="S166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662">
        <v>74</v>
      </c>
      <c r="U1662" t="str" cm="1">
        <f t="array" ref="U166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662">
        <v>78</v>
      </c>
      <c r="W1662" t="str" cm="1">
        <f t="array" ref="W166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662">
        <v>72</v>
      </c>
      <c r="Y1662" t="str" cm="1">
        <f t="array" ref="Y166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662">
        <f>SUM(Table1[[#This Row],[Math 
Score]],Table1[[#This Row],[History 
Score]],Table1[[#This Row],[Physics 
Score]],Table1[[#This Row],[Chemistry 
Score]],Table1[[#This Row],[Biology 
Score]],Table1[[#This Row],[English 
Score]],Table1[[#This Row],[Geography 
Score]])</f>
        <v>544</v>
      </c>
      <c r="AA1662" s="3">
        <f>AVERAGE(Table1[[#This Row],[Math 
Score]],Table1[[#This Row],[History 
Score]],Table1[[#This Row],[Physics 
Score]],Table1[[#This Row],[Chemistry 
Score]],Table1[[#This Row],[Biology 
Score]],Table1[[#This Row],[English 
Score]],Table1[[#This Row],[Geography 
Score]])</f>
        <v>77.714285714285708</v>
      </c>
      <c r="AB166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662">
        <f t="shared" si="25"/>
        <v>1446</v>
      </c>
      <c r="AD1662" t="str">
        <f>_xlfn.IFS(Table1[[#This Row],[Absence 
Days]]&lt;3,"Excellent",Table1[[#This Row],[Absence 
Days]]&lt;=6,"Good",Table1[[#This Row],[Absence 
Days]]&gt;6,"Poor")</f>
        <v>Excellent</v>
      </c>
    </row>
    <row r="1663" spans="1:30" x14ac:dyDescent="0.35">
      <c r="A1663">
        <v>1662</v>
      </c>
      <c r="B1663" s="2" t="s">
        <v>80</v>
      </c>
      <c r="C1663" t="s">
        <v>192</v>
      </c>
      <c r="D1663" t="str">
        <f>_xlfn.TEXTJOIN(" ",TRUE,Table1[[#This Row],[First 
Name]:[Last 
Name]])</f>
        <v>Thomas Scott</v>
      </c>
      <c r="E1663" t="s">
        <v>2773</v>
      </c>
      <c r="F1663" t="s">
        <v>3244</v>
      </c>
      <c r="G1663" t="str">
        <f ca="1">PROPER(Table1[[#This Row],[Part Time 
Job]])</f>
        <v>True</v>
      </c>
      <c r="H1663" s="3">
        <v>6</v>
      </c>
      <c r="I1663" t="str">
        <f ca="1">PROPER(Table1[[#This Row],[Extracurricular 
Activities]])</f>
        <v>False</v>
      </c>
      <c r="J1663">
        <v>5</v>
      </c>
      <c r="K1663" t="s">
        <v>3119</v>
      </c>
      <c r="L1663">
        <v>41</v>
      </c>
      <c r="M1663" s="12" t="str" cm="1">
        <f t="array" ref="M1663">_xlfn.IFS(Table1[[#This Row],[Math 
Score]]&gt;=90,"A+",Table1[[#This Row],[Math 
Score]]&gt;=80,"A", Table1[[#This Row],[Math 
Score]]&gt;=75,"A-",Table1[[#This Row],[Math 
Score]]&gt;=70,"B+",Table1[[#This Row],[Math 
Score]]&gt;=65,"B",Table1[[#This Row],[Math 
Score]]&gt;=60,"B-",Table1[[#This Row],[Math 
Score]]&gt;=50,"C",Table1[[#This Row],[Math 
Score]]&gt;=40,"D",Table1[[#This Row],[Math 
Score]]&lt;40,"F")</f>
        <v>D</v>
      </c>
      <c r="N1663">
        <v>53</v>
      </c>
      <c r="O1663" s="13" t="str" cm="1">
        <f t="array" ref="O166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C</v>
      </c>
      <c r="P1663">
        <v>64</v>
      </c>
      <c r="Q1663" s="13" t="str" cm="1">
        <f t="array" ref="Q166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663">
        <v>62</v>
      </c>
      <c r="S1663" t="str" cm="1">
        <f t="array" ref="S166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663">
        <v>79</v>
      </c>
      <c r="U1663" t="str" cm="1">
        <f t="array" ref="U166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663">
        <v>50</v>
      </c>
      <c r="W1663" t="str" cm="1">
        <f t="array" ref="W166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C</v>
      </c>
      <c r="X1663">
        <v>65</v>
      </c>
      <c r="Y1663" t="str" cm="1">
        <f t="array" ref="Y166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663">
        <f>SUM(Table1[[#This Row],[Math 
Score]],Table1[[#This Row],[History 
Score]],Table1[[#This Row],[Physics 
Score]],Table1[[#This Row],[Chemistry 
Score]],Table1[[#This Row],[Biology 
Score]],Table1[[#This Row],[English 
Score]],Table1[[#This Row],[Geography 
Score]])</f>
        <v>414</v>
      </c>
      <c r="AA1663" s="3">
        <f>AVERAGE(Table1[[#This Row],[Math 
Score]],Table1[[#This Row],[History 
Score]],Table1[[#This Row],[Physics 
Score]],Table1[[#This Row],[Chemistry 
Score]],Table1[[#This Row],[Biology 
Score]],Table1[[#This Row],[English 
Score]],Table1[[#This Row],[Geography 
Score]])</f>
        <v>59.142857142857146</v>
      </c>
      <c r="AB166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C</v>
      </c>
      <c r="AC1663">
        <f t="shared" si="25"/>
        <v>1999</v>
      </c>
      <c r="AD1663" t="str">
        <f>_xlfn.IFS(Table1[[#This Row],[Absence 
Days]]&lt;3,"Excellent",Table1[[#This Row],[Absence 
Days]]&lt;=6,"Good",Table1[[#This Row],[Absence 
Days]]&gt;6,"Poor")</f>
        <v>Good</v>
      </c>
    </row>
    <row r="1664" spans="1:30" x14ac:dyDescent="0.35">
      <c r="A1664">
        <v>1663</v>
      </c>
      <c r="B1664" s="2" t="s">
        <v>42</v>
      </c>
      <c r="C1664" t="s">
        <v>532</v>
      </c>
      <c r="D1664" t="str">
        <f>_xlfn.TEXTJOIN(" ",TRUE,Table1[[#This Row],[First 
Name]:[Last 
Name]])</f>
        <v>Elizabeth Jones</v>
      </c>
      <c r="E1664" t="s">
        <v>2774</v>
      </c>
      <c r="F1664" t="s">
        <v>3245</v>
      </c>
      <c r="G1664" t="str">
        <f ca="1">PROPER(Table1[[#This Row],[Part Time 
Job]])</f>
        <v>False</v>
      </c>
      <c r="H1664" s="3">
        <v>5</v>
      </c>
      <c r="I1664" t="str">
        <f ca="1">PROPER(Table1[[#This Row],[Extracurricular 
Activities]])</f>
        <v>False</v>
      </c>
      <c r="J1664">
        <v>2</v>
      </c>
      <c r="K1664" t="s">
        <v>3119</v>
      </c>
      <c r="L1664">
        <v>44</v>
      </c>
      <c r="M1664" s="12" t="str" cm="1">
        <f t="array" ref="M1664">_xlfn.IFS(Table1[[#This Row],[Math 
Score]]&gt;=90,"A+",Table1[[#This Row],[Math 
Score]]&gt;=80,"A", Table1[[#This Row],[Math 
Score]]&gt;=75,"A-",Table1[[#This Row],[Math 
Score]]&gt;=70,"B+",Table1[[#This Row],[Math 
Score]]&gt;=65,"B",Table1[[#This Row],[Math 
Score]]&gt;=60,"B-",Table1[[#This Row],[Math 
Score]]&gt;=50,"C",Table1[[#This Row],[Math 
Score]]&gt;=40,"D",Table1[[#This Row],[Math 
Score]]&lt;40,"F")</f>
        <v>D</v>
      </c>
      <c r="N1664">
        <v>79</v>
      </c>
      <c r="O1664" s="13" t="str" cm="1">
        <f t="array" ref="O166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664">
        <v>83</v>
      </c>
      <c r="Q1664" s="13" t="str" cm="1">
        <f t="array" ref="Q166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664">
        <v>50</v>
      </c>
      <c r="S1664" t="str" cm="1">
        <f t="array" ref="S166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C</v>
      </c>
      <c r="T1664">
        <v>52</v>
      </c>
      <c r="U1664" t="str" cm="1">
        <f t="array" ref="U166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C</v>
      </c>
      <c r="V1664">
        <v>79</v>
      </c>
      <c r="W1664" t="str" cm="1">
        <f t="array" ref="W166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664">
        <v>96</v>
      </c>
      <c r="Y1664" t="str" cm="1">
        <f t="array" ref="Y166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664">
        <f>SUM(Table1[[#This Row],[Math 
Score]],Table1[[#This Row],[History 
Score]],Table1[[#This Row],[Physics 
Score]],Table1[[#This Row],[Chemistry 
Score]],Table1[[#This Row],[Biology 
Score]],Table1[[#This Row],[English 
Score]],Table1[[#This Row],[Geography 
Score]])</f>
        <v>483</v>
      </c>
      <c r="AA1664" s="3">
        <f>AVERAGE(Table1[[#This Row],[Math 
Score]],Table1[[#This Row],[History 
Score]],Table1[[#This Row],[Physics 
Score]],Table1[[#This Row],[Chemistry 
Score]],Table1[[#This Row],[Biology 
Score]],Table1[[#This Row],[English 
Score]],Table1[[#This Row],[Geography 
Score]])</f>
        <v>69</v>
      </c>
      <c r="AB166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664">
        <f t="shared" si="25"/>
        <v>1927</v>
      </c>
      <c r="AD1664" t="str">
        <f>_xlfn.IFS(Table1[[#This Row],[Absence 
Days]]&lt;3,"Excellent",Table1[[#This Row],[Absence 
Days]]&lt;=6,"Good",Table1[[#This Row],[Absence 
Days]]&gt;6,"Poor")</f>
        <v>Good</v>
      </c>
    </row>
    <row r="1665" spans="1:30" x14ac:dyDescent="0.35">
      <c r="A1665">
        <v>1664</v>
      </c>
      <c r="B1665" s="2" t="s">
        <v>110</v>
      </c>
      <c r="C1665" t="s">
        <v>1060</v>
      </c>
      <c r="D1665" t="str">
        <f>_xlfn.TEXTJOIN(" ",TRUE,Table1[[#This Row],[First 
Name]:[Last 
Name]])</f>
        <v>Matthew Bartlett</v>
      </c>
      <c r="E1665" t="s">
        <v>2775</v>
      </c>
      <c r="F1665" t="s">
        <v>3244</v>
      </c>
      <c r="G1665" t="str">
        <f ca="1">PROPER(Table1[[#This Row],[Part Time 
Job]])</f>
        <v>False</v>
      </c>
      <c r="H1665" s="3">
        <v>5</v>
      </c>
      <c r="I1665" t="str">
        <f ca="1">PROPER(Table1[[#This Row],[Extracurricular 
Activities]])</f>
        <v>True</v>
      </c>
      <c r="J1665">
        <v>27</v>
      </c>
      <c r="K1665" t="s">
        <v>3112</v>
      </c>
      <c r="L1665">
        <v>81</v>
      </c>
      <c r="M1665" s="12" t="str" cm="1">
        <f t="array" ref="M166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665">
        <v>94</v>
      </c>
      <c r="O1665" s="13" t="str" cm="1">
        <f t="array" ref="O166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665">
        <v>61</v>
      </c>
      <c r="Q1665" s="13" t="str" cm="1">
        <f t="array" ref="Q166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665">
        <v>86</v>
      </c>
      <c r="S1665" t="str" cm="1">
        <f t="array" ref="S166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665">
        <v>72</v>
      </c>
      <c r="U1665" t="str" cm="1">
        <f t="array" ref="U166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665">
        <v>97</v>
      </c>
      <c r="W1665" t="str" cm="1">
        <f t="array" ref="W166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665">
        <v>82</v>
      </c>
      <c r="Y1665" t="str" cm="1">
        <f t="array" ref="Y166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665">
        <f>SUM(Table1[[#This Row],[Math 
Score]],Table1[[#This Row],[History 
Score]],Table1[[#This Row],[Physics 
Score]],Table1[[#This Row],[Chemistry 
Score]],Table1[[#This Row],[Biology 
Score]],Table1[[#This Row],[English 
Score]],Table1[[#This Row],[Geography 
Score]])</f>
        <v>573</v>
      </c>
      <c r="AA1665" s="3">
        <f>AVERAGE(Table1[[#This Row],[Math 
Score]],Table1[[#This Row],[History 
Score]],Table1[[#This Row],[Physics 
Score]],Table1[[#This Row],[Chemistry 
Score]],Table1[[#This Row],[Biology 
Score]],Table1[[#This Row],[English 
Score]],Table1[[#This Row],[Geography 
Score]])</f>
        <v>81.857142857142861</v>
      </c>
      <c r="AB166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665">
        <f t="shared" si="25"/>
        <v>864</v>
      </c>
      <c r="AD1665" t="str">
        <f>_xlfn.IFS(Table1[[#This Row],[Absence 
Days]]&lt;3,"Excellent",Table1[[#This Row],[Absence 
Days]]&lt;=6,"Good",Table1[[#This Row],[Absence 
Days]]&gt;6,"Poor")</f>
        <v>Good</v>
      </c>
    </row>
    <row r="1666" spans="1:30" x14ac:dyDescent="0.35">
      <c r="A1666">
        <v>1665</v>
      </c>
      <c r="B1666" s="2" t="s">
        <v>248</v>
      </c>
      <c r="C1666" t="s">
        <v>510</v>
      </c>
      <c r="D1666" t="str">
        <f>_xlfn.TEXTJOIN(" ",TRUE,Table1[[#This Row],[First 
Name]:[Last 
Name]])</f>
        <v>Kendra Perez</v>
      </c>
      <c r="E1666" t="s">
        <v>2776</v>
      </c>
      <c r="F1666" t="s">
        <v>3245</v>
      </c>
      <c r="G1666" t="str">
        <f ca="1">PROPER(Table1[[#This Row],[Part Time 
Job]])</f>
        <v>True</v>
      </c>
      <c r="H1666" s="3">
        <v>6</v>
      </c>
      <c r="I1666" t="str">
        <f ca="1">PROPER(Table1[[#This Row],[Extracurricular 
Activities]])</f>
        <v>False</v>
      </c>
      <c r="J1666">
        <v>18</v>
      </c>
      <c r="K1666" t="s">
        <v>3121</v>
      </c>
      <c r="L1666">
        <v>77</v>
      </c>
      <c r="M1666" s="12" t="str" cm="1">
        <f t="array" ref="M166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666">
        <v>90</v>
      </c>
      <c r="O1666" s="13" t="str" cm="1">
        <f t="array" ref="O166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666">
        <v>74</v>
      </c>
      <c r="Q1666" s="13" t="str" cm="1">
        <f t="array" ref="Q166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666">
        <v>65</v>
      </c>
      <c r="S1666" t="str" cm="1">
        <f t="array" ref="S166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666">
        <v>100</v>
      </c>
      <c r="U1666" t="str" cm="1">
        <f t="array" ref="U166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666">
        <v>76</v>
      </c>
      <c r="W1666" t="str" cm="1">
        <f t="array" ref="W166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666">
        <v>80</v>
      </c>
      <c r="Y1666" t="str" cm="1">
        <f t="array" ref="Y166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666">
        <f>SUM(Table1[[#This Row],[Math 
Score]],Table1[[#This Row],[History 
Score]],Table1[[#This Row],[Physics 
Score]],Table1[[#This Row],[Chemistry 
Score]],Table1[[#This Row],[Biology 
Score]],Table1[[#This Row],[English 
Score]],Table1[[#This Row],[Geography 
Score]])</f>
        <v>562</v>
      </c>
      <c r="AA1666" s="3">
        <f>AVERAGE(Table1[[#This Row],[Math 
Score]],Table1[[#This Row],[History 
Score]],Table1[[#This Row],[Physics 
Score]],Table1[[#This Row],[Chemistry 
Score]],Table1[[#This Row],[Biology 
Score]],Table1[[#This Row],[English 
Score]],Table1[[#This Row],[Geography 
Score]])</f>
        <v>80.285714285714292</v>
      </c>
      <c r="AB166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666">
        <f t="shared" ref="AC1666:AC1729" si="26">RANK(AA1666,$AA$2:$AA$2001,0)</f>
        <v>1099</v>
      </c>
      <c r="AD1666" t="str">
        <f>_xlfn.IFS(Table1[[#This Row],[Absence 
Days]]&lt;3,"Excellent",Table1[[#This Row],[Absence 
Days]]&lt;=6,"Good",Table1[[#This Row],[Absence 
Days]]&gt;6,"Poor")</f>
        <v>Good</v>
      </c>
    </row>
    <row r="1667" spans="1:30" x14ac:dyDescent="0.35">
      <c r="A1667">
        <v>1666</v>
      </c>
      <c r="B1667" s="2" t="s">
        <v>231</v>
      </c>
      <c r="C1667" t="s">
        <v>968</v>
      </c>
      <c r="D1667" t="str">
        <f>_xlfn.TEXTJOIN(" ",TRUE,Table1[[#This Row],[First 
Name]:[Last 
Name]])</f>
        <v>Daniel Brewer</v>
      </c>
      <c r="E1667" t="s">
        <v>2777</v>
      </c>
      <c r="F1667" t="s">
        <v>3244</v>
      </c>
      <c r="G1667" t="str">
        <f ca="1">PROPER(Table1[[#This Row],[Part Time 
Job]])</f>
        <v>False</v>
      </c>
      <c r="H1667" s="3">
        <v>2</v>
      </c>
      <c r="I1667" t="str">
        <f ca="1">PROPER(Table1[[#This Row],[Extracurricular 
Activities]])</f>
        <v>False</v>
      </c>
      <c r="J1667">
        <v>28</v>
      </c>
      <c r="K1667" t="s">
        <v>3117</v>
      </c>
      <c r="L1667">
        <v>97</v>
      </c>
      <c r="M1667" s="12" t="str" cm="1">
        <f t="array" ref="M166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667">
        <v>97</v>
      </c>
      <c r="O1667" s="13" t="str" cm="1">
        <f t="array" ref="O166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667">
        <v>70</v>
      </c>
      <c r="Q1667" s="13" t="str" cm="1">
        <f t="array" ref="Q166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667">
        <v>94</v>
      </c>
      <c r="S1667" t="str" cm="1">
        <f t="array" ref="S166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667">
        <v>66</v>
      </c>
      <c r="U1667" t="str" cm="1">
        <f t="array" ref="U166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667">
        <v>83</v>
      </c>
      <c r="W1667" t="str" cm="1">
        <f t="array" ref="W166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667">
        <v>66</v>
      </c>
      <c r="Y1667" t="str" cm="1">
        <f t="array" ref="Y166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667">
        <f>SUM(Table1[[#This Row],[Math 
Score]],Table1[[#This Row],[History 
Score]],Table1[[#This Row],[Physics 
Score]],Table1[[#This Row],[Chemistry 
Score]],Table1[[#This Row],[Biology 
Score]],Table1[[#This Row],[English 
Score]],Table1[[#This Row],[Geography 
Score]])</f>
        <v>573</v>
      </c>
      <c r="AA1667" s="3">
        <f>AVERAGE(Table1[[#This Row],[Math 
Score]],Table1[[#This Row],[History 
Score]],Table1[[#This Row],[Physics 
Score]],Table1[[#This Row],[Chemistry 
Score]],Table1[[#This Row],[Biology 
Score]],Table1[[#This Row],[English 
Score]],Table1[[#This Row],[Geography 
Score]])</f>
        <v>81.857142857142861</v>
      </c>
      <c r="AB166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667">
        <f t="shared" si="26"/>
        <v>864</v>
      </c>
      <c r="AD1667" t="str">
        <f>_xlfn.IFS(Table1[[#This Row],[Absence 
Days]]&lt;3,"Excellent",Table1[[#This Row],[Absence 
Days]]&lt;=6,"Good",Table1[[#This Row],[Absence 
Days]]&gt;6,"Poor")</f>
        <v>Excellent</v>
      </c>
    </row>
    <row r="1668" spans="1:30" x14ac:dyDescent="0.35">
      <c r="A1668">
        <v>1667</v>
      </c>
      <c r="B1668" s="2" t="s">
        <v>193</v>
      </c>
      <c r="C1668" t="s">
        <v>267</v>
      </c>
      <c r="D1668" t="str">
        <f>_xlfn.TEXTJOIN(" ",TRUE,Table1[[#This Row],[First 
Name]:[Last 
Name]])</f>
        <v>Cody Tyler</v>
      </c>
      <c r="E1668" t="s">
        <v>2778</v>
      </c>
      <c r="F1668" t="s">
        <v>3244</v>
      </c>
      <c r="G1668" t="str">
        <f ca="1">PROPER(Table1[[#This Row],[Part Time 
Job]])</f>
        <v>False</v>
      </c>
      <c r="H1668" s="3">
        <v>5</v>
      </c>
      <c r="I1668" t="str">
        <f ca="1">PROPER(Table1[[#This Row],[Extracurricular 
Activities]])</f>
        <v>False</v>
      </c>
      <c r="J1668">
        <v>1</v>
      </c>
      <c r="K1668" t="s">
        <v>3119</v>
      </c>
      <c r="L1668">
        <v>66</v>
      </c>
      <c r="M1668" s="12" t="str" cm="1">
        <f t="array" ref="M1668">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668">
        <v>83</v>
      </c>
      <c r="O1668" s="13" t="str" cm="1">
        <f t="array" ref="O166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668">
        <v>79</v>
      </c>
      <c r="Q1668" s="13" t="str" cm="1">
        <f t="array" ref="Q166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668">
        <v>65</v>
      </c>
      <c r="S1668" t="str" cm="1">
        <f t="array" ref="S166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668">
        <v>57</v>
      </c>
      <c r="U1668" t="str" cm="1">
        <f t="array" ref="U166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C</v>
      </c>
      <c r="V1668">
        <v>61</v>
      </c>
      <c r="W1668" t="str" cm="1">
        <f t="array" ref="W166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668">
        <v>86</v>
      </c>
      <c r="Y1668" t="str" cm="1">
        <f t="array" ref="Y166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668">
        <f>SUM(Table1[[#This Row],[Math 
Score]],Table1[[#This Row],[History 
Score]],Table1[[#This Row],[Physics 
Score]],Table1[[#This Row],[Chemistry 
Score]],Table1[[#This Row],[Biology 
Score]],Table1[[#This Row],[English 
Score]],Table1[[#This Row],[Geography 
Score]])</f>
        <v>497</v>
      </c>
      <c r="AA1668" s="3">
        <f>AVERAGE(Table1[[#This Row],[Math 
Score]],Table1[[#This Row],[History 
Score]],Table1[[#This Row],[Physics 
Score]],Table1[[#This Row],[Chemistry 
Score]],Table1[[#This Row],[Biology 
Score]],Table1[[#This Row],[English 
Score]],Table1[[#This Row],[Geography 
Score]])</f>
        <v>71</v>
      </c>
      <c r="AB166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668">
        <f t="shared" si="26"/>
        <v>1888</v>
      </c>
      <c r="AD1668" t="str">
        <f>_xlfn.IFS(Table1[[#This Row],[Absence 
Days]]&lt;3,"Excellent",Table1[[#This Row],[Absence 
Days]]&lt;=6,"Good",Table1[[#This Row],[Absence 
Days]]&gt;6,"Poor")</f>
        <v>Good</v>
      </c>
    </row>
    <row r="1669" spans="1:30" x14ac:dyDescent="0.35">
      <c r="A1669">
        <v>1668</v>
      </c>
      <c r="B1669" s="2" t="s">
        <v>117</v>
      </c>
      <c r="C1669" t="s">
        <v>1061</v>
      </c>
      <c r="D1669" t="str">
        <f>_xlfn.TEXTJOIN(" ",TRUE,Table1[[#This Row],[First 
Name]:[Last 
Name]])</f>
        <v>Nicholas Conrad</v>
      </c>
      <c r="E1669" t="s">
        <v>2779</v>
      </c>
      <c r="F1669" t="s">
        <v>3244</v>
      </c>
      <c r="G1669" t="str">
        <f ca="1">PROPER(Table1[[#This Row],[Part Time 
Job]])</f>
        <v>False</v>
      </c>
      <c r="H1669" s="3">
        <v>7</v>
      </c>
      <c r="I1669" t="str">
        <f ca="1">PROPER(Table1[[#This Row],[Extracurricular 
Activities]])</f>
        <v>False</v>
      </c>
      <c r="J1669">
        <v>42</v>
      </c>
      <c r="K1669" t="s">
        <v>3113</v>
      </c>
      <c r="L1669">
        <v>91</v>
      </c>
      <c r="M1669" s="12" t="str" cm="1">
        <f t="array" ref="M166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669">
        <v>96</v>
      </c>
      <c r="O1669" s="13" t="str" cm="1">
        <f t="array" ref="O166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669">
        <v>96</v>
      </c>
      <c r="Q1669" s="13" t="str" cm="1">
        <f t="array" ref="Q166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669">
        <v>90</v>
      </c>
      <c r="S1669" t="str" cm="1">
        <f t="array" ref="S166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669">
        <v>97</v>
      </c>
      <c r="U1669" t="str" cm="1">
        <f t="array" ref="U166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669">
        <v>85</v>
      </c>
      <c r="W1669" t="str" cm="1">
        <f t="array" ref="W166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669">
        <v>98</v>
      </c>
      <c r="Y1669" t="str" cm="1">
        <f t="array" ref="Y166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669">
        <f>SUM(Table1[[#This Row],[Math 
Score]],Table1[[#This Row],[History 
Score]],Table1[[#This Row],[Physics 
Score]],Table1[[#This Row],[Chemistry 
Score]],Table1[[#This Row],[Biology 
Score]],Table1[[#This Row],[English 
Score]],Table1[[#This Row],[Geography 
Score]])</f>
        <v>653</v>
      </c>
      <c r="AA1669" s="3">
        <f>AVERAGE(Table1[[#This Row],[Math 
Score]],Table1[[#This Row],[History 
Score]],Table1[[#This Row],[Physics 
Score]],Table1[[#This Row],[Chemistry 
Score]],Table1[[#This Row],[Biology 
Score]],Table1[[#This Row],[English 
Score]],Table1[[#This Row],[Geography 
Score]])</f>
        <v>93.285714285714292</v>
      </c>
      <c r="AB166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669">
        <f t="shared" si="26"/>
        <v>43</v>
      </c>
      <c r="AD1669" t="str">
        <f>_xlfn.IFS(Table1[[#This Row],[Absence 
Days]]&lt;3,"Excellent",Table1[[#This Row],[Absence 
Days]]&lt;=6,"Good",Table1[[#This Row],[Absence 
Days]]&gt;6,"Poor")</f>
        <v>Poor</v>
      </c>
    </row>
    <row r="1670" spans="1:30" x14ac:dyDescent="0.35">
      <c r="A1670">
        <v>1669</v>
      </c>
      <c r="B1670" s="2" t="s">
        <v>84</v>
      </c>
      <c r="C1670" t="s">
        <v>606</v>
      </c>
      <c r="D1670" t="str">
        <f>_xlfn.TEXTJOIN(" ",TRUE,Table1[[#This Row],[First 
Name]:[Last 
Name]])</f>
        <v>Emma Morris</v>
      </c>
      <c r="E1670" t="s">
        <v>2780</v>
      </c>
      <c r="F1670" t="s">
        <v>3245</v>
      </c>
      <c r="G1670" t="str">
        <f ca="1">PROPER(Table1[[#This Row],[Part Time 
Job]])</f>
        <v>False</v>
      </c>
      <c r="H1670" s="3">
        <v>8</v>
      </c>
      <c r="I1670" t="str">
        <f ca="1">PROPER(Table1[[#This Row],[Extracurricular 
Activities]])</f>
        <v>False</v>
      </c>
      <c r="J1670">
        <v>21</v>
      </c>
      <c r="K1670" t="s">
        <v>3123</v>
      </c>
      <c r="L1670">
        <v>76</v>
      </c>
      <c r="M1670" s="12" t="str" cm="1">
        <f t="array" ref="M167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670">
        <v>84</v>
      </c>
      <c r="O1670" s="13" t="str" cm="1">
        <f t="array" ref="O167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670">
        <v>95</v>
      </c>
      <c r="Q1670" s="13" t="str" cm="1">
        <f t="array" ref="Q167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670">
        <v>66</v>
      </c>
      <c r="S1670" t="str" cm="1">
        <f t="array" ref="S167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670">
        <v>84</v>
      </c>
      <c r="U1670" t="str" cm="1">
        <f t="array" ref="U167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670">
        <v>74</v>
      </c>
      <c r="W1670" t="str" cm="1">
        <f t="array" ref="W167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670">
        <v>64</v>
      </c>
      <c r="Y1670" t="str" cm="1">
        <f t="array" ref="Y167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670">
        <f>SUM(Table1[[#This Row],[Math 
Score]],Table1[[#This Row],[History 
Score]],Table1[[#This Row],[Physics 
Score]],Table1[[#This Row],[Chemistry 
Score]],Table1[[#This Row],[Biology 
Score]],Table1[[#This Row],[English 
Score]],Table1[[#This Row],[Geography 
Score]])</f>
        <v>543</v>
      </c>
      <c r="AA1670" s="3">
        <f>AVERAGE(Table1[[#This Row],[Math 
Score]],Table1[[#This Row],[History 
Score]],Table1[[#This Row],[Physics 
Score]],Table1[[#This Row],[Chemistry 
Score]],Table1[[#This Row],[Biology 
Score]],Table1[[#This Row],[English 
Score]],Table1[[#This Row],[Geography 
Score]])</f>
        <v>77.571428571428569</v>
      </c>
      <c r="AB167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670">
        <f t="shared" si="26"/>
        <v>1464</v>
      </c>
      <c r="AD1670" t="str">
        <f>_xlfn.IFS(Table1[[#This Row],[Absence 
Days]]&lt;3,"Excellent",Table1[[#This Row],[Absence 
Days]]&lt;=6,"Good",Table1[[#This Row],[Absence 
Days]]&gt;6,"Poor")</f>
        <v>Poor</v>
      </c>
    </row>
    <row r="1671" spans="1:30" x14ac:dyDescent="0.35">
      <c r="A1671">
        <v>1670</v>
      </c>
      <c r="B1671" s="2" t="s">
        <v>40</v>
      </c>
      <c r="C1671" t="s">
        <v>527</v>
      </c>
      <c r="D1671" t="str">
        <f>_xlfn.TEXTJOIN(" ",TRUE,Table1[[#This Row],[First 
Name]:[Last 
Name]])</f>
        <v>David Brown</v>
      </c>
      <c r="E1671" t="s">
        <v>2781</v>
      </c>
      <c r="F1671" t="s">
        <v>3244</v>
      </c>
      <c r="G1671" t="str">
        <f ca="1">PROPER(Table1[[#This Row],[Part Time 
Job]])</f>
        <v>False</v>
      </c>
      <c r="H1671" s="3">
        <v>4</v>
      </c>
      <c r="I1671" t="str">
        <f ca="1">PROPER(Table1[[#This Row],[Extracurricular 
Activities]])</f>
        <v>False</v>
      </c>
      <c r="J1671">
        <v>31</v>
      </c>
      <c r="K1671" t="s">
        <v>3117</v>
      </c>
      <c r="L1671">
        <v>97</v>
      </c>
      <c r="M1671" s="12" t="str" cm="1">
        <f t="array" ref="M167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671">
        <v>93</v>
      </c>
      <c r="O1671" s="13" t="str" cm="1">
        <f t="array" ref="O167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671">
        <v>60</v>
      </c>
      <c r="Q1671" s="13" t="str" cm="1">
        <f t="array" ref="Q167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671">
        <v>90</v>
      </c>
      <c r="S1671" t="str" cm="1">
        <f t="array" ref="S167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671">
        <v>85</v>
      </c>
      <c r="U1671" t="str" cm="1">
        <f t="array" ref="U167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671">
        <v>72</v>
      </c>
      <c r="W1671" t="str" cm="1">
        <f t="array" ref="W167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671">
        <v>83</v>
      </c>
      <c r="Y1671" t="str" cm="1">
        <f t="array" ref="Y167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671">
        <f>SUM(Table1[[#This Row],[Math 
Score]],Table1[[#This Row],[History 
Score]],Table1[[#This Row],[Physics 
Score]],Table1[[#This Row],[Chemistry 
Score]],Table1[[#This Row],[Biology 
Score]],Table1[[#This Row],[English 
Score]],Table1[[#This Row],[Geography 
Score]])</f>
        <v>580</v>
      </c>
      <c r="AA1671" s="3">
        <f>AVERAGE(Table1[[#This Row],[Math 
Score]],Table1[[#This Row],[History 
Score]],Table1[[#This Row],[Physics 
Score]],Table1[[#This Row],[Chemistry 
Score]],Table1[[#This Row],[Biology 
Score]],Table1[[#This Row],[English 
Score]],Table1[[#This Row],[Geography 
Score]])</f>
        <v>82.857142857142861</v>
      </c>
      <c r="AB167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671">
        <f t="shared" si="26"/>
        <v>709</v>
      </c>
      <c r="AD1671" t="str">
        <f>_xlfn.IFS(Table1[[#This Row],[Absence 
Days]]&lt;3,"Excellent",Table1[[#This Row],[Absence 
Days]]&lt;=6,"Good",Table1[[#This Row],[Absence 
Days]]&gt;6,"Poor")</f>
        <v>Good</v>
      </c>
    </row>
    <row r="1672" spans="1:30" x14ac:dyDescent="0.35">
      <c r="A1672">
        <v>1671</v>
      </c>
      <c r="B1672" s="2" t="s">
        <v>429</v>
      </c>
      <c r="C1672" t="s">
        <v>652</v>
      </c>
      <c r="D1672" t="str">
        <f>_xlfn.TEXTJOIN(" ",TRUE,Table1[[#This Row],[First 
Name]:[Last 
Name]])</f>
        <v>Charlotte Zuniga</v>
      </c>
      <c r="E1672" t="s">
        <v>2782</v>
      </c>
      <c r="F1672" t="s">
        <v>3245</v>
      </c>
      <c r="G1672" t="str">
        <f ca="1">PROPER(Table1[[#This Row],[Part Time 
Job]])</f>
        <v>False</v>
      </c>
      <c r="H1672" s="3">
        <v>8</v>
      </c>
      <c r="I1672" t="str">
        <f ca="1">PROPER(Table1[[#This Row],[Extracurricular 
Activities]])</f>
        <v>False</v>
      </c>
      <c r="J1672">
        <v>34</v>
      </c>
      <c r="K1672" t="s">
        <v>3112</v>
      </c>
      <c r="L1672">
        <v>83</v>
      </c>
      <c r="M1672" s="12" t="str" cm="1">
        <f t="array" ref="M167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672">
        <v>94</v>
      </c>
      <c r="O1672" s="13" t="str" cm="1">
        <f t="array" ref="O167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672">
        <v>93</v>
      </c>
      <c r="Q1672" s="13" t="str" cm="1">
        <f t="array" ref="Q167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672">
        <v>62</v>
      </c>
      <c r="S1672" t="str" cm="1">
        <f t="array" ref="S167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672">
        <v>92</v>
      </c>
      <c r="U1672" t="str" cm="1">
        <f t="array" ref="U167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672">
        <v>98</v>
      </c>
      <c r="W1672" t="str" cm="1">
        <f t="array" ref="W167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672">
        <v>94</v>
      </c>
      <c r="Y1672" t="str" cm="1">
        <f t="array" ref="Y167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672">
        <f>SUM(Table1[[#This Row],[Math 
Score]],Table1[[#This Row],[History 
Score]],Table1[[#This Row],[Physics 
Score]],Table1[[#This Row],[Chemistry 
Score]],Table1[[#This Row],[Biology 
Score]],Table1[[#This Row],[English 
Score]],Table1[[#This Row],[Geography 
Score]])</f>
        <v>616</v>
      </c>
      <c r="AA1672" s="3">
        <f>AVERAGE(Table1[[#This Row],[Math 
Score]],Table1[[#This Row],[History 
Score]],Table1[[#This Row],[Physics 
Score]],Table1[[#This Row],[Chemistry 
Score]],Table1[[#This Row],[Biology 
Score]],Table1[[#This Row],[English 
Score]],Table1[[#This Row],[Geography 
Score]])</f>
        <v>88</v>
      </c>
      <c r="AB167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672">
        <f t="shared" si="26"/>
        <v>243</v>
      </c>
      <c r="AD1672" t="str">
        <f>_xlfn.IFS(Table1[[#This Row],[Absence 
Days]]&lt;3,"Excellent",Table1[[#This Row],[Absence 
Days]]&lt;=6,"Good",Table1[[#This Row],[Absence 
Days]]&gt;6,"Poor")</f>
        <v>Poor</v>
      </c>
    </row>
    <row r="1673" spans="1:30" x14ac:dyDescent="0.35">
      <c r="A1673">
        <v>1672</v>
      </c>
      <c r="B1673" s="2" t="s">
        <v>322</v>
      </c>
      <c r="C1673" t="s">
        <v>736</v>
      </c>
      <c r="D1673" t="str">
        <f>_xlfn.TEXTJOIN(" ",TRUE,Table1[[#This Row],[First 
Name]:[Last 
Name]])</f>
        <v>Luis Knight</v>
      </c>
      <c r="E1673" t="s">
        <v>2783</v>
      </c>
      <c r="F1673" t="s">
        <v>3244</v>
      </c>
      <c r="G1673" t="str">
        <f ca="1">PROPER(Table1[[#This Row],[Part Time 
Job]])</f>
        <v>False</v>
      </c>
      <c r="H1673" s="3">
        <v>1</v>
      </c>
      <c r="I1673" t="str">
        <f ca="1">PROPER(Table1[[#This Row],[Extracurricular 
Activities]])</f>
        <v>True</v>
      </c>
      <c r="J1673">
        <v>5</v>
      </c>
      <c r="K1673" t="s">
        <v>3128</v>
      </c>
      <c r="L1673">
        <v>98</v>
      </c>
      <c r="M1673" s="12" t="str" cm="1">
        <f t="array" ref="M167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673">
        <v>83</v>
      </c>
      <c r="O1673" s="13" t="str" cm="1">
        <f t="array" ref="O167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673">
        <v>93</v>
      </c>
      <c r="Q1673" s="13" t="str" cm="1">
        <f t="array" ref="Q167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673">
        <v>73</v>
      </c>
      <c r="S1673" t="str" cm="1">
        <f t="array" ref="S167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673">
        <v>100</v>
      </c>
      <c r="U1673" t="str" cm="1">
        <f t="array" ref="U167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673">
        <v>82</v>
      </c>
      <c r="W1673" t="str" cm="1">
        <f t="array" ref="W167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673">
        <v>81</v>
      </c>
      <c r="Y1673" t="str" cm="1">
        <f t="array" ref="Y167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673">
        <f>SUM(Table1[[#This Row],[Math 
Score]],Table1[[#This Row],[History 
Score]],Table1[[#This Row],[Physics 
Score]],Table1[[#This Row],[Chemistry 
Score]],Table1[[#This Row],[Biology 
Score]],Table1[[#This Row],[English 
Score]],Table1[[#This Row],[Geography 
Score]])</f>
        <v>610</v>
      </c>
      <c r="AA1673" s="3">
        <f>AVERAGE(Table1[[#This Row],[Math 
Score]],Table1[[#This Row],[History 
Score]],Table1[[#This Row],[Physics 
Score]],Table1[[#This Row],[Chemistry 
Score]],Table1[[#This Row],[Biology 
Score]],Table1[[#This Row],[English 
Score]],Table1[[#This Row],[Geography 
Score]])</f>
        <v>87.142857142857139</v>
      </c>
      <c r="AB167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673">
        <f t="shared" si="26"/>
        <v>298</v>
      </c>
      <c r="AD1673" t="str">
        <f>_xlfn.IFS(Table1[[#This Row],[Absence 
Days]]&lt;3,"Excellent",Table1[[#This Row],[Absence 
Days]]&lt;=6,"Good",Table1[[#This Row],[Absence 
Days]]&gt;6,"Poor")</f>
        <v>Excellent</v>
      </c>
    </row>
    <row r="1674" spans="1:30" x14ac:dyDescent="0.35">
      <c r="A1674">
        <v>1673</v>
      </c>
      <c r="B1674" s="2" t="s">
        <v>110</v>
      </c>
      <c r="C1674" t="s">
        <v>569</v>
      </c>
      <c r="D1674" t="str">
        <f>_xlfn.TEXTJOIN(" ",TRUE,Table1[[#This Row],[First 
Name]:[Last 
Name]])</f>
        <v>Matthew Moore</v>
      </c>
      <c r="E1674" t="s">
        <v>2784</v>
      </c>
      <c r="F1674" t="s">
        <v>3244</v>
      </c>
      <c r="G1674" t="str">
        <f ca="1">PROPER(Table1[[#This Row],[Part Time 
Job]])</f>
        <v>False</v>
      </c>
      <c r="H1674" s="3">
        <v>3</v>
      </c>
      <c r="I1674" t="str">
        <f ca="1">PROPER(Table1[[#This Row],[Extracurricular 
Activities]])</f>
        <v>False</v>
      </c>
      <c r="J1674">
        <v>46</v>
      </c>
      <c r="K1674" t="s">
        <v>3113</v>
      </c>
      <c r="L1674">
        <v>91</v>
      </c>
      <c r="M1674" s="12" t="str" cm="1">
        <f t="array" ref="M167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674">
        <v>88</v>
      </c>
      <c r="O1674" s="13" t="str" cm="1">
        <f t="array" ref="O167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674">
        <v>88</v>
      </c>
      <c r="Q1674" s="13" t="str" cm="1">
        <f t="array" ref="Q167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674">
        <v>91</v>
      </c>
      <c r="S1674" t="str" cm="1">
        <f t="array" ref="S167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674">
        <v>85</v>
      </c>
      <c r="U1674" t="str" cm="1">
        <f t="array" ref="U167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674">
        <v>95</v>
      </c>
      <c r="W1674" t="str" cm="1">
        <f t="array" ref="W167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674">
        <v>88</v>
      </c>
      <c r="Y1674" t="str" cm="1">
        <f t="array" ref="Y167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674">
        <f>SUM(Table1[[#This Row],[Math 
Score]],Table1[[#This Row],[History 
Score]],Table1[[#This Row],[Physics 
Score]],Table1[[#This Row],[Chemistry 
Score]],Table1[[#This Row],[Biology 
Score]],Table1[[#This Row],[English 
Score]],Table1[[#This Row],[Geography 
Score]])</f>
        <v>626</v>
      </c>
      <c r="AA1674" s="3">
        <f>AVERAGE(Table1[[#This Row],[Math 
Score]],Table1[[#This Row],[History 
Score]],Table1[[#This Row],[Physics 
Score]],Table1[[#This Row],[Chemistry 
Score]],Table1[[#This Row],[Biology 
Score]],Table1[[#This Row],[English 
Score]],Table1[[#This Row],[Geography 
Score]])</f>
        <v>89.428571428571431</v>
      </c>
      <c r="AB167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674">
        <f t="shared" si="26"/>
        <v>179</v>
      </c>
      <c r="AD1674" t="str">
        <f>_xlfn.IFS(Table1[[#This Row],[Absence 
Days]]&lt;3,"Excellent",Table1[[#This Row],[Absence 
Days]]&lt;=6,"Good",Table1[[#This Row],[Absence 
Days]]&gt;6,"Poor")</f>
        <v>Good</v>
      </c>
    </row>
    <row r="1675" spans="1:30" x14ac:dyDescent="0.35">
      <c r="A1675">
        <v>1674</v>
      </c>
      <c r="B1675" s="2" t="s">
        <v>50</v>
      </c>
      <c r="C1675" t="s">
        <v>1062</v>
      </c>
      <c r="D1675" t="str">
        <f>_xlfn.TEXTJOIN(" ",TRUE,Table1[[#This Row],[First 
Name]:[Last 
Name]])</f>
        <v>Jennifer Chan</v>
      </c>
      <c r="E1675" t="s">
        <v>2785</v>
      </c>
      <c r="F1675" t="s">
        <v>3245</v>
      </c>
      <c r="G1675" t="str">
        <f ca="1">PROPER(Table1[[#This Row],[Part Time 
Job]])</f>
        <v>False</v>
      </c>
      <c r="H1675" s="3">
        <v>3</v>
      </c>
      <c r="I1675" t="str">
        <f ca="1">PROPER(Table1[[#This Row],[Extracurricular 
Activities]])</f>
        <v>False</v>
      </c>
      <c r="J1675">
        <v>9</v>
      </c>
      <c r="K1675" t="s">
        <v>3114</v>
      </c>
      <c r="L1675">
        <v>82</v>
      </c>
      <c r="M1675" s="12" t="str" cm="1">
        <f t="array" ref="M167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675">
        <v>84</v>
      </c>
      <c r="O1675" s="13" t="str" cm="1">
        <f t="array" ref="O167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675">
        <v>93</v>
      </c>
      <c r="Q1675" s="13" t="str" cm="1">
        <f t="array" ref="Q167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675">
        <v>89</v>
      </c>
      <c r="S1675" t="str" cm="1">
        <f t="array" ref="S167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675">
        <v>88</v>
      </c>
      <c r="U1675" t="str" cm="1">
        <f t="array" ref="U167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675">
        <v>76</v>
      </c>
      <c r="W1675" t="str" cm="1">
        <f t="array" ref="W167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675">
        <v>98</v>
      </c>
      <c r="Y1675" t="str" cm="1">
        <f t="array" ref="Y167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675">
        <f>SUM(Table1[[#This Row],[Math 
Score]],Table1[[#This Row],[History 
Score]],Table1[[#This Row],[Physics 
Score]],Table1[[#This Row],[Chemistry 
Score]],Table1[[#This Row],[Biology 
Score]],Table1[[#This Row],[English 
Score]],Table1[[#This Row],[Geography 
Score]])</f>
        <v>610</v>
      </c>
      <c r="AA1675" s="3">
        <f>AVERAGE(Table1[[#This Row],[Math 
Score]],Table1[[#This Row],[History 
Score]],Table1[[#This Row],[Physics 
Score]],Table1[[#This Row],[Chemistry 
Score]],Table1[[#This Row],[Biology 
Score]],Table1[[#This Row],[English 
Score]],Table1[[#This Row],[Geography 
Score]])</f>
        <v>87.142857142857139</v>
      </c>
      <c r="AB167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675">
        <f t="shared" si="26"/>
        <v>298</v>
      </c>
      <c r="AD1675" t="str">
        <f>_xlfn.IFS(Table1[[#This Row],[Absence 
Days]]&lt;3,"Excellent",Table1[[#This Row],[Absence 
Days]]&lt;=6,"Good",Table1[[#This Row],[Absence 
Days]]&gt;6,"Poor")</f>
        <v>Good</v>
      </c>
    </row>
    <row r="1676" spans="1:30" x14ac:dyDescent="0.35">
      <c r="A1676">
        <v>1675</v>
      </c>
      <c r="B1676" s="2" t="s">
        <v>36</v>
      </c>
      <c r="C1676" t="s">
        <v>613</v>
      </c>
      <c r="D1676" t="str">
        <f>_xlfn.TEXTJOIN(" ",TRUE,Table1[[#This Row],[First 
Name]:[Last 
Name]])</f>
        <v>Christopher Evans</v>
      </c>
      <c r="E1676" t="s">
        <v>2786</v>
      </c>
      <c r="F1676" t="s">
        <v>3244</v>
      </c>
      <c r="G1676" t="str">
        <f ca="1">PROPER(Table1[[#This Row],[Part Time 
Job]])</f>
        <v>False</v>
      </c>
      <c r="H1676" s="3">
        <v>5</v>
      </c>
      <c r="I1676" t="str">
        <f ca="1">PROPER(Table1[[#This Row],[Extracurricular 
Activities]])</f>
        <v>False</v>
      </c>
      <c r="J1676">
        <v>26</v>
      </c>
      <c r="K1676" t="s">
        <v>3112</v>
      </c>
      <c r="L1676">
        <v>77</v>
      </c>
      <c r="M1676" s="12" t="str" cm="1">
        <f t="array" ref="M167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676">
        <v>86</v>
      </c>
      <c r="O1676" s="13" t="str" cm="1">
        <f t="array" ref="O167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676">
        <v>62</v>
      </c>
      <c r="Q1676" s="13" t="str" cm="1">
        <f t="array" ref="Q167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676">
        <v>85</v>
      </c>
      <c r="S1676" t="str" cm="1">
        <f t="array" ref="S167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676">
        <v>72</v>
      </c>
      <c r="U1676" t="str" cm="1">
        <f t="array" ref="U167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676">
        <v>98</v>
      </c>
      <c r="W1676" t="str" cm="1">
        <f t="array" ref="W167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676">
        <v>90</v>
      </c>
      <c r="Y1676" t="str" cm="1">
        <f t="array" ref="Y167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676">
        <f>SUM(Table1[[#This Row],[Math 
Score]],Table1[[#This Row],[History 
Score]],Table1[[#This Row],[Physics 
Score]],Table1[[#This Row],[Chemistry 
Score]],Table1[[#This Row],[Biology 
Score]],Table1[[#This Row],[English 
Score]],Table1[[#This Row],[Geography 
Score]])</f>
        <v>570</v>
      </c>
      <c r="AA1676" s="3">
        <f>AVERAGE(Table1[[#This Row],[Math 
Score]],Table1[[#This Row],[History 
Score]],Table1[[#This Row],[Physics 
Score]],Table1[[#This Row],[Chemistry 
Score]],Table1[[#This Row],[Biology 
Score]],Table1[[#This Row],[English 
Score]],Table1[[#This Row],[Geography 
Score]])</f>
        <v>81.428571428571431</v>
      </c>
      <c r="AB167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676">
        <f t="shared" si="26"/>
        <v>937</v>
      </c>
      <c r="AD1676" t="str">
        <f>_xlfn.IFS(Table1[[#This Row],[Absence 
Days]]&lt;3,"Excellent",Table1[[#This Row],[Absence 
Days]]&lt;=6,"Good",Table1[[#This Row],[Absence 
Days]]&gt;6,"Poor")</f>
        <v>Good</v>
      </c>
    </row>
    <row r="1677" spans="1:30" x14ac:dyDescent="0.35">
      <c r="A1677">
        <v>1676</v>
      </c>
      <c r="B1677" s="2" t="s">
        <v>3</v>
      </c>
      <c r="C1677" t="s">
        <v>842</v>
      </c>
      <c r="D1677" t="str">
        <f>_xlfn.TEXTJOIN(" ",TRUE,Table1[[#This Row],[First 
Name]:[Last 
Name]])</f>
        <v>Tara Haynes</v>
      </c>
      <c r="E1677" t="s">
        <v>2787</v>
      </c>
      <c r="F1677" t="s">
        <v>3245</v>
      </c>
      <c r="G1677" t="str">
        <f ca="1">PROPER(Table1[[#This Row],[Part Time 
Job]])</f>
        <v>False</v>
      </c>
      <c r="H1677" s="3">
        <v>3</v>
      </c>
      <c r="I1677" t="str">
        <f ca="1">PROPER(Table1[[#This Row],[Extracurricular 
Activities]])</f>
        <v>False</v>
      </c>
      <c r="J1677">
        <v>31</v>
      </c>
      <c r="K1677" t="s">
        <v>3117</v>
      </c>
      <c r="L1677">
        <v>95</v>
      </c>
      <c r="M1677" s="12" t="str" cm="1">
        <f t="array" ref="M167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677">
        <v>98</v>
      </c>
      <c r="O1677" s="13" t="str" cm="1">
        <f t="array" ref="O167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677">
        <v>76</v>
      </c>
      <c r="Q1677" s="13" t="str" cm="1">
        <f t="array" ref="Q167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677">
        <v>61</v>
      </c>
      <c r="S1677" t="str" cm="1">
        <f t="array" ref="S167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677">
        <v>87</v>
      </c>
      <c r="U1677" t="str" cm="1">
        <f t="array" ref="U167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677">
        <v>72</v>
      </c>
      <c r="W1677" t="str" cm="1">
        <f t="array" ref="W167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677">
        <v>100</v>
      </c>
      <c r="Y1677" t="str" cm="1">
        <f t="array" ref="Y167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677">
        <f>SUM(Table1[[#This Row],[Math 
Score]],Table1[[#This Row],[History 
Score]],Table1[[#This Row],[Physics 
Score]],Table1[[#This Row],[Chemistry 
Score]],Table1[[#This Row],[Biology 
Score]],Table1[[#This Row],[English 
Score]],Table1[[#This Row],[Geography 
Score]])</f>
        <v>589</v>
      </c>
      <c r="AA1677" s="3">
        <f>AVERAGE(Table1[[#This Row],[Math 
Score]],Table1[[#This Row],[History 
Score]],Table1[[#This Row],[Physics 
Score]],Table1[[#This Row],[Chemistry 
Score]],Table1[[#This Row],[Biology 
Score]],Table1[[#This Row],[English 
Score]],Table1[[#This Row],[Geography 
Score]])</f>
        <v>84.142857142857139</v>
      </c>
      <c r="AB167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677">
        <f t="shared" si="26"/>
        <v>548</v>
      </c>
      <c r="AD1677" t="str">
        <f>_xlfn.IFS(Table1[[#This Row],[Absence 
Days]]&lt;3,"Excellent",Table1[[#This Row],[Absence 
Days]]&lt;=6,"Good",Table1[[#This Row],[Absence 
Days]]&gt;6,"Poor")</f>
        <v>Good</v>
      </c>
    </row>
    <row r="1678" spans="1:30" x14ac:dyDescent="0.35">
      <c r="A1678">
        <v>1677</v>
      </c>
      <c r="B1678" s="2" t="s">
        <v>24</v>
      </c>
      <c r="C1678" t="s">
        <v>645</v>
      </c>
      <c r="D1678" t="str">
        <f>_xlfn.TEXTJOIN(" ",TRUE,Table1[[#This Row],[First 
Name]:[Last 
Name]])</f>
        <v>Jason Flores</v>
      </c>
      <c r="E1678" t="s">
        <v>2788</v>
      </c>
      <c r="F1678" t="s">
        <v>3244</v>
      </c>
      <c r="G1678" t="str">
        <f ca="1">PROPER(Table1[[#This Row],[Part Time 
Job]])</f>
        <v>False</v>
      </c>
      <c r="H1678" s="3">
        <v>4</v>
      </c>
      <c r="I1678" t="str">
        <f ca="1">PROPER(Table1[[#This Row],[Extracurricular 
Activities]])</f>
        <v>False</v>
      </c>
      <c r="J1678">
        <v>27</v>
      </c>
      <c r="K1678" t="s">
        <v>3122</v>
      </c>
      <c r="L1678">
        <v>80</v>
      </c>
      <c r="M1678" s="12" t="str" cm="1">
        <f t="array" ref="M167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678">
        <v>76</v>
      </c>
      <c r="O1678" s="13" t="str" cm="1">
        <f t="array" ref="O167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678">
        <v>71</v>
      </c>
      <c r="Q1678" s="13" t="str" cm="1">
        <f t="array" ref="Q167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678">
        <v>62</v>
      </c>
      <c r="S1678" t="str" cm="1">
        <f t="array" ref="S167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678">
        <v>92</v>
      </c>
      <c r="U1678" t="str" cm="1">
        <f t="array" ref="U167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678">
        <v>99</v>
      </c>
      <c r="W1678" t="str" cm="1">
        <f t="array" ref="W167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678">
        <v>77</v>
      </c>
      <c r="Y1678" t="str" cm="1">
        <f t="array" ref="Y167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678">
        <f>SUM(Table1[[#This Row],[Math 
Score]],Table1[[#This Row],[History 
Score]],Table1[[#This Row],[Physics 
Score]],Table1[[#This Row],[Chemistry 
Score]],Table1[[#This Row],[Biology 
Score]],Table1[[#This Row],[English 
Score]],Table1[[#This Row],[Geography 
Score]])</f>
        <v>557</v>
      </c>
      <c r="AA1678" s="3">
        <f>AVERAGE(Table1[[#This Row],[Math 
Score]],Table1[[#This Row],[History 
Score]],Table1[[#This Row],[Physics 
Score]],Table1[[#This Row],[Chemistry 
Score]],Table1[[#This Row],[Biology 
Score]],Table1[[#This Row],[English 
Score]],Table1[[#This Row],[Geography 
Score]])</f>
        <v>79.571428571428569</v>
      </c>
      <c r="AB167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678">
        <f t="shared" si="26"/>
        <v>1200</v>
      </c>
      <c r="AD1678" t="str">
        <f>_xlfn.IFS(Table1[[#This Row],[Absence 
Days]]&lt;3,"Excellent",Table1[[#This Row],[Absence 
Days]]&lt;=6,"Good",Table1[[#This Row],[Absence 
Days]]&gt;6,"Poor")</f>
        <v>Good</v>
      </c>
    </row>
    <row r="1679" spans="1:30" x14ac:dyDescent="0.35">
      <c r="A1679">
        <v>1678</v>
      </c>
      <c r="B1679" s="2" t="s">
        <v>40</v>
      </c>
      <c r="C1679" t="s">
        <v>645</v>
      </c>
      <c r="D1679" t="str">
        <f>_xlfn.TEXTJOIN(" ",TRUE,Table1[[#This Row],[First 
Name]:[Last 
Name]])</f>
        <v>David Flores</v>
      </c>
      <c r="E1679" t="s">
        <v>2789</v>
      </c>
      <c r="F1679" t="s">
        <v>3244</v>
      </c>
      <c r="G1679" t="str">
        <f ca="1">PROPER(Table1[[#This Row],[Part Time 
Job]])</f>
        <v>True</v>
      </c>
      <c r="H1679" s="3">
        <v>7</v>
      </c>
      <c r="I1679" t="str">
        <f ca="1">PROPER(Table1[[#This Row],[Extracurricular 
Activities]])</f>
        <v>False</v>
      </c>
      <c r="J1679">
        <v>28</v>
      </c>
      <c r="K1679" t="s">
        <v>3117</v>
      </c>
      <c r="L1679">
        <v>89</v>
      </c>
      <c r="M1679" s="12" t="str" cm="1">
        <f t="array" ref="M167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679">
        <v>79</v>
      </c>
      <c r="O1679" s="13" t="str" cm="1">
        <f t="array" ref="O167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679">
        <v>97</v>
      </c>
      <c r="Q1679" s="13" t="str" cm="1">
        <f t="array" ref="Q167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679">
        <v>61</v>
      </c>
      <c r="S1679" t="str" cm="1">
        <f t="array" ref="S167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679">
        <v>64</v>
      </c>
      <c r="U1679" t="str" cm="1">
        <f t="array" ref="U167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679">
        <v>79</v>
      </c>
      <c r="W1679" t="str" cm="1">
        <f t="array" ref="W167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679">
        <v>72</v>
      </c>
      <c r="Y1679" t="str" cm="1">
        <f t="array" ref="Y167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679">
        <f>SUM(Table1[[#This Row],[Math 
Score]],Table1[[#This Row],[History 
Score]],Table1[[#This Row],[Physics 
Score]],Table1[[#This Row],[Chemistry 
Score]],Table1[[#This Row],[Biology 
Score]],Table1[[#This Row],[English 
Score]],Table1[[#This Row],[Geography 
Score]])</f>
        <v>541</v>
      </c>
      <c r="AA1679" s="3">
        <f>AVERAGE(Table1[[#This Row],[Math 
Score]],Table1[[#This Row],[History 
Score]],Table1[[#This Row],[Physics 
Score]],Table1[[#This Row],[Chemistry 
Score]],Table1[[#This Row],[Biology 
Score]],Table1[[#This Row],[English 
Score]],Table1[[#This Row],[Geography 
Score]])</f>
        <v>77.285714285714292</v>
      </c>
      <c r="AB167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679">
        <f t="shared" si="26"/>
        <v>1493</v>
      </c>
      <c r="AD1679" t="str">
        <f>_xlfn.IFS(Table1[[#This Row],[Absence 
Days]]&lt;3,"Excellent",Table1[[#This Row],[Absence 
Days]]&lt;=6,"Good",Table1[[#This Row],[Absence 
Days]]&gt;6,"Poor")</f>
        <v>Poor</v>
      </c>
    </row>
    <row r="1680" spans="1:30" x14ac:dyDescent="0.35">
      <c r="A1680">
        <v>1679</v>
      </c>
      <c r="B1680" s="2" t="s">
        <v>11</v>
      </c>
      <c r="C1680" t="s">
        <v>780</v>
      </c>
      <c r="D1680" t="str">
        <f>_xlfn.TEXTJOIN(" ",TRUE,Table1[[#This Row],[First 
Name]:[Last 
Name]])</f>
        <v>Patricia Rivera</v>
      </c>
      <c r="E1680" t="s">
        <v>2790</v>
      </c>
      <c r="F1680" t="s">
        <v>3245</v>
      </c>
      <c r="G1680" t="str">
        <f ca="1">PROPER(Table1[[#This Row],[Part Time 
Job]])</f>
        <v>False</v>
      </c>
      <c r="H1680" s="3">
        <v>3</v>
      </c>
      <c r="I1680" t="str">
        <f ca="1">PROPER(Table1[[#This Row],[Extracurricular 
Activities]])</f>
        <v>True</v>
      </c>
      <c r="J1680">
        <v>5</v>
      </c>
      <c r="K1680" t="s">
        <v>3114</v>
      </c>
      <c r="L1680">
        <v>69</v>
      </c>
      <c r="M1680" s="12" t="str" cm="1">
        <f t="array" ref="M1680">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680">
        <v>87</v>
      </c>
      <c r="O1680" s="13" t="str" cm="1">
        <f t="array" ref="O168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680">
        <v>91</v>
      </c>
      <c r="Q1680" s="13" t="str" cm="1">
        <f t="array" ref="Q168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680">
        <v>82</v>
      </c>
      <c r="S1680" t="str" cm="1">
        <f t="array" ref="S168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680">
        <v>86</v>
      </c>
      <c r="U1680" t="str" cm="1">
        <f t="array" ref="U168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680">
        <v>77</v>
      </c>
      <c r="W1680" t="str" cm="1">
        <f t="array" ref="W168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680">
        <v>80</v>
      </c>
      <c r="Y1680" t="str" cm="1">
        <f t="array" ref="Y168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680">
        <f>SUM(Table1[[#This Row],[Math 
Score]],Table1[[#This Row],[History 
Score]],Table1[[#This Row],[Physics 
Score]],Table1[[#This Row],[Chemistry 
Score]],Table1[[#This Row],[Biology 
Score]],Table1[[#This Row],[English 
Score]],Table1[[#This Row],[Geography 
Score]])</f>
        <v>572</v>
      </c>
      <c r="AA1680" s="3">
        <f>AVERAGE(Table1[[#This Row],[Math 
Score]],Table1[[#This Row],[History 
Score]],Table1[[#This Row],[Physics 
Score]],Table1[[#This Row],[Chemistry 
Score]],Table1[[#This Row],[Biology 
Score]],Table1[[#This Row],[English 
Score]],Table1[[#This Row],[Geography 
Score]])</f>
        <v>81.714285714285708</v>
      </c>
      <c r="AB168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680">
        <f t="shared" si="26"/>
        <v>890</v>
      </c>
      <c r="AD1680" t="str">
        <f>_xlfn.IFS(Table1[[#This Row],[Absence 
Days]]&lt;3,"Excellent",Table1[[#This Row],[Absence 
Days]]&lt;=6,"Good",Table1[[#This Row],[Absence 
Days]]&gt;6,"Poor")</f>
        <v>Good</v>
      </c>
    </row>
    <row r="1681" spans="1:30" x14ac:dyDescent="0.35">
      <c r="A1681">
        <v>1680</v>
      </c>
      <c r="B1681" s="2" t="s">
        <v>323</v>
      </c>
      <c r="C1681" t="s">
        <v>799</v>
      </c>
      <c r="D1681" t="str">
        <f>_xlfn.TEXTJOIN(" ",TRUE,Table1[[#This Row],[First 
Name]:[Last 
Name]])</f>
        <v>Alexis Freeman</v>
      </c>
      <c r="E1681" t="s">
        <v>2791</v>
      </c>
      <c r="F1681" t="s">
        <v>3245</v>
      </c>
      <c r="G1681" t="str">
        <f ca="1">PROPER(Table1[[#This Row],[Part Time 
Job]])</f>
        <v>False</v>
      </c>
      <c r="H1681" s="3">
        <v>2</v>
      </c>
      <c r="I1681" t="str">
        <f ca="1">PROPER(Table1[[#This Row],[Extracurricular 
Activities]])</f>
        <v>False</v>
      </c>
      <c r="J1681">
        <v>4</v>
      </c>
      <c r="K1681" t="s">
        <v>3119</v>
      </c>
      <c r="L1681">
        <v>76</v>
      </c>
      <c r="M1681" s="12" t="str" cm="1">
        <f t="array" ref="M168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681">
        <v>72</v>
      </c>
      <c r="O1681" s="13" t="str" cm="1">
        <f t="array" ref="O168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681">
        <v>58</v>
      </c>
      <c r="Q1681" s="13" t="str" cm="1">
        <f t="array" ref="Q168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C</v>
      </c>
      <c r="R1681">
        <v>66</v>
      </c>
      <c r="S1681" t="str" cm="1">
        <f t="array" ref="S168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681">
        <v>66</v>
      </c>
      <c r="U1681" t="str" cm="1">
        <f t="array" ref="U168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681">
        <v>62</v>
      </c>
      <c r="W1681" t="str" cm="1">
        <f t="array" ref="W168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681">
        <v>60</v>
      </c>
      <c r="Y1681" t="str" cm="1">
        <f t="array" ref="Y168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681">
        <f>SUM(Table1[[#This Row],[Math 
Score]],Table1[[#This Row],[History 
Score]],Table1[[#This Row],[Physics 
Score]],Table1[[#This Row],[Chemistry 
Score]],Table1[[#This Row],[Biology 
Score]],Table1[[#This Row],[English 
Score]],Table1[[#This Row],[Geography 
Score]])</f>
        <v>460</v>
      </c>
      <c r="AA1681" s="3">
        <f>AVERAGE(Table1[[#This Row],[Math 
Score]],Table1[[#This Row],[History 
Score]],Table1[[#This Row],[Physics 
Score]],Table1[[#This Row],[Chemistry 
Score]],Table1[[#This Row],[Biology 
Score]],Table1[[#This Row],[English 
Score]],Table1[[#This Row],[Geography 
Score]])</f>
        <v>65.714285714285708</v>
      </c>
      <c r="AB168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681">
        <f t="shared" si="26"/>
        <v>1979</v>
      </c>
      <c r="AD1681" t="str">
        <f>_xlfn.IFS(Table1[[#This Row],[Absence 
Days]]&lt;3,"Excellent",Table1[[#This Row],[Absence 
Days]]&lt;=6,"Good",Table1[[#This Row],[Absence 
Days]]&gt;6,"Poor")</f>
        <v>Excellent</v>
      </c>
    </row>
    <row r="1682" spans="1:30" x14ac:dyDescent="0.35">
      <c r="A1682">
        <v>1681</v>
      </c>
      <c r="B1682" s="2" t="s">
        <v>192</v>
      </c>
      <c r="C1682" t="s">
        <v>660</v>
      </c>
      <c r="D1682" t="str">
        <f>_xlfn.TEXTJOIN(" ",TRUE,Table1[[#This Row],[First 
Name]:[Last 
Name]])</f>
        <v>Scott Baxter</v>
      </c>
      <c r="E1682" t="s">
        <v>2792</v>
      </c>
      <c r="F1682" t="s">
        <v>3244</v>
      </c>
      <c r="G1682" t="str">
        <f ca="1">PROPER(Table1[[#This Row],[Part Time 
Job]])</f>
        <v>False</v>
      </c>
      <c r="H1682" s="3">
        <v>1</v>
      </c>
      <c r="I1682" t="str">
        <f ca="1">PROPER(Table1[[#This Row],[Extracurricular 
Activities]])</f>
        <v>False</v>
      </c>
      <c r="J1682">
        <v>33</v>
      </c>
      <c r="K1682" t="s">
        <v>3113</v>
      </c>
      <c r="L1682">
        <v>85</v>
      </c>
      <c r="M1682" s="12" t="str" cm="1">
        <f t="array" ref="M168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682">
        <v>97</v>
      </c>
      <c r="O1682" s="13" t="str" cm="1">
        <f t="array" ref="O168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682">
        <v>95</v>
      </c>
      <c r="Q1682" s="13" t="str" cm="1">
        <f t="array" ref="Q168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682">
        <v>97</v>
      </c>
      <c r="S1682" t="str" cm="1">
        <f t="array" ref="S168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682">
        <v>98</v>
      </c>
      <c r="U1682" t="str" cm="1">
        <f t="array" ref="U168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682">
        <v>84</v>
      </c>
      <c r="W1682" t="str" cm="1">
        <f t="array" ref="W168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682">
        <v>94</v>
      </c>
      <c r="Y1682" t="str" cm="1">
        <f t="array" ref="Y168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682">
        <f>SUM(Table1[[#This Row],[Math 
Score]],Table1[[#This Row],[History 
Score]],Table1[[#This Row],[Physics 
Score]],Table1[[#This Row],[Chemistry 
Score]],Table1[[#This Row],[Biology 
Score]],Table1[[#This Row],[English 
Score]],Table1[[#This Row],[Geography 
Score]])</f>
        <v>650</v>
      </c>
      <c r="AA1682" s="3">
        <f>AVERAGE(Table1[[#This Row],[Math 
Score]],Table1[[#This Row],[History 
Score]],Table1[[#This Row],[Physics 
Score]],Table1[[#This Row],[Chemistry 
Score]],Table1[[#This Row],[Biology 
Score]],Table1[[#This Row],[English 
Score]],Table1[[#This Row],[Geography 
Score]])</f>
        <v>92.857142857142861</v>
      </c>
      <c r="AB168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682">
        <f t="shared" si="26"/>
        <v>56</v>
      </c>
      <c r="AD1682" t="str">
        <f>_xlfn.IFS(Table1[[#This Row],[Absence 
Days]]&lt;3,"Excellent",Table1[[#This Row],[Absence 
Days]]&lt;=6,"Good",Table1[[#This Row],[Absence 
Days]]&gt;6,"Poor")</f>
        <v>Excellent</v>
      </c>
    </row>
    <row r="1683" spans="1:30" x14ac:dyDescent="0.35">
      <c r="A1683">
        <v>1682</v>
      </c>
      <c r="B1683" s="2" t="s">
        <v>20</v>
      </c>
      <c r="C1683" t="s">
        <v>1063</v>
      </c>
      <c r="D1683" t="str">
        <f>_xlfn.TEXTJOIN(" ",TRUE,Table1[[#This Row],[First 
Name]:[Last 
Name]])</f>
        <v>Kyle Rubio</v>
      </c>
      <c r="E1683" t="s">
        <v>2793</v>
      </c>
      <c r="F1683" t="s">
        <v>3244</v>
      </c>
      <c r="G1683" t="str">
        <f ca="1">PROPER(Table1[[#This Row],[Part Time 
Job]])</f>
        <v>False</v>
      </c>
      <c r="H1683" s="3">
        <v>3</v>
      </c>
      <c r="I1683" t="str">
        <f ca="1">PROPER(Table1[[#This Row],[Extracurricular 
Activities]])</f>
        <v>False</v>
      </c>
      <c r="J1683">
        <v>16</v>
      </c>
      <c r="K1683" t="s">
        <v>3121</v>
      </c>
      <c r="L1683">
        <v>79</v>
      </c>
      <c r="M1683" s="12" t="str" cm="1">
        <f t="array" ref="M168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683">
        <v>100</v>
      </c>
      <c r="O1683" s="13" t="str" cm="1">
        <f t="array" ref="O168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683">
        <v>72</v>
      </c>
      <c r="Q1683" s="13" t="str" cm="1">
        <f t="array" ref="Q168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683">
        <v>89</v>
      </c>
      <c r="S1683" t="str" cm="1">
        <f t="array" ref="S168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683">
        <v>68</v>
      </c>
      <c r="U1683" t="str" cm="1">
        <f t="array" ref="U168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683">
        <v>99</v>
      </c>
      <c r="W1683" t="str" cm="1">
        <f t="array" ref="W168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683">
        <v>76</v>
      </c>
      <c r="Y1683" t="str" cm="1">
        <f t="array" ref="Y168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683">
        <f>SUM(Table1[[#This Row],[Math 
Score]],Table1[[#This Row],[History 
Score]],Table1[[#This Row],[Physics 
Score]],Table1[[#This Row],[Chemistry 
Score]],Table1[[#This Row],[Biology 
Score]],Table1[[#This Row],[English 
Score]],Table1[[#This Row],[Geography 
Score]])</f>
        <v>583</v>
      </c>
      <c r="AA1683" s="3">
        <f>AVERAGE(Table1[[#This Row],[Math 
Score]],Table1[[#This Row],[History 
Score]],Table1[[#This Row],[Physics 
Score]],Table1[[#This Row],[Chemistry 
Score]],Table1[[#This Row],[Biology 
Score]],Table1[[#This Row],[English 
Score]],Table1[[#This Row],[Geography 
Score]])</f>
        <v>83.285714285714292</v>
      </c>
      <c r="AB168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683">
        <f t="shared" si="26"/>
        <v>655</v>
      </c>
      <c r="AD1683" t="str">
        <f>_xlfn.IFS(Table1[[#This Row],[Absence 
Days]]&lt;3,"Excellent",Table1[[#This Row],[Absence 
Days]]&lt;=6,"Good",Table1[[#This Row],[Absence 
Days]]&gt;6,"Poor")</f>
        <v>Good</v>
      </c>
    </row>
    <row r="1684" spans="1:30" x14ac:dyDescent="0.35">
      <c r="A1684">
        <v>1683</v>
      </c>
      <c r="B1684" s="2" t="s">
        <v>114</v>
      </c>
      <c r="C1684" t="s">
        <v>1064</v>
      </c>
      <c r="D1684" t="str">
        <f>_xlfn.TEXTJOIN(" ",TRUE,Table1[[#This Row],[First 
Name]:[Last 
Name]])</f>
        <v>Nancy Montes</v>
      </c>
      <c r="E1684" t="s">
        <v>2794</v>
      </c>
      <c r="F1684" t="s">
        <v>3245</v>
      </c>
      <c r="G1684" t="str">
        <f ca="1">PROPER(Table1[[#This Row],[Part Time 
Job]])</f>
        <v>False</v>
      </c>
      <c r="H1684" s="3">
        <v>1</v>
      </c>
      <c r="I1684" t="str">
        <f ca="1">PROPER(Table1[[#This Row],[Extracurricular 
Activities]])</f>
        <v>False</v>
      </c>
      <c r="J1684">
        <v>15</v>
      </c>
      <c r="K1684" t="s">
        <v>3118</v>
      </c>
      <c r="L1684">
        <v>85</v>
      </c>
      <c r="M1684" s="12" t="str" cm="1">
        <f t="array" ref="M168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684">
        <v>76</v>
      </c>
      <c r="O1684" s="13" t="str" cm="1">
        <f t="array" ref="O168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684">
        <v>63</v>
      </c>
      <c r="Q1684" s="13" t="str" cm="1">
        <f t="array" ref="Q168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684">
        <v>62</v>
      </c>
      <c r="S1684" t="str" cm="1">
        <f t="array" ref="S168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684">
        <v>74</v>
      </c>
      <c r="U1684" t="str" cm="1">
        <f t="array" ref="U168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684">
        <v>82</v>
      </c>
      <c r="W1684" t="str" cm="1">
        <f t="array" ref="W168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684">
        <v>96</v>
      </c>
      <c r="Y1684" t="str" cm="1">
        <f t="array" ref="Y168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684">
        <f>SUM(Table1[[#This Row],[Math 
Score]],Table1[[#This Row],[History 
Score]],Table1[[#This Row],[Physics 
Score]],Table1[[#This Row],[Chemistry 
Score]],Table1[[#This Row],[Biology 
Score]],Table1[[#This Row],[English 
Score]],Table1[[#This Row],[Geography 
Score]])</f>
        <v>538</v>
      </c>
      <c r="AA1684" s="3">
        <f>AVERAGE(Table1[[#This Row],[Math 
Score]],Table1[[#This Row],[History 
Score]],Table1[[#This Row],[Physics 
Score]],Table1[[#This Row],[Chemistry 
Score]],Table1[[#This Row],[Biology 
Score]],Table1[[#This Row],[English 
Score]],Table1[[#This Row],[Geography 
Score]])</f>
        <v>76.857142857142861</v>
      </c>
      <c r="AB168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684">
        <f t="shared" si="26"/>
        <v>1537</v>
      </c>
      <c r="AD1684" t="str">
        <f>_xlfn.IFS(Table1[[#This Row],[Absence 
Days]]&lt;3,"Excellent",Table1[[#This Row],[Absence 
Days]]&lt;=6,"Good",Table1[[#This Row],[Absence 
Days]]&gt;6,"Poor")</f>
        <v>Excellent</v>
      </c>
    </row>
    <row r="1685" spans="1:30" x14ac:dyDescent="0.35">
      <c r="A1685">
        <v>1684</v>
      </c>
      <c r="B1685" s="2" t="s">
        <v>327</v>
      </c>
      <c r="C1685" t="s">
        <v>858</v>
      </c>
      <c r="D1685" t="str">
        <f>_xlfn.TEXTJOIN(" ",TRUE,Table1[[#This Row],[First 
Name]:[Last 
Name]])</f>
        <v>Andre Graham</v>
      </c>
      <c r="E1685" t="s">
        <v>2795</v>
      </c>
      <c r="F1685" t="s">
        <v>3244</v>
      </c>
      <c r="G1685" t="str">
        <f ca="1">PROPER(Table1[[#This Row],[Part Time 
Job]])</f>
        <v>False</v>
      </c>
      <c r="H1685" s="3">
        <v>7</v>
      </c>
      <c r="I1685" t="str">
        <f ca="1">PROPER(Table1[[#This Row],[Extracurricular 
Activities]])</f>
        <v>False</v>
      </c>
      <c r="J1685">
        <v>10</v>
      </c>
      <c r="K1685" t="s">
        <v>3114</v>
      </c>
      <c r="L1685">
        <v>78</v>
      </c>
      <c r="M1685" s="12" t="str" cm="1">
        <f t="array" ref="M168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685">
        <v>69</v>
      </c>
      <c r="O1685" s="13" t="str" cm="1">
        <f t="array" ref="O168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685">
        <v>87</v>
      </c>
      <c r="Q1685" s="13" t="str" cm="1">
        <f t="array" ref="Q168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685">
        <v>93</v>
      </c>
      <c r="S1685" t="str" cm="1">
        <f t="array" ref="S168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685">
        <v>83</v>
      </c>
      <c r="U1685" t="str" cm="1">
        <f t="array" ref="U168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685">
        <v>94</v>
      </c>
      <c r="W1685" t="str" cm="1">
        <f t="array" ref="W168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685">
        <v>75</v>
      </c>
      <c r="Y1685" t="str" cm="1">
        <f t="array" ref="Y168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685">
        <f>SUM(Table1[[#This Row],[Math 
Score]],Table1[[#This Row],[History 
Score]],Table1[[#This Row],[Physics 
Score]],Table1[[#This Row],[Chemistry 
Score]],Table1[[#This Row],[Biology 
Score]],Table1[[#This Row],[English 
Score]],Table1[[#This Row],[Geography 
Score]])</f>
        <v>579</v>
      </c>
      <c r="AA1685" s="3">
        <f>AVERAGE(Table1[[#This Row],[Math 
Score]],Table1[[#This Row],[History 
Score]],Table1[[#This Row],[Physics 
Score]],Table1[[#This Row],[Chemistry 
Score]],Table1[[#This Row],[Biology 
Score]],Table1[[#This Row],[English 
Score]],Table1[[#This Row],[Geography 
Score]])</f>
        <v>82.714285714285708</v>
      </c>
      <c r="AB168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685">
        <f t="shared" si="26"/>
        <v>730</v>
      </c>
      <c r="AD1685" t="str">
        <f>_xlfn.IFS(Table1[[#This Row],[Absence 
Days]]&lt;3,"Excellent",Table1[[#This Row],[Absence 
Days]]&lt;=6,"Good",Table1[[#This Row],[Absence 
Days]]&gt;6,"Poor")</f>
        <v>Poor</v>
      </c>
    </row>
    <row r="1686" spans="1:30" x14ac:dyDescent="0.35">
      <c r="A1686">
        <v>1685</v>
      </c>
      <c r="B1686" s="2" t="s">
        <v>206</v>
      </c>
      <c r="C1686" t="s">
        <v>780</v>
      </c>
      <c r="D1686" t="str">
        <f>_xlfn.TEXTJOIN(" ",TRUE,Table1[[#This Row],[First 
Name]:[Last 
Name]])</f>
        <v>Christine Rivera</v>
      </c>
      <c r="E1686" t="s">
        <v>2796</v>
      </c>
      <c r="F1686" t="s">
        <v>3245</v>
      </c>
      <c r="G1686" t="str">
        <f ca="1">PROPER(Table1[[#This Row],[Part Time 
Job]])</f>
        <v>False</v>
      </c>
      <c r="H1686" s="3">
        <v>0</v>
      </c>
      <c r="I1686" t="str">
        <f ca="1">PROPER(Table1[[#This Row],[Extracurricular 
Activities]])</f>
        <v>True</v>
      </c>
      <c r="J1686">
        <v>18</v>
      </c>
      <c r="K1686" t="s">
        <v>3116</v>
      </c>
      <c r="L1686">
        <v>62</v>
      </c>
      <c r="M1686" s="12" t="str" cm="1">
        <f t="array" ref="M1686">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686">
        <v>91</v>
      </c>
      <c r="O1686" s="13" t="str" cm="1">
        <f t="array" ref="O168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686">
        <v>86</v>
      </c>
      <c r="Q1686" s="13" t="str" cm="1">
        <f t="array" ref="Q168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686">
        <v>88</v>
      </c>
      <c r="S1686" t="str" cm="1">
        <f t="array" ref="S168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686">
        <v>80</v>
      </c>
      <c r="U1686" t="str" cm="1">
        <f t="array" ref="U168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686">
        <v>62</v>
      </c>
      <c r="W1686" t="str" cm="1">
        <f t="array" ref="W168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686">
        <v>75</v>
      </c>
      <c r="Y1686" t="str" cm="1">
        <f t="array" ref="Y168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686">
        <f>SUM(Table1[[#This Row],[Math 
Score]],Table1[[#This Row],[History 
Score]],Table1[[#This Row],[Physics 
Score]],Table1[[#This Row],[Chemistry 
Score]],Table1[[#This Row],[Biology 
Score]],Table1[[#This Row],[English 
Score]],Table1[[#This Row],[Geography 
Score]])</f>
        <v>544</v>
      </c>
      <c r="AA1686" s="3">
        <f>AVERAGE(Table1[[#This Row],[Math 
Score]],Table1[[#This Row],[History 
Score]],Table1[[#This Row],[Physics 
Score]],Table1[[#This Row],[Chemistry 
Score]],Table1[[#This Row],[Biology 
Score]],Table1[[#This Row],[English 
Score]],Table1[[#This Row],[Geography 
Score]])</f>
        <v>77.714285714285708</v>
      </c>
      <c r="AB168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686">
        <f t="shared" si="26"/>
        <v>1446</v>
      </c>
      <c r="AD1686" t="str">
        <f>_xlfn.IFS(Table1[[#This Row],[Absence 
Days]]&lt;3,"Excellent",Table1[[#This Row],[Absence 
Days]]&lt;=6,"Good",Table1[[#This Row],[Absence 
Days]]&gt;6,"Poor")</f>
        <v>Excellent</v>
      </c>
    </row>
    <row r="1687" spans="1:30" x14ac:dyDescent="0.35">
      <c r="A1687">
        <v>1686</v>
      </c>
      <c r="B1687" s="2" t="s">
        <v>75</v>
      </c>
      <c r="C1687" t="s">
        <v>1023</v>
      </c>
      <c r="D1687" t="str">
        <f>_xlfn.TEXTJOIN(" ",TRUE,Table1[[#This Row],[First 
Name]:[Last 
Name]])</f>
        <v>William Holt</v>
      </c>
      <c r="E1687" t="s">
        <v>2797</v>
      </c>
      <c r="F1687" t="s">
        <v>3244</v>
      </c>
      <c r="G1687" t="str">
        <f ca="1">PROPER(Table1[[#This Row],[Part Time 
Job]])</f>
        <v>False</v>
      </c>
      <c r="H1687" s="3">
        <v>1</v>
      </c>
      <c r="I1687" t="str">
        <f ca="1">PROPER(Table1[[#This Row],[Extracurricular 
Activities]])</f>
        <v>False</v>
      </c>
      <c r="J1687">
        <v>12</v>
      </c>
      <c r="K1687" t="s">
        <v>3127</v>
      </c>
      <c r="L1687">
        <v>93</v>
      </c>
      <c r="M1687" s="12" t="str" cm="1">
        <f t="array" ref="M168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687">
        <v>86</v>
      </c>
      <c r="O1687" s="13" t="str" cm="1">
        <f t="array" ref="O168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687">
        <v>61</v>
      </c>
      <c r="Q1687" s="13" t="str" cm="1">
        <f t="array" ref="Q168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687">
        <v>71</v>
      </c>
      <c r="S1687" t="str" cm="1">
        <f t="array" ref="S168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687">
        <v>98</v>
      </c>
      <c r="U1687" t="str" cm="1">
        <f t="array" ref="U168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687">
        <v>79</v>
      </c>
      <c r="W1687" t="str" cm="1">
        <f t="array" ref="W168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687">
        <v>87</v>
      </c>
      <c r="Y1687" t="str" cm="1">
        <f t="array" ref="Y168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687">
        <f>SUM(Table1[[#This Row],[Math 
Score]],Table1[[#This Row],[History 
Score]],Table1[[#This Row],[Physics 
Score]],Table1[[#This Row],[Chemistry 
Score]],Table1[[#This Row],[Biology 
Score]],Table1[[#This Row],[English 
Score]],Table1[[#This Row],[Geography 
Score]])</f>
        <v>575</v>
      </c>
      <c r="AA1687" s="3">
        <f>AVERAGE(Table1[[#This Row],[Math 
Score]],Table1[[#This Row],[History 
Score]],Table1[[#This Row],[Physics 
Score]],Table1[[#This Row],[Chemistry 
Score]],Table1[[#This Row],[Biology 
Score]],Table1[[#This Row],[English 
Score]],Table1[[#This Row],[Geography 
Score]])</f>
        <v>82.142857142857139</v>
      </c>
      <c r="AB168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687">
        <f t="shared" si="26"/>
        <v>807</v>
      </c>
      <c r="AD1687" t="str">
        <f>_xlfn.IFS(Table1[[#This Row],[Absence 
Days]]&lt;3,"Excellent",Table1[[#This Row],[Absence 
Days]]&lt;=6,"Good",Table1[[#This Row],[Absence 
Days]]&gt;6,"Poor")</f>
        <v>Excellent</v>
      </c>
    </row>
    <row r="1688" spans="1:30" x14ac:dyDescent="0.35">
      <c r="A1688">
        <v>1687</v>
      </c>
      <c r="B1688" s="2" t="s">
        <v>144</v>
      </c>
      <c r="C1688" t="s">
        <v>606</v>
      </c>
      <c r="D1688" t="str">
        <f>_xlfn.TEXTJOIN(" ",TRUE,Table1[[#This Row],[First 
Name]:[Last 
Name]])</f>
        <v>Tammy Morris</v>
      </c>
      <c r="E1688" t="s">
        <v>2798</v>
      </c>
      <c r="F1688" t="s">
        <v>3245</v>
      </c>
      <c r="G1688" t="str">
        <f ca="1">PROPER(Table1[[#This Row],[Part Time 
Job]])</f>
        <v>False</v>
      </c>
      <c r="H1688" s="3">
        <v>3</v>
      </c>
      <c r="I1688" t="str">
        <f ca="1">PROPER(Table1[[#This Row],[Extracurricular 
Activities]])</f>
        <v>False</v>
      </c>
      <c r="J1688">
        <v>25</v>
      </c>
      <c r="K1688" t="s">
        <v>3121</v>
      </c>
      <c r="L1688">
        <v>94</v>
      </c>
      <c r="M1688" s="12" t="str" cm="1">
        <f t="array" ref="M168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688">
        <v>76</v>
      </c>
      <c r="O1688" s="13" t="str" cm="1">
        <f t="array" ref="O168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688">
        <v>100</v>
      </c>
      <c r="Q1688" s="13" t="str" cm="1">
        <f t="array" ref="Q168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688">
        <v>60</v>
      </c>
      <c r="S1688" t="str" cm="1">
        <f t="array" ref="S168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688">
        <v>80</v>
      </c>
      <c r="U1688" t="str" cm="1">
        <f t="array" ref="U168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688">
        <v>94</v>
      </c>
      <c r="W1688" t="str" cm="1">
        <f t="array" ref="W168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688">
        <v>61</v>
      </c>
      <c r="Y1688" t="str" cm="1">
        <f t="array" ref="Y168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688">
        <f>SUM(Table1[[#This Row],[Math 
Score]],Table1[[#This Row],[History 
Score]],Table1[[#This Row],[Physics 
Score]],Table1[[#This Row],[Chemistry 
Score]],Table1[[#This Row],[Biology 
Score]],Table1[[#This Row],[English 
Score]],Table1[[#This Row],[Geography 
Score]])</f>
        <v>565</v>
      </c>
      <c r="AA1688" s="3">
        <f>AVERAGE(Table1[[#This Row],[Math 
Score]],Table1[[#This Row],[History 
Score]],Table1[[#This Row],[Physics 
Score]],Table1[[#This Row],[Chemistry 
Score]],Table1[[#This Row],[Biology 
Score]],Table1[[#This Row],[English 
Score]],Table1[[#This Row],[Geography 
Score]])</f>
        <v>80.714285714285708</v>
      </c>
      <c r="AB168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688">
        <f t="shared" si="26"/>
        <v>1035</v>
      </c>
      <c r="AD1688" t="str">
        <f>_xlfn.IFS(Table1[[#This Row],[Absence 
Days]]&lt;3,"Excellent",Table1[[#This Row],[Absence 
Days]]&lt;=6,"Good",Table1[[#This Row],[Absence 
Days]]&gt;6,"Poor")</f>
        <v>Good</v>
      </c>
    </row>
    <row r="1689" spans="1:30" x14ac:dyDescent="0.35">
      <c r="A1689">
        <v>1688</v>
      </c>
      <c r="B1689" s="2" t="s">
        <v>44</v>
      </c>
      <c r="C1689" t="s">
        <v>980</v>
      </c>
      <c r="D1689" t="str">
        <f>_xlfn.TEXTJOIN(" ",TRUE,Table1[[#This Row],[First 
Name]:[Last 
Name]])</f>
        <v>Kimberly Bates</v>
      </c>
      <c r="E1689" t="s">
        <v>2799</v>
      </c>
      <c r="F1689" t="s">
        <v>3245</v>
      </c>
      <c r="G1689" t="str">
        <f ca="1">PROPER(Table1[[#This Row],[Part Time 
Job]])</f>
        <v>False</v>
      </c>
      <c r="H1689" s="3">
        <v>3</v>
      </c>
      <c r="I1689" t="str">
        <f ca="1">PROPER(Table1[[#This Row],[Extracurricular 
Activities]])</f>
        <v>False</v>
      </c>
      <c r="J1689">
        <v>23</v>
      </c>
      <c r="K1689" t="s">
        <v>3121</v>
      </c>
      <c r="L1689">
        <v>95</v>
      </c>
      <c r="M1689" s="12" t="str" cm="1">
        <f t="array" ref="M168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689">
        <v>83</v>
      </c>
      <c r="O1689" s="13" t="str" cm="1">
        <f t="array" ref="O168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689">
        <v>94</v>
      </c>
      <c r="Q1689" s="13" t="str" cm="1">
        <f t="array" ref="Q168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689">
        <v>83</v>
      </c>
      <c r="S1689" t="str" cm="1">
        <f t="array" ref="S168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689">
        <v>75</v>
      </c>
      <c r="U1689" t="str" cm="1">
        <f t="array" ref="U168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689">
        <v>99</v>
      </c>
      <c r="W1689" t="str" cm="1">
        <f t="array" ref="W168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689">
        <v>75</v>
      </c>
      <c r="Y1689" t="str" cm="1">
        <f t="array" ref="Y168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689">
        <f>SUM(Table1[[#This Row],[Math 
Score]],Table1[[#This Row],[History 
Score]],Table1[[#This Row],[Physics 
Score]],Table1[[#This Row],[Chemistry 
Score]],Table1[[#This Row],[Biology 
Score]],Table1[[#This Row],[English 
Score]],Table1[[#This Row],[Geography 
Score]])</f>
        <v>604</v>
      </c>
      <c r="AA1689" s="3">
        <f>AVERAGE(Table1[[#This Row],[Math 
Score]],Table1[[#This Row],[History 
Score]],Table1[[#This Row],[Physics 
Score]],Table1[[#This Row],[Chemistry 
Score]],Table1[[#This Row],[Biology 
Score]],Table1[[#This Row],[English 
Score]],Table1[[#This Row],[Geography 
Score]])</f>
        <v>86.285714285714292</v>
      </c>
      <c r="AB168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689">
        <f t="shared" si="26"/>
        <v>353</v>
      </c>
      <c r="AD1689" t="str">
        <f>_xlfn.IFS(Table1[[#This Row],[Absence 
Days]]&lt;3,"Excellent",Table1[[#This Row],[Absence 
Days]]&lt;=6,"Good",Table1[[#This Row],[Absence 
Days]]&gt;6,"Poor")</f>
        <v>Good</v>
      </c>
    </row>
    <row r="1690" spans="1:30" x14ac:dyDescent="0.35">
      <c r="A1690">
        <v>1689</v>
      </c>
      <c r="B1690" s="2" t="s">
        <v>430</v>
      </c>
      <c r="C1690" t="s">
        <v>498</v>
      </c>
      <c r="D1690" t="str">
        <f>_xlfn.TEXTJOIN(" ",TRUE,Table1[[#This Row],[First 
Name]:[Last 
Name]])</f>
        <v>Sheena Murphy</v>
      </c>
      <c r="E1690" t="s">
        <v>2800</v>
      </c>
      <c r="F1690" t="s">
        <v>3245</v>
      </c>
      <c r="G1690" t="str">
        <f ca="1">PROPER(Table1[[#This Row],[Part Time 
Job]])</f>
        <v>False</v>
      </c>
      <c r="H1690" s="3">
        <v>6</v>
      </c>
      <c r="I1690" t="str">
        <f ca="1">PROPER(Table1[[#This Row],[Extracurricular 
Activities]])</f>
        <v>False</v>
      </c>
      <c r="J1690">
        <v>8</v>
      </c>
      <c r="K1690" t="s">
        <v>3128</v>
      </c>
      <c r="L1690">
        <v>81</v>
      </c>
      <c r="M1690" s="12" t="str" cm="1">
        <f t="array" ref="M169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690">
        <v>67</v>
      </c>
      <c r="O1690" s="13" t="str" cm="1">
        <f t="array" ref="O169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690">
        <v>93</v>
      </c>
      <c r="Q1690" s="13" t="str" cm="1">
        <f t="array" ref="Q169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690">
        <v>65</v>
      </c>
      <c r="S1690" t="str" cm="1">
        <f t="array" ref="S169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690">
        <v>87</v>
      </c>
      <c r="U1690" t="str" cm="1">
        <f t="array" ref="U169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690">
        <v>84</v>
      </c>
      <c r="W1690" t="str" cm="1">
        <f t="array" ref="W169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690">
        <v>79</v>
      </c>
      <c r="Y1690" t="str" cm="1">
        <f t="array" ref="Y169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690">
        <f>SUM(Table1[[#This Row],[Math 
Score]],Table1[[#This Row],[History 
Score]],Table1[[#This Row],[Physics 
Score]],Table1[[#This Row],[Chemistry 
Score]],Table1[[#This Row],[Biology 
Score]],Table1[[#This Row],[English 
Score]],Table1[[#This Row],[Geography 
Score]])</f>
        <v>556</v>
      </c>
      <c r="AA1690" s="3">
        <f>AVERAGE(Table1[[#This Row],[Math 
Score]],Table1[[#This Row],[History 
Score]],Table1[[#This Row],[Physics 
Score]],Table1[[#This Row],[Chemistry 
Score]],Table1[[#This Row],[Biology 
Score]],Table1[[#This Row],[English 
Score]],Table1[[#This Row],[Geography 
Score]])</f>
        <v>79.428571428571431</v>
      </c>
      <c r="AB169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690">
        <f t="shared" si="26"/>
        <v>1224</v>
      </c>
      <c r="AD1690" t="str">
        <f>_xlfn.IFS(Table1[[#This Row],[Absence 
Days]]&lt;3,"Excellent",Table1[[#This Row],[Absence 
Days]]&lt;=6,"Good",Table1[[#This Row],[Absence 
Days]]&gt;6,"Poor")</f>
        <v>Good</v>
      </c>
    </row>
    <row r="1691" spans="1:30" x14ac:dyDescent="0.35">
      <c r="A1691">
        <v>1690</v>
      </c>
      <c r="B1691" s="2" t="s">
        <v>74</v>
      </c>
      <c r="C1691" t="s">
        <v>946</v>
      </c>
      <c r="D1691" t="str">
        <f>_xlfn.TEXTJOIN(" ",TRUE,Table1[[#This Row],[First 
Name]:[Last 
Name]])</f>
        <v>Robert Mccall</v>
      </c>
      <c r="E1691" t="s">
        <v>2801</v>
      </c>
      <c r="F1691" t="s">
        <v>3244</v>
      </c>
      <c r="G1691" t="str">
        <f ca="1">PROPER(Table1[[#This Row],[Part Time 
Job]])</f>
        <v>False</v>
      </c>
      <c r="H1691" s="3">
        <v>4</v>
      </c>
      <c r="I1691" t="str">
        <f ca="1">PROPER(Table1[[#This Row],[Extracurricular 
Activities]])</f>
        <v>False</v>
      </c>
      <c r="J1691">
        <v>32</v>
      </c>
      <c r="K1691" t="s">
        <v>3123</v>
      </c>
      <c r="L1691">
        <v>87</v>
      </c>
      <c r="M1691" s="12" t="str" cm="1">
        <f t="array" ref="M169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691">
        <v>100</v>
      </c>
      <c r="O1691" s="13" t="str" cm="1">
        <f t="array" ref="O169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691">
        <v>60</v>
      </c>
      <c r="Q1691" s="13" t="str" cm="1">
        <f t="array" ref="Q169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691">
        <v>99</v>
      </c>
      <c r="S1691" t="str" cm="1">
        <f t="array" ref="S169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691">
        <v>45</v>
      </c>
      <c r="U1691" t="str" cm="1">
        <f t="array" ref="U169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D</v>
      </c>
      <c r="V1691">
        <v>73</v>
      </c>
      <c r="W1691" t="str" cm="1">
        <f t="array" ref="W169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691">
        <v>86</v>
      </c>
      <c r="Y1691" t="str" cm="1">
        <f t="array" ref="Y169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691">
        <f>SUM(Table1[[#This Row],[Math 
Score]],Table1[[#This Row],[History 
Score]],Table1[[#This Row],[Physics 
Score]],Table1[[#This Row],[Chemistry 
Score]],Table1[[#This Row],[Biology 
Score]],Table1[[#This Row],[English 
Score]],Table1[[#This Row],[Geography 
Score]])</f>
        <v>550</v>
      </c>
      <c r="AA1691" s="3">
        <f>AVERAGE(Table1[[#This Row],[Math 
Score]],Table1[[#This Row],[History 
Score]],Table1[[#This Row],[Physics 
Score]],Table1[[#This Row],[Chemistry 
Score]],Table1[[#This Row],[Biology 
Score]],Table1[[#This Row],[English 
Score]],Table1[[#This Row],[Geography 
Score]])</f>
        <v>78.571428571428569</v>
      </c>
      <c r="AB169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691">
        <f t="shared" si="26"/>
        <v>1338</v>
      </c>
      <c r="AD1691" t="str">
        <f>_xlfn.IFS(Table1[[#This Row],[Absence 
Days]]&lt;3,"Excellent",Table1[[#This Row],[Absence 
Days]]&lt;=6,"Good",Table1[[#This Row],[Absence 
Days]]&gt;6,"Poor")</f>
        <v>Good</v>
      </c>
    </row>
    <row r="1692" spans="1:30" x14ac:dyDescent="0.35">
      <c r="A1692">
        <v>1691</v>
      </c>
      <c r="B1692" s="2" t="s">
        <v>112</v>
      </c>
      <c r="C1692" t="s">
        <v>1065</v>
      </c>
      <c r="D1692" t="str">
        <f>_xlfn.TEXTJOIN(" ",TRUE,Table1[[#This Row],[First 
Name]:[Last 
Name]])</f>
        <v>Julie Floyd</v>
      </c>
      <c r="E1692" t="s">
        <v>2802</v>
      </c>
      <c r="F1692" t="s">
        <v>3245</v>
      </c>
      <c r="G1692" t="str">
        <f ca="1">PROPER(Table1[[#This Row],[Part Time 
Job]])</f>
        <v>True</v>
      </c>
      <c r="H1692" s="3">
        <v>10</v>
      </c>
      <c r="I1692" t="str">
        <f ca="1">PROPER(Table1[[#This Row],[Extracurricular 
Activities]])</f>
        <v>False</v>
      </c>
      <c r="J1692">
        <v>0</v>
      </c>
      <c r="K1692" t="s">
        <v>3119</v>
      </c>
      <c r="L1692">
        <v>55</v>
      </c>
      <c r="M1692" s="12" t="str" cm="1">
        <f t="array" ref="M1692">_xlfn.IFS(Table1[[#This Row],[Math 
Score]]&gt;=90,"A+",Table1[[#This Row],[Math 
Score]]&gt;=80,"A", Table1[[#This Row],[Math 
Score]]&gt;=75,"A-",Table1[[#This Row],[Math 
Score]]&gt;=70,"B+",Table1[[#This Row],[Math 
Score]]&gt;=65,"B",Table1[[#This Row],[Math 
Score]]&gt;=60,"B-",Table1[[#This Row],[Math 
Score]]&gt;=50,"C",Table1[[#This Row],[Math 
Score]]&gt;=40,"D",Table1[[#This Row],[Math 
Score]]&lt;40,"F")</f>
        <v>C</v>
      </c>
      <c r="N1692">
        <v>86</v>
      </c>
      <c r="O1692" s="13" t="str" cm="1">
        <f t="array" ref="O169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692">
        <v>54</v>
      </c>
      <c r="Q1692" s="13" t="str" cm="1">
        <f t="array" ref="Q169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C</v>
      </c>
      <c r="R1692">
        <v>78</v>
      </c>
      <c r="S1692" t="str" cm="1">
        <f t="array" ref="S169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692">
        <v>55</v>
      </c>
      <c r="U1692" t="str" cm="1">
        <f t="array" ref="U169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C</v>
      </c>
      <c r="V1692">
        <v>60</v>
      </c>
      <c r="W1692" t="str" cm="1">
        <f t="array" ref="W169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692">
        <v>88</v>
      </c>
      <c r="Y1692" t="str" cm="1">
        <f t="array" ref="Y169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692">
        <f>SUM(Table1[[#This Row],[Math 
Score]],Table1[[#This Row],[History 
Score]],Table1[[#This Row],[Physics 
Score]],Table1[[#This Row],[Chemistry 
Score]],Table1[[#This Row],[Biology 
Score]],Table1[[#This Row],[English 
Score]],Table1[[#This Row],[Geography 
Score]])</f>
        <v>476</v>
      </c>
      <c r="AA1692" s="3">
        <f>AVERAGE(Table1[[#This Row],[Math 
Score]],Table1[[#This Row],[History 
Score]],Table1[[#This Row],[Physics 
Score]],Table1[[#This Row],[Chemistry 
Score]],Table1[[#This Row],[Biology 
Score]],Table1[[#This Row],[English 
Score]],Table1[[#This Row],[Geography 
Score]])</f>
        <v>68</v>
      </c>
      <c r="AB169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692">
        <f t="shared" si="26"/>
        <v>1944</v>
      </c>
      <c r="AD1692" t="str">
        <f>_xlfn.IFS(Table1[[#This Row],[Absence 
Days]]&lt;3,"Excellent",Table1[[#This Row],[Absence 
Days]]&lt;=6,"Good",Table1[[#This Row],[Absence 
Days]]&gt;6,"Poor")</f>
        <v>Poor</v>
      </c>
    </row>
    <row r="1693" spans="1:30" x14ac:dyDescent="0.35">
      <c r="A1693">
        <v>1692</v>
      </c>
      <c r="B1693" s="2" t="s">
        <v>431</v>
      </c>
      <c r="C1693" t="s">
        <v>188</v>
      </c>
      <c r="D1693" t="str">
        <f>_xlfn.TEXTJOIN(" ",TRUE,Table1[[#This Row],[First 
Name]:[Last 
Name]])</f>
        <v>Barry Taylor</v>
      </c>
      <c r="E1693" t="s">
        <v>2803</v>
      </c>
      <c r="F1693" t="s">
        <v>3244</v>
      </c>
      <c r="G1693" t="str">
        <f ca="1">PROPER(Table1[[#This Row],[Part Time 
Job]])</f>
        <v>False</v>
      </c>
      <c r="H1693" s="3">
        <v>8</v>
      </c>
      <c r="I1693" t="str">
        <f ca="1">PROPER(Table1[[#This Row],[Extracurricular 
Activities]])</f>
        <v>False</v>
      </c>
      <c r="J1693">
        <v>0</v>
      </c>
      <c r="K1693" t="s">
        <v>3119</v>
      </c>
      <c r="L1693">
        <v>77</v>
      </c>
      <c r="M1693" s="12" t="str" cm="1">
        <f t="array" ref="M169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693">
        <v>71</v>
      </c>
      <c r="O1693" s="13" t="str" cm="1">
        <f t="array" ref="O169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693">
        <v>68</v>
      </c>
      <c r="Q1693" s="13" t="str" cm="1">
        <f t="array" ref="Q169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693">
        <v>53</v>
      </c>
      <c r="S1693" t="str" cm="1">
        <f t="array" ref="S169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C</v>
      </c>
      <c r="T1693">
        <v>70</v>
      </c>
      <c r="U1693" t="str" cm="1">
        <f t="array" ref="U169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693">
        <v>72</v>
      </c>
      <c r="W1693" t="str" cm="1">
        <f t="array" ref="W169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693">
        <v>69</v>
      </c>
      <c r="Y1693" t="str" cm="1">
        <f t="array" ref="Y169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693">
        <f>SUM(Table1[[#This Row],[Math 
Score]],Table1[[#This Row],[History 
Score]],Table1[[#This Row],[Physics 
Score]],Table1[[#This Row],[Chemistry 
Score]],Table1[[#This Row],[Biology 
Score]],Table1[[#This Row],[English 
Score]],Table1[[#This Row],[Geography 
Score]])</f>
        <v>480</v>
      </c>
      <c r="AA1693" s="3">
        <f>AVERAGE(Table1[[#This Row],[Math 
Score]],Table1[[#This Row],[History 
Score]],Table1[[#This Row],[Physics 
Score]],Table1[[#This Row],[Chemistry 
Score]],Table1[[#This Row],[Biology 
Score]],Table1[[#This Row],[English 
Score]],Table1[[#This Row],[Geography 
Score]])</f>
        <v>68.571428571428569</v>
      </c>
      <c r="AB169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693">
        <f t="shared" si="26"/>
        <v>1935</v>
      </c>
      <c r="AD1693" t="str">
        <f>_xlfn.IFS(Table1[[#This Row],[Absence 
Days]]&lt;3,"Excellent",Table1[[#This Row],[Absence 
Days]]&lt;=6,"Good",Table1[[#This Row],[Absence 
Days]]&gt;6,"Poor")</f>
        <v>Poor</v>
      </c>
    </row>
    <row r="1694" spans="1:30" x14ac:dyDescent="0.35">
      <c r="A1694">
        <v>1693</v>
      </c>
      <c r="B1694" s="2" t="s">
        <v>72</v>
      </c>
      <c r="C1694" t="s">
        <v>542</v>
      </c>
      <c r="D1694" t="str">
        <f>_xlfn.TEXTJOIN(" ",TRUE,Table1[[#This Row],[First 
Name]:[Last 
Name]])</f>
        <v>Dennis Gonzalez</v>
      </c>
      <c r="E1694" t="s">
        <v>2804</v>
      </c>
      <c r="F1694" t="s">
        <v>3244</v>
      </c>
      <c r="G1694" t="str">
        <f ca="1">PROPER(Table1[[#This Row],[Part Time 
Job]])</f>
        <v>False</v>
      </c>
      <c r="H1694" s="3">
        <v>1</v>
      </c>
      <c r="I1694" t="str">
        <f ca="1">PROPER(Table1[[#This Row],[Extracurricular 
Activities]])</f>
        <v>False</v>
      </c>
      <c r="J1694">
        <v>6</v>
      </c>
      <c r="K1694" t="s">
        <v>3127</v>
      </c>
      <c r="L1694">
        <v>82</v>
      </c>
      <c r="M1694" s="12" t="str" cm="1">
        <f t="array" ref="M169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694">
        <v>79</v>
      </c>
      <c r="O1694" s="13" t="str" cm="1">
        <f t="array" ref="O169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694">
        <v>60</v>
      </c>
      <c r="Q1694" s="13" t="str" cm="1">
        <f t="array" ref="Q169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694">
        <v>80</v>
      </c>
      <c r="S1694" t="str" cm="1">
        <f t="array" ref="S169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694">
        <v>65</v>
      </c>
      <c r="U1694" t="str" cm="1">
        <f t="array" ref="U169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694">
        <v>64</v>
      </c>
      <c r="W1694" t="str" cm="1">
        <f t="array" ref="W169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694">
        <v>71</v>
      </c>
      <c r="Y1694" t="str" cm="1">
        <f t="array" ref="Y169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694">
        <f>SUM(Table1[[#This Row],[Math 
Score]],Table1[[#This Row],[History 
Score]],Table1[[#This Row],[Physics 
Score]],Table1[[#This Row],[Chemistry 
Score]],Table1[[#This Row],[Biology 
Score]],Table1[[#This Row],[English 
Score]],Table1[[#This Row],[Geography 
Score]])</f>
        <v>501</v>
      </c>
      <c r="AA1694" s="3">
        <f>AVERAGE(Table1[[#This Row],[Math 
Score]],Table1[[#This Row],[History 
Score]],Table1[[#This Row],[Physics 
Score]],Table1[[#This Row],[Chemistry 
Score]],Table1[[#This Row],[Biology 
Score]],Table1[[#This Row],[English 
Score]],Table1[[#This Row],[Geography 
Score]])</f>
        <v>71.571428571428569</v>
      </c>
      <c r="AB169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694">
        <f t="shared" si="26"/>
        <v>1872</v>
      </c>
      <c r="AD1694" t="str">
        <f>_xlfn.IFS(Table1[[#This Row],[Absence 
Days]]&lt;3,"Excellent",Table1[[#This Row],[Absence 
Days]]&lt;=6,"Good",Table1[[#This Row],[Absence 
Days]]&gt;6,"Poor")</f>
        <v>Excellent</v>
      </c>
    </row>
    <row r="1695" spans="1:30" x14ac:dyDescent="0.35">
      <c r="A1695">
        <v>1694</v>
      </c>
      <c r="B1695" s="2" t="s">
        <v>303</v>
      </c>
      <c r="C1695" t="s">
        <v>475</v>
      </c>
      <c r="D1695" t="str">
        <f>_xlfn.TEXTJOIN(" ",TRUE,Table1[[#This Row],[First 
Name]:[Last 
Name]])</f>
        <v>Angel Williams</v>
      </c>
      <c r="E1695" t="s">
        <v>2805</v>
      </c>
      <c r="F1695" t="s">
        <v>3244</v>
      </c>
      <c r="G1695" t="str">
        <f ca="1">PROPER(Table1[[#This Row],[Part Time 
Job]])</f>
        <v>False</v>
      </c>
      <c r="H1695" s="3">
        <v>6</v>
      </c>
      <c r="I1695" t="str">
        <f ca="1">PROPER(Table1[[#This Row],[Extracurricular 
Activities]])</f>
        <v>False</v>
      </c>
      <c r="J1695">
        <v>5</v>
      </c>
      <c r="K1695" t="s">
        <v>3115</v>
      </c>
      <c r="L1695">
        <v>81</v>
      </c>
      <c r="M1695" s="12" t="str" cm="1">
        <f t="array" ref="M169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695">
        <v>97</v>
      </c>
      <c r="O1695" s="13" t="str" cm="1">
        <f t="array" ref="O169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695">
        <v>88</v>
      </c>
      <c r="Q1695" s="13" t="str" cm="1">
        <f t="array" ref="Q169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695">
        <v>81</v>
      </c>
      <c r="S1695" t="str" cm="1">
        <f t="array" ref="S169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695">
        <v>63</v>
      </c>
      <c r="U1695" t="str" cm="1">
        <f t="array" ref="U169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695">
        <v>88</v>
      </c>
      <c r="W1695" t="str" cm="1">
        <f t="array" ref="W169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695">
        <v>67</v>
      </c>
      <c r="Y1695" t="str" cm="1">
        <f t="array" ref="Y169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695">
        <f>SUM(Table1[[#This Row],[Math 
Score]],Table1[[#This Row],[History 
Score]],Table1[[#This Row],[Physics 
Score]],Table1[[#This Row],[Chemistry 
Score]],Table1[[#This Row],[Biology 
Score]],Table1[[#This Row],[English 
Score]],Table1[[#This Row],[Geography 
Score]])</f>
        <v>565</v>
      </c>
      <c r="AA1695" s="3">
        <f>AVERAGE(Table1[[#This Row],[Math 
Score]],Table1[[#This Row],[History 
Score]],Table1[[#This Row],[Physics 
Score]],Table1[[#This Row],[Chemistry 
Score]],Table1[[#This Row],[Biology 
Score]],Table1[[#This Row],[English 
Score]],Table1[[#This Row],[Geography 
Score]])</f>
        <v>80.714285714285708</v>
      </c>
      <c r="AB169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695">
        <f t="shared" si="26"/>
        <v>1035</v>
      </c>
      <c r="AD1695" t="str">
        <f>_xlfn.IFS(Table1[[#This Row],[Absence 
Days]]&lt;3,"Excellent",Table1[[#This Row],[Absence 
Days]]&lt;=6,"Good",Table1[[#This Row],[Absence 
Days]]&gt;6,"Poor")</f>
        <v>Good</v>
      </c>
    </row>
    <row r="1696" spans="1:30" x14ac:dyDescent="0.35">
      <c r="A1696">
        <v>1695</v>
      </c>
      <c r="B1696" s="2" t="s">
        <v>378</v>
      </c>
      <c r="C1696" t="s">
        <v>1066</v>
      </c>
      <c r="D1696" t="str">
        <f>_xlfn.TEXTJOIN(" ",TRUE,Table1[[#This Row],[First 
Name]:[Last 
Name]])</f>
        <v>Ronald Palmer</v>
      </c>
      <c r="E1696" t="s">
        <v>2806</v>
      </c>
      <c r="F1696" t="s">
        <v>3244</v>
      </c>
      <c r="G1696" t="str">
        <f ca="1">PROPER(Table1[[#This Row],[Part Time 
Job]])</f>
        <v>False</v>
      </c>
      <c r="H1696" s="3">
        <v>0</v>
      </c>
      <c r="I1696" t="str">
        <f ca="1">PROPER(Table1[[#This Row],[Extracurricular 
Activities]])</f>
        <v>False</v>
      </c>
      <c r="J1696">
        <v>16</v>
      </c>
      <c r="K1696" t="s">
        <v>3117</v>
      </c>
      <c r="L1696">
        <v>99</v>
      </c>
      <c r="M1696" s="12" t="str" cm="1">
        <f t="array" ref="M169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696">
        <v>70</v>
      </c>
      <c r="O1696" s="13" t="str" cm="1">
        <f t="array" ref="O169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696">
        <v>86</v>
      </c>
      <c r="Q1696" s="13" t="str" cm="1">
        <f t="array" ref="Q169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696">
        <v>61</v>
      </c>
      <c r="S1696" t="str" cm="1">
        <f t="array" ref="S169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696">
        <v>70</v>
      </c>
      <c r="U1696" t="str" cm="1">
        <f t="array" ref="U169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696">
        <v>90</v>
      </c>
      <c r="W1696" t="str" cm="1">
        <f t="array" ref="W169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696">
        <v>66</v>
      </c>
      <c r="Y1696" t="str" cm="1">
        <f t="array" ref="Y169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696">
        <f>SUM(Table1[[#This Row],[Math 
Score]],Table1[[#This Row],[History 
Score]],Table1[[#This Row],[Physics 
Score]],Table1[[#This Row],[Chemistry 
Score]],Table1[[#This Row],[Biology 
Score]],Table1[[#This Row],[English 
Score]],Table1[[#This Row],[Geography 
Score]])</f>
        <v>542</v>
      </c>
      <c r="AA1696" s="3">
        <f>AVERAGE(Table1[[#This Row],[Math 
Score]],Table1[[#This Row],[History 
Score]],Table1[[#This Row],[Physics 
Score]],Table1[[#This Row],[Chemistry 
Score]],Table1[[#This Row],[Biology 
Score]],Table1[[#This Row],[English 
Score]],Table1[[#This Row],[Geography 
Score]])</f>
        <v>77.428571428571431</v>
      </c>
      <c r="AB169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696">
        <f t="shared" si="26"/>
        <v>1478</v>
      </c>
      <c r="AD1696" t="str">
        <f>_xlfn.IFS(Table1[[#This Row],[Absence 
Days]]&lt;3,"Excellent",Table1[[#This Row],[Absence 
Days]]&lt;=6,"Good",Table1[[#This Row],[Absence 
Days]]&gt;6,"Poor")</f>
        <v>Excellent</v>
      </c>
    </row>
    <row r="1697" spans="1:30" x14ac:dyDescent="0.35">
      <c r="A1697">
        <v>1696</v>
      </c>
      <c r="B1697" s="2" t="s">
        <v>156</v>
      </c>
      <c r="C1697" t="s">
        <v>7</v>
      </c>
      <c r="D1697" t="str">
        <f>_xlfn.TEXTJOIN(" ",TRUE,Table1[[#This Row],[First 
Name]:[Last 
Name]])</f>
        <v>Dustin Stanley</v>
      </c>
      <c r="E1697" t="s">
        <v>2807</v>
      </c>
      <c r="F1697" t="s">
        <v>3244</v>
      </c>
      <c r="G1697" t="str">
        <f ca="1">PROPER(Table1[[#This Row],[Part Time 
Job]])</f>
        <v>False</v>
      </c>
      <c r="H1697" s="3">
        <v>5</v>
      </c>
      <c r="I1697" t="str">
        <f ca="1">PROPER(Table1[[#This Row],[Extracurricular 
Activities]])</f>
        <v>True</v>
      </c>
      <c r="J1697">
        <v>4</v>
      </c>
      <c r="K1697" t="s">
        <v>3128</v>
      </c>
      <c r="L1697">
        <v>87</v>
      </c>
      <c r="M1697" s="12" t="str" cm="1">
        <f t="array" ref="M169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697">
        <v>77</v>
      </c>
      <c r="O1697" s="13" t="str" cm="1">
        <f t="array" ref="O169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697">
        <v>64</v>
      </c>
      <c r="Q1697" s="13" t="str" cm="1">
        <f t="array" ref="Q169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697">
        <v>84</v>
      </c>
      <c r="S1697" t="str" cm="1">
        <f t="array" ref="S169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697">
        <v>84</v>
      </c>
      <c r="U1697" t="str" cm="1">
        <f t="array" ref="U169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697">
        <v>94</v>
      </c>
      <c r="W1697" t="str" cm="1">
        <f t="array" ref="W169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697">
        <v>80</v>
      </c>
      <c r="Y1697" t="str" cm="1">
        <f t="array" ref="Y169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697">
        <f>SUM(Table1[[#This Row],[Math 
Score]],Table1[[#This Row],[History 
Score]],Table1[[#This Row],[Physics 
Score]],Table1[[#This Row],[Chemistry 
Score]],Table1[[#This Row],[Biology 
Score]],Table1[[#This Row],[English 
Score]],Table1[[#This Row],[Geography 
Score]])</f>
        <v>570</v>
      </c>
      <c r="AA1697" s="3">
        <f>AVERAGE(Table1[[#This Row],[Math 
Score]],Table1[[#This Row],[History 
Score]],Table1[[#This Row],[Physics 
Score]],Table1[[#This Row],[Chemistry 
Score]],Table1[[#This Row],[Biology 
Score]],Table1[[#This Row],[English 
Score]],Table1[[#This Row],[Geography 
Score]])</f>
        <v>81.428571428571431</v>
      </c>
      <c r="AB169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697">
        <f t="shared" si="26"/>
        <v>937</v>
      </c>
      <c r="AD1697" t="str">
        <f>_xlfn.IFS(Table1[[#This Row],[Absence 
Days]]&lt;3,"Excellent",Table1[[#This Row],[Absence 
Days]]&lt;=6,"Good",Table1[[#This Row],[Absence 
Days]]&gt;6,"Poor")</f>
        <v>Good</v>
      </c>
    </row>
    <row r="1698" spans="1:30" x14ac:dyDescent="0.35">
      <c r="A1698">
        <v>1697</v>
      </c>
      <c r="B1698" s="2" t="s">
        <v>50</v>
      </c>
      <c r="C1698" t="s">
        <v>504</v>
      </c>
      <c r="D1698" t="str">
        <f>_xlfn.TEXTJOIN(" ",TRUE,Table1[[#This Row],[First 
Name]:[Last 
Name]])</f>
        <v>Jennifer Lewis</v>
      </c>
      <c r="E1698" t="s">
        <v>2808</v>
      </c>
      <c r="F1698" t="s">
        <v>3245</v>
      </c>
      <c r="G1698" t="str">
        <f ca="1">PROPER(Table1[[#This Row],[Part Time 
Job]])</f>
        <v>True</v>
      </c>
      <c r="H1698" s="3">
        <v>8</v>
      </c>
      <c r="I1698" t="str">
        <f ca="1">PROPER(Table1[[#This Row],[Extracurricular 
Activities]])</f>
        <v>False</v>
      </c>
      <c r="J1698">
        <v>2</v>
      </c>
      <c r="K1698" t="s">
        <v>3119</v>
      </c>
      <c r="L1698">
        <v>94</v>
      </c>
      <c r="M1698" s="12" t="str" cm="1">
        <f t="array" ref="M169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698">
        <v>62</v>
      </c>
      <c r="O1698" s="13" t="str" cm="1">
        <f t="array" ref="O169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698">
        <v>100</v>
      </c>
      <c r="Q1698" s="13" t="str" cm="1">
        <f t="array" ref="Q169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698">
        <v>87</v>
      </c>
      <c r="S1698" t="str" cm="1">
        <f t="array" ref="S169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698">
        <v>91</v>
      </c>
      <c r="U1698" t="str" cm="1">
        <f t="array" ref="U169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698">
        <v>89</v>
      </c>
      <c r="W1698" t="str" cm="1">
        <f t="array" ref="W169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698">
        <v>93</v>
      </c>
      <c r="Y1698" t="str" cm="1">
        <f t="array" ref="Y169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698">
        <f>SUM(Table1[[#This Row],[Math 
Score]],Table1[[#This Row],[History 
Score]],Table1[[#This Row],[Physics 
Score]],Table1[[#This Row],[Chemistry 
Score]],Table1[[#This Row],[Biology 
Score]],Table1[[#This Row],[English 
Score]],Table1[[#This Row],[Geography 
Score]])</f>
        <v>616</v>
      </c>
      <c r="AA1698" s="3">
        <f>AVERAGE(Table1[[#This Row],[Math 
Score]],Table1[[#This Row],[History 
Score]],Table1[[#This Row],[Physics 
Score]],Table1[[#This Row],[Chemistry 
Score]],Table1[[#This Row],[Biology 
Score]],Table1[[#This Row],[English 
Score]],Table1[[#This Row],[Geography 
Score]])</f>
        <v>88</v>
      </c>
      <c r="AB169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698">
        <f t="shared" si="26"/>
        <v>243</v>
      </c>
      <c r="AD1698" t="str">
        <f>_xlfn.IFS(Table1[[#This Row],[Absence 
Days]]&lt;3,"Excellent",Table1[[#This Row],[Absence 
Days]]&lt;=6,"Good",Table1[[#This Row],[Absence 
Days]]&gt;6,"Poor")</f>
        <v>Poor</v>
      </c>
    </row>
    <row r="1699" spans="1:30" x14ac:dyDescent="0.35">
      <c r="A1699">
        <v>1698</v>
      </c>
      <c r="B1699" s="2" t="s">
        <v>109</v>
      </c>
      <c r="C1699" t="s">
        <v>615</v>
      </c>
      <c r="D1699" t="str">
        <f>_xlfn.TEXTJOIN(" ",TRUE,Table1[[#This Row],[First 
Name]:[Last 
Name]])</f>
        <v>Mark Gardner</v>
      </c>
      <c r="E1699" t="s">
        <v>2809</v>
      </c>
      <c r="F1699" t="s">
        <v>3244</v>
      </c>
      <c r="G1699" t="str">
        <f ca="1">PROPER(Table1[[#This Row],[Part Time 
Job]])</f>
        <v>False</v>
      </c>
      <c r="H1699" s="3">
        <v>2</v>
      </c>
      <c r="I1699" t="str">
        <f ca="1">PROPER(Table1[[#This Row],[Extracurricular 
Activities]])</f>
        <v>False</v>
      </c>
      <c r="J1699">
        <v>35</v>
      </c>
      <c r="K1699" t="s">
        <v>3116</v>
      </c>
      <c r="L1699">
        <v>98</v>
      </c>
      <c r="M1699" s="12" t="str" cm="1">
        <f t="array" ref="M169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699">
        <v>92</v>
      </c>
      <c r="O1699" s="13" t="str" cm="1">
        <f t="array" ref="O169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699">
        <v>91</v>
      </c>
      <c r="Q1699" s="13" t="str" cm="1">
        <f t="array" ref="Q169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699">
        <v>89</v>
      </c>
      <c r="S1699" t="str" cm="1">
        <f t="array" ref="S169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699">
        <v>95</v>
      </c>
      <c r="U1699" t="str" cm="1">
        <f t="array" ref="U169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699">
        <v>92</v>
      </c>
      <c r="W1699" t="str" cm="1">
        <f t="array" ref="W169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699">
        <v>90</v>
      </c>
      <c r="Y1699" t="str" cm="1">
        <f t="array" ref="Y169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699">
        <f>SUM(Table1[[#This Row],[Math 
Score]],Table1[[#This Row],[History 
Score]],Table1[[#This Row],[Physics 
Score]],Table1[[#This Row],[Chemistry 
Score]],Table1[[#This Row],[Biology 
Score]],Table1[[#This Row],[English 
Score]],Table1[[#This Row],[Geography 
Score]])</f>
        <v>647</v>
      </c>
      <c r="AA1699" s="3">
        <f>AVERAGE(Table1[[#This Row],[Math 
Score]],Table1[[#This Row],[History 
Score]],Table1[[#This Row],[Physics 
Score]],Table1[[#This Row],[Chemistry 
Score]],Table1[[#This Row],[Biology 
Score]],Table1[[#This Row],[English 
Score]],Table1[[#This Row],[Geography 
Score]])</f>
        <v>92.428571428571431</v>
      </c>
      <c r="AB169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699">
        <f t="shared" si="26"/>
        <v>68</v>
      </c>
      <c r="AD1699" t="str">
        <f>_xlfn.IFS(Table1[[#This Row],[Absence 
Days]]&lt;3,"Excellent",Table1[[#This Row],[Absence 
Days]]&lt;=6,"Good",Table1[[#This Row],[Absence 
Days]]&gt;6,"Poor")</f>
        <v>Excellent</v>
      </c>
    </row>
    <row r="1700" spans="1:30" x14ac:dyDescent="0.35">
      <c r="A1700">
        <v>1699</v>
      </c>
      <c r="B1700" s="2" t="s">
        <v>13</v>
      </c>
      <c r="C1700" t="s">
        <v>1057</v>
      </c>
      <c r="D1700" t="str">
        <f>_xlfn.TEXTJOIN(" ",TRUE,Table1[[#This Row],[First 
Name]:[Last 
Name]])</f>
        <v>Laura Barber</v>
      </c>
      <c r="E1700" t="s">
        <v>2810</v>
      </c>
      <c r="F1700" t="s">
        <v>3245</v>
      </c>
      <c r="G1700" t="str">
        <f ca="1">PROPER(Table1[[#This Row],[Part Time 
Job]])</f>
        <v>False</v>
      </c>
      <c r="H1700" s="3">
        <v>2</v>
      </c>
      <c r="I1700" t="str">
        <f ca="1">PROPER(Table1[[#This Row],[Extracurricular 
Activities]])</f>
        <v>True</v>
      </c>
      <c r="J1700">
        <v>34</v>
      </c>
      <c r="K1700" t="s">
        <v>3112</v>
      </c>
      <c r="L1700">
        <v>97</v>
      </c>
      <c r="M1700" s="12" t="str" cm="1">
        <f t="array" ref="M170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700">
        <v>89</v>
      </c>
      <c r="O1700" s="13" t="str" cm="1">
        <f t="array" ref="O170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700">
        <v>76</v>
      </c>
      <c r="Q1700" s="13" t="str" cm="1">
        <f t="array" ref="Q170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700">
        <v>61</v>
      </c>
      <c r="S1700" t="str" cm="1">
        <f t="array" ref="S170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700">
        <v>91</v>
      </c>
      <c r="U1700" t="str" cm="1">
        <f t="array" ref="U170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700">
        <v>91</v>
      </c>
      <c r="W1700" t="str" cm="1">
        <f t="array" ref="W170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700">
        <v>70</v>
      </c>
      <c r="Y1700" t="str" cm="1">
        <f t="array" ref="Y170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700">
        <f>SUM(Table1[[#This Row],[Math 
Score]],Table1[[#This Row],[History 
Score]],Table1[[#This Row],[Physics 
Score]],Table1[[#This Row],[Chemistry 
Score]],Table1[[#This Row],[Biology 
Score]],Table1[[#This Row],[English 
Score]],Table1[[#This Row],[Geography 
Score]])</f>
        <v>575</v>
      </c>
      <c r="AA1700" s="3">
        <f>AVERAGE(Table1[[#This Row],[Math 
Score]],Table1[[#This Row],[History 
Score]],Table1[[#This Row],[Physics 
Score]],Table1[[#This Row],[Chemistry 
Score]],Table1[[#This Row],[Biology 
Score]],Table1[[#This Row],[English 
Score]],Table1[[#This Row],[Geography 
Score]])</f>
        <v>82.142857142857139</v>
      </c>
      <c r="AB170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700">
        <f t="shared" si="26"/>
        <v>807</v>
      </c>
      <c r="AD1700" t="str">
        <f>_xlfn.IFS(Table1[[#This Row],[Absence 
Days]]&lt;3,"Excellent",Table1[[#This Row],[Absence 
Days]]&lt;=6,"Good",Table1[[#This Row],[Absence 
Days]]&gt;6,"Poor")</f>
        <v>Excellent</v>
      </c>
    </row>
    <row r="1701" spans="1:30" x14ac:dyDescent="0.35">
      <c r="A1701">
        <v>1700</v>
      </c>
      <c r="B1701" s="2" t="s">
        <v>203</v>
      </c>
      <c r="C1701" t="s">
        <v>835</v>
      </c>
      <c r="D1701" t="str">
        <f>_xlfn.TEXTJOIN(" ",TRUE,Table1[[#This Row],[First 
Name]:[Last 
Name]])</f>
        <v>Nicole Weeks</v>
      </c>
      <c r="E1701" t="s">
        <v>2811</v>
      </c>
      <c r="F1701" t="s">
        <v>3245</v>
      </c>
      <c r="G1701" t="str">
        <f ca="1">PROPER(Table1[[#This Row],[Part Time 
Job]])</f>
        <v>False</v>
      </c>
      <c r="H1701" s="3">
        <v>1</v>
      </c>
      <c r="I1701" t="str">
        <f ca="1">PROPER(Table1[[#This Row],[Extracurricular 
Activities]])</f>
        <v>False</v>
      </c>
      <c r="J1701">
        <v>7</v>
      </c>
      <c r="K1701" t="s">
        <v>3124</v>
      </c>
      <c r="L1701">
        <v>83</v>
      </c>
      <c r="M1701" s="12" t="str" cm="1">
        <f t="array" ref="M170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701">
        <v>81</v>
      </c>
      <c r="O1701" s="13" t="str" cm="1">
        <f t="array" ref="O170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701">
        <v>70</v>
      </c>
      <c r="Q1701" s="13" t="str" cm="1">
        <f t="array" ref="Q170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701">
        <v>90</v>
      </c>
      <c r="S1701" t="str" cm="1">
        <f t="array" ref="S170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701">
        <v>73</v>
      </c>
      <c r="U1701" t="str" cm="1">
        <f t="array" ref="U170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701">
        <v>89</v>
      </c>
      <c r="W1701" t="str" cm="1">
        <f t="array" ref="W170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701">
        <v>87</v>
      </c>
      <c r="Y1701" t="str" cm="1">
        <f t="array" ref="Y170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701">
        <f>SUM(Table1[[#This Row],[Math 
Score]],Table1[[#This Row],[History 
Score]],Table1[[#This Row],[Physics 
Score]],Table1[[#This Row],[Chemistry 
Score]],Table1[[#This Row],[Biology 
Score]],Table1[[#This Row],[English 
Score]],Table1[[#This Row],[Geography 
Score]])</f>
        <v>573</v>
      </c>
      <c r="AA1701" s="3">
        <f>AVERAGE(Table1[[#This Row],[Math 
Score]],Table1[[#This Row],[History 
Score]],Table1[[#This Row],[Physics 
Score]],Table1[[#This Row],[Chemistry 
Score]],Table1[[#This Row],[Biology 
Score]],Table1[[#This Row],[English 
Score]],Table1[[#This Row],[Geography 
Score]])</f>
        <v>81.857142857142861</v>
      </c>
      <c r="AB170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701">
        <f t="shared" si="26"/>
        <v>864</v>
      </c>
      <c r="AD1701" t="str">
        <f>_xlfn.IFS(Table1[[#This Row],[Absence 
Days]]&lt;3,"Excellent",Table1[[#This Row],[Absence 
Days]]&lt;=6,"Good",Table1[[#This Row],[Absence 
Days]]&gt;6,"Poor")</f>
        <v>Excellent</v>
      </c>
    </row>
    <row r="1702" spans="1:30" x14ac:dyDescent="0.35">
      <c r="A1702">
        <v>1701</v>
      </c>
      <c r="B1702" s="2" t="s">
        <v>198</v>
      </c>
      <c r="C1702" t="s">
        <v>548</v>
      </c>
      <c r="D1702" t="str">
        <f>_xlfn.TEXTJOIN(" ",TRUE,Table1[[#This Row],[First 
Name]:[Last 
Name]])</f>
        <v>Ricky Walker</v>
      </c>
      <c r="E1702" t="s">
        <v>2812</v>
      </c>
      <c r="F1702" t="s">
        <v>3244</v>
      </c>
      <c r="G1702" t="str">
        <f ca="1">PROPER(Table1[[#This Row],[Part Time 
Job]])</f>
        <v>False</v>
      </c>
      <c r="H1702" s="3">
        <v>0</v>
      </c>
      <c r="I1702" t="str">
        <f ca="1">PROPER(Table1[[#This Row],[Extracurricular 
Activities]])</f>
        <v>False</v>
      </c>
      <c r="J1702">
        <v>14</v>
      </c>
      <c r="K1702" t="s">
        <v>3125</v>
      </c>
      <c r="L1702">
        <v>92</v>
      </c>
      <c r="M1702" s="12" t="str" cm="1">
        <f t="array" ref="M170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702">
        <v>92</v>
      </c>
      <c r="O1702" s="13" t="str" cm="1">
        <f t="array" ref="O170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702">
        <v>92</v>
      </c>
      <c r="Q1702" s="13" t="str" cm="1">
        <f t="array" ref="Q170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702">
        <v>66</v>
      </c>
      <c r="S1702" t="str" cm="1">
        <f t="array" ref="S170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702">
        <v>90</v>
      </c>
      <c r="U1702" t="str" cm="1">
        <f t="array" ref="U170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702">
        <v>68</v>
      </c>
      <c r="W1702" t="str" cm="1">
        <f t="array" ref="W170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702">
        <v>66</v>
      </c>
      <c r="Y1702" t="str" cm="1">
        <f t="array" ref="Y170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702">
        <f>SUM(Table1[[#This Row],[Math 
Score]],Table1[[#This Row],[History 
Score]],Table1[[#This Row],[Physics 
Score]],Table1[[#This Row],[Chemistry 
Score]],Table1[[#This Row],[Biology 
Score]],Table1[[#This Row],[English 
Score]],Table1[[#This Row],[Geography 
Score]])</f>
        <v>566</v>
      </c>
      <c r="AA1702" s="3">
        <f>AVERAGE(Table1[[#This Row],[Math 
Score]],Table1[[#This Row],[History 
Score]],Table1[[#This Row],[Physics 
Score]],Table1[[#This Row],[Chemistry 
Score]],Table1[[#This Row],[Biology 
Score]],Table1[[#This Row],[English 
Score]],Table1[[#This Row],[Geography 
Score]])</f>
        <v>80.857142857142861</v>
      </c>
      <c r="AB170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702">
        <f t="shared" si="26"/>
        <v>1019</v>
      </c>
      <c r="AD1702" t="str">
        <f>_xlfn.IFS(Table1[[#This Row],[Absence 
Days]]&lt;3,"Excellent",Table1[[#This Row],[Absence 
Days]]&lt;=6,"Good",Table1[[#This Row],[Absence 
Days]]&gt;6,"Poor")</f>
        <v>Excellent</v>
      </c>
    </row>
    <row r="1703" spans="1:30" x14ac:dyDescent="0.35">
      <c r="A1703">
        <v>1702</v>
      </c>
      <c r="B1703" s="2" t="s">
        <v>166</v>
      </c>
      <c r="C1703" t="s">
        <v>1067</v>
      </c>
      <c r="D1703" t="str">
        <f>_xlfn.TEXTJOIN(" ",TRUE,Table1[[#This Row],[First 
Name]:[Last 
Name]])</f>
        <v>Whitney Walls</v>
      </c>
      <c r="E1703" t="s">
        <v>2813</v>
      </c>
      <c r="F1703" t="s">
        <v>3245</v>
      </c>
      <c r="G1703" t="str">
        <f ca="1">PROPER(Table1[[#This Row],[Part Time 
Job]])</f>
        <v>False</v>
      </c>
      <c r="H1703" s="3">
        <v>1</v>
      </c>
      <c r="I1703" t="str">
        <f ca="1">PROPER(Table1[[#This Row],[Extracurricular 
Activities]])</f>
        <v>False</v>
      </c>
      <c r="J1703">
        <v>24</v>
      </c>
      <c r="K1703" t="s">
        <v>3113</v>
      </c>
      <c r="L1703">
        <v>100</v>
      </c>
      <c r="M1703" s="12" t="str" cm="1">
        <f t="array" ref="M170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703">
        <v>74</v>
      </c>
      <c r="O1703" s="13" t="str" cm="1">
        <f t="array" ref="O170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703">
        <v>80</v>
      </c>
      <c r="Q1703" s="13" t="str" cm="1">
        <f t="array" ref="Q170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703">
        <v>84</v>
      </c>
      <c r="S1703" t="str" cm="1">
        <f t="array" ref="S170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703">
        <v>85</v>
      </c>
      <c r="U1703" t="str" cm="1">
        <f t="array" ref="U170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703">
        <v>82</v>
      </c>
      <c r="W1703" t="str" cm="1">
        <f t="array" ref="W170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703">
        <v>74</v>
      </c>
      <c r="Y1703" t="str" cm="1">
        <f t="array" ref="Y170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703">
        <f>SUM(Table1[[#This Row],[Math 
Score]],Table1[[#This Row],[History 
Score]],Table1[[#This Row],[Physics 
Score]],Table1[[#This Row],[Chemistry 
Score]],Table1[[#This Row],[Biology 
Score]],Table1[[#This Row],[English 
Score]],Table1[[#This Row],[Geography 
Score]])</f>
        <v>579</v>
      </c>
      <c r="AA1703" s="3">
        <f>AVERAGE(Table1[[#This Row],[Math 
Score]],Table1[[#This Row],[History 
Score]],Table1[[#This Row],[Physics 
Score]],Table1[[#This Row],[Chemistry 
Score]],Table1[[#This Row],[Biology 
Score]],Table1[[#This Row],[English 
Score]],Table1[[#This Row],[Geography 
Score]])</f>
        <v>82.714285714285708</v>
      </c>
      <c r="AB170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703">
        <f t="shared" si="26"/>
        <v>730</v>
      </c>
      <c r="AD1703" t="str">
        <f>_xlfn.IFS(Table1[[#This Row],[Absence 
Days]]&lt;3,"Excellent",Table1[[#This Row],[Absence 
Days]]&lt;=6,"Good",Table1[[#This Row],[Absence 
Days]]&gt;6,"Poor")</f>
        <v>Excellent</v>
      </c>
    </row>
    <row r="1704" spans="1:30" x14ac:dyDescent="0.35">
      <c r="A1704">
        <v>1703</v>
      </c>
      <c r="B1704" s="2" t="s">
        <v>151</v>
      </c>
      <c r="C1704" t="s">
        <v>501</v>
      </c>
      <c r="D1704" t="str">
        <f>_xlfn.TEXTJOIN(" ",TRUE,Table1[[#This Row],[First 
Name]:[Last 
Name]])</f>
        <v>Catherine May</v>
      </c>
      <c r="E1704" t="s">
        <v>2814</v>
      </c>
      <c r="F1704" t="s">
        <v>3245</v>
      </c>
      <c r="G1704" t="str">
        <f ca="1">PROPER(Table1[[#This Row],[Part Time 
Job]])</f>
        <v>False</v>
      </c>
      <c r="H1704" s="3">
        <v>4</v>
      </c>
      <c r="I1704" t="str">
        <f ca="1">PROPER(Table1[[#This Row],[Extracurricular 
Activities]])</f>
        <v>False</v>
      </c>
      <c r="J1704">
        <v>25</v>
      </c>
      <c r="K1704" t="s">
        <v>3117</v>
      </c>
      <c r="L1704">
        <v>86</v>
      </c>
      <c r="M1704" s="12" t="str" cm="1">
        <f t="array" ref="M170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704">
        <v>69</v>
      </c>
      <c r="O1704" s="13" t="str" cm="1">
        <f t="array" ref="O170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704">
        <v>79</v>
      </c>
      <c r="Q1704" s="13" t="str" cm="1">
        <f t="array" ref="Q170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704">
        <v>85</v>
      </c>
      <c r="S1704" t="str" cm="1">
        <f t="array" ref="S170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704">
        <v>63</v>
      </c>
      <c r="U1704" t="str" cm="1">
        <f t="array" ref="U170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704">
        <v>82</v>
      </c>
      <c r="W1704" t="str" cm="1">
        <f t="array" ref="W170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704">
        <v>77</v>
      </c>
      <c r="Y1704" t="str" cm="1">
        <f t="array" ref="Y170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704">
        <f>SUM(Table1[[#This Row],[Math 
Score]],Table1[[#This Row],[History 
Score]],Table1[[#This Row],[Physics 
Score]],Table1[[#This Row],[Chemistry 
Score]],Table1[[#This Row],[Biology 
Score]],Table1[[#This Row],[English 
Score]],Table1[[#This Row],[Geography 
Score]])</f>
        <v>541</v>
      </c>
      <c r="AA1704" s="3">
        <f>AVERAGE(Table1[[#This Row],[Math 
Score]],Table1[[#This Row],[History 
Score]],Table1[[#This Row],[Physics 
Score]],Table1[[#This Row],[Chemistry 
Score]],Table1[[#This Row],[Biology 
Score]],Table1[[#This Row],[English 
Score]],Table1[[#This Row],[Geography 
Score]])</f>
        <v>77.285714285714292</v>
      </c>
      <c r="AB170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704">
        <f t="shared" si="26"/>
        <v>1493</v>
      </c>
      <c r="AD1704" t="str">
        <f>_xlfn.IFS(Table1[[#This Row],[Absence 
Days]]&lt;3,"Excellent",Table1[[#This Row],[Absence 
Days]]&lt;=6,"Good",Table1[[#This Row],[Absence 
Days]]&gt;6,"Poor")</f>
        <v>Good</v>
      </c>
    </row>
    <row r="1705" spans="1:30" x14ac:dyDescent="0.35">
      <c r="A1705">
        <v>1704</v>
      </c>
      <c r="B1705" s="2" t="s">
        <v>186</v>
      </c>
      <c r="C1705" t="s">
        <v>475</v>
      </c>
      <c r="D1705" t="str">
        <f>_xlfn.TEXTJOIN(" ",TRUE,Table1[[#This Row],[First 
Name]:[Last 
Name]])</f>
        <v>Joel Williams</v>
      </c>
      <c r="E1705" t="s">
        <v>2815</v>
      </c>
      <c r="F1705" t="s">
        <v>3244</v>
      </c>
      <c r="G1705" t="str">
        <f ca="1">PROPER(Table1[[#This Row],[Part Time 
Job]])</f>
        <v>False</v>
      </c>
      <c r="H1705" s="3">
        <v>8</v>
      </c>
      <c r="I1705" t="str">
        <f ca="1">PROPER(Table1[[#This Row],[Extracurricular 
Activities]])</f>
        <v>False</v>
      </c>
      <c r="J1705">
        <v>3</v>
      </c>
      <c r="K1705" t="s">
        <v>3119</v>
      </c>
      <c r="L1705">
        <v>48</v>
      </c>
      <c r="M1705" s="12" t="str" cm="1">
        <f t="array" ref="M1705">_xlfn.IFS(Table1[[#This Row],[Math 
Score]]&gt;=90,"A+",Table1[[#This Row],[Math 
Score]]&gt;=80,"A", Table1[[#This Row],[Math 
Score]]&gt;=75,"A-",Table1[[#This Row],[Math 
Score]]&gt;=70,"B+",Table1[[#This Row],[Math 
Score]]&gt;=65,"B",Table1[[#This Row],[Math 
Score]]&gt;=60,"B-",Table1[[#This Row],[Math 
Score]]&gt;=50,"C",Table1[[#This Row],[Math 
Score]]&gt;=40,"D",Table1[[#This Row],[Math 
Score]]&lt;40,"F")</f>
        <v>D</v>
      </c>
      <c r="N1705">
        <v>80</v>
      </c>
      <c r="O1705" s="13" t="str" cm="1">
        <f t="array" ref="O170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705">
        <v>73</v>
      </c>
      <c r="Q1705" s="13" t="str" cm="1">
        <f t="array" ref="Q170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705">
        <v>67</v>
      </c>
      <c r="S1705" t="str" cm="1">
        <f t="array" ref="S170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705">
        <v>84</v>
      </c>
      <c r="U1705" t="str" cm="1">
        <f t="array" ref="U170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705">
        <v>99</v>
      </c>
      <c r="W1705" t="str" cm="1">
        <f t="array" ref="W170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705">
        <v>83</v>
      </c>
      <c r="Y1705" t="str" cm="1">
        <f t="array" ref="Y170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705">
        <f>SUM(Table1[[#This Row],[Math 
Score]],Table1[[#This Row],[History 
Score]],Table1[[#This Row],[Physics 
Score]],Table1[[#This Row],[Chemistry 
Score]],Table1[[#This Row],[Biology 
Score]],Table1[[#This Row],[English 
Score]],Table1[[#This Row],[Geography 
Score]])</f>
        <v>534</v>
      </c>
      <c r="AA1705" s="3">
        <f>AVERAGE(Table1[[#This Row],[Math 
Score]],Table1[[#This Row],[History 
Score]],Table1[[#This Row],[Physics 
Score]],Table1[[#This Row],[Chemistry 
Score]],Table1[[#This Row],[Biology 
Score]],Table1[[#This Row],[English 
Score]],Table1[[#This Row],[Geography 
Score]])</f>
        <v>76.285714285714292</v>
      </c>
      <c r="AB170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705">
        <f t="shared" si="26"/>
        <v>1595</v>
      </c>
      <c r="AD1705" t="str">
        <f>_xlfn.IFS(Table1[[#This Row],[Absence 
Days]]&lt;3,"Excellent",Table1[[#This Row],[Absence 
Days]]&lt;=6,"Good",Table1[[#This Row],[Absence 
Days]]&gt;6,"Poor")</f>
        <v>Poor</v>
      </c>
    </row>
    <row r="1706" spans="1:30" x14ac:dyDescent="0.35">
      <c r="A1706">
        <v>1705</v>
      </c>
      <c r="B1706" s="2" t="s">
        <v>432</v>
      </c>
      <c r="C1706" t="s">
        <v>625</v>
      </c>
      <c r="D1706" t="str">
        <f>_xlfn.TEXTJOIN(" ",TRUE,Table1[[#This Row],[First 
Name]:[Last 
Name]])</f>
        <v>Daisy Ellis</v>
      </c>
      <c r="E1706" t="s">
        <v>2816</v>
      </c>
      <c r="F1706" t="s">
        <v>3245</v>
      </c>
      <c r="G1706" t="str">
        <f ca="1">PROPER(Table1[[#This Row],[Part Time 
Job]])</f>
        <v>True</v>
      </c>
      <c r="H1706" s="3">
        <v>7</v>
      </c>
      <c r="I1706" t="str">
        <f ca="1">PROPER(Table1[[#This Row],[Extracurricular 
Activities]])</f>
        <v>True</v>
      </c>
      <c r="J1706">
        <v>0</v>
      </c>
      <c r="K1706" t="s">
        <v>3119</v>
      </c>
      <c r="L1706">
        <v>69</v>
      </c>
      <c r="M1706" s="12" t="str" cm="1">
        <f t="array" ref="M1706">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706">
        <v>56</v>
      </c>
      <c r="O1706" s="13" t="str" cm="1">
        <f t="array" ref="O170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C</v>
      </c>
      <c r="P1706">
        <v>71</v>
      </c>
      <c r="Q1706" s="13" t="str" cm="1">
        <f t="array" ref="Q170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706">
        <v>84</v>
      </c>
      <c r="S1706" t="str" cm="1">
        <f t="array" ref="S170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706">
        <v>52</v>
      </c>
      <c r="U1706" t="str" cm="1">
        <f t="array" ref="U170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C</v>
      </c>
      <c r="V1706">
        <v>71</v>
      </c>
      <c r="W1706" t="str" cm="1">
        <f t="array" ref="W170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706">
        <v>88</v>
      </c>
      <c r="Y1706" t="str" cm="1">
        <f t="array" ref="Y170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706">
        <f>SUM(Table1[[#This Row],[Math 
Score]],Table1[[#This Row],[History 
Score]],Table1[[#This Row],[Physics 
Score]],Table1[[#This Row],[Chemistry 
Score]],Table1[[#This Row],[Biology 
Score]],Table1[[#This Row],[English 
Score]],Table1[[#This Row],[Geography 
Score]])</f>
        <v>491</v>
      </c>
      <c r="AA1706" s="3">
        <f>AVERAGE(Table1[[#This Row],[Math 
Score]],Table1[[#This Row],[History 
Score]],Table1[[#This Row],[Physics 
Score]],Table1[[#This Row],[Chemistry 
Score]],Table1[[#This Row],[Biology 
Score]],Table1[[#This Row],[English 
Score]],Table1[[#This Row],[Geography 
Score]])</f>
        <v>70.142857142857139</v>
      </c>
      <c r="AB170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706">
        <f t="shared" si="26"/>
        <v>1907</v>
      </c>
      <c r="AD1706" t="str">
        <f>_xlfn.IFS(Table1[[#This Row],[Absence 
Days]]&lt;3,"Excellent",Table1[[#This Row],[Absence 
Days]]&lt;=6,"Good",Table1[[#This Row],[Absence 
Days]]&gt;6,"Poor")</f>
        <v>Poor</v>
      </c>
    </row>
    <row r="1707" spans="1:30" x14ac:dyDescent="0.35">
      <c r="A1707">
        <v>1706</v>
      </c>
      <c r="B1707" s="2" t="s">
        <v>216</v>
      </c>
      <c r="C1707" t="s">
        <v>479</v>
      </c>
      <c r="D1707" t="str">
        <f>_xlfn.TEXTJOIN(" ",TRUE,Table1[[#This Row],[First 
Name]:[Last 
Name]])</f>
        <v>Deborah Miller</v>
      </c>
      <c r="E1707" t="s">
        <v>2817</v>
      </c>
      <c r="F1707" t="s">
        <v>3245</v>
      </c>
      <c r="G1707" t="str">
        <f ca="1">PROPER(Table1[[#This Row],[Part Time 
Job]])</f>
        <v>False</v>
      </c>
      <c r="H1707" s="3">
        <v>2</v>
      </c>
      <c r="I1707" t="str">
        <f ca="1">PROPER(Table1[[#This Row],[Extracurricular 
Activities]])</f>
        <v>False</v>
      </c>
      <c r="J1707">
        <v>33</v>
      </c>
      <c r="K1707" t="s">
        <v>3116</v>
      </c>
      <c r="L1707">
        <v>73</v>
      </c>
      <c r="M1707" s="12" t="str" cm="1">
        <f t="array" ref="M1707">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707">
        <v>84</v>
      </c>
      <c r="O1707" s="13" t="str" cm="1">
        <f t="array" ref="O170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707">
        <v>97</v>
      </c>
      <c r="Q1707" s="13" t="str" cm="1">
        <f t="array" ref="Q170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707">
        <v>64</v>
      </c>
      <c r="S1707" t="str" cm="1">
        <f t="array" ref="S170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707">
        <v>87</v>
      </c>
      <c r="U1707" t="str" cm="1">
        <f t="array" ref="U170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707">
        <v>82</v>
      </c>
      <c r="W1707" t="str" cm="1">
        <f t="array" ref="W170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707">
        <v>70</v>
      </c>
      <c r="Y1707" t="str" cm="1">
        <f t="array" ref="Y170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707">
        <f>SUM(Table1[[#This Row],[Math 
Score]],Table1[[#This Row],[History 
Score]],Table1[[#This Row],[Physics 
Score]],Table1[[#This Row],[Chemistry 
Score]],Table1[[#This Row],[Biology 
Score]],Table1[[#This Row],[English 
Score]],Table1[[#This Row],[Geography 
Score]])</f>
        <v>557</v>
      </c>
      <c r="AA1707" s="3">
        <f>AVERAGE(Table1[[#This Row],[Math 
Score]],Table1[[#This Row],[History 
Score]],Table1[[#This Row],[Physics 
Score]],Table1[[#This Row],[Chemistry 
Score]],Table1[[#This Row],[Biology 
Score]],Table1[[#This Row],[English 
Score]],Table1[[#This Row],[Geography 
Score]])</f>
        <v>79.571428571428569</v>
      </c>
      <c r="AB170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707">
        <f t="shared" si="26"/>
        <v>1200</v>
      </c>
      <c r="AD1707" t="str">
        <f>_xlfn.IFS(Table1[[#This Row],[Absence 
Days]]&lt;3,"Excellent",Table1[[#This Row],[Absence 
Days]]&lt;=6,"Good",Table1[[#This Row],[Absence 
Days]]&gt;6,"Poor")</f>
        <v>Excellent</v>
      </c>
    </row>
    <row r="1708" spans="1:30" x14ac:dyDescent="0.35">
      <c r="A1708">
        <v>1707</v>
      </c>
      <c r="B1708" s="2" t="s">
        <v>40</v>
      </c>
      <c r="C1708" t="s">
        <v>883</v>
      </c>
      <c r="D1708" t="str">
        <f>_xlfn.TEXTJOIN(" ",TRUE,Table1[[#This Row],[First 
Name]:[Last 
Name]])</f>
        <v>David Hoffman</v>
      </c>
      <c r="E1708" t="s">
        <v>2818</v>
      </c>
      <c r="F1708" t="s">
        <v>3244</v>
      </c>
      <c r="G1708" t="str">
        <f ca="1">PROPER(Table1[[#This Row],[Part Time 
Job]])</f>
        <v>False</v>
      </c>
      <c r="H1708" s="3">
        <v>3</v>
      </c>
      <c r="I1708" t="str">
        <f ca="1">PROPER(Table1[[#This Row],[Extracurricular 
Activities]])</f>
        <v>False</v>
      </c>
      <c r="J1708">
        <v>12</v>
      </c>
      <c r="K1708" t="s">
        <v>3116</v>
      </c>
      <c r="L1708">
        <v>82</v>
      </c>
      <c r="M1708" s="12" t="str" cm="1">
        <f t="array" ref="M170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708">
        <v>81</v>
      </c>
      <c r="O1708" s="13" t="str" cm="1">
        <f t="array" ref="O170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708">
        <v>78</v>
      </c>
      <c r="Q1708" s="13" t="str" cm="1">
        <f t="array" ref="Q170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708">
        <v>95</v>
      </c>
      <c r="S1708" t="str" cm="1">
        <f t="array" ref="S170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708">
        <v>60</v>
      </c>
      <c r="U1708" t="str" cm="1">
        <f t="array" ref="U170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708">
        <v>88</v>
      </c>
      <c r="W1708" t="str" cm="1">
        <f t="array" ref="W170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708">
        <v>72</v>
      </c>
      <c r="Y1708" t="str" cm="1">
        <f t="array" ref="Y170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708">
        <f>SUM(Table1[[#This Row],[Math 
Score]],Table1[[#This Row],[History 
Score]],Table1[[#This Row],[Physics 
Score]],Table1[[#This Row],[Chemistry 
Score]],Table1[[#This Row],[Biology 
Score]],Table1[[#This Row],[English 
Score]],Table1[[#This Row],[Geography 
Score]])</f>
        <v>556</v>
      </c>
      <c r="AA1708" s="3">
        <f>AVERAGE(Table1[[#This Row],[Math 
Score]],Table1[[#This Row],[History 
Score]],Table1[[#This Row],[Physics 
Score]],Table1[[#This Row],[Chemistry 
Score]],Table1[[#This Row],[Biology 
Score]],Table1[[#This Row],[English 
Score]],Table1[[#This Row],[Geography 
Score]])</f>
        <v>79.428571428571431</v>
      </c>
      <c r="AB170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708">
        <f t="shared" si="26"/>
        <v>1224</v>
      </c>
      <c r="AD1708" t="str">
        <f>_xlfn.IFS(Table1[[#This Row],[Absence 
Days]]&lt;3,"Excellent",Table1[[#This Row],[Absence 
Days]]&lt;=6,"Good",Table1[[#This Row],[Absence 
Days]]&gt;6,"Poor")</f>
        <v>Good</v>
      </c>
    </row>
    <row r="1709" spans="1:30" x14ac:dyDescent="0.35">
      <c r="A1709">
        <v>1708</v>
      </c>
      <c r="B1709" s="2" t="s">
        <v>122</v>
      </c>
      <c r="C1709" t="s">
        <v>1068</v>
      </c>
      <c r="D1709" t="str">
        <f>_xlfn.TEXTJOIN(" ",TRUE,Table1[[#This Row],[First 
Name]:[Last 
Name]])</f>
        <v>Rebecca Pearson</v>
      </c>
      <c r="E1709" t="s">
        <v>2819</v>
      </c>
      <c r="F1709" t="s">
        <v>3245</v>
      </c>
      <c r="G1709" t="str">
        <f ca="1">PROPER(Table1[[#This Row],[Part Time 
Job]])</f>
        <v>False</v>
      </c>
      <c r="H1709" s="3">
        <v>3</v>
      </c>
      <c r="I1709" t="str">
        <f ca="1">PROPER(Table1[[#This Row],[Extracurricular 
Activities]])</f>
        <v>True</v>
      </c>
      <c r="J1709">
        <v>1</v>
      </c>
      <c r="K1709" t="s">
        <v>3115</v>
      </c>
      <c r="L1709">
        <v>90</v>
      </c>
      <c r="M1709" s="12" t="str" cm="1">
        <f t="array" ref="M170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709">
        <v>96</v>
      </c>
      <c r="O1709" s="13" t="str" cm="1">
        <f t="array" ref="O170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709">
        <v>89</v>
      </c>
      <c r="Q1709" s="13" t="str" cm="1">
        <f t="array" ref="Q170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709">
        <v>88</v>
      </c>
      <c r="S1709" t="str" cm="1">
        <f t="array" ref="S170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709">
        <v>94</v>
      </c>
      <c r="U1709" t="str" cm="1">
        <f t="array" ref="U170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709">
        <v>73</v>
      </c>
      <c r="W1709" t="str" cm="1">
        <f t="array" ref="W170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709">
        <v>77</v>
      </c>
      <c r="Y1709" t="str" cm="1">
        <f t="array" ref="Y170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709">
        <f>SUM(Table1[[#This Row],[Math 
Score]],Table1[[#This Row],[History 
Score]],Table1[[#This Row],[Physics 
Score]],Table1[[#This Row],[Chemistry 
Score]],Table1[[#This Row],[Biology 
Score]],Table1[[#This Row],[English 
Score]],Table1[[#This Row],[Geography 
Score]])</f>
        <v>607</v>
      </c>
      <c r="AA1709" s="3">
        <f>AVERAGE(Table1[[#This Row],[Math 
Score]],Table1[[#This Row],[History 
Score]],Table1[[#This Row],[Physics 
Score]],Table1[[#This Row],[Chemistry 
Score]],Table1[[#This Row],[Biology 
Score]],Table1[[#This Row],[English 
Score]],Table1[[#This Row],[Geography 
Score]])</f>
        <v>86.714285714285708</v>
      </c>
      <c r="AB170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709">
        <f t="shared" si="26"/>
        <v>325</v>
      </c>
      <c r="AD1709" t="str">
        <f>_xlfn.IFS(Table1[[#This Row],[Absence 
Days]]&lt;3,"Excellent",Table1[[#This Row],[Absence 
Days]]&lt;=6,"Good",Table1[[#This Row],[Absence 
Days]]&gt;6,"Poor")</f>
        <v>Good</v>
      </c>
    </row>
    <row r="1710" spans="1:30" x14ac:dyDescent="0.35">
      <c r="A1710">
        <v>1709</v>
      </c>
      <c r="B1710" s="2" t="s">
        <v>433</v>
      </c>
      <c r="C1710" t="s">
        <v>548</v>
      </c>
      <c r="D1710" t="str">
        <f>_xlfn.TEXTJOIN(" ",TRUE,Table1[[#This Row],[First 
Name]:[Last 
Name]])</f>
        <v>Mitchell Walker</v>
      </c>
      <c r="E1710" t="s">
        <v>2820</v>
      </c>
      <c r="F1710" t="s">
        <v>3244</v>
      </c>
      <c r="G1710" t="str">
        <f ca="1">PROPER(Table1[[#This Row],[Part Time 
Job]])</f>
        <v>False</v>
      </c>
      <c r="H1710" s="3">
        <v>5</v>
      </c>
      <c r="I1710" t="str">
        <f ca="1">PROPER(Table1[[#This Row],[Extracurricular 
Activities]])</f>
        <v>True</v>
      </c>
      <c r="J1710">
        <v>19</v>
      </c>
      <c r="K1710" t="s">
        <v>3127</v>
      </c>
      <c r="L1710">
        <v>85</v>
      </c>
      <c r="M1710" s="12" t="str" cm="1">
        <f t="array" ref="M171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710">
        <v>66</v>
      </c>
      <c r="O1710" s="13" t="str" cm="1">
        <f t="array" ref="O171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710">
        <v>61</v>
      </c>
      <c r="Q1710" s="13" t="str" cm="1">
        <f t="array" ref="Q171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710">
        <v>85</v>
      </c>
      <c r="S1710" t="str" cm="1">
        <f t="array" ref="S171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710">
        <v>75</v>
      </c>
      <c r="U1710" t="str" cm="1">
        <f t="array" ref="U171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710">
        <v>94</v>
      </c>
      <c r="W1710" t="str" cm="1">
        <f t="array" ref="W171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710">
        <v>76</v>
      </c>
      <c r="Y1710" t="str" cm="1">
        <f t="array" ref="Y171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710">
        <f>SUM(Table1[[#This Row],[Math 
Score]],Table1[[#This Row],[History 
Score]],Table1[[#This Row],[Physics 
Score]],Table1[[#This Row],[Chemistry 
Score]],Table1[[#This Row],[Biology 
Score]],Table1[[#This Row],[English 
Score]],Table1[[#This Row],[Geography 
Score]])</f>
        <v>542</v>
      </c>
      <c r="AA1710" s="3">
        <f>AVERAGE(Table1[[#This Row],[Math 
Score]],Table1[[#This Row],[History 
Score]],Table1[[#This Row],[Physics 
Score]],Table1[[#This Row],[Chemistry 
Score]],Table1[[#This Row],[Biology 
Score]],Table1[[#This Row],[English 
Score]],Table1[[#This Row],[Geography 
Score]])</f>
        <v>77.428571428571431</v>
      </c>
      <c r="AB171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710">
        <f t="shared" si="26"/>
        <v>1478</v>
      </c>
      <c r="AD1710" t="str">
        <f>_xlfn.IFS(Table1[[#This Row],[Absence 
Days]]&lt;3,"Excellent",Table1[[#This Row],[Absence 
Days]]&lt;=6,"Good",Table1[[#This Row],[Absence 
Days]]&gt;6,"Poor")</f>
        <v>Good</v>
      </c>
    </row>
    <row r="1711" spans="1:30" x14ac:dyDescent="0.35">
      <c r="A1711">
        <v>1710</v>
      </c>
      <c r="B1711" s="2" t="s">
        <v>71</v>
      </c>
      <c r="C1711" t="s">
        <v>1069</v>
      </c>
      <c r="D1711" t="str">
        <f>_xlfn.TEXTJOIN(" ",TRUE,Table1[[#This Row],[First 
Name]:[Last 
Name]])</f>
        <v>James Sherman</v>
      </c>
      <c r="E1711" t="s">
        <v>2821</v>
      </c>
      <c r="F1711" t="s">
        <v>3244</v>
      </c>
      <c r="G1711" t="str">
        <f ca="1">PROPER(Table1[[#This Row],[Part Time 
Job]])</f>
        <v>False</v>
      </c>
      <c r="H1711" s="3">
        <v>2</v>
      </c>
      <c r="I1711" t="str">
        <f ca="1">PROPER(Table1[[#This Row],[Extracurricular 
Activities]])</f>
        <v>False</v>
      </c>
      <c r="J1711">
        <v>2</v>
      </c>
      <c r="K1711" t="s">
        <v>3124</v>
      </c>
      <c r="L1711">
        <v>82</v>
      </c>
      <c r="M1711" s="12" t="str" cm="1">
        <f t="array" ref="M171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711">
        <v>73</v>
      </c>
      <c r="O1711" s="13" t="str" cm="1">
        <f t="array" ref="O171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711">
        <v>64</v>
      </c>
      <c r="Q1711" s="13" t="str" cm="1">
        <f t="array" ref="Q171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711">
        <v>95</v>
      </c>
      <c r="S1711" t="str" cm="1">
        <f t="array" ref="S171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711">
        <v>87</v>
      </c>
      <c r="U1711" t="str" cm="1">
        <f t="array" ref="U171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711">
        <v>73</v>
      </c>
      <c r="W1711" t="str" cm="1">
        <f t="array" ref="W171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711">
        <v>99</v>
      </c>
      <c r="Y1711" t="str" cm="1">
        <f t="array" ref="Y171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711">
        <f>SUM(Table1[[#This Row],[Math 
Score]],Table1[[#This Row],[History 
Score]],Table1[[#This Row],[Physics 
Score]],Table1[[#This Row],[Chemistry 
Score]],Table1[[#This Row],[Biology 
Score]],Table1[[#This Row],[English 
Score]],Table1[[#This Row],[Geography 
Score]])</f>
        <v>573</v>
      </c>
      <c r="AA1711" s="3">
        <f>AVERAGE(Table1[[#This Row],[Math 
Score]],Table1[[#This Row],[History 
Score]],Table1[[#This Row],[Physics 
Score]],Table1[[#This Row],[Chemistry 
Score]],Table1[[#This Row],[Biology 
Score]],Table1[[#This Row],[English 
Score]],Table1[[#This Row],[Geography 
Score]])</f>
        <v>81.857142857142861</v>
      </c>
      <c r="AB171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711">
        <f t="shared" si="26"/>
        <v>864</v>
      </c>
      <c r="AD1711" t="str">
        <f>_xlfn.IFS(Table1[[#This Row],[Absence 
Days]]&lt;3,"Excellent",Table1[[#This Row],[Absence 
Days]]&lt;=6,"Good",Table1[[#This Row],[Absence 
Days]]&gt;6,"Poor")</f>
        <v>Excellent</v>
      </c>
    </row>
    <row r="1712" spans="1:30" x14ac:dyDescent="0.35">
      <c r="A1712">
        <v>1711</v>
      </c>
      <c r="B1712" s="2" t="s">
        <v>262</v>
      </c>
      <c r="C1712" t="s">
        <v>592</v>
      </c>
      <c r="D1712" t="str">
        <f>_xlfn.TEXTJOIN(" ",TRUE,Table1[[#This Row],[First 
Name]:[Last 
Name]])</f>
        <v>Justin Johnson</v>
      </c>
      <c r="E1712" t="s">
        <v>2822</v>
      </c>
      <c r="F1712" t="s">
        <v>3244</v>
      </c>
      <c r="G1712" t="str">
        <f ca="1">PROPER(Table1[[#This Row],[Part Time 
Job]])</f>
        <v>False</v>
      </c>
      <c r="H1712" s="3">
        <v>4</v>
      </c>
      <c r="I1712" t="str">
        <f ca="1">PROPER(Table1[[#This Row],[Extracurricular 
Activities]])</f>
        <v>False</v>
      </c>
      <c r="J1712">
        <v>3</v>
      </c>
      <c r="K1712" t="s">
        <v>3126</v>
      </c>
      <c r="L1712">
        <v>80</v>
      </c>
      <c r="M1712" s="12" t="str" cm="1">
        <f t="array" ref="M171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712">
        <v>61</v>
      </c>
      <c r="O1712" s="13" t="str" cm="1">
        <f t="array" ref="O171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712">
        <v>96</v>
      </c>
      <c r="Q1712" s="13" t="str" cm="1">
        <f t="array" ref="Q171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712">
        <v>89</v>
      </c>
      <c r="S1712" t="str" cm="1">
        <f t="array" ref="S171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712">
        <v>96</v>
      </c>
      <c r="U1712" t="str" cm="1">
        <f t="array" ref="U171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712">
        <v>61</v>
      </c>
      <c r="W1712" t="str" cm="1">
        <f t="array" ref="W171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712">
        <v>80</v>
      </c>
      <c r="Y1712" t="str" cm="1">
        <f t="array" ref="Y171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712">
        <f>SUM(Table1[[#This Row],[Math 
Score]],Table1[[#This Row],[History 
Score]],Table1[[#This Row],[Physics 
Score]],Table1[[#This Row],[Chemistry 
Score]],Table1[[#This Row],[Biology 
Score]],Table1[[#This Row],[English 
Score]],Table1[[#This Row],[Geography 
Score]])</f>
        <v>563</v>
      </c>
      <c r="AA1712" s="3">
        <f>AVERAGE(Table1[[#This Row],[Math 
Score]],Table1[[#This Row],[History 
Score]],Table1[[#This Row],[Physics 
Score]],Table1[[#This Row],[Chemistry 
Score]],Table1[[#This Row],[Biology 
Score]],Table1[[#This Row],[English 
Score]],Table1[[#This Row],[Geography 
Score]])</f>
        <v>80.428571428571431</v>
      </c>
      <c r="AB171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712">
        <f t="shared" si="26"/>
        <v>1077</v>
      </c>
      <c r="AD1712" t="str">
        <f>_xlfn.IFS(Table1[[#This Row],[Absence 
Days]]&lt;3,"Excellent",Table1[[#This Row],[Absence 
Days]]&lt;=6,"Good",Table1[[#This Row],[Absence 
Days]]&gt;6,"Poor")</f>
        <v>Good</v>
      </c>
    </row>
    <row r="1713" spans="1:30" x14ac:dyDescent="0.35">
      <c r="A1713">
        <v>1712</v>
      </c>
      <c r="B1713" s="2" t="s">
        <v>174</v>
      </c>
      <c r="C1713" t="s">
        <v>784</v>
      </c>
      <c r="D1713" t="str">
        <f>_xlfn.TEXTJOIN(" ",TRUE,Table1[[#This Row],[First 
Name]:[Last 
Name]])</f>
        <v>Brenda Morales</v>
      </c>
      <c r="E1713" t="s">
        <v>2823</v>
      </c>
      <c r="F1713" t="s">
        <v>3245</v>
      </c>
      <c r="G1713" t="str">
        <f ca="1">PROPER(Table1[[#This Row],[Part Time 
Job]])</f>
        <v>False</v>
      </c>
      <c r="H1713" s="3">
        <v>10</v>
      </c>
      <c r="I1713" t="str">
        <f ca="1">PROPER(Table1[[#This Row],[Extracurricular 
Activities]])</f>
        <v>True</v>
      </c>
      <c r="J1713">
        <v>1</v>
      </c>
      <c r="K1713" t="s">
        <v>3119</v>
      </c>
      <c r="L1713">
        <v>41</v>
      </c>
      <c r="M1713" s="12" t="str" cm="1">
        <f t="array" ref="M1713">_xlfn.IFS(Table1[[#This Row],[Math 
Score]]&gt;=90,"A+",Table1[[#This Row],[Math 
Score]]&gt;=80,"A", Table1[[#This Row],[Math 
Score]]&gt;=75,"A-",Table1[[#This Row],[Math 
Score]]&gt;=70,"B+",Table1[[#This Row],[Math 
Score]]&gt;=65,"B",Table1[[#This Row],[Math 
Score]]&gt;=60,"B-",Table1[[#This Row],[Math 
Score]]&gt;=50,"C",Table1[[#This Row],[Math 
Score]]&gt;=40,"D",Table1[[#This Row],[Math 
Score]]&lt;40,"F")</f>
        <v>D</v>
      </c>
      <c r="N1713">
        <v>53</v>
      </c>
      <c r="O1713" s="13" t="str" cm="1">
        <f t="array" ref="O171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C</v>
      </c>
      <c r="P1713">
        <v>98</v>
      </c>
      <c r="Q1713" s="13" t="str" cm="1">
        <f t="array" ref="Q171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713">
        <v>67</v>
      </c>
      <c r="S1713" t="str" cm="1">
        <f t="array" ref="S171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713">
        <v>61</v>
      </c>
      <c r="U1713" t="str" cm="1">
        <f t="array" ref="U171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713">
        <v>83</v>
      </c>
      <c r="W1713" t="str" cm="1">
        <f t="array" ref="W171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713">
        <v>97</v>
      </c>
      <c r="Y1713" t="str" cm="1">
        <f t="array" ref="Y171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713">
        <f>SUM(Table1[[#This Row],[Math 
Score]],Table1[[#This Row],[History 
Score]],Table1[[#This Row],[Physics 
Score]],Table1[[#This Row],[Chemistry 
Score]],Table1[[#This Row],[Biology 
Score]],Table1[[#This Row],[English 
Score]],Table1[[#This Row],[Geography 
Score]])</f>
        <v>500</v>
      </c>
      <c r="AA1713" s="3">
        <f>AVERAGE(Table1[[#This Row],[Math 
Score]],Table1[[#This Row],[History 
Score]],Table1[[#This Row],[Physics 
Score]],Table1[[#This Row],[Chemistry 
Score]],Table1[[#This Row],[Biology 
Score]],Table1[[#This Row],[English 
Score]],Table1[[#This Row],[Geography 
Score]])</f>
        <v>71.428571428571431</v>
      </c>
      <c r="AB171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713">
        <f t="shared" si="26"/>
        <v>1875</v>
      </c>
      <c r="AD1713" t="str">
        <f>_xlfn.IFS(Table1[[#This Row],[Absence 
Days]]&lt;3,"Excellent",Table1[[#This Row],[Absence 
Days]]&lt;=6,"Good",Table1[[#This Row],[Absence 
Days]]&gt;6,"Poor")</f>
        <v>Poor</v>
      </c>
    </row>
    <row r="1714" spans="1:30" x14ac:dyDescent="0.35">
      <c r="A1714">
        <v>1713</v>
      </c>
      <c r="B1714" s="2" t="s">
        <v>308</v>
      </c>
      <c r="C1714" t="s">
        <v>921</v>
      </c>
      <c r="D1714" t="str">
        <f>_xlfn.TEXTJOIN(" ",TRUE,Table1[[#This Row],[First 
Name]:[Last 
Name]])</f>
        <v>Jesse Melton</v>
      </c>
      <c r="E1714" t="s">
        <v>2824</v>
      </c>
      <c r="F1714" t="s">
        <v>3244</v>
      </c>
      <c r="G1714" t="str">
        <f ca="1">PROPER(Table1[[#This Row],[Part Time 
Job]])</f>
        <v>False</v>
      </c>
      <c r="H1714" s="3">
        <v>1</v>
      </c>
      <c r="I1714" t="str">
        <f ca="1">PROPER(Table1[[#This Row],[Extracurricular 
Activities]])</f>
        <v>False</v>
      </c>
      <c r="J1714">
        <v>48</v>
      </c>
      <c r="K1714" t="s">
        <v>3113</v>
      </c>
      <c r="L1714">
        <v>99</v>
      </c>
      <c r="M1714" s="12" t="str" cm="1">
        <f t="array" ref="M171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714">
        <v>93</v>
      </c>
      <c r="O1714" s="13" t="str" cm="1">
        <f t="array" ref="O171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714">
        <v>88</v>
      </c>
      <c r="Q1714" s="13" t="str" cm="1">
        <f t="array" ref="Q171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714">
        <v>92</v>
      </c>
      <c r="S1714" t="str" cm="1">
        <f t="array" ref="S171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714">
        <v>99</v>
      </c>
      <c r="U1714" t="str" cm="1">
        <f t="array" ref="U171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714">
        <v>94</v>
      </c>
      <c r="W1714" t="str" cm="1">
        <f t="array" ref="W171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714">
        <v>95</v>
      </c>
      <c r="Y1714" t="str" cm="1">
        <f t="array" ref="Y171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714">
        <f>SUM(Table1[[#This Row],[Math 
Score]],Table1[[#This Row],[History 
Score]],Table1[[#This Row],[Physics 
Score]],Table1[[#This Row],[Chemistry 
Score]],Table1[[#This Row],[Biology 
Score]],Table1[[#This Row],[English 
Score]],Table1[[#This Row],[Geography 
Score]])</f>
        <v>660</v>
      </c>
      <c r="AA1714" s="3">
        <f>AVERAGE(Table1[[#This Row],[Math 
Score]],Table1[[#This Row],[History 
Score]],Table1[[#This Row],[Physics 
Score]],Table1[[#This Row],[Chemistry 
Score]],Table1[[#This Row],[Biology 
Score]],Table1[[#This Row],[English 
Score]],Table1[[#This Row],[Geography 
Score]])</f>
        <v>94.285714285714292</v>
      </c>
      <c r="AB171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714">
        <f t="shared" si="26"/>
        <v>17</v>
      </c>
      <c r="AD1714" t="str">
        <f>_xlfn.IFS(Table1[[#This Row],[Absence 
Days]]&lt;3,"Excellent",Table1[[#This Row],[Absence 
Days]]&lt;=6,"Good",Table1[[#This Row],[Absence 
Days]]&gt;6,"Poor")</f>
        <v>Excellent</v>
      </c>
    </row>
    <row r="1715" spans="1:30" x14ac:dyDescent="0.35">
      <c r="A1715">
        <v>1714</v>
      </c>
      <c r="B1715" s="2" t="s">
        <v>434</v>
      </c>
      <c r="C1715" t="s">
        <v>728</v>
      </c>
      <c r="D1715" t="str">
        <f>_xlfn.TEXTJOIN(" ",TRUE,Table1[[#This Row],[First 
Name]:[Last 
Name]])</f>
        <v>Jon Mendoza</v>
      </c>
      <c r="E1715" t="s">
        <v>2825</v>
      </c>
      <c r="F1715" t="s">
        <v>3244</v>
      </c>
      <c r="G1715" t="str">
        <f ca="1">PROPER(Table1[[#This Row],[Part Time 
Job]])</f>
        <v>False</v>
      </c>
      <c r="H1715" s="3">
        <v>2</v>
      </c>
      <c r="I1715" t="str">
        <f ca="1">PROPER(Table1[[#This Row],[Extracurricular 
Activities]])</f>
        <v>False</v>
      </c>
      <c r="J1715">
        <v>32</v>
      </c>
      <c r="K1715" t="s">
        <v>3112</v>
      </c>
      <c r="L1715">
        <v>95</v>
      </c>
      <c r="M1715" s="12" t="str" cm="1">
        <f t="array" ref="M171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715">
        <v>95</v>
      </c>
      <c r="O1715" s="13" t="str" cm="1">
        <f t="array" ref="O171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715">
        <v>92</v>
      </c>
      <c r="Q1715" s="13" t="str" cm="1">
        <f t="array" ref="Q171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715">
        <v>61</v>
      </c>
      <c r="S1715" t="str" cm="1">
        <f t="array" ref="S171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715">
        <v>63</v>
      </c>
      <c r="U1715" t="str" cm="1">
        <f t="array" ref="U171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715">
        <v>81</v>
      </c>
      <c r="W1715" t="str" cm="1">
        <f t="array" ref="W171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715">
        <v>100</v>
      </c>
      <c r="Y1715" t="str" cm="1">
        <f t="array" ref="Y171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715">
        <f>SUM(Table1[[#This Row],[Math 
Score]],Table1[[#This Row],[History 
Score]],Table1[[#This Row],[Physics 
Score]],Table1[[#This Row],[Chemistry 
Score]],Table1[[#This Row],[Biology 
Score]],Table1[[#This Row],[English 
Score]],Table1[[#This Row],[Geography 
Score]])</f>
        <v>587</v>
      </c>
      <c r="AA1715" s="3">
        <f>AVERAGE(Table1[[#This Row],[Math 
Score]],Table1[[#This Row],[History 
Score]],Table1[[#This Row],[Physics 
Score]],Table1[[#This Row],[Chemistry 
Score]],Table1[[#This Row],[Biology 
Score]],Table1[[#This Row],[English 
Score]],Table1[[#This Row],[Geography 
Score]])</f>
        <v>83.857142857142861</v>
      </c>
      <c r="AB171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715">
        <f t="shared" si="26"/>
        <v>583</v>
      </c>
      <c r="AD1715" t="str">
        <f>_xlfn.IFS(Table1[[#This Row],[Absence 
Days]]&lt;3,"Excellent",Table1[[#This Row],[Absence 
Days]]&lt;=6,"Good",Table1[[#This Row],[Absence 
Days]]&gt;6,"Poor")</f>
        <v>Excellent</v>
      </c>
    </row>
    <row r="1716" spans="1:30" x14ac:dyDescent="0.35">
      <c r="A1716">
        <v>1715</v>
      </c>
      <c r="B1716" s="2" t="s">
        <v>146</v>
      </c>
      <c r="C1716" t="s">
        <v>673</v>
      </c>
      <c r="D1716" t="str">
        <f>_xlfn.TEXTJOIN(" ",TRUE,Table1[[#This Row],[First 
Name]:[Last 
Name]])</f>
        <v>Samantha Anderson</v>
      </c>
      <c r="E1716" t="s">
        <v>2826</v>
      </c>
      <c r="F1716" t="s">
        <v>3245</v>
      </c>
      <c r="G1716" t="str">
        <f ca="1">PROPER(Table1[[#This Row],[Part Time 
Job]])</f>
        <v>False</v>
      </c>
      <c r="H1716" s="3">
        <v>6</v>
      </c>
      <c r="I1716" t="str">
        <f ca="1">PROPER(Table1[[#This Row],[Extracurricular 
Activities]])</f>
        <v>False</v>
      </c>
      <c r="J1716">
        <v>1</v>
      </c>
      <c r="K1716" t="s">
        <v>3116</v>
      </c>
      <c r="L1716">
        <v>76</v>
      </c>
      <c r="M1716" s="12" t="str" cm="1">
        <f t="array" ref="M171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716">
        <v>69</v>
      </c>
      <c r="O1716" s="13" t="str" cm="1">
        <f t="array" ref="O171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716">
        <v>100</v>
      </c>
      <c r="Q1716" s="13" t="str" cm="1">
        <f t="array" ref="Q171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716">
        <v>88</v>
      </c>
      <c r="S1716" t="str" cm="1">
        <f t="array" ref="S171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716">
        <v>65</v>
      </c>
      <c r="U1716" t="str" cm="1">
        <f t="array" ref="U171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716">
        <v>96</v>
      </c>
      <c r="W1716" t="str" cm="1">
        <f t="array" ref="W171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716">
        <v>70</v>
      </c>
      <c r="Y1716" t="str" cm="1">
        <f t="array" ref="Y171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716">
        <f>SUM(Table1[[#This Row],[Math 
Score]],Table1[[#This Row],[History 
Score]],Table1[[#This Row],[Physics 
Score]],Table1[[#This Row],[Chemistry 
Score]],Table1[[#This Row],[Biology 
Score]],Table1[[#This Row],[English 
Score]],Table1[[#This Row],[Geography 
Score]])</f>
        <v>564</v>
      </c>
      <c r="AA1716" s="3">
        <f>AVERAGE(Table1[[#This Row],[Math 
Score]],Table1[[#This Row],[History 
Score]],Table1[[#This Row],[Physics 
Score]],Table1[[#This Row],[Chemistry 
Score]],Table1[[#This Row],[Biology 
Score]],Table1[[#This Row],[English 
Score]],Table1[[#This Row],[Geography 
Score]])</f>
        <v>80.571428571428569</v>
      </c>
      <c r="AB171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716">
        <f t="shared" si="26"/>
        <v>1056</v>
      </c>
      <c r="AD1716" t="str">
        <f>_xlfn.IFS(Table1[[#This Row],[Absence 
Days]]&lt;3,"Excellent",Table1[[#This Row],[Absence 
Days]]&lt;=6,"Good",Table1[[#This Row],[Absence 
Days]]&gt;6,"Poor")</f>
        <v>Good</v>
      </c>
    </row>
    <row r="1717" spans="1:30" x14ac:dyDescent="0.35">
      <c r="A1717">
        <v>1716</v>
      </c>
      <c r="B1717" s="2" t="s">
        <v>48</v>
      </c>
      <c r="C1717" t="s">
        <v>1070</v>
      </c>
      <c r="D1717" t="str">
        <f>_xlfn.TEXTJOIN(" ",TRUE,Table1[[#This Row],[First 
Name]:[Last 
Name]])</f>
        <v>Lindsay Love</v>
      </c>
      <c r="E1717" t="s">
        <v>2827</v>
      </c>
      <c r="F1717" t="s">
        <v>3245</v>
      </c>
      <c r="G1717" t="str">
        <f ca="1">PROPER(Table1[[#This Row],[Part Time 
Job]])</f>
        <v>False</v>
      </c>
      <c r="H1717" s="3">
        <v>1</v>
      </c>
      <c r="I1717" t="str">
        <f ca="1">PROPER(Table1[[#This Row],[Extracurricular 
Activities]])</f>
        <v>False</v>
      </c>
      <c r="J1717">
        <v>22</v>
      </c>
      <c r="K1717" t="s">
        <v>3113</v>
      </c>
      <c r="L1717">
        <v>91</v>
      </c>
      <c r="M1717" s="12" t="str" cm="1">
        <f t="array" ref="M171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717">
        <v>92</v>
      </c>
      <c r="O1717" s="13" t="str" cm="1">
        <f t="array" ref="O171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717">
        <v>81</v>
      </c>
      <c r="Q1717" s="13" t="str" cm="1">
        <f t="array" ref="Q171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717">
        <v>98</v>
      </c>
      <c r="S1717" t="str" cm="1">
        <f t="array" ref="S171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717">
        <v>88</v>
      </c>
      <c r="U1717" t="str" cm="1">
        <f t="array" ref="U171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717">
        <v>76</v>
      </c>
      <c r="W1717" t="str" cm="1">
        <f t="array" ref="W171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717">
        <v>99</v>
      </c>
      <c r="Y1717" t="str" cm="1">
        <f t="array" ref="Y171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717">
        <f>SUM(Table1[[#This Row],[Math 
Score]],Table1[[#This Row],[History 
Score]],Table1[[#This Row],[Physics 
Score]],Table1[[#This Row],[Chemistry 
Score]],Table1[[#This Row],[Biology 
Score]],Table1[[#This Row],[English 
Score]],Table1[[#This Row],[Geography 
Score]])</f>
        <v>625</v>
      </c>
      <c r="AA1717" s="3">
        <f>AVERAGE(Table1[[#This Row],[Math 
Score]],Table1[[#This Row],[History 
Score]],Table1[[#This Row],[Physics 
Score]],Table1[[#This Row],[Chemistry 
Score]],Table1[[#This Row],[Biology 
Score]],Table1[[#This Row],[English 
Score]],Table1[[#This Row],[Geography 
Score]])</f>
        <v>89.285714285714292</v>
      </c>
      <c r="AB171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717">
        <f t="shared" si="26"/>
        <v>187</v>
      </c>
      <c r="AD1717" t="str">
        <f>_xlfn.IFS(Table1[[#This Row],[Absence 
Days]]&lt;3,"Excellent",Table1[[#This Row],[Absence 
Days]]&lt;=6,"Good",Table1[[#This Row],[Absence 
Days]]&gt;6,"Poor")</f>
        <v>Excellent</v>
      </c>
    </row>
    <row r="1718" spans="1:30" x14ac:dyDescent="0.35">
      <c r="A1718">
        <v>1717</v>
      </c>
      <c r="B1718" s="2" t="s">
        <v>124</v>
      </c>
      <c r="C1718" t="s">
        <v>1071</v>
      </c>
      <c r="D1718" t="str">
        <f>_xlfn.TEXTJOIN(" ",TRUE,Table1[[#This Row],[First 
Name]:[Last 
Name]])</f>
        <v>John Benson</v>
      </c>
      <c r="E1718" t="s">
        <v>2828</v>
      </c>
      <c r="F1718" t="s">
        <v>3244</v>
      </c>
      <c r="G1718" t="str">
        <f ca="1">PROPER(Table1[[#This Row],[Part Time 
Job]])</f>
        <v>False</v>
      </c>
      <c r="H1718" s="3">
        <v>5</v>
      </c>
      <c r="I1718" t="str">
        <f ca="1">PROPER(Table1[[#This Row],[Extracurricular 
Activities]])</f>
        <v>False</v>
      </c>
      <c r="J1718">
        <v>16</v>
      </c>
      <c r="K1718" t="s">
        <v>3121</v>
      </c>
      <c r="L1718">
        <v>98</v>
      </c>
      <c r="M1718" s="12" t="str" cm="1">
        <f t="array" ref="M171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718">
        <v>75</v>
      </c>
      <c r="O1718" s="13" t="str" cm="1">
        <f t="array" ref="O171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718">
        <v>69</v>
      </c>
      <c r="Q1718" s="13" t="str" cm="1">
        <f t="array" ref="Q171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718">
        <v>65</v>
      </c>
      <c r="S1718" t="str" cm="1">
        <f t="array" ref="S171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718">
        <v>67</v>
      </c>
      <c r="U1718" t="str" cm="1">
        <f t="array" ref="U171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718">
        <v>79</v>
      </c>
      <c r="W1718" t="str" cm="1">
        <f t="array" ref="W171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718">
        <v>72</v>
      </c>
      <c r="Y1718" t="str" cm="1">
        <f t="array" ref="Y171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718">
        <f>SUM(Table1[[#This Row],[Math 
Score]],Table1[[#This Row],[History 
Score]],Table1[[#This Row],[Physics 
Score]],Table1[[#This Row],[Chemistry 
Score]],Table1[[#This Row],[Biology 
Score]],Table1[[#This Row],[English 
Score]],Table1[[#This Row],[Geography 
Score]])</f>
        <v>525</v>
      </c>
      <c r="AA1718" s="3">
        <f>AVERAGE(Table1[[#This Row],[Math 
Score]],Table1[[#This Row],[History 
Score]],Table1[[#This Row],[Physics 
Score]],Table1[[#This Row],[Chemistry 
Score]],Table1[[#This Row],[Biology 
Score]],Table1[[#This Row],[English 
Score]],Table1[[#This Row],[Geography 
Score]])</f>
        <v>75</v>
      </c>
      <c r="AB171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718">
        <f t="shared" si="26"/>
        <v>1704</v>
      </c>
      <c r="AD1718" t="str">
        <f>_xlfn.IFS(Table1[[#This Row],[Absence 
Days]]&lt;3,"Excellent",Table1[[#This Row],[Absence 
Days]]&lt;=6,"Good",Table1[[#This Row],[Absence 
Days]]&gt;6,"Poor")</f>
        <v>Good</v>
      </c>
    </row>
    <row r="1719" spans="1:30" x14ac:dyDescent="0.35">
      <c r="A1719">
        <v>1718</v>
      </c>
      <c r="B1719" s="2" t="s">
        <v>435</v>
      </c>
      <c r="C1719" t="s">
        <v>602</v>
      </c>
      <c r="D1719" t="str">
        <f>_xlfn.TEXTJOIN(" ",TRUE,Table1[[#This Row],[First 
Name]:[Last 
Name]])</f>
        <v>Isaiah Cruz</v>
      </c>
      <c r="E1719" t="s">
        <v>2829</v>
      </c>
      <c r="F1719" t="s">
        <v>3244</v>
      </c>
      <c r="G1719" t="str">
        <f ca="1">PROPER(Table1[[#This Row],[Part Time 
Job]])</f>
        <v>True</v>
      </c>
      <c r="H1719" s="3">
        <v>6</v>
      </c>
      <c r="I1719" t="str">
        <f ca="1">PROPER(Table1[[#This Row],[Extracurricular 
Activities]])</f>
        <v>False</v>
      </c>
      <c r="J1719">
        <v>15</v>
      </c>
      <c r="K1719" t="s">
        <v>3125</v>
      </c>
      <c r="L1719">
        <v>90</v>
      </c>
      <c r="M1719" s="12" t="str" cm="1">
        <f t="array" ref="M171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719">
        <v>71</v>
      </c>
      <c r="O1719" s="13" t="str" cm="1">
        <f t="array" ref="O171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719">
        <v>93</v>
      </c>
      <c r="Q1719" s="13" t="str" cm="1">
        <f t="array" ref="Q171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719">
        <v>73</v>
      </c>
      <c r="S1719" t="str" cm="1">
        <f t="array" ref="S171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719">
        <v>80</v>
      </c>
      <c r="U1719" t="str" cm="1">
        <f t="array" ref="U171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719">
        <v>78</v>
      </c>
      <c r="W1719" t="str" cm="1">
        <f t="array" ref="W171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719">
        <v>69</v>
      </c>
      <c r="Y1719" t="str" cm="1">
        <f t="array" ref="Y171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719">
        <f>SUM(Table1[[#This Row],[Math 
Score]],Table1[[#This Row],[History 
Score]],Table1[[#This Row],[Physics 
Score]],Table1[[#This Row],[Chemistry 
Score]],Table1[[#This Row],[Biology 
Score]],Table1[[#This Row],[English 
Score]],Table1[[#This Row],[Geography 
Score]])</f>
        <v>554</v>
      </c>
      <c r="AA1719" s="3">
        <f>AVERAGE(Table1[[#This Row],[Math 
Score]],Table1[[#This Row],[History 
Score]],Table1[[#This Row],[Physics 
Score]],Table1[[#This Row],[Chemistry 
Score]],Table1[[#This Row],[Biology 
Score]],Table1[[#This Row],[English 
Score]],Table1[[#This Row],[Geography 
Score]])</f>
        <v>79.142857142857139</v>
      </c>
      <c r="AB171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719">
        <f t="shared" si="26"/>
        <v>1264</v>
      </c>
      <c r="AD1719" t="str">
        <f>_xlfn.IFS(Table1[[#This Row],[Absence 
Days]]&lt;3,"Excellent",Table1[[#This Row],[Absence 
Days]]&lt;=6,"Good",Table1[[#This Row],[Absence 
Days]]&gt;6,"Poor")</f>
        <v>Good</v>
      </c>
    </row>
    <row r="1720" spans="1:30" x14ac:dyDescent="0.35">
      <c r="A1720">
        <v>1719</v>
      </c>
      <c r="B1720" s="2" t="s">
        <v>56</v>
      </c>
      <c r="C1720" t="s">
        <v>708</v>
      </c>
      <c r="D1720" t="str">
        <f>_xlfn.TEXTJOIN(" ",TRUE,Table1[[#This Row],[First 
Name]:[Last 
Name]])</f>
        <v>Brian Baker</v>
      </c>
      <c r="E1720" t="s">
        <v>2830</v>
      </c>
      <c r="F1720" t="s">
        <v>3244</v>
      </c>
      <c r="G1720" t="str">
        <f ca="1">PROPER(Table1[[#This Row],[Part Time 
Job]])</f>
        <v>False</v>
      </c>
      <c r="H1720" s="3">
        <v>3</v>
      </c>
      <c r="I1720" t="str">
        <f ca="1">PROPER(Table1[[#This Row],[Extracurricular 
Activities]])</f>
        <v>True</v>
      </c>
      <c r="J1720">
        <v>26</v>
      </c>
      <c r="K1720" t="s">
        <v>3117</v>
      </c>
      <c r="L1720">
        <v>85</v>
      </c>
      <c r="M1720" s="12" t="str" cm="1">
        <f t="array" ref="M172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720">
        <v>68</v>
      </c>
      <c r="O1720" s="13" t="str" cm="1">
        <f t="array" ref="O172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720">
        <v>73</v>
      </c>
      <c r="Q1720" s="13" t="str" cm="1">
        <f t="array" ref="Q172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720">
        <v>94</v>
      </c>
      <c r="S1720" t="str" cm="1">
        <f t="array" ref="S172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720">
        <v>88</v>
      </c>
      <c r="U1720" t="str" cm="1">
        <f t="array" ref="U172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720">
        <v>86</v>
      </c>
      <c r="W1720" t="str" cm="1">
        <f t="array" ref="W172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720">
        <v>77</v>
      </c>
      <c r="Y1720" t="str" cm="1">
        <f t="array" ref="Y172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720">
        <f>SUM(Table1[[#This Row],[Math 
Score]],Table1[[#This Row],[History 
Score]],Table1[[#This Row],[Physics 
Score]],Table1[[#This Row],[Chemistry 
Score]],Table1[[#This Row],[Biology 
Score]],Table1[[#This Row],[English 
Score]],Table1[[#This Row],[Geography 
Score]])</f>
        <v>571</v>
      </c>
      <c r="AA1720" s="3">
        <f>AVERAGE(Table1[[#This Row],[Math 
Score]],Table1[[#This Row],[History 
Score]],Table1[[#This Row],[Physics 
Score]],Table1[[#This Row],[Chemistry 
Score]],Table1[[#This Row],[Biology 
Score]],Table1[[#This Row],[English 
Score]],Table1[[#This Row],[Geography 
Score]])</f>
        <v>81.571428571428569</v>
      </c>
      <c r="AB172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720">
        <f t="shared" si="26"/>
        <v>915</v>
      </c>
      <c r="AD1720" t="str">
        <f>_xlfn.IFS(Table1[[#This Row],[Absence 
Days]]&lt;3,"Excellent",Table1[[#This Row],[Absence 
Days]]&lt;=6,"Good",Table1[[#This Row],[Absence 
Days]]&gt;6,"Poor")</f>
        <v>Good</v>
      </c>
    </row>
    <row r="1721" spans="1:30" x14ac:dyDescent="0.35">
      <c r="A1721">
        <v>1720</v>
      </c>
      <c r="B1721" s="2" t="s">
        <v>89</v>
      </c>
      <c r="C1721" t="s">
        <v>1072</v>
      </c>
      <c r="D1721" t="str">
        <f>_xlfn.TEXTJOIN(" ",TRUE,Table1[[#This Row],[First 
Name]:[Last 
Name]])</f>
        <v>Joshua Dillon</v>
      </c>
      <c r="E1721" t="s">
        <v>2831</v>
      </c>
      <c r="F1721" t="s">
        <v>3244</v>
      </c>
      <c r="G1721" t="str">
        <f ca="1">PROPER(Table1[[#This Row],[Part Time 
Job]])</f>
        <v>False</v>
      </c>
      <c r="H1721" s="3">
        <v>5</v>
      </c>
      <c r="I1721" t="str">
        <f ca="1">PROPER(Table1[[#This Row],[Extracurricular 
Activities]])</f>
        <v>False</v>
      </c>
      <c r="J1721">
        <v>46</v>
      </c>
      <c r="K1721" t="s">
        <v>3113</v>
      </c>
      <c r="L1721">
        <v>100</v>
      </c>
      <c r="M1721" s="12" t="str" cm="1">
        <f t="array" ref="M172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721">
        <v>97</v>
      </c>
      <c r="O1721" s="13" t="str" cm="1">
        <f t="array" ref="O172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721">
        <v>94</v>
      </c>
      <c r="Q1721" s="13" t="str" cm="1">
        <f t="array" ref="Q172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721">
        <v>87</v>
      </c>
      <c r="S1721" t="str" cm="1">
        <f t="array" ref="S172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721">
        <v>89</v>
      </c>
      <c r="U1721" t="str" cm="1">
        <f t="array" ref="U172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721">
        <v>91</v>
      </c>
      <c r="W1721" t="str" cm="1">
        <f t="array" ref="W172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721">
        <v>100</v>
      </c>
      <c r="Y1721" t="str" cm="1">
        <f t="array" ref="Y172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721">
        <f>SUM(Table1[[#This Row],[Math 
Score]],Table1[[#This Row],[History 
Score]],Table1[[#This Row],[Physics 
Score]],Table1[[#This Row],[Chemistry 
Score]],Table1[[#This Row],[Biology 
Score]],Table1[[#This Row],[English 
Score]],Table1[[#This Row],[Geography 
Score]])</f>
        <v>658</v>
      </c>
      <c r="AA1721" s="3">
        <f>AVERAGE(Table1[[#This Row],[Math 
Score]],Table1[[#This Row],[History 
Score]],Table1[[#This Row],[Physics 
Score]],Table1[[#This Row],[Chemistry 
Score]],Table1[[#This Row],[Biology 
Score]],Table1[[#This Row],[English 
Score]],Table1[[#This Row],[Geography 
Score]])</f>
        <v>94</v>
      </c>
      <c r="AB172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721">
        <f t="shared" si="26"/>
        <v>24</v>
      </c>
      <c r="AD1721" t="str">
        <f>_xlfn.IFS(Table1[[#This Row],[Absence 
Days]]&lt;3,"Excellent",Table1[[#This Row],[Absence 
Days]]&lt;=6,"Good",Table1[[#This Row],[Absence 
Days]]&gt;6,"Poor")</f>
        <v>Good</v>
      </c>
    </row>
    <row r="1722" spans="1:30" x14ac:dyDescent="0.35">
      <c r="A1722">
        <v>1721</v>
      </c>
      <c r="B1722" s="2" t="s">
        <v>36</v>
      </c>
      <c r="C1722" t="s">
        <v>508</v>
      </c>
      <c r="D1722" t="str">
        <f>_xlfn.TEXTJOIN(" ",TRUE,Table1[[#This Row],[First 
Name]:[Last 
Name]])</f>
        <v>Christopher Stephens</v>
      </c>
      <c r="E1722" t="s">
        <v>2832</v>
      </c>
      <c r="F1722" t="s">
        <v>3244</v>
      </c>
      <c r="G1722" t="str">
        <f ca="1">PROPER(Table1[[#This Row],[Part Time 
Job]])</f>
        <v>True</v>
      </c>
      <c r="H1722" s="3">
        <v>4</v>
      </c>
      <c r="I1722" t="str">
        <f ca="1">PROPER(Table1[[#This Row],[Extracurricular 
Activities]])</f>
        <v>False</v>
      </c>
      <c r="J1722">
        <v>31</v>
      </c>
      <c r="K1722" t="s">
        <v>3120</v>
      </c>
      <c r="L1722">
        <v>77</v>
      </c>
      <c r="M1722" s="12" t="str" cm="1">
        <f t="array" ref="M172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722">
        <v>81</v>
      </c>
      <c r="O1722" s="13" t="str" cm="1">
        <f t="array" ref="O172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722">
        <v>80</v>
      </c>
      <c r="Q1722" s="13" t="str" cm="1">
        <f t="array" ref="Q172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722">
        <v>95</v>
      </c>
      <c r="S1722" t="str" cm="1">
        <f t="array" ref="S172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722">
        <v>80</v>
      </c>
      <c r="U1722" t="str" cm="1">
        <f t="array" ref="U172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722">
        <v>74</v>
      </c>
      <c r="W1722" t="str" cm="1">
        <f t="array" ref="W172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722">
        <v>80</v>
      </c>
      <c r="Y1722" t="str" cm="1">
        <f t="array" ref="Y172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722">
        <f>SUM(Table1[[#This Row],[Math 
Score]],Table1[[#This Row],[History 
Score]],Table1[[#This Row],[Physics 
Score]],Table1[[#This Row],[Chemistry 
Score]],Table1[[#This Row],[Biology 
Score]],Table1[[#This Row],[English 
Score]],Table1[[#This Row],[Geography 
Score]])</f>
        <v>567</v>
      </c>
      <c r="AA1722" s="3">
        <f>AVERAGE(Table1[[#This Row],[Math 
Score]],Table1[[#This Row],[History 
Score]],Table1[[#This Row],[Physics 
Score]],Table1[[#This Row],[Chemistry 
Score]],Table1[[#This Row],[Biology 
Score]],Table1[[#This Row],[English 
Score]],Table1[[#This Row],[Geography 
Score]])</f>
        <v>81</v>
      </c>
      <c r="AB172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722">
        <f t="shared" si="26"/>
        <v>994</v>
      </c>
      <c r="AD1722" t="str">
        <f>_xlfn.IFS(Table1[[#This Row],[Absence 
Days]]&lt;3,"Excellent",Table1[[#This Row],[Absence 
Days]]&lt;=6,"Good",Table1[[#This Row],[Absence 
Days]]&gt;6,"Poor")</f>
        <v>Good</v>
      </c>
    </row>
    <row r="1723" spans="1:30" x14ac:dyDescent="0.35">
      <c r="A1723">
        <v>1722</v>
      </c>
      <c r="B1723" s="2" t="s">
        <v>44</v>
      </c>
      <c r="C1723" t="s">
        <v>1032</v>
      </c>
      <c r="D1723" t="str">
        <f>_xlfn.TEXTJOIN(" ",TRUE,Table1[[#This Row],[First 
Name]:[Last 
Name]])</f>
        <v>Kimberly Shaw</v>
      </c>
      <c r="E1723" t="s">
        <v>2833</v>
      </c>
      <c r="F1723" t="s">
        <v>3245</v>
      </c>
      <c r="G1723" t="str">
        <f ca="1">PROPER(Table1[[#This Row],[Part Time 
Job]])</f>
        <v>False</v>
      </c>
      <c r="H1723" s="3">
        <v>10</v>
      </c>
      <c r="I1723" t="str">
        <f ca="1">PROPER(Table1[[#This Row],[Extracurricular 
Activities]])</f>
        <v>False</v>
      </c>
      <c r="J1723">
        <v>4</v>
      </c>
      <c r="K1723" t="s">
        <v>3119</v>
      </c>
      <c r="L1723">
        <v>92</v>
      </c>
      <c r="M1723" s="12" t="str" cm="1">
        <f t="array" ref="M172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723">
        <v>98</v>
      </c>
      <c r="O1723" s="13" t="str" cm="1">
        <f t="array" ref="O172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723">
        <v>60</v>
      </c>
      <c r="Q1723" s="13" t="str" cm="1">
        <f t="array" ref="Q172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723">
        <v>74</v>
      </c>
      <c r="S1723" t="str" cm="1">
        <f t="array" ref="S172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723">
        <v>63</v>
      </c>
      <c r="U1723" t="str" cm="1">
        <f t="array" ref="U172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723">
        <v>89</v>
      </c>
      <c r="W1723" t="str" cm="1">
        <f t="array" ref="W172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723">
        <v>80</v>
      </c>
      <c r="Y1723" t="str" cm="1">
        <f t="array" ref="Y172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723">
        <f>SUM(Table1[[#This Row],[Math 
Score]],Table1[[#This Row],[History 
Score]],Table1[[#This Row],[Physics 
Score]],Table1[[#This Row],[Chemistry 
Score]],Table1[[#This Row],[Biology 
Score]],Table1[[#This Row],[English 
Score]],Table1[[#This Row],[Geography 
Score]])</f>
        <v>556</v>
      </c>
      <c r="AA1723" s="3">
        <f>AVERAGE(Table1[[#This Row],[Math 
Score]],Table1[[#This Row],[History 
Score]],Table1[[#This Row],[Physics 
Score]],Table1[[#This Row],[Chemistry 
Score]],Table1[[#This Row],[Biology 
Score]],Table1[[#This Row],[English 
Score]],Table1[[#This Row],[Geography 
Score]])</f>
        <v>79.428571428571431</v>
      </c>
      <c r="AB172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723">
        <f t="shared" si="26"/>
        <v>1224</v>
      </c>
      <c r="AD1723" t="str">
        <f>_xlfn.IFS(Table1[[#This Row],[Absence 
Days]]&lt;3,"Excellent",Table1[[#This Row],[Absence 
Days]]&lt;=6,"Good",Table1[[#This Row],[Absence 
Days]]&gt;6,"Poor")</f>
        <v>Poor</v>
      </c>
    </row>
    <row r="1724" spans="1:30" x14ac:dyDescent="0.35">
      <c r="A1724">
        <v>1723</v>
      </c>
      <c r="B1724" s="2" t="s">
        <v>436</v>
      </c>
      <c r="C1724" t="s">
        <v>1034</v>
      </c>
      <c r="D1724" t="str">
        <f>_xlfn.TEXTJOIN(" ",TRUE,Table1[[#This Row],[First 
Name]:[Last 
Name]])</f>
        <v>Colleen Vargas</v>
      </c>
      <c r="E1724" t="s">
        <v>2834</v>
      </c>
      <c r="F1724" t="s">
        <v>3245</v>
      </c>
      <c r="G1724" t="str">
        <f ca="1">PROPER(Table1[[#This Row],[Part Time 
Job]])</f>
        <v>False</v>
      </c>
      <c r="H1724" s="3">
        <v>9</v>
      </c>
      <c r="I1724" t="str">
        <f ca="1">PROPER(Table1[[#This Row],[Extracurricular 
Activities]])</f>
        <v>False</v>
      </c>
      <c r="J1724">
        <v>5</v>
      </c>
      <c r="K1724" t="s">
        <v>3119</v>
      </c>
      <c r="L1724">
        <v>53</v>
      </c>
      <c r="M1724" s="12" t="str" cm="1">
        <f t="array" ref="M1724">_xlfn.IFS(Table1[[#This Row],[Math 
Score]]&gt;=90,"A+",Table1[[#This Row],[Math 
Score]]&gt;=80,"A", Table1[[#This Row],[Math 
Score]]&gt;=75,"A-",Table1[[#This Row],[Math 
Score]]&gt;=70,"B+",Table1[[#This Row],[Math 
Score]]&gt;=65,"B",Table1[[#This Row],[Math 
Score]]&gt;=60,"B-",Table1[[#This Row],[Math 
Score]]&gt;=50,"C",Table1[[#This Row],[Math 
Score]]&gt;=40,"D",Table1[[#This Row],[Math 
Score]]&lt;40,"F")</f>
        <v>C</v>
      </c>
      <c r="N1724">
        <v>87</v>
      </c>
      <c r="O1724" s="13" t="str" cm="1">
        <f t="array" ref="O172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724">
        <v>60</v>
      </c>
      <c r="Q1724" s="13" t="str" cm="1">
        <f t="array" ref="Q172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724">
        <v>94</v>
      </c>
      <c r="S1724" t="str" cm="1">
        <f t="array" ref="S172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724">
        <v>93</v>
      </c>
      <c r="U1724" t="str" cm="1">
        <f t="array" ref="U172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724">
        <v>65</v>
      </c>
      <c r="W1724" t="str" cm="1">
        <f t="array" ref="W172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724">
        <v>88</v>
      </c>
      <c r="Y1724" t="str" cm="1">
        <f t="array" ref="Y172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724">
        <f>SUM(Table1[[#This Row],[Math 
Score]],Table1[[#This Row],[History 
Score]],Table1[[#This Row],[Physics 
Score]],Table1[[#This Row],[Chemistry 
Score]],Table1[[#This Row],[Biology 
Score]],Table1[[#This Row],[English 
Score]],Table1[[#This Row],[Geography 
Score]])</f>
        <v>540</v>
      </c>
      <c r="AA1724" s="3">
        <f>AVERAGE(Table1[[#This Row],[Math 
Score]],Table1[[#This Row],[History 
Score]],Table1[[#This Row],[Physics 
Score]],Table1[[#This Row],[Chemistry 
Score]],Table1[[#This Row],[Biology 
Score]],Table1[[#This Row],[English 
Score]],Table1[[#This Row],[Geography 
Score]])</f>
        <v>77.142857142857139</v>
      </c>
      <c r="AB172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724">
        <f t="shared" si="26"/>
        <v>1513</v>
      </c>
      <c r="AD1724" t="str">
        <f>_xlfn.IFS(Table1[[#This Row],[Absence 
Days]]&lt;3,"Excellent",Table1[[#This Row],[Absence 
Days]]&lt;=6,"Good",Table1[[#This Row],[Absence 
Days]]&gt;6,"Poor")</f>
        <v>Poor</v>
      </c>
    </row>
    <row r="1725" spans="1:30" x14ac:dyDescent="0.35">
      <c r="A1725">
        <v>1724</v>
      </c>
      <c r="B1725" s="2" t="s">
        <v>109</v>
      </c>
      <c r="C1725" t="s">
        <v>730</v>
      </c>
      <c r="D1725" t="str">
        <f>_xlfn.TEXTJOIN(" ",TRUE,Table1[[#This Row],[First 
Name]:[Last 
Name]])</f>
        <v>Mark Mathews</v>
      </c>
      <c r="E1725" t="s">
        <v>2835</v>
      </c>
      <c r="F1725" t="s">
        <v>3244</v>
      </c>
      <c r="G1725" t="str">
        <f ca="1">PROPER(Table1[[#This Row],[Part Time 
Job]])</f>
        <v>False</v>
      </c>
      <c r="H1725" s="3">
        <v>6</v>
      </c>
      <c r="I1725" t="str">
        <f ca="1">PROPER(Table1[[#This Row],[Extracurricular 
Activities]])</f>
        <v>False</v>
      </c>
      <c r="J1725">
        <v>21</v>
      </c>
      <c r="K1725" t="s">
        <v>3123</v>
      </c>
      <c r="L1725">
        <v>79</v>
      </c>
      <c r="M1725" s="12" t="str" cm="1">
        <f t="array" ref="M172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725">
        <v>74</v>
      </c>
      <c r="O1725" s="13" t="str" cm="1">
        <f t="array" ref="O172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725">
        <v>78</v>
      </c>
      <c r="Q1725" s="13" t="str" cm="1">
        <f t="array" ref="Q172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725">
        <v>97</v>
      </c>
      <c r="S1725" t="str" cm="1">
        <f t="array" ref="S172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725">
        <v>87</v>
      </c>
      <c r="U1725" t="str" cm="1">
        <f t="array" ref="U172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725">
        <v>85</v>
      </c>
      <c r="W1725" t="str" cm="1">
        <f t="array" ref="W172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725">
        <v>79</v>
      </c>
      <c r="Y1725" t="str" cm="1">
        <f t="array" ref="Y172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725">
        <f>SUM(Table1[[#This Row],[Math 
Score]],Table1[[#This Row],[History 
Score]],Table1[[#This Row],[Physics 
Score]],Table1[[#This Row],[Chemistry 
Score]],Table1[[#This Row],[Biology 
Score]],Table1[[#This Row],[English 
Score]],Table1[[#This Row],[Geography 
Score]])</f>
        <v>579</v>
      </c>
      <c r="AA1725" s="3">
        <f>AVERAGE(Table1[[#This Row],[Math 
Score]],Table1[[#This Row],[History 
Score]],Table1[[#This Row],[Physics 
Score]],Table1[[#This Row],[Chemistry 
Score]],Table1[[#This Row],[Biology 
Score]],Table1[[#This Row],[English 
Score]],Table1[[#This Row],[Geography 
Score]])</f>
        <v>82.714285714285708</v>
      </c>
      <c r="AB172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725">
        <f t="shared" si="26"/>
        <v>730</v>
      </c>
      <c r="AD1725" t="str">
        <f>_xlfn.IFS(Table1[[#This Row],[Absence 
Days]]&lt;3,"Excellent",Table1[[#This Row],[Absence 
Days]]&lt;=6,"Good",Table1[[#This Row],[Absence 
Days]]&gt;6,"Poor")</f>
        <v>Good</v>
      </c>
    </row>
    <row r="1726" spans="1:30" x14ac:dyDescent="0.35">
      <c r="A1726">
        <v>1725</v>
      </c>
      <c r="B1726" s="2" t="s">
        <v>215</v>
      </c>
      <c r="C1726" t="s">
        <v>589</v>
      </c>
      <c r="D1726" t="str">
        <f>_xlfn.TEXTJOIN(" ",TRUE,Table1[[#This Row],[First 
Name]:[Last 
Name]])</f>
        <v>Teresa Lopez</v>
      </c>
      <c r="E1726" t="s">
        <v>2836</v>
      </c>
      <c r="F1726" t="s">
        <v>3245</v>
      </c>
      <c r="G1726" t="str">
        <f ca="1">PROPER(Table1[[#This Row],[Part Time 
Job]])</f>
        <v>False</v>
      </c>
      <c r="H1726" s="3">
        <v>2</v>
      </c>
      <c r="I1726" t="str">
        <f ca="1">PROPER(Table1[[#This Row],[Extracurricular 
Activities]])</f>
        <v>False</v>
      </c>
      <c r="J1726">
        <v>26</v>
      </c>
      <c r="K1726" t="s">
        <v>3124</v>
      </c>
      <c r="L1726">
        <v>85</v>
      </c>
      <c r="M1726" s="12" t="str" cm="1">
        <f t="array" ref="M172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726">
        <v>89</v>
      </c>
      <c r="O1726" s="13" t="str" cm="1">
        <f t="array" ref="O172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726">
        <v>72</v>
      </c>
      <c r="Q1726" s="13" t="str" cm="1">
        <f t="array" ref="Q172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726">
        <v>80</v>
      </c>
      <c r="S1726" t="str" cm="1">
        <f t="array" ref="S172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726">
        <v>99</v>
      </c>
      <c r="U1726" t="str" cm="1">
        <f t="array" ref="U172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726">
        <v>94</v>
      </c>
      <c r="W1726" t="str" cm="1">
        <f t="array" ref="W172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726">
        <v>90</v>
      </c>
      <c r="Y1726" t="str" cm="1">
        <f t="array" ref="Y172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726">
        <f>SUM(Table1[[#This Row],[Math 
Score]],Table1[[#This Row],[History 
Score]],Table1[[#This Row],[Physics 
Score]],Table1[[#This Row],[Chemistry 
Score]],Table1[[#This Row],[Biology 
Score]],Table1[[#This Row],[English 
Score]],Table1[[#This Row],[Geography 
Score]])</f>
        <v>609</v>
      </c>
      <c r="AA1726" s="3">
        <f>AVERAGE(Table1[[#This Row],[Math 
Score]],Table1[[#This Row],[History 
Score]],Table1[[#This Row],[Physics 
Score]],Table1[[#This Row],[Chemistry 
Score]],Table1[[#This Row],[Biology 
Score]],Table1[[#This Row],[English 
Score]],Table1[[#This Row],[Geography 
Score]])</f>
        <v>87</v>
      </c>
      <c r="AB172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726">
        <f t="shared" si="26"/>
        <v>309</v>
      </c>
      <c r="AD1726" t="str">
        <f>_xlfn.IFS(Table1[[#This Row],[Absence 
Days]]&lt;3,"Excellent",Table1[[#This Row],[Absence 
Days]]&lt;=6,"Good",Table1[[#This Row],[Absence 
Days]]&gt;6,"Poor")</f>
        <v>Excellent</v>
      </c>
    </row>
    <row r="1727" spans="1:30" x14ac:dyDescent="0.35">
      <c r="A1727">
        <v>1726</v>
      </c>
      <c r="B1727" s="2" t="s">
        <v>13</v>
      </c>
      <c r="C1727" t="s">
        <v>194</v>
      </c>
      <c r="D1727" t="str">
        <f>_xlfn.TEXTJOIN(" ",TRUE,Table1[[#This Row],[First 
Name]:[Last 
Name]])</f>
        <v>Laura Allen</v>
      </c>
      <c r="E1727" t="s">
        <v>2837</v>
      </c>
      <c r="F1727" t="s">
        <v>3245</v>
      </c>
      <c r="G1727" t="str">
        <f ca="1">PROPER(Table1[[#This Row],[Part Time 
Job]])</f>
        <v>False</v>
      </c>
      <c r="H1727" s="3">
        <v>1</v>
      </c>
      <c r="I1727" t="str">
        <f ca="1">PROPER(Table1[[#This Row],[Extracurricular 
Activities]])</f>
        <v>False</v>
      </c>
      <c r="J1727">
        <v>3</v>
      </c>
      <c r="K1727" t="s">
        <v>3115</v>
      </c>
      <c r="L1727">
        <v>99</v>
      </c>
      <c r="M1727" s="12" t="str" cm="1">
        <f t="array" ref="M172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727">
        <v>85</v>
      </c>
      <c r="O1727" s="13" t="str" cm="1">
        <f t="array" ref="O172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727">
        <v>60</v>
      </c>
      <c r="Q1727" s="13" t="str" cm="1">
        <f t="array" ref="Q172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727">
        <v>81</v>
      </c>
      <c r="S1727" t="str" cm="1">
        <f t="array" ref="S172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727">
        <v>75</v>
      </c>
      <c r="U1727" t="str" cm="1">
        <f t="array" ref="U172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727">
        <v>78</v>
      </c>
      <c r="W1727" t="str" cm="1">
        <f t="array" ref="W172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727">
        <v>78</v>
      </c>
      <c r="Y1727" t="str" cm="1">
        <f t="array" ref="Y172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727">
        <f>SUM(Table1[[#This Row],[Math 
Score]],Table1[[#This Row],[History 
Score]],Table1[[#This Row],[Physics 
Score]],Table1[[#This Row],[Chemistry 
Score]],Table1[[#This Row],[Biology 
Score]],Table1[[#This Row],[English 
Score]],Table1[[#This Row],[Geography 
Score]])</f>
        <v>556</v>
      </c>
      <c r="AA1727" s="3">
        <f>AVERAGE(Table1[[#This Row],[Math 
Score]],Table1[[#This Row],[History 
Score]],Table1[[#This Row],[Physics 
Score]],Table1[[#This Row],[Chemistry 
Score]],Table1[[#This Row],[Biology 
Score]],Table1[[#This Row],[English 
Score]],Table1[[#This Row],[Geography 
Score]])</f>
        <v>79.428571428571431</v>
      </c>
      <c r="AB172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727">
        <f t="shared" si="26"/>
        <v>1224</v>
      </c>
      <c r="AD1727" t="str">
        <f>_xlfn.IFS(Table1[[#This Row],[Absence 
Days]]&lt;3,"Excellent",Table1[[#This Row],[Absence 
Days]]&lt;=6,"Good",Table1[[#This Row],[Absence 
Days]]&gt;6,"Poor")</f>
        <v>Excellent</v>
      </c>
    </row>
    <row r="1728" spans="1:30" x14ac:dyDescent="0.35">
      <c r="A1728">
        <v>1727</v>
      </c>
      <c r="B1728" s="2" t="s">
        <v>32</v>
      </c>
      <c r="C1728" t="s">
        <v>689</v>
      </c>
      <c r="D1728" t="str">
        <f>_xlfn.TEXTJOIN(" ",TRUE,Table1[[#This Row],[First 
Name]:[Last 
Name]])</f>
        <v>Lisa Sosa</v>
      </c>
      <c r="E1728" t="s">
        <v>2838</v>
      </c>
      <c r="F1728" t="s">
        <v>3245</v>
      </c>
      <c r="G1728" t="str">
        <f ca="1">PROPER(Table1[[#This Row],[Part Time 
Job]])</f>
        <v>False</v>
      </c>
      <c r="H1728" s="3">
        <v>1</v>
      </c>
      <c r="I1728" t="str">
        <f ca="1">PROPER(Table1[[#This Row],[Extracurricular 
Activities]])</f>
        <v>True</v>
      </c>
      <c r="J1728">
        <v>11</v>
      </c>
      <c r="K1728" t="s">
        <v>3121</v>
      </c>
      <c r="L1728">
        <v>99</v>
      </c>
      <c r="M1728" s="12" t="str" cm="1">
        <f t="array" ref="M172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728">
        <v>91</v>
      </c>
      <c r="O1728" s="13" t="str" cm="1">
        <f t="array" ref="O172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728">
        <v>73</v>
      </c>
      <c r="Q1728" s="13" t="str" cm="1">
        <f t="array" ref="Q172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728">
        <v>77</v>
      </c>
      <c r="S1728" t="str" cm="1">
        <f t="array" ref="S172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728">
        <v>81</v>
      </c>
      <c r="U1728" t="str" cm="1">
        <f t="array" ref="U172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728">
        <v>75</v>
      </c>
      <c r="W1728" t="str" cm="1">
        <f t="array" ref="W172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728">
        <v>90</v>
      </c>
      <c r="Y1728" t="str" cm="1">
        <f t="array" ref="Y172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728">
        <f>SUM(Table1[[#This Row],[Math 
Score]],Table1[[#This Row],[History 
Score]],Table1[[#This Row],[Physics 
Score]],Table1[[#This Row],[Chemistry 
Score]],Table1[[#This Row],[Biology 
Score]],Table1[[#This Row],[English 
Score]],Table1[[#This Row],[Geography 
Score]])</f>
        <v>586</v>
      </c>
      <c r="AA1728" s="3">
        <f>AVERAGE(Table1[[#This Row],[Math 
Score]],Table1[[#This Row],[History 
Score]],Table1[[#This Row],[Physics 
Score]],Table1[[#This Row],[Chemistry 
Score]],Table1[[#This Row],[Biology 
Score]],Table1[[#This Row],[English 
Score]],Table1[[#This Row],[Geography 
Score]])</f>
        <v>83.714285714285708</v>
      </c>
      <c r="AB172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728">
        <f t="shared" si="26"/>
        <v>601</v>
      </c>
      <c r="AD1728" t="str">
        <f>_xlfn.IFS(Table1[[#This Row],[Absence 
Days]]&lt;3,"Excellent",Table1[[#This Row],[Absence 
Days]]&lt;=6,"Good",Table1[[#This Row],[Absence 
Days]]&gt;6,"Poor")</f>
        <v>Excellent</v>
      </c>
    </row>
    <row r="1729" spans="1:30" x14ac:dyDescent="0.35">
      <c r="A1729">
        <v>1728</v>
      </c>
      <c r="B1729" s="2" t="s">
        <v>401</v>
      </c>
      <c r="C1729" t="s">
        <v>653</v>
      </c>
      <c r="D1729" t="str">
        <f>_xlfn.TEXTJOIN(" ",TRUE,Table1[[#This Row],[First 
Name]:[Last 
Name]])</f>
        <v>Drew Nelson</v>
      </c>
      <c r="E1729" t="s">
        <v>2839</v>
      </c>
      <c r="F1729" t="s">
        <v>3244</v>
      </c>
      <c r="G1729" t="str">
        <f ca="1">PROPER(Table1[[#This Row],[Part Time 
Job]])</f>
        <v>False</v>
      </c>
      <c r="H1729" s="3">
        <v>6</v>
      </c>
      <c r="I1729" t="str">
        <f ca="1">PROPER(Table1[[#This Row],[Extracurricular 
Activities]])</f>
        <v>False</v>
      </c>
      <c r="J1729">
        <v>5</v>
      </c>
      <c r="K1729" t="s">
        <v>3119</v>
      </c>
      <c r="L1729">
        <v>65</v>
      </c>
      <c r="M1729" s="12" t="str" cm="1">
        <f t="array" ref="M1729">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729">
        <v>68</v>
      </c>
      <c r="O1729" s="13" t="str" cm="1">
        <f t="array" ref="O172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729">
        <v>74</v>
      </c>
      <c r="Q1729" s="13" t="str" cm="1">
        <f t="array" ref="Q172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729">
        <v>50</v>
      </c>
      <c r="S1729" t="str" cm="1">
        <f t="array" ref="S172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C</v>
      </c>
      <c r="T1729">
        <v>98</v>
      </c>
      <c r="U1729" t="str" cm="1">
        <f t="array" ref="U172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729">
        <v>60</v>
      </c>
      <c r="W1729" t="str" cm="1">
        <f t="array" ref="W172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729">
        <v>83</v>
      </c>
      <c r="Y1729" t="str" cm="1">
        <f t="array" ref="Y172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729">
        <f>SUM(Table1[[#This Row],[Math 
Score]],Table1[[#This Row],[History 
Score]],Table1[[#This Row],[Physics 
Score]],Table1[[#This Row],[Chemistry 
Score]],Table1[[#This Row],[Biology 
Score]],Table1[[#This Row],[English 
Score]],Table1[[#This Row],[Geography 
Score]])</f>
        <v>498</v>
      </c>
      <c r="AA1729" s="3">
        <f>AVERAGE(Table1[[#This Row],[Math 
Score]],Table1[[#This Row],[History 
Score]],Table1[[#This Row],[Physics 
Score]],Table1[[#This Row],[Chemistry 
Score]],Table1[[#This Row],[Biology 
Score]],Table1[[#This Row],[English 
Score]],Table1[[#This Row],[Geography 
Score]])</f>
        <v>71.142857142857139</v>
      </c>
      <c r="AB172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729">
        <f t="shared" si="26"/>
        <v>1884</v>
      </c>
      <c r="AD1729" t="str">
        <f>_xlfn.IFS(Table1[[#This Row],[Absence 
Days]]&lt;3,"Excellent",Table1[[#This Row],[Absence 
Days]]&lt;=6,"Good",Table1[[#This Row],[Absence 
Days]]&gt;6,"Poor")</f>
        <v>Good</v>
      </c>
    </row>
    <row r="1730" spans="1:30" x14ac:dyDescent="0.35">
      <c r="A1730">
        <v>1729</v>
      </c>
      <c r="B1730" s="2" t="s">
        <v>44</v>
      </c>
      <c r="C1730" t="s">
        <v>847</v>
      </c>
      <c r="D1730" t="str">
        <f>_xlfn.TEXTJOIN(" ",TRUE,Table1[[#This Row],[First 
Name]:[Last 
Name]])</f>
        <v>Kimberly Brooks</v>
      </c>
      <c r="E1730" t="s">
        <v>2840</v>
      </c>
      <c r="F1730" t="s">
        <v>3245</v>
      </c>
      <c r="G1730" t="str">
        <f ca="1">PROPER(Table1[[#This Row],[Part Time 
Job]])</f>
        <v>False</v>
      </c>
      <c r="H1730" s="3">
        <v>8</v>
      </c>
      <c r="I1730" t="str">
        <f ca="1">PROPER(Table1[[#This Row],[Extracurricular 
Activities]])</f>
        <v>True</v>
      </c>
      <c r="J1730">
        <v>19</v>
      </c>
      <c r="K1730" t="s">
        <v>3117</v>
      </c>
      <c r="L1730">
        <v>94</v>
      </c>
      <c r="M1730" s="12" t="str" cm="1">
        <f t="array" ref="M173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730">
        <v>83</v>
      </c>
      <c r="O1730" s="13" t="str" cm="1">
        <f t="array" ref="O173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730">
        <v>72</v>
      </c>
      <c r="Q1730" s="13" t="str" cm="1">
        <f t="array" ref="Q173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730">
        <v>63</v>
      </c>
      <c r="S1730" t="str" cm="1">
        <f t="array" ref="S173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730">
        <v>65</v>
      </c>
      <c r="U1730" t="str" cm="1">
        <f t="array" ref="U173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730">
        <v>63</v>
      </c>
      <c r="W1730" t="str" cm="1">
        <f t="array" ref="W173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730">
        <v>74</v>
      </c>
      <c r="Y1730" t="str" cm="1">
        <f t="array" ref="Y173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730">
        <f>SUM(Table1[[#This Row],[Math 
Score]],Table1[[#This Row],[History 
Score]],Table1[[#This Row],[Physics 
Score]],Table1[[#This Row],[Chemistry 
Score]],Table1[[#This Row],[Biology 
Score]],Table1[[#This Row],[English 
Score]],Table1[[#This Row],[Geography 
Score]])</f>
        <v>514</v>
      </c>
      <c r="AA1730" s="3">
        <f>AVERAGE(Table1[[#This Row],[Math 
Score]],Table1[[#This Row],[History 
Score]],Table1[[#This Row],[Physics 
Score]],Table1[[#This Row],[Chemistry 
Score]],Table1[[#This Row],[Biology 
Score]],Table1[[#This Row],[English 
Score]],Table1[[#This Row],[Geography 
Score]])</f>
        <v>73.428571428571431</v>
      </c>
      <c r="AB173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730">
        <f t="shared" ref="AC1730:AC1793" si="27">RANK(AA1730,$AA$2:$AA$2001,0)</f>
        <v>1805</v>
      </c>
      <c r="AD1730" t="str">
        <f>_xlfn.IFS(Table1[[#This Row],[Absence 
Days]]&lt;3,"Excellent",Table1[[#This Row],[Absence 
Days]]&lt;=6,"Good",Table1[[#This Row],[Absence 
Days]]&gt;6,"Poor")</f>
        <v>Poor</v>
      </c>
    </row>
    <row r="1731" spans="1:30" x14ac:dyDescent="0.35">
      <c r="A1731">
        <v>1730</v>
      </c>
      <c r="B1731" s="2" t="s">
        <v>190</v>
      </c>
      <c r="C1731" t="s">
        <v>589</v>
      </c>
      <c r="D1731" t="str">
        <f>_xlfn.TEXTJOIN(" ",TRUE,Table1[[#This Row],[First 
Name]:[Last 
Name]])</f>
        <v>Carla Lopez</v>
      </c>
      <c r="E1731" t="s">
        <v>2841</v>
      </c>
      <c r="F1731" t="s">
        <v>3245</v>
      </c>
      <c r="G1731" t="str">
        <f ca="1">PROPER(Table1[[#This Row],[Part Time 
Job]])</f>
        <v>True</v>
      </c>
      <c r="H1731" s="3">
        <v>7</v>
      </c>
      <c r="I1731" t="str">
        <f ca="1">PROPER(Table1[[#This Row],[Extracurricular 
Activities]])</f>
        <v>False</v>
      </c>
      <c r="J1731">
        <v>3</v>
      </c>
      <c r="K1731" t="s">
        <v>3119</v>
      </c>
      <c r="L1731">
        <v>73</v>
      </c>
      <c r="M1731" s="12" t="str" cm="1">
        <f t="array" ref="M1731">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731">
        <v>52</v>
      </c>
      <c r="O1731" s="13" t="str" cm="1">
        <f t="array" ref="O173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C</v>
      </c>
      <c r="P1731">
        <v>89</v>
      </c>
      <c r="Q1731" s="13" t="str" cm="1">
        <f t="array" ref="Q173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731">
        <v>85</v>
      </c>
      <c r="S1731" t="str" cm="1">
        <f t="array" ref="S173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731">
        <v>74</v>
      </c>
      <c r="U1731" t="str" cm="1">
        <f t="array" ref="U173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731">
        <v>66</v>
      </c>
      <c r="W1731" t="str" cm="1">
        <f t="array" ref="W173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731">
        <v>79</v>
      </c>
      <c r="Y1731" t="str" cm="1">
        <f t="array" ref="Y173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731">
        <f>SUM(Table1[[#This Row],[Math 
Score]],Table1[[#This Row],[History 
Score]],Table1[[#This Row],[Physics 
Score]],Table1[[#This Row],[Chemistry 
Score]],Table1[[#This Row],[Biology 
Score]],Table1[[#This Row],[English 
Score]],Table1[[#This Row],[Geography 
Score]])</f>
        <v>518</v>
      </c>
      <c r="AA1731" s="3">
        <f>AVERAGE(Table1[[#This Row],[Math 
Score]],Table1[[#This Row],[History 
Score]],Table1[[#This Row],[Physics 
Score]],Table1[[#This Row],[Chemistry 
Score]],Table1[[#This Row],[Biology 
Score]],Table1[[#This Row],[English 
Score]],Table1[[#This Row],[Geography 
Score]])</f>
        <v>74</v>
      </c>
      <c r="AB173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731">
        <f t="shared" si="27"/>
        <v>1775</v>
      </c>
      <c r="AD1731" t="str">
        <f>_xlfn.IFS(Table1[[#This Row],[Absence 
Days]]&lt;3,"Excellent",Table1[[#This Row],[Absence 
Days]]&lt;=6,"Good",Table1[[#This Row],[Absence 
Days]]&gt;6,"Poor")</f>
        <v>Poor</v>
      </c>
    </row>
    <row r="1732" spans="1:30" x14ac:dyDescent="0.35">
      <c r="A1732">
        <v>1731</v>
      </c>
      <c r="B1732" s="2" t="s">
        <v>152</v>
      </c>
      <c r="C1732" t="s">
        <v>458</v>
      </c>
      <c r="D1732" t="str">
        <f>_xlfn.TEXTJOIN(" ",TRUE,Table1[[#This Row],[First 
Name]:[Last 
Name]])</f>
        <v>Keith Smith</v>
      </c>
      <c r="E1732" t="s">
        <v>2842</v>
      </c>
      <c r="F1732" t="s">
        <v>3244</v>
      </c>
      <c r="G1732" t="str">
        <f ca="1">PROPER(Table1[[#This Row],[Part Time 
Job]])</f>
        <v>True</v>
      </c>
      <c r="H1732" s="3">
        <v>5</v>
      </c>
      <c r="I1732" t="str">
        <f ca="1">PROPER(Table1[[#This Row],[Extracurricular 
Activities]])</f>
        <v>False</v>
      </c>
      <c r="J1732">
        <v>15</v>
      </c>
      <c r="K1732" t="s">
        <v>3117</v>
      </c>
      <c r="L1732">
        <v>85</v>
      </c>
      <c r="M1732" s="12" t="str" cm="1">
        <f t="array" ref="M173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732">
        <v>76</v>
      </c>
      <c r="O1732" s="13" t="str" cm="1">
        <f t="array" ref="O173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732">
        <v>61</v>
      </c>
      <c r="Q1732" s="13" t="str" cm="1">
        <f t="array" ref="Q173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732">
        <v>93</v>
      </c>
      <c r="S1732" t="str" cm="1">
        <f t="array" ref="S173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732">
        <v>98</v>
      </c>
      <c r="U1732" t="str" cm="1">
        <f t="array" ref="U173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732">
        <v>87</v>
      </c>
      <c r="W1732" t="str" cm="1">
        <f t="array" ref="W173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732">
        <v>67</v>
      </c>
      <c r="Y1732" t="str" cm="1">
        <f t="array" ref="Y173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732">
        <f>SUM(Table1[[#This Row],[Math 
Score]],Table1[[#This Row],[History 
Score]],Table1[[#This Row],[Physics 
Score]],Table1[[#This Row],[Chemistry 
Score]],Table1[[#This Row],[Biology 
Score]],Table1[[#This Row],[English 
Score]],Table1[[#This Row],[Geography 
Score]])</f>
        <v>567</v>
      </c>
      <c r="AA1732" s="3">
        <f>AVERAGE(Table1[[#This Row],[Math 
Score]],Table1[[#This Row],[History 
Score]],Table1[[#This Row],[Physics 
Score]],Table1[[#This Row],[Chemistry 
Score]],Table1[[#This Row],[Biology 
Score]],Table1[[#This Row],[English 
Score]],Table1[[#This Row],[Geography 
Score]])</f>
        <v>81</v>
      </c>
      <c r="AB173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732">
        <f t="shared" si="27"/>
        <v>994</v>
      </c>
      <c r="AD1732" t="str">
        <f>_xlfn.IFS(Table1[[#This Row],[Absence 
Days]]&lt;3,"Excellent",Table1[[#This Row],[Absence 
Days]]&lt;=6,"Good",Table1[[#This Row],[Absence 
Days]]&gt;6,"Poor")</f>
        <v>Good</v>
      </c>
    </row>
    <row r="1733" spans="1:30" x14ac:dyDescent="0.35">
      <c r="A1733">
        <v>1732</v>
      </c>
      <c r="B1733" s="2" t="s">
        <v>58</v>
      </c>
      <c r="C1733" t="s">
        <v>964</v>
      </c>
      <c r="D1733" t="str">
        <f>_xlfn.TEXTJOIN(" ",TRUE,Table1[[#This Row],[First 
Name]:[Last 
Name]])</f>
        <v>Eric Erickson</v>
      </c>
      <c r="E1733" t="s">
        <v>2843</v>
      </c>
      <c r="F1733" t="s">
        <v>3244</v>
      </c>
      <c r="G1733" t="str">
        <f ca="1">PROPER(Table1[[#This Row],[Part Time 
Job]])</f>
        <v>False</v>
      </c>
      <c r="H1733" s="3">
        <v>4</v>
      </c>
      <c r="I1733" t="str">
        <f ca="1">PROPER(Table1[[#This Row],[Extracurricular 
Activities]])</f>
        <v>False</v>
      </c>
      <c r="J1733">
        <v>32</v>
      </c>
      <c r="K1733" t="s">
        <v>3112</v>
      </c>
      <c r="L1733">
        <v>87</v>
      </c>
      <c r="M1733" s="12" t="str" cm="1">
        <f t="array" ref="M173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733">
        <v>82</v>
      </c>
      <c r="O1733" s="13" t="str" cm="1">
        <f t="array" ref="O173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733">
        <v>74</v>
      </c>
      <c r="Q1733" s="13" t="str" cm="1">
        <f t="array" ref="Q173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733">
        <v>77</v>
      </c>
      <c r="S1733" t="str" cm="1">
        <f t="array" ref="S173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733">
        <v>100</v>
      </c>
      <c r="U1733" t="str" cm="1">
        <f t="array" ref="U173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733">
        <v>93</v>
      </c>
      <c r="W1733" t="str" cm="1">
        <f t="array" ref="W173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733">
        <v>65</v>
      </c>
      <c r="Y1733" t="str" cm="1">
        <f t="array" ref="Y173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733">
        <f>SUM(Table1[[#This Row],[Math 
Score]],Table1[[#This Row],[History 
Score]],Table1[[#This Row],[Physics 
Score]],Table1[[#This Row],[Chemistry 
Score]],Table1[[#This Row],[Biology 
Score]],Table1[[#This Row],[English 
Score]],Table1[[#This Row],[Geography 
Score]])</f>
        <v>578</v>
      </c>
      <c r="AA1733" s="3">
        <f>AVERAGE(Table1[[#This Row],[Math 
Score]],Table1[[#This Row],[History 
Score]],Table1[[#This Row],[Physics 
Score]],Table1[[#This Row],[Chemistry 
Score]],Table1[[#This Row],[Biology 
Score]],Table1[[#This Row],[English 
Score]],Table1[[#This Row],[Geography 
Score]])</f>
        <v>82.571428571428569</v>
      </c>
      <c r="AB173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733">
        <f t="shared" si="27"/>
        <v>752</v>
      </c>
      <c r="AD1733" t="str">
        <f>_xlfn.IFS(Table1[[#This Row],[Absence 
Days]]&lt;3,"Excellent",Table1[[#This Row],[Absence 
Days]]&lt;=6,"Good",Table1[[#This Row],[Absence 
Days]]&gt;6,"Poor")</f>
        <v>Good</v>
      </c>
    </row>
    <row r="1734" spans="1:30" x14ac:dyDescent="0.35">
      <c r="A1734">
        <v>1733</v>
      </c>
      <c r="B1734" s="2" t="s">
        <v>437</v>
      </c>
      <c r="C1734" t="s">
        <v>708</v>
      </c>
      <c r="D1734" t="str">
        <f>_xlfn.TEXTJOIN(" ",TRUE,Table1[[#This Row],[First 
Name]:[Last 
Name]])</f>
        <v>Juan Baker</v>
      </c>
      <c r="E1734" t="s">
        <v>2844</v>
      </c>
      <c r="F1734" t="s">
        <v>3244</v>
      </c>
      <c r="G1734" t="str">
        <f ca="1">PROPER(Table1[[#This Row],[Part Time 
Job]])</f>
        <v>True</v>
      </c>
      <c r="H1734" s="3">
        <v>5</v>
      </c>
      <c r="I1734" t="str">
        <f ca="1">PROPER(Table1[[#This Row],[Extracurricular 
Activities]])</f>
        <v>False</v>
      </c>
      <c r="J1734">
        <v>4</v>
      </c>
      <c r="K1734" t="s">
        <v>3119</v>
      </c>
      <c r="L1734">
        <v>77</v>
      </c>
      <c r="M1734" s="12" t="str" cm="1">
        <f t="array" ref="M173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734">
        <v>58</v>
      </c>
      <c r="O1734" s="13" t="str" cm="1">
        <f t="array" ref="O173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C</v>
      </c>
      <c r="P1734">
        <v>90</v>
      </c>
      <c r="Q1734" s="13" t="str" cm="1">
        <f t="array" ref="Q173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734">
        <v>72</v>
      </c>
      <c r="S1734" t="str" cm="1">
        <f t="array" ref="S173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734">
        <v>75</v>
      </c>
      <c r="U1734" t="str" cm="1">
        <f t="array" ref="U173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734">
        <v>88</v>
      </c>
      <c r="W1734" t="str" cm="1">
        <f t="array" ref="W173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734">
        <v>90</v>
      </c>
      <c r="Y1734" t="str" cm="1">
        <f t="array" ref="Y173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734">
        <f>SUM(Table1[[#This Row],[Math 
Score]],Table1[[#This Row],[History 
Score]],Table1[[#This Row],[Physics 
Score]],Table1[[#This Row],[Chemistry 
Score]],Table1[[#This Row],[Biology 
Score]],Table1[[#This Row],[English 
Score]],Table1[[#This Row],[Geography 
Score]])</f>
        <v>550</v>
      </c>
      <c r="AA1734" s="3">
        <f>AVERAGE(Table1[[#This Row],[Math 
Score]],Table1[[#This Row],[History 
Score]],Table1[[#This Row],[Physics 
Score]],Table1[[#This Row],[Chemistry 
Score]],Table1[[#This Row],[Biology 
Score]],Table1[[#This Row],[English 
Score]],Table1[[#This Row],[Geography 
Score]])</f>
        <v>78.571428571428569</v>
      </c>
      <c r="AB173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734">
        <f t="shared" si="27"/>
        <v>1338</v>
      </c>
      <c r="AD1734" t="str">
        <f>_xlfn.IFS(Table1[[#This Row],[Absence 
Days]]&lt;3,"Excellent",Table1[[#This Row],[Absence 
Days]]&lt;=6,"Good",Table1[[#This Row],[Absence 
Days]]&gt;6,"Poor")</f>
        <v>Good</v>
      </c>
    </row>
    <row r="1735" spans="1:30" x14ac:dyDescent="0.35">
      <c r="A1735">
        <v>1734</v>
      </c>
      <c r="B1735" s="2" t="s">
        <v>20</v>
      </c>
      <c r="C1735" t="s">
        <v>1073</v>
      </c>
      <c r="D1735" t="str">
        <f>_xlfn.TEXTJOIN(" ",TRUE,Table1[[#This Row],[First 
Name]:[Last 
Name]])</f>
        <v>Kyle Harrison</v>
      </c>
      <c r="E1735" t="s">
        <v>2845</v>
      </c>
      <c r="F1735" t="s">
        <v>3244</v>
      </c>
      <c r="G1735" t="str">
        <f ca="1">PROPER(Table1[[#This Row],[Part Time 
Job]])</f>
        <v>False</v>
      </c>
      <c r="H1735" s="3">
        <v>1</v>
      </c>
      <c r="I1735" t="str">
        <f ca="1">PROPER(Table1[[#This Row],[Extracurricular 
Activities]])</f>
        <v>False</v>
      </c>
      <c r="J1735">
        <v>31</v>
      </c>
      <c r="K1735" t="s">
        <v>3120</v>
      </c>
      <c r="L1735">
        <v>85</v>
      </c>
      <c r="M1735" s="12" t="str" cm="1">
        <f t="array" ref="M173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735">
        <v>60</v>
      </c>
      <c r="O1735" s="13" t="str" cm="1">
        <f t="array" ref="O173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735">
        <v>92</v>
      </c>
      <c r="Q1735" s="13" t="str" cm="1">
        <f t="array" ref="Q173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735">
        <v>92</v>
      </c>
      <c r="S1735" t="str" cm="1">
        <f t="array" ref="S173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735">
        <v>85</v>
      </c>
      <c r="U1735" t="str" cm="1">
        <f t="array" ref="U173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735">
        <v>62</v>
      </c>
      <c r="W1735" t="str" cm="1">
        <f t="array" ref="W173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735">
        <v>84</v>
      </c>
      <c r="Y1735" t="str" cm="1">
        <f t="array" ref="Y173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735">
        <f>SUM(Table1[[#This Row],[Math 
Score]],Table1[[#This Row],[History 
Score]],Table1[[#This Row],[Physics 
Score]],Table1[[#This Row],[Chemistry 
Score]],Table1[[#This Row],[Biology 
Score]],Table1[[#This Row],[English 
Score]],Table1[[#This Row],[Geography 
Score]])</f>
        <v>560</v>
      </c>
      <c r="AA1735" s="3">
        <f>AVERAGE(Table1[[#This Row],[Math 
Score]],Table1[[#This Row],[History 
Score]],Table1[[#This Row],[Physics 
Score]],Table1[[#This Row],[Chemistry 
Score]],Table1[[#This Row],[Biology 
Score]],Table1[[#This Row],[English 
Score]],Table1[[#This Row],[Geography 
Score]])</f>
        <v>80</v>
      </c>
      <c r="AB173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735">
        <f t="shared" si="27"/>
        <v>1134</v>
      </c>
      <c r="AD1735" t="str">
        <f>_xlfn.IFS(Table1[[#This Row],[Absence 
Days]]&lt;3,"Excellent",Table1[[#This Row],[Absence 
Days]]&lt;=6,"Good",Table1[[#This Row],[Absence 
Days]]&gt;6,"Poor")</f>
        <v>Excellent</v>
      </c>
    </row>
    <row r="1736" spans="1:30" x14ac:dyDescent="0.35">
      <c r="A1736">
        <v>1735</v>
      </c>
      <c r="B1736" s="2" t="s">
        <v>438</v>
      </c>
      <c r="C1736" t="s">
        <v>1074</v>
      </c>
      <c r="D1736" t="str">
        <f>_xlfn.TEXTJOIN(" ",TRUE,Table1[[#This Row],[First 
Name]:[Last 
Name]])</f>
        <v>Duane Meyers</v>
      </c>
      <c r="E1736" t="s">
        <v>2846</v>
      </c>
      <c r="F1736" t="s">
        <v>3244</v>
      </c>
      <c r="G1736" t="str">
        <f ca="1">PROPER(Table1[[#This Row],[Part Time 
Job]])</f>
        <v>False</v>
      </c>
      <c r="H1736" s="3">
        <v>2</v>
      </c>
      <c r="I1736" t="str">
        <f ca="1">PROPER(Table1[[#This Row],[Extracurricular 
Activities]])</f>
        <v>False</v>
      </c>
      <c r="J1736">
        <v>19</v>
      </c>
      <c r="K1736" t="s">
        <v>3117</v>
      </c>
      <c r="L1736">
        <v>91</v>
      </c>
      <c r="M1736" s="12" t="str" cm="1">
        <f t="array" ref="M173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736">
        <v>69</v>
      </c>
      <c r="O1736" s="13" t="str" cm="1">
        <f t="array" ref="O173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736">
        <v>90</v>
      </c>
      <c r="Q1736" s="13" t="str" cm="1">
        <f t="array" ref="Q173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736">
        <v>76</v>
      </c>
      <c r="S1736" t="str" cm="1">
        <f t="array" ref="S173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736">
        <v>79</v>
      </c>
      <c r="U1736" t="str" cm="1">
        <f t="array" ref="U173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736">
        <v>80</v>
      </c>
      <c r="W1736" t="str" cm="1">
        <f t="array" ref="W173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736">
        <v>82</v>
      </c>
      <c r="Y1736" t="str" cm="1">
        <f t="array" ref="Y173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736">
        <f>SUM(Table1[[#This Row],[Math 
Score]],Table1[[#This Row],[History 
Score]],Table1[[#This Row],[Physics 
Score]],Table1[[#This Row],[Chemistry 
Score]],Table1[[#This Row],[Biology 
Score]],Table1[[#This Row],[English 
Score]],Table1[[#This Row],[Geography 
Score]])</f>
        <v>567</v>
      </c>
      <c r="AA1736" s="3">
        <f>AVERAGE(Table1[[#This Row],[Math 
Score]],Table1[[#This Row],[History 
Score]],Table1[[#This Row],[Physics 
Score]],Table1[[#This Row],[Chemistry 
Score]],Table1[[#This Row],[Biology 
Score]],Table1[[#This Row],[English 
Score]],Table1[[#This Row],[Geography 
Score]])</f>
        <v>81</v>
      </c>
      <c r="AB173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736">
        <f t="shared" si="27"/>
        <v>994</v>
      </c>
      <c r="AD1736" t="str">
        <f>_xlfn.IFS(Table1[[#This Row],[Absence 
Days]]&lt;3,"Excellent",Table1[[#This Row],[Absence 
Days]]&lt;=6,"Good",Table1[[#This Row],[Absence 
Days]]&gt;6,"Poor")</f>
        <v>Excellent</v>
      </c>
    </row>
    <row r="1737" spans="1:30" x14ac:dyDescent="0.35">
      <c r="A1737">
        <v>1736</v>
      </c>
      <c r="B1737" s="2" t="s">
        <v>439</v>
      </c>
      <c r="C1737" t="s">
        <v>501</v>
      </c>
      <c r="D1737" t="str">
        <f>_xlfn.TEXTJOIN(" ",TRUE,Table1[[#This Row],[First 
Name]:[Last 
Name]])</f>
        <v>Marissa May</v>
      </c>
      <c r="E1737" t="s">
        <v>2847</v>
      </c>
      <c r="F1737" t="s">
        <v>3245</v>
      </c>
      <c r="G1737" t="str">
        <f ca="1">PROPER(Table1[[#This Row],[Part Time 
Job]])</f>
        <v>False</v>
      </c>
      <c r="H1737" s="3">
        <v>1</v>
      </c>
      <c r="I1737" t="str">
        <f ca="1">PROPER(Table1[[#This Row],[Extracurricular 
Activities]])</f>
        <v>False</v>
      </c>
      <c r="J1737">
        <v>16</v>
      </c>
      <c r="K1737" t="s">
        <v>3117</v>
      </c>
      <c r="L1737">
        <v>86</v>
      </c>
      <c r="M1737" s="12" t="str" cm="1">
        <f t="array" ref="M173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737">
        <v>96</v>
      </c>
      <c r="O1737" s="13" t="str" cm="1">
        <f t="array" ref="O173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737">
        <v>83</v>
      </c>
      <c r="Q1737" s="13" t="str" cm="1">
        <f t="array" ref="Q173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737">
        <v>78</v>
      </c>
      <c r="S1737" t="str" cm="1">
        <f t="array" ref="S173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737">
        <v>71</v>
      </c>
      <c r="U1737" t="str" cm="1">
        <f t="array" ref="U173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737">
        <v>78</v>
      </c>
      <c r="W1737" t="str" cm="1">
        <f t="array" ref="W173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737">
        <v>75</v>
      </c>
      <c r="Y1737" t="str" cm="1">
        <f t="array" ref="Y173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737">
        <f>SUM(Table1[[#This Row],[Math 
Score]],Table1[[#This Row],[History 
Score]],Table1[[#This Row],[Physics 
Score]],Table1[[#This Row],[Chemistry 
Score]],Table1[[#This Row],[Biology 
Score]],Table1[[#This Row],[English 
Score]],Table1[[#This Row],[Geography 
Score]])</f>
        <v>567</v>
      </c>
      <c r="AA1737" s="3">
        <f>AVERAGE(Table1[[#This Row],[Math 
Score]],Table1[[#This Row],[History 
Score]],Table1[[#This Row],[Physics 
Score]],Table1[[#This Row],[Chemistry 
Score]],Table1[[#This Row],[Biology 
Score]],Table1[[#This Row],[English 
Score]],Table1[[#This Row],[Geography 
Score]])</f>
        <v>81</v>
      </c>
      <c r="AB173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737">
        <f t="shared" si="27"/>
        <v>994</v>
      </c>
      <c r="AD1737" t="str">
        <f>_xlfn.IFS(Table1[[#This Row],[Absence 
Days]]&lt;3,"Excellent",Table1[[#This Row],[Absence 
Days]]&lt;=6,"Good",Table1[[#This Row],[Absence 
Days]]&gt;6,"Poor")</f>
        <v>Excellent</v>
      </c>
    </row>
    <row r="1738" spans="1:30" x14ac:dyDescent="0.35">
      <c r="A1738">
        <v>1737</v>
      </c>
      <c r="B1738" s="2" t="s">
        <v>420</v>
      </c>
      <c r="C1738" t="s">
        <v>589</v>
      </c>
      <c r="D1738" t="str">
        <f>_xlfn.TEXTJOIN(" ",TRUE,Table1[[#This Row],[First 
Name]:[Last 
Name]])</f>
        <v>Shane Lopez</v>
      </c>
      <c r="E1738" t="s">
        <v>2848</v>
      </c>
      <c r="F1738" t="s">
        <v>3244</v>
      </c>
      <c r="G1738" t="str">
        <f ca="1">PROPER(Table1[[#This Row],[Part Time 
Job]])</f>
        <v>False</v>
      </c>
      <c r="H1738" s="3">
        <v>1</v>
      </c>
      <c r="I1738" t="str">
        <f ca="1">PROPER(Table1[[#This Row],[Extracurricular 
Activities]])</f>
        <v>False</v>
      </c>
      <c r="J1738">
        <v>29</v>
      </c>
      <c r="K1738" t="s">
        <v>3112</v>
      </c>
      <c r="L1738">
        <v>78</v>
      </c>
      <c r="M1738" s="12" t="str" cm="1">
        <f t="array" ref="M173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738">
        <v>80</v>
      </c>
      <c r="O1738" s="13" t="str" cm="1">
        <f t="array" ref="O173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738">
        <v>72</v>
      </c>
      <c r="Q1738" s="13" t="str" cm="1">
        <f t="array" ref="Q173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738">
        <v>65</v>
      </c>
      <c r="S1738" t="str" cm="1">
        <f t="array" ref="S173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738">
        <v>90</v>
      </c>
      <c r="U1738" t="str" cm="1">
        <f t="array" ref="U173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738">
        <v>99</v>
      </c>
      <c r="W1738" t="str" cm="1">
        <f t="array" ref="W173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738">
        <v>95</v>
      </c>
      <c r="Y1738" t="str" cm="1">
        <f t="array" ref="Y173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738">
        <f>SUM(Table1[[#This Row],[Math 
Score]],Table1[[#This Row],[History 
Score]],Table1[[#This Row],[Physics 
Score]],Table1[[#This Row],[Chemistry 
Score]],Table1[[#This Row],[Biology 
Score]],Table1[[#This Row],[English 
Score]],Table1[[#This Row],[Geography 
Score]])</f>
        <v>579</v>
      </c>
      <c r="AA1738" s="3">
        <f>AVERAGE(Table1[[#This Row],[Math 
Score]],Table1[[#This Row],[History 
Score]],Table1[[#This Row],[Physics 
Score]],Table1[[#This Row],[Chemistry 
Score]],Table1[[#This Row],[Biology 
Score]],Table1[[#This Row],[English 
Score]],Table1[[#This Row],[Geography 
Score]])</f>
        <v>82.714285714285708</v>
      </c>
      <c r="AB173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738">
        <f t="shared" si="27"/>
        <v>730</v>
      </c>
      <c r="AD1738" t="str">
        <f>_xlfn.IFS(Table1[[#This Row],[Absence 
Days]]&lt;3,"Excellent",Table1[[#This Row],[Absence 
Days]]&lt;=6,"Good",Table1[[#This Row],[Absence 
Days]]&gt;6,"Poor")</f>
        <v>Excellent</v>
      </c>
    </row>
    <row r="1739" spans="1:30" x14ac:dyDescent="0.35">
      <c r="A1739">
        <v>1738</v>
      </c>
      <c r="B1739" s="2" t="s">
        <v>58</v>
      </c>
      <c r="C1739" t="s">
        <v>554</v>
      </c>
      <c r="D1739" t="str">
        <f>_xlfn.TEXTJOIN(" ",TRUE,Table1[[#This Row],[First 
Name]:[Last 
Name]])</f>
        <v>Eric Obrien</v>
      </c>
      <c r="E1739" t="s">
        <v>2849</v>
      </c>
      <c r="F1739" t="s">
        <v>3244</v>
      </c>
      <c r="G1739" t="str">
        <f ca="1">PROPER(Table1[[#This Row],[Part Time 
Job]])</f>
        <v>False</v>
      </c>
      <c r="H1739" s="3">
        <v>3</v>
      </c>
      <c r="I1739" t="str">
        <f ca="1">PROPER(Table1[[#This Row],[Extracurricular 
Activities]])</f>
        <v>False</v>
      </c>
      <c r="J1739">
        <v>26</v>
      </c>
      <c r="K1739" t="s">
        <v>3112</v>
      </c>
      <c r="L1739">
        <v>71</v>
      </c>
      <c r="M1739" s="12" t="str" cm="1">
        <f t="array" ref="M1739">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739">
        <v>92</v>
      </c>
      <c r="O1739" s="13" t="str" cm="1">
        <f t="array" ref="O173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739">
        <v>92</v>
      </c>
      <c r="Q1739" s="13" t="str" cm="1">
        <f t="array" ref="Q173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739">
        <v>96</v>
      </c>
      <c r="S1739" t="str" cm="1">
        <f t="array" ref="S173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739">
        <v>81</v>
      </c>
      <c r="U1739" t="str" cm="1">
        <f t="array" ref="U173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739">
        <v>81</v>
      </c>
      <c r="W1739" t="str" cm="1">
        <f t="array" ref="W173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739">
        <v>85</v>
      </c>
      <c r="Y1739" t="str" cm="1">
        <f t="array" ref="Y173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739">
        <f>SUM(Table1[[#This Row],[Math 
Score]],Table1[[#This Row],[History 
Score]],Table1[[#This Row],[Physics 
Score]],Table1[[#This Row],[Chemistry 
Score]],Table1[[#This Row],[Biology 
Score]],Table1[[#This Row],[English 
Score]],Table1[[#This Row],[Geography 
Score]])</f>
        <v>598</v>
      </c>
      <c r="AA1739" s="3">
        <f>AVERAGE(Table1[[#This Row],[Math 
Score]],Table1[[#This Row],[History 
Score]],Table1[[#This Row],[Physics 
Score]],Table1[[#This Row],[Chemistry 
Score]],Table1[[#This Row],[Biology 
Score]],Table1[[#This Row],[English 
Score]],Table1[[#This Row],[Geography 
Score]])</f>
        <v>85.428571428571431</v>
      </c>
      <c r="AB173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739">
        <f t="shared" si="27"/>
        <v>436</v>
      </c>
      <c r="AD1739" t="str">
        <f>_xlfn.IFS(Table1[[#This Row],[Absence 
Days]]&lt;3,"Excellent",Table1[[#This Row],[Absence 
Days]]&lt;=6,"Good",Table1[[#This Row],[Absence 
Days]]&gt;6,"Poor")</f>
        <v>Good</v>
      </c>
    </row>
    <row r="1740" spans="1:30" x14ac:dyDescent="0.35">
      <c r="A1740">
        <v>1739</v>
      </c>
      <c r="B1740" s="2" t="s">
        <v>167</v>
      </c>
      <c r="C1740" t="s">
        <v>753</v>
      </c>
      <c r="D1740" t="str">
        <f>_xlfn.TEXTJOIN(" ",TRUE,Table1[[#This Row],[First 
Name]:[Last 
Name]])</f>
        <v>Kevin Joyce</v>
      </c>
      <c r="E1740" t="s">
        <v>2850</v>
      </c>
      <c r="F1740" t="s">
        <v>3244</v>
      </c>
      <c r="G1740" t="str">
        <f ca="1">PROPER(Table1[[#This Row],[Part Time 
Job]])</f>
        <v>True</v>
      </c>
      <c r="H1740" s="3">
        <v>4</v>
      </c>
      <c r="I1740" t="str">
        <f ca="1">PROPER(Table1[[#This Row],[Extracurricular 
Activities]])</f>
        <v>False</v>
      </c>
      <c r="J1740">
        <v>27</v>
      </c>
      <c r="K1740" t="s">
        <v>3112</v>
      </c>
      <c r="L1740">
        <v>72</v>
      </c>
      <c r="M1740" s="12" t="str" cm="1">
        <f t="array" ref="M1740">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740">
        <v>85</v>
      </c>
      <c r="O1740" s="13" t="str" cm="1">
        <f t="array" ref="O174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740">
        <v>92</v>
      </c>
      <c r="Q1740" s="13" t="str" cm="1">
        <f t="array" ref="Q174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740">
        <v>83</v>
      </c>
      <c r="S1740" t="str" cm="1">
        <f t="array" ref="S174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740">
        <v>84</v>
      </c>
      <c r="U1740" t="str" cm="1">
        <f t="array" ref="U174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740">
        <v>96</v>
      </c>
      <c r="W1740" t="str" cm="1">
        <f t="array" ref="W174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740">
        <v>81</v>
      </c>
      <c r="Y1740" t="str" cm="1">
        <f t="array" ref="Y174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740">
        <f>SUM(Table1[[#This Row],[Math 
Score]],Table1[[#This Row],[History 
Score]],Table1[[#This Row],[Physics 
Score]],Table1[[#This Row],[Chemistry 
Score]],Table1[[#This Row],[Biology 
Score]],Table1[[#This Row],[English 
Score]],Table1[[#This Row],[Geography 
Score]])</f>
        <v>593</v>
      </c>
      <c r="AA1740" s="3">
        <f>AVERAGE(Table1[[#This Row],[Math 
Score]],Table1[[#This Row],[History 
Score]],Table1[[#This Row],[Physics 
Score]],Table1[[#This Row],[Chemistry 
Score]],Table1[[#This Row],[Biology 
Score]],Table1[[#This Row],[English 
Score]],Table1[[#This Row],[Geography 
Score]])</f>
        <v>84.714285714285708</v>
      </c>
      <c r="AB174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740">
        <f t="shared" si="27"/>
        <v>494</v>
      </c>
      <c r="AD1740" t="str">
        <f>_xlfn.IFS(Table1[[#This Row],[Absence 
Days]]&lt;3,"Excellent",Table1[[#This Row],[Absence 
Days]]&lt;=6,"Good",Table1[[#This Row],[Absence 
Days]]&gt;6,"Poor")</f>
        <v>Good</v>
      </c>
    </row>
    <row r="1741" spans="1:30" x14ac:dyDescent="0.35">
      <c r="A1741">
        <v>1740</v>
      </c>
      <c r="B1741" s="2" t="s">
        <v>80</v>
      </c>
      <c r="C1741" t="s">
        <v>535</v>
      </c>
      <c r="D1741" t="str">
        <f>_xlfn.TEXTJOIN(" ",TRUE,Table1[[#This Row],[First 
Name]:[Last 
Name]])</f>
        <v>Thomas Ward</v>
      </c>
      <c r="E1741" t="s">
        <v>2851</v>
      </c>
      <c r="F1741" t="s">
        <v>3244</v>
      </c>
      <c r="G1741" t="str">
        <f ca="1">PROPER(Table1[[#This Row],[Part Time 
Job]])</f>
        <v>False</v>
      </c>
      <c r="H1741" s="3">
        <v>3</v>
      </c>
      <c r="I1741" t="str">
        <f ca="1">PROPER(Table1[[#This Row],[Extracurricular 
Activities]])</f>
        <v>False</v>
      </c>
      <c r="J1741">
        <v>35</v>
      </c>
      <c r="K1741" t="s">
        <v>3117</v>
      </c>
      <c r="L1741">
        <v>88</v>
      </c>
      <c r="M1741" s="12" t="str" cm="1">
        <f t="array" ref="M174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741">
        <v>92</v>
      </c>
      <c r="O1741" s="13" t="str" cm="1">
        <f t="array" ref="O174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741">
        <v>88</v>
      </c>
      <c r="Q1741" s="13" t="str" cm="1">
        <f t="array" ref="Q174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741">
        <v>100</v>
      </c>
      <c r="S1741" t="str" cm="1">
        <f t="array" ref="S174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741">
        <v>89</v>
      </c>
      <c r="U1741" t="str" cm="1">
        <f t="array" ref="U174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741">
        <v>94</v>
      </c>
      <c r="W1741" t="str" cm="1">
        <f t="array" ref="W174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741">
        <v>87</v>
      </c>
      <c r="Y1741" t="str" cm="1">
        <f t="array" ref="Y174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741">
        <f>SUM(Table1[[#This Row],[Math 
Score]],Table1[[#This Row],[History 
Score]],Table1[[#This Row],[Physics 
Score]],Table1[[#This Row],[Chemistry 
Score]],Table1[[#This Row],[Biology 
Score]],Table1[[#This Row],[English 
Score]],Table1[[#This Row],[Geography 
Score]])</f>
        <v>638</v>
      </c>
      <c r="AA1741" s="3">
        <f>AVERAGE(Table1[[#This Row],[Math 
Score]],Table1[[#This Row],[History 
Score]],Table1[[#This Row],[Physics 
Score]],Table1[[#This Row],[Chemistry 
Score]],Table1[[#This Row],[Biology 
Score]],Table1[[#This Row],[English 
Score]],Table1[[#This Row],[Geography 
Score]])</f>
        <v>91.142857142857139</v>
      </c>
      <c r="AB174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741">
        <f t="shared" si="27"/>
        <v>110</v>
      </c>
      <c r="AD1741" t="str">
        <f>_xlfn.IFS(Table1[[#This Row],[Absence 
Days]]&lt;3,"Excellent",Table1[[#This Row],[Absence 
Days]]&lt;=6,"Good",Table1[[#This Row],[Absence 
Days]]&gt;6,"Poor")</f>
        <v>Good</v>
      </c>
    </row>
    <row r="1742" spans="1:30" x14ac:dyDescent="0.35">
      <c r="A1742">
        <v>1741</v>
      </c>
      <c r="B1742" s="2" t="s">
        <v>380</v>
      </c>
      <c r="C1742" t="s">
        <v>458</v>
      </c>
      <c r="D1742" t="str">
        <f>_xlfn.TEXTJOIN(" ",TRUE,Table1[[#This Row],[First 
Name]:[Last 
Name]])</f>
        <v>Toni Smith</v>
      </c>
      <c r="E1742" t="s">
        <v>2852</v>
      </c>
      <c r="F1742" t="s">
        <v>3245</v>
      </c>
      <c r="G1742" t="str">
        <f ca="1">PROPER(Table1[[#This Row],[Part Time 
Job]])</f>
        <v>False</v>
      </c>
      <c r="H1742" s="3">
        <v>5</v>
      </c>
      <c r="I1742" t="str">
        <f ca="1">PROPER(Table1[[#This Row],[Extracurricular 
Activities]])</f>
        <v>False</v>
      </c>
      <c r="J1742">
        <v>26</v>
      </c>
      <c r="K1742" t="s">
        <v>3116</v>
      </c>
      <c r="L1742">
        <v>68</v>
      </c>
      <c r="M1742" s="12" t="str" cm="1">
        <f t="array" ref="M1742">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742">
        <v>100</v>
      </c>
      <c r="O1742" s="13" t="str" cm="1">
        <f t="array" ref="O174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742">
        <v>94</v>
      </c>
      <c r="Q1742" s="13" t="str" cm="1">
        <f t="array" ref="Q174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742">
        <v>69</v>
      </c>
      <c r="S1742" t="str" cm="1">
        <f t="array" ref="S174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742">
        <v>93</v>
      </c>
      <c r="U1742" t="str" cm="1">
        <f t="array" ref="U174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742">
        <v>64</v>
      </c>
      <c r="W1742" t="str" cm="1">
        <f t="array" ref="W174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742">
        <v>93</v>
      </c>
      <c r="Y1742" t="str" cm="1">
        <f t="array" ref="Y174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742">
        <f>SUM(Table1[[#This Row],[Math 
Score]],Table1[[#This Row],[History 
Score]],Table1[[#This Row],[Physics 
Score]],Table1[[#This Row],[Chemistry 
Score]],Table1[[#This Row],[Biology 
Score]],Table1[[#This Row],[English 
Score]],Table1[[#This Row],[Geography 
Score]])</f>
        <v>581</v>
      </c>
      <c r="AA1742" s="3">
        <f>AVERAGE(Table1[[#This Row],[Math 
Score]],Table1[[#This Row],[History 
Score]],Table1[[#This Row],[Physics 
Score]],Table1[[#This Row],[Chemistry 
Score]],Table1[[#This Row],[Biology 
Score]],Table1[[#This Row],[English 
Score]],Table1[[#This Row],[Geography 
Score]])</f>
        <v>83</v>
      </c>
      <c r="AB174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742">
        <f t="shared" si="27"/>
        <v>688</v>
      </c>
      <c r="AD1742" t="str">
        <f>_xlfn.IFS(Table1[[#This Row],[Absence 
Days]]&lt;3,"Excellent",Table1[[#This Row],[Absence 
Days]]&lt;=6,"Good",Table1[[#This Row],[Absence 
Days]]&gt;6,"Poor")</f>
        <v>Good</v>
      </c>
    </row>
    <row r="1743" spans="1:30" x14ac:dyDescent="0.35">
      <c r="A1743">
        <v>1742</v>
      </c>
      <c r="B1743" s="2" t="s">
        <v>224</v>
      </c>
      <c r="C1743" t="s">
        <v>675</v>
      </c>
      <c r="D1743" t="str">
        <f>_xlfn.TEXTJOIN(" ",TRUE,Table1[[#This Row],[First 
Name]:[Last 
Name]])</f>
        <v>Caitlin Moody</v>
      </c>
      <c r="E1743" t="s">
        <v>2853</v>
      </c>
      <c r="F1743" t="s">
        <v>3245</v>
      </c>
      <c r="G1743" t="str">
        <f ca="1">PROPER(Table1[[#This Row],[Part Time 
Job]])</f>
        <v>True</v>
      </c>
      <c r="H1743" s="3">
        <v>2</v>
      </c>
      <c r="I1743" t="str">
        <f ca="1">PROPER(Table1[[#This Row],[Extracurricular 
Activities]])</f>
        <v>False</v>
      </c>
      <c r="J1743">
        <v>28</v>
      </c>
      <c r="K1743" t="s">
        <v>3113</v>
      </c>
      <c r="L1743">
        <v>81</v>
      </c>
      <c r="M1743" s="12" t="str" cm="1">
        <f t="array" ref="M174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743">
        <v>75</v>
      </c>
      <c r="O1743" s="13" t="str" cm="1">
        <f t="array" ref="O174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743">
        <v>94</v>
      </c>
      <c r="Q1743" s="13" t="str" cm="1">
        <f t="array" ref="Q174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743">
        <v>93</v>
      </c>
      <c r="S1743" t="str" cm="1">
        <f t="array" ref="S174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743">
        <v>87</v>
      </c>
      <c r="U1743" t="str" cm="1">
        <f t="array" ref="U174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743">
        <v>77</v>
      </c>
      <c r="W1743" t="str" cm="1">
        <f t="array" ref="W174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743">
        <v>67</v>
      </c>
      <c r="Y1743" t="str" cm="1">
        <f t="array" ref="Y174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743">
        <f>SUM(Table1[[#This Row],[Math 
Score]],Table1[[#This Row],[History 
Score]],Table1[[#This Row],[Physics 
Score]],Table1[[#This Row],[Chemistry 
Score]],Table1[[#This Row],[Biology 
Score]],Table1[[#This Row],[English 
Score]],Table1[[#This Row],[Geography 
Score]])</f>
        <v>574</v>
      </c>
      <c r="AA1743" s="3">
        <f>AVERAGE(Table1[[#This Row],[Math 
Score]],Table1[[#This Row],[History 
Score]],Table1[[#This Row],[Physics 
Score]],Table1[[#This Row],[Chemistry 
Score]],Table1[[#This Row],[Biology 
Score]],Table1[[#This Row],[English 
Score]],Table1[[#This Row],[Geography 
Score]])</f>
        <v>82</v>
      </c>
      <c r="AB174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743">
        <f t="shared" si="27"/>
        <v>832</v>
      </c>
      <c r="AD1743" t="str">
        <f>_xlfn.IFS(Table1[[#This Row],[Absence 
Days]]&lt;3,"Excellent",Table1[[#This Row],[Absence 
Days]]&lt;=6,"Good",Table1[[#This Row],[Absence 
Days]]&gt;6,"Poor")</f>
        <v>Excellent</v>
      </c>
    </row>
    <row r="1744" spans="1:30" x14ac:dyDescent="0.35">
      <c r="A1744">
        <v>1743</v>
      </c>
      <c r="B1744" s="2" t="s">
        <v>262</v>
      </c>
      <c r="C1744" t="s">
        <v>33</v>
      </c>
      <c r="D1744" t="str">
        <f>_xlfn.TEXTJOIN(" ",TRUE,Table1[[#This Row],[First 
Name]:[Last 
Name]])</f>
        <v>Justin Ryan</v>
      </c>
      <c r="E1744" t="s">
        <v>2854</v>
      </c>
      <c r="F1744" t="s">
        <v>3244</v>
      </c>
      <c r="G1744" t="str">
        <f ca="1">PROPER(Table1[[#This Row],[Part Time 
Job]])</f>
        <v>True</v>
      </c>
      <c r="H1744" s="3">
        <v>1</v>
      </c>
      <c r="I1744" t="str">
        <f ca="1">PROPER(Table1[[#This Row],[Extracurricular 
Activities]])</f>
        <v>False</v>
      </c>
      <c r="J1744">
        <v>32</v>
      </c>
      <c r="K1744" t="s">
        <v>3121</v>
      </c>
      <c r="L1744">
        <v>92</v>
      </c>
      <c r="M1744" s="12" t="str" cm="1">
        <f t="array" ref="M174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744">
        <v>69</v>
      </c>
      <c r="O1744" s="13" t="str" cm="1">
        <f t="array" ref="O174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744">
        <v>92</v>
      </c>
      <c r="Q1744" s="13" t="str" cm="1">
        <f t="array" ref="Q174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744">
        <v>91</v>
      </c>
      <c r="S1744" t="str" cm="1">
        <f t="array" ref="S174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744">
        <v>82</v>
      </c>
      <c r="U1744" t="str" cm="1">
        <f t="array" ref="U174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744">
        <v>89</v>
      </c>
      <c r="W1744" t="str" cm="1">
        <f t="array" ref="W174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744">
        <v>69</v>
      </c>
      <c r="Y1744" t="str" cm="1">
        <f t="array" ref="Y174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744">
        <f>SUM(Table1[[#This Row],[Math 
Score]],Table1[[#This Row],[History 
Score]],Table1[[#This Row],[Physics 
Score]],Table1[[#This Row],[Chemistry 
Score]],Table1[[#This Row],[Biology 
Score]],Table1[[#This Row],[English 
Score]],Table1[[#This Row],[Geography 
Score]])</f>
        <v>584</v>
      </c>
      <c r="AA1744" s="3">
        <f>AVERAGE(Table1[[#This Row],[Math 
Score]],Table1[[#This Row],[History 
Score]],Table1[[#This Row],[Physics 
Score]],Table1[[#This Row],[Chemistry 
Score]],Table1[[#This Row],[Biology 
Score]],Table1[[#This Row],[English 
Score]],Table1[[#This Row],[Geography 
Score]])</f>
        <v>83.428571428571431</v>
      </c>
      <c r="AB174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744">
        <f t="shared" si="27"/>
        <v>635</v>
      </c>
      <c r="AD1744" t="str">
        <f>_xlfn.IFS(Table1[[#This Row],[Absence 
Days]]&lt;3,"Excellent",Table1[[#This Row],[Absence 
Days]]&lt;=6,"Good",Table1[[#This Row],[Absence 
Days]]&gt;6,"Poor")</f>
        <v>Excellent</v>
      </c>
    </row>
    <row r="1745" spans="1:30" x14ac:dyDescent="0.35">
      <c r="A1745">
        <v>1744</v>
      </c>
      <c r="B1745" s="2" t="s">
        <v>149</v>
      </c>
      <c r="C1745" t="s">
        <v>472</v>
      </c>
      <c r="D1745" t="str">
        <f>_xlfn.TEXTJOIN(" ",TRUE,Table1[[#This Row],[First 
Name]:[Last 
Name]])</f>
        <v>Joseph Griffin</v>
      </c>
      <c r="E1745" t="s">
        <v>2855</v>
      </c>
      <c r="F1745" t="s">
        <v>3244</v>
      </c>
      <c r="G1745" t="str">
        <f ca="1">PROPER(Table1[[#This Row],[Part Time 
Job]])</f>
        <v>False</v>
      </c>
      <c r="H1745" s="3">
        <v>0</v>
      </c>
      <c r="I1745" t="str">
        <f ca="1">PROPER(Table1[[#This Row],[Extracurricular 
Activities]])</f>
        <v>False</v>
      </c>
      <c r="J1745">
        <v>33</v>
      </c>
      <c r="K1745" t="s">
        <v>3123</v>
      </c>
      <c r="L1745">
        <v>84</v>
      </c>
      <c r="M1745" s="12" t="str" cm="1">
        <f t="array" ref="M174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745">
        <v>64</v>
      </c>
      <c r="O1745" s="13" t="str" cm="1">
        <f t="array" ref="O174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745">
        <v>82</v>
      </c>
      <c r="Q1745" s="13" t="str" cm="1">
        <f t="array" ref="Q174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745">
        <v>81</v>
      </c>
      <c r="S1745" t="str" cm="1">
        <f t="array" ref="S174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745">
        <v>85</v>
      </c>
      <c r="U1745" t="str" cm="1">
        <f t="array" ref="U174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745">
        <v>84</v>
      </c>
      <c r="W1745" t="str" cm="1">
        <f t="array" ref="W174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745">
        <v>89</v>
      </c>
      <c r="Y1745" t="str" cm="1">
        <f t="array" ref="Y174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745">
        <f>SUM(Table1[[#This Row],[Math 
Score]],Table1[[#This Row],[History 
Score]],Table1[[#This Row],[Physics 
Score]],Table1[[#This Row],[Chemistry 
Score]],Table1[[#This Row],[Biology 
Score]],Table1[[#This Row],[English 
Score]],Table1[[#This Row],[Geography 
Score]])</f>
        <v>569</v>
      </c>
      <c r="AA1745" s="3">
        <f>AVERAGE(Table1[[#This Row],[Math 
Score]],Table1[[#This Row],[History 
Score]],Table1[[#This Row],[Physics 
Score]],Table1[[#This Row],[Chemistry 
Score]],Table1[[#This Row],[Biology 
Score]],Table1[[#This Row],[English 
Score]],Table1[[#This Row],[Geography 
Score]])</f>
        <v>81.285714285714292</v>
      </c>
      <c r="AB174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745">
        <f t="shared" si="27"/>
        <v>957</v>
      </c>
      <c r="AD1745" t="str">
        <f>_xlfn.IFS(Table1[[#This Row],[Absence 
Days]]&lt;3,"Excellent",Table1[[#This Row],[Absence 
Days]]&lt;=6,"Good",Table1[[#This Row],[Absence 
Days]]&gt;6,"Poor")</f>
        <v>Excellent</v>
      </c>
    </row>
    <row r="1746" spans="1:30" x14ac:dyDescent="0.35">
      <c r="A1746">
        <v>1745</v>
      </c>
      <c r="B1746" s="2" t="s">
        <v>197</v>
      </c>
      <c r="C1746" t="s">
        <v>667</v>
      </c>
      <c r="D1746" t="str">
        <f>_xlfn.TEXTJOIN(" ",TRUE,Table1[[#This Row],[First 
Name]:[Last 
Name]])</f>
        <v>Dawn Fox</v>
      </c>
      <c r="E1746" t="s">
        <v>2856</v>
      </c>
      <c r="F1746" t="s">
        <v>3245</v>
      </c>
      <c r="G1746" t="str">
        <f ca="1">PROPER(Table1[[#This Row],[Part Time 
Job]])</f>
        <v>False</v>
      </c>
      <c r="H1746" s="3">
        <v>2</v>
      </c>
      <c r="I1746" t="str">
        <f ca="1">PROPER(Table1[[#This Row],[Extracurricular 
Activities]])</f>
        <v>True</v>
      </c>
      <c r="J1746">
        <v>18</v>
      </c>
      <c r="K1746" t="s">
        <v>3127</v>
      </c>
      <c r="L1746">
        <v>89</v>
      </c>
      <c r="M1746" s="12" t="str" cm="1">
        <f t="array" ref="M174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746">
        <v>60</v>
      </c>
      <c r="O1746" s="13" t="str" cm="1">
        <f t="array" ref="O174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746">
        <v>82</v>
      </c>
      <c r="Q1746" s="13" t="str" cm="1">
        <f t="array" ref="Q174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746">
        <v>90</v>
      </c>
      <c r="S1746" t="str" cm="1">
        <f t="array" ref="S174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746">
        <v>96</v>
      </c>
      <c r="U1746" t="str" cm="1">
        <f t="array" ref="U174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746">
        <v>67</v>
      </c>
      <c r="W1746" t="str" cm="1">
        <f t="array" ref="W174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746">
        <v>68</v>
      </c>
      <c r="Y1746" t="str" cm="1">
        <f t="array" ref="Y174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746">
        <f>SUM(Table1[[#This Row],[Math 
Score]],Table1[[#This Row],[History 
Score]],Table1[[#This Row],[Physics 
Score]],Table1[[#This Row],[Chemistry 
Score]],Table1[[#This Row],[Biology 
Score]],Table1[[#This Row],[English 
Score]],Table1[[#This Row],[Geography 
Score]])</f>
        <v>552</v>
      </c>
      <c r="AA1746" s="3">
        <f>AVERAGE(Table1[[#This Row],[Math 
Score]],Table1[[#This Row],[History 
Score]],Table1[[#This Row],[Physics 
Score]],Table1[[#This Row],[Chemistry 
Score]],Table1[[#This Row],[Biology 
Score]],Table1[[#This Row],[English 
Score]],Table1[[#This Row],[Geography 
Score]])</f>
        <v>78.857142857142861</v>
      </c>
      <c r="AB174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746">
        <f t="shared" si="27"/>
        <v>1306</v>
      </c>
      <c r="AD1746" t="str">
        <f>_xlfn.IFS(Table1[[#This Row],[Absence 
Days]]&lt;3,"Excellent",Table1[[#This Row],[Absence 
Days]]&lt;=6,"Good",Table1[[#This Row],[Absence 
Days]]&gt;6,"Poor")</f>
        <v>Excellent</v>
      </c>
    </row>
    <row r="1747" spans="1:30" x14ac:dyDescent="0.35">
      <c r="A1747">
        <v>1746</v>
      </c>
      <c r="B1747" s="2" t="s">
        <v>40</v>
      </c>
      <c r="C1747" t="s">
        <v>1075</v>
      </c>
      <c r="D1747" t="str">
        <f>_xlfn.TEXTJOIN(" ",TRUE,Table1[[#This Row],[First 
Name]:[Last 
Name]])</f>
        <v>David Ochoa</v>
      </c>
      <c r="E1747" t="s">
        <v>2857</v>
      </c>
      <c r="F1747" t="s">
        <v>3244</v>
      </c>
      <c r="G1747" t="str">
        <f ca="1">PROPER(Table1[[#This Row],[Part Time 
Job]])</f>
        <v>False</v>
      </c>
      <c r="H1747" s="3">
        <v>1</v>
      </c>
      <c r="I1747" t="str">
        <f ca="1">PROPER(Table1[[#This Row],[Extracurricular 
Activities]])</f>
        <v>False</v>
      </c>
      <c r="J1747">
        <v>18</v>
      </c>
      <c r="K1747" t="s">
        <v>3117</v>
      </c>
      <c r="L1747">
        <v>94</v>
      </c>
      <c r="M1747" s="12" t="str" cm="1">
        <f t="array" ref="M174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747">
        <v>66</v>
      </c>
      <c r="O1747" s="13" t="str" cm="1">
        <f t="array" ref="O174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747">
        <v>84</v>
      </c>
      <c r="Q1747" s="13" t="str" cm="1">
        <f t="array" ref="Q174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747">
        <v>92</v>
      </c>
      <c r="S1747" t="str" cm="1">
        <f t="array" ref="S174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747">
        <v>71</v>
      </c>
      <c r="U1747" t="str" cm="1">
        <f t="array" ref="U174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747">
        <v>81</v>
      </c>
      <c r="W1747" t="str" cm="1">
        <f t="array" ref="W174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747">
        <v>99</v>
      </c>
      <c r="Y1747" t="str" cm="1">
        <f t="array" ref="Y174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747">
        <f>SUM(Table1[[#This Row],[Math 
Score]],Table1[[#This Row],[History 
Score]],Table1[[#This Row],[Physics 
Score]],Table1[[#This Row],[Chemistry 
Score]],Table1[[#This Row],[Biology 
Score]],Table1[[#This Row],[English 
Score]],Table1[[#This Row],[Geography 
Score]])</f>
        <v>587</v>
      </c>
      <c r="AA1747" s="3">
        <f>AVERAGE(Table1[[#This Row],[Math 
Score]],Table1[[#This Row],[History 
Score]],Table1[[#This Row],[Physics 
Score]],Table1[[#This Row],[Chemistry 
Score]],Table1[[#This Row],[Biology 
Score]],Table1[[#This Row],[English 
Score]],Table1[[#This Row],[Geography 
Score]])</f>
        <v>83.857142857142861</v>
      </c>
      <c r="AB174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747">
        <f t="shared" si="27"/>
        <v>583</v>
      </c>
      <c r="AD1747" t="str">
        <f>_xlfn.IFS(Table1[[#This Row],[Absence 
Days]]&lt;3,"Excellent",Table1[[#This Row],[Absence 
Days]]&lt;=6,"Good",Table1[[#This Row],[Absence 
Days]]&gt;6,"Poor")</f>
        <v>Excellent</v>
      </c>
    </row>
    <row r="1748" spans="1:30" x14ac:dyDescent="0.35">
      <c r="A1748">
        <v>1747</v>
      </c>
      <c r="B1748" s="2" t="s">
        <v>440</v>
      </c>
      <c r="C1748" t="s">
        <v>527</v>
      </c>
      <c r="D1748" t="str">
        <f>_xlfn.TEXTJOIN(" ",TRUE,Table1[[#This Row],[First 
Name]:[Last 
Name]])</f>
        <v>Bonnie Brown</v>
      </c>
      <c r="E1748" t="s">
        <v>2858</v>
      </c>
      <c r="F1748" t="s">
        <v>3245</v>
      </c>
      <c r="G1748" t="str">
        <f ca="1">PROPER(Table1[[#This Row],[Part Time 
Job]])</f>
        <v>False</v>
      </c>
      <c r="H1748" s="3">
        <v>1</v>
      </c>
      <c r="I1748" t="str">
        <f ca="1">PROPER(Table1[[#This Row],[Extracurricular 
Activities]])</f>
        <v>True</v>
      </c>
      <c r="J1748">
        <v>9</v>
      </c>
      <c r="K1748" t="s">
        <v>3116</v>
      </c>
      <c r="L1748">
        <v>64</v>
      </c>
      <c r="M1748" s="12" t="str" cm="1">
        <f t="array" ref="M1748">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748">
        <v>89</v>
      </c>
      <c r="O1748" s="13" t="str" cm="1">
        <f t="array" ref="O174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748">
        <v>91</v>
      </c>
      <c r="Q1748" s="13" t="str" cm="1">
        <f t="array" ref="Q174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748">
        <v>99</v>
      </c>
      <c r="S1748" t="str" cm="1">
        <f t="array" ref="S174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748">
        <v>60</v>
      </c>
      <c r="U1748" t="str" cm="1">
        <f t="array" ref="U174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748">
        <v>98</v>
      </c>
      <c r="W1748" t="str" cm="1">
        <f t="array" ref="W174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748">
        <v>93</v>
      </c>
      <c r="Y1748" t="str" cm="1">
        <f t="array" ref="Y174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748">
        <f>SUM(Table1[[#This Row],[Math 
Score]],Table1[[#This Row],[History 
Score]],Table1[[#This Row],[Physics 
Score]],Table1[[#This Row],[Chemistry 
Score]],Table1[[#This Row],[Biology 
Score]],Table1[[#This Row],[English 
Score]],Table1[[#This Row],[Geography 
Score]])</f>
        <v>594</v>
      </c>
      <c r="AA1748" s="3">
        <f>AVERAGE(Table1[[#This Row],[Math 
Score]],Table1[[#This Row],[History 
Score]],Table1[[#This Row],[Physics 
Score]],Table1[[#This Row],[Chemistry 
Score]],Table1[[#This Row],[Biology 
Score]],Table1[[#This Row],[English 
Score]],Table1[[#This Row],[Geography 
Score]])</f>
        <v>84.857142857142861</v>
      </c>
      <c r="AB174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748">
        <f t="shared" si="27"/>
        <v>479</v>
      </c>
      <c r="AD1748" t="str">
        <f>_xlfn.IFS(Table1[[#This Row],[Absence 
Days]]&lt;3,"Excellent",Table1[[#This Row],[Absence 
Days]]&lt;=6,"Good",Table1[[#This Row],[Absence 
Days]]&gt;6,"Poor")</f>
        <v>Excellent</v>
      </c>
    </row>
    <row r="1749" spans="1:30" x14ac:dyDescent="0.35">
      <c r="A1749">
        <v>1748</v>
      </c>
      <c r="B1749" s="2" t="s">
        <v>34</v>
      </c>
      <c r="C1749" t="s">
        <v>613</v>
      </c>
      <c r="D1749" t="str">
        <f>_xlfn.TEXTJOIN(" ",TRUE,Table1[[#This Row],[First 
Name]:[Last 
Name]])</f>
        <v>Michael Evans</v>
      </c>
      <c r="E1749" t="s">
        <v>2859</v>
      </c>
      <c r="F1749" t="s">
        <v>3244</v>
      </c>
      <c r="G1749" t="str">
        <f ca="1">PROPER(Table1[[#This Row],[Part Time 
Job]])</f>
        <v>True</v>
      </c>
      <c r="H1749" s="3">
        <v>5</v>
      </c>
      <c r="I1749" t="str">
        <f ca="1">PROPER(Table1[[#This Row],[Extracurricular 
Activities]])</f>
        <v>False</v>
      </c>
      <c r="J1749">
        <v>25</v>
      </c>
      <c r="K1749" t="s">
        <v>3127</v>
      </c>
      <c r="L1749">
        <v>81</v>
      </c>
      <c r="M1749" s="12" t="str" cm="1">
        <f t="array" ref="M174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749">
        <v>88</v>
      </c>
      <c r="O1749" s="13" t="str" cm="1">
        <f t="array" ref="O174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749">
        <v>85</v>
      </c>
      <c r="Q1749" s="13" t="str" cm="1">
        <f t="array" ref="Q174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749">
        <v>90</v>
      </c>
      <c r="S1749" t="str" cm="1">
        <f t="array" ref="S174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749">
        <v>93</v>
      </c>
      <c r="U1749" t="str" cm="1">
        <f t="array" ref="U174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749">
        <v>62</v>
      </c>
      <c r="W1749" t="str" cm="1">
        <f t="array" ref="W174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749">
        <v>96</v>
      </c>
      <c r="Y1749" t="str" cm="1">
        <f t="array" ref="Y174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749">
        <f>SUM(Table1[[#This Row],[Math 
Score]],Table1[[#This Row],[History 
Score]],Table1[[#This Row],[Physics 
Score]],Table1[[#This Row],[Chemistry 
Score]],Table1[[#This Row],[Biology 
Score]],Table1[[#This Row],[English 
Score]],Table1[[#This Row],[Geography 
Score]])</f>
        <v>595</v>
      </c>
      <c r="AA1749" s="3">
        <f>AVERAGE(Table1[[#This Row],[Math 
Score]],Table1[[#This Row],[History 
Score]],Table1[[#This Row],[Physics 
Score]],Table1[[#This Row],[Chemistry 
Score]],Table1[[#This Row],[Biology 
Score]],Table1[[#This Row],[English 
Score]],Table1[[#This Row],[Geography 
Score]])</f>
        <v>85</v>
      </c>
      <c r="AB174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749">
        <f t="shared" si="27"/>
        <v>465</v>
      </c>
      <c r="AD1749" t="str">
        <f>_xlfn.IFS(Table1[[#This Row],[Absence 
Days]]&lt;3,"Excellent",Table1[[#This Row],[Absence 
Days]]&lt;=6,"Good",Table1[[#This Row],[Absence 
Days]]&gt;6,"Poor")</f>
        <v>Good</v>
      </c>
    </row>
    <row r="1750" spans="1:30" x14ac:dyDescent="0.35">
      <c r="A1750">
        <v>1749</v>
      </c>
      <c r="B1750" s="2" t="s">
        <v>320</v>
      </c>
      <c r="C1750" t="s">
        <v>1076</v>
      </c>
      <c r="D1750" t="str">
        <f>_xlfn.TEXTJOIN(" ",TRUE,Table1[[#This Row],[First 
Name]:[Last 
Name]])</f>
        <v>Molly Meadows</v>
      </c>
      <c r="E1750" t="s">
        <v>2860</v>
      </c>
      <c r="F1750" t="s">
        <v>3245</v>
      </c>
      <c r="G1750" t="str">
        <f ca="1">PROPER(Table1[[#This Row],[Part Time 
Job]])</f>
        <v>False</v>
      </c>
      <c r="H1750" s="3">
        <v>1</v>
      </c>
      <c r="I1750" t="str">
        <f ca="1">PROPER(Table1[[#This Row],[Extracurricular 
Activities]])</f>
        <v>True</v>
      </c>
      <c r="J1750">
        <v>18</v>
      </c>
      <c r="K1750" t="s">
        <v>3118</v>
      </c>
      <c r="L1750">
        <v>80</v>
      </c>
      <c r="M1750" s="12" t="str" cm="1">
        <f t="array" ref="M175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750">
        <v>93</v>
      </c>
      <c r="O1750" s="13" t="str" cm="1">
        <f t="array" ref="O175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750">
        <v>89</v>
      </c>
      <c r="Q1750" s="13" t="str" cm="1">
        <f t="array" ref="Q175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750">
        <v>79</v>
      </c>
      <c r="S1750" t="str" cm="1">
        <f t="array" ref="S175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750">
        <v>89</v>
      </c>
      <c r="U1750" t="str" cm="1">
        <f t="array" ref="U175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750">
        <v>93</v>
      </c>
      <c r="W1750" t="str" cm="1">
        <f t="array" ref="W175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750">
        <v>100</v>
      </c>
      <c r="Y1750" t="str" cm="1">
        <f t="array" ref="Y175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750">
        <f>SUM(Table1[[#This Row],[Math 
Score]],Table1[[#This Row],[History 
Score]],Table1[[#This Row],[Physics 
Score]],Table1[[#This Row],[Chemistry 
Score]],Table1[[#This Row],[Biology 
Score]],Table1[[#This Row],[English 
Score]],Table1[[#This Row],[Geography 
Score]])</f>
        <v>623</v>
      </c>
      <c r="AA1750" s="3">
        <f>AVERAGE(Table1[[#This Row],[Math 
Score]],Table1[[#This Row],[History 
Score]],Table1[[#This Row],[Physics 
Score]],Table1[[#This Row],[Chemistry 
Score]],Table1[[#This Row],[Biology 
Score]],Table1[[#This Row],[English 
Score]],Table1[[#This Row],[Geography 
Score]])</f>
        <v>89</v>
      </c>
      <c r="AB175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750">
        <f t="shared" si="27"/>
        <v>201</v>
      </c>
      <c r="AD1750" t="str">
        <f>_xlfn.IFS(Table1[[#This Row],[Absence 
Days]]&lt;3,"Excellent",Table1[[#This Row],[Absence 
Days]]&lt;=6,"Good",Table1[[#This Row],[Absence 
Days]]&gt;6,"Poor")</f>
        <v>Excellent</v>
      </c>
    </row>
    <row r="1751" spans="1:30" x14ac:dyDescent="0.35">
      <c r="A1751">
        <v>1750</v>
      </c>
      <c r="B1751" s="2" t="s">
        <v>408</v>
      </c>
      <c r="C1751" t="s">
        <v>1077</v>
      </c>
      <c r="D1751" t="str">
        <f>_xlfn.TEXTJOIN(" ",TRUE,Table1[[#This Row],[First 
Name]:[Last 
Name]])</f>
        <v>Dana Peters</v>
      </c>
      <c r="E1751" t="s">
        <v>2861</v>
      </c>
      <c r="F1751" t="s">
        <v>3245</v>
      </c>
      <c r="G1751" t="str">
        <f ca="1">PROPER(Table1[[#This Row],[Part Time 
Job]])</f>
        <v>False</v>
      </c>
      <c r="H1751" s="3">
        <v>4</v>
      </c>
      <c r="I1751" t="str">
        <f ca="1">PROPER(Table1[[#This Row],[Extracurricular 
Activities]])</f>
        <v>False</v>
      </c>
      <c r="J1751">
        <v>3</v>
      </c>
      <c r="K1751" t="s">
        <v>3116</v>
      </c>
      <c r="L1751">
        <v>75</v>
      </c>
      <c r="M1751" s="12" t="str" cm="1">
        <f t="array" ref="M175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751">
        <v>65</v>
      </c>
      <c r="O1751" s="13" t="str" cm="1">
        <f t="array" ref="O175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751">
        <v>66</v>
      </c>
      <c r="Q1751" s="13" t="str" cm="1">
        <f t="array" ref="Q175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751">
        <v>79</v>
      </c>
      <c r="S1751" t="str" cm="1">
        <f t="array" ref="S175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751">
        <v>91</v>
      </c>
      <c r="U1751" t="str" cm="1">
        <f t="array" ref="U175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751">
        <v>82</v>
      </c>
      <c r="W1751" t="str" cm="1">
        <f t="array" ref="W175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751">
        <v>72</v>
      </c>
      <c r="Y1751" t="str" cm="1">
        <f t="array" ref="Y175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751">
        <f>SUM(Table1[[#This Row],[Math 
Score]],Table1[[#This Row],[History 
Score]],Table1[[#This Row],[Physics 
Score]],Table1[[#This Row],[Chemistry 
Score]],Table1[[#This Row],[Biology 
Score]],Table1[[#This Row],[English 
Score]],Table1[[#This Row],[Geography 
Score]])</f>
        <v>530</v>
      </c>
      <c r="AA1751" s="3">
        <f>AVERAGE(Table1[[#This Row],[Math 
Score]],Table1[[#This Row],[History 
Score]],Table1[[#This Row],[Physics 
Score]],Table1[[#This Row],[Chemistry 
Score]],Table1[[#This Row],[Biology 
Score]],Table1[[#This Row],[English 
Score]],Table1[[#This Row],[Geography 
Score]])</f>
        <v>75.714285714285708</v>
      </c>
      <c r="AB175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751">
        <f t="shared" si="27"/>
        <v>1646</v>
      </c>
      <c r="AD1751" t="str">
        <f>_xlfn.IFS(Table1[[#This Row],[Absence 
Days]]&lt;3,"Excellent",Table1[[#This Row],[Absence 
Days]]&lt;=6,"Good",Table1[[#This Row],[Absence 
Days]]&gt;6,"Poor")</f>
        <v>Good</v>
      </c>
    </row>
    <row r="1752" spans="1:30" x14ac:dyDescent="0.35">
      <c r="A1752">
        <v>1751</v>
      </c>
      <c r="B1752" s="2" t="s">
        <v>11</v>
      </c>
      <c r="C1752" t="s">
        <v>1078</v>
      </c>
      <c r="D1752" t="str">
        <f>_xlfn.TEXTJOIN(" ",TRUE,Table1[[#This Row],[First 
Name]:[Last 
Name]])</f>
        <v>Patricia Phelps</v>
      </c>
      <c r="E1752" t="s">
        <v>2862</v>
      </c>
      <c r="F1752" t="s">
        <v>3245</v>
      </c>
      <c r="G1752" t="str">
        <f ca="1">PROPER(Table1[[#This Row],[Part Time 
Job]])</f>
        <v>False</v>
      </c>
      <c r="H1752" s="3">
        <v>4</v>
      </c>
      <c r="I1752" t="str">
        <f ca="1">PROPER(Table1[[#This Row],[Extracurricular 
Activities]])</f>
        <v>True</v>
      </c>
      <c r="J1752">
        <v>34</v>
      </c>
      <c r="K1752" t="s">
        <v>3112</v>
      </c>
      <c r="L1752">
        <v>87</v>
      </c>
      <c r="M1752" s="12" t="str" cm="1">
        <f t="array" ref="M175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752">
        <v>90</v>
      </c>
      <c r="O1752" s="13" t="str" cm="1">
        <f t="array" ref="O175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752">
        <v>98</v>
      </c>
      <c r="Q1752" s="13" t="str" cm="1">
        <f t="array" ref="Q175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752">
        <v>90</v>
      </c>
      <c r="S1752" t="str" cm="1">
        <f t="array" ref="S175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752">
        <v>83</v>
      </c>
      <c r="U1752" t="str" cm="1">
        <f t="array" ref="U175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752">
        <v>94</v>
      </c>
      <c r="W1752" t="str" cm="1">
        <f t="array" ref="W175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752">
        <v>84</v>
      </c>
      <c r="Y1752" t="str" cm="1">
        <f t="array" ref="Y175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752">
        <f>SUM(Table1[[#This Row],[Math 
Score]],Table1[[#This Row],[History 
Score]],Table1[[#This Row],[Physics 
Score]],Table1[[#This Row],[Chemistry 
Score]],Table1[[#This Row],[Biology 
Score]],Table1[[#This Row],[English 
Score]],Table1[[#This Row],[Geography 
Score]])</f>
        <v>626</v>
      </c>
      <c r="AA1752" s="3">
        <f>AVERAGE(Table1[[#This Row],[Math 
Score]],Table1[[#This Row],[History 
Score]],Table1[[#This Row],[Physics 
Score]],Table1[[#This Row],[Chemistry 
Score]],Table1[[#This Row],[Biology 
Score]],Table1[[#This Row],[English 
Score]],Table1[[#This Row],[Geography 
Score]])</f>
        <v>89.428571428571431</v>
      </c>
      <c r="AB175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752">
        <f t="shared" si="27"/>
        <v>179</v>
      </c>
      <c r="AD1752" t="str">
        <f>_xlfn.IFS(Table1[[#This Row],[Absence 
Days]]&lt;3,"Excellent",Table1[[#This Row],[Absence 
Days]]&lt;=6,"Good",Table1[[#This Row],[Absence 
Days]]&gt;6,"Poor")</f>
        <v>Good</v>
      </c>
    </row>
    <row r="1753" spans="1:30" x14ac:dyDescent="0.35">
      <c r="A1753">
        <v>1752</v>
      </c>
      <c r="B1753" s="2" t="s">
        <v>244</v>
      </c>
      <c r="C1753" t="s">
        <v>532</v>
      </c>
      <c r="D1753" t="str">
        <f>_xlfn.TEXTJOIN(" ",TRUE,Table1[[#This Row],[First 
Name]:[Last 
Name]])</f>
        <v>Maria Jones</v>
      </c>
      <c r="E1753" t="s">
        <v>2863</v>
      </c>
      <c r="F1753" t="s">
        <v>3245</v>
      </c>
      <c r="G1753" t="str">
        <f ca="1">PROPER(Table1[[#This Row],[Part Time 
Job]])</f>
        <v>False</v>
      </c>
      <c r="H1753" s="3">
        <v>7</v>
      </c>
      <c r="I1753" t="str">
        <f ca="1">PROPER(Table1[[#This Row],[Extracurricular 
Activities]])</f>
        <v>False</v>
      </c>
      <c r="J1753">
        <v>4</v>
      </c>
      <c r="K1753" t="s">
        <v>3119</v>
      </c>
      <c r="L1753">
        <v>58</v>
      </c>
      <c r="M1753" s="12" t="str" cm="1">
        <f t="array" ref="M1753">_xlfn.IFS(Table1[[#This Row],[Math 
Score]]&gt;=90,"A+",Table1[[#This Row],[Math 
Score]]&gt;=80,"A", Table1[[#This Row],[Math 
Score]]&gt;=75,"A-",Table1[[#This Row],[Math 
Score]]&gt;=70,"B+",Table1[[#This Row],[Math 
Score]]&gt;=65,"B",Table1[[#This Row],[Math 
Score]]&gt;=60,"B-",Table1[[#This Row],[Math 
Score]]&gt;=50,"C",Table1[[#This Row],[Math 
Score]]&gt;=40,"D",Table1[[#This Row],[Math 
Score]]&lt;40,"F")</f>
        <v>C</v>
      </c>
      <c r="N1753">
        <v>50</v>
      </c>
      <c r="O1753" s="13" t="str" cm="1">
        <f t="array" ref="O175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C</v>
      </c>
      <c r="P1753">
        <v>73</v>
      </c>
      <c r="Q1753" s="13" t="str" cm="1">
        <f t="array" ref="Q175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753">
        <v>54</v>
      </c>
      <c r="S1753" t="str" cm="1">
        <f t="array" ref="S175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C</v>
      </c>
      <c r="T1753">
        <v>94</v>
      </c>
      <c r="U1753" t="str" cm="1">
        <f t="array" ref="U175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753">
        <v>51</v>
      </c>
      <c r="W1753" t="str" cm="1">
        <f t="array" ref="W175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C</v>
      </c>
      <c r="X1753">
        <v>74</v>
      </c>
      <c r="Y1753" t="str" cm="1">
        <f t="array" ref="Y175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753">
        <f>SUM(Table1[[#This Row],[Math 
Score]],Table1[[#This Row],[History 
Score]],Table1[[#This Row],[Physics 
Score]],Table1[[#This Row],[Chemistry 
Score]],Table1[[#This Row],[Biology 
Score]],Table1[[#This Row],[English 
Score]],Table1[[#This Row],[Geography 
Score]])</f>
        <v>454</v>
      </c>
      <c r="AA1753" s="3">
        <f>AVERAGE(Table1[[#This Row],[Math 
Score]],Table1[[#This Row],[History 
Score]],Table1[[#This Row],[Physics 
Score]],Table1[[#This Row],[Chemistry 
Score]],Table1[[#This Row],[Biology 
Score]],Table1[[#This Row],[English 
Score]],Table1[[#This Row],[Geography 
Score]])</f>
        <v>64.857142857142861</v>
      </c>
      <c r="AB175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753">
        <f t="shared" si="27"/>
        <v>1990</v>
      </c>
      <c r="AD1753" t="str">
        <f>_xlfn.IFS(Table1[[#This Row],[Absence 
Days]]&lt;3,"Excellent",Table1[[#This Row],[Absence 
Days]]&lt;=6,"Good",Table1[[#This Row],[Absence 
Days]]&gt;6,"Poor")</f>
        <v>Poor</v>
      </c>
    </row>
    <row r="1754" spans="1:30" x14ac:dyDescent="0.35">
      <c r="A1754">
        <v>1753</v>
      </c>
      <c r="B1754" s="2" t="s">
        <v>4</v>
      </c>
      <c r="C1754" t="s">
        <v>782</v>
      </c>
      <c r="D1754" t="str">
        <f>_xlfn.TEXTJOIN(" ",TRUE,Table1[[#This Row],[First 
Name]:[Last 
Name]])</f>
        <v>Anthony Johns</v>
      </c>
      <c r="E1754" t="s">
        <v>2864</v>
      </c>
      <c r="F1754" t="s">
        <v>3244</v>
      </c>
      <c r="G1754" t="str">
        <f ca="1">PROPER(Table1[[#This Row],[Part Time 
Job]])</f>
        <v>False</v>
      </c>
      <c r="H1754" s="3">
        <v>3</v>
      </c>
      <c r="I1754" t="str">
        <f ca="1">PROPER(Table1[[#This Row],[Extracurricular 
Activities]])</f>
        <v>False</v>
      </c>
      <c r="J1754">
        <v>14</v>
      </c>
      <c r="K1754" t="s">
        <v>3114</v>
      </c>
      <c r="L1754">
        <v>60</v>
      </c>
      <c r="M1754" s="12" t="str" cm="1">
        <f t="array" ref="M1754">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754">
        <v>90</v>
      </c>
      <c r="O1754" s="13" t="str" cm="1">
        <f t="array" ref="O175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754">
        <v>87</v>
      </c>
      <c r="Q1754" s="13" t="str" cm="1">
        <f t="array" ref="Q175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754">
        <v>91</v>
      </c>
      <c r="S1754" t="str" cm="1">
        <f t="array" ref="S175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754">
        <v>78</v>
      </c>
      <c r="U1754" t="str" cm="1">
        <f t="array" ref="U175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754">
        <v>77</v>
      </c>
      <c r="W1754" t="str" cm="1">
        <f t="array" ref="W175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754">
        <v>82</v>
      </c>
      <c r="Y1754" t="str" cm="1">
        <f t="array" ref="Y175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754">
        <f>SUM(Table1[[#This Row],[Math 
Score]],Table1[[#This Row],[History 
Score]],Table1[[#This Row],[Physics 
Score]],Table1[[#This Row],[Chemistry 
Score]],Table1[[#This Row],[Biology 
Score]],Table1[[#This Row],[English 
Score]],Table1[[#This Row],[Geography 
Score]])</f>
        <v>565</v>
      </c>
      <c r="AA1754" s="3">
        <f>AVERAGE(Table1[[#This Row],[Math 
Score]],Table1[[#This Row],[History 
Score]],Table1[[#This Row],[Physics 
Score]],Table1[[#This Row],[Chemistry 
Score]],Table1[[#This Row],[Biology 
Score]],Table1[[#This Row],[English 
Score]],Table1[[#This Row],[Geography 
Score]])</f>
        <v>80.714285714285708</v>
      </c>
      <c r="AB175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754">
        <f t="shared" si="27"/>
        <v>1035</v>
      </c>
      <c r="AD1754" t="str">
        <f>_xlfn.IFS(Table1[[#This Row],[Absence 
Days]]&lt;3,"Excellent",Table1[[#This Row],[Absence 
Days]]&lt;=6,"Good",Table1[[#This Row],[Absence 
Days]]&gt;6,"Poor")</f>
        <v>Good</v>
      </c>
    </row>
    <row r="1755" spans="1:30" x14ac:dyDescent="0.35">
      <c r="A1755">
        <v>1754</v>
      </c>
      <c r="B1755" s="2" t="s">
        <v>40</v>
      </c>
      <c r="C1755" t="s">
        <v>729</v>
      </c>
      <c r="D1755" t="str">
        <f>_xlfn.TEXTJOIN(" ",TRUE,Table1[[#This Row],[First 
Name]:[Last 
Name]])</f>
        <v>David Schmidt</v>
      </c>
      <c r="E1755" t="s">
        <v>2865</v>
      </c>
      <c r="F1755" t="s">
        <v>3244</v>
      </c>
      <c r="G1755" t="str">
        <f ca="1">PROPER(Table1[[#This Row],[Part Time 
Job]])</f>
        <v>True</v>
      </c>
      <c r="H1755" s="3">
        <v>5</v>
      </c>
      <c r="I1755" t="str">
        <f ca="1">PROPER(Table1[[#This Row],[Extracurricular 
Activities]])</f>
        <v>False</v>
      </c>
      <c r="J1755">
        <v>8</v>
      </c>
      <c r="K1755" t="s">
        <v>3128</v>
      </c>
      <c r="L1755">
        <v>91</v>
      </c>
      <c r="M1755" s="12" t="str" cm="1">
        <f t="array" ref="M175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755">
        <v>70</v>
      </c>
      <c r="O1755" s="13" t="str" cm="1">
        <f t="array" ref="O175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755">
        <v>88</v>
      </c>
      <c r="Q1755" s="13" t="str" cm="1">
        <f t="array" ref="Q175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755">
        <v>68</v>
      </c>
      <c r="S1755" t="str" cm="1">
        <f t="array" ref="S175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755">
        <v>88</v>
      </c>
      <c r="U1755" t="str" cm="1">
        <f t="array" ref="U175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755">
        <v>63</v>
      </c>
      <c r="W1755" t="str" cm="1">
        <f t="array" ref="W175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755">
        <v>68</v>
      </c>
      <c r="Y1755" t="str" cm="1">
        <f t="array" ref="Y175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755">
        <f>SUM(Table1[[#This Row],[Math 
Score]],Table1[[#This Row],[History 
Score]],Table1[[#This Row],[Physics 
Score]],Table1[[#This Row],[Chemistry 
Score]],Table1[[#This Row],[Biology 
Score]],Table1[[#This Row],[English 
Score]],Table1[[#This Row],[Geography 
Score]])</f>
        <v>536</v>
      </c>
      <c r="AA1755" s="3">
        <f>AVERAGE(Table1[[#This Row],[Math 
Score]],Table1[[#This Row],[History 
Score]],Table1[[#This Row],[Physics 
Score]],Table1[[#This Row],[Chemistry 
Score]],Table1[[#This Row],[Biology 
Score]],Table1[[#This Row],[English 
Score]],Table1[[#This Row],[Geography 
Score]])</f>
        <v>76.571428571428569</v>
      </c>
      <c r="AB175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755">
        <f t="shared" si="27"/>
        <v>1567</v>
      </c>
      <c r="AD1755" t="str">
        <f>_xlfn.IFS(Table1[[#This Row],[Absence 
Days]]&lt;3,"Excellent",Table1[[#This Row],[Absence 
Days]]&lt;=6,"Good",Table1[[#This Row],[Absence 
Days]]&gt;6,"Poor")</f>
        <v>Good</v>
      </c>
    </row>
    <row r="1756" spans="1:30" x14ac:dyDescent="0.35">
      <c r="A1756">
        <v>1755</v>
      </c>
      <c r="B1756" s="2" t="s">
        <v>99</v>
      </c>
      <c r="C1756" t="s">
        <v>586</v>
      </c>
      <c r="D1756" t="str">
        <f>_xlfn.TEXTJOIN(" ",TRUE,Table1[[#This Row],[First 
Name]:[Last 
Name]])</f>
        <v>Amanda Cox</v>
      </c>
      <c r="E1756" t="s">
        <v>2866</v>
      </c>
      <c r="F1756" t="s">
        <v>3245</v>
      </c>
      <c r="G1756" t="str">
        <f ca="1">PROPER(Table1[[#This Row],[Part Time 
Job]])</f>
        <v>False</v>
      </c>
      <c r="H1756" s="3">
        <v>3</v>
      </c>
      <c r="I1756" t="str">
        <f ca="1">PROPER(Table1[[#This Row],[Extracurricular 
Activities]])</f>
        <v>False</v>
      </c>
      <c r="J1756">
        <v>35</v>
      </c>
      <c r="K1756" t="s">
        <v>3120</v>
      </c>
      <c r="L1756">
        <v>95</v>
      </c>
      <c r="M1756" s="12" t="str" cm="1">
        <f t="array" ref="M175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756">
        <v>97</v>
      </c>
      <c r="O1756" s="13" t="str" cm="1">
        <f t="array" ref="O175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756">
        <v>89</v>
      </c>
      <c r="Q1756" s="13" t="str" cm="1">
        <f t="array" ref="Q175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756">
        <v>97</v>
      </c>
      <c r="S1756" t="str" cm="1">
        <f t="array" ref="S175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756">
        <v>99</v>
      </c>
      <c r="U1756" t="str" cm="1">
        <f t="array" ref="U175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756">
        <v>85</v>
      </c>
      <c r="W1756" t="str" cm="1">
        <f t="array" ref="W175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756">
        <v>92</v>
      </c>
      <c r="Y1756" t="str" cm="1">
        <f t="array" ref="Y175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756">
        <f>SUM(Table1[[#This Row],[Math 
Score]],Table1[[#This Row],[History 
Score]],Table1[[#This Row],[Physics 
Score]],Table1[[#This Row],[Chemistry 
Score]],Table1[[#This Row],[Biology 
Score]],Table1[[#This Row],[English 
Score]],Table1[[#This Row],[Geography 
Score]])</f>
        <v>654</v>
      </c>
      <c r="AA1756" s="3">
        <f>AVERAGE(Table1[[#This Row],[Math 
Score]],Table1[[#This Row],[History 
Score]],Table1[[#This Row],[Physics 
Score]],Table1[[#This Row],[Chemistry 
Score]],Table1[[#This Row],[Biology 
Score]],Table1[[#This Row],[English 
Score]],Table1[[#This Row],[Geography 
Score]])</f>
        <v>93.428571428571431</v>
      </c>
      <c r="AB175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756">
        <f t="shared" si="27"/>
        <v>37</v>
      </c>
      <c r="AD1756" t="str">
        <f>_xlfn.IFS(Table1[[#This Row],[Absence 
Days]]&lt;3,"Excellent",Table1[[#This Row],[Absence 
Days]]&lt;=6,"Good",Table1[[#This Row],[Absence 
Days]]&gt;6,"Poor")</f>
        <v>Good</v>
      </c>
    </row>
    <row r="1757" spans="1:30" x14ac:dyDescent="0.35">
      <c r="A1757">
        <v>1756</v>
      </c>
      <c r="B1757" s="2" t="s">
        <v>75</v>
      </c>
      <c r="C1757" t="s">
        <v>735</v>
      </c>
      <c r="D1757" t="str">
        <f>_xlfn.TEXTJOIN(" ",TRUE,Table1[[#This Row],[First 
Name]:[Last 
Name]])</f>
        <v>William Patterson</v>
      </c>
      <c r="E1757" t="s">
        <v>2867</v>
      </c>
      <c r="F1757" t="s">
        <v>3244</v>
      </c>
      <c r="G1757" t="str">
        <f ca="1">PROPER(Table1[[#This Row],[Part Time 
Job]])</f>
        <v>False</v>
      </c>
      <c r="H1757" s="3">
        <v>3</v>
      </c>
      <c r="I1757" t="str">
        <f ca="1">PROPER(Table1[[#This Row],[Extracurricular 
Activities]])</f>
        <v>False</v>
      </c>
      <c r="J1757">
        <v>2</v>
      </c>
      <c r="K1757" t="s">
        <v>3115</v>
      </c>
      <c r="L1757">
        <v>70</v>
      </c>
      <c r="M1757" s="12" t="str" cm="1">
        <f t="array" ref="M1757">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757">
        <v>100</v>
      </c>
      <c r="O1757" s="13" t="str" cm="1">
        <f t="array" ref="O175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757">
        <v>92</v>
      </c>
      <c r="Q1757" s="13" t="str" cm="1">
        <f t="array" ref="Q175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757">
        <v>73</v>
      </c>
      <c r="S1757" t="str" cm="1">
        <f t="array" ref="S175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757">
        <v>67</v>
      </c>
      <c r="U1757" t="str" cm="1">
        <f t="array" ref="U175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757">
        <v>68</v>
      </c>
      <c r="W1757" t="str" cm="1">
        <f t="array" ref="W175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757">
        <v>76</v>
      </c>
      <c r="Y1757" t="str" cm="1">
        <f t="array" ref="Y175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757">
        <f>SUM(Table1[[#This Row],[Math 
Score]],Table1[[#This Row],[History 
Score]],Table1[[#This Row],[Physics 
Score]],Table1[[#This Row],[Chemistry 
Score]],Table1[[#This Row],[Biology 
Score]],Table1[[#This Row],[English 
Score]],Table1[[#This Row],[Geography 
Score]])</f>
        <v>546</v>
      </c>
      <c r="AA1757" s="3">
        <f>AVERAGE(Table1[[#This Row],[Math 
Score]],Table1[[#This Row],[History 
Score]],Table1[[#This Row],[Physics 
Score]],Table1[[#This Row],[Chemistry 
Score]],Table1[[#This Row],[Biology 
Score]],Table1[[#This Row],[English 
Score]],Table1[[#This Row],[Geography 
Score]])</f>
        <v>78</v>
      </c>
      <c r="AB175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757">
        <f t="shared" si="27"/>
        <v>1411</v>
      </c>
      <c r="AD1757" t="str">
        <f>_xlfn.IFS(Table1[[#This Row],[Absence 
Days]]&lt;3,"Excellent",Table1[[#This Row],[Absence 
Days]]&lt;=6,"Good",Table1[[#This Row],[Absence 
Days]]&gt;6,"Poor")</f>
        <v>Good</v>
      </c>
    </row>
    <row r="1758" spans="1:30" x14ac:dyDescent="0.35">
      <c r="A1758">
        <v>1757</v>
      </c>
      <c r="B1758" s="2" t="s">
        <v>189</v>
      </c>
      <c r="C1758" t="s">
        <v>938</v>
      </c>
      <c r="D1758" t="str">
        <f>_xlfn.TEXTJOIN(" ",TRUE,Table1[[#This Row],[First 
Name]:[Last 
Name]])</f>
        <v>Sydney Wood</v>
      </c>
      <c r="E1758" t="s">
        <v>2868</v>
      </c>
      <c r="F1758" t="s">
        <v>3245</v>
      </c>
      <c r="G1758" t="str">
        <f ca="1">PROPER(Table1[[#This Row],[Part Time 
Job]])</f>
        <v>False</v>
      </c>
      <c r="H1758" s="3">
        <v>2</v>
      </c>
      <c r="I1758" t="str">
        <f ca="1">PROPER(Table1[[#This Row],[Extracurricular 
Activities]])</f>
        <v>False</v>
      </c>
      <c r="J1758">
        <v>27</v>
      </c>
      <c r="K1758" t="s">
        <v>3112</v>
      </c>
      <c r="L1758">
        <v>76</v>
      </c>
      <c r="M1758" s="12" t="str" cm="1">
        <f t="array" ref="M175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758">
        <v>100</v>
      </c>
      <c r="O1758" s="13" t="str" cm="1">
        <f t="array" ref="O175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758">
        <v>94</v>
      </c>
      <c r="Q1758" s="13" t="str" cm="1">
        <f t="array" ref="Q175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758">
        <v>81</v>
      </c>
      <c r="S1758" t="str" cm="1">
        <f t="array" ref="S175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758">
        <v>60</v>
      </c>
      <c r="U1758" t="str" cm="1">
        <f t="array" ref="U175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758">
        <v>85</v>
      </c>
      <c r="W1758" t="str" cm="1">
        <f t="array" ref="W175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758">
        <v>73</v>
      </c>
      <c r="Y1758" t="str" cm="1">
        <f t="array" ref="Y175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758">
        <f>SUM(Table1[[#This Row],[Math 
Score]],Table1[[#This Row],[History 
Score]],Table1[[#This Row],[Physics 
Score]],Table1[[#This Row],[Chemistry 
Score]],Table1[[#This Row],[Biology 
Score]],Table1[[#This Row],[English 
Score]],Table1[[#This Row],[Geography 
Score]])</f>
        <v>569</v>
      </c>
      <c r="AA1758" s="3">
        <f>AVERAGE(Table1[[#This Row],[Math 
Score]],Table1[[#This Row],[History 
Score]],Table1[[#This Row],[Physics 
Score]],Table1[[#This Row],[Chemistry 
Score]],Table1[[#This Row],[Biology 
Score]],Table1[[#This Row],[English 
Score]],Table1[[#This Row],[Geography 
Score]])</f>
        <v>81.285714285714292</v>
      </c>
      <c r="AB175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758">
        <f t="shared" si="27"/>
        <v>957</v>
      </c>
      <c r="AD1758" t="str">
        <f>_xlfn.IFS(Table1[[#This Row],[Absence 
Days]]&lt;3,"Excellent",Table1[[#This Row],[Absence 
Days]]&lt;=6,"Good",Table1[[#This Row],[Absence 
Days]]&gt;6,"Poor")</f>
        <v>Excellent</v>
      </c>
    </row>
    <row r="1759" spans="1:30" x14ac:dyDescent="0.35">
      <c r="A1759">
        <v>1758</v>
      </c>
      <c r="B1759" s="2" t="s">
        <v>195</v>
      </c>
      <c r="C1759" t="s">
        <v>1079</v>
      </c>
      <c r="D1759" t="str">
        <f>_xlfn.TEXTJOIN(" ",TRUE,Table1[[#This Row],[First 
Name]:[Last 
Name]])</f>
        <v>Donald Fischer</v>
      </c>
      <c r="E1759" t="s">
        <v>2869</v>
      </c>
      <c r="F1759" t="s">
        <v>3244</v>
      </c>
      <c r="G1759" t="str">
        <f ca="1">PROPER(Table1[[#This Row],[Part Time 
Job]])</f>
        <v>False</v>
      </c>
      <c r="H1759" s="3">
        <v>5</v>
      </c>
      <c r="I1759" t="str">
        <f ca="1">PROPER(Table1[[#This Row],[Extracurricular 
Activities]])</f>
        <v>False</v>
      </c>
      <c r="J1759">
        <v>20</v>
      </c>
      <c r="K1759" t="s">
        <v>3123</v>
      </c>
      <c r="L1759">
        <v>79</v>
      </c>
      <c r="M1759" s="12" t="str" cm="1">
        <f t="array" ref="M175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759">
        <v>65</v>
      </c>
      <c r="O1759" s="13" t="str" cm="1">
        <f t="array" ref="O175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759">
        <v>78</v>
      </c>
      <c r="Q1759" s="13" t="str" cm="1">
        <f t="array" ref="Q175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759">
        <v>65</v>
      </c>
      <c r="S1759" t="str" cm="1">
        <f t="array" ref="S175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759">
        <v>57</v>
      </c>
      <c r="U1759" t="str" cm="1">
        <f t="array" ref="U175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C</v>
      </c>
      <c r="V1759">
        <v>99</v>
      </c>
      <c r="W1759" t="str" cm="1">
        <f t="array" ref="W175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759">
        <v>92</v>
      </c>
      <c r="Y1759" t="str" cm="1">
        <f t="array" ref="Y175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759">
        <f>SUM(Table1[[#This Row],[Math 
Score]],Table1[[#This Row],[History 
Score]],Table1[[#This Row],[Physics 
Score]],Table1[[#This Row],[Chemistry 
Score]],Table1[[#This Row],[Biology 
Score]],Table1[[#This Row],[English 
Score]],Table1[[#This Row],[Geography 
Score]])</f>
        <v>535</v>
      </c>
      <c r="AA1759" s="3">
        <f>AVERAGE(Table1[[#This Row],[Math 
Score]],Table1[[#This Row],[History 
Score]],Table1[[#This Row],[Physics 
Score]],Table1[[#This Row],[Chemistry 
Score]],Table1[[#This Row],[Biology 
Score]],Table1[[#This Row],[English 
Score]],Table1[[#This Row],[Geography 
Score]])</f>
        <v>76.428571428571431</v>
      </c>
      <c r="AB175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759">
        <f t="shared" si="27"/>
        <v>1578</v>
      </c>
      <c r="AD1759" t="str">
        <f>_xlfn.IFS(Table1[[#This Row],[Absence 
Days]]&lt;3,"Excellent",Table1[[#This Row],[Absence 
Days]]&lt;=6,"Good",Table1[[#This Row],[Absence 
Days]]&gt;6,"Poor")</f>
        <v>Good</v>
      </c>
    </row>
    <row r="1760" spans="1:30" x14ac:dyDescent="0.35">
      <c r="A1760">
        <v>1759</v>
      </c>
      <c r="B1760" s="2" t="s">
        <v>4</v>
      </c>
      <c r="C1760" t="s">
        <v>1066</v>
      </c>
      <c r="D1760" t="str">
        <f>_xlfn.TEXTJOIN(" ",TRUE,Table1[[#This Row],[First 
Name]:[Last 
Name]])</f>
        <v>Anthony Palmer</v>
      </c>
      <c r="E1760" t="s">
        <v>2870</v>
      </c>
      <c r="F1760" t="s">
        <v>3244</v>
      </c>
      <c r="G1760" t="str">
        <f ca="1">PROPER(Table1[[#This Row],[Part Time 
Job]])</f>
        <v>False</v>
      </c>
      <c r="H1760" s="3">
        <v>4</v>
      </c>
      <c r="I1760" t="str">
        <f ca="1">PROPER(Table1[[#This Row],[Extracurricular 
Activities]])</f>
        <v>False</v>
      </c>
      <c r="J1760">
        <v>21</v>
      </c>
      <c r="K1760" t="s">
        <v>3117</v>
      </c>
      <c r="L1760">
        <v>92</v>
      </c>
      <c r="M1760" s="12" t="str" cm="1">
        <f t="array" ref="M176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760">
        <v>96</v>
      </c>
      <c r="O1760" s="13" t="str" cm="1">
        <f t="array" ref="O176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760">
        <v>92</v>
      </c>
      <c r="Q1760" s="13" t="str" cm="1">
        <f t="array" ref="Q176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760">
        <v>63</v>
      </c>
      <c r="S1760" t="str" cm="1">
        <f t="array" ref="S176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760">
        <v>73</v>
      </c>
      <c r="U1760" t="str" cm="1">
        <f t="array" ref="U176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760">
        <v>60</v>
      </c>
      <c r="W1760" t="str" cm="1">
        <f t="array" ref="W176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760">
        <v>81</v>
      </c>
      <c r="Y1760" t="str" cm="1">
        <f t="array" ref="Y176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760">
        <f>SUM(Table1[[#This Row],[Math 
Score]],Table1[[#This Row],[History 
Score]],Table1[[#This Row],[Physics 
Score]],Table1[[#This Row],[Chemistry 
Score]],Table1[[#This Row],[Biology 
Score]],Table1[[#This Row],[English 
Score]],Table1[[#This Row],[Geography 
Score]])</f>
        <v>557</v>
      </c>
      <c r="AA1760" s="3">
        <f>AVERAGE(Table1[[#This Row],[Math 
Score]],Table1[[#This Row],[History 
Score]],Table1[[#This Row],[Physics 
Score]],Table1[[#This Row],[Chemistry 
Score]],Table1[[#This Row],[Biology 
Score]],Table1[[#This Row],[English 
Score]],Table1[[#This Row],[Geography 
Score]])</f>
        <v>79.571428571428569</v>
      </c>
      <c r="AB176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760">
        <f t="shared" si="27"/>
        <v>1200</v>
      </c>
      <c r="AD1760" t="str">
        <f>_xlfn.IFS(Table1[[#This Row],[Absence 
Days]]&lt;3,"Excellent",Table1[[#This Row],[Absence 
Days]]&lt;=6,"Good",Table1[[#This Row],[Absence 
Days]]&gt;6,"Poor")</f>
        <v>Good</v>
      </c>
    </row>
    <row r="1761" spans="1:30" x14ac:dyDescent="0.35">
      <c r="A1761">
        <v>1760</v>
      </c>
      <c r="B1761" s="2" t="s">
        <v>139</v>
      </c>
      <c r="C1761" t="s">
        <v>516</v>
      </c>
      <c r="D1761" t="str">
        <f>_xlfn.TEXTJOIN(" ",TRUE,Table1[[#This Row],[First 
Name]:[Last 
Name]])</f>
        <v>Christina Garcia</v>
      </c>
      <c r="E1761" t="s">
        <v>2871</v>
      </c>
      <c r="F1761" t="s">
        <v>3245</v>
      </c>
      <c r="G1761" t="str">
        <f ca="1">PROPER(Table1[[#This Row],[Part Time 
Job]])</f>
        <v>False</v>
      </c>
      <c r="H1761" s="3">
        <v>5</v>
      </c>
      <c r="I1761" t="str">
        <f ca="1">PROPER(Table1[[#This Row],[Extracurricular 
Activities]])</f>
        <v>False</v>
      </c>
      <c r="J1761">
        <v>6</v>
      </c>
      <c r="K1761" t="s">
        <v>3114</v>
      </c>
      <c r="L1761">
        <v>89</v>
      </c>
      <c r="M1761" s="12" t="str" cm="1">
        <f t="array" ref="M176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761">
        <v>73</v>
      </c>
      <c r="O1761" s="13" t="str" cm="1">
        <f t="array" ref="O176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761">
        <v>71</v>
      </c>
      <c r="Q1761" s="13" t="str" cm="1">
        <f t="array" ref="Q176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761">
        <v>97</v>
      </c>
      <c r="S1761" t="str" cm="1">
        <f t="array" ref="S176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761">
        <v>78</v>
      </c>
      <c r="U1761" t="str" cm="1">
        <f t="array" ref="U176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761">
        <v>99</v>
      </c>
      <c r="W1761" t="str" cm="1">
        <f t="array" ref="W176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761">
        <v>60</v>
      </c>
      <c r="Y1761" t="str" cm="1">
        <f t="array" ref="Y176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761">
        <f>SUM(Table1[[#This Row],[Math 
Score]],Table1[[#This Row],[History 
Score]],Table1[[#This Row],[Physics 
Score]],Table1[[#This Row],[Chemistry 
Score]],Table1[[#This Row],[Biology 
Score]],Table1[[#This Row],[English 
Score]],Table1[[#This Row],[Geography 
Score]])</f>
        <v>567</v>
      </c>
      <c r="AA1761" s="3">
        <f>AVERAGE(Table1[[#This Row],[Math 
Score]],Table1[[#This Row],[History 
Score]],Table1[[#This Row],[Physics 
Score]],Table1[[#This Row],[Chemistry 
Score]],Table1[[#This Row],[Biology 
Score]],Table1[[#This Row],[English 
Score]],Table1[[#This Row],[Geography 
Score]])</f>
        <v>81</v>
      </c>
      <c r="AB176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761">
        <f t="shared" si="27"/>
        <v>994</v>
      </c>
      <c r="AD1761" t="str">
        <f>_xlfn.IFS(Table1[[#This Row],[Absence 
Days]]&lt;3,"Excellent",Table1[[#This Row],[Absence 
Days]]&lt;=6,"Good",Table1[[#This Row],[Absence 
Days]]&gt;6,"Poor")</f>
        <v>Good</v>
      </c>
    </row>
    <row r="1762" spans="1:30" x14ac:dyDescent="0.35">
      <c r="A1762">
        <v>1761</v>
      </c>
      <c r="B1762" s="2" t="s">
        <v>405</v>
      </c>
      <c r="C1762" t="s">
        <v>673</v>
      </c>
      <c r="D1762" t="str">
        <f>_xlfn.TEXTJOIN(" ",TRUE,Table1[[#This Row],[First 
Name]:[Last 
Name]])</f>
        <v>Misty Anderson</v>
      </c>
      <c r="E1762" t="s">
        <v>2872</v>
      </c>
      <c r="F1762" t="s">
        <v>3245</v>
      </c>
      <c r="G1762" t="str">
        <f ca="1">PROPER(Table1[[#This Row],[Part Time 
Job]])</f>
        <v>False</v>
      </c>
      <c r="H1762" s="3">
        <v>3</v>
      </c>
      <c r="I1762" t="str">
        <f ca="1">PROPER(Table1[[#This Row],[Extracurricular 
Activities]])</f>
        <v>False</v>
      </c>
      <c r="J1762">
        <v>18</v>
      </c>
      <c r="K1762" t="s">
        <v>3121</v>
      </c>
      <c r="L1762">
        <v>85</v>
      </c>
      <c r="M1762" s="12" t="str" cm="1">
        <f t="array" ref="M176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762">
        <v>95</v>
      </c>
      <c r="O1762" s="13" t="str" cm="1">
        <f t="array" ref="O176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762">
        <v>77</v>
      </c>
      <c r="Q1762" s="13" t="str" cm="1">
        <f t="array" ref="Q176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762">
        <v>71</v>
      </c>
      <c r="S1762" t="str" cm="1">
        <f t="array" ref="S176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762">
        <v>75</v>
      </c>
      <c r="U1762" t="str" cm="1">
        <f t="array" ref="U176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762">
        <v>95</v>
      </c>
      <c r="W1762" t="str" cm="1">
        <f t="array" ref="W176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762">
        <v>94</v>
      </c>
      <c r="Y1762" t="str" cm="1">
        <f t="array" ref="Y176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762">
        <f>SUM(Table1[[#This Row],[Math 
Score]],Table1[[#This Row],[History 
Score]],Table1[[#This Row],[Physics 
Score]],Table1[[#This Row],[Chemistry 
Score]],Table1[[#This Row],[Biology 
Score]],Table1[[#This Row],[English 
Score]],Table1[[#This Row],[Geography 
Score]])</f>
        <v>592</v>
      </c>
      <c r="AA1762" s="3">
        <f>AVERAGE(Table1[[#This Row],[Math 
Score]],Table1[[#This Row],[History 
Score]],Table1[[#This Row],[Physics 
Score]],Table1[[#This Row],[Chemistry 
Score]],Table1[[#This Row],[Biology 
Score]],Table1[[#This Row],[English 
Score]],Table1[[#This Row],[Geography 
Score]])</f>
        <v>84.571428571428569</v>
      </c>
      <c r="AB176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762">
        <f t="shared" si="27"/>
        <v>505</v>
      </c>
      <c r="AD1762" t="str">
        <f>_xlfn.IFS(Table1[[#This Row],[Absence 
Days]]&lt;3,"Excellent",Table1[[#This Row],[Absence 
Days]]&lt;=6,"Good",Table1[[#This Row],[Absence 
Days]]&gt;6,"Poor")</f>
        <v>Good</v>
      </c>
    </row>
    <row r="1763" spans="1:30" x14ac:dyDescent="0.35">
      <c r="A1763">
        <v>1762</v>
      </c>
      <c r="B1763" s="2" t="s">
        <v>21</v>
      </c>
      <c r="C1763" t="s">
        <v>507</v>
      </c>
      <c r="D1763" t="str">
        <f>_xlfn.TEXTJOIN(" ",TRUE,Table1[[#This Row],[First 
Name]:[Last 
Name]])</f>
        <v>Shannon Weber</v>
      </c>
      <c r="E1763" t="s">
        <v>2873</v>
      </c>
      <c r="F1763" t="s">
        <v>3245</v>
      </c>
      <c r="G1763" t="str">
        <f ca="1">PROPER(Table1[[#This Row],[Part Time 
Job]])</f>
        <v>False</v>
      </c>
      <c r="H1763" s="3">
        <v>2</v>
      </c>
      <c r="I1763" t="str">
        <f ca="1">PROPER(Table1[[#This Row],[Extracurricular 
Activities]])</f>
        <v>False</v>
      </c>
      <c r="J1763">
        <v>7</v>
      </c>
      <c r="K1763" t="s">
        <v>3128</v>
      </c>
      <c r="L1763">
        <v>92</v>
      </c>
      <c r="M1763" s="12" t="str" cm="1">
        <f t="array" ref="M176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763">
        <v>66</v>
      </c>
      <c r="O1763" s="13" t="str" cm="1">
        <f t="array" ref="O176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763">
        <v>88</v>
      </c>
      <c r="Q1763" s="13" t="str" cm="1">
        <f t="array" ref="Q176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763">
        <v>91</v>
      </c>
      <c r="S1763" t="str" cm="1">
        <f t="array" ref="S176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763">
        <v>61</v>
      </c>
      <c r="U1763" t="str" cm="1">
        <f t="array" ref="U176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763">
        <v>84</v>
      </c>
      <c r="W1763" t="str" cm="1">
        <f t="array" ref="W176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763">
        <v>69</v>
      </c>
      <c r="Y1763" t="str" cm="1">
        <f t="array" ref="Y176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763">
        <f>SUM(Table1[[#This Row],[Math 
Score]],Table1[[#This Row],[History 
Score]],Table1[[#This Row],[Physics 
Score]],Table1[[#This Row],[Chemistry 
Score]],Table1[[#This Row],[Biology 
Score]],Table1[[#This Row],[English 
Score]],Table1[[#This Row],[Geography 
Score]])</f>
        <v>551</v>
      </c>
      <c r="AA1763" s="3">
        <f>AVERAGE(Table1[[#This Row],[Math 
Score]],Table1[[#This Row],[History 
Score]],Table1[[#This Row],[Physics 
Score]],Table1[[#This Row],[Chemistry 
Score]],Table1[[#This Row],[Biology 
Score]],Table1[[#This Row],[English 
Score]],Table1[[#This Row],[Geography 
Score]])</f>
        <v>78.714285714285708</v>
      </c>
      <c r="AB176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763">
        <f t="shared" si="27"/>
        <v>1317</v>
      </c>
      <c r="AD1763" t="str">
        <f>_xlfn.IFS(Table1[[#This Row],[Absence 
Days]]&lt;3,"Excellent",Table1[[#This Row],[Absence 
Days]]&lt;=6,"Good",Table1[[#This Row],[Absence 
Days]]&gt;6,"Poor")</f>
        <v>Excellent</v>
      </c>
    </row>
    <row r="1764" spans="1:30" x14ac:dyDescent="0.35">
      <c r="A1764">
        <v>1763</v>
      </c>
      <c r="B1764" s="2" t="s">
        <v>50</v>
      </c>
      <c r="C1764" t="s">
        <v>1066</v>
      </c>
      <c r="D1764" t="str">
        <f>_xlfn.TEXTJOIN(" ",TRUE,Table1[[#This Row],[First 
Name]:[Last 
Name]])</f>
        <v>Jennifer Palmer</v>
      </c>
      <c r="E1764" t="s">
        <v>2874</v>
      </c>
      <c r="F1764" t="s">
        <v>3245</v>
      </c>
      <c r="G1764" t="str">
        <f ca="1">PROPER(Table1[[#This Row],[Part Time 
Job]])</f>
        <v>False</v>
      </c>
      <c r="H1764" s="3">
        <v>2</v>
      </c>
      <c r="I1764" t="str">
        <f ca="1">PROPER(Table1[[#This Row],[Extracurricular 
Activities]])</f>
        <v>False</v>
      </c>
      <c r="J1764">
        <v>24</v>
      </c>
      <c r="K1764" t="s">
        <v>3117</v>
      </c>
      <c r="L1764">
        <v>87</v>
      </c>
      <c r="M1764" s="12" t="str" cm="1">
        <f t="array" ref="M176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764">
        <v>63</v>
      </c>
      <c r="O1764" s="13" t="str" cm="1">
        <f t="array" ref="O176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764">
        <v>79</v>
      </c>
      <c r="Q1764" s="13" t="str" cm="1">
        <f t="array" ref="Q176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764">
        <v>81</v>
      </c>
      <c r="S1764" t="str" cm="1">
        <f t="array" ref="S176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764">
        <v>95</v>
      </c>
      <c r="U1764" t="str" cm="1">
        <f t="array" ref="U176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764">
        <v>75</v>
      </c>
      <c r="W1764" t="str" cm="1">
        <f t="array" ref="W176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764">
        <v>64</v>
      </c>
      <c r="Y1764" t="str" cm="1">
        <f t="array" ref="Y176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764">
        <f>SUM(Table1[[#This Row],[Math 
Score]],Table1[[#This Row],[History 
Score]],Table1[[#This Row],[Physics 
Score]],Table1[[#This Row],[Chemistry 
Score]],Table1[[#This Row],[Biology 
Score]],Table1[[#This Row],[English 
Score]],Table1[[#This Row],[Geography 
Score]])</f>
        <v>544</v>
      </c>
      <c r="AA1764" s="3">
        <f>AVERAGE(Table1[[#This Row],[Math 
Score]],Table1[[#This Row],[History 
Score]],Table1[[#This Row],[Physics 
Score]],Table1[[#This Row],[Chemistry 
Score]],Table1[[#This Row],[Biology 
Score]],Table1[[#This Row],[English 
Score]],Table1[[#This Row],[Geography 
Score]])</f>
        <v>77.714285714285708</v>
      </c>
      <c r="AB176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764">
        <f t="shared" si="27"/>
        <v>1446</v>
      </c>
      <c r="AD1764" t="str">
        <f>_xlfn.IFS(Table1[[#This Row],[Absence 
Days]]&lt;3,"Excellent",Table1[[#This Row],[Absence 
Days]]&lt;=6,"Good",Table1[[#This Row],[Absence 
Days]]&gt;6,"Poor")</f>
        <v>Excellent</v>
      </c>
    </row>
    <row r="1765" spans="1:30" x14ac:dyDescent="0.35">
      <c r="A1765">
        <v>1764</v>
      </c>
      <c r="B1765" s="2" t="s">
        <v>34</v>
      </c>
      <c r="C1765" t="s">
        <v>1011</v>
      </c>
      <c r="D1765" t="str">
        <f>_xlfn.TEXTJOIN(" ",TRUE,Table1[[#This Row],[First 
Name]:[Last 
Name]])</f>
        <v>Michael Arnold</v>
      </c>
      <c r="E1765" t="s">
        <v>2875</v>
      </c>
      <c r="F1765" t="s">
        <v>3244</v>
      </c>
      <c r="G1765" t="str">
        <f ca="1">PROPER(Table1[[#This Row],[Part Time 
Job]])</f>
        <v>False</v>
      </c>
      <c r="H1765" s="3">
        <v>5</v>
      </c>
      <c r="I1765" t="str">
        <f ca="1">PROPER(Table1[[#This Row],[Extracurricular 
Activities]])</f>
        <v>False</v>
      </c>
      <c r="J1765">
        <v>21</v>
      </c>
      <c r="K1765" t="s">
        <v>3123</v>
      </c>
      <c r="L1765">
        <v>77</v>
      </c>
      <c r="M1765" s="12" t="str" cm="1">
        <f t="array" ref="M176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765">
        <v>77</v>
      </c>
      <c r="O1765" s="13" t="str" cm="1">
        <f t="array" ref="O176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765">
        <v>97</v>
      </c>
      <c r="Q1765" s="13" t="str" cm="1">
        <f t="array" ref="Q176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765">
        <v>66</v>
      </c>
      <c r="S1765" t="str" cm="1">
        <f t="array" ref="S176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765">
        <v>87</v>
      </c>
      <c r="U1765" t="str" cm="1">
        <f t="array" ref="U176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765">
        <v>73</v>
      </c>
      <c r="W1765" t="str" cm="1">
        <f t="array" ref="W176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765">
        <v>75</v>
      </c>
      <c r="Y1765" t="str" cm="1">
        <f t="array" ref="Y176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765">
        <f>SUM(Table1[[#This Row],[Math 
Score]],Table1[[#This Row],[History 
Score]],Table1[[#This Row],[Physics 
Score]],Table1[[#This Row],[Chemistry 
Score]],Table1[[#This Row],[Biology 
Score]],Table1[[#This Row],[English 
Score]],Table1[[#This Row],[Geography 
Score]])</f>
        <v>552</v>
      </c>
      <c r="AA1765" s="3">
        <f>AVERAGE(Table1[[#This Row],[Math 
Score]],Table1[[#This Row],[History 
Score]],Table1[[#This Row],[Physics 
Score]],Table1[[#This Row],[Chemistry 
Score]],Table1[[#This Row],[Biology 
Score]],Table1[[#This Row],[English 
Score]],Table1[[#This Row],[Geography 
Score]])</f>
        <v>78.857142857142861</v>
      </c>
      <c r="AB176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765">
        <f t="shared" si="27"/>
        <v>1306</v>
      </c>
      <c r="AD1765" t="str">
        <f>_xlfn.IFS(Table1[[#This Row],[Absence 
Days]]&lt;3,"Excellent",Table1[[#This Row],[Absence 
Days]]&lt;=6,"Good",Table1[[#This Row],[Absence 
Days]]&gt;6,"Poor")</f>
        <v>Good</v>
      </c>
    </row>
    <row r="1766" spans="1:30" x14ac:dyDescent="0.35">
      <c r="A1766">
        <v>1765</v>
      </c>
      <c r="B1766" s="2" t="s">
        <v>71</v>
      </c>
      <c r="C1766" t="s">
        <v>593</v>
      </c>
      <c r="D1766" t="str">
        <f>_xlfn.TEXTJOIN(" ",TRUE,Table1[[#This Row],[First 
Name]:[Last 
Name]])</f>
        <v>James Hernandez</v>
      </c>
      <c r="E1766" t="s">
        <v>2876</v>
      </c>
      <c r="F1766" t="s">
        <v>3244</v>
      </c>
      <c r="G1766" t="str">
        <f ca="1">PROPER(Table1[[#This Row],[Part Time 
Job]])</f>
        <v>False</v>
      </c>
      <c r="H1766" s="3">
        <v>10</v>
      </c>
      <c r="I1766" t="str">
        <f ca="1">PROPER(Table1[[#This Row],[Extracurricular 
Activities]])</f>
        <v>False</v>
      </c>
      <c r="J1766">
        <v>2</v>
      </c>
      <c r="K1766" t="s">
        <v>3119</v>
      </c>
      <c r="L1766">
        <v>73</v>
      </c>
      <c r="M1766" s="12" t="str" cm="1">
        <f t="array" ref="M1766">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766">
        <v>56</v>
      </c>
      <c r="O1766" s="13" t="str" cm="1">
        <f t="array" ref="O176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C</v>
      </c>
      <c r="P1766">
        <v>59</v>
      </c>
      <c r="Q1766" s="13" t="str" cm="1">
        <f t="array" ref="Q176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C</v>
      </c>
      <c r="R1766">
        <v>62</v>
      </c>
      <c r="S1766" t="str" cm="1">
        <f t="array" ref="S176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766">
        <v>58</v>
      </c>
      <c r="U1766" t="str" cm="1">
        <f t="array" ref="U176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C</v>
      </c>
      <c r="V1766">
        <v>83</v>
      </c>
      <c r="W1766" t="str" cm="1">
        <f t="array" ref="W176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766">
        <v>80</v>
      </c>
      <c r="Y1766" t="str" cm="1">
        <f t="array" ref="Y176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766">
        <f>SUM(Table1[[#This Row],[Math 
Score]],Table1[[#This Row],[History 
Score]],Table1[[#This Row],[Physics 
Score]],Table1[[#This Row],[Chemistry 
Score]],Table1[[#This Row],[Biology 
Score]],Table1[[#This Row],[English 
Score]],Table1[[#This Row],[Geography 
Score]])</f>
        <v>471</v>
      </c>
      <c r="AA1766" s="3">
        <f>AVERAGE(Table1[[#This Row],[Math 
Score]],Table1[[#This Row],[History 
Score]],Table1[[#This Row],[Physics 
Score]],Table1[[#This Row],[Chemistry 
Score]],Table1[[#This Row],[Biology 
Score]],Table1[[#This Row],[English 
Score]],Table1[[#This Row],[Geography 
Score]])</f>
        <v>67.285714285714292</v>
      </c>
      <c r="AB176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766">
        <f t="shared" si="27"/>
        <v>1957</v>
      </c>
      <c r="AD1766" t="str">
        <f>_xlfn.IFS(Table1[[#This Row],[Absence 
Days]]&lt;3,"Excellent",Table1[[#This Row],[Absence 
Days]]&lt;=6,"Good",Table1[[#This Row],[Absence 
Days]]&gt;6,"Poor")</f>
        <v>Poor</v>
      </c>
    </row>
    <row r="1767" spans="1:30" x14ac:dyDescent="0.35">
      <c r="A1767">
        <v>1766</v>
      </c>
      <c r="B1767" s="2" t="s">
        <v>85</v>
      </c>
      <c r="C1767" t="s">
        <v>1080</v>
      </c>
      <c r="D1767" t="str">
        <f>_xlfn.TEXTJOIN(" ",TRUE,Table1[[#This Row],[First 
Name]:[Last 
Name]])</f>
        <v>Erin Cannon</v>
      </c>
      <c r="E1767" t="s">
        <v>2877</v>
      </c>
      <c r="F1767" t="s">
        <v>3245</v>
      </c>
      <c r="G1767" t="str">
        <f ca="1">PROPER(Table1[[#This Row],[Part Time 
Job]])</f>
        <v>True</v>
      </c>
      <c r="H1767" s="3">
        <v>0</v>
      </c>
      <c r="I1767" t="str">
        <f ca="1">PROPER(Table1[[#This Row],[Extracurricular 
Activities]])</f>
        <v>False</v>
      </c>
      <c r="J1767">
        <v>34</v>
      </c>
      <c r="K1767" t="s">
        <v>3112</v>
      </c>
      <c r="L1767">
        <v>91</v>
      </c>
      <c r="M1767" s="12" t="str" cm="1">
        <f t="array" ref="M176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767">
        <v>85</v>
      </c>
      <c r="O1767" s="13" t="str" cm="1">
        <f t="array" ref="O176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767">
        <v>81</v>
      </c>
      <c r="Q1767" s="13" t="str" cm="1">
        <f t="array" ref="Q176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767">
        <v>93</v>
      </c>
      <c r="S1767" t="str" cm="1">
        <f t="array" ref="S176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767">
        <v>100</v>
      </c>
      <c r="U1767" t="str" cm="1">
        <f t="array" ref="U176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767">
        <v>87</v>
      </c>
      <c r="W1767" t="str" cm="1">
        <f t="array" ref="W176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767">
        <v>77</v>
      </c>
      <c r="Y1767" t="str" cm="1">
        <f t="array" ref="Y176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767">
        <f>SUM(Table1[[#This Row],[Math 
Score]],Table1[[#This Row],[History 
Score]],Table1[[#This Row],[Physics 
Score]],Table1[[#This Row],[Chemistry 
Score]],Table1[[#This Row],[Biology 
Score]],Table1[[#This Row],[English 
Score]],Table1[[#This Row],[Geography 
Score]])</f>
        <v>614</v>
      </c>
      <c r="AA1767" s="3">
        <f>AVERAGE(Table1[[#This Row],[Math 
Score]],Table1[[#This Row],[History 
Score]],Table1[[#This Row],[Physics 
Score]],Table1[[#This Row],[Chemistry 
Score]],Table1[[#This Row],[Biology 
Score]],Table1[[#This Row],[English 
Score]],Table1[[#This Row],[Geography 
Score]])</f>
        <v>87.714285714285708</v>
      </c>
      <c r="AB176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767">
        <f t="shared" si="27"/>
        <v>260</v>
      </c>
      <c r="AD1767" t="str">
        <f>_xlfn.IFS(Table1[[#This Row],[Absence 
Days]]&lt;3,"Excellent",Table1[[#This Row],[Absence 
Days]]&lt;=6,"Good",Table1[[#This Row],[Absence 
Days]]&gt;6,"Poor")</f>
        <v>Excellent</v>
      </c>
    </row>
    <row r="1768" spans="1:30" x14ac:dyDescent="0.35">
      <c r="A1768">
        <v>1767</v>
      </c>
      <c r="B1768" s="2" t="s">
        <v>203</v>
      </c>
      <c r="C1768" t="s">
        <v>326</v>
      </c>
      <c r="D1768" t="str">
        <f>_xlfn.TEXTJOIN(" ",TRUE,Table1[[#This Row],[First 
Name]:[Last 
Name]])</f>
        <v>Nicole Lee</v>
      </c>
      <c r="E1768" t="s">
        <v>2878</v>
      </c>
      <c r="F1768" t="s">
        <v>3245</v>
      </c>
      <c r="G1768" t="str">
        <f ca="1">PROPER(Table1[[#This Row],[Part Time 
Job]])</f>
        <v>False</v>
      </c>
      <c r="H1768" s="3">
        <v>7</v>
      </c>
      <c r="I1768" t="str">
        <f ca="1">PROPER(Table1[[#This Row],[Extracurricular 
Activities]])</f>
        <v>True</v>
      </c>
      <c r="J1768">
        <v>0</v>
      </c>
      <c r="K1768" t="s">
        <v>3119</v>
      </c>
      <c r="L1768">
        <v>76</v>
      </c>
      <c r="M1768" s="12" t="str" cm="1">
        <f t="array" ref="M176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768">
        <v>96</v>
      </c>
      <c r="O1768" s="13" t="str" cm="1">
        <f t="array" ref="O176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768">
        <v>89</v>
      </c>
      <c r="Q1768" s="13" t="str" cm="1">
        <f t="array" ref="Q176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768">
        <v>83</v>
      </c>
      <c r="S1768" t="str" cm="1">
        <f t="array" ref="S176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768">
        <v>78</v>
      </c>
      <c r="U1768" t="str" cm="1">
        <f t="array" ref="U176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768">
        <v>54</v>
      </c>
      <c r="W1768" t="str" cm="1">
        <f t="array" ref="W176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C</v>
      </c>
      <c r="X1768">
        <v>61</v>
      </c>
      <c r="Y1768" t="str" cm="1">
        <f t="array" ref="Y176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768">
        <f>SUM(Table1[[#This Row],[Math 
Score]],Table1[[#This Row],[History 
Score]],Table1[[#This Row],[Physics 
Score]],Table1[[#This Row],[Chemistry 
Score]],Table1[[#This Row],[Biology 
Score]],Table1[[#This Row],[English 
Score]],Table1[[#This Row],[Geography 
Score]])</f>
        <v>537</v>
      </c>
      <c r="AA1768" s="3">
        <f>AVERAGE(Table1[[#This Row],[Math 
Score]],Table1[[#This Row],[History 
Score]],Table1[[#This Row],[Physics 
Score]],Table1[[#This Row],[Chemistry 
Score]],Table1[[#This Row],[Biology 
Score]],Table1[[#This Row],[English 
Score]],Table1[[#This Row],[Geography 
Score]])</f>
        <v>76.714285714285708</v>
      </c>
      <c r="AB176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768">
        <f t="shared" si="27"/>
        <v>1553</v>
      </c>
      <c r="AD1768" t="str">
        <f>_xlfn.IFS(Table1[[#This Row],[Absence 
Days]]&lt;3,"Excellent",Table1[[#This Row],[Absence 
Days]]&lt;=6,"Good",Table1[[#This Row],[Absence 
Days]]&gt;6,"Poor")</f>
        <v>Poor</v>
      </c>
    </row>
    <row r="1769" spans="1:30" x14ac:dyDescent="0.35">
      <c r="A1769">
        <v>1768</v>
      </c>
      <c r="B1769" s="2" t="s">
        <v>52</v>
      </c>
      <c r="C1769" t="s">
        <v>293</v>
      </c>
      <c r="D1769" t="str">
        <f>_xlfn.TEXTJOIN(" ",TRUE,Table1[[#This Row],[First 
Name]:[Last 
Name]])</f>
        <v>Jacob Ross</v>
      </c>
      <c r="E1769" t="s">
        <v>2879</v>
      </c>
      <c r="F1769" t="s">
        <v>3244</v>
      </c>
      <c r="G1769" t="str">
        <f ca="1">PROPER(Table1[[#This Row],[Part Time 
Job]])</f>
        <v>False</v>
      </c>
      <c r="H1769" s="3">
        <v>4</v>
      </c>
      <c r="I1769" t="str">
        <f ca="1">PROPER(Table1[[#This Row],[Extracurricular 
Activities]])</f>
        <v>False</v>
      </c>
      <c r="J1769">
        <v>17</v>
      </c>
      <c r="K1769" t="s">
        <v>3117</v>
      </c>
      <c r="L1769">
        <v>86</v>
      </c>
      <c r="M1769" s="12" t="str" cm="1">
        <f t="array" ref="M176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769">
        <v>70</v>
      </c>
      <c r="O1769" s="13" t="str" cm="1">
        <f t="array" ref="O176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769">
        <v>94</v>
      </c>
      <c r="Q1769" s="13" t="str" cm="1">
        <f t="array" ref="Q176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769">
        <v>96</v>
      </c>
      <c r="S1769" t="str" cm="1">
        <f t="array" ref="S176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769">
        <v>74</v>
      </c>
      <c r="U1769" t="str" cm="1">
        <f t="array" ref="U176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769">
        <v>67</v>
      </c>
      <c r="W1769" t="str" cm="1">
        <f t="array" ref="W176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769">
        <v>60</v>
      </c>
      <c r="Y1769" t="str" cm="1">
        <f t="array" ref="Y176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769">
        <f>SUM(Table1[[#This Row],[Math 
Score]],Table1[[#This Row],[History 
Score]],Table1[[#This Row],[Physics 
Score]],Table1[[#This Row],[Chemistry 
Score]],Table1[[#This Row],[Biology 
Score]],Table1[[#This Row],[English 
Score]],Table1[[#This Row],[Geography 
Score]])</f>
        <v>547</v>
      </c>
      <c r="AA1769" s="3">
        <f>AVERAGE(Table1[[#This Row],[Math 
Score]],Table1[[#This Row],[History 
Score]],Table1[[#This Row],[Physics 
Score]],Table1[[#This Row],[Chemistry 
Score]],Table1[[#This Row],[Biology 
Score]],Table1[[#This Row],[English 
Score]],Table1[[#This Row],[Geography 
Score]])</f>
        <v>78.142857142857139</v>
      </c>
      <c r="AB176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769">
        <f t="shared" si="27"/>
        <v>1388</v>
      </c>
      <c r="AD1769" t="str">
        <f>_xlfn.IFS(Table1[[#This Row],[Absence 
Days]]&lt;3,"Excellent",Table1[[#This Row],[Absence 
Days]]&lt;=6,"Good",Table1[[#This Row],[Absence 
Days]]&gt;6,"Poor")</f>
        <v>Good</v>
      </c>
    </row>
    <row r="1770" spans="1:30" x14ac:dyDescent="0.35">
      <c r="A1770">
        <v>1769</v>
      </c>
      <c r="B1770" s="2" t="s">
        <v>250</v>
      </c>
      <c r="C1770" t="s">
        <v>1081</v>
      </c>
      <c r="D1770" t="str">
        <f>_xlfn.TEXTJOIN(" ",TRUE,Table1[[#This Row],[First 
Name]:[Last 
Name]])</f>
        <v>Morgan Cisneros</v>
      </c>
      <c r="E1770" t="s">
        <v>2880</v>
      </c>
      <c r="F1770" t="s">
        <v>3245</v>
      </c>
      <c r="G1770" t="str">
        <f ca="1">PROPER(Table1[[#This Row],[Part Time 
Job]])</f>
        <v>False</v>
      </c>
      <c r="H1770" s="3">
        <v>5</v>
      </c>
      <c r="I1770" t="str">
        <f ca="1">PROPER(Table1[[#This Row],[Extracurricular 
Activities]])</f>
        <v>False</v>
      </c>
      <c r="J1770">
        <v>10</v>
      </c>
      <c r="K1770" t="s">
        <v>3121</v>
      </c>
      <c r="L1770">
        <v>81</v>
      </c>
      <c r="M1770" s="12" t="str" cm="1">
        <f t="array" ref="M177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770">
        <v>77</v>
      </c>
      <c r="O1770" s="13" t="str" cm="1">
        <f t="array" ref="O177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770">
        <v>88</v>
      </c>
      <c r="Q1770" s="13" t="str" cm="1">
        <f t="array" ref="Q177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770">
        <v>92</v>
      </c>
      <c r="S1770" t="str" cm="1">
        <f t="array" ref="S177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770">
        <v>65</v>
      </c>
      <c r="U1770" t="str" cm="1">
        <f t="array" ref="U177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770">
        <v>92</v>
      </c>
      <c r="W1770" t="str" cm="1">
        <f t="array" ref="W177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770">
        <v>87</v>
      </c>
      <c r="Y1770" t="str" cm="1">
        <f t="array" ref="Y177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770">
        <f>SUM(Table1[[#This Row],[Math 
Score]],Table1[[#This Row],[History 
Score]],Table1[[#This Row],[Physics 
Score]],Table1[[#This Row],[Chemistry 
Score]],Table1[[#This Row],[Biology 
Score]],Table1[[#This Row],[English 
Score]],Table1[[#This Row],[Geography 
Score]])</f>
        <v>582</v>
      </c>
      <c r="AA1770" s="3">
        <f>AVERAGE(Table1[[#This Row],[Math 
Score]],Table1[[#This Row],[History 
Score]],Table1[[#This Row],[Physics 
Score]],Table1[[#This Row],[Chemistry 
Score]],Table1[[#This Row],[Biology 
Score]],Table1[[#This Row],[English 
Score]],Table1[[#This Row],[Geography 
Score]])</f>
        <v>83.142857142857139</v>
      </c>
      <c r="AB177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770">
        <f t="shared" si="27"/>
        <v>670</v>
      </c>
      <c r="AD1770" t="str">
        <f>_xlfn.IFS(Table1[[#This Row],[Absence 
Days]]&lt;3,"Excellent",Table1[[#This Row],[Absence 
Days]]&lt;=6,"Good",Table1[[#This Row],[Absence 
Days]]&gt;6,"Poor")</f>
        <v>Good</v>
      </c>
    </row>
    <row r="1771" spans="1:30" x14ac:dyDescent="0.35">
      <c r="A1771">
        <v>1770</v>
      </c>
      <c r="B1771" s="2" t="s">
        <v>368</v>
      </c>
      <c r="C1771" t="s">
        <v>1082</v>
      </c>
      <c r="D1771" t="str">
        <f>_xlfn.TEXTJOIN(" ",TRUE,Table1[[#This Row],[First 
Name]:[Last 
Name]])</f>
        <v>Amber Stuart</v>
      </c>
      <c r="E1771" t="s">
        <v>2881</v>
      </c>
      <c r="F1771" t="s">
        <v>3245</v>
      </c>
      <c r="G1771" t="str">
        <f ca="1">PROPER(Table1[[#This Row],[Part Time 
Job]])</f>
        <v>False</v>
      </c>
      <c r="H1771" s="3">
        <v>4</v>
      </c>
      <c r="I1771" t="str">
        <f ca="1">PROPER(Table1[[#This Row],[Extracurricular 
Activities]])</f>
        <v>True</v>
      </c>
      <c r="J1771">
        <v>35</v>
      </c>
      <c r="K1771" t="s">
        <v>3112</v>
      </c>
      <c r="L1771">
        <v>98</v>
      </c>
      <c r="M1771" s="12" t="str" cm="1">
        <f t="array" ref="M177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771">
        <v>88</v>
      </c>
      <c r="O1771" s="13" t="str" cm="1">
        <f t="array" ref="O177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771">
        <v>88</v>
      </c>
      <c r="Q1771" s="13" t="str" cm="1">
        <f t="array" ref="Q177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771">
        <v>89</v>
      </c>
      <c r="S1771" t="str" cm="1">
        <f t="array" ref="S177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771">
        <v>90</v>
      </c>
      <c r="U1771" t="str" cm="1">
        <f t="array" ref="U177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771">
        <v>90</v>
      </c>
      <c r="W1771" t="str" cm="1">
        <f t="array" ref="W177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771">
        <v>90</v>
      </c>
      <c r="Y1771" t="str" cm="1">
        <f t="array" ref="Y177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771">
        <f>SUM(Table1[[#This Row],[Math 
Score]],Table1[[#This Row],[History 
Score]],Table1[[#This Row],[Physics 
Score]],Table1[[#This Row],[Chemistry 
Score]],Table1[[#This Row],[Biology 
Score]],Table1[[#This Row],[English 
Score]],Table1[[#This Row],[Geography 
Score]])</f>
        <v>633</v>
      </c>
      <c r="AA1771" s="3">
        <f>AVERAGE(Table1[[#This Row],[Math 
Score]],Table1[[#This Row],[History 
Score]],Table1[[#This Row],[Physics 
Score]],Table1[[#This Row],[Chemistry 
Score]],Table1[[#This Row],[Biology 
Score]],Table1[[#This Row],[English 
Score]],Table1[[#This Row],[Geography 
Score]])</f>
        <v>90.428571428571431</v>
      </c>
      <c r="AB177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771">
        <f t="shared" si="27"/>
        <v>137</v>
      </c>
      <c r="AD1771" t="str">
        <f>_xlfn.IFS(Table1[[#This Row],[Absence 
Days]]&lt;3,"Excellent",Table1[[#This Row],[Absence 
Days]]&lt;=6,"Good",Table1[[#This Row],[Absence 
Days]]&gt;6,"Poor")</f>
        <v>Good</v>
      </c>
    </row>
    <row r="1772" spans="1:30" x14ac:dyDescent="0.35">
      <c r="A1772">
        <v>1771</v>
      </c>
      <c r="B1772" s="2" t="s">
        <v>267</v>
      </c>
      <c r="C1772" t="s">
        <v>472</v>
      </c>
      <c r="D1772" t="str">
        <f>_xlfn.TEXTJOIN(" ",TRUE,Table1[[#This Row],[First 
Name]:[Last 
Name]])</f>
        <v>Tyler Griffin</v>
      </c>
      <c r="E1772" t="s">
        <v>2882</v>
      </c>
      <c r="F1772" t="s">
        <v>3244</v>
      </c>
      <c r="G1772" t="str">
        <f ca="1">PROPER(Table1[[#This Row],[Part Time 
Job]])</f>
        <v>False</v>
      </c>
      <c r="H1772" s="3">
        <v>3</v>
      </c>
      <c r="I1772" t="str">
        <f ca="1">PROPER(Table1[[#This Row],[Extracurricular 
Activities]])</f>
        <v>False</v>
      </c>
      <c r="J1772">
        <v>27</v>
      </c>
      <c r="K1772" t="s">
        <v>3117</v>
      </c>
      <c r="L1772">
        <v>88</v>
      </c>
      <c r="M1772" s="12" t="str" cm="1">
        <f t="array" ref="M177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772">
        <v>67</v>
      </c>
      <c r="O1772" s="13" t="str" cm="1">
        <f t="array" ref="O177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772">
        <v>96</v>
      </c>
      <c r="Q1772" s="13" t="str" cm="1">
        <f t="array" ref="Q177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772">
        <v>70</v>
      </c>
      <c r="S1772" t="str" cm="1">
        <f t="array" ref="S177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772">
        <v>66</v>
      </c>
      <c r="U1772" t="str" cm="1">
        <f t="array" ref="U177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772">
        <v>76</v>
      </c>
      <c r="W1772" t="str" cm="1">
        <f t="array" ref="W177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772">
        <v>71</v>
      </c>
      <c r="Y1772" t="str" cm="1">
        <f t="array" ref="Y177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772">
        <f>SUM(Table1[[#This Row],[Math 
Score]],Table1[[#This Row],[History 
Score]],Table1[[#This Row],[Physics 
Score]],Table1[[#This Row],[Chemistry 
Score]],Table1[[#This Row],[Biology 
Score]],Table1[[#This Row],[English 
Score]],Table1[[#This Row],[Geography 
Score]])</f>
        <v>534</v>
      </c>
      <c r="AA1772" s="3">
        <f>AVERAGE(Table1[[#This Row],[Math 
Score]],Table1[[#This Row],[History 
Score]],Table1[[#This Row],[Physics 
Score]],Table1[[#This Row],[Chemistry 
Score]],Table1[[#This Row],[Biology 
Score]],Table1[[#This Row],[English 
Score]],Table1[[#This Row],[Geography 
Score]])</f>
        <v>76.285714285714292</v>
      </c>
      <c r="AB177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772">
        <f t="shared" si="27"/>
        <v>1595</v>
      </c>
      <c r="AD1772" t="str">
        <f>_xlfn.IFS(Table1[[#This Row],[Absence 
Days]]&lt;3,"Excellent",Table1[[#This Row],[Absence 
Days]]&lt;=6,"Good",Table1[[#This Row],[Absence 
Days]]&gt;6,"Poor")</f>
        <v>Good</v>
      </c>
    </row>
    <row r="1773" spans="1:30" x14ac:dyDescent="0.35">
      <c r="A1773">
        <v>1772</v>
      </c>
      <c r="B1773" s="2" t="s">
        <v>231</v>
      </c>
      <c r="C1773" t="s">
        <v>542</v>
      </c>
      <c r="D1773" t="str">
        <f>_xlfn.TEXTJOIN(" ",TRUE,Table1[[#This Row],[First 
Name]:[Last 
Name]])</f>
        <v>Daniel Gonzalez</v>
      </c>
      <c r="E1773" t="s">
        <v>2883</v>
      </c>
      <c r="F1773" t="s">
        <v>3244</v>
      </c>
      <c r="G1773" t="str">
        <f ca="1">PROPER(Table1[[#This Row],[Part Time 
Job]])</f>
        <v>False</v>
      </c>
      <c r="H1773" s="3">
        <v>2</v>
      </c>
      <c r="I1773" t="str">
        <f ca="1">PROPER(Table1[[#This Row],[Extracurricular 
Activities]])</f>
        <v>True</v>
      </c>
      <c r="J1773">
        <v>30</v>
      </c>
      <c r="K1773" t="s">
        <v>3120</v>
      </c>
      <c r="L1773">
        <v>85</v>
      </c>
      <c r="M1773" s="12" t="str" cm="1">
        <f t="array" ref="M177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773">
        <v>83</v>
      </c>
      <c r="O1773" s="13" t="str" cm="1">
        <f t="array" ref="O177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773">
        <v>94</v>
      </c>
      <c r="Q1773" s="13" t="str" cm="1">
        <f t="array" ref="Q177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773">
        <v>100</v>
      </c>
      <c r="S1773" t="str" cm="1">
        <f t="array" ref="S177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773">
        <v>89</v>
      </c>
      <c r="U1773" t="str" cm="1">
        <f t="array" ref="U177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773">
        <v>68</v>
      </c>
      <c r="W1773" t="str" cm="1">
        <f t="array" ref="W177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773">
        <v>89</v>
      </c>
      <c r="Y1773" t="str" cm="1">
        <f t="array" ref="Y177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773">
        <f>SUM(Table1[[#This Row],[Math 
Score]],Table1[[#This Row],[History 
Score]],Table1[[#This Row],[Physics 
Score]],Table1[[#This Row],[Chemistry 
Score]],Table1[[#This Row],[Biology 
Score]],Table1[[#This Row],[English 
Score]],Table1[[#This Row],[Geography 
Score]])</f>
        <v>608</v>
      </c>
      <c r="AA1773" s="3">
        <f>AVERAGE(Table1[[#This Row],[Math 
Score]],Table1[[#This Row],[History 
Score]],Table1[[#This Row],[Physics 
Score]],Table1[[#This Row],[Chemistry 
Score]],Table1[[#This Row],[Biology 
Score]],Table1[[#This Row],[English 
Score]],Table1[[#This Row],[Geography 
Score]])</f>
        <v>86.857142857142861</v>
      </c>
      <c r="AB177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773">
        <f t="shared" si="27"/>
        <v>318</v>
      </c>
      <c r="AD1773" t="str">
        <f>_xlfn.IFS(Table1[[#This Row],[Absence 
Days]]&lt;3,"Excellent",Table1[[#This Row],[Absence 
Days]]&lt;=6,"Good",Table1[[#This Row],[Absence 
Days]]&gt;6,"Poor")</f>
        <v>Excellent</v>
      </c>
    </row>
    <row r="1774" spans="1:30" x14ac:dyDescent="0.35">
      <c r="A1774">
        <v>1773</v>
      </c>
      <c r="B1774" s="2" t="s">
        <v>149</v>
      </c>
      <c r="C1774" t="s">
        <v>532</v>
      </c>
      <c r="D1774" t="str">
        <f>_xlfn.TEXTJOIN(" ",TRUE,Table1[[#This Row],[First 
Name]:[Last 
Name]])</f>
        <v>Joseph Jones</v>
      </c>
      <c r="E1774" t="s">
        <v>2884</v>
      </c>
      <c r="F1774" t="s">
        <v>3244</v>
      </c>
      <c r="G1774" t="str">
        <f ca="1">PROPER(Table1[[#This Row],[Part Time 
Job]])</f>
        <v>False</v>
      </c>
      <c r="H1774" s="3">
        <v>2</v>
      </c>
      <c r="I1774" t="str">
        <f ca="1">PROPER(Table1[[#This Row],[Extracurricular 
Activities]])</f>
        <v>False</v>
      </c>
      <c r="J1774">
        <v>35</v>
      </c>
      <c r="K1774" t="s">
        <v>3112</v>
      </c>
      <c r="L1774">
        <v>90</v>
      </c>
      <c r="M1774" s="12" t="str" cm="1">
        <f t="array" ref="M177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774">
        <v>89</v>
      </c>
      <c r="O1774" s="13" t="str" cm="1">
        <f t="array" ref="O177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774">
        <v>96</v>
      </c>
      <c r="Q1774" s="13" t="str" cm="1">
        <f t="array" ref="Q177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774">
        <v>94</v>
      </c>
      <c r="S1774" t="str" cm="1">
        <f t="array" ref="S177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774">
        <v>100</v>
      </c>
      <c r="U1774" t="str" cm="1">
        <f t="array" ref="U177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774">
        <v>88</v>
      </c>
      <c r="W1774" t="str" cm="1">
        <f t="array" ref="W177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774">
        <v>85</v>
      </c>
      <c r="Y1774" t="str" cm="1">
        <f t="array" ref="Y177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774">
        <f>SUM(Table1[[#This Row],[Math 
Score]],Table1[[#This Row],[History 
Score]],Table1[[#This Row],[Physics 
Score]],Table1[[#This Row],[Chemistry 
Score]],Table1[[#This Row],[Biology 
Score]],Table1[[#This Row],[English 
Score]],Table1[[#This Row],[Geography 
Score]])</f>
        <v>642</v>
      </c>
      <c r="AA1774" s="3">
        <f>AVERAGE(Table1[[#This Row],[Math 
Score]],Table1[[#This Row],[History 
Score]],Table1[[#This Row],[Physics 
Score]],Table1[[#This Row],[Chemistry 
Score]],Table1[[#This Row],[Biology 
Score]],Table1[[#This Row],[English 
Score]],Table1[[#This Row],[Geography 
Score]])</f>
        <v>91.714285714285708</v>
      </c>
      <c r="AB177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774">
        <f t="shared" si="27"/>
        <v>90</v>
      </c>
      <c r="AD1774" t="str">
        <f>_xlfn.IFS(Table1[[#This Row],[Absence 
Days]]&lt;3,"Excellent",Table1[[#This Row],[Absence 
Days]]&lt;=6,"Good",Table1[[#This Row],[Absence 
Days]]&gt;6,"Poor")</f>
        <v>Excellent</v>
      </c>
    </row>
    <row r="1775" spans="1:30" x14ac:dyDescent="0.35">
      <c r="A1775">
        <v>1774</v>
      </c>
      <c r="B1775" s="2" t="s">
        <v>102</v>
      </c>
      <c r="C1775" t="s">
        <v>760</v>
      </c>
      <c r="D1775" t="str">
        <f>_xlfn.TEXTJOIN(" ",TRUE,Table1[[#This Row],[First 
Name]:[Last 
Name]])</f>
        <v>Jessica Hampton</v>
      </c>
      <c r="E1775" t="s">
        <v>2885</v>
      </c>
      <c r="F1775" t="s">
        <v>3245</v>
      </c>
      <c r="G1775" t="str">
        <f ca="1">PROPER(Table1[[#This Row],[Part Time 
Job]])</f>
        <v>True</v>
      </c>
      <c r="H1775" s="3">
        <v>5</v>
      </c>
      <c r="I1775" t="str">
        <f ca="1">PROPER(Table1[[#This Row],[Extracurricular 
Activities]])</f>
        <v>False</v>
      </c>
      <c r="J1775">
        <v>5</v>
      </c>
      <c r="K1775" t="s">
        <v>3126</v>
      </c>
      <c r="L1775">
        <v>97</v>
      </c>
      <c r="M1775" s="12" t="str" cm="1">
        <f t="array" ref="M177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775">
        <v>83</v>
      </c>
      <c r="O1775" s="13" t="str" cm="1">
        <f t="array" ref="O177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775">
        <v>93</v>
      </c>
      <c r="Q1775" s="13" t="str" cm="1">
        <f t="array" ref="Q177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775">
        <v>67</v>
      </c>
      <c r="S1775" t="str" cm="1">
        <f t="array" ref="S177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775">
        <v>85</v>
      </c>
      <c r="U1775" t="str" cm="1">
        <f t="array" ref="U177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775">
        <v>63</v>
      </c>
      <c r="W1775" t="str" cm="1">
        <f t="array" ref="W177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775">
        <v>66</v>
      </c>
      <c r="Y1775" t="str" cm="1">
        <f t="array" ref="Y177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775">
        <f>SUM(Table1[[#This Row],[Math 
Score]],Table1[[#This Row],[History 
Score]],Table1[[#This Row],[Physics 
Score]],Table1[[#This Row],[Chemistry 
Score]],Table1[[#This Row],[Biology 
Score]],Table1[[#This Row],[English 
Score]],Table1[[#This Row],[Geography 
Score]])</f>
        <v>554</v>
      </c>
      <c r="AA1775" s="3">
        <f>AVERAGE(Table1[[#This Row],[Math 
Score]],Table1[[#This Row],[History 
Score]],Table1[[#This Row],[Physics 
Score]],Table1[[#This Row],[Chemistry 
Score]],Table1[[#This Row],[Biology 
Score]],Table1[[#This Row],[English 
Score]],Table1[[#This Row],[Geography 
Score]])</f>
        <v>79.142857142857139</v>
      </c>
      <c r="AB177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775">
        <f t="shared" si="27"/>
        <v>1264</v>
      </c>
      <c r="AD1775" t="str">
        <f>_xlfn.IFS(Table1[[#This Row],[Absence 
Days]]&lt;3,"Excellent",Table1[[#This Row],[Absence 
Days]]&lt;=6,"Good",Table1[[#This Row],[Absence 
Days]]&gt;6,"Poor")</f>
        <v>Good</v>
      </c>
    </row>
    <row r="1776" spans="1:30" x14ac:dyDescent="0.35">
      <c r="A1776">
        <v>1775</v>
      </c>
      <c r="B1776" s="2" t="s">
        <v>216</v>
      </c>
      <c r="C1776" t="s">
        <v>522</v>
      </c>
      <c r="D1776" t="str">
        <f>_xlfn.TEXTJOIN(" ",TRUE,Table1[[#This Row],[First 
Name]:[Last 
Name]])</f>
        <v>Deborah Butler</v>
      </c>
      <c r="E1776" t="s">
        <v>2886</v>
      </c>
      <c r="F1776" t="s">
        <v>3245</v>
      </c>
      <c r="G1776" t="str">
        <f ca="1">PROPER(Table1[[#This Row],[Part Time 
Job]])</f>
        <v>False</v>
      </c>
      <c r="H1776" s="3">
        <v>6</v>
      </c>
      <c r="I1776" t="str">
        <f ca="1">PROPER(Table1[[#This Row],[Extracurricular 
Activities]])</f>
        <v>True</v>
      </c>
      <c r="J1776">
        <v>10</v>
      </c>
      <c r="K1776" t="s">
        <v>3114</v>
      </c>
      <c r="L1776">
        <v>78</v>
      </c>
      <c r="M1776" s="12" t="str" cm="1">
        <f t="array" ref="M177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776">
        <v>84</v>
      </c>
      <c r="O1776" s="13" t="str" cm="1">
        <f t="array" ref="O177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776">
        <v>71</v>
      </c>
      <c r="Q1776" s="13" t="str" cm="1">
        <f t="array" ref="Q177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776">
        <v>93</v>
      </c>
      <c r="S1776" t="str" cm="1">
        <f t="array" ref="S177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776">
        <v>78</v>
      </c>
      <c r="U1776" t="str" cm="1">
        <f t="array" ref="U177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776">
        <v>78</v>
      </c>
      <c r="W1776" t="str" cm="1">
        <f t="array" ref="W177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776">
        <v>87</v>
      </c>
      <c r="Y1776" t="str" cm="1">
        <f t="array" ref="Y177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776">
        <f>SUM(Table1[[#This Row],[Math 
Score]],Table1[[#This Row],[History 
Score]],Table1[[#This Row],[Physics 
Score]],Table1[[#This Row],[Chemistry 
Score]],Table1[[#This Row],[Biology 
Score]],Table1[[#This Row],[English 
Score]],Table1[[#This Row],[Geography 
Score]])</f>
        <v>569</v>
      </c>
      <c r="AA1776" s="3">
        <f>AVERAGE(Table1[[#This Row],[Math 
Score]],Table1[[#This Row],[History 
Score]],Table1[[#This Row],[Physics 
Score]],Table1[[#This Row],[Chemistry 
Score]],Table1[[#This Row],[Biology 
Score]],Table1[[#This Row],[English 
Score]],Table1[[#This Row],[Geography 
Score]])</f>
        <v>81.285714285714292</v>
      </c>
      <c r="AB177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776">
        <f t="shared" si="27"/>
        <v>957</v>
      </c>
      <c r="AD1776" t="str">
        <f>_xlfn.IFS(Table1[[#This Row],[Absence 
Days]]&lt;3,"Excellent",Table1[[#This Row],[Absence 
Days]]&lt;=6,"Good",Table1[[#This Row],[Absence 
Days]]&gt;6,"Poor")</f>
        <v>Good</v>
      </c>
    </row>
    <row r="1777" spans="1:30" x14ac:dyDescent="0.35">
      <c r="A1777">
        <v>1776</v>
      </c>
      <c r="B1777" s="2" t="s">
        <v>112</v>
      </c>
      <c r="C1777" t="s">
        <v>1037</v>
      </c>
      <c r="D1777" t="str">
        <f>_xlfn.TEXTJOIN(" ",TRUE,Table1[[#This Row],[First 
Name]:[Last 
Name]])</f>
        <v>Julie Black</v>
      </c>
      <c r="E1777" t="s">
        <v>2887</v>
      </c>
      <c r="F1777" t="s">
        <v>3245</v>
      </c>
      <c r="G1777" t="str">
        <f ca="1">PROPER(Table1[[#This Row],[Part Time 
Job]])</f>
        <v>True</v>
      </c>
      <c r="H1777" s="3">
        <v>8</v>
      </c>
      <c r="I1777" t="str">
        <f ca="1">PROPER(Table1[[#This Row],[Extracurricular 
Activities]])</f>
        <v>False</v>
      </c>
      <c r="J1777">
        <v>1</v>
      </c>
      <c r="K1777" t="s">
        <v>3119</v>
      </c>
      <c r="L1777">
        <v>53</v>
      </c>
      <c r="M1777" s="12" t="str" cm="1">
        <f t="array" ref="M1777">_xlfn.IFS(Table1[[#This Row],[Math 
Score]]&gt;=90,"A+",Table1[[#This Row],[Math 
Score]]&gt;=80,"A", Table1[[#This Row],[Math 
Score]]&gt;=75,"A-",Table1[[#This Row],[Math 
Score]]&gt;=70,"B+",Table1[[#This Row],[Math 
Score]]&gt;=65,"B",Table1[[#This Row],[Math 
Score]]&gt;=60,"B-",Table1[[#This Row],[Math 
Score]]&gt;=50,"C",Table1[[#This Row],[Math 
Score]]&gt;=40,"D",Table1[[#This Row],[Math 
Score]]&lt;40,"F")</f>
        <v>C</v>
      </c>
      <c r="N1777">
        <v>98</v>
      </c>
      <c r="O1777" s="13" t="str" cm="1">
        <f t="array" ref="O177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777">
        <v>90</v>
      </c>
      <c r="Q1777" s="13" t="str" cm="1">
        <f t="array" ref="Q177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777">
        <v>81</v>
      </c>
      <c r="S1777" t="str" cm="1">
        <f t="array" ref="S177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777">
        <v>61</v>
      </c>
      <c r="U1777" t="str" cm="1">
        <f t="array" ref="U177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777">
        <v>65</v>
      </c>
      <c r="W1777" t="str" cm="1">
        <f t="array" ref="W177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777">
        <v>93</v>
      </c>
      <c r="Y1777" t="str" cm="1">
        <f t="array" ref="Y177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777">
        <f>SUM(Table1[[#This Row],[Math 
Score]],Table1[[#This Row],[History 
Score]],Table1[[#This Row],[Physics 
Score]],Table1[[#This Row],[Chemistry 
Score]],Table1[[#This Row],[Biology 
Score]],Table1[[#This Row],[English 
Score]],Table1[[#This Row],[Geography 
Score]])</f>
        <v>541</v>
      </c>
      <c r="AA1777" s="3">
        <f>AVERAGE(Table1[[#This Row],[Math 
Score]],Table1[[#This Row],[History 
Score]],Table1[[#This Row],[Physics 
Score]],Table1[[#This Row],[Chemistry 
Score]],Table1[[#This Row],[Biology 
Score]],Table1[[#This Row],[English 
Score]],Table1[[#This Row],[Geography 
Score]])</f>
        <v>77.285714285714292</v>
      </c>
      <c r="AB177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777">
        <f t="shared" si="27"/>
        <v>1493</v>
      </c>
      <c r="AD1777" t="str">
        <f>_xlfn.IFS(Table1[[#This Row],[Absence 
Days]]&lt;3,"Excellent",Table1[[#This Row],[Absence 
Days]]&lt;=6,"Good",Table1[[#This Row],[Absence 
Days]]&gt;6,"Poor")</f>
        <v>Poor</v>
      </c>
    </row>
    <row r="1778" spans="1:30" x14ac:dyDescent="0.35">
      <c r="A1778">
        <v>1777</v>
      </c>
      <c r="B1778" s="2" t="s">
        <v>268</v>
      </c>
      <c r="C1778" t="s">
        <v>1083</v>
      </c>
      <c r="D1778" t="str">
        <f>_xlfn.TEXTJOIN(" ",TRUE,Table1[[#This Row],[First 
Name]:[Last 
Name]])</f>
        <v>Bryan Dorsey</v>
      </c>
      <c r="E1778" t="s">
        <v>2888</v>
      </c>
      <c r="F1778" t="s">
        <v>3244</v>
      </c>
      <c r="G1778" t="str">
        <f ca="1">PROPER(Table1[[#This Row],[Part Time 
Job]])</f>
        <v>True</v>
      </c>
      <c r="H1778" s="3">
        <v>10</v>
      </c>
      <c r="I1778" t="str">
        <f ca="1">PROPER(Table1[[#This Row],[Extracurricular 
Activities]])</f>
        <v>False</v>
      </c>
      <c r="J1778">
        <v>0</v>
      </c>
      <c r="K1778" t="s">
        <v>3119</v>
      </c>
      <c r="L1778">
        <v>77</v>
      </c>
      <c r="M1778" s="12" t="str" cm="1">
        <f t="array" ref="M177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778">
        <v>53</v>
      </c>
      <c r="O1778" s="13" t="str" cm="1">
        <f t="array" ref="O177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C</v>
      </c>
      <c r="P1778">
        <v>92</v>
      </c>
      <c r="Q1778" s="13" t="str" cm="1">
        <f t="array" ref="Q177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778">
        <v>98</v>
      </c>
      <c r="S1778" t="str" cm="1">
        <f t="array" ref="S177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778">
        <v>56</v>
      </c>
      <c r="U1778" t="str" cm="1">
        <f t="array" ref="U177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C</v>
      </c>
      <c r="V1778">
        <v>53</v>
      </c>
      <c r="W1778" t="str" cm="1">
        <f t="array" ref="W177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C</v>
      </c>
      <c r="X1778">
        <v>93</v>
      </c>
      <c r="Y1778" t="str" cm="1">
        <f t="array" ref="Y177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778">
        <f>SUM(Table1[[#This Row],[Math 
Score]],Table1[[#This Row],[History 
Score]],Table1[[#This Row],[Physics 
Score]],Table1[[#This Row],[Chemistry 
Score]],Table1[[#This Row],[Biology 
Score]],Table1[[#This Row],[English 
Score]],Table1[[#This Row],[Geography 
Score]])</f>
        <v>522</v>
      </c>
      <c r="AA1778" s="3">
        <f>AVERAGE(Table1[[#This Row],[Math 
Score]],Table1[[#This Row],[History 
Score]],Table1[[#This Row],[Physics 
Score]],Table1[[#This Row],[Chemistry 
Score]],Table1[[#This Row],[Biology 
Score]],Table1[[#This Row],[English 
Score]],Table1[[#This Row],[Geography 
Score]])</f>
        <v>74.571428571428569</v>
      </c>
      <c r="AB177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778">
        <f t="shared" si="27"/>
        <v>1739</v>
      </c>
      <c r="AD1778" t="str">
        <f>_xlfn.IFS(Table1[[#This Row],[Absence 
Days]]&lt;3,"Excellent",Table1[[#This Row],[Absence 
Days]]&lt;=6,"Good",Table1[[#This Row],[Absence 
Days]]&gt;6,"Poor")</f>
        <v>Poor</v>
      </c>
    </row>
    <row r="1779" spans="1:30" x14ac:dyDescent="0.35">
      <c r="A1779">
        <v>1778</v>
      </c>
      <c r="B1779" s="2" t="s">
        <v>145</v>
      </c>
      <c r="C1779" t="s">
        <v>464</v>
      </c>
      <c r="D1779" t="str">
        <f>_xlfn.TEXTJOIN(" ",TRUE,Table1[[#This Row],[First 
Name]:[Last 
Name]])</f>
        <v>Chad Gomez</v>
      </c>
      <c r="E1779" t="s">
        <v>2889</v>
      </c>
      <c r="F1779" t="s">
        <v>3244</v>
      </c>
      <c r="G1779" t="str">
        <f ca="1">PROPER(Table1[[#This Row],[Part Time 
Job]])</f>
        <v>True</v>
      </c>
      <c r="H1779" s="3">
        <v>3</v>
      </c>
      <c r="I1779" t="str">
        <f ca="1">PROPER(Table1[[#This Row],[Extracurricular 
Activities]])</f>
        <v>False</v>
      </c>
      <c r="J1779">
        <v>30</v>
      </c>
      <c r="K1779" t="s">
        <v>3112</v>
      </c>
      <c r="L1779">
        <v>97</v>
      </c>
      <c r="M1779" s="12" t="str" cm="1">
        <f t="array" ref="M177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779">
        <v>88</v>
      </c>
      <c r="O1779" s="13" t="str" cm="1">
        <f t="array" ref="O177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779">
        <v>94</v>
      </c>
      <c r="Q1779" s="13" t="str" cm="1">
        <f t="array" ref="Q177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779">
        <v>75</v>
      </c>
      <c r="S1779" t="str" cm="1">
        <f t="array" ref="S177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779">
        <v>66</v>
      </c>
      <c r="U1779" t="str" cm="1">
        <f t="array" ref="U177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779">
        <v>91</v>
      </c>
      <c r="W1779" t="str" cm="1">
        <f t="array" ref="W177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779">
        <v>64</v>
      </c>
      <c r="Y1779" t="str" cm="1">
        <f t="array" ref="Y177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779">
        <f>SUM(Table1[[#This Row],[Math 
Score]],Table1[[#This Row],[History 
Score]],Table1[[#This Row],[Physics 
Score]],Table1[[#This Row],[Chemistry 
Score]],Table1[[#This Row],[Biology 
Score]],Table1[[#This Row],[English 
Score]],Table1[[#This Row],[Geography 
Score]])</f>
        <v>575</v>
      </c>
      <c r="AA1779" s="3">
        <f>AVERAGE(Table1[[#This Row],[Math 
Score]],Table1[[#This Row],[History 
Score]],Table1[[#This Row],[Physics 
Score]],Table1[[#This Row],[Chemistry 
Score]],Table1[[#This Row],[Biology 
Score]],Table1[[#This Row],[English 
Score]],Table1[[#This Row],[Geography 
Score]])</f>
        <v>82.142857142857139</v>
      </c>
      <c r="AB177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779">
        <f t="shared" si="27"/>
        <v>807</v>
      </c>
      <c r="AD1779" t="str">
        <f>_xlfn.IFS(Table1[[#This Row],[Absence 
Days]]&lt;3,"Excellent",Table1[[#This Row],[Absence 
Days]]&lt;=6,"Good",Table1[[#This Row],[Absence 
Days]]&gt;6,"Poor")</f>
        <v>Good</v>
      </c>
    </row>
    <row r="1780" spans="1:30" x14ac:dyDescent="0.35">
      <c r="A1780">
        <v>1779</v>
      </c>
      <c r="B1780" s="2" t="s">
        <v>93</v>
      </c>
      <c r="C1780" t="s">
        <v>455</v>
      </c>
      <c r="D1780" t="str">
        <f>_xlfn.TEXTJOIN(" ",TRUE,Table1[[#This Row],[First 
Name]:[Last 
Name]])</f>
        <v>Andrew Clark</v>
      </c>
      <c r="E1780" t="s">
        <v>2890</v>
      </c>
      <c r="F1780" t="s">
        <v>3244</v>
      </c>
      <c r="G1780" t="str">
        <f ca="1">PROPER(Table1[[#This Row],[Part Time 
Job]])</f>
        <v>False</v>
      </c>
      <c r="H1780" s="3">
        <v>4</v>
      </c>
      <c r="I1780" t="str">
        <f ca="1">PROPER(Table1[[#This Row],[Extracurricular 
Activities]])</f>
        <v>False</v>
      </c>
      <c r="J1780">
        <v>3</v>
      </c>
      <c r="K1780" t="s">
        <v>3119</v>
      </c>
      <c r="L1780">
        <v>88</v>
      </c>
      <c r="M1780" s="12" t="str" cm="1">
        <f t="array" ref="M178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780">
        <v>100</v>
      </c>
      <c r="O1780" s="13" t="str" cm="1">
        <f t="array" ref="O178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780">
        <v>58</v>
      </c>
      <c r="Q1780" s="13" t="str" cm="1">
        <f t="array" ref="Q178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C</v>
      </c>
      <c r="R1780">
        <v>59</v>
      </c>
      <c r="S1780" t="str" cm="1">
        <f t="array" ref="S178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C</v>
      </c>
      <c r="T1780">
        <v>96</v>
      </c>
      <c r="U1780" t="str" cm="1">
        <f t="array" ref="U178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780">
        <v>64</v>
      </c>
      <c r="W1780" t="str" cm="1">
        <f t="array" ref="W178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780">
        <v>87</v>
      </c>
      <c r="Y1780" t="str" cm="1">
        <f t="array" ref="Y178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780">
        <f>SUM(Table1[[#This Row],[Math 
Score]],Table1[[#This Row],[History 
Score]],Table1[[#This Row],[Physics 
Score]],Table1[[#This Row],[Chemistry 
Score]],Table1[[#This Row],[Biology 
Score]],Table1[[#This Row],[English 
Score]],Table1[[#This Row],[Geography 
Score]])</f>
        <v>552</v>
      </c>
      <c r="AA1780" s="3">
        <f>AVERAGE(Table1[[#This Row],[Math 
Score]],Table1[[#This Row],[History 
Score]],Table1[[#This Row],[Physics 
Score]],Table1[[#This Row],[Chemistry 
Score]],Table1[[#This Row],[Biology 
Score]],Table1[[#This Row],[English 
Score]],Table1[[#This Row],[Geography 
Score]])</f>
        <v>78.857142857142861</v>
      </c>
      <c r="AB178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780">
        <f t="shared" si="27"/>
        <v>1306</v>
      </c>
      <c r="AD1780" t="str">
        <f>_xlfn.IFS(Table1[[#This Row],[Absence 
Days]]&lt;3,"Excellent",Table1[[#This Row],[Absence 
Days]]&lt;=6,"Good",Table1[[#This Row],[Absence 
Days]]&gt;6,"Poor")</f>
        <v>Good</v>
      </c>
    </row>
    <row r="1781" spans="1:30" x14ac:dyDescent="0.35">
      <c r="A1781">
        <v>1780</v>
      </c>
      <c r="B1781" s="2" t="s">
        <v>56</v>
      </c>
      <c r="C1781" t="s">
        <v>538</v>
      </c>
      <c r="D1781" t="str">
        <f>_xlfn.TEXTJOIN(" ",TRUE,Table1[[#This Row],[First 
Name]:[Last 
Name]])</f>
        <v>Brian Wright</v>
      </c>
      <c r="E1781" t="s">
        <v>2891</v>
      </c>
      <c r="F1781" t="s">
        <v>3244</v>
      </c>
      <c r="G1781" t="str">
        <f ca="1">PROPER(Table1[[#This Row],[Part Time 
Job]])</f>
        <v>False</v>
      </c>
      <c r="H1781" s="3">
        <v>3</v>
      </c>
      <c r="I1781" t="str">
        <f ca="1">PROPER(Table1[[#This Row],[Extracurricular 
Activities]])</f>
        <v>True</v>
      </c>
      <c r="J1781">
        <v>18</v>
      </c>
      <c r="K1781" t="s">
        <v>3125</v>
      </c>
      <c r="L1781">
        <v>98</v>
      </c>
      <c r="M1781" s="12" t="str" cm="1">
        <f t="array" ref="M178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781">
        <v>67</v>
      </c>
      <c r="O1781" s="13" t="str" cm="1">
        <f t="array" ref="O178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781">
        <v>80</v>
      </c>
      <c r="Q1781" s="13" t="str" cm="1">
        <f t="array" ref="Q178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781">
        <v>68</v>
      </c>
      <c r="S1781" t="str" cm="1">
        <f t="array" ref="S178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781">
        <v>80</v>
      </c>
      <c r="U1781" t="str" cm="1">
        <f t="array" ref="U178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781">
        <v>88</v>
      </c>
      <c r="W1781" t="str" cm="1">
        <f t="array" ref="W178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781">
        <v>85</v>
      </c>
      <c r="Y1781" t="str" cm="1">
        <f t="array" ref="Y178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781">
        <f>SUM(Table1[[#This Row],[Math 
Score]],Table1[[#This Row],[History 
Score]],Table1[[#This Row],[Physics 
Score]],Table1[[#This Row],[Chemistry 
Score]],Table1[[#This Row],[Biology 
Score]],Table1[[#This Row],[English 
Score]],Table1[[#This Row],[Geography 
Score]])</f>
        <v>566</v>
      </c>
      <c r="AA1781" s="3">
        <f>AVERAGE(Table1[[#This Row],[Math 
Score]],Table1[[#This Row],[History 
Score]],Table1[[#This Row],[Physics 
Score]],Table1[[#This Row],[Chemistry 
Score]],Table1[[#This Row],[Biology 
Score]],Table1[[#This Row],[English 
Score]],Table1[[#This Row],[Geography 
Score]])</f>
        <v>80.857142857142861</v>
      </c>
      <c r="AB178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781">
        <f t="shared" si="27"/>
        <v>1019</v>
      </c>
      <c r="AD1781" t="str">
        <f>_xlfn.IFS(Table1[[#This Row],[Absence 
Days]]&lt;3,"Excellent",Table1[[#This Row],[Absence 
Days]]&lt;=6,"Good",Table1[[#This Row],[Absence 
Days]]&gt;6,"Poor")</f>
        <v>Good</v>
      </c>
    </row>
    <row r="1782" spans="1:30" x14ac:dyDescent="0.35">
      <c r="A1782">
        <v>1781</v>
      </c>
      <c r="B1782" s="2" t="s">
        <v>102</v>
      </c>
      <c r="C1782" t="s">
        <v>458</v>
      </c>
      <c r="D1782" t="str">
        <f>_xlfn.TEXTJOIN(" ",TRUE,Table1[[#This Row],[First 
Name]:[Last 
Name]])</f>
        <v>Jessica Smith</v>
      </c>
      <c r="E1782" t="s">
        <v>2892</v>
      </c>
      <c r="F1782" t="s">
        <v>3245</v>
      </c>
      <c r="G1782" t="str">
        <f ca="1">PROPER(Table1[[#This Row],[Part Time 
Job]])</f>
        <v>True</v>
      </c>
      <c r="H1782" s="3">
        <v>8</v>
      </c>
      <c r="I1782" t="str">
        <f ca="1">PROPER(Table1[[#This Row],[Extracurricular 
Activities]])</f>
        <v>True</v>
      </c>
      <c r="J1782">
        <v>0</v>
      </c>
      <c r="K1782" t="s">
        <v>3119</v>
      </c>
      <c r="L1782">
        <v>92</v>
      </c>
      <c r="M1782" s="12" t="str" cm="1">
        <f t="array" ref="M178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782">
        <v>78</v>
      </c>
      <c r="O1782" s="13" t="str" cm="1">
        <f t="array" ref="O178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782">
        <v>78</v>
      </c>
      <c r="Q1782" s="13" t="str" cm="1">
        <f t="array" ref="Q178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782">
        <v>85</v>
      </c>
      <c r="S1782" t="str" cm="1">
        <f t="array" ref="S178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782">
        <v>94</v>
      </c>
      <c r="U1782" t="str" cm="1">
        <f t="array" ref="U178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782">
        <v>94</v>
      </c>
      <c r="W1782" t="str" cm="1">
        <f t="array" ref="W178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782">
        <v>73</v>
      </c>
      <c r="Y1782" t="str" cm="1">
        <f t="array" ref="Y178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782">
        <f>SUM(Table1[[#This Row],[Math 
Score]],Table1[[#This Row],[History 
Score]],Table1[[#This Row],[Physics 
Score]],Table1[[#This Row],[Chemistry 
Score]],Table1[[#This Row],[Biology 
Score]],Table1[[#This Row],[English 
Score]],Table1[[#This Row],[Geography 
Score]])</f>
        <v>594</v>
      </c>
      <c r="AA1782" s="3">
        <f>AVERAGE(Table1[[#This Row],[Math 
Score]],Table1[[#This Row],[History 
Score]],Table1[[#This Row],[Physics 
Score]],Table1[[#This Row],[Chemistry 
Score]],Table1[[#This Row],[Biology 
Score]],Table1[[#This Row],[English 
Score]],Table1[[#This Row],[Geography 
Score]])</f>
        <v>84.857142857142861</v>
      </c>
      <c r="AB178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782">
        <f t="shared" si="27"/>
        <v>479</v>
      </c>
      <c r="AD1782" t="str">
        <f>_xlfn.IFS(Table1[[#This Row],[Absence 
Days]]&lt;3,"Excellent",Table1[[#This Row],[Absence 
Days]]&lt;=6,"Good",Table1[[#This Row],[Absence 
Days]]&gt;6,"Poor")</f>
        <v>Poor</v>
      </c>
    </row>
    <row r="1783" spans="1:30" x14ac:dyDescent="0.35">
      <c r="A1783">
        <v>1782</v>
      </c>
      <c r="B1783" s="2" t="s">
        <v>80</v>
      </c>
      <c r="C1783" t="s">
        <v>847</v>
      </c>
      <c r="D1783" t="str">
        <f>_xlfn.TEXTJOIN(" ",TRUE,Table1[[#This Row],[First 
Name]:[Last 
Name]])</f>
        <v>Thomas Brooks</v>
      </c>
      <c r="E1783" t="s">
        <v>2893</v>
      </c>
      <c r="F1783" t="s">
        <v>3244</v>
      </c>
      <c r="G1783" t="str">
        <f ca="1">PROPER(Table1[[#This Row],[Part Time 
Job]])</f>
        <v>True</v>
      </c>
      <c r="H1783" s="3">
        <v>5</v>
      </c>
      <c r="I1783" t="str">
        <f ca="1">PROPER(Table1[[#This Row],[Extracurricular 
Activities]])</f>
        <v>False</v>
      </c>
      <c r="J1783">
        <v>15</v>
      </c>
      <c r="K1783" t="s">
        <v>3117</v>
      </c>
      <c r="L1783">
        <v>92</v>
      </c>
      <c r="M1783" s="12" t="str" cm="1">
        <f t="array" ref="M178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783">
        <v>92</v>
      </c>
      <c r="O1783" s="13" t="str" cm="1">
        <f t="array" ref="O178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783">
        <v>74</v>
      </c>
      <c r="Q1783" s="13" t="str" cm="1">
        <f t="array" ref="Q178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783">
        <v>96</v>
      </c>
      <c r="S1783" t="str" cm="1">
        <f t="array" ref="S178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783">
        <v>95</v>
      </c>
      <c r="U1783" t="str" cm="1">
        <f t="array" ref="U178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783">
        <v>77</v>
      </c>
      <c r="W1783" t="str" cm="1">
        <f t="array" ref="W178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783">
        <v>76</v>
      </c>
      <c r="Y1783" t="str" cm="1">
        <f t="array" ref="Y178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783">
        <f>SUM(Table1[[#This Row],[Math 
Score]],Table1[[#This Row],[History 
Score]],Table1[[#This Row],[Physics 
Score]],Table1[[#This Row],[Chemistry 
Score]],Table1[[#This Row],[Biology 
Score]],Table1[[#This Row],[English 
Score]],Table1[[#This Row],[Geography 
Score]])</f>
        <v>602</v>
      </c>
      <c r="AA1783" s="3">
        <f>AVERAGE(Table1[[#This Row],[Math 
Score]],Table1[[#This Row],[History 
Score]],Table1[[#This Row],[Physics 
Score]],Table1[[#This Row],[Chemistry 
Score]],Table1[[#This Row],[Biology 
Score]],Table1[[#This Row],[English 
Score]],Table1[[#This Row],[Geography 
Score]])</f>
        <v>86</v>
      </c>
      <c r="AB178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783">
        <f t="shared" si="27"/>
        <v>380</v>
      </c>
      <c r="AD1783" t="str">
        <f>_xlfn.IFS(Table1[[#This Row],[Absence 
Days]]&lt;3,"Excellent",Table1[[#This Row],[Absence 
Days]]&lt;=6,"Good",Table1[[#This Row],[Absence 
Days]]&gt;6,"Poor")</f>
        <v>Good</v>
      </c>
    </row>
    <row r="1784" spans="1:30" x14ac:dyDescent="0.35">
      <c r="A1784">
        <v>1783</v>
      </c>
      <c r="B1784" s="2" t="s">
        <v>44</v>
      </c>
      <c r="C1784" t="s">
        <v>1084</v>
      </c>
      <c r="D1784" t="str">
        <f>_xlfn.TEXTJOIN(" ",TRUE,Table1[[#This Row],[First 
Name]:[Last 
Name]])</f>
        <v>Kimberly Knox</v>
      </c>
      <c r="E1784" t="s">
        <v>2894</v>
      </c>
      <c r="F1784" t="s">
        <v>3245</v>
      </c>
      <c r="G1784" t="str">
        <f ca="1">PROPER(Table1[[#This Row],[Part Time 
Job]])</f>
        <v>True</v>
      </c>
      <c r="H1784" s="3">
        <v>3</v>
      </c>
      <c r="I1784" t="str">
        <f ca="1">PROPER(Table1[[#This Row],[Extracurricular 
Activities]])</f>
        <v>False</v>
      </c>
      <c r="J1784">
        <v>43</v>
      </c>
      <c r="K1784" t="s">
        <v>3113</v>
      </c>
      <c r="L1784">
        <v>86</v>
      </c>
      <c r="M1784" s="12" t="str" cm="1">
        <f t="array" ref="M178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784">
        <v>99</v>
      </c>
      <c r="O1784" s="13" t="str" cm="1">
        <f t="array" ref="O178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784">
        <v>87</v>
      </c>
      <c r="Q1784" s="13" t="str" cm="1">
        <f t="array" ref="Q178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784">
        <v>88</v>
      </c>
      <c r="S1784" t="str" cm="1">
        <f t="array" ref="S178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784">
        <v>99</v>
      </c>
      <c r="U1784" t="str" cm="1">
        <f t="array" ref="U178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784">
        <v>89</v>
      </c>
      <c r="W1784" t="str" cm="1">
        <f t="array" ref="W178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784">
        <v>86</v>
      </c>
      <c r="Y1784" t="str" cm="1">
        <f t="array" ref="Y178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784">
        <f>SUM(Table1[[#This Row],[Math 
Score]],Table1[[#This Row],[History 
Score]],Table1[[#This Row],[Physics 
Score]],Table1[[#This Row],[Chemistry 
Score]],Table1[[#This Row],[Biology 
Score]],Table1[[#This Row],[English 
Score]],Table1[[#This Row],[Geography 
Score]])</f>
        <v>634</v>
      </c>
      <c r="AA1784" s="3">
        <f>AVERAGE(Table1[[#This Row],[Math 
Score]],Table1[[#This Row],[History 
Score]],Table1[[#This Row],[Physics 
Score]],Table1[[#This Row],[Chemistry 
Score]],Table1[[#This Row],[Biology 
Score]],Table1[[#This Row],[English 
Score]],Table1[[#This Row],[Geography 
Score]])</f>
        <v>90.571428571428569</v>
      </c>
      <c r="AB178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784">
        <f t="shared" si="27"/>
        <v>131</v>
      </c>
      <c r="AD1784" t="str">
        <f>_xlfn.IFS(Table1[[#This Row],[Absence 
Days]]&lt;3,"Excellent",Table1[[#This Row],[Absence 
Days]]&lt;=6,"Good",Table1[[#This Row],[Absence 
Days]]&gt;6,"Poor")</f>
        <v>Good</v>
      </c>
    </row>
    <row r="1785" spans="1:30" x14ac:dyDescent="0.35">
      <c r="A1785">
        <v>1784</v>
      </c>
      <c r="B1785" s="2" t="s">
        <v>49</v>
      </c>
      <c r="C1785" t="s">
        <v>899</v>
      </c>
      <c r="D1785" t="str">
        <f>_xlfn.TEXTJOIN(" ",TRUE,Table1[[#This Row],[First 
Name]:[Last 
Name]])</f>
        <v>Jamie Mccarthy</v>
      </c>
      <c r="E1785" t="s">
        <v>2895</v>
      </c>
      <c r="F1785" t="s">
        <v>3244</v>
      </c>
      <c r="G1785" t="str">
        <f ca="1">PROPER(Table1[[#This Row],[Part Time 
Job]])</f>
        <v>False</v>
      </c>
      <c r="H1785" s="3">
        <v>5</v>
      </c>
      <c r="I1785" t="str">
        <f ca="1">PROPER(Table1[[#This Row],[Extracurricular 
Activities]])</f>
        <v>False</v>
      </c>
      <c r="J1785">
        <v>16</v>
      </c>
      <c r="K1785" t="s">
        <v>3124</v>
      </c>
      <c r="L1785">
        <v>91</v>
      </c>
      <c r="M1785" s="12" t="str" cm="1">
        <f t="array" ref="M178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785">
        <v>69</v>
      </c>
      <c r="O1785" s="13" t="str" cm="1">
        <f t="array" ref="O178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785">
        <v>97</v>
      </c>
      <c r="Q1785" s="13" t="str" cm="1">
        <f t="array" ref="Q178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785">
        <v>76</v>
      </c>
      <c r="S1785" t="str" cm="1">
        <f t="array" ref="S178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785">
        <v>97</v>
      </c>
      <c r="U1785" t="str" cm="1">
        <f t="array" ref="U178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785">
        <v>81</v>
      </c>
      <c r="W1785" t="str" cm="1">
        <f t="array" ref="W178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785">
        <v>86</v>
      </c>
      <c r="Y1785" t="str" cm="1">
        <f t="array" ref="Y178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785">
        <f>SUM(Table1[[#This Row],[Math 
Score]],Table1[[#This Row],[History 
Score]],Table1[[#This Row],[Physics 
Score]],Table1[[#This Row],[Chemistry 
Score]],Table1[[#This Row],[Biology 
Score]],Table1[[#This Row],[English 
Score]],Table1[[#This Row],[Geography 
Score]])</f>
        <v>597</v>
      </c>
      <c r="AA1785" s="3">
        <f>AVERAGE(Table1[[#This Row],[Math 
Score]],Table1[[#This Row],[History 
Score]],Table1[[#This Row],[Physics 
Score]],Table1[[#This Row],[Chemistry 
Score]],Table1[[#This Row],[Biology 
Score]],Table1[[#This Row],[English 
Score]],Table1[[#This Row],[Geography 
Score]])</f>
        <v>85.285714285714292</v>
      </c>
      <c r="AB178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785">
        <f t="shared" si="27"/>
        <v>446</v>
      </c>
      <c r="AD1785" t="str">
        <f>_xlfn.IFS(Table1[[#This Row],[Absence 
Days]]&lt;3,"Excellent",Table1[[#This Row],[Absence 
Days]]&lt;=6,"Good",Table1[[#This Row],[Absence 
Days]]&gt;6,"Poor")</f>
        <v>Good</v>
      </c>
    </row>
    <row r="1786" spans="1:30" x14ac:dyDescent="0.35">
      <c r="A1786">
        <v>1785</v>
      </c>
      <c r="B1786" s="2" t="s">
        <v>207</v>
      </c>
      <c r="C1786" t="s">
        <v>468</v>
      </c>
      <c r="D1786" t="str">
        <f>_xlfn.TEXTJOIN(" ",TRUE,Table1[[#This Row],[First 
Name]:[Last 
Name]])</f>
        <v>Kristen Werner</v>
      </c>
      <c r="E1786" t="s">
        <v>2896</v>
      </c>
      <c r="F1786" t="s">
        <v>3245</v>
      </c>
      <c r="G1786" t="str">
        <f ca="1">PROPER(Table1[[#This Row],[Part Time 
Job]])</f>
        <v>False</v>
      </c>
      <c r="H1786" s="3">
        <v>3</v>
      </c>
      <c r="I1786" t="str">
        <f ca="1">PROPER(Table1[[#This Row],[Extracurricular 
Activities]])</f>
        <v>False</v>
      </c>
      <c r="J1786">
        <v>23</v>
      </c>
      <c r="K1786" t="s">
        <v>3123</v>
      </c>
      <c r="L1786">
        <v>92</v>
      </c>
      <c r="M1786" s="12" t="str" cm="1">
        <f t="array" ref="M178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786">
        <v>75</v>
      </c>
      <c r="O1786" s="13" t="str" cm="1">
        <f t="array" ref="O178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786">
        <v>100</v>
      </c>
      <c r="Q1786" s="13" t="str" cm="1">
        <f t="array" ref="Q178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786">
        <v>78</v>
      </c>
      <c r="S1786" t="str" cm="1">
        <f t="array" ref="S178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786">
        <v>32</v>
      </c>
      <c r="U1786" t="str" cm="1">
        <f t="array" ref="U178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F</v>
      </c>
      <c r="V1786">
        <v>84</v>
      </c>
      <c r="W1786" t="str" cm="1">
        <f t="array" ref="W178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786">
        <v>69</v>
      </c>
      <c r="Y1786" t="str" cm="1">
        <f t="array" ref="Y178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786">
        <f>SUM(Table1[[#This Row],[Math 
Score]],Table1[[#This Row],[History 
Score]],Table1[[#This Row],[Physics 
Score]],Table1[[#This Row],[Chemistry 
Score]],Table1[[#This Row],[Biology 
Score]],Table1[[#This Row],[English 
Score]],Table1[[#This Row],[Geography 
Score]])</f>
        <v>530</v>
      </c>
      <c r="AA1786" s="3">
        <f>AVERAGE(Table1[[#This Row],[Math 
Score]],Table1[[#This Row],[History 
Score]],Table1[[#This Row],[Physics 
Score]],Table1[[#This Row],[Chemistry 
Score]],Table1[[#This Row],[Biology 
Score]],Table1[[#This Row],[English 
Score]],Table1[[#This Row],[Geography 
Score]])</f>
        <v>75.714285714285708</v>
      </c>
      <c r="AB178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786">
        <f t="shared" si="27"/>
        <v>1646</v>
      </c>
      <c r="AD1786" t="str">
        <f>_xlfn.IFS(Table1[[#This Row],[Absence 
Days]]&lt;3,"Excellent",Table1[[#This Row],[Absence 
Days]]&lt;=6,"Good",Table1[[#This Row],[Absence 
Days]]&gt;6,"Poor")</f>
        <v>Good</v>
      </c>
    </row>
    <row r="1787" spans="1:30" x14ac:dyDescent="0.35">
      <c r="A1787">
        <v>1786</v>
      </c>
      <c r="B1787" s="2" t="s">
        <v>17</v>
      </c>
      <c r="C1787" t="s">
        <v>651</v>
      </c>
      <c r="D1787" t="str">
        <f>_xlfn.TEXTJOIN(" ",TRUE,Table1[[#This Row],[First 
Name]:[Last 
Name]])</f>
        <v>Jonathan Weiss</v>
      </c>
      <c r="E1787" t="s">
        <v>2897</v>
      </c>
      <c r="F1787" t="s">
        <v>3244</v>
      </c>
      <c r="G1787" t="str">
        <f ca="1">PROPER(Table1[[#This Row],[Part Time 
Job]])</f>
        <v>False</v>
      </c>
      <c r="H1787" s="3">
        <v>2</v>
      </c>
      <c r="I1787" t="str">
        <f ca="1">PROPER(Table1[[#This Row],[Extracurricular 
Activities]])</f>
        <v>False</v>
      </c>
      <c r="J1787">
        <v>2</v>
      </c>
      <c r="K1787" t="s">
        <v>3126</v>
      </c>
      <c r="L1787">
        <v>82</v>
      </c>
      <c r="M1787" s="12" t="str" cm="1">
        <f t="array" ref="M178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787">
        <v>75</v>
      </c>
      <c r="O1787" s="13" t="str" cm="1">
        <f t="array" ref="O178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787">
        <v>93</v>
      </c>
      <c r="Q1787" s="13" t="str" cm="1">
        <f t="array" ref="Q178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787">
        <v>67</v>
      </c>
      <c r="S1787" t="str" cm="1">
        <f t="array" ref="S178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787">
        <v>69</v>
      </c>
      <c r="U1787" t="str" cm="1">
        <f t="array" ref="U178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787">
        <v>65</v>
      </c>
      <c r="W1787" t="str" cm="1">
        <f t="array" ref="W178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787">
        <v>74</v>
      </c>
      <c r="Y1787" t="str" cm="1">
        <f t="array" ref="Y178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787">
        <f>SUM(Table1[[#This Row],[Math 
Score]],Table1[[#This Row],[History 
Score]],Table1[[#This Row],[Physics 
Score]],Table1[[#This Row],[Chemistry 
Score]],Table1[[#This Row],[Biology 
Score]],Table1[[#This Row],[English 
Score]],Table1[[#This Row],[Geography 
Score]])</f>
        <v>525</v>
      </c>
      <c r="AA1787" s="3">
        <f>AVERAGE(Table1[[#This Row],[Math 
Score]],Table1[[#This Row],[History 
Score]],Table1[[#This Row],[Physics 
Score]],Table1[[#This Row],[Chemistry 
Score]],Table1[[#This Row],[Biology 
Score]],Table1[[#This Row],[English 
Score]],Table1[[#This Row],[Geography 
Score]])</f>
        <v>75</v>
      </c>
      <c r="AB178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787">
        <f t="shared" si="27"/>
        <v>1704</v>
      </c>
      <c r="AD1787" t="str">
        <f>_xlfn.IFS(Table1[[#This Row],[Absence 
Days]]&lt;3,"Excellent",Table1[[#This Row],[Absence 
Days]]&lt;=6,"Good",Table1[[#This Row],[Absence 
Days]]&gt;6,"Poor")</f>
        <v>Excellent</v>
      </c>
    </row>
    <row r="1788" spans="1:30" x14ac:dyDescent="0.35">
      <c r="A1788">
        <v>1787</v>
      </c>
      <c r="B1788" s="2" t="s">
        <v>416</v>
      </c>
      <c r="C1788" t="s">
        <v>458</v>
      </c>
      <c r="D1788" t="str">
        <f>_xlfn.TEXTJOIN(" ",TRUE,Table1[[#This Row],[First 
Name]:[Last 
Name]])</f>
        <v>Renee Smith</v>
      </c>
      <c r="E1788" t="s">
        <v>2898</v>
      </c>
      <c r="F1788" t="s">
        <v>3245</v>
      </c>
      <c r="G1788" t="str">
        <f ca="1">PROPER(Table1[[#This Row],[Part Time 
Job]])</f>
        <v>False</v>
      </c>
      <c r="H1788" s="3">
        <v>1</v>
      </c>
      <c r="I1788" t="str">
        <f ca="1">PROPER(Table1[[#This Row],[Extracurricular 
Activities]])</f>
        <v>False</v>
      </c>
      <c r="J1788">
        <v>34</v>
      </c>
      <c r="K1788" t="s">
        <v>3112</v>
      </c>
      <c r="L1788">
        <v>99</v>
      </c>
      <c r="M1788" s="12" t="str" cm="1">
        <f t="array" ref="M178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788">
        <v>81</v>
      </c>
      <c r="O1788" s="13" t="str" cm="1">
        <f t="array" ref="O178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788">
        <v>92</v>
      </c>
      <c r="Q1788" s="13" t="str" cm="1">
        <f t="array" ref="Q178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788">
        <v>86</v>
      </c>
      <c r="S1788" t="str" cm="1">
        <f t="array" ref="S178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788">
        <v>65</v>
      </c>
      <c r="U1788" t="str" cm="1">
        <f t="array" ref="U178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788">
        <v>99</v>
      </c>
      <c r="W1788" t="str" cm="1">
        <f t="array" ref="W178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788">
        <v>79</v>
      </c>
      <c r="Y1788" t="str" cm="1">
        <f t="array" ref="Y178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788">
        <f>SUM(Table1[[#This Row],[Math 
Score]],Table1[[#This Row],[History 
Score]],Table1[[#This Row],[Physics 
Score]],Table1[[#This Row],[Chemistry 
Score]],Table1[[#This Row],[Biology 
Score]],Table1[[#This Row],[English 
Score]],Table1[[#This Row],[Geography 
Score]])</f>
        <v>601</v>
      </c>
      <c r="AA1788" s="3">
        <f>AVERAGE(Table1[[#This Row],[Math 
Score]],Table1[[#This Row],[History 
Score]],Table1[[#This Row],[Physics 
Score]],Table1[[#This Row],[Chemistry 
Score]],Table1[[#This Row],[Biology 
Score]],Table1[[#This Row],[English 
Score]],Table1[[#This Row],[Geography 
Score]])</f>
        <v>85.857142857142861</v>
      </c>
      <c r="AB178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788">
        <f t="shared" si="27"/>
        <v>394</v>
      </c>
      <c r="AD1788" t="str">
        <f>_xlfn.IFS(Table1[[#This Row],[Absence 
Days]]&lt;3,"Excellent",Table1[[#This Row],[Absence 
Days]]&lt;=6,"Good",Table1[[#This Row],[Absence 
Days]]&gt;6,"Poor")</f>
        <v>Excellent</v>
      </c>
    </row>
    <row r="1789" spans="1:30" x14ac:dyDescent="0.35">
      <c r="A1789">
        <v>1788</v>
      </c>
      <c r="B1789" s="2" t="s">
        <v>400</v>
      </c>
      <c r="C1789" t="s">
        <v>940</v>
      </c>
      <c r="D1789" t="str">
        <f>_xlfn.TEXTJOIN(" ",TRUE,Table1[[#This Row],[First 
Name]:[Last 
Name]])</f>
        <v>Tony Hopkins</v>
      </c>
      <c r="E1789" t="s">
        <v>2899</v>
      </c>
      <c r="F1789" t="s">
        <v>3244</v>
      </c>
      <c r="G1789" t="str">
        <f ca="1">PROPER(Table1[[#This Row],[Part Time 
Job]])</f>
        <v>True</v>
      </c>
      <c r="H1789" s="3">
        <v>2</v>
      </c>
      <c r="I1789" t="str">
        <f ca="1">PROPER(Table1[[#This Row],[Extracurricular 
Activities]])</f>
        <v>False</v>
      </c>
      <c r="J1789">
        <v>34</v>
      </c>
      <c r="K1789" t="s">
        <v>3117</v>
      </c>
      <c r="L1789">
        <v>95</v>
      </c>
      <c r="M1789" s="12" t="str" cm="1">
        <f t="array" ref="M178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789">
        <v>90</v>
      </c>
      <c r="O1789" s="13" t="str" cm="1">
        <f t="array" ref="O178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789">
        <v>65</v>
      </c>
      <c r="Q1789" s="13" t="str" cm="1">
        <f t="array" ref="Q178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789">
        <v>84</v>
      </c>
      <c r="S1789" t="str" cm="1">
        <f t="array" ref="S178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789">
        <v>86</v>
      </c>
      <c r="U1789" t="str" cm="1">
        <f t="array" ref="U178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789">
        <v>88</v>
      </c>
      <c r="W1789" t="str" cm="1">
        <f t="array" ref="W178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789">
        <v>94</v>
      </c>
      <c r="Y1789" t="str" cm="1">
        <f t="array" ref="Y178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789">
        <f>SUM(Table1[[#This Row],[Math 
Score]],Table1[[#This Row],[History 
Score]],Table1[[#This Row],[Physics 
Score]],Table1[[#This Row],[Chemistry 
Score]],Table1[[#This Row],[Biology 
Score]],Table1[[#This Row],[English 
Score]],Table1[[#This Row],[Geography 
Score]])</f>
        <v>602</v>
      </c>
      <c r="AA1789" s="3">
        <f>AVERAGE(Table1[[#This Row],[Math 
Score]],Table1[[#This Row],[History 
Score]],Table1[[#This Row],[Physics 
Score]],Table1[[#This Row],[Chemistry 
Score]],Table1[[#This Row],[Biology 
Score]],Table1[[#This Row],[English 
Score]],Table1[[#This Row],[Geography 
Score]])</f>
        <v>86</v>
      </c>
      <c r="AB178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789">
        <f t="shared" si="27"/>
        <v>380</v>
      </c>
      <c r="AD1789" t="str">
        <f>_xlfn.IFS(Table1[[#This Row],[Absence 
Days]]&lt;3,"Excellent",Table1[[#This Row],[Absence 
Days]]&lt;=6,"Good",Table1[[#This Row],[Absence 
Days]]&gt;6,"Poor")</f>
        <v>Excellent</v>
      </c>
    </row>
    <row r="1790" spans="1:30" x14ac:dyDescent="0.35">
      <c r="A1790">
        <v>1789</v>
      </c>
      <c r="B1790" s="2" t="s">
        <v>80</v>
      </c>
      <c r="C1790" t="s">
        <v>1085</v>
      </c>
      <c r="D1790" t="str">
        <f>_xlfn.TEXTJOIN(" ",TRUE,Table1[[#This Row],[First 
Name]:[Last 
Name]])</f>
        <v>Thomas Buckley</v>
      </c>
      <c r="E1790" t="s">
        <v>2900</v>
      </c>
      <c r="F1790" t="s">
        <v>3244</v>
      </c>
      <c r="G1790" t="str">
        <f ca="1">PROPER(Table1[[#This Row],[Part Time 
Job]])</f>
        <v>False</v>
      </c>
      <c r="H1790" s="3">
        <v>3</v>
      </c>
      <c r="I1790" t="str">
        <f ca="1">PROPER(Table1[[#This Row],[Extracurricular 
Activities]])</f>
        <v>False</v>
      </c>
      <c r="J1790">
        <v>18</v>
      </c>
      <c r="K1790" t="s">
        <v>3117</v>
      </c>
      <c r="L1790">
        <v>100</v>
      </c>
      <c r="M1790" s="12" t="str" cm="1">
        <f t="array" ref="M179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790">
        <v>93</v>
      </c>
      <c r="O1790" s="13" t="str" cm="1">
        <f t="array" ref="O179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790">
        <v>99</v>
      </c>
      <c r="Q1790" s="13" t="str" cm="1">
        <f t="array" ref="Q179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790">
        <v>65</v>
      </c>
      <c r="S1790" t="str" cm="1">
        <f t="array" ref="S179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790">
        <v>72</v>
      </c>
      <c r="U1790" t="str" cm="1">
        <f t="array" ref="U179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790">
        <v>79</v>
      </c>
      <c r="W1790" t="str" cm="1">
        <f t="array" ref="W179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790">
        <v>88</v>
      </c>
      <c r="Y1790" t="str" cm="1">
        <f t="array" ref="Y179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790">
        <f>SUM(Table1[[#This Row],[Math 
Score]],Table1[[#This Row],[History 
Score]],Table1[[#This Row],[Physics 
Score]],Table1[[#This Row],[Chemistry 
Score]],Table1[[#This Row],[Biology 
Score]],Table1[[#This Row],[English 
Score]],Table1[[#This Row],[Geography 
Score]])</f>
        <v>596</v>
      </c>
      <c r="AA1790" s="3">
        <f>AVERAGE(Table1[[#This Row],[Math 
Score]],Table1[[#This Row],[History 
Score]],Table1[[#This Row],[Physics 
Score]],Table1[[#This Row],[Chemistry 
Score]],Table1[[#This Row],[Biology 
Score]],Table1[[#This Row],[English 
Score]],Table1[[#This Row],[Geography 
Score]])</f>
        <v>85.142857142857139</v>
      </c>
      <c r="AB179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790">
        <f t="shared" si="27"/>
        <v>458</v>
      </c>
      <c r="AD1790" t="str">
        <f>_xlfn.IFS(Table1[[#This Row],[Absence 
Days]]&lt;3,"Excellent",Table1[[#This Row],[Absence 
Days]]&lt;=6,"Good",Table1[[#This Row],[Absence 
Days]]&gt;6,"Poor")</f>
        <v>Good</v>
      </c>
    </row>
    <row r="1791" spans="1:30" x14ac:dyDescent="0.35">
      <c r="A1791">
        <v>1790</v>
      </c>
      <c r="B1791" s="2" t="s">
        <v>160</v>
      </c>
      <c r="C1791" t="s">
        <v>613</v>
      </c>
      <c r="D1791" t="str">
        <f>_xlfn.TEXTJOIN(" ",TRUE,Table1[[#This Row],[First 
Name]:[Last 
Name]])</f>
        <v>Debra Evans</v>
      </c>
      <c r="E1791" t="s">
        <v>2901</v>
      </c>
      <c r="F1791" t="s">
        <v>3245</v>
      </c>
      <c r="G1791" t="str">
        <f ca="1">PROPER(Table1[[#This Row],[Part Time 
Job]])</f>
        <v>False</v>
      </c>
      <c r="H1791" s="3">
        <v>5</v>
      </c>
      <c r="I1791" t="str">
        <f ca="1">PROPER(Table1[[#This Row],[Extracurricular 
Activities]])</f>
        <v>True</v>
      </c>
      <c r="J1791">
        <v>21</v>
      </c>
      <c r="K1791" t="s">
        <v>3116</v>
      </c>
      <c r="L1791">
        <v>79</v>
      </c>
      <c r="M1791" s="12" t="str" cm="1">
        <f t="array" ref="M179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791">
        <v>86</v>
      </c>
      <c r="O1791" s="13" t="str" cm="1">
        <f t="array" ref="O179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791">
        <v>84</v>
      </c>
      <c r="Q1791" s="13" t="str" cm="1">
        <f t="array" ref="Q179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791">
        <v>84</v>
      </c>
      <c r="S1791" t="str" cm="1">
        <f t="array" ref="S179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791">
        <v>63</v>
      </c>
      <c r="U1791" t="str" cm="1">
        <f t="array" ref="U179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791">
        <v>82</v>
      </c>
      <c r="W1791" t="str" cm="1">
        <f t="array" ref="W179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791">
        <v>94</v>
      </c>
      <c r="Y1791" t="str" cm="1">
        <f t="array" ref="Y179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791">
        <f>SUM(Table1[[#This Row],[Math 
Score]],Table1[[#This Row],[History 
Score]],Table1[[#This Row],[Physics 
Score]],Table1[[#This Row],[Chemistry 
Score]],Table1[[#This Row],[Biology 
Score]],Table1[[#This Row],[English 
Score]],Table1[[#This Row],[Geography 
Score]])</f>
        <v>572</v>
      </c>
      <c r="AA1791" s="3">
        <f>AVERAGE(Table1[[#This Row],[Math 
Score]],Table1[[#This Row],[History 
Score]],Table1[[#This Row],[Physics 
Score]],Table1[[#This Row],[Chemistry 
Score]],Table1[[#This Row],[Biology 
Score]],Table1[[#This Row],[English 
Score]],Table1[[#This Row],[Geography 
Score]])</f>
        <v>81.714285714285708</v>
      </c>
      <c r="AB179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791">
        <f t="shared" si="27"/>
        <v>890</v>
      </c>
      <c r="AD1791" t="str">
        <f>_xlfn.IFS(Table1[[#This Row],[Absence 
Days]]&lt;3,"Excellent",Table1[[#This Row],[Absence 
Days]]&lt;=6,"Good",Table1[[#This Row],[Absence 
Days]]&gt;6,"Poor")</f>
        <v>Good</v>
      </c>
    </row>
    <row r="1792" spans="1:30" x14ac:dyDescent="0.35">
      <c r="A1792">
        <v>1791</v>
      </c>
      <c r="B1792" s="2" t="s">
        <v>235</v>
      </c>
      <c r="C1792" t="s">
        <v>546</v>
      </c>
      <c r="D1792" t="str">
        <f>_xlfn.TEXTJOIN(" ",TRUE,Table1[[#This Row],[First 
Name]:[Last 
Name]])</f>
        <v>Richard Bell</v>
      </c>
      <c r="E1792" t="s">
        <v>2902</v>
      </c>
      <c r="F1792" t="s">
        <v>3244</v>
      </c>
      <c r="G1792" t="str">
        <f ca="1">PROPER(Table1[[#This Row],[Part Time 
Job]])</f>
        <v>True</v>
      </c>
      <c r="H1792" s="3">
        <v>3</v>
      </c>
      <c r="I1792" t="str">
        <f ca="1">PROPER(Table1[[#This Row],[Extracurricular 
Activities]])</f>
        <v>True</v>
      </c>
      <c r="J1792">
        <v>3</v>
      </c>
      <c r="K1792" t="s">
        <v>3119</v>
      </c>
      <c r="L1792">
        <v>80</v>
      </c>
      <c r="M1792" s="12" t="str" cm="1">
        <f t="array" ref="M179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792">
        <v>95</v>
      </c>
      <c r="O1792" s="13" t="str" cm="1">
        <f t="array" ref="O179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792">
        <v>96</v>
      </c>
      <c r="Q1792" s="13" t="str" cm="1">
        <f t="array" ref="Q179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792">
        <v>96</v>
      </c>
      <c r="S1792" t="str" cm="1">
        <f t="array" ref="S179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792">
        <v>94</v>
      </c>
      <c r="U1792" t="str" cm="1">
        <f t="array" ref="U179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792">
        <v>84</v>
      </c>
      <c r="W1792" t="str" cm="1">
        <f t="array" ref="W179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792">
        <v>93</v>
      </c>
      <c r="Y1792" t="str" cm="1">
        <f t="array" ref="Y179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792">
        <f>SUM(Table1[[#This Row],[Math 
Score]],Table1[[#This Row],[History 
Score]],Table1[[#This Row],[Physics 
Score]],Table1[[#This Row],[Chemistry 
Score]],Table1[[#This Row],[Biology 
Score]],Table1[[#This Row],[English 
Score]],Table1[[#This Row],[Geography 
Score]])</f>
        <v>638</v>
      </c>
      <c r="AA1792" s="3">
        <f>AVERAGE(Table1[[#This Row],[Math 
Score]],Table1[[#This Row],[History 
Score]],Table1[[#This Row],[Physics 
Score]],Table1[[#This Row],[Chemistry 
Score]],Table1[[#This Row],[Biology 
Score]],Table1[[#This Row],[English 
Score]],Table1[[#This Row],[Geography 
Score]])</f>
        <v>91.142857142857139</v>
      </c>
      <c r="AB179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792">
        <f t="shared" si="27"/>
        <v>110</v>
      </c>
      <c r="AD1792" t="str">
        <f>_xlfn.IFS(Table1[[#This Row],[Absence 
Days]]&lt;3,"Excellent",Table1[[#This Row],[Absence 
Days]]&lt;=6,"Good",Table1[[#This Row],[Absence 
Days]]&gt;6,"Poor")</f>
        <v>Good</v>
      </c>
    </row>
    <row r="1793" spans="1:30" x14ac:dyDescent="0.35">
      <c r="A1793">
        <v>1792</v>
      </c>
      <c r="B1793" s="2" t="s">
        <v>246</v>
      </c>
      <c r="C1793" t="s">
        <v>923</v>
      </c>
      <c r="D1793" t="str">
        <f>_xlfn.TEXTJOIN(" ",TRUE,Table1[[#This Row],[First 
Name]:[Last 
Name]])</f>
        <v>Katelyn Watkins</v>
      </c>
      <c r="E1793" t="s">
        <v>2903</v>
      </c>
      <c r="F1793" t="s">
        <v>3245</v>
      </c>
      <c r="G1793" t="str">
        <f ca="1">PROPER(Table1[[#This Row],[Part Time 
Job]])</f>
        <v>False</v>
      </c>
      <c r="H1793" s="3">
        <v>4</v>
      </c>
      <c r="I1793" t="str">
        <f ca="1">PROPER(Table1[[#This Row],[Extracurricular 
Activities]])</f>
        <v>False</v>
      </c>
      <c r="J1793">
        <v>31</v>
      </c>
      <c r="K1793" t="s">
        <v>3113</v>
      </c>
      <c r="L1793">
        <v>93</v>
      </c>
      <c r="M1793" s="12" t="str" cm="1">
        <f t="array" ref="M179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793">
        <v>81</v>
      </c>
      <c r="O1793" s="13" t="str" cm="1">
        <f t="array" ref="O179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793">
        <v>88</v>
      </c>
      <c r="Q1793" s="13" t="str" cm="1">
        <f t="array" ref="Q179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793">
        <v>90</v>
      </c>
      <c r="S1793" t="str" cm="1">
        <f t="array" ref="S179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793">
        <v>89</v>
      </c>
      <c r="U1793" t="str" cm="1">
        <f t="array" ref="U179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793">
        <v>95</v>
      </c>
      <c r="W1793" t="str" cm="1">
        <f t="array" ref="W179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793">
        <v>81</v>
      </c>
      <c r="Y1793" t="str" cm="1">
        <f t="array" ref="Y179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793">
        <f>SUM(Table1[[#This Row],[Math 
Score]],Table1[[#This Row],[History 
Score]],Table1[[#This Row],[Physics 
Score]],Table1[[#This Row],[Chemistry 
Score]],Table1[[#This Row],[Biology 
Score]],Table1[[#This Row],[English 
Score]],Table1[[#This Row],[Geography 
Score]])</f>
        <v>617</v>
      </c>
      <c r="AA1793" s="3">
        <f>AVERAGE(Table1[[#This Row],[Math 
Score]],Table1[[#This Row],[History 
Score]],Table1[[#This Row],[Physics 
Score]],Table1[[#This Row],[Chemistry 
Score]],Table1[[#This Row],[Biology 
Score]],Table1[[#This Row],[English 
Score]],Table1[[#This Row],[Geography 
Score]])</f>
        <v>88.142857142857139</v>
      </c>
      <c r="AB179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793">
        <f t="shared" si="27"/>
        <v>235</v>
      </c>
      <c r="AD1793" t="str">
        <f>_xlfn.IFS(Table1[[#This Row],[Absence 
Days]]&lt;3,"Excellent",Table1[[#This Row],[Absence 
Days]]&lt;=6,"Good",Table1[[#This Row],[Absence 
Days]]&gt;6,"Poor")</f>
        <v>Good</v>
      </c>
    </row>
    <row r="1794" spans="1:30" x14ac:dyDescent="0.35">
      <c r="A1794">
        <v>1793</v>
      </c>
      <c r="B1794" s="2" t="s">
        <v>141</v>
      </c>
      <c r="C1794" t="s">
        <v>1086</v>
      </c>
      <c r="D1794" t="str">
        <f>_xlfn.TEXTJOIN(" ",TRUE,Table1[[#This Row],[First 
Name]:[Last 
Name]])</f>
        <v>Michele Stout</v>
      </c>
      <c r="E1794" t="s">
        <v>2904</v>
      </c>
      <c r="F1794" t="s">
        <v>3245</v>
      </c>
      <c r="G1794" t="str">
        <f ca="1">PROPER(Table1[[#This Row],[Part Time 
Job]])</f>
        <v>False</v>
      </c>
      <c r="H1794" s="3">
        <v>5</v>
      </c>
      <c r="I1794" t="str">
        <f ca="1">PROPER(Table1[[#This Row],[Extracurricular 
Activities]])</f>
        <v>True</v>
      </c>
      <c r="J1794">
        <v>17</v>
      </c>
      <c r="K1794" t="s">
        <v>3117</v>
      </c>
      <c r="L1794">
        <v>95</v>
      </c>
      <c r="M1794" s="12" t="str" cm="1">
        <f t="array" ref="M179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794">
        <v>75</v>
      </c>
      <c r="O1794" s="13" t="str" cm="1">
        <f t="array" ref="O179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794">
        <v>79</v>
      </c>
      <c r="Q1794" s="13" t="str" cm="1">
        <f t="array" ref="Q179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794">
        <v>79</v>
      </c>
      <c r="S1794" t="str" cm="1">
        <f t="array" ref="S179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794">
        <v>93</v>
      </c>
      <c r="U1794" t="str" cm="1">
        <f t="array" ref="U179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794">
        <v>85</v>
      </c>
      <c r="W1794" t="str" cm="1">
        <f t="array" ref="W179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794">
        <v>71</v>
      </c>
      <c r="Y1794" t="str" cm="1">
        <f t="array" ref="Y179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794">
        <f>SUM(Table1[[#This Row],[Math 
Score]],Table1[[#This Row],[History 
Score]],Table1[[#This Row],[Physics 
Score]],Table1[[#This Row],[Chemistry 
Score]],Table1[[#This Row],[Biology 
Score]],Table1[[#This Row],[English 
Score]],Table1[[#This Row],[Geography 
Score]])</f>
        <v>577</v>
      </c>
      <c r="AA1794" s="3">
        <f>AVERAGE(Table1[[#This Row],[Math 
Score]],Table1[[#This Row],[History 
Score]],Table1[[#This Row],[Physics 
Score]],Table1[[#This Row],[Chemistry 
Score]],Table1[[#This Row],[Biology 
Score]],Table1[[#This Row],[English 
Score]],Table1[[#This Row],[Geography 
Score]])</f>
        <v>82.428571428571431</v>
      </c>
      <c r="AB179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794">
        <f t="shared" ref="AC1794:AC1857" si="28">RANK(AA1794,$AA$2:$AA$2001,0)</f>
        <v>769</v>
      </c>
      <c r="AD1794" t="str">
        <f>_xlfn.IFS(Table1[[#This Row],[Absence 
Days]]&lt;3,"Excellent",Table1[[#This Row],[Absence 
Days]]&lt;=6,"Good",Table1[[#This Row],[Absence 
Days]]&gt;6,"Poor")</f>
        <v>Good</v>
      </c>
    </row>
    <row r="1795" spans="1:30" x14ac:dyDescent="0.35">
      <c r="A1795">
        <v>1794</v>
      </c>
      <c r="B1795" s="2" t="s">
        <v>32</v>
      </c>
      <c r="C1795" t="s">
        <v>1087</v>
      </c>
      <c r="D1795" t="str">
        <f>_xlfn.TEXTJOIN(" ",TRUE,Table1[[#This Row],[First 
Name]:[Last 
Name]])</f>
        <v>Lisa Estes</v>
      </c>
      <c r="E1795" t="s">
        <v>2905</v>
      </c>
      <c r="F1795" t="s">
        <v>3245</v>
      </c>
      <c r="G1795" t="str">
        <f ca="1">PROPER(Table1[[#This Row],[Part Time 
Job]])</f>
        <v>False</v>
      </c>
      <c r="H1795" s="3">
        <v>0</v>
      </c>
      <c r="I1795" t="str">
        <f ca="1">PROPER(Table1[[#This Row],[Extracurricular 
Activities]])</f>
        <v>False</v>
      </c>
      <c r="J1795">
        <v>10</v>
      </c>
      <c r="K1795" t="s">
        <v>3121</v>
      </c>
      <c r="L1795">
        <v>81</v>
      </c>
      <c r="M1795" s="12" t="str" cm="1">
        <f t="array" ref="M179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795">
        <v>92</v>
      </c>
      <c r="O1795" s="13" t="str" cm="1">
        <f t="array" ref="O179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795">
        <v>76</v>
      </c>
      <c r="Q1795" s="13" t="str" cm="1">
        <f t="array" ref="Q179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795">
        <v>81</v>
      </c>
      <c r="S1795" t="str" cm="1">
        <f t="array" ref="S179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795">
        <v>73</v>
      </c>
      <c r="U1795" t="str" cm="1">
        <f t="array" ref="U179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795">
        <v>92</v>
      </c>
      <c r="W1795" t="str" cm="1">
        <f t="array" ref="W179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795">
        <v>63</v>
      </c>
      <c r="Y1795" t="str" cm="1">
        <f t="array" ref="Y179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795">
        <f>SUM(Table1[[#This Row],[Math 
Score]],Table1[[#This Row],[History 
Score]],Table1[[#This Row],[Physics 
Score]],Table1[[#This Row],[Chemistry 
Score]],Table1[[#This Row],[Biology 
Score]],Table1[[#This Row],[English 
Score]],Table1[[#This Row],[Geography 
Score]])</f>
        <v>558</v>
      </c>
      <c r="AA1795" s="3">
        <f>AVERAGE(Table1[[#This Row],[Math 
Score]],Table1[[#This Row],[History 
Score]],Table1[[#This Row],[Physics 
Score]],Table1[[#This Row],[Chemistry 
Score]],Table1[[#This Row],[Biology 
Score]],Table1[[#This Row],[English 
Score]],Table1[[#This Row],[Geography 
Score]])</f>
        <v>79.714285714285708</v>
      </c>
      <c r="AB179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795">
        <f t="shared" si="28"/>
        <v>1178</v>
      </c>
      <c r="AD1795" t="str">
        <f>_xlfn.IFS(Table1[[#This Row],[Absence 
Days]]&lt;3,"Excellent",Table1[[#This Row],[Absence 
Days]]&lt;=6,"Good",Table1[[#This Row],[Absence 
Days]]&gt;6,"Poor")</f>
        <v>Excellent</v>
      </c>
    </row>
    <row r="1796" spans="1:30" x14ac:dyDescent="0.35">
      <c r="A1796">
        <v>1795</v>
      </c>
      <c r="B1796" s="2" t="s">
        <v>53</v>
      </c>
      <c r="C1796" t="s">
        <v>662</v>
      </c>
      <c r="D1796" t="str">
        <f>_xlfn.TEXTJOIN(" ",TRUE,Table1[[#This Row],[First 
Name]:[Last 
Name]])</f>
        <v>Casey Hall</v>
      </c>
      <c r="E1796" t="s">
        <v>2906</v>
      </c>
      <c r="F1796" t="s">
        <v>3245</v>
      </c>
      <c r="G1796" t="str">
        <f ca="1">PROPER(Table1[[#This Row],[Part Time 
Job]])</f>
        <v>False</v>
      </c>
      <c r="H1796" s="3">
        <v>1</v>
      </c>
      <c r="I1796" t="str">
        <f ca="1">PROPER(Table1[[#This Row],[Extracurricular 
Activities]])</f>
        <v>False</v>
      </c>
      <c r="J1796">
        <v>5</v>
      </c>
      <c r="K1796" t="s">
        <v>3124</v>
      </c>
      <c r="L1796">
        <v>75</v>
      </c>
      <c r="M1796" s="12" t="str" cm="1">
        <f t="array" ref="M179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796">
        <v>88</v>
      </c>
      <c r="O1796" s="13" t="str" cm="1">
        <f t="array" ref="O179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796">
        <v>63</v>
      </c>
      <c r="Q1796" s="13" t="str" cm="1">
        <f t="array" ref="Q179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796">
        <v>64</v>
      </c>
      <c r="S1796" t="str" cm="1">
        <f t="array" ref="S179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796">
        <v>84</v>
      </c>
      <c r="U1796" t="str" cm="1">
        <f t="array" ref="U179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796">
        <v>74</v>
      </c>
      <c r="W1796" t="str" cm="1">
        <f t="array" ref="W179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796">
        <v>72</v>
      </c>
      <c r="Y1796" t="str" cm="1">
        <f t="array" ref="Y179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796">
        <f>SUM(Table1[[#This Row],[Math 
Score]],Table1[[#This Row],[History 
Score]],Table1[[#This Row],[Physics 
Score]],Table1[[#This Row],[Chemistry 
Score]],Table1[[#This Row],[Biology 
Score]],Table1[[#This Row],[English 
Score]],Table1[[#This Row],[Geography 
Score]])</f>
        <v>520</v>
      </c>
      <c r="AA1796" s="3">
        <f>AVERAGE(Table1[[#This Row],[Math 
Score]],Table1[[#This Row],[History 
Score]],Table1[[#This Row],[Physics 
Score]],Table1[[#This Row],[Chemistry 
Score]],Table1[[#This Row],[Biology 
Score]],Table1[[#This Row],[English 
Score]],Table1[[#This Row],[Geography 
Score]])</f>
        <v>74.285714285714292</v>
      </c>
      <c r="AB179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796">
        <f t="shared" si="28"/>
        <v>1753</v>
      </c>
      <c r="AD1796" t="str">
        <f>_xlfn.IFS(Table1[[#This Row],[Absence 
Days]]&lt;3,"Excellent",Table1[[#This Row],[Absence 
Days]]&lt;=6,"Good",Table1[[#This Row],[Absence 
Days]]&gt;6,"Poor")</f>
        <v>Excellent</v>
      </c>
    </row>
    <row r="1797" spans="1:30" x14ac:dyDescent="0.35">
      <c r="A1797">
        <v>1796</v>
      </c>
      <c r="B1797" s="2" t="s">
        <v>89</v>
      </c>
      <c r="C1797" t="s">
        <v>490</v>
      </c>
      <c r="D1797" t="str">
        <f>_xlfn.TEXTJOIN(" ",TRUE,Table1[[#This Row],[First 
Name]:[Last 
Name]])</f>
        <v>Joshua Cole</v>
      </c>
      <c r="E1797" t="s">
        <v>2907</v>
      </c>
      <c r="F1797" t="s">
        <v>3244</v>
      </c>
      <c r="G1797" t="str">
        <f ca="1">PROPER(Table1[[#This Row],[Part Time 
Job]])</f>
        <v>False</v>
      </c>
      <c r="H1797" s="3">
        <v>4</v>
      </c>
      <c r="I1797" t="str">
        <f ca="1">PROPER(Table1[[#This Row],[Extracurricular 
Activities]])</f>
        <v>False</v>
      </c>
      <c r="J1797">
        <v>8</v>
      </c>
      <c r="K1797" t="s">
        <v>3127</v>
      </c>
      <c r="L1797">
        <v>80</v>
      </c>
      <c r="M1797" s="12" t="str" cm="1">
        <f t="array" ref="M179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797">
        <v>69</v>
      </c>
      <c r="O1797" s="13" t="str" cm="1">
        <f t="array" ref="O179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797">
        <v>70</v>
      </c>
      <c r="Q1797" s="13" t="str" cm="1">
        <f t="array" ref="Q179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797">
        <v>60</v>
      </c>
      <c r="S1797" t="str" cm="1">
        <f t="array" ref="S179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797">
        <v>71</v>
      </c>
      <c r="U1797" t="str" cm="1">
        <f t="array" ref="U179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797">
        <v>60</v>
      </c>
      <c r="W1797" t="str" cm="1">
        <f t="array" ref="W179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797">
        <v>89</v>
      </c>
      <c r="Y1797" t="str" cm="1">
        <f t="array" ref="Y179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797">
        <f>SUM(Table1[[#This Row],[Math 
Score]],Table1[[#This Row],[History 
Score]],Table1[[#This Row],[Physics 
Score]],Table1[[#This Row],[Chemistry 
Score]],Table1[[#This Row],[Biology 
Score]],Table1[[#This Row],[English 
Score]],Table1[[#This Row],[Geography 
Score]])</f>
        <v>499</v>
      </c>
      <c r="AA1797" s="3">
        <f>AVERAGE(Table1[[#This Row],[Math 
Score]],Table1[[#This Row],[History 
Score]],Table1[[#This Row],[Physics 
Score]],Table1[[#This Row],[Chemistry 
Score]],Table1[[#This Row],[Biology 
Score]],Table1[[#This Row],[English 
Score]],Table1[[#This Row],[Geography 
Score]])</f>
        <v>71.285714285714292</v>
      </c>
      <c r="AB179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797">
        <f t="shared" si="28"/>
        <v>1882</v>
      </c>
      <c r="AD1797" t="str">
        <f>_xlfn.IFS(Table1[[#This Row],[Absence 
Days]]&lt;3,"Excellent",Table1[[#This Row],[Absence 
Days]]&lt;=6,"Good",Table1[[#This Row],[Absence 
Days]]&gt;6,"Poor")</f>
        <v>Good</v>
      </c>
    </row>
    <row r="1798" spans="1:30" x14ac:dyDescent="0.35">
      <c r="A1798">
        <v>1797</v>
      </c>
      <c r="B1798" s="2" t="s">
        <v>93</v>
      </c>
      <c r="C1798" t="s">
        <v>294</v>
      </c>
      <c r="D1798" t="str">
        <f>_xlfn.TEXTJOIN(" ",TRUE,Table1[[#This Row],[First 
Name]:[Last 
Name]])</f>
        <v>Andrew Jackson</v>
      </c>
      <c r="E1798" t="s">
        <v>2908</v>
      </c>
      <c r="F1798" t="s">
        <v>3244</v>
      </c>
      <c r="G1798" t="str">
        <f ca="1">PROPER(Table1[[#This Row],[Part Time 
Job]])</f>
        <v>False</v>
      </c>
      <c r="H1798" s="3">
        <v>4</v>
      </c>
      <c r="I1798" t="str">
        <f ca="1">PROPER(Table1[[#This Row],[Extracurricular 
Activities]])</f>
        <v>False</v>
      </c>
      <c r="J1798">
        <v>3</v>
      </c>
      <c r="K1798" t="s">
        <v>3119</v>
      </c>
      <c r="L1798">
        <v>52</v>
      </c>
      <c r="M1798" s="12" t="str" cm="1">
        <f t="array" ref="M1798">_xlfn.IFS(Table1[[#This Row],[Math 
Score]]&gt;=90,"A+",Table1[[#This Row],[Math 
Score]]&gt;=80,"A", Table1[[#This Row],[Math 
Score]]&gt;=75,"A-",Table1[[#This Row],[Math 
Score]]&gt;=70,"B+",Table1[[#This Row],[Math 
Score]]&gt;=65,"B",Table1[[#This Row],[Math 
Score]]&gt;=60,"B-",Table1[[#This Row],[Math 
Score]]&gt;=50,"C",Table1[[#This Row],[Math 
Score]]&gt;=40,"D",Table1[[#This Row],[Math 
Score]]&lt;40,"F")</f>
        <v>C</v>
      </c>
      <c r="N1798">
        <v>81</v>
      </c>
      <c r="O1798" s="13" t="str" cm="1">
        <f t="array" ref="O179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798">
        <v>62</v>
      </c>
      <c r="Q1798" s="13" t="str" cm="1">
        <f t="array" ref="Q179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798">
        <v>77</v>
      </c>
      <c r="S1798" t="str" cm="1">
        <f t="array" ref="S179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798">
        <v>74</v>
      </c>
      <c r="U1798" t="str" cm="1">
        <f t="array" ref="U179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798">
        <v>91</v>
      </c>
      <c r="W1798" t="str" cm="1">
        <f t="array" ref="W179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798">
        <v>92</v>
      </c>
      <c r="Y1798" t="str" cm="1">
        <f t="array" ref="Y179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798">
        <f>SUM(Table1[[#This Row],[Math 
Score]],Table1[[#This Row],[History 
Score]],Table1[[#This Row],[Physics 
Score]],Table1[[#This Row],[Chemistry 
Score]],Table1[[#This Row],[Biology 
Score]],Table1[[#This Row],[English 
Score]],Table1[[#This Row],[Geography 
Score]])</f>
        <v>529</v>
      </c>
      <c r="AA1798" s="3">
        <f>AVERAGE(Table1[[#This Row],[Math 
Score]],Table1[[#This Row],[History 
Score]],Table1[[#This Row],[Physics 
Score]],Table1[[#This Row],[Chemistry 
Score]],Table1[[#This Row],[Biology 
Score]],Table1[[#This Row],[English 
Score]],Table1[[#This Row],[Geography 
Score]])</f>
        <v>75.571428571428569</v>
      </c>
      <c r="AB179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798">
        <f t="shared" si="28"/>
        <v>1664</v>
      </c>
      <c r="AD1798" t="str">
        <f>_xlfn.IFS(Table1[[#This Row],[Absence 
Days]]&lt;3,"Excellent",Table1[[#This Row],[Absence 
Days]]&lt;=6,"Good",Table1[[#This Row],[Absence 
Days]]&gt;6,"Poor")</f>
        <v>Good</v>
      </c>
    </row>
    <row r="1799" spans="1:30" x14ac:dyDescent="0.35">
      <c r="A1799">
        <v>1798</v>
      </c>
      <c r="B1799" s="2" t="s">
        <v>137</v>
      </c>
      <c r="C1799" t="s">
        <v>567</v>
      </c>
      <c r="D1799" t="str">
        <f>_xlfn.TEXTJOIN(" ",TRUE,Table1[[#This Row],[First 
Name]:[Last 
Name]])</f>
        <v>Karen Rodriguez</v>
      </c>
      <c r="E1799" t="s">
        <v>2909</v>
      </c>
      <c r="F1799" t="s">
        <v>3245</v>
      </c>
      <c r="G1799" t="str">
        <f ca="1">PROPER(Table1[[#This Row],[Part Time 
Job]])</f>
        <v>False</v>
      </c>
      <c r="H1799" s="3">
        <v>3</v>
      </c>
      <c r="I1799" t="str">
        <f ca="1">PROPER(Table1[[#This Row],[Extracurricular 
Activities]])</f>
        <v>False</v>
      </c>
      <c r="J1799">
        <v>30</v>
      </c>
      <c r="K1799" t="s">
        <v>3113</v>
      </c>
      <c r="L1799">
        <v>95</v>
      </c>
      <c r="M1799" s="12" t="str" cm="1">
        <f t="array" ref="M179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799">
        <v>94</v>
      </c>
      <c r="O1799" s="13" t="str" cm="1">
        <f t="array" ref="O179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799">
        <v>82</v>
      </c>
      <c r="Q1799" s="13" t="str" cm="1">
        <f t="array" ref="Q179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799">
        <v>87</v>
      </c>
      <c r="S1799" t="str" cm="1">
        <f t="array" ref="S179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799">
        <v>93</v>
      </c>
      <c r="U1799" t="str" cm="1">
        <f t="array" ref="U179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799">
        <v>93</v>
      </c>
      <c r="W1799" t="str" cm="1">
        <f t="array" ref="W179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799">
        <v>90</v>
      </c>
      <c r="Y1799" t="str" cm="1">
        <f t="array" ref="Y179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799">
        <f>SUM(Table1[[#This Row],[Math 
Score]],Table1[[#This Row],[History 
Score]],Table1[[#This Row],[Physics 
Score]],Table1[[#This Row],[Chemistry 
Score]],Table1[[#This Row],[Biology 
Score]],Table1[[#This Row],[English 
Score]],Table1[[#This Row],[Geography 
Score]])</f>
        <v>634</v>
      </c>
      <c r="AA1799" s="3">
        <f>AVERAGE(Table1[[#This Row],[Math 
Score]],Table1[[#This Row],[History 
Score]],Table1[[#This Row],[Physics 
Score]],Table1[[#This Row],[Chemistry 
Score]],Table1[[#This Row],[Biology 
Score]],Table1[[#This Row],[English 
Score]],Table1[[#This Row],[Geography 
Score]])</f>
        <v>90.571428571428569</v>
      </c>
      <c r="AB179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799">
        <f t="shared" si="28"/>
        <v>131</v>
      </c>
      <c r="AD1799" t="str">
        <f>_xlfn.IFS(Table1[[#This Row],[Absence 
Days]]&lt;3,"Excellent",Table1[[#This Row],[Absence 
Days]]&lt;=6,"Good",Table1[[#This Row],[Absence 
Days]]&gt;6,"Poor")</f>
        <v>Good</v>
      </c>
    </row>
    <row r="1800" spans="1:30" x14ac:dyDescent="0.35">
      <c r="A1800">
        <v>1799</v>
      </c>
      <c r="B1800" s="2" t="s">
        <v>211</v>
      </c>
      <c r="C1800" t="s">
        <v>592</v>
      </c>
      <c r="D1800" t="str">
        <f>_xlfn.TEXTJOIN(" ",TRUE,Table1[[#This Row],[First 
Name]:[Last 
Name]])</f>
        <v>Sara Johnson</v>
      </c>
      <c r="E1800" t="s">
        <v>2910</v>
      </c>
      <c r="F1800" t="s">
        <v>3245</v>
      </c>
      <c r="G1800" t="str">
        <f ca="1">PROPER(Table1[[#This Row],[Part Time 
Job]])</f>
        <v>False</v>
      </c>
      <c r="H1800" s="3">
        <v>2</v>
      </c>
      <c r="I1800" t="str">
        <f ca="1">PROPER(Table1[[#This Row],[Extracurricular 
Activities]])</f>
        <v>False</v>
      </c>
      <c r="J1800">
        <v>20</v>
      </c>
      <c r="K1800" t="s">
        <v>3123</v>
      </c>
      <c r="L1800">
        <v>99</v>
      </c>
      <c r="M1800" s="12" t="str" cm="1">
        <f t="array" ref="M180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800">
        <v>70</v>
      </c>
      <c r="O1800" s="13" t="str" cm="1">
        <f t="array" ref="O180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800">
        <v>97</v>
      </c>
      <c r="Q1800" s="13" t="str" cm="1">
        <f t="array" ref="Q180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800">
        <v>93</v>
      </c>
      <c r="S1800" t="str" cm="1">
        <f t="array" ref="S180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800">
        <v>87</v>
      </c>
      <c r="U1800" t="str" cm="1">
        <f t="array" ref="U180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800">
        <v>90</v>
      </c>
      <c r="W1800" t="str" cm="1">
        <f t="array" ref="W180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800">
        <v>88</v>
      </c>
      <c r="Y1800" t="str" cm="1">
        <f t="array" ref="Y180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800">
        <f>SUM(Table1[[#This Row],[Math 
Score]],Table1[[#This Row],[History 
Score]],Table1[[#This Row],[Physics 
Score]],Table1[[#This Row],[Chemistry 
Score]],Table1[[#This Row],[Biology 
Score]],Table1[[#This Row],[English 
Score]],Table1[[#This Row],[Geography 
Score]])</f>
        <v>624</v>
      </c>
      <c r="AA1800" s="3">
        <f>AVERAGE(Table1[[#This Row],[Math 
Score]],Table1[[#This Row],[History 
Score]],Table1[[#This Row],[Physics 
Score]],Table1[[#This Row],[Chemistry 
Score]],Table1[[#This Row],[Biology 
Score]],Table1[[#This Row],[English 
Score]],Table1[[#This Row],[Geography 
Score]])</f>
        <v>89.142857142857139</v>
      </c>
      <c r="AB180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800">
        <f t="shared" si="28"/>
        <v>194</v>
      </c>
      <c r="AD1800" t="str">
        <f>_xlfn.IFS(Table1[[#This Row],[Absence 
Days]]&lt;3,"Excellent",Table1[[#This Row],[Absence 
Days]]&lt;=6,"Good",Table1[[#This Row],[Absence 
Days]]&gt;6,"Poor")</f>
        <v>Excellent</v>
      </c>
    </row>
    <row r="1801" spans="1:30" x14ac:dyDescent="0.35">
      <c r="A1801">
        <v>1800</v>
      </c>
      <c r="B1801" s="2" t="s">
        <v>91</v>
      </c>
      <c r="C1801" t="s">
        <v>1088</v>
      </c>
      <c r="D1801" t="str">
        <f>_xlfn.TEXTJOIN(" ",TRUE,Table1[[#This Row],[First 
Name]:[Last 
Name]])</f>
        <v>Alyssa Costa</v>
      </c>
      <c r="E1801" t="s">
        <v>2911</v>
      </c>
      <c r="F1801" t="s">
        <v>3245</v>
      </c>
      <c r="G1801" t="str">
        <f ca="1">PROPER(Table1[[#This Row],[Part Time 
Job]])</f>
        <v>True</v>
      </c>
      <c r="H1801" s="3">
        <v>5</v>
      </c>
      <c r="I1801" t="str">
        <f ca="1">PROPER(Table1[[#This Row],[Extracurricular 
Activities]])</f>
        <v>False</v>
      </c>
      <c r="J1801">
        <v>25</v>
      </c>
      <c r="K1801" t="s">
        <v>3117</v>
      </c>
      <c r="L1801">
        <v>85</v>
      </c>
      <c r="M1801" s="12" t="str" cm="1">
        <f t="array" ref="M180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801">
        <v>87</v>
      </c>
      <c r="O1801" s="13" t="str" cm="1">
        <f t="array" ref="O180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801">
        <v>68</v>
      </c>
      <c r="Q1801" s="13" t="str" cm="1">
        <f t="array" ref="Q180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801">
        <v>74</v>
      </c>
      <c r="S1801" t="str" cm="1">
        <f t="array" ref="S180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801">
        <v>74</v>
      </c>
      <c r="U1801" t="str" cm="1">
        <f t="array" ref="U180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801">
        <v>85</v>
      </c>
      <c r="W1801" t="str" cm="1">
        <f t="array" ref="W180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801">
        <v>68</v>
      </c>
      <c r="Y1801" t="str" cm="1">
        <f t="array" ref="Y180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801">
        <f>SUM(Table1[[#This Row],[Math 
Score]],Table1[[#This Row],[History 
Score]],Table1[[#This Row],[Physics 
Score]],Table1[[#This Row],[Chemistry 
Score]],Table1[[#This Row],[Biology 
Score]],Table1[[#This Row],[English 
Score]],Table1[[#This Row],[Geography 
Score]])</f>
        <v>541</v>
      </c>
      <c r="AA1801" s="3">
        <f>AVERAGE(Table1[[#This Row],[Math 
Score]],Table1[[#This Row],[History 
Score]],Table1[[#This Row],[Physics 
Score]],Table1[[#This Row],[Chemistry 
Score]],Table1[[#This Row],[Biology 
Score]],Table1[[#This Row],[English 
Score]],Table1[[#This Row],[Geography 
Score]])</f>
        <v>77.285714285714292</v>
      </c>
      <c r="AB180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801">
        <f t="shared" si="28"/>
        <v>1493</v>
      </c>
      <c r="AD1801" t="str">
        <f>_xlfn.IFS(Table1[[#This Row],[Absence 
Days]]&lt;3,"Excellent",Table1[[#This Row],[Absence 
Days]]&lt;=6,"Good",Table1[[#This Row],[Absence 
Days]]&gt;6,"Poor")</f>
        <v>Good</v>
      </c>
    </row>
    <row r="1802" spans="1:30" x14ac:dyDescent="0.35">
      <c r="A1802">
        <v>1801</v>
      </c>
      <c r="B1802" s="2" t="s">
        <v>231</v>
      </c>
      <c r="C1802" t="s">
        <v>747</v>
      </c>
      <c r="D1802" t="str">
        <f>_xlfn.TEXTJOIN(" ",TRUE,Table1[[#This Row],[First 
Name]:[Last 
Name]])</f>
        <v>Daniel Poole</v>
      </c>
      <c r="E1802" t="s">
        <v>2912</v>
      </c>
      <c r="F1802" t="s">
        <v>3244</v>
      </c>
      <c r="G1802" t="str">
        <f ca="1">PROPER(Table1[[#This Row],[Part Time 
Job]])</f>
        <v>False</v>
      </c>
      <c r="H1802" s="3">
        <v>4</v>
      </c>
      <c r="I1802" t="str">
        <f ca="1">PROPER(Table1[[#This Row],[Extracurricular 
Activities]])</f>
        <v>True</v>
      </c>
      <c r="J1802">
        <v>23</v>
      </c>
      <c r="K1802" t="s">
        <v>3125</v>
      </c>
      <c r="L1802">
        <v>96</v>
      </c>
      <c r="M1802" s="12" t="str" cm="1">
        <f t="array" ref="M180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802">
        <v>89</v>
      </c>
      <c r="O1802" s="13" t="str" cm="1">
        <f t="array" ref="O180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802">
        <v>86</v>
      </c>
      <c r="Q1802" s="13" t="str" cm="1">
        <f t="array" ref="Q180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802">
        <v>84</v>
      </c>
      <c r="S1802" t="str" cm="1">
        <f t="array" ref="S180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802">
        <v>64</v>
      </c>
      <c r="U1802" t="str" cm="1">
        <f t="array" ref="U180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802">
        <v>60</v>
      </c>
      <c r="W1802" t="str" cm="1">
        <f t="array" ref="W180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802">
        <v>66</v>
      </c>
      <c r="Y1802" t="str" cm="1">
        <f t="array" ref="Y180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802">
        <f>SUM(Table1[[#This Row],[Math 
Score]],Table1[[#This Row],[History 
Score]],Table1[[#This Row],[Physics 
Score]],Table1[[#This Row],[Chemistry 
Score]],Table1[[#This Row],[Biology 
Score]],Table1[[#This Row],[English 
Score]],Table1[[#This Row],[Geography 
Score]])</f>
        <v>545</v>
      </c>
      <c r="AA1802" s="3">
        <f>AVERAGE(Table1[[#This Row],[Math 
Score]],Table1[[#This Row],[History 
Score]],Table1[[#This Row],[Physics 
Score]],Table1[[#This Row],[Chemistry 
Score]],Table1[[#This Row],[Biology 
Score]],Table1[[#This Row],[English 
Score]],Table1[[#This Row],[Geography 
Score]])</f>
        <v>77.857142857142861</v>
      </c>
      <c r="AB180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802">
        <f t="shared" si="28"/>
        <v>1432</v>
      </c>
      <c r="AD1802" t="str">
        <f>_xlfn.IFS(Table1[[#This Row],[Absence 
Days]]&lt;3,"Excellent",Table1[[#This Row],[Absence 
Days]]&lt;=6,"Good",Table1[[#This Row],[Absence 
Days]]&gt;6,"Poor")</f>
        <v>Good</v>
      </c>
    </row>
    <row r="1803" spans="1:30" x14ac:dyDescent="0.35">
      <c r="A1803">
        <v>1802</v>
      </c>
      <c r="B1803" s="2" t="s">
        <v>170</v>
      </c>
      <c r="C1803" t="s">
        <v>1089</v>
      </c>
      <c r="D1803" t="str">
        <f>_xlfn.TEXTJOIN(" ",TRUE,Table1[[#This Row],[First 
Name]:[Last 
Name]])</f>
        <v>Ricardo Juarez</v>
      </c>
      <c r="E1803" t="s">
        <v>2913</v>
      </c>
      <c r="F1803" t="s">
        <v>3244</v>
      </c>
      <c r="G1803" t="str">
        <f ca="1">PROPER(Table1[[#This Row],[Part Time 
Job]])</f>
        <v>False</v>
      </c>
      <c r="H1803" s="3">
        <v>7</v>
      </c>
      <c r="I1803" t="str">
        <f ca="1">PROPER(Table1[[#This Row],[Extracurricular 
Activities]])</f>
        <v>False</v>
      </c>
      <c r="J1803">
        <v>3</v>
      </c>
      <c r="K1803" t="s">
        <v>3126</v>
      </c>
      <c r="L1803">
        <v>91</v>
      </c>
      <c r="M1803" s="12" t="str" cm="1">
        <f t="array" ref="M180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803">
        <v>63</v>
      </c>
      <c r="O1803" s="13" t="str" cm="1">
        <f t="array" ref="O180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803">
        <v>86</v>
      </c>
      <c r="Q1803" s="13" t="str" cm="1">
        <f t="array" ref="Q180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803">
        <v>81</v>
      </c>
      <c r="S1803" t="str" cm="1">
        <f t="array" ref="S180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803">
        <v>90</v>
      </c>
      <c r="U1803" t="str" cm="1">
        <f t="array" ref="U180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803">
        <v>98</v>
      </c>
      <c r="W1803" t="str" cm="1">
        <f t="array" ref="W180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803">
        <v>63</v>
      </c>
      <c r="Y1803" t="str" cm="1">
        <f t="array" ref="Y180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803">
        <f>SUM(Table1[[#This Row],[Math 
Score]],Table1[[#This Row],[History 
Score]],Table1[[#This Row],[Physics 
Score]],Table1[[#This Row],[Chemistry 
Score]],Table1[[#This Row],[Biology 
Score]],Table1[[#This Row],[English 
Score]],Table1[[#This Row],[Geography 
Score]])</f>
        <v>572</v>
      </c>
      <c r="AA1803" s="3">
        <f>AVERAGE(Table1[[#This Row],[Math 
Score]],Table1[[#This Row],[History 
Score]],Table1[[#This Row],[Physics 
Score]],Table1[[#This Row],[Chemistry 
Score]],Table1[[#This Row],[Biology 
Score]],Table1[[#This Row],[English 
Score]],Table1[[#This Row],[Geography 
Score]])</f>
        <v>81.714285714285708</v>
      </c>
      <c r="AB180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803">
        <f t="shared" si="28"/>
        <v>890</v>
      </c>
      <c r="AD1803" t="str">
        <f>_xlfn.IFS(Table1[[#This Row],[Absence 
Days]]&lt;3,"Excellent",Table1[[#This Row],[Absence 
Days]]&lt;=6,"Good",Table1[[#This Row],[Absence 
Days]]&gt;6,"Poor")</f>
        <v>Poor</v>
      </c>
    </row>
    <row r="1804" spans="1:30" x14ac:dyDescent="0.35">
      <c r="A1804">
        <v>1803</v>
      </c>
      <c r="B1804" s="2" t="s">
        <v>400</v>
      </c>
      <c r="C1804" t="s">
        <v>890</v>
      </c>
      <c r="D1804" t="str">
        <f>_xlfn.TEXTJOIN(" ",TRUE,Table1[[#This Row],[First 
Name]:[Last 
Name]])</f>
        <v>Tony Castillo</v>
      </c>
      <c r="E1804" t="s">
        <v>2914</v>
      </c>
      <c r="F1804" t="s">
        <v>3244</v>
      </c>
      <c r="G1804" t="str">
        <f ca="1">PROPER(Table1[[#This Row],[Part Time 
Job]])</f>
        <v>True</v>
      </c>
      <c r="H1804" s="3">
        <v>1</v>
      </c>
      <c r="I1804" t="str">
        <f ca="1">PROPER(Table1[[#This Row],[Extracurricular 
Activities]])</f>
        <v>False</v>
      </c>
      <c r="J1804">
        <v>24</v>
      </c>
      <c r="K1804" t="s">
        <v>3117</v>
      </c>
      <c r="L1804">
        <v>89</v>
      </c>
      <c r="M1804" s="12" t="str" cm="1">
        <f t="array" ref="M180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804">
        <v>82</v>
      </c>
      <c r="O1804" s="13" t="str" cm="1">
        <f t="array" ref="O180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804">
        <v>76</v>
      </c>
      <c r="Q1804" s="13" t="str" cm="1">
        <f t="array" ref="Q180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804">
        <v>92</v>
      </c>
      <c r="S1804" t="str" cm="1">
        <f t="array" ref="S180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804">
        <v>97</v>
      </c>
      <c r="U1804" t="str" cm="1">
        <f t="array" ref="U180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804">
        <v>66</v>
      </c>
      <c r="W1804" t="str" cm="1">
        <f t="array" ref="W180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804">
        <v>60</v>
      </c>
      <c r="Y1804" t="str" cm="1">
        <f t="array" ref="Y180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804">
        <f>SUM(Table1[[#This Row],[Math 
Score]],Table1[[#This Row],[History 
Score]],Table1[[#This Row],[Physics 
Score]],Table1[[#This Row],[Chemistry 
Score]],Table1[[#This Row],[Biology 
Score]],Table1[[#This Row],[English 
Score]],Table1[[#This Row],[Geography 
Score]])</f>
        <v>562</v>
      </c>
      <c r="AA1804" s="3">
        <f>AVERAGE(Table1[[#This Row],[Math 
Score]],Table1[[#This Row],[History 
Score]],Table1[[#This Row],[Physics 
Score]],Table1[[#This Row],[Chemistry 
Score]],Table1[[#This Row],[Biology 
Score]],Table1[[#This Row],[English 
Score]],Table1[[#This Row],[Geography 
Score]])</f>
        <v>80.285714285714292</v>
      </c>
      <c r="AB180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804">
        <f t="shared" si="28"/>
        <v>1099</v>
      </c>
      <c r="AD1804" t="str">
        <f>_xlfn.IFS(Table1[[#This Row],[Absence 
Days]]&lt;3,"Excellent",Table1[[#This Row],[Absence 
Days]]&lt;=6,"Good",Table1[[#This Row],[Absence 
Days]]&gt;6,"Poor")</f>
        <v>Excellent</v>
      </c>
    </row>
    <row r="1805" spans="1:30" x14ac:dyDescent="0.35">
      <c r="A1805">
        <v>1804</v>
      </c>
      <c r="B1805" s="2" t="s">
        <v>56</v>
      </c>
      <c r="C1805" t="s">
        <v>5</v>
      </c>
      <c r="D1805" t="str">
        <f>_xlfn.TEXTJOIN(" ",TRUE,Table1[[#This Row],[First 
Name]:[Last 
Name]])</f>
        <v>Brian Kelly</v>
      </c>
      <c r="E1805" t="s">
        <v>2915</v>
      </c>
      <c r="F1805" t="s">
        <v>3244</v>
      </c>
      <c r="G1805" t="str">
        <f ca="1">PROPER(Table1[[#This Row],[Part Time 
Job]])</f>
        <v>False</v>
      </c>
      <c r="H1805" s="3">
        <v>1</v>
      </c>
      <c r="I1805" t="str">
        <f ca="1">PROPER(Table1[[#This Row],[Extracurricular 
Activities]])</f>
        <v>False</v>
      </c>
      <c r="J1805">
        <v>37</v>
      </c>
      <c r="K1805" t="s">
        <v>3113</v>
      </c>
      <c r="L1805">
        <v>98</v>
      </c>
      <c r="M1805" s="12" t="str" cm="1">
        <f t="array" ref="M180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805">
        <v>87</v>
      </c>
      <c r="O1805" s="13" t="str" cm="1">
        <f t="array" ref="O180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805">
        <v>96</v>
      </c>
      <c r="Q1805" s="13" t="str" cm="1">
        <f t="array" ref="Q180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805">
        <v>89</v>
      </c>
      <c r="S1805" t="str" cm="1">
        <f t="array" ref="S180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805">
        <v>100</v>
      </c>
      <c r="U1805" t="str" cm="1">
        <f t="array" ref="U180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805">
        <v>85</v>
      </c>
      <c r="W1805" t="str" cm="1">
        <f t="array" ref="W180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805">
        <v>91</v>
      </c>
      <c r="Y1805" t="str" cm="1">
        <f t="array" ref="Y180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805">
        <f>SUM(Table1[[#This Row],[Math 
Score]],Table1[[#This Row],[History 
Score]],Table1[[#This Row],[Physics 
Score]],Table1[[#This Row],[Chemistry 
Score]],Table1[[#This Row],[Biology 
Score]],Table1[[#This Row],[English 
Score]],Table1[[#This Row],[Geography 
Score]])</f>
        <v>646</v>
      </c>
      <c r="AA1805" s="3">
        <f>AVERAGE(Table1[[#This Row],[Math 
Score]],Table1[[#This Row],[History 
Score]],Table1[[#This Row],[Physics 
Score]],Table1[[#This Row],[Chemistry 
Score]],Table1[[#This Row],[Biology 
Score]],Table1[[#This Row],[English 
Score]],Table1[[#This Row],[Geography 
Score]])</f>
        <v>92.285714285714292</v>
      </c>
      <c r="AB180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805">
        <f t="shared" si="28"/>
        <v>73</v>
      </c>
      <c r="AD1805" t="str">
        <f>_xlfn.IFS(Table1[[#This Row],[Absence 
Days]]&lt;3,"Excellent",Table1[[#This Row],[Absence 
Days]]&lt;=6,"Good",Table1[[#This Row],[Absence 
Days]]&gt;6,"Poor")</f>
        <v>Excellent</v>
      </c>
    </row>
    <row r="1806" spans="1:30" x14ac:dyDescent="0.35">
      <c r="A1806">
        <v>1805</v>
      </c>
      <c r="B1806" s="2" t="s">
        <v>267</v>
      </c>
      <c r="C1806" t="s">
        <v>569</v>
      </c>
      <c r="D1806" t="str">
        <f>_xlfn.TEXTJOIN(" ",TRUE,Table1[[#This Row],[First 
Name]:[Last 
Name]])</f>
        <v>Tyler Moore</v>
      </c>
      <c r="E1806" t="s">
        <v>2916</v>
      </c>
      <c r="F1806" t="s">
        <v>3244</v>
      </c>
      <c r="G1806" t="str">
        <f ca="1">PROPER(Table1[[#This Row],[Part Time 
Job]])</f>
        <v>False</v>
      </c>
      <c r="H1806" s="3">
        <v>2</v>
      </c>
      <c r="I1806" t="str">
        <f ca="1">PROPER(Table1[[#This Row],[Extracurricular 
Activities]])</f>
        <v>False</v>
      </c>
      <c r="J1806">
        <v>28</v>
      </c>
      <c r="K1806" t="s">
        <v>3116</v>
      </c>
      <c r="L1806">
        <v>100</v>
      </c>
      <c r="M1806" s="12" t="str" cm="1">
        <f t="array" ref="M180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806">
        <v>82</v>
      </c>
      <c r="O1806" s="13" t="str" cm="1">
        <f t="array" ref="O180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806">
        <v>72</v>
      </c>
      <c r="Q1806" s="13" t="str" cm="1">
        <f t="array" ref="Q180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806">
        <v>97</v>
      </c>
      <c r="S1806" t="str" cm="1">
        <f t="array" ref="S180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806">
        <v>74</v>
      </c>
      <c r="U1806" t="str" cm="1">
        <f t="array" ref="U180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806">
        <v>75</v>
      </c>
      <c r="W1806" t="str" cm="1">
        <f t="array" ref="W180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806">
        <v>81</v>
      </c>
      <c r="Y1806" t="str" cm="1">
        <f t="array" ref="Y180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806">
        <f>SUM(Table1[[#This Row],[Math 
Score]],Table1[[#This Row],[History 
Score]],Table1[[#This Row],[Physics 
Score]],Table1[[#This Row],[Chemistry 
Score]],Table1[[#This Row],[Biology 
Score]],Table1[[#This Row],[English 
Score]],Table1[[#This Row],[Geography 
Score]])</f>
        <v>581</v>
      </c>
      <c r="AA1806" s="3">
        <f>AVERAGE(Table1[[#This Row],[Math 
Score]],Table1[[#This Row],[History 
Score]],Table1[[#This Row],[Physics 
Score]],Table1[[#This Row],[Chemistry 
Score]],Table1[[#This Row],[Biology 
Score]],Table1[[#This Row],[English 
Score]],Table1[[#This Row],[Geography 
Score]])</f>
        <v>83</v>
      </c>
      <c r="AB180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806">
        <f t="shared" si="28"/>
        <v>688</v>
      </c>
      <c r="AD1806" t="str">
        <f>_xlfn.IFS(Table1[[#This Row],[Absence 
Days]]&lt;3,"Excellent",Table1[[#This Row],[Absence 
Days]]&lt;=6,"Good",Table1[[#This Row],[Absence 
Days]]&gt;6,"Poor")</f>
        <v>Excellent</v>
      </c>
    </row>
    <row r="1807" spans="1:30" x14ac:dyDescent="0.35">
      <c r="A1807">
        <v>1806</v>
      </c>
      <c r="B1807" s="2" t="s">
        <v>238</v>
      </c>
      <c r="C1807" t="s">
        <v>486</v>
      </c>
      <c r="D1807" t="str">
        <f>_xlfn.TEXTJOIN(" ",TRUE,Table1[[#This Row],[First 
Name]:[Last 
Name]])</f>
        <v>Sharon Martinez</v>
      </c>
      <c r="E1807" t="s">
        <v>2917</v>
      </c>
      <c r="F1807" t="s">
        <v>3245</v>
      </c>
      <c r="G1807" t="str">
        <f ca="1">PROPER(Table1[[#This Row],[Part Time 
Job]])</f>
        <v>False</v>
      </c>
      <c r="H1807" s="3">
        <v>2</v>
      </c>
      <c r="I1807" t="str">
        <f ca="1">PROPER(Table1[[#This Row],[Extracurricular 
Activities]])</f>
        <v>False</v>
      </c>
      <c r="J1807">
        <v>5</v>
      </c>
      <c r="K1807" t="s">
        <v>3119</v>
      </c>
      <c r="L1807">
        <v>75</v>
      </c>
      <c r="M1807" s="12" t="str" cm="1">
        <f t="array" ref="M180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807">
        <v>71</v>
      </c>
      <c r="O1807" s="13" t="str" cm="1">
        <f t="array" ref="O180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807">
        <v>68</v>
      </c>
      <c r="Q1807" s="13" t="str" cm="1">
        <f t="array" ref="Q180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807">
        <v>91</v>
      </c>
      <c r="S1807" t="str" cm="1">
        <f t="array" ref="S180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807">
        <v>79</v>
      </c>
      <c r="U1807" t="str" cm="1">
        <f t="array" ref="U180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807">
        <v>62</v>
      </c>
      <c r="W1807" t="str" cm="1">
        <f t="array" ref="W180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807">
        <v>94</v>
      </c>
      <c r="Y1807" t="str" cm="1">
        <f t="array" ref="Y180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807">
        <f>SUM(Table1[[#This Row],[Math 
Score]],Table1[[#This Row],[History 
Score]],Table1[[#This Row],[Physics 
Score]],Table1[[#This Row],[Chemistry 
Score]],Table1[[#This Row],[Biology 
Score]],Table1[[#This Row],[English 
Score]],Table1[[#This Row],[Geography 
Score]])</f>
        <v>540</v>
      </c>
      <c r="AA1807" s="3">
        <f>AVERAGE(Table1[[#This Row],[Math 
Score]],Table1[[#This Row],[History 
Score]],Table1[[#This Row],[Physics 
Score]],Table1[[#This Row],[Chemistry 
Score]],Table1[[#This Row],[Biology 
Score]],Table1[[#This Row],[English 
Score]],Table1[[#This Row],[Geography 
Score]])</f>
        <v>77.142857142857139</v>
      </c>
      <c r="AB180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807">
        <f t="shared" si="28"/>
        <v>1513</v>
      </c>
      <c r="AD1807" t="str">
        <f>_xlfn.IFS(Table1[[#This Row],[Absence 
Days]]&lt;3,"Excellent",Table1[[#This Row],[Absence 
Days]]&lt;=6,"Good",Table1[[#This Row],[Absence 
Days]]&gt;6,"Poor")</f>
        <v>Excellent</v>
      </c>
    </row>
    <row r="1808" spans="1:30" x14ac:dyDescent="0.35">
      <c r="A1808">
        <v>1807</v>
      </c>
      <c r="B1808" s="2" t="s">
        <v>270</v>
      </c>
      <c r="C1808" t="s">
        <v>901</v>
      </c>
      <c r="D1808" t="str">
        <f>_xlfn.TEXTJOIN(" ",TRUE,Table1[[#This Row],[First 
Name]:[Last 
Name]])</f>
        <v>Mary Malone</v>
      </c>
      <c r="E1808" t="s">
        <v>2918</v>
      </c>
      <c r="F1808" t="s">
        <v>3245</v>
      </c>
      <c r="G1808" t="str">
        <f ca="1">PROPER(Table1[[#This Row],[Part Time 
Job]])</f>
        <v>False</v>
      </c>
      <c r="H1808" s="3">
        <v>3</v>
      </c>
      <c r="I1808" t="str">
        <f ca="1">PROPER(Table1[[#This Row],[Extracurricular 
Activities]])</f>
        <v>False</v>
      </c>
      <c r="J1808">
        <v>6</v>
      </c>
      <c r="K1808" t="s">
        <v>3128</v>
      </c>
      <c r="L1808">
        <v>74</v>
      </c>
      <c r="M1808" s="12" t="str" cm="1">
        <f t="array" ref="M1808">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808">
        <v>63</v>
      </c>
      <c r="O1808" s="13" t="str" cm="1">
        <f t="array" ref="O180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808">
        <v>74</v>
      </c>
      <c r="Q1808" s="13" t="str" cm="1">
        <f t="array" ref="Q180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808">
        <v>63</v>
      </c>
      <c r="S1808" t="str" cm="1">
        <f t="array" ref="S180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808">
        <v>78</v>
      </c>
      <c r="U1808" t="str" cm="1">
        <f t="array" ref="U180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808">
        <v>90</v>
      </c>
      <c r="W1808" t="str" cm="1">
        <f t="array" ref="W180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808">
        <v>83</v>
      </c>
      <c r="Y1808" t="str" cm="1">
        <f t="array" ref="Y180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808">
        <f>SUM(Table1[[#This Row],[Math 
Score]],Table1[[#This Row],[History 
Score]],Table1[[#This Row],[Physics 
Score]],Table1[[#This Row],[Chemistry 
Score]],Table1[[#This Row],[Biology 
Score]],Table1[[#This Row],[English 
Score]],Table1[[#This Row],[Geography 
Score]])</f>
        <v>525</v>
      </c>
      <c r="AA1808" s="3">
        <f>AVERAGE(Table1[[#This Row],[Math 
Score]],Table1[[#This Row],[History 
Score]],Table1[[#This Row],[Physics 
Score]],Table1[[#This Row],[Chemistry 
Score]],Table1[[#This Row],[Biology 
Score]],Table1[[#This Row],[English 
Score]],Table1[[#This Row],[Geography 
Score]])</f>
        <v>75</v>
      </c>
      <c r="AB180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808">
        <f t="shared" si="28"/>
        <v>1704</v>
      </c>
      <c r="AD1808" t="str">
        <f>_xlfn.IFS(Table1[[#This Row],[Absence 
Days]]&lt;3,"Excellent",Table1[[#This Row],[Absence 
Days]]&lt;=6,"Good",Table1[[#This Row],[Absence 
Days]]&gt;6,"Poor")</f>
        <v>Good</v>
      </c>
    </row>
    <row r="1809" spans="1:30" x14ac:dyDescent="0.35">
      <c r="A1809">
        <v>1808</v>
      </c>
      <c r="B1809" s="2" t="s">
        <v>122</v>
      </c>
      <c r="C1809" t="s">
        <v>811</v>
      </c>
      <c r="D1809" t="str">
        <f>_xlfn.TEXTJOIN(" ",TRUE,Table1[[#This Row],[First 
Name]:[Last 
Name]])</f>
        <v>Rebecca Huang</v>
      </c>
      <c r="E1809" t="s">
        <v>2919</v>
      </c>
      <c r="F1809" t="s">
        <v>3245</v>
      </c>
      <c r="G1809" t="str">
        <f ca="1">PROPER(Table1[[#This Row],[Part Time 
Job]])</f>
        <v>False</v>
      </c>
      <c r="H1809" s="3">
        <v>7</v>
      </c>
      <c r="I1809" t="str">
        <f ca="1">PROPER(Table1[[#This Row],[Extracurricular 
Activities]])</f>
        <v>False</v>
      </c>
      <c r="J1809">
        <v>40</v>
      </c>
      <c r="K1809" t="s">
        <v>3113</v>
      </c>
      <c r="L1809">
        <v>85</v>
      </c>
      <c r="M1809" s="12" t="str" cm="1">
        <f t="array" ref="M180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809">
        <v>99</v>
      </c>
      <c r="O1809" s="13" t="str" cm="1">
        <f t="array" ref="O180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809">
        <v>87</v>
      </c>
      <c r="Q1809" s="13" t="str" cm="1">
        <f t="array" ref="Q180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809">
        <v>85</v>
      </c>
      <c r="S1809" t="str" cm="1">
        <f t="array" ref="S180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809">
        <v>91</v>
      </c>
      <c r="U1809" t="str" cm="1">
        <f t="array" ref="U180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809">
        <v>88</v>
      </c>
      <c r="W1809" t="str" cm="1">
        <f t="array" ref="W180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809">
        <v>90</v>
      </c>
      <c r="Y1809" t="str" cm="1">
        <f t="array" ref="Y180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809">
        <f>SUM(Table1[[#This Row],[Math 
Score]],Table1[[#This Row],[History 
Score]],Table1[[#This Row],[Physics 
Score]],Table1[[#This Row],[Chemistry 
Score]],Table1[[#This Row],[Biology 
Score]],Table1[[#This Row],[English 
Score]],Table1[[#This Row],[Geography 
Score]])</f>
        <v>625</v>
      </c>
      <c r="AA1809" s="3">
        <f>AVERAGE(Table1[[#This Row],[Math 
Score]],Table1[[#This Row],[History 
Score]],Table1[[#This Row],[Physics 
Score]],Table1[[#This Row],[Chemistry 
Score]],Table1[[#This Row],[Biology 
Score]],Table1[[#This Row],[English 
Score]],Table1[[#This Row],[Geography 
Score]])</f>
        <v>89.285714285714292</v>
      </c>
      <c r="AB180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809">
        <f t="shared" si="28"/>
        <v>187</v>
      </c>
      <c r="AD1809" t="str">
        <f>_xlfn.IFS(Table1[[#This Row],[Absence 
Days]]&lt;3,"Excellent",Table1[[#This Row],[Absence 
Days]]&lt;=6,"Good",Table1[[#This Row],[Absence 
Days]]&gt;6,"Poor")</f>
        <v>Poor</v>
      </c>
    </row>
    <row r="1810" spans="1:30" x14ac:dyDescent="0.35">
      <c r="A1810">
        <v>1809</v>
      </c>
      <c r="B1810" s="2" t="s">
        <v>376</v>
      </c>
      <c r="C1810" t="s">
        <v>1048</v>
      </c>
      <c r="D1810" t="str">
        <f>_xlfn.TEXTJOIN(" ",TRUE,Table1[[#This Row],[First 
Name]:[Last 
Name]])</f>
        <v>Alan Santos</v>
      </c>
      <c r="E1810" t="s">
        <v>2920</v>
      </c>
      <c r="F1810" t="s">
        <v>3244</v>
      </c>
      <c r="G1810" t="str">
        <f ca="1">PROPER(Table1[[#This Row],[Part Time 
Job]])</f>
        <v>False</v>
      </c>
      <c r="H1810" s="3">
        <v>3</v>
      </c>
      <c r="I1810" t="str">
        <f ca="1">PROPER(Table1[[#This Row],[Extracurricular 
Activities]])</f>
        <v>True</v>
      </c>
      <c r="J1810">
        <v>35</v>
      </c>
      <c r="K1810" t="s">
        <v>3116</v>
      </c>
      <c r="L1810">
        <v>86</v>
      </c>
      <c r="M1810" s="12" t="str" cm="1">
        <f t="array" ref="M181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810">
        <v>87</v>
      </c>
      <c r="O1810" s="13" t="str" cm="1">
        <f t="array" ref="O181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810">
        <v>97</v>
      </c>
      <c r="Q1810" s="13" t="str" cm="1">
        <f t="array" ref="Q181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810">
        <v>92</v>
      </c>
      <c r="S1810" t="str" cm="1">
        <f t="array" ref="S181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810">
        <v>85</v>
      </c>
      <c r="U1810" t="str" cm="1">
        <f t="array" ref="U181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810">
        <v>99</v>
      </c>
      <c r="W1810" t="str" cm="1">
        <f t="array" ref="W181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810">
        <v>86</v>
      </c>
      <c r="Y1810" t="str" cm="1">
        <f t="array" ref="Y181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810">
        <f>SUM(Table1[[#This Row],[Math 
Score]],Table1[[#This Row],[History 
Score]],Table1[[#This Row],[Physics 
Score]],Table1[[#This Row],[Chemistry 
Score]],Table1[[#This Row],[Biology 
Score]],Table1[[#This Row],[English 
Score]],Table1[[#This Row],[Geography 
Score]])</f>
        <v>632</v>
      </c>
      <c r="AA1810" s="3">
        <f>AVERAGE(Table1[[#This Row],[Math 
Score]],Table1[[#This Row],[History 
Score]],Table1[[#This Row],[Physics 
Score]],Table1[[#This Row],[Chemistry 
Score]],Table1[[#This Row],[Biology 
Score]],Table1[[#This Row],[English 
Score]],Table1[[#This Row],[Geography 
Score]])</f>
        <v>90.285714285714292</v>
      </c>
      <c r="AB181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810">
        <f t="shared" si="28"/>
        <v>143</v>
      </c>
      <c r="AD1810" t="str">
        <f>_xlfn.IFS(Table1[[#This Row],[Absence 
Days]]&lt;3,"Excellent",Table1[[#This Row],[Absence 
Days]]&lt;=6,"Good",Table1[[#This Row],[Absence 
Days]]&gt;6,"Poor")</f>
        <v>Good</v>
      </c>
    </row>
    <row r="1811" spans="1:30" x14ac:dyDescent="0.35">
      <c r="A1811">
        <v>1810</v>
      </c>
      <c r="B1811" s="2" t="s">
        <v>353</v>
      </c>
      <c r="C1811" t="s">
        <v>1090</v>
      </c>
      <c r="D1811" t="str">
        <f>_xlfn.TEXTJOIN(" ",TRUE,Table1[[#This Row],[First 
Name]:[Last 
Name]])</f>
        <v>Martin Duran</v>
      </c>
      <c r="E1811" t="s">
        <v>2921</v>
      </c>
      <c r="F1811" t="s">
        <v>3244</v>
      </c>
      <c r="G1811" t="str">
        <f ca="1">PROPER(Table1[[#This Row],[Part Time 
Job]])</f>
        <v>False</v>
      </c>
      <c r="H1811" s="3">
        <v>4</v>
      </c>
      <c r="I1811" t="str">
        <f ca="1">PROPER(Table1[[#This Row],[Extracurricular 
Activities]])</f>
        <v>True</v>
      </c>
      <c r="J1811">
        <v>34</v>
      </c>
      <c r="K1811" t="s">
        <v>3113</v>
      </c>
      <c r="L1811">
        <v>91</v>
      </c>
      <c r="M1811" s="12" t="str" cm="1">
        <f t="array" ref="M181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811">
        <v>71</v>
      </c>
      <c r="O1811" s="13" t="str" cm="1">
        <f t="array" ref="O181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811">
        <v>99</v>
      </c>
      <c r="Q1811" s="13" t="str" cm="1">
        <f t="array" ref="Q181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811">
        <v>96</v>
      </c>
      <c r="S1811" t="str" cm="1">
        <f t="array" ref="S181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811">
        <v>85</v>
      </c>
      <c r="U1811" t="str" cm="1">
        <f t="array" ref="U181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811">
        <v>79</v>
      </c>
      <c r="W1811" t="str" cm="1">
        <f t="array" ref="W181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811">
        <v>74</v>
      </c>
      <c r="Y1811" t="str" cm="1">
        <f t="array" ref="Y181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811">
        <f>SUM(Table1[[#This Row],[Math 
Score]],Table1[[#This Row],[History 
Score]],Table1[[#This Row],[Physics 
Score]],Table1[[#This Row],[Chemistry 
Score]],Table1[[#This Row],[Biology 
Score]],Table1[[#This Row],[English 
Score]],Table1[[#This Row],[Geography 
Score]])</f>
        <v>595</v>
      </c>
      <c r="AA1811" s="3">
        <f>AVERAGE(Table1[[#This Row],[Math 
Score]],Table1[[#This Row],[History 
Score]],Table1[[#This Row],[Physics 
Score]],Table1[[#This Row],[Chemistry 
Score]],Table1[[#This Row],[Biology 
Score]],Table1[[#This Row],[English 
Score]],Table1[[#This Row],[Geography 
Score]])</f>
        <v>85</v>
      </c>
      <c r="AB181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811">
        <f t="shared" si="28"/>
        <v>465</v>
      </c>
      <c r="AD1811" t="str">
        <f>_xlfn.IFS(Table1[[#This Row],[Absence 
Days]]&lt;3,"Excellent",Table1[[#This Row],[Absence 
Days]]&lt;=6,"Good",Table1[[#This Row],[Absence 
Days]]&gt;6,"Poor")</f>
        <v>Good</v>
      </c>
    </row>
    <row r="1812" spans="1:30" x14ac:dyDescent="0.35">
      <c r="A1812">
        <v>1811</v>
      </c>
      <c r="B1812" s="2" t="s">
        <v>36</v>
      </c>
      <c r="C1812" t="s">
        <v>460</v>
      </c>
      <c r="D1812" t="str">
        <f>_xlfn.TEXTJOIN(" ",TRUE,Table1[[#This Row],[First 
Name]:[Last 
Name]])</f>
        <v>Christopher Gutierrez</v>
      </c>
      <c r="E1812" t="s">
        <v>2922</v>
      </c>
      <c r="F1812" t="s">
        <v>3244</v>
      </c>
      <c r="G1812" t="str">
        <f ca="1">PROPER(Table1[[#This Row],[Part Time 
Job]])</f>
        <v>False</v>
      </c>
      <c r="H1812" s="3">
        <v>2</v>
      </c>
      <c r="I1812" t="str">
        <f ca="1">PROPER(Table1[[#This Row],[Extracurricular 
Activities]])</f>
        <v>False</v>
      </c>
      <c r="J1812">
        <v>24</v>
      </c>
      <c r="K1812" t="s">
        <v>3117</v>
      </c>
      <c r="L1812">
        <v>90</v>
      </c>
      <c r="M1812" s="12" t="str" cm="1">
        <f t="array" ref="M181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812">
        <v>76</v>
      </c>
      <c r="O1812" s="13" t="str" cm="1">
        <f t="array" ref="O181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812">
        <v>100</v>
      </c>
      <c r="Q1812" s="13" t="str" cm="1">
        <f t="array" ref="Q181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812">
        <v>73</v>
      </c>
      <c r="S1812" t="str" cm="1">
        <f t="array" ref="S181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812">
        <v>90</v>
      </c>
      <c r="U1812" t="str" cm="1">
        <f t="array" ref="U181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812">
        <v>64</v>
      </c>
      <c r="W1812" t="str" cm="1">
        <f t="array" ref="W181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812">
        <v>86</v>
      </c>
      <c r="Y1812" t="str" cm="1">
        <f t="array" ref="Y181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812">
        <f>SUM(Table1[[#This Row],[Math 
Score]],Table1[[#This Row],[History 
Score]],Table1[[#This Row],[Physics 
Score]],Table1[[#This Row],[Chemistry 
Score]],Table1[[#This Row],[Biology 
Score]],Table1[[#This Row],[English 
Score]],Table1[[#This Row],[Geography 
Score]])</f>
        <v>579</v>
      </c>
      <c r="AA1812" s="3">
        <f>AVERAGE(Table1[[#This Row],[Math 
Score]],Table1[[#This Row],[History 
Score]],Table1[[#This Row],[Physics 
Score]],Table1[[#This Row],[Chemistry 
Score]],Table1[[#This Row],[Biology 
Score]],Table1[[#This Row],[English 
Score]],Table1[[#This Row],[Geography 
Score]])</f>
        <v>82.714285714285708</v>
      </c>
      <c r="AB181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812">
        <f t="shared" si="28"/>
        <v>730</v>
      </c>
      <c r="AD1812" t="str">
        <f>_xlfn.IFS(Table1[[#This Row],[Absence 
Days]]&lt;3,"Excellent",Table1[[#This Row],[Absence 
Days]]&lt;=6,"Good",Table1[[#This Row],[Absence 
Days]]&gt;6,"Poor")</f>
        <v>Excellent</v>
      </c>
    </row>
    <row r="1813" spans="1:30" x14ac:dyDescent="0.35">
      <c r="A1813">
        <v>1812</v>
      </c>
      <c r="B1813" s="2" t="s">
        <v>185</v>
      </c>
      <c r="C1813" t="s">
        <v>604</v>
      </c>
      <c r="D1813" t="str">
        <f>_xlfn.TEXTJOIN(" ",TRUE,Table1[[#This Row],[First 
Name]:[Last 
Name]])</f>
        <v>Brandy Maldonado</v>
      </c>
      <c r="E1813" t="s">
        <v>2923</v>
      </c>
      <c r="F1813" t="s">
        <v>3245</v>
      </c>
      <c r="G1813" t="str">
        <f ca="1">PROPER(Table1[[#This Row],[Part Time 
Job]])</f>
        <v>False</v>
      </c>
      <c r="H1813" s="3">
        <v>6</v>
      </c>
      <c r="I1813" t="str">
        <f ca="1">PROPER(Table1[[#This Row],[Extracurricular 
Activities]])</f>
        <v>False</v>
      </c>
      <c r="J1813">
        <v>35</v>
      </c>
      <c r="K1813" t="s">
        <v>3120</v>
      </c>
      <c r="L1813">
        <v>91</v>
      </c>
      <c r="M1813" s="12" t="str" cm="1">
        <f t="array" ref="M181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813">
        <v>91</v>
      </c>
      <c r="O1813" s="13" t="str" cm="1">
        <f t="array" ref="O181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813">
        <v>92</v>
      </c>
      <c r="Q1813" s="13" t="str" cm="1">
        <f t="array" ref="Q181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813">
        <v>95</v>
      </c>
      <c r="S1813" t="str" cm="1">
        <f t="array" ref="S181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813">
        <v>98</v>
      </c>
      <c r="U1813" t="str" cm="1">
        <f t="array" ref="U181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813">
        <v>91</v>
      </c>
      <c r="W1813" t="str" cm="1">
        <f t="array" ref="W181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813">
        <v>85</v>
      </c>
      <c r="Y1813" t="str" cm="1">
        <f t="array" ref="Y181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813">
        <f>SUM(Table1[[#This Row],[Math 
Score]],Table1[[#This Row],[History 
Score]],Table1[[#This Row],[Physics 
Score]],Table1[[#This Row],[Chemistry 
Score]],Table1[[#This Row],[Biology 
Score]],Table1[[#This Row],[English 
Score]],Table1[[#This Row],[Geography 
Score]])</f>
        <v>643</v>
      </c>
      <c r="AA1813" s="3">
        <f>AVERAGE(Table1[[#This Row],[Math 
Score]],Table1[[#This Row],[History 
Score]],Table1[[#This Row],[Physics 
Score]],Table1[[#This Row],[Chemistry 
Score]],Table1[[#This Row],[Biology 
Score]],Table1[[#This Row],[English 
Score]],Table1[[#This Row],[Geography 
Score]])</f>
        <v>91.857142857142861</v>
      </c>
      <c r="AB181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813">
        <f t="shared" si="28"/>
        <v>87</v>
      </c>
      <c r="AD1813" t="str">
        <f>_xlfn.IFS(Table1[[#This Row],[Absence 
Days]]&lt;3,"Excellent",Table1[[#This Row],[Absence 
Days]]&lt;=6,"Good",Table1[[#This Row],[Absence 
Days]]&gt;6,"Poor")</f>
        <v>Good</v>
      </c>
    </row>
    <row r="1814" spans="1:30" x14ac:dyDescent="0.35">
      <c r="A1814">
        <v>1813</v>
      </c>
      <c r="B1814" s="2" t="s">
        <v>174</v>
      </c>
      <c r="C1814" t="s">
        <v>636</v>
      </c>
      <c r="D1814" t="str">
        <f>_xlfn.TEXTJOIN(" ",TRUE,Table1[[#This Row],[First 
Name]:[Last 
Name]])</f>
        <v>Brenda Sanders</v>
      </c>
      <c r="E1814" t="s">
        <v>2924</v>
      </c>
      <c r="F1814" t="s">
        <v>3245</v>
      </c>
      <c r="G1814" t="str">
        <f ca="1">PROPER(Table1[[#This Row],[Part Time 
Job]])</f>
        <v>True</v>
      </c>
      <c r="H1814" s="3">
        <v>6</v>
      </c>
      <c r="I1814" t="str">
        <f ca="1">PROPER(Table1[[#This Row],[Extracurricular 
Activities]])</f>
        <v>False</v>
      </c>
      <c r="J1814">
        <v>0</v>
      </c>
      <c r="K1814" t="s">
        <v>3119</v>
      </c>
      <c r="L1814">
        <v>80</v>
      </c>
      <c r="M1814" s="12" t="str" cm="1">
        <f t="array" ref="M181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814">
        <v>83</v>
      </c>
      <c r="O1814" s="13" t="str" cm="1">
        <f t="array" ref="O181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814">
        <v>93</v>
      </c>
      <c r="Q1814" s="13" t="str" cm="1">
        <f t="array" ref="Q181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814">
        <v>81</v>
      </c>
      <c r="S1814" t="str" cm="1">
        <f t="array" ref="S181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814">
        <v>95</v>
      </c>
      <c r="U1814" t="str" cm="1">
        <f t="array" ref="U181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814">
        <v>87</v>
      </c>
      <c r="W1814" t="str" cm="1">
        <f t="array" ref="W181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814">
        <v>61</v>
      </c>
      <c r="Y1814" t="str" cm="1">
        <f t="array" ref="Y181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814">
        <f>SUM(Table1[[#This Row],[Math 
Score]],Table1[[#This Row],[History 
Score]],Table1[[#This Row],[Physics 
Score]],Table1[[#This Row],[Chemistry 
Score]],Table1[[#This Row],[Biology 
Score]],Table1[[#This Row],[English 
Score]],Table1[[#This Row],[Geography 
Score]])</f>
        <v>580</v>
      </c>
      <c r="AA1814" s="3">
        <f>AVERAGE(Table1[[#This Row],[Math 
Score]],Table1[[#This Row],[History 
Score]],Table1[[#This Row],[Physics 
Score]],Table1[[#This Row],[Chemistry 
Score]],Table1[[#This Row],[Biology 
Score]],Table1[[#This Row],[English 
Score]],Table1[[#This Row],[Geography 
Score]])</f>
        <v>82.857142857142861</v>
      </c>
      <c r="AB181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814">
        <f t="shared" si="28"/>
        <v>709</v>
      </c>
      <c r="AD1814" t="str">
        <f>_xlfn.IFS(Table1[[#This Row],[Absence 
Days]]&lt;3,"Excellent",Table1[[#This Row],[Absence 
Days]]&lt;=6,"Good",Table1[[#This Row],[Absence 
Days]]&gt;6,"Poor")</f>
        <v>Good</v>
      </c>
    </row>
    <row r="1815" spans="1:30" x14ac:dyDescent="0.35">
      <c r="A1815">
        <v>1814</v>
      </c>
      <c r="B1815" s="2" t="s">
        <v>401</v>
      </c>
      <c r="C1815" t="s">
        <v>832</v>
      </c>
      <c r="D1815" t="str">
        <f>_xlfn.TEXTJOIN(" ",TRUE,Table1[[#This Row],[First 
Name]:[Last 
Name]])</f>
        <v>Drew Mccann</v>
      </c>
      <c r="E1815" t="s">
        <v>2925</v>
      </c>
      <c r="F1815" t="s">
        <v>3244</v>
      </c>
      <c r="G1815" t="str">
        <f ca="1">PROPER(Table1[[#This Row],[Part Time 
Job]])</f>
        <v>False</v>
      </c>
      <c r="H1815" s="3">
        <v>1</v>
      </c>
      <c r="I1815" t="str">
        <f ca="1">PROPER(Table1[[#This Row],[Extracurricular 
Activities]])</f>
        <v>False</v>
      </c>
      <c r="J1815">
        <v>35</v>
      </c>
      <c r="K1815" t="s">
        <v>3113</v>
      </c>
      <c r="L1815">
        <v>95</v>
      </c>
      <c r="M1815" s="12" t="str" cm="1">
        <f t="array" ref="M181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815">
        <v>89</v>
      </c>
      <c r="O1815" s="13" t="str" cm="1">
        <f t="array" ref="O181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815">
        <v>92</v>
      </c>
      <c r="Q1815" s="13" t="str" cm="1">
        <f t="array" ref="Q181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815">
        <v>87</v>
      </c>
      <c r="S1815" t="str" cm="1">
        <f t="array" ref="S181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815">
        <v>95</v>
      </c>
      <c r="U1815" t="str" cm="1">
        <f t="array" ref="U181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815">
        <v>86</v>
      </c>
      <c r="W1815" t="str" cm="1">
        <f t="array" ref="W181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815">
        <v>93</v>
      </c>
      <c r="Y1815" t="str" cm="1">
        <f t="array" ref="Y181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815">
        <f>SUM(Table1[[#This Row],[Math 
Score]],Table1[[#This Row],[History 
Score]],Table1[[#This Row],[Physics 
Score]],Table1[[#This Row],[Chemistry 
Score]],Table1[[#This Row],[Biology 
Score]],Table1[[#This Row],[English 
Score]],Table1[[#This Row],[Geography 
Score]])</f>
        <v>637</v>
      </c>
      <c r="AA1815" s="3">
        <f>AVERAGE(Table1[[#This Row],[Math 
Score]],Table1[[#This Row],[History 
Score]],Table1[[#This Row],[Physics 
Score]],Table1[[#This Row],[Chemistry 
Score]],Table1[[#This Row],[Biology 
Score]],Table1[[#This Row],[English 
Score]],Table1[[#This Row],[Geography 
Score]])</f>
        <v>91</v>
      </c>
      <c r="AB181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815">
        <f t="shared" si="28"/>
        <v>115</v>
      </c>
      <c r="AD1815" t="str">
        <f>_xlfn.IFS(Table1[[#This Row],[Absence 
Days]]&lt;3,"Excellent",Table1[[#This Row],[Absence 
Days]]&lt;=6,"Good",Table1[[#This Row],[Absence 
Days]]&gt;6,"Poor")</f>
        <v>Excellent</v>
      </c>
    </row>
    <row r="1816" spans="1:30" x14ac:dyDescent="0.35">
      <c r="A1816">
        <v>1815</v>
      </c>
      <c r="B1816" s="2" t="s">
        <v>89</v>
      </c>
      <c r="C1816" t="s">
        <v>843</v>
      </c>
      <c r="D1816" t="str">
        <f>_xlfn.TEXTJOIN(" ",TRUE,Table1[[#This Row],[First 
Name]:[Last 
Name]])</f>
        <v>Joshua Ayala</v>
      </c>
      <c r="E1816" t="s">
        <v>2926</v>
      </c>
      <c r="F1816" t="s">
        <v>3244</v>
      </c>
      <c r="G1816" t="str">
        <f ca="1">PROPER(Table1[[#This Row],[Part Time 
Job]])</f>
        <v>False</v>
      </c>
      <c r="H1816" s="3">
        <v>5</v>
      </c>
      <c r="I1816" t="str">
        <f ca="1">PROPER(Table1[[#This Row],[Extracurricular 
Activities]])</f>
        <v>True</v>
      </c>
      <c r="J1816">
        <v>18</v>
      </c>
      <c r="K1816" t="s">
        <v>3116</v>
      </c>
      <c r="L1816">
        <v>94</v>
      </c>
      <c r="M1816" s="12" t="str" cm="1">
        <f t="array" ref="M181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816">
        <v>97</v>
      </c>
      <c r="O1816" s="13" t="str" cm="1">
        <f t="array" ref="O181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816">
        <v>69</v>
      </c>
      <c r="Q1816" s="13" t="str" cm="1">
        <f t="array" ref="Q181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816">
        <v>81</v>
      </c>
      <c r="S1816" t="str" cm="1">
        <f t="array" ref="S181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816">
        <v>100</v>
      </c>
      <c r="U1816" t="str" cm="1">
        <f t="array" ref="U181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816">
        <v>68</v>
      </c>
      <c r="W1816" t="str" cm="1">
        <f t="array" ref="W181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816">
        <v>68</v>
      </c>
      <c r="Y1816" t="str" cm="1">
        <f t="array" ref="Y181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816">
        <f>SUM(Table1[[#This Row],[Math 
Score]],Table1[[#This Row],[History 
Score]],Table1[[#This Row],[Physics 
Score]],Table1[[#This Row],[Chemistry 
Score]],Table1[[#This Row],[Biology 
Score]],Table1[[#This Row],[English 
Score]],Table1[[#This Row],[Geography 
Score]])</f>
        <v>577</v>
      </c>
      <c r="AA1816" s="3">
        <f>AVERAGE(Table1[[#This Row],[Math 
Score]],Table1[[#This Row],[History 
Score]],Table1[[#This Row],[Physics 
Score]],Table1[[#This Row],[Chemistry 
Score]],Table1[[#This Row],[Biology 
Score]],Table1[[#This Row],[English 
Score]],Table1[[#This Row],[Geography 
Score]])</f>
        <v>82.428571428571431</v>
      </c>
      <c r="AB181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816">
        <f t="shared" si="28"/>
        <v>769</v>
      </c>
      <c r="AD1816" t="str">
        <f>_xlfn.IFS(Table1[[#This Row],[Absence 
Days]]&lt;3,"Excellent",Table1[[#This Row],[Absence 
Days]]&lt;=6,"Good",Table1[[#This Row],[Absence 
Days]]&gt;6,"Poor")</f>
        <v>Good</v>
      </c>
    </row>
    <row r="1817" spans="1:30" x14ac:dyDescent="0.35">
      <c r="A1817">
        <v>1816</v>
      </c>
      <c r="B1817" s="2" t="s">
        <v>2</v>
      </c>
      <c r="C1817" t="s">
        <v>1091</v>
      </c>
      <c r="D1817" t="str">
        <f>_xlfn.TEXTJOIN(" ",TRUE,Table1[[#This Row],[First 
Name]:[Last 
Name]])</f>
        <v>Tina Rose</v>
      </c>
      <c r="E1817" t="s">
        <v>2927</v>
      </c>
      <c r="F1817" t="s">
        <v>3245</v>
      </c>
      <c r="G1817" t="str">
        <f ca="1">PROPER(Table1[[#This Row],[Part Time 
Job]])</f>
        <v>True</v>
      </c>
      <c r="H1817" s="3">
        <v>1</v>
      </c>
      <c r="I1817" t="str">
        <f ca="1">PROPER(Table1[[#This Row],[Extracurricular 
Activities]])</f>
        <v>True</v>
      </c>
      <c r="J1817">
        <v>1</v>
      </c>
      <c r="K1817" t="s">
        <v>3119</v>
      </c>
      <c r="L1817">
        <v>54</v>
      </c>
      <c r="M1817" s="12" t="str" cm="1">
        <f t="array" ref="M1817">_xlfn.IFS(Table1[[#This Row],[Math 
Score]]&gt;=90,"A+",Table1[[#This Row],[Math 
Score]]&gt;=80,"A", Table1[[#This Row],[Math 
Score]]&gt;=75,"A-",Table1[[#This Row],[Math 
Score]]&gt;=70,"B+",Table1[[#This Row],[Math 
Score]]&gt;=65,"B",Table1[[#This Row],[Math 
Score]]&gt;=60,"B-",Table1[[#This Row],[Math 
Score]]&gt;=50,"C",Table1[[#This Row],[Math 
Score]]&gt;=40,"D",Table1[[#This Row],[Math 
Score]]&lt;40,"F")</f>
        <v>C</v>
      </c>
      <c r="N1817">
        <v>55</v>
      </c>
      <c r="O1817" s="13" t="str" cm="1">
        <f t="array" ref="O181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C</v>
      </c>
      <c r="P1817">
        <v>50</v>
      </c>
      <c r="Q1817" s="13" t="str" cm="1">
        <f t="array" ref="Q181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C</v>
      </c>
      <c r="R1817">
        <v>100</v>
      </c>
      <c r="S1817" t="str" cm="1">
        <f t="array" ref="S181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817">
        <v>77</v>
      </c>
      <c r="U1817" t="str" cm="1">
        <f t="array" ref="U181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817">
        <v>61</v>
      </c>
      <c r="W1817" t="str" cm="1">
        <f t="array" ref="W181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817">
        <v>78</v>
      </c>
      <c r="Y1817" t="str" cm="1">
        <f t="array" ref="Y181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817">
        <f>SUM(Table1[[#This Row],[Math 
Score]],Table1[[#This Row],[History 
Score]],Table1[[#This Row],[Physics 
Score]],Table1[[#This Row],[Chemistry 
Score]],Table1[[#This Row],[Biology 
Score]],Table1[[#This Row],[English 
Score]],Table1[[#This Row],[Geography 
Score]])</f>
        <v>475</v>
      </c>
      <c r="AA1817" s="3">
        <f>AVERAGE(Table1[[#This Row],[Math 
Score]],Table1[[#This Row],[History 
Score]],Table1[[#This Row],[Physics 
Score]],Table1[[#This Row],[Chemistry 
Score]],Table1[[#This Row],[Biology 
Score]],Table1[[#This Row],[English 
Score]],Table1[[#This Row],[Geography 
Score]])</f>
        <v>67.857142857142861</v>
      </c>
      <c r="AB181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817">
        <f t="shared" si="28"/>
        <v>1947</v>
      </c>
      <c r="AD1817" t="str">
        <f>_xlfn.IFS(Table1[[#This Row],[Absence 
Days]]&lt;3,"Excellent",Table1[[#This Row],[Absence 
Days]]&lt;=6,"Good",Table1[[#This Row],[Absence 
Days]]&gt;6,"Poor")</f>
        <v>Excellent</v>
      </c>
    </row>
    <row r="1818" spans="1:30" x14ac:dyDescent="0.35">
      <c r="A1818">
        <v>1817</v>
      </c>
      <c r="B1818" s="2" t="s">
        <v>75</v>
      </c>
      <c r="C1818" t="s">
        <v>954</v>
      </c>
      <c r="D1818" t="str">
        <f>_xlfn.TEXTJOIN(" ",TRUE,Table1[[#This Row],[First 
Name]:[Last 
Name]])</f>
        <v>William Khan</v>
      </c>
      <c r="E1818" t="s">
        <v>2928</v>
      </c>
      <c r="F1818" t="s">
        <v>3244</v>
      </c>
      <c r="G1818" t="str">
        <f ca="1">PROPER(Table1[[#This Row],[Part Time 
Job]])</f>
        <v>False</v>
      </c>
      <c r="H1818" s="3">
        <v>2</v>
      </c>
      <c r="I1818" t="str">
        <f ca="1">PROPER(Table1[[#This Row],[Extracurricular 
Activities]])</f>
        <v>False</v>
      </c>
      <c r="J1818">
        <v>16</v>
      </c>
      <c r="K1818" t="s">
        <v>3125</v>
      </c>
      <c r="L1818">
        <v>87</v>
      </c>
      <c r="M1818" s="12" t="str" cm="1">
        <f t="array" ref="M181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818">
        <v>80</v>
      </c>
      <c r="O1818" s="13" t="str" cm="1">
        <f t="array" ref="O181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818">
        <v>85</v>
      </c>
      <c r="Q1818" s="13" t="str" cm="1">
        <f t="array" ref="Q181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818">
        <v>60</v>
      </c>
      <c r="S1818" t="str" cm="1">
        <f t="array" ref="S181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818">
        <v>96</v>
      </c>
      <c r="U1818" t="str" cm="1">
        <f t="array" ref="U181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818">
        <v>81</v>
      </c>
      <c r="W1818" t="str" cm="1">
        <f t="array" ref="W181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818">
        <v>83</v>
      </c>
      <c r="Y1818" t="str" cm="1">
        <f t="array" ref="Y181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818">
        <f>SUM(Table1[[#This Row],[Math 
Score]],Table1[[#This Row],[History 
Score]],Table1[[#This Row],[Physics 
Score]],Table1[[#This Row],[Chemistry 
Score]],Table1[[#This Row],[Biology 
Score]],Table1[[#This Row],[English 
Score]],Table1[[#This Row],[Geography 
Score]])</f>
        <v>572</v>
      </c>
      <c r="AA1818" s="3">
        <f>AVERAGE(Table1[[#This Row],[Math 
Score]],Table1[[#This Row],[History 
Score]],Table1[[#This Row],[Physics 
Score]],Table1[[#This Row],[Chemistry 
Score]],Table1[[#This Row],[Biology 
Score]],Table1[[#This Row],[English 
Score]],Table1[[#This Row],[Geography 
Score]])</f>
        <v>81.714285714285708</v>
      </c>
      <c r="AB181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818">
        <f t="shared" si="28"/>
        <v>890</v>
      </c>
      <c r="AD1818" t="str">
        <f>_xlfn.IFS(Table1[[#This Row],[Absence 
Days]]&lt;3,"Excellent",Table1[[#This Row],[Absence 
Days]]&lt;=6,"Good",Table1[[#This Row],[Absence 
Days]]&gt;6,"Poor")</f>
        <v>Excellent</v>
      </c>
    </row>
    <row r="1819" spans="1:30" x14ac:dyDescent="0.35">
      <c r="A1819">
        <v>1818</v>
      </c>
      <c r="B1819" s="2" t="s">
        <v>75</v>
      </c>
      <c r="C1819" t="s">
        <v>904</v>
      </c>
      <c r="D1819" t="str">
        <f>_xlfn.TEXTJOIN(" ",TRUE,Table1[[#This Row],[First 
Name]:[Last 
Name]])</f>
        <v>William Avery</v>
      </c>
      <c r="E1819" t="s">
        <v>2929</v>
      </c>
      <c r="F1819" t="s">
        <v>3244</v>
      </c>
      <c r="G1819" t="str">
        <f ca="1">PROPER(Table1[[#This Row],[Part Time 
Job]])</f>
        <v>False</v>
      </c>
      <c r="H1819" s="3">
        <v>5</v>
      </c>
      <c r="I1819" t="str">
        <f ca="1">PROPER(Table1[[#This Row],[Extracurricular 
Activities]])</f>
        <v>False</v>
      </c>
      <c r="J1819">
        <v>28</v>
      </c>
      <c r="K1819" t="s">
        <v>3117</v>
      </c>
      <c r="L1819">
        <v>100</v>
      </c>
      <c r="M1819" s="12" t="str" cm="1">
        <f t="array" ref="M181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819">
        <v>75</v>
      </c>
      <c r="O1819" s="13" t="str" cm="1">
        <f t="array" ref="O181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819">
        <v>72</v>
      </c>
      <c r="Q1819" s="13" t="str" cm="1">
        <f t="array" ref="Q181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819">
        <v>79</v>
      </c>
      <c r="S1819" t="str" cm="1">
        <f t="array" ref="S181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819">
        <v>61</v>
      </c>
      <c r="U1819" t="str" cm="1">
        <f t="array" ref="U181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819">
        <v>94</v>
      </c>
      <c r="W1819" t="str" cm="1">
        <f t="array" ref="W181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819">
        <v>82</v>
      </c>
      <c r="Y1819" t="str" cm="1">
        <f t="array" ref="Y181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819">
        <f>SUM(Table1[[#This Row],[Math 
Score]],Table1[[#This Row],[History 
Score]],Table1[[#This Row],[Physics 
Score]],Table1[[#This Row],[Chemistry 
Score]],Table1[[#This Row],[Biology 
Score]],Table1[[#This Row],[English 
Score]],Table1[[#This Row],[Geography 
Score]])</f>
        <v>563</v>
      </c>
      <c r="AA1819" s="3">
        <f>AVERAGE(Table1[[#This Row],[Math 
Score]],Table1[[#This Row],[History 
Score]],Table1[[#This Row],[Physics 
Score]],Table1[[#This Row],[Chemistry 
Score]],Table1[[#This Row],[Biology 
Score]],Table1[[#This Row],[English 
Score]],Table1[[#This Row],[Geography 
Score]])</f>
        <v>80.428571428571431</v>
      </c>
      <c r="AB181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819">
        <f t="shared" si="28"/>
        <v>1077</v>
      </c>
      <c r="AD1819" t="str">
        <f>_xlfn.IFS(Table1[[#This Row],[Absence 
Days]]&lt;3,"Excellent",Table1[[#This Row],[Absence 
Days]]&lt;=6,"Good",Table1[[#This Row],[Absence 
Days]]&gt;6,"Poor")</f>
        <v>Good</v>
      </c>
    </row>
    <row r="1820" spans="1:30" x14ac:dyDescent="0.35">
      <c r="A1820">
        <v>1819</v>
      </c>
      <c r="B1820" s="2" t="s">
        <v>124</v>
      </c>
      <c r="C1820" t="s">
        <v>1092</v>
      </c>
      <c r="D1820" t="str">
        <f>_xlfn.TEXTJOIN(" ",TRUE,Table1[[#This Row],[First 
Name]:[Last 
Name]])</f>
        <v>John Fuller</v>
      </c>
      <c r="E1820" t="s">
        <v>2930</v>
      </c>
      <c r="F1820" t="s">
        <v>3244</v>
      </c>
      <c r="G1820" t="str">
        <f ca="1">PROPER(Table1[[#This Row],[Part Time 
Job]])</f>
        <v>False</v>
      </c>
      <c r="H1820" s="3">
        <v>3</v>
      </c>
      <c r="I1820" t="str">
        <f ca="1">PROPER(Table1[[#This Row],[Extracurricular 
Activities]])</f>
        <v>False</v>
      </c>
      <c r="J1820">
        <v>14</v>
      </c>
      <c r="K1820" t="s">
        <v>3114</v>
      </c>
      <c r="L1820">
        <v>93</v>
      </c>
      <c r="M1820" s="12" t="str" cm="1">
        <f t="array" ref="M182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820">
        <v>99</v>
      </c>
      <c r="O1820" s="13" t="str" cm="1">
        <f t="array" ref="O182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820">
        <v>72</v>
      </c>
      <c r="Q1820" s="13" t="str" cm="1">
        <f t="array" ref="Q182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820">
        <v>79</v>
      </c>
      <c r="S1820" t="str" cm="1">
        <f t="array" ref="S182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820">
        <v>83</v>
      </c>
      <c r="U1820" t="str" cm="1">
        <f t="array" ref="U182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820">
        <v>87</v>
      </c>
      <c r="W1820" t="str" cm="1">
        <f t="array" ref="W182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820">
        <v>73</v>
      </c>
      <c r="Y1820" t="str" cm="1">
        <f t="array" ref="Y182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820">
        <f>SUM(Table1[[#This Row],[Math 
Score]],Table1[[#This Row],[History 
Score]],Table1[[#This Row],[Physics 
Score]],Table1[[#This Row],[Chemistry 
Score]],Table1[[#This Row],[Biology 
Score]],Table1[[#This Row],[English 
Score]],Table1[[#This Row],[Geography 
Score]])</f>
        <v>586</v>
      </c>
      <c r="AA1820" s="3">
        <f>AVERAGE(Table1[[#This Row],[Math 
Score]],Table1[[#This Row],[History 
Score]],Table1[[#This Row],[Physics 
Score]],Table1[[#This Row],[Chemistry 
Score]],Table1[[#This Row],[Biology 
Score]],Table1[[#This Row],[English 
Score]],Table1[[#This Row],[Geography 
Score]])</f>
        <v>83.714285714285708</v>
      </c>
      <c r="AB182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820">
        <f t="shared" si="28"/>
        <v>601</v>
      </c>
      <c r="AD1820" t="str">
        <f>_xlfn.IFS(Table1[[#This Row],[Absence 
Days]]&lt;3,"Excellent",Table1[[#This Row],[Absence 
Days]]&lt;=6,"Good",Table1[[#This Row],[Absence 
Days]]&gt;6,"Poor")</f>
        <v>Good</v>
      </c>
    </row>
    <row r="1821" spans="1:30" x14ac:dyDescent="0.35">
      <c r="A1821">
        <v>1820</v>
      </c>
      <c r="B1821" s="2" t="s">
        <v>125</v>
      </c>
      <c r="C1821" t="s">
        <v>814</v>
      </c>
      <c r="D1821" t="str">
        <f>_xlfn.TEXTJOIN(" ",TRUE,Table1[[#This Row],[First 
Name]:[Last 
Name]])</f>
        <v>Jeremy Coleman</v>
      </c>
      <c r="E1821" t="s">
        <v>2931</v>
      </c>
      <c r="F1821" t="s">
        <v>3244</v>
      </c>
      <c r="G1821" t="str">
        <f ca="1">PROPER(Table1[[#This Row],[Part Time 
Job]])</f>
        <v>False</v>
      </c>
      <c r="H1821" s="3">
        <v>3</v>
      </c>
      <c r="I1821" t="str">
        <f ca="1">PROPER(Table1[[#This Row],[Extracurricular 
Activities]])</f>
        <v>False</v>
      </c>
      <c r="J1821">
        <v>25</v>
      </c>
      <c r="K1821" t="s">
        <v>3113</v>
      </c>
      <c r="L1821">
        <v>99</v>
      </c>
      <c r="M1821" s="12" t="str" cm="1">
        <f t="array" ref="M182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821">
        <v>70</v>
      </c>
      <c r="O1821" s="13" t="str" cm="1">
        <f t="array" ref="O182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821">
        <v>89</v>
      </c>
      <c r="Q1821" s="13" t="str" cm="1">
        <f t="array" ref="Q182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821">
        <v>86</v>
      </c>
      <c r="S1821" t="str" cm="1">
        <f t="array" ref="S182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821">
        <v>92</v>
      </c>
      <c r="U1821" t="str" cm="1">
        <f t="array" ref="U182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821">
        <v>65</v>
      </c>
      <c r="W1821" t="str" cm="1">
        <f t="array" ref="W182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821">
        <v>64</v>
      </c>
      <c r="Y1821" t="str" cm="1">
        <f t="array" ref="Y182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821">
        <f>SUM(Table1[[#This Row],[Math 
Score]],Table1[[#This Row],[History 
Score]],Table1[[#This Row],[Physics 
Score]],Table1[[#This Row],[Chemistry 
Score]],Table1[[#This Row],[Biology 
Score]],Table1[[#This Row],[English 
Score]],Table1[[#This Row],[Geography 
Score]])</f>
        <v>565</v>
      </c>
      <c r="AA1821" s="3">
        <f>AVERAGE(Table1[[#This Row],[Math 
Score]],Table1[[#This Row],[History 
Score]],Table1[[#This Row],[Physics 
Score]],Table1[[#This Row],[Chemistry 
Score]],Table1[[#This Row],[Biology 
Score]],Table1[[#This Row],[English 
Score]],Table1[[#This Row],[Geography 
Score]])</f>
        <v>80.714285714285708</v>
      </c>
      <c r="AB182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821">
        <f t="shared" si="28"/>
        <v>1035</v>
      </c>
      <c r="AD1821" t="str">
        <f>_xlfn.IFS(Table1[[#This Row],[Absence 
Days]]&lt;3,"Excellent",Table1[[#This Row],[Absence 
Days]]&lt;=6,"Good",Table1[[#This Row],[Absence 
Days]]&gt;6,"Poor")</f>
        <v>Good</v>
      </c>
    </row>
    <row r="1822" spans="1:30" x14ac:dyDescent="0.35">
      <c r="A1822">
        <v>1821</v>
      </c>
      <c r="B1822" s="2" t="s">
        <v>13</v>
      </c>
      <c r="C1822" t="s">
        <v>538</v>
      </c>
      <c r="D1822" t="str">
        <f>_xlfn.TEXTJOIN(" ",TRUE,Table1[[#This Row],[First 
Name]:[Last 
Name]])</f>
        <v>Laura Wright</v>
      </c>
      <c r="E1822" t="s">
        <v>2932</v>
      </c>
      <c r="F1822" t="s">
        <v>3245</v>
      </c>
      <c r="G1822" t="str">
        <f ca="1">PROPER(Table1[[#This Row],[Part Time 
Job]])</f>
        <v>False</v>
      </c>
      <c r="H1822" s="3">
        <v>2</v>
      </c>
      <c r="I1822" t="str">
        <f ca="1">PROPER(Table1[[#This Row],[Extracurricular 
Activities]])</f>
        <v>False</v>
      </c>
      <c r="J1822">
        <v>16</v>
      </c>
      <c r="K1822" t="s">
        <v>3121</v>
      </c>
      <c r="L1822">
        <v>99</v>
      </c>
      <c r="M1822" s="12" t="str" cm="1">
        <f t="array" ref="M182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822">
        <v>99</v>
      </c>
      <c r="O1822" s="13" t="str" cm="1">
        <f t="array" ref="O182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822">
        <v>90</v>
      </c>
      <c r="Q1822" s="13" t="str" cm="1">
        <f t="array" ref="Q182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822">
        <v>63</v>
      </c>
      <c r="S1822" t="str" cm="1">
        <f t="array" ref="S182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822">
        <v>63</v>
      </c>
      <c r="U1822" t="str" cm="1">
        <f t="array" ref="U182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822">
        <v>77</v>
      </c>
      <c r="W1822" t="str" cm="1">
        <f t="array" ref="W182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822">
        <v>60</v>
      </c>
      <c r="Y1822" t="str" cm="1">
        <f t="array" ref="Y182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822">
        <f>SUM(Table1[[#This Row],[Math 
Score]],Table1[[#This Row],[History 
Score]],Table1[[#This Row],[Physics 
Score]],Table1[[#This Row],[Chemistry 
Score]],Table1[[#This Row],[Biology 
Score]],Table1[[#This Row],[English 
Score]],Table1[[#This Row],[Geography 
Score]])</f>
        <v>551</v>
      </c>
      <c r="AA1822" s="3">
        <f>AVERAGE(Table1[[#This Row],[Math 
Score]],Table1[[#This Row],[History 
Score]],Table1[[#This Row],[Physics 
Score]],Table1[[#This Row],[Chemistry 
Score]],Table1[[#This Row],[Biology 
Score]],Table1[[#This Row],[English 
Score]],Table1[[#This Row],[Geography 
Score]])</f>
        <v>78.714285714285708</v>
      </c>
      <c r="AB182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822">
        <f t="shared" si="28"/>
        <v>1317</v>
      </c>
      <c r="AD1822" t="str">
        <f>_xlfn.IFS(Table1[[#This Row],[Absence 
Days]]&lt;3,"Excellent",Table1[[#This Row],[Absence 
Days]]&lt;=6,"Good",Table1[[#This Row],[Absence 
Days]]&gt;6,"Poor")</f>
        <v>Excellent</v>
      </c>
    </row>
    <row r="1823" spans="1:30" x14ac:dyDescent="0.35">
      <c r="A1823">
        <v>1822</v>
      </c>
      <c r="B1823" s="2" t="s">
        <v>40</v>
      </c>
      <c r="C1823" t="s">
        <v>1093</v>
      </c>
      <c r="D1823" t="str">
        <f>_xlfn.TEXTJOIN(" ",TRUE,Table1[[#This Row],[First 
Name]:[Last 
Name]])</f>
        <v>David Luna</v>
      </c>
      <c r="E1823" t="s">
        <v>2933</v>
      </c>
      <c r="F1823" t="s">
        <v>3244</v>
      </c>
      <c r="G1823" t="str">
        <f ca="1">PROPER(Table1[[#This Row],[Part Time 
Job]])</f>
        <v>False</v>
      </c>
      <c r="H1823" s="3">
        <v>4</v>
      </c>
      <c r="I1823" t="str">
        <f ca="1">PROPER(Table1[[#This Row],[Extracurricular 
Activities]])</f>
        <v>False</v>
      </c>
      <c r="J1823">
        <v>28</v>
      </c>
      <c r="K1823" t="s">
        <v>3127</v>
      </c>
      <c r="L1823">
        <v>76</v>
      </c>
      <c r="M1823" s="12" t="str" cm="1">
        <f t="array" ref="M182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823">
        <v>80</v>
      </c>
      <c r="O1823" s="13" t="str" cm="1">
        <f t="array" ref="O182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823">
        <v>89</v>
      </c>
      <c r="Q1823" s="13" t="str" cm="1">
        <f t="array" ref="Q182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823">
        <v>74</v>
      </c>
      <c r="S1823" t="str" cm="1">
        <f t="array" ref="S182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823">
        <v>61</v>
      </c>
      <c r="U1823" t="str" cm="1">
        <f t="array" ref="U182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823">
        <v>86</v>
      </c>
      <c r="W1823" t="str" cm="1">
        <f t="array" ref="W182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823">
        <v>93</v>
      </c>
      <c r="Y1823" t="str" cm="1">
        <f t="array" ref="Y182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823">
        <f>SUM(Table1[[#This Row],[Math 
Score]],Table1[[#This Row],[History 
Score]],Table1[[#This Row],[Physics 
Score]],Table1[[#This Row],[Chemistry 
Score]],Table1[[#This Row],[Biology 
Score]],Table1[[#This Row],[English 
Score]],Table1[[#This Row],[Geography 
Score]])</f>
        <v>559</v>
      </c>
      <c r="AA1823" s="3">
        <f>AVERAGE(Table1[[#This Row],[Math 
Score]],Table1[[#This Row],[History 
Score]],Table1[[#This Row],[Physics 
Score]],Table1[[#This Row],[Chemistry 
Score]],Table1[[#This Row],[Biology 
Score]],Table1[[#This Row],[English 
Score]],Table1[[#This Row],[Geography 
Score]])</f>
        <v>79.857142857142861</v>
      </c>
      <c r="AB182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823">
        <f t="shared" si="28"/>
        <v>1155</v>
      </c>
      <c r="AD1823" t="str">
        <f>_xlfn.IFS(Table1[[#This Row],[Absence 
Days]]&lt;3,"Excellent",Table1[[#This Row],[Absence 
Days]]&lt;=6,"Good",Table1[[#This Row],[Absence 
Days]]&gt;6,"Poor")</f>
        <v>Good</v>
      </c>
    </row>
    <row r="1824" spans="1:30" x14ac:dyDescent="0.35">
      <c r="A1824">
        <v>1823</v>
      </c>
      <c r="B1824" s="2" t="s">
        <v>36</v>
      </c>
      <c r="C1824" t="s">
        <v>996</v>
      </c>
      <c r="D1824" t="str">
        <f>_xlfn.TEXTJOIN(" ",TRUE,Table1[[#This Row],[First 
Name]:[Last 
Name]])</f>
        <v>Christopher Jensen</v>
      </c>
      <c r="E1824" t="s">
        <v>2934</v>
      </c>
      <c r="F1824" t="s">
        <v>3244</v>
      </c>
      <c r="G1824" t="str">
        <f ca="1">PROPER(Table1[[#This Row],[Part Time 
Job]])</f>
        <v>False</v>
      </c>
      <c r="H1824" s="3">
        <v>0</v>
      </c>
      <c r="I1824" t="str">
        <f ca="1">PROPER(Table1[[#This Row],[Extracurricular 
Activities]])</f>
        <v>False</v>
      </c>
      <c r="J1824">
        <v>15</v>
      </c>
      <c r="K1824" t="s">
        <v>3117</v>
      </c>
      <c r="L1824">
        <v>92</v>
      </c>
      <c r="M1824" s="12" t="str" cm="1">
        <f t="array" ref="M182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824">
        <v>100</v>
      </c>
      <c r="O1824" s="13" t="str" cm="1">
        <f t="array" ref="O182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824">
        <v>83</v>
      </c>
      <c r="Q1824" s="13" t="str" cm="1">
        <f t="array" ref="Q182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824">
        <v>74</v>
      </c>
      <c r="S1824" t="str" cm="1">
        <f t="array" ref="S182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824">
        <v>73</v>
      </c>
      <c r="U1824" t="str" cm="1">
        <f t="array" ref="U182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824">
        <v>66</v>
      </c>
      <c r="W1824" t="str" cm="1">
        <f t="array" ref="W182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824">
        <v>83</v>
      </c>
      <c r="Y1824" t="str" cm="1">
        <f t="array" ref="Y182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824">
        <f>SUM(Table1[[#This Row],[Math 
Score]],Table1[[#This Row],[History 
Score]],Table1[[#This Row],[Physics 
Score]],Table1[[#This Row],[Chemistry 
Score]],Table1[[#This Row],[Biology 
Score]],Table1[[#This Row],[English 
Score]],Table1[[#This Row],[Geography 
Score]])</f>
        <v>571</v>
      </c>
      <c r="AA1824" s="3">
        <f>AVERAGE(Table1[[#This Row],[Math 
Score]],Table1[[#This Row],[History 
Score]],Table1[[#This Row],[Physics 
Score]],Table1[[#This Row],[Chemistry 
Score]],Table1[[#This Row],[Biology 
Score]],Table1[[#This Row],[English 
Score]],Table1[[#This Row],[Geography 
Score]])</f>
        <v>81.571428571428569</v>
      </c>
      <c r="AB182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824">
        <f t="shared" si="28"/>
        <v>915</v>
      </c>
      <c r="AD1824" t="str">
        <f>_xlfn.IFS(Table1[[#This Row],[Absence 
Days]]&lt;3,"Excellent",Table1[[#This Row],[Absence 
Days]]&lt;=6,"Good",Table1[[#This Row],[Absence 
Days]]&gt;6,"Poor")</f>
        <v>Excellent</v>
      </c>
    </row>
    <row r="1825" spans="1:30" x14ac:dyDescent="0.35">
      <c r="A1825">
        <v>1824</v>
      </c>
      <c r="B1825" s="2" t="s">
        <v>322</v>
      </c>
      <c r="C1825" t="s">
        <v>991</v>
      </c>
      <c r="D1825" t="str">
        <f>_xlfn.TEXTJOIN(" ",TRUE,Table1[[#This Row],[First 
Name]:[Last 
Name]])</f>
        <v>Luis Little</v>
      </c>
      <c r="E1825" t="s">
        <v>2935</v>
      </c>
      <c r="F1825" t="s">
        <v>3244</v>
      </c>
      <c r="G1825" t="str">
        <f ca="1">PROPER(Table1[[#This Row],[Part Time 
Job]])</f>
        <v>False</v>
      </c>
      <c r="H1825" s="3">
        <v>10</v>
      </c>
      <c r="I1825" t="str">
        <f ca="1">PROPER(Table1[[#This Row],[Extracurricular 
Activities]])</f>
        <v>False</v>
      </c>
      <c r="J1825">
        <v>46</v>
      </c>
      <c r="K1825" t="s">
        <v>3113</v>
      </c>
      <c r="L1825">
        <v>100</v>
      </c>
      <c r="M1825" s="12" t="str" cm="1">
        <f t="array" ref="M182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825">
        <v>93</v>
      </c>
      <c r="O1825" s="13" t="str" cm="1">
        <f t="array" ref="O182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825">
        <v>88</v>
      </c>
      <c r="Q1825" s="13" t="str" cm="1">
        <f t="array" ref="Q182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825">
        <v>98</v>
      </c>
      <c r="S1825" t="str" cm="1">
        <f t="array" ref="S182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825">
        <v>99</v>
      </c>
      <c r="U1825" t="str" cm="1">
        <f t="array" ref="U182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825">
        <v>89</v>
      </c>
      <c r="W1825" t="str" cm="1">
        <f t="array" ref="W182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825">
        <v>95</v>
      </c>
      <c r="Y1825" t="str" cm="1">
        <f t="array" ref="Y182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825">
        <f>SUM(Table1[[#This Row],[Math 
Score]],Table1[[#This Row],[History 
Score]],Table1[[#This Row],[Physics 
Score]],Table1[[#This Row],[Chemistry 
Score]],Table1[[#This Row],[Biology 
Score]],Table1[[#This Row],[English 
Score]],Table1[[#This Row],[Geography 
Score]])</f>
        <v>662</v>
      </c>
      <c r="AA1825" s="3">
        <f>AVERAGE(Table1[[#This Row],[Math 
Score]],Table1[[#This Row],[History 
Score]],Table1[[#This Row],[Physics 
Score]],Table1[[#This Row],[Chemistry 
Score]],Table1[[#This Row],[Biology 
Score]],Table1[[#This Row],[English 
Score]],Table1[[#This Row],[Geography 
Score]])</f>
        <v>94.571428571428569</v>
      </c>
      <c r="AB182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825">
        <f t="shared" si="28"/>
        <v>13</v>
      </c>
      <c r="AD1825" t="str">
        <f>_xlfn.IFS(Table1[[#This Row],[Absence 
Days]]&lt;3,"Excellent",Table1[[#This Row],[Absence 
Days]]&lt;=6,"Good",Table1[[#This Row],[Absence 
Days]]&gt;6,"Poor")</f>
        <v>Poor</v>
      </c>
    </row>
    <row r="1826" spans="1:30" x14ac:dyDescent="0.35">
      <c r="A1826">
        <v>1825</v>
      </c>
      <c r="B1826" s="2" t="s">
        <v>149</v>
      </c>
      <c r="C1826" t="s">
        <v>516</v>
      </c>
      <c r="D1826" t="str">
        <f>_xlfn.TEXTJOIN(" ",TRUE,Table1[[#This Row],[First 
Name]:[Last 
Name]])</f>
        <v>Joseph Garcia</v>
      </c>
      <c r="E1826" t="s">
        <v>2936</v>
      </c>
      <c r="F1826" t="s">
        <v>3244</v>
      </c>
      <c r="G1826" t="str">
        <f ca="1">PROPER(Table1[[#This Row],[Part Time 
Job]])</f>
        <v>False</v>
      </c>
      <c r="H1826" s="3">
        <v>2</v>
      </c>
      <c r="I1826" t="str">
        <f ca="1">PROPER(Table1[[#This Row],[Extracurricular 
Activities]])</f>
        <v>False</v>
      </c>
      <c r="J1826">
        <v>34</v>
      </c>
      <c r="K1826" t="s">
        <v>3112</v>
      </c>
      <c r="L1826">
        <v>89</v>
      </c>
      <c r="M1826" s="12" t="str" cm="1">
        <f t="array" ref="M182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826">
        <v>97</v>
      </c>
      <c r="O1826" s="13" t="str" cm="1">
        <f t="array" ref="O182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826">
        <v>77</v>
      </c>
      <c r="Q1826" s="13" t="str" cm="1">
        <f t="array" ref="Q182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826">
        <v>90</v>
      </c>
      <c r="S1826" t="str" cm="1">
        <f t="array" ref="S182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826">
        <v>93</v>
      </c>
      <c r="U1826" t="str" cm="1">
        <f t="array" ref="U182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826">
        <v>87</v>
      </c>
      <c r="W1826" t="str" cm="1">
        <f t="array" ref="W182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826">
        <v>90</v>
      </c>
      <c r="Y1826" t="str" cm="1">
        <f t="array" ref="Y182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826">
        <f>SUM(Table1[[#This Row],[Math 
Score]],Table1[[#This Row],[History 
Score]],Table1[[#This Row],[Physics 
Score]],Table1[[#This Row],[Chemistry 
Score]],Table1[[#This Row],[Biology 
Score]],Table1[[#This Row],[English 
Score]],Table1[[#This Row],[Geography 
Score]])</f>
        <v>623</v>
      </c>
      <c r="AA1826" s="3">
        <f>AVERAGE(Table1[[#This Row],[Math 
Score]],Table1[[#This Row],[History 
Score]],Table1[[#This Row],[Physics 
Score]],Table1[[#This Row],[Chemistry 
Score]],Table1[[#This Row],[Biology 
Score]],Table1[[#This Row],[English 
Score]],Table1[[#This Row],[Geography 
Score]])</f>
        <v>89</v>
      </c>
      <c r="AB182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826">
        <f t="shared" si="28"/>
        <v>201</v>
      </c>
      <c r="AD1826" t="str">
        <f>_xlfn.IFS(Table1[[#This Row],[Absence 
Days]]&lt;3,"Excellent",Table1[[#This Row],[Absence 
Days]]&lt;=6,"Good",Table1[[#This Row],[Absence 
Days]]&gt;6,"Poor")</f>
        <v>Excellent</v>
      </c>
    </row>
    <row r="1827" spans="1:30" x14ac:dyDescent="0.35">
      <c r="A1827">
        <v>1826</v>
      </c>
      <c r="B1827" s="2" t="s">
        <v>34</v>
      </c>
      <c r="C1827" t="s">
        <v>609</v>
      </c>
      <c r="D1827" t="str">
        <f>_xlfn.TEXTJOIN(" ",TRUE,Table1[[#This Row],[First 
Name]:[Last 
Name]])</f>
        <v>Michael York</v>
      </c>
      <c r="E1827" t="s">
        <v>2937</v>
      </c>
      <c r="F1827" t="s">
        <v>3244</v>
      </c>
      <c r="G1827" t="str">
        <f ca="1">PROPER(Table1[[#This Row],[Part Time 
Job]])</f>
        <v>False</v>
      </c>
      <c r="H1827" s="3">
        <v>2</v>
      </c>
      <c r="I1827" t="str">
        <f ca="1">PROPER(Table1[[#This Row],[Extracurricular 
Activities]])</f>
        <v>False</v>
      </c>
      <c r="J1827">
        <v>27</v>
      </c>
      <c r="K1827" t="s">
        <v>3112</v>
      </c>
      <c r="L1827">
        <v>97</v>
      </c>
      <c r="M1827" s="12" t="str" cm="1">
        <f t="array" ref="M182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827">
        <v>81</v>
      </c>
      <c r="O1827" s="13" t="str" cm="1">
        <f t="array" ref="O182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827">
        <v>71</v>
      </c>
      <c r="Q1827" s="13" t="str" cm="1">
        <f t="array" ref="Q182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827">
        <v>77</v>
      </c>
      <c r="S1827" t="str" cm="1">
        <f t="array" ref="S182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827">
        <v>90</v>
      </c>
      <c r="U1827" t="str" cm="1">
        <f t="array" ref="U182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827">
        <v>86</v>
      </c>
      <c r="W1827" t="str" cm="1">
        <f t="array" ref="W182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827">
        <v>80</v>
      </c>
      <c r="Y1827" t="str" cm="1">
        <f t="array" ref="Y182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827">
        <f>SUM(Table1[[#This Row],[Math 
Score]],Table1[[#This Row],[History 
Score]],Table1[[#This Row],[Physics 
Score]],Table1[[#This Row],[Chemistry 
Score]],Table1[[#This Row],[Biology 
Score]],Table1[[#This Row],[English 
Score]],Table1[[#This Row],[Geography 
Score]])</f>
        <v>582</v>
      </c>
      <c r="AA1827" s="3">
        <f>AVERAGE(Table1[[#This Row],[Math 
Score]],Table1[[#This Row],[History 
Score]],Table1[[#This Row],[Physics 
Score]],Table1[[#This Row],[Chemistry 
Score]],Table1[[#This Row],[Biology 
Score]],Table1[[#This Row],[English 
Score]],Table1[[#This Row],[Geography 
Score]])</f>
        <v>83.142857142857139</v>
      </c>
      <c r="AB182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827">
        <f t="shared" si="28"/>
        <v>670</v>
      </c>
      <c r="AD1827" t="str">
        <f>_xlfn.IFS(Table1[[#This Row],[Absence 
Days]]&lt;3,"Excellent",Table1[[#This Row],[Absence 
Days]]&lt;=6,"Good",Table1[[#This Row],[Absence 
Days]]&gt;6,"Poor")</f>
        <v>Excellent</v>
      </c>
    </row>
    <row r="1828" spans="1:30" x14ac:dyDescent="0.35">
      <c r="A1828">
        <v>1827</v>
      </c>
      <c r="B1828" s="2" t="s">
        <v>441</v>
      </c>
      <c r="C1828" t="s">
        <v>657</v>
      </c>
      <c r="D1828" t="str">
        <f>_xlfn.TEXTJOIN(" ",TRUE,Table1[[#This Row],[First 
Name]:[Last 
Name]])</f>
        <v>Debbie Landry</v>
      </c>
      <c r="E1828" t="s">
        <v>2938</v>
      </c>
      <c r="F1828" t="s">
        <v>3245</v>
      </c>
      <c r="G1828" t="str">
        <f ca="1">PROPER(Table1[[#This Row],[Part Time 
Job]])</f>
        <v>True</v>
      </c>
      <c r="H1828" s="3">
        <v>4</v>
      </c>
      <c r="I1828" t="str">
        <f ca="1">PROPER(Table1[[#This Row],[Extracurricular 
Activities]])</f>
        <v>False</v>
      </c>
      <c r="J1828">
        <v>28</v>
      </c>
      <c r="K1828" t="s">
        <v>3113</v>
      </c>
      <c r="L1828">
        <v>99</v>
      </c>
      <c r="M1828" s="12" t="str" cm="1">
        <f t="array" ref="M182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828">
        <v>63</v>
      </c>
      <c r="O1828" s="13" t="str" cm="1">
        <f t="array" ref="O182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828">
        <v>97</v>
      </c>
      <c r="Q1828" s="13" t="str" cm="1">
        <f t="array" ref="Q182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828">
        <v>90</v>
      </c>
      <c r="S1828" t="str" cm="1">
        <f t="array" ref="S182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828">
        <v>99</v>
      </c>
      <c r="U1828" t="str" cm="1">
        <f t="array" ref="U182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828">
        <v>99</v>
      </c>
      <c r="W1828" t="str" cm="1">
        <f t="array" ref="W182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828">
        <v>100</v>
      </c>
      <c r="Y1828" t="str" cm="1">
        <f t="array" ref="Y182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828">
        <f>SUM(Table1[[#This Row],[Math 
Score]],Table1[[#This Row],[History 
Score]],Table1[[#This Row],[Physics 
Score]],Table1[[#This Row],[Chemistry 
Score]],Table1[[#This Row],[Biology 
Score]],Table1[[#This Row],[English 
Score]],Table1[[#This Row],[Geography 
Score]])</f>
        <v>647</v>
      </c>
      <c r="AA1828" s="3">
        <f>AVERAGE(Table1[[#This Row],[Math 
Score]],Table1[[#This Row],[History 
Score]],Table1[[#This Row],[Physics 
Score]],Table1[[#This Row],[Chemistry 
Score]],Table1[[#This Row],[Biology 
Score]],Table1[[#This Row],[English 
Score]],Table1[[#This Row],[Geography 
Score]])</f>
        <v>92.428571428571431</v>
      </c>
      <c r="AB182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828">
        <f t="shared" si="28"/>
        <v>68</v>
      </c>
      <c r="AD1828" t="str">
        <f>_xlfn.IFS(Table1[[#This Row],[Absence 
Days]]&lt;3,"Excellent",Table1[[#This Row],[Absence 
Days]]&lt;=6,"Good",Table1[[#This Row],[Absence 
Days]]&gt;6,"Poor")</f>
        <v>Good</v>
      </c>
    </row>
    <row r="1829" spans="1:30" x14ac:dyDescent="0.35">
      <c r="A1829">
        <v>1828</v>
      </c>
      <c r="B1829" s="2" t="s">
        <v>34</v>
      </c>
      <c r="C1829" t="s">
        <v>1094</v>
      </c>
      <c r="D1829" t="str">
        <f>_xlfn.TEXTJOIN(" ",TRUE,Table1[[#This Row],[First 
Name]:[Last 
Name]])</f>
        <v>Michael Gordon</v>
      </c>
      <c r="E1829" t="s">
        <v>2939</v>
      </c>
      <c r="F1829" t="s">
        <v>3244</v>
      </c>
      <c r="G1829" t="str">
        <f ca="1">PROPER(Table1[[#This Row],[Part Time 
Job]])</f>
        <v>False</v>
      </c>
      <c r="H1829" s="3">
        <v>3</v>
      </c>
      <c r="I1829" t="str">
        <f ca="1">PROPER(Table1[[#This Row],[Extracurricular 
Activities]])</f>
        <v>False</v>
      </c>
      <c r="J1829">
        <v>33</v>
      </c>
      <c r="K1829" t="s">
        <v>3120</v>
      </c>
      <c r="L1829">
        <v>100</v>
      </c>
      <c r="M1829" s="12" t="str" cm="1">
        <f t="array" ref="M182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829">
        <v>63</v>
      </c>
      <c r="O1829" s="13" t="str" cm="1">
        <f t="array" ref="O182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829">
        <v>96</v>
      </c>
      <c r="Q1829" s="13" t="str" cm="1">
        <f t="array" ref="Q182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829">
        <v>95</v>
      </c>
      <c r="S1829" t="str" cm="1">
        <f t="array" ref="S182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829">
        <v>92</v>
      </c>
      <c r="U1829" t="str" cm="1">
        <f t="array" ref="U182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829">
        <v>76</v>
      </c>
      <c r="W1829" t="str" cm="1">
        <f t="array" ref="W182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829">
        <v>88</v>
      </c>
      <c r="Y1829" t="str" cm="1">
        <f t="array" ref="Y182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829">
        <f>SUM(Table1[[#This Row],[Math 
Score]],Table1[[#This Row],[History 
Score]],Table1[[#This Row],[Physics 
Score]],Table1[[#This Row],[Chemistry 
Score]],Table1[[#This Row],[Biology 
Score]],Table1[[#This Row],[English 
Score]],Table1[[#This Row],[Geography 
Score]])</f>
        <v>610</v>
      </c>
      <c r="AA1829" s="3">
        <f>AVERAGE(Table1[[#This Row],[Math 
Score]],Table1[[#This Row],[History 
Score]],Table1[[#This Row],[Physics 
Score]],Table1[[#This Row],[Chemistry 
Score]],Table1[[#This Row],[Biology 
Score]],Table1[[#This Row],[English 
Score]],Table1[[#This Row],[Geography 
Score]])</f>
        <v>87.142857142857139</v>
      </c>
      <c r="AB182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829">
        <f t="shared" si="28"/>
        <v>298</v>
      </c>
      <c r="AD1829" t="str">
        <f>_xlfn.IFS(Table1[[#This Row],[Absence 
Days]]&lt;3,"Excellent",Table1[[#This Row],[Absence 
Days]]&lt;=6,"Good",Table1[[#This Row],[Absence 
Days]]&gt;6,"Poor")</f>
        <v>Good</v>
      </c>
    </row>
    <row r="1830" spans="1:30" x14ac:dyDescent="0.35">
      <c r="A1830">
        <v>1829</v>
      </c>
      <c r="B1830" s="2" t="s">
        <v>51</v>
      </c>
      <c r="C1830" t="s">
        <v>520</v>
      </c>
      <c r="D1830" t="str">
        <f>_xlfn.TEXTJOIN(" ",TRUE,Table1[[#This Row],[First 
Name]:[Last 
Name]])</f>
        <v>Melissa Harris</v>
      </c>
      <c r="E1830" t="s">
        <v>2940</v>
      </c>
      <c r="F1830" t="s">
        <v>3245</v>
      </c>
      <c r="G1830" t="str">
        <f ca="1">PROPER(Table1[[#This Row],[Part Time 
Job]])</f>
        <v>False</v>
      </c>
      <c r="H1830" s="3">
        <v>5</v>
      </c>
      <c r="I1830" t="str">
        <f ca="1">PROPER(Table1[[#This Row],[Extracurricular 
Activities]])</f>
        <v>False</v>
      </c>
      <c r="J1830">
        <v>12</v>
      </c>
      <c r="K1830" t="s">
        <v>3121</v>
      </c>
      <c r="L1830">
        <v>86</v>
      </c>
      <c r="M1830" s="12" t="str" cm="1">
        <f t="array" ref="M183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830">
        <v>87</v>
      </c>
      <c r="O1830" s="13" t="str" cm="1">
        <f t="array" ref="O183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830">
        <v>72</v>
      </c>
      <c r="Q1830" s="13" t="str" cm="1">
        <f t="array" ref="Q183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830">
        <v>66</v>
      </c>
      <c r="S1830" t="str" cm="1">
        <f t="array" ref="S183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830">
        <v>94</v>
      </c>
      <c r="U1830" t="str" cm="1">
        <f t="array" ref="U183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830">
        <v>78</v>
      </c>
      <c r="W1830" t="str" cm="1">
        <f t="array" ref="W183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830">
        <v>94</v>
      </c>
      <c r="Y1830" t="str" cm="1">
        <f t="array" ref="Y183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830">
        <f>SUM(Table1[[#This Row],[Math 
Score]],Table1[[#This Row],[History 
Score]],Table1[[#This Row],[Physics 
Score]],Table1[[#This Row],[Chemistry 
Score]],Table1[[#This Row],[Biology 
Score]],Table1[[#This Row],[English 
Score]],Table1[[#This Row],[Geography 
Score]])</f>
        <v>577</v>
      </c>
      <c r="AA1830" s="3">
        <f>AVERAGE(Table1[[#This Row],[Math 
Score]],Table1[[#This Row],[History 
Score]],Table1[[#This Row],[Physics 
Score]],Table1[[#This Row],[Chemistry 
Score]],Table1[[#This Row],[Biology 
Score]],Table1[[#This Row],[English 
Score]],Table1[[#This Row],[Geography 
Score]])</f>
        <v>82.428571428571431</v>
      </c>
      <c r="AB183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830">
        <f t="shared" si="28"/>
        <v>769</v>
      </c>
      <c r="AD1830" t="str">
        <f>_xlfn.IFS(Table1[[#This Row],[Absence 
Days]]&lt;3,"Excellent",Table1[[#This Row],[Absence 
Days]]&lt;=6,"Good",Table1[[#This Row],[Absence 
Days]]&gt;6,"Poor")</f>
        <v>Good</v>
      </c>
    </row>
    <row r="1831" spans="1:30" x14ac:dyDescent="0.35">
      <c r="A1831">
        <v>1830</v>
      </c>
      <c r="B1831" s="2" t="s">
        <v>442</v>
      </c>
      <c r="C1831" t="s">
        <v>562</v>
      </c>
      <c r="D1831" t="str">
        <f>_xlfn.TEXTJOIN(" ",TRUE,Table1[[#This Row],[First 
Name]:[Last 
Name]])</f>
        <v>Jonathon Wilson</v>
      </c>
      <c r="E1831" t="s">
        <v>2941</v>
      </c>
      <c r="F1831" t="s">
        <v>3244</v>
      </c>
      <c r="G1831" t="str">
        <f ca="1">PROPER(Table1[[#This Row],[Part Time 
Job]])</f>
        <v>False</v>
      </c>
      <c r="H1831" s="3">
        <v>0</v>
      </c>
      <c r="I1831" t="str">
        <f ca="1">PROPER(Table1[[#This Row],[Extracurricular 
Activities]])</f>
        <v>False</v>
      </c>
      <c r="J1831">
        <v>27</v>
      </c>
      <c r="K1831" t="s">
        <v>3112</v>
      </c>
      <c r="L1831">
        <v>77</v>
      </c>
      <c r="M1831" s="12" t="str" cm="1">
        <f t="array" ref="M183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831">
        <v>99</v>
      </c>
      <c r="O1831" s="13" t="str" cm="1">
        <f t="array" ref="O183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831">
        <v>94</v>
      </c>
      <c r="Q1831" s="13" t="str" cm="1">
        <f t="array" ref="Q183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831">
        <v>81</v>
      </c>
      <c r="S1831" t="str" cm="1">
        <f t="array" ref="S183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831">
        <v>80</v>
      </c>
      <c r="U1831" t="str" cm="1">
        <f t="array" ref="U183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831">
        <v>87</v>
      </c>
      <c r="W1831" t="str" cm="1">
        <f t="array" ref="W183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831">
        <v>98</v>
      </c>
      <c r="Y1831" t="str" cm="1">
        <f t="array" ref="Y183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831">
        <f>SUM(Table1[[#This Row],[Math 
Score]],Table1[[#This Row],[History 
Score]],Table1[[#This Row],[Physics 
Score]],Table1[[#This Row],[Chemistry 
Score]],Table1[[#This Row],[Biology 
Score]],Table1[[#This Row],[English 
Score]],Table1[[#This Row],[Geography 
Score]])</f>
        <v>616</v>
      </c>
      <c r="AA1831" s="3">
        <f>AVERAGE(Table1[[#This Row],[Math 
Score]],Table1[[#This Row],[History 
Score]],Table1[[#This Row],[Physics 
Score]],Table1[[#This Row],[Chemistry 
Score]],Table1[[#This Row],[Biology 
Score]],Table1[[#This Row],[English 
Score]],Table1[[#This Row],[Geography 
Score]])</f>
        <v>88</v>
      </c>
      <c r="AB183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831">
        <f t="shared" si="28"/>
        <v>243</v>
      </c>
      <c r="AD1831" t="str">
        <f>_xlfn.IFS(Table1[[#This Row],[Absence 
Days]]&lt;3,"Excellent",Table1[[#This Row],[Absence 
Days]]&lt;=6,"Good",Table1[[#This Row],[Absence 
Days]]&gt;6,"Poor")</f>
        <v>Excellent</v>
      </c>
    </row>
    <row r="1832" spans="1:30" x14ac:dyDescent="0.35">
      <c r="A1832">
        <v>1831</v>
      </c>
      <c r="B1832" s="2" t="s">
        <v>236</v>
      </c>
      <c r="C1832" t="s">
        <v>1048</v>
      </c>
      <c r="D1832" t="str">
        <f>_xlfn.TEXTJOIN(" ",TRUE,Table1[[#This Row],[First 
Name]:[Last 
Name]])</f>
        <v>Margaret Santos</v>
      </c>
      <c r="E1832" t="s">
        <v>2942</v>
      </c>
      <c r="F1832" t="s">
        <v>3245</v>
      </c>
      <c r="G1832" t="str">
        <f ca="1">PROPER(Table1[[#This Row],[Part Time 
Job]])</f>
        <v>False</v>
      </c>
      <c r="H1832" s="3">
        <v>1</v>
      </c>
      <c r="I1832" t="str">
        <f ca="1">PROPER(Table1[[#This Row],[Extracurricular 
Activities]])</f>
        <v>False</v>
      </c>
      <c r="J1832">
        <v>15</v>
      </c>
      <c r="K1832" t="s">
        <v>3114</v>
      </c>
      <c r="L1832">
        <v>86</v>
      </c>
      <c r="M1832" s="12" t="str" cm="1">
        <f t="array" ref="M183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832">
        <v>96</v>
      </c>
      <c r="O1832" s="13" t="str" cm="1">
        <f t="array" ref="O183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832">
        <v>67</v>
      </c>
      <c r="Q1832" s="13" t="str" cm="1">
        <f t="array" ref="Q183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832">
        <v>76</v>
      </c>
      <c r="S1832" t="str" cm="1">
        <f t="array" ref="S183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832">
        <v>74</v>
      </c>
      <c r="U1832" t="str" cm="1">
        <f t="array" ref="U183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832">
        <v>66</v>
      </c>
      <c r="W1832" t="str" cm="1">
        <f t="array" ref="W183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832">
        <v>69</v>
      </c>
      <c r="Y1832" t="str" cm="1">
        <f t="array" ref="Y183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832">
        <f>SUM(Table1[[#This Row],[Math 
Score]],Table1[[#This Row],[History 
Score]],Table1[[#This Row],[Physics 
Score]],Table1[[#This Row],[Chemistry 
Score]],Table1[[#This Row],[Biology 
Score]],Table1[[#This Row],[English 
Score]],Table1[[#This Row],[Geography 
Score]])</f>
        <v>534</v>
      </c>
      <c r="AA1832" s="3">
        <f>AVERAGE(Table1[[#This Row],[Math 
Score]],Table1[[#This Row],[History 
Score]],Table1[[#This Row],[Physics 
Score]],Table1[[#This Row],[Chemistry 
Score]],Table1[[#This Row],[Biology 
Score]],Table1[[#This Row],[English 
Score]],Table1[[#This Row],[Geography 
Score]])</f>
        <v>76.285714285714292</v>
      </c>
      <c r="AB183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832">
        <f t="shared" si="28"/>
        <v>1595</v>
      </c>
      <c r="AD1832" t="str">
        <f>_xlfn.IFS(Table1[[#This Row],[Absence 
Days]]&lt;3,"Excellent",Table1[[#This Row],[Absence 
Days]]&lt;=6,"Good",Table1[[#This Row],[Absence 
Days]]&gt;6,"Poor")</f>
        <v>Excellent</v>
      </c>
    </row>
    <row r="1833" spans="1:30" x14ac:dyDescent="0.35">
      <c r="A1833">
        <v>1832</v>
      </c>
      <c r="B1833" s="2" t="s">
        <v>443</v>
      </c>
      <c r="C1833" t="s">
        <v>1095</v>
      </c>
      <c r="D1833" t="str">
        <f>_xlfn.TEXTJOIN(" ",TRUE,Table1[[#This Row],[First 
Name]:[Last 
Name]])</f>
        <v>Hailey Arroyo</v>
      </c>
      <c r="E1833" t="s">
        <v>2943</v>
      </c>
      <c r="F1833" t="s">
        <v>3245</v>
      </c>
      <c r="G1833" t="str">
        <f ca="1">PROPER(Table1[[#This Row],[Part Time 
Job]])</f>
        <v>False</v>
      </c>
      <c r="H1833" s="3">
        <v>1</v>
      </c>
      <c r="I1833" t="str">
        <f ca="1">PROPER(Table1[[#This Row],[Extracurricular 
Activities]])</f>
        <v>True</v>
      </c>
      <c r="J1833">
        <v>3</v>
      </c>
      <c r="K1833" t="s">
        <v>3128</v>
      </c>
      <c r="L1833">
        <v>75</v>
      </c>
      <c r="M1833" s="12" t="str" cm="1">
        <f t="array" ref="M183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833">
        <v>64</v>
      </c>
      <c r="O1833" s="13" t="str" cm="1">
        <f t="array" ref="O183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833">
        <v>98</v>
      </c>
      <c r="Q1833" s="13" t="str" cm="1">
        <f t="array" ref="Q183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833">
        <v>65</v>
      </c>
      <c r="S1833" t="str" cm="1">
        <f t="array" ref="S183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833">
        <v>88</v>
      </c>
      <c r="U1833" t="str" cm="1">
        <f t="array" ref="U183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833">
        <v>65</v>
      </c>
      <c r="W1833" t="str" cm="1">
        <f t="array" ref="W183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833">
        <v>71</v>
      </c>
      <c r="Y1833" t="str" cm="1">
        <f t="array" ref="Y183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833">
        <f>SUM(Table1[[#This Row],[Math 
Score]],Table1[[#This Row],[History 
Score]],Table1[[#This Row],[Physics 
Score]],Table1[[#This Row],[Chemistry 
Score]],Table1[[#This Row],[Biology 
Score]],Table1[[#This Row],[English 
Score]],Table1[[#This Row],[Geography 
Score]])</f>
        <v>526</v>
      </c>
      <c r="AA1833" s="3">
        <f>AVERAGE(Table1[[#This Row],[Math 
Score]],Table1[[#This Row],[History 
Score]],Table1[[#This Row],[Physics 
Score]],Table1[[#This Row],[Chemistry 
Score]],Table1[[#This Row],[Biology 
Score]],Table1[[#This Row],[English 
Score]],Table1[[#This Row],[Geography 
Score]])</f>
        <v>75.142857142857139</v>
      </c>
      <c r="AB183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833">
        <f t="shared" si="28"/>
        <v>1688</v>
      </c>
      <c r="AD1833" t="str">
        <f>_xlfn.IFS(Table1[[#This Row],[Absence 
Days]]&lt;3,"Excellent",Table1[[#This Row],[Absence 
Days]]&lt;=6,"Good",Table1[[#This Row],[Absence 
Days]]&gt;6,"Poor")</f>
        <v>Excellent</v>
      </c>
    </row>
    <row r="1834" spans="1:30" x14ac:dyDescent="0.35">
      <c r="A1834">
        <v>1833</v>
      </c>
      <c r="B1834" s="2" t="s">
        <v>60</v>
      </c>
      <c r="C1834" t="s">
        <v>582</v>
      </c>
      <c r="D1834" t="str">
        <f>_xlfn.TEXTJOIN(" ",TRUE,Table1[[#This Row],[First 
Name]:[Last 
Name]])</f>
        <v>Steven Webster</v>
      </c>
      <c r="E1834" t="s">
        <v>2944</v>
      </c>
      <c r="F1834" t="s">
        <v>3244</v>
      </c>
      <c r="G1834" t="str">
        <f ca="1">PROPER(Table1[[#This Row],[Part Time 
Job]])</f>
        <v>False</v>
      </c>
      <c r="H1834" s="3">
        <v>2</v>
      </c>
      <c r="I1834" t="str">
        <f ca="1">PROPER(Table1[[#This Row],[Extracurricular 
Activities]])</f>
        <v>False</v>
      </c>
      <c r="J1834">
        <v>26</v>
      </c>
      <c r="K1834" t="s">
        <v>3112</v>
      </c>
      <c r="L1834">
        <v>94</v>
      </c>
      <c r="M1834" s="12" t="str" cm="1">
        <f t="array" ref="M183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834">
        <v>93</v>
      </c>
      <c r="O1834" s="13" t="str" cm="1">
        <f t="array" ref="O183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834">
        <v>92</v>
      </c>
      <c r="Q1834" s="13" t="str" cm="1">
        <f t="array" ref="Q183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834">
        <v>67</v>
      </c>
      <c r="S1834" t="str" cm="1">
        <f t="array" ref="S183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834">
        <v>61</v>
      </c>
      <c r="U1834" t="str" cm="1">
        <f t="array" ref="U183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834">
        <v>85</v>
      </c>
      <c r="W1834" t="str" cm="1">
        <f t="array" ref="W183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834">
        <v>94</v>
      </c>
      <c r="Y1834" t="str" cm="1">
        <f t="array" ref="Y183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834">
        <f>SUM(Table1[[#This Row],[Math 
Score]],Table1[[#This Row],[History 
Score]],Table1[[#This Row],[Physics 
Score]],Table1[[#This Row],[Chemistry 
Score]],Table1[[#This Row],[Biology 
Score]],Table1[[#This Row],[English 
Score]],Table1[[#This Row],[Geography 
Score]])</f>
        <v>586</v>
      </c>
      <c r="AA1834" s="3">
        <f>AVERAGE(Table1[[#This Row],[Math 
Score]],Table1[[#This Row],[History 
Score]],Table1[[#This Row],[Physics 
Score]],Table1[[#This Row],[Chemistry 
Score]],Table1[[#This Row],[Biology 
Score]],Table1[[#This Row],[English 
Score]],Table1[[#This Row],[Geography 
Score]])</f>
        <v>83.714285714285708</v>
      </c>
      <c r="AB183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834">
        <f t="shared" si="28"/>
        <v>601</v>
      </c>
      <c r="AD1834" t="str">
        <f>_xlfn.IFS(Table1[[#This Row],[Absence 
Days]]&lt;3,"Excellent",Table1[[#This Row],[Absence 
Days]]&lt;=6,"Good",Table1[[#This Row],[Absence 
Days]]&gt;6,"Poor")</f>
        <v>Excellent</v>
      </c>
    </row>
    <row r="1835" spans="1:30" x14ac:dyDescent="0.35">
      <c r="A1835">
        <v>1834</v>
      </c>
      <c r="B1835" s="2" t="s">
        <v>2</v>
      </c>
      <c r="C1835" t="s">
        <v>1073</v>
      </c>
      <c r="D1835" t="str">
        <f>_xlfn.TEXTJOIN(" ",TRUE,Table1[[#This Row],[First 
Name]:[Last 
Name]])</f>
        <v>Tina Harrison</v>
      </c>
      <c r="E1835" t="s">
        <v>2945</v>
      </c>
      <c r="F1835" t="s">
        <v>3245</v>
      </c>
      <c r="G1835" t="str">
        <f ca="1">PROPER(Table1[[#This Row],[Part Time 
Job]])</f>
        <v>False</v>
      </c>
      <c r="H1835" s="3">
        <v>1</v>
      </c>
      <c r="I1835" t="str">
        <f ca="1">PROPER(Table1[[#This Row],[Extracurricular 
Activities]])</f>
        <v>False</v>
      </c>
      <c r="J1835">
        <v>35</v>
      </c>
      <c r="K1835" t="s">
        <v>3124</v>
      </c>
      <c r="L1835">
        <v>94</v>
      </c>
      <c r="M1835" s="12" t="str" cm="1">
        <f t="array" ref="M183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835">
        <v>88</v>
      </c>
      <c r="O1835" s="13" t="str" cm="1">
        <f t="array" ref="O183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835">
        <v>87</v>
      </c>
      <c r="Q1835" s="13" t="str" cm="1">
        <f t="array" ref="Q183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835">
        <v>97</v>
      </c>
      <c r="S1835" t="str" cm="1">
        <f t="array" ref="S183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835">
        <v>93</v>
      </c>
      <c r="U1835" t="str" cm="1">
        <f t="array" ref="U183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835">
        <v>86</v>
      </c>
      <c r="W1835" t="str" cm="1">
        <f t="array" ref="W183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835">
        <v>94</v>
      </c>
      <c r="Y1835" t="str" cm="1">
        <f t="array" ref="Y183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835">
        <f>SUM(Table1[[#This Row],[Math 
Score]],Table1[[#This Row],[History 
Score]],Table1[[#This Row],[Physics 
Score]],Table1[[#This Row],[Chemistry 
Score]],Table1[[#This Row],[Biology 
Score]],Table1[[#This Row],[English 
Score]],Table1[[#This Row],[Geography 
Score]])</f>
        <v>639</v>
      </c>
      <c r="AA1835" s="3">
        <f>AVERAGE(Table1[[#This Row],[Math 
Score]],Table1[[#This Row],[History 
Score]],Table1[[#This Row],[Physics 
Score]],Table1[[#This Row],[Chemistry 
Score]],Table1[[#This Row],[Biology 
Score]],Table1[[#This Row],[English 
Score]],Table1[[#This Row],[Geography 
Score]])</f>
        <v>91.285714285714292</v>
      </c>
      <c r="AB183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835">
        <f t="shared" si="28"/>
        <v>106</v>
      </c>
      <c r="AD1835" t="str">
        <f>_xlfn.IFS(Table1[[#This Row],[Absence 
Days]]&lt;3,"Excellent",Table1[[#This Row],[Absence 
Days]]&lt;=6,"Good",Table1[[#This Row],[Absence 
Days]]&gt;6,"Poor")</f>
        <v>Excellent</v>
      </c>
    </row>
    <row r="1836" spans="1:30" x14ac:dyDescent="0.35">
      <c r="A1836">
        <v>1835</v>
      </c>
      <c r="B1836" s="2" t="s">
        <v>93</v>
      </c>
      <c r="C1836" t="s">
        <v>1096</v>
      </c>
      <c r="D1836" t="str">
        <f>_xlfn.TEXTJOIN(" ",TRUE,Table1[[#This Row],[First 
Name]:[Last 
Name]])</f>
        <v>Andrew Nunez</v>
      </c>
      <c r="E1836" t="s">
        <v>2946</v>
      </c>
      <c r="F1836" t="s">
        <v>3244</v>
      </c>
      <c r="G1836" t="str">
        <f ca="1">PROPER(Table1[[#This Row],[Part Time 
Job]])</f>
        <v>False</v>
      </c>
      <c r="H1836" s="3">
        <v>1</v>
      </c>
      <c r="I1836" t="str">
        <f ca="1">PROPER(Table1[[#This Row],[Extracurricular 
Activities]])</f>
        <v>False</v>
      </c>
      <c r="J1836">
        <v>20</v>
      </c>
      <c r="K1836" t="s">
        <v>3121</v>
      </c>
      <c r="L1836">
        <v>89</v>
      </c>
      <c r="M1836" s="12" t="str" cm="1">
        <f t="array" ref="M183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836">
        <v>92</v>
      </c>
      <c r="O1836" s="13" t="str" cm="1">
        <f t="array" ref="O183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836">
        <v>75</v>
      </c>
      <c r="Q1836" s="13" t="str" cm="1">
        <f t="array" ref="Q183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836">
        <v>85</v>
      </c>
      <c r="S1836" t="str" cm="1">
        <f t="array" ref="S183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836">
        <v>65</v>
      </c>
      <c r="U1836" t="str" cm="1">
        <f t="array" ref="U183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836">
        <v>81</v>
      </c>
      <c r="W1836" t="str" cm="1">
        <f t="array" ref="W183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836">
        <v>69</v>
      </c>
      <c r="Y1836" t="str" cm="1">
        <f t="array" ref="Y183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836">
        <f>SUM(Table1[[#This Row],[Math 
Score]],Table1[[#This Row],[History 
Score]],Table1[[#This Row],[Physics 
Score]],Table1[[#This Row],[Chemistry 
Score]],Table1[[#This Row],[Biology 
Score]],Table1[[#This Row],[English 
Score]],Table1[[#This Row],[Geography 
Score]])</f>
        <v>556</v>
      </c>
      <c r="AA1836" s="3">
        <f>AVERAGE(Table1[[#This Row],[Math 
Score]],Table1[[#This Row],[History 
Score]],Table1[[#This Row],[Physics 
Score]],Table1[[#This Row],[Chemistry 
Score]],Table1[[#This Row],[Biology 
Score]],Table1[[#This Row],[English 
Score]],Table1[[#This Row],[Geography 
Score]])</f>
        <v>79.428571428571431</v>
      </c>
      <c r="AB183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836">
        <f t="shared" si="28"/>
        <v>1224</v>
      </c>
      <c r="AD1836" t="str">
        <f>_xlfn.IFS(Table1[[#This Row],[Absence 
Days]]&lt;3,"Excellent",Table1[[#This Row],[Absence 
Days]]&lt;=6,"Good",Table1[[#This Row],[Absence 
Days]]&gt;6,"Poor")</f>
        <v>Excellent</v>
      </c>
    </row>
    <row r="1837" spans="1:30" x14ac:dyDescent="0.35">
      <c r="A1837">
        <v>1836</v>
      </c>
      <c r="B1837" s="2" t="s">
        <v>416</v>
      </c>
      <c r="C1837" t="s">
        <v>602</v>
      </c>
      <c r="D1837" t="str">
        <f>_xlfn.TEXTJOIN(" ",TRUE,Table1[[#This Row],[First 
Name]:[Last 
Name]])</f>
        <v>Renee Cruz</v>
      </c>
      <c r="E1837" t="s">
        <v>2947</v>
      </c>
      <c r="F1837" t="s">
        <v>3245</v>
      </c>
      <c r="G1837" t="str">
        <f ca="1">PROPER(Table1[[#This Row],[Part Time 
Job]])</f>
        <v>False</v>
      </c>
      <c r="H1837" s="3">
        <v>3</v>
      </c>
      <c r="I1837" t="str">
        <f ca="1">PROPER(Table1[[#This Row],[Extracurricular 
Activities]])</f>
        <v>False</v>
      </c>
      <c r="J1837">
        <v>14</v>
      </c>
      <c r="K1837" t="s">
        <v>3122</v>
      </c>
      <c r="L1837">
        <v>89</v>
      </c>
      <c r="M1837" s="12" t="str" cm="1">
        <f t="array" ref="M183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837">
        <v>73</v>
      </c>
      <c r="O1837" s="13" t="str" cm="1">
        <f t="array" ref="O183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837">
        <v>96</v>
      </c>
      <c r="Q1837" s="13" t="str" cm="1">
        <f t="array" ref="Q183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837">
        <v>84</v>
      </c>
      <c r="S1837" t="str" cm="1">
        <f t="array" ref="S183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837">
        <v>96</v>
      </c>
      <c r="U1837" t="str" cm="1">
        <f t="array" ref="U183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837">
        <v>98</v>
      </c>
      <c r="W1837" t="str" cm="1">
        <f t="array" ref="W183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837">
        <v>77</v>
      </c>
      <c r="Y1837" t="str" cm="1">
        <f t="array" ref="Y183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837">
        <f>SUM(Table1[[#This Row],[Math 
Score]],Table1[[#This Row],[History 
Score]],Table1[[#This Row],[Physics 
Score]],Table1[[#This Row],[Chemistry 
Score]],Table1[[#This Row],[Biology 
Score]],Table1[[#This Row],[English 
Score]],Table1[[#This Row],[Geography 
Score]])</f>
        <v>613</v>
      </c>
      <c r="AA1837" s="3">
        <f>AVERAGE(Table1[[#This Row],[Math 
Score]],Table1[[#This Row],[History 
Score]],Table1[[#This Row],[Physics 
Score]],Table1[[#This Row],[Chemistry 
Score]],Table1[[#This Row],[Biology 
Score]],Table1[[#This Row],[English 
Score]],Table1[[#This Row],[Geography 
Score]])</f>
        <v>87.571428571428569</v>
      </c>
      <c r="AB183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837">
        <f t="shared" si="28"/>
        <v>271</v>
      </c>
      <c r="AD1837" t="str">
        <f>_xlfn.IFS(Table1[[#This Row],[Absence 
Days]]&lt;3,"Excellent",Table1[[#This Row],[Absence 
Days]]&lt;=6,"Good",Table1[[#This Row],[Absence 
Days]]&gt;6,"Poor")</f>
        <v>Good</v>
      </c>
    </row>
    <row r="1838" spans="1:30" x14ac:dyDescent="0.35">
      <c r="A1838">
        <v>1837</v>
      </c>
      <c r="B1838" s="2" t="s">
        <v>78</v>
      </c>
      <c r="C1838" t="s">
        <v>188</v>
      </c>
      <c r="D1838" t="str">
        <f>_xlfn.TEXTJOIN(" ",TRUE,Table1[[#This Row],[First 
Name]:[Last 
Name]])</f>
        <v>Victoria Taylor</v>
      </c>
      <c r="E1838" t="s">
        <v>2948</v>
      </c>
      <c r="F1838" t="s">
        <v>3245</v>
      </c>
      <c r="G1838" t="str">
        <f ca="1">PROPER(Table1[[#This Row],[Part Time 
Job]])</f>
        <v>False</v>
      </c>
      <c r="H1838" s="3">
        <v>2</v>
      </c>
      <c r="I1838" t="str">
        <f ca="1">PROPER(Table1[[#This Row],[Extracurricular 
Activities]])</f>
        <v>True</v>
      </c>
      <c r="J1838">
        <v>24</v>
      </c>
      <c r="K1838" t="s">
        <v>3117</v>
      </c>
      <c r="L1838">
        <v>89</v>
      </c>
      <c r="M1838" s="12" t="str" cm="1">
        <f t="array" ref="M183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838">
        <v>82</v>
      </c>
      <c r="O1838" s="13" t="str" cm="1">
        <f t="array" ref="O183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838">
        <v>83</v>
      </c>
      <c r="Q1838" s="13" t="str" cm="1">
        <f t="array" ref="Q183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838">
        <v>62</v>
      </c>
      <c r="S1838" t="str" cm="1">
        <f t="array" ref="S183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838">
        <v>66</v>
      </c>
      <c r="U1838" t="str" cm="1">
        <f t="array" ref="U183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838">
        <v>86</v>
      </c>
      <c r="W1838" t="str" cm="1">
        <f t="array" ref="W183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838">
        <v>90</v>
      </c>
      <c r="Y1838" t="str" cm="1">
        <f t="array" ref="Y183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838">
        <f>SUM(Table1[[#This Row],[Math 
Score]],Table1[[#This Row],[History 
Score]],Table1[[#This Row],[Physics 
Score]],Table1[[#This Row],[Chemistry 
Score]],Table1[[#This Row],[Biology 
Score]],Table1[[#This Row],[English 
Score]],Table1[[#This Row],[Geography 
Score]])</f>
        <v>558</v>
      </c>
      <c r="AA1838" s="3">
        <f>AVERAGE(Table1[[#This Row],[Math 
Score]],Table1[[#This Row],[History 
Score]],Table1[[#This Row],[Physics 
Score]],Table1[[#This Row],[Chemistry 
Score]],Table1[[#This Row],[Biology 
Score]],Table1[[#This Row],[English 
Score]],Table1[[#This Row],[Geography 
Score]])</f>
        <v>79.714285714285708</v>
      </c>
      <c r="AB183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838">
        <f t="shared" si="28"/>
        <v>1178</v>
      </c>
      <c r="AD1838" t="str">
        <f>_xlfn.IFS(Table1[[#This Row],[Absence 
Days]]&lt;3,"Excellent",Table1[[#This Row],[Absence 
Days]]&lt;=6,"Good",Table1[[#This Row],[Absence 
Days]]&gt;6,"Poor")</f>
        <v>Excellent</v>
      </c>
    </row>
    <row r="1839" spans="1:30" x14ac:dyDescent="0.35">
      <c r="A1839">
        <v>1838</v>
      </c>
      <c r="B1839" s="2" t="s">
        <v>149</v>
      </c>
      <c r="C1839" t="s">
        <v>547</v>
      </c>
      <c r="D1839" t="str">
        <f>_xlfn.TEXTJOIN(" ",TRUE,Table1[[#This Row],[First 
Name]:[Last 
Name]])</f>
        <v>Joseph Dixon</v>
      </c>
      <c r="E1839" t="s">
        <v>2949</v>
      </c>
      <c r="F1839" t="s">
        <v>3244</v>
      </c>
      <c r="G1839" t="str">
        <f ca="1">PROPER(Table1[[#This Row],[Part Time 
Job]])</f>
        <v>False</v>
      </c>
      <c r="H1839" s="3">
        <v>2</v>
      </c>
      <c r="I1839" t="str">
        <f ca="1">PROPER(Table1[[#This Row],[Extracurricular 
Activities]])</f>
        <v>False</v>
      </c>
      <c r="J1839">
        <v>8</v>
      </c>
      <c r="K1839" t="s">
        <v>3114</v>
      </c>
      <c r="L1839">
        <v>81</v>
      </c>
      <c r="M1839" s="12" t="str" cm="1">
        <f t="array" ref="M183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839">
        <v>78</v>
      </c>
      <c r="O1839" s="13" t="str" cm="1">
        <f t="array" ref="O183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839">
        <v>82</v>
      </c>
      <c r="Q1839" s="13" t="str" cm="1">
        <f t="array" ref="Q183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839">
        <v>83</v>
      </c>
      <c r="S1839" t="str" cm="1">
        <f t="array" ref="S183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839">
        <v>63</v>
      </c>
      <c r="U1839" t="str" cm="1">
        <f t="array" ref="U183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839">
        <v>85</v>
      </c>
      <c r="W1839" t="str" cm="1">
        <f t="array" ref="W183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839">
        <v>75</v>
      </c>
      <c r="Y1839" t="str" cm="1">
        <f t="array" ref="Y183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839">
        <f>SUM(Table1[[#This Row],[Math 
Score]],Table1[[#This Row],[History 
Score]],Table1[[#This Row],[Physics 
Score]],Table1[[#This Row],[Chemistry 
Score]],Table1[[#This Row],[Biology 
Score]],Table1[[#This Row],[English 
Score]],Table1[[#This Row],[Geography 
Score]])</f>
        <v>547</v>
      </c>
      <c r="AA1839" s="3">
        <f>AVERAGE(Table1[[#This Row],[Math 
Score]],Table1[[#This Row],[History 
Score]],Table1[[#This Row],[Physics 
Score]],Table1[[#This Row],[Chemistry 
Score]],Table1[[#This Row],[Biology 
Score]],Table1[[#This Row],[English 
Score]],Table1[[#This Row],[Geography 
Score]])</f>
        <v>78.142857142857139</v>
      </c>
      <c r="AB183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839">
        <f t="shared" si="28"/>
        <v>1388</v>
      </c>
      <c r="AD1839" t="str">
        <f>_xlfn.IFS(Table1[[#This Row],[Absence 
Days]]&lt;3,"Excellent",Table1[[#This Row],[Absence 
Days]]&lt;=6,"Good",Table1[[#This Row],[Absence 
Days]]&gt;6,"Poor")</f>
        <v>Excellent</v>
      </c>
    </row>
    <row r="1840" spans="1:30" x14ac:dyDescent="0.35">
      <c r="A1840">
        <v>1839</v>
      </c>
      <c r="B1840" s="2" t="s">
        <v>178</v>
      </c>
      <c r="C1840" t="s">
        <v>460</v>
      </c>
      <c r="D1840" t="str">
        <f>_xlfn.TEXTJOIN(" ",TRUE,Table1[[#This Row],[First 
Name]:[Last 
Name]])</f>
        <v>Heather Gutierrez</v>
      </c>
      <c r="E1840" t="s">
        <v>2950</v>
      </c>
      <c r="F1840" t="s">
        <v>3245</v>
      </c>
      <c r="G1840" t="str">
        <f ca="1">PROPER(Table1[[#This Row],[Part Time 
Job]])</f>
        <v>False</v>
      </c>
      <c r="H1840" s="3">
        <v>3</v>
      </c>
      <c r="I1840" t="str">
        <f ca="1">PROPER(Table1[[#This Row],[Extracurricular 
Activities]])</f>
        <v>False</v>
      </c>
      <c r="J1840">
        <v>19</v>
      </c>
      <c r="K1840" t="s">
        <v>3116</v>
      </c>
      <c r="L1840">
        <v>93</v>
      </c>
      <c r="M1840" s="12" t="str" cm="1">
        <f t="array" ref="M184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840">
        <v>73</v>
      </c>
      <c r="O1840" s="13" t="str" cm="1">
        <f t="array" ref="O184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840">
        <v>67</v>
      </c>
      <c r="Q1840" s="13" t="str" cm="1">
        <f t="array" ref="Q184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840">
        <v>100</v>
      </c>
      <c r="S1840" t="str" cm="1">
        <f t="array" ref="S184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840">
        <v>63</v>
      </c>
      <c r="U1840" t="str" cm="1">
        <f t="array" ref="U184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840">
        <v>92</v>
      </c>
      <c r="W1840" t="str" cm="1">
        <f t="array" ref="W184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840">
        <v>86</v>
      </c>
      <c r="Y1840" t="str" cm="1">
        <f t="array" ref="Y184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840">
        <f>SUM(Table1[[#This Row],[Math 
Score]],Table1[[#This Row],[History 
Score]],Table1[[#This Row],[Physics 
Score]],Table1[[#This Row],[Chemistry 
Score]],Table1[[#This Row],[Biology 
Score]],Table1[[#This Row],[English 
Score]],Table1[[#This Row],[Geography 
Score]])</f>
        <v>574</v>
      </c>
      <c r="AA1840" s="3">
        <f>AVERAGE(Table1[[#This Row],[Math 
Score]],Table1[[#This Row],[History 
Score]],Table1[[#This Row],[Physics 
Score]],Table1[[#This Row],[Chemistry 
Score]],Table1[[#This Row],[Biology 
Score]],Table1[[#This Row],[English 
Score]],Table1[[#This Row],[Geography 
Score]])</f>
        <v>82</v>
      </c>
      <c r="AB184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840">
        <f t="shared" si="28"/>
        <v>832</v>
      </c>
      <c r="AD1840" t="str">
        <f>_xlfn.IFS(Table1[[#This Row],[Absence 
Days]]&lt;3,"Excellent",Table1[[#This Row],[Absence 
Days]]&lt;=6,"Good",Table1[[#This Row],[Absence 
Days]]&gt;6,"Poor")</f>
        <v>Good</v>
      </c>
    </row>
    <row r="1841" spans="1:30" x14ac:dyDescent="0.35">
      <c r="A1841">
        <v>1840</v>
      </c>
      <c r="B1841" s="2" t="s">
        <v>29</v>
      </c>
      <c r="C1841" t="s">
        <v>872</v>
      </c>
      <c r="D1841" t="str">
        <f>_xlfn.TEXTJOIN(" ",TRUE,Table1[[#This Row],[First 
Name]:[Last 
Name]])</f>
        <v>Cynthia Hodges</v>
      </c>
      <c r="E1841" t="s">
        <v>2951</v>
      </c>
      <c r="F1841" t="s">
        <v>3245</v>
      </c>
      <c r="G1841" t="str">
        <f ca="1">PROPER(Table1[[#This Row],[Part Time 
Job]])</f>
        <v>False</v>
      </c>
      <c r="H1841" s="3">
        <v>10</v>
      </c>
      <c r="I1841" t="str">
        <f ca="1">PROPER(Table1[[#This Row],[Extracurricular 
Activities]])</f>
        <v>True</v>
      </c>
      <c r="J1841">
        <v>2</v>
      </c>
      <c r="K1841" t="s">
        <v>3119</v>
      </c>
      <c r="L1841">
        <v>79</v>
      </c>
      <c r="M1841" s="12" t="str" cm="1">
        <f t="array" ref="M184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841">
        <v>95</v>
      </c>
      <c r="O1841" s="13" t="str" cm="1">
        <f t="array" ref="O184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841">
        <v>70</v>
      </c>
      <c r="Q1841" s="13" t="str" cm="1">
        <f t="array" ref="Q184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841">
        <v>92</v>
      </c>
      <c r="S1841" t="str" cm="1">
        <f t="array" ref="S184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841">
        <v>63</v>
      </c>
      <c r="U1841" t="str" cm="1">
        <f t="array" ref="U184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841">
        <v>57</v>
      </c>
      <c r="W1841" t="str" cm="1">
        <f t="array" ref="W184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C</v>
      </c>
      <c r="X1841">
        <v>67</v>
      </c>
      <c r="Y1841" t="str" cm="1">
        <f t="array" ref="Y184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841">
        <f>SUM(Table1[[#This Row],[Math 
Score]],Table1[[#This Row],[History 
Score]],Table1[[#This Row],[Physics 
Score]],Table1[[#This Row],[Chemistry 
Score]],Table1[[#This Row],[Biology 
Score]],Table1[[#This Row],[English 
Score]],Table1[[#This Row],[Geography 
Score]])</f>
        <v>523</v>
      </c>
      <c r="AA1841" s="3">
        <f>AVERAGE(Table1[[#This Row],[Math 
Score]],Table1[[#This Row],[History 
Score]],Table1[[#This Row],[Physics 
Score]],Table1[[#This Row],[Chemistry 
Score]],Table1[[#This Row],[Biology 
Score]],Table1[[#This Row],[English 
Score]],Table1[[#This Row],[Geography 
Score]])</f>
        <v>74.714285714285708</v>
      </c>
      <c r="AB184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841">
        <f t="shared" si="28"/>
        <v>1727</v>
      </c>
      <c r="AD1841" t="str">
        <f>_xlfn.IFS(Table1[[#This Row],[Absence 
Days]]&lt;3,"Excellent",Table1[[#This Row],[Absence 
Days]]&lt;=6,"Good",Table1[[#This Row],[Absence 
Days]]&gt;6,"Poor")</f>
        <v>Poor</v>
      </c>
    </row>
    <row r="1842" spans="1:30" x14ac:dyDescent="0.35">
      <c r="A1842">
        <v>1841</v>
      </c>
      <c r="B1842" s="2" t="s">
        <v>1</v>
      </c>
      <c r="C1842" t="s">
        <v>539</v>
      </c>
      <c r="D1842" t="str">
        <f>_xlfn.TEXTJOIN(" ",TRUE,Table1[[#This Row],[First 
Name]:[Last 
Name]])</f>
        <v>Danielle Kelley</v>
      </c>
      <c r="E1842" t="s">
        <v>2952</v>
      </c>
      <c r="F1842" t="s">
        <v>3245</v>
      </c>
      <c r="G1842" t="str">
        <f ca="1">PROPER(Table1[[#This Row],[Part Time 
Job]])</f>
        <v>False</v>
      </c>
      <c r="H1842" s="3">
        <v>2</v>
      </c>
      <c r="I1842" t="str">
        <f ca="1">PROPER(Table1[[#This Row],[Extracurricular 
Activities]])</f>
        <v>False</v>
      </c>
      <c r="J1842">
        <v>29</v>
      </c>
      <c r="K1842" t="s">
        <v>3116</v>
      </c>
      <c r="L1842">
        <v>97</v>
      </c>
      <c r="M1842" s="12" t="str" cm="1">
        <f t="array" ref="M184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842">
        <v>86</v>
      </c>
      <c r="O1842" s="13" t="str" cm="1">
        <f t="array" ref="O184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842">
        <v>72</v>
      </c>
      <c r="Q1842" s="13" t="str" cm="1">
        <f t="array" ref="Q184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842">
        <v>81</v>
      </c>
      <c r="S1842" t="str" cm="1">
        <f t="array" ref="S184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842">
        <v>85</v>
      </c>
      <c r="U1842" t="str" cm="1">
        <f t="array" ref="U184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842">
        <v>70</v>
      </c>
      <c r="W1842" t="str" cm="1">
        <f t="array" ref="W184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842">
        <v>72</v>
      </c>
      <c r="Y1842" t="str" cm="1">
        <f t="array" ref="Y184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842">
        <f>SUM(Table1[[#This Row],[Math 
Score]],Table1[[#This Row],[History 
Score]],Table1[[#This Row],[Physics 
Score]],Table1[[#This Row],[Chemistry 
Score]],Table1[[#This Row],[Biology 
Score]],Table1[[#This Row],[English 
Score]],Table1[[#This Row],[Geography 
Score]])</f>
        <v>563</v>
      </c>
      <c r="AA1842" s="3">
        <f>AVERAGE(Table1[[#This Row],[Math 
Score]],Table1[[#This Row],[History 
Score]],Table1[[#This Row],[Physics 
Score]],Table1[[#This Row],[Chemistry 
Score]],Table1[[#This Row],[Biology 
Score]],Table1[[#This Row],[English 
Score]],Table1[[#This Row],[Geography 
Score]])</f>
        <v>80.428571428571431</v>
      </c>
      <c r="AB184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842">
        <f t="shared" si="28"/>
        <v>1077</v>
      </c>
      <c r="AD1842" t="str">
        <f>_xlfn.IFS(Table1[[#This Row],[Absence 
Days]]&lt;3,"Excellent",Table1[[#This Row],[Absence 
Days]]&lt;=6,"Good",Table1[[#This Row],[Absence 
Days]]&gt;6,"Poor")</f>
        <v>Excellent</v>
      </c>
    </row>
    <row r="1843" spans="1:30" x14ac:dyDescent="0.35">
      <c r="A1843">
        <v>1842</v>
      </c>
      <c r="B1843" s="2" t="s">
        <v>34</v>
      </c>
      <c r="C1843" t="s">
        <v>946</v>
      </c>
      <c r="D1843" t="str">
        <f>_xlfn.TEXTJOIN(" ",TRUE,Table1[[#This Row],[First 
Name]:[Last 
Name]])</f>
        <v>Michael Mccall</v>
      </c>
      <c r="E1843" t="s">
        <v>2953</v>
      </c>
      <c r="F1843" t="s">
        <v>3244</v>
      </c>
      <c r="G1843" t="str">
        <f ca="1">PROPER(Table1[[#This Row],[Part Time 
Job]])</f>
        <v>False</v>
      </c>
      <c r="H1843" s="3">
        <v>1</v>
      </c>
      <c r="I1843" t="str">
        <f ca="1">PROPER(Table1[[#This Row],[Extracurricular 
Activities]])</f>
        <v>False</v>
      </c>
      <c r="J1843">
        <v>14</v>
      </c>
      <c r="K1843" t="s">
        <v>3121</v>
      </c>
      <c r="L1843">
        <v>78</v>
      </c>
      <c r="M1843" s="12" t="str" cm="1">
        <f t="array" ref="M184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843">
        <v>66</v>
      </c>
      <c r="O1843" s="13" t="str" cm="1">
        <f t="array" ref="O184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843">
        <v>92</v>
      </c>
      <c r="Q1843" s="13" t="str" cm="1">
        <f t="array" ref="Q184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843">
        <v>61</v>
      </c>
      <c r="S1843" t="str" cm="1">
        <f t="array" ref="S184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843">
        <v>98</v>
      </c>
      <c r="U1843" t="str" cm="1">
        <f t="array" ref="U184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843">
        <v>76</v>
      </c>
      <c r="W1843" t="str" cm="1">
        <f t="array" ref="W184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843">
        <v>99</v>
      </c>
      <c r="Y1843" t="str" cm="1">
        <f t="array" ref="Y184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843">
        <f>SUM(Table1[[#This Row],[Math 
Score]],Table1[[#This Row],[History 
Score]],Table1[[#This Row],[Physics 
Score]],Table1[[#This Row],[Chemistry 
Score]],Table1[[#This Row],[Biology 
Score]],Table1[[#This Row],[English 
Score]],Table1[[#This Row],[Geography 
Score]])</f>
        <v>570</v>
      </c>
      <c r="AA1843" s="3">
        <f>AVERAGE(Table1[[#This Row],[Math 
Score]],Table1[[#This Row],[History 
Score]],Table1[[#This Row],[Physics 
Score]],Table1[[#This Row],[Chemistry 
Score]],Table1[[#This Row],[Biology 
Score]],Table1[[#This Row],[English 
Score]],Table1[[#This Row],[Geography 
Score]])</f>
        <v>81.428571428571431</v>
      </c>
      <c r="AB184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843">
        <f t="shared" si="28"/>
        <v>937</v>
      </c>
      <c r="AD1843" t="str">
        <f>_xlfn.IFS(Table1[[#This Row],[Absence 
Days]]&lt;3,"Excellent",Table1[[#This Row],[Absence 
Days]]&lt;=6,"Good",Table1[[#This Row],[Absence 
Days]]&gt;6,"Poor")</f>
        <v>Excellent</v>
      </c>
    </row>
    <row r="1844" spans="1:30" x14ac:dyDescent="0.35">
      <c r="A1844">
        <v>1843</v>
      </c>
      <c r="B1844" s="2" t="s">
        <v>366</v>
      </c>
      <c r="C1844" t="s">
        <v>512</v>
      </c>
      <c r="D1844" t="str">
        <f>_xlfn.TEXTJOIN(" ",TRUE,Table1[[#This Row],[First 
Name]:[Last 
Name]])</f>
        <v>Dylan Edwards</v>
      </c>
      <c r="E1844" t="s">
        <v>2954</v>
      </c>
      <c r="F1844" t="s">
        <v>3244</v>
      </c>
      <c r="G1844" t="str">
        <f ca="1">PROPER(Table1[[#This Row],[Part Time 
Job]])</f>
        <v>False</v>
      </c>
      <c r="H1844" s="3">
        <v>4</v>
      </c>
      <c r="I1844" t="str">
        <f ca="1">PROPER(Table1[[#This Row],[Extracurricular 
Activities]])</f>
        <v>False</v>
      </c>
      <c r="J1844">
        <v>19</v>
      </c>
      <c r="K1844" t="s">
        <v>3123</v>
      </c>
      <c r="L1844">
        <v>83</v>
      </c>
      <c r="M1844" s="12" t="str" cm="1">
        <f t="array" ref="M184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844">
        <v>60</v>
      </c>
      <c r="O1844" s="13" t="str" cm="1">
        <f t="array" ref="O184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844">
        <v>95</v>
      </c>
      <c r="Q1844" s="13" t="str" cm="1">
        <f t="array" ref="Q184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844">
        <v>68</v>
      </c>
      <c r="S1844" t="str" cm="1">
        <f t="array" ref="S184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844">
        <v>33</v>
      </c>
      <c r="U1844" t="str" cm="1">
        <f t="array" ref="U184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F</v>
      </c>
      <c r="V1844">
        <v>62</v>
      </c>
      <c r="W1844" t="str" cm="1">
        <f t="array" ref="W184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844">
        <v>73</v>
      </c>
      <c r="Y1844" t="str" cm="1">
        <f t="array" ref="Y184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844">
        <f>SUM(Table1[[#This Row],[Math 
Score]],Table1[[#This Row],[History 
Score]],Table1[[#This Row],[Physics 
Score]],Table1[[#This Row],[Chemistry 
Score]],Table1[[#This Row],[Biology 
Score]],Table1[[#This Row],[English 
Score]],Table1[[#This Row],[Geography 
Score]])</f>
        <v>474</v>
      </c>
      <c r="AA1844" s="3">
        <f>AVERAGE(Table1[[#This Row],[Math 
Score]],Table1[[#This Row],[History 
Score]],Table1[[#This Row],[Physics 
Score]],Table1[[#This Row],[Chemistry 
Score]],Table1[[#This Row],[Biology 
Score]],Table1[[#This Row],[English 
Score]],Table1[[#This Row],[Geography 
Score]])</f>
        <v>67.714285714285708</v>
      </c>
      <c r="AB184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844">
        <f t="shared" si="28"/>
        <v>1949</v>
      </c>
      <c r="AD1844" t="str">
        <f>_xlfn.IFS(Table1[[#This Row],[Absence 
Days]]&lt;3,"Excellent",Table1[[#This Row],[Absence 
Days]]&lt;=6,"Good",Table1[[#This Row],[Absence 
Days]]&gt;6,"Poor")</f>
        <v>Good</v>
      </c>
    </row>
    <row r="1845" spans="1:30" x14ac:dyDescent="0.35">
      <c r="A1845">
        <v>1844</v>
      </c>
      <c r="B1845" s="2" t="s">
        <v>444</v>
      </c>
      <c r="C1845" t="s">
        <v>631</v>
      </c>
      <c r="D1845" t="str">
        <f>_xlfn.TEXTJOIN(" ",TRUE,Table1[[#This Row],[First 
Name]:[Last 
Name]])</f>
        <v>Franklin Riley</v>
      </c>
      <c r="E1845" t="s">
        <v>2955</v>
      </c>
      <c r="F1845" t="s">
        <v>3244</v>
      </c>
      <c r="G1845" t="str">
        <f ca="1">PROPER(Table1[[#This Row],[Part Time 
Job]])</f>
        <v>False</v>
      </c>
      <c r="H1845" s="3">
        <v>0</v>
      </c>
      <c r="I1845" t="str">
        <f ca="1">PROPER(Table1[[#This Row],[Extracurricular 
Activities]])</f>
        <v>False</v>
      </c>
      <c r="J1845">
        <v>29</v>
      </c>
      <c r="K1845" t="s">
        <v>3127</v>
      </c>
      <c r="L1845">
        <v>86</v>
      </c>
      <c r="M1845" s="12" t="str" cm="1">
        <f t="array" ref="M184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845">
        <v>95</v>
      </c>
      <c r="O1845" s="13" t="str" cm="1">
        <f t="array" ref="O184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845">
        <v>61</v>
      </c>
      <c r="Q1845" s="13" t="str" cm="1">
        <f t="array" ref="Q184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845">
        <v>96</v>
      </c>
      <c r="S1845" t="str" cm="1">
        <f t="array" ref="S184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845">
        <v>89</v>
      </c>
      <c r="U1845" t="str" cm="1">
        <f t="array" ref="U184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845">
        <v>99</v>
      </c>
      <c r="W1845" t="str" cm="1">
        <f t="array" ref="W184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845">
        <v>84</v>
      </c>
      <c r="Y1845" t="str" cm="1">
        <f t="array" ref="Y184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845">
        <f>SUM(Table1[[#This Row],[Math 
Score]],Table1[[#This Row],[History 
Score]],Table1[[#This Row],[Physics 
Score]],Table1[[#This Row],[Chemistry 
Score]],Table1[[#This Row],[Biology 
Score]],Table1[[#This Row],[English 
Score]],Table1[[#This Row],[Geography 
Score]])</f>
        <v>610</v>
      </c>
      <c r="AA1845" s="3">
        <f>AVERAGE(Table1[[#This Row],[Math 
Score]],Table1[[#This Row],[History 
Score]],Table1[[#This Row],[Physics 
Score]],Table1[[#This Row],[Chemistry 
Score]],Table1[[#This Row],[Biology 
Score]],Table1[[#This Row],[English 
Score]],Table1[[#This Row],[Geography 
Score]])</f>
        <v>87.142857142857139</v>
      </c>
      <c r="AB184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845">
        <f t="shared" si="28"/>
        <v>298</v>
      </c>
      <c r="AD1845" t="str">
        <f>_xlfn.IFS(Table1[[#This Row],[Absence 
Days]]&lt;3,"Excellent",Table1[[#This Row],[Absence 
Days]]&lt;=6,"Good",Table1[[#This Row],[Absence 
Days]]&gt;6,"Poor")</f>
        <v>Excellent</v>
      </c>
    </row>
    <row r="1846" spans="1:30" x14ac:dyDescent="0.35">
      <c r="A1846">
        <v>1845</v>
      </c>
      <c r="B1846" s="2" t="s">
        <v>224</v>
      </c>
      <c r="C1846" t="s">
        <v>1097</v>
      </c>
      <c r="D1846" t="str">
        <f>_xlfn.TEXTJOIN(" ",TRUE,Table1[[#This Row],[First 
Name]:[Last 
Name]])</f>
        <v>Caitlin Duncan</v>
      </c>
      <c r="E1846" t="s">
        <v>2956</v>
      </c>
      <c r="F1846" t="s">
        <v>3245</v>
      </c>
      <c r="G1846" t="str">
        <f ca="1">PROPER(Table1[[#This Row],[Part Time 
Job]])</f>
        <v>False</v>
      </c>
      <c r="H1846" s="3">
        <v>1</v>
      </c>
      <c r="I1846" t="str">
        <f ca="1">PROPER(Table1[[#This Row],[Extracurricular 
Activities]])</f>
        <v>False</v>
      </c>
      <c r="J1846">
        <v>2</v>
      </c>
      <c r="K1846" t="s">
        <v>3115</v>
      </c>
      <c r="L1846">
        <v>87</v>
      </c>
      <c r="M1846" s="12" t="str" cm="1">
        <f t="array" ref="M184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846">
        <v>78</v>
      </c>
      <c r="O1846" s="13" t="str" cm="1">
        <f t="array" ref="O184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846">
        <v>74</v>
      </c>
      <c r="Q1846" s="13" t="str" cm="1">
        <f t="array" ref="Q184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846">
        <v>75</v>
      </c>
      <c r="S1846" t="str" cm="1">
        <f t="array" ref="S184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846">
        <v>95</v>
      </c>
      <c r="U1846" t="str" cm="1">
        <f t="array" ref="U184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846">
        <v>69</v>
      </c>
      <c r="W1846" t="str" cm="1">
        <f t="array" ref="W184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846">
        <v>99</v>
      </c>
      <c r="Y1846" t="str" cm="1">
        <f t="array" ref="Y184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846">
        <f>SUM(Table1[[#This Row],[Math 
Score]],Table1[[#This Row],[History 
Score]],Table1[[#This Row],[Physics 
Score]],Table1[[#This Row],[Chemistry 
Score]],Table1[[#This Row],[Biology 
Score]],Table1[[#This Row],[English 
Score]],Table1[[#This Row],[Geography 
Score]])</f>
        <v>577</v>
      </c>
      <c r="AA1846" s="3">
        <f>AVERAGE(Table1[[#This Row],[Math 
Score]],Table1[[#This Row],[History 
Score]],Table1[[#This Row],[Physics 
Score]],Table1[[#This Row],[Chemistry 
Score]],Table1[[#This Row],[Biology 
Score]],Table1[[#This Row],[English 
Score]],Table1[[#This Row],[Geography 
Score]])</f>
        <v>82.428571428571431</v>
      </c>
      <c r="AB184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846">
        <f t="shared" si="28"/>
        <v>769</v>
      </c>
      <c r="AD1846" t="str">
        <f>_xlfn.IFS(Table1[[#This Row],[Absence 
Days]]&lt;3,"Excellent",Table1[[#This Row],[Absence 
Days]]&lt;=6,"Good",Table1[[#This Row],[Absence 
Days]]&gt;6,"Poor")</f>
        <v>Excellent</v>
      </c>
    </row>
    <row r="1847" spans="1:30" x14ac:dyDescent="0.35">
      <c r="A1847">
        <v>1846</v>
      </c>
      <c r="B1847" s="2" t="s">
        <v>173</v>
      </c>
      <c r="C1847" t="s">
        <v>725</v>
      </c>
      <c r="D1847" t="str">
        <f>_xlfn.TEXTJOIN(" ",TRUE,Table1[[#This Row],[First 
Name]:[Last 
Name]])</f>
        <v>Robin Reeves</v>
      </c>
      <c r="E1847" t="s">
        <v>2957</v>
      </c>
      <c r="F1847" t="s">
        <v>3245</v>
      </c>
      <c r="G1847" t="str">
        <f ca="1">PROPER(Table1[[#This Row],[Part Time 
Job]])</f>
        <v>False</v>
      </c>
      <c r="H1847" s="3">
        <v>6</v>
      </c>
      <c r="I1847" t="str">
        <f ca="1">PROPER(Table1[[#This Row],[Extracurricular 
Activities]])</f>
        <v>False</v>
      </c>
      <c r="J1847">
        <v>25</v>
      </c>
      <c r="K1847" t="s">
        <v>3112</v>
      </c>
      <c r="L1847">
        <v>81</v>
      </c>
      <c r="M1847" s="12" t="str" cm="1">
        <f t="array" ref="M184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847">
        <v>82</v>
      </c>
      <c r="O1847" s="13" t="str" cm="1">
        <f t="array" ref="O184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847">
        <v>69</v>
      </c>
      <c r="Q1847" s="13" t="str" cm="1">
        <f t="array" ref="Q184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847">
        <v>94</v>
      </c>
      <c r="S1847" t="str" cm="1">
        <f t="array" ref="S184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847">
        <v>88</v>
      </c>
      <c r="U1847" t="str" cm="1">
        <f t="array" ref="U184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847">
        <v>95</v>
      </c>
      <c r="W1847" t="str" cm="1">
        <f t="array" ref="W184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847">
        <v>84</v>
      </c>
      <c r="Y1847" t="str" cm="1">
        <f t="array" ref="Y184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847">
        <f>SUM(Table1[[#This Row],[Math 
Score]],Table1[[#This Row],[History 
Score]],Table1[[#This Row],[Physics 
Score]],Table1[[#This Row],[Chemistry 
Score]],Table1[[#This Row],[Biology 
Score]],Table1[[#This Row],[English 
Score]],Table1[[#This Row],[Geography 
Score]])</f>
        <v>593</v>
      </c>
      <c r="AA1847" s="3">
        <f>AVERAGE(Table1[[#This Row],[Math 
Score]],Table1[[#This Row],[History 
Score]],Table1[[#This Row],[Physics 
Score]],Table1[[#This Row],[Chemistry 
Score]],Table1[[#This Row],[Biology 
Score]],Table1[[#This Row],[English 
Score]],Table1[[#This Row],[Geography 
Score]])</f>
        <v>84.714285714285708</v>
      </c>
      <c r="AB184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847">
        <f t="shared" si="28"/>
        <v>494</v>
      </c>
      <c r="AD1847" t="str">
        <f>_xlfn.IFS(Table1[[#This Row],[Absence 
Days]]&lt;3,"Excellent",Table1[[#This Row],[Absence 
Days]]&lt;=6,"Good",Table1[[#This Row],[Absence 
Days]]&gt;6,"Poor")</f>
        <v>Good</v>
      </c>
    </row>
    <row r="1848" spans="1:30" x14ac:dyDescent="0.35">
      <c r="A1848">
        <v>1847</v>
      </c>
      <c r="B1848" s="2" t="s">
        <v>122</v>
      </c>
      <c r="C1848" t="s">
        <v>476</v>
      </c>
      <c r="D1848" t="str">
        <f>_xlfn.TEXTJOIN(" ",TRUE,Table1[[#This Row],[First 
Name]:[Last 
Name]])</f>
        <v>Rebecca Gibbs</v>
      </c>
      <c r="E1848" t="s">
        <v>2958</v>
      </c>
      <c r="F1848" t="s">
        <v>3245</v>
      </c>
      <c r="G1848" t="str">
        <f ca="1">PROPER(Table1[[#This Row],[Part Time 
Job]])</f>
        <v>False</v>
      </c>
      <c r="H1848" s="3">
        <v>0</v>
      </c>
      <c r="I1848" t="str">
        <f ca="1">PROPER(Table1[[#This Row],[Extracurricular 
Activities]])</f>
        <v>False</v>
      </c>
      <c r="J1848">
        <v>6</v>
      </c>
      <c r="K1848" t="s">
        <v>3114</v>
      </c>
      <c r="L1848">
        <v>83</v>
      </c>
      <c r="M1848" s="12" t="str" cm="1">
        <f t="array" ref="M184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848">
        <v>73</v>
      </c>
      <c r="O1848" s="13" t="str" cm="1">
        <f t="array" ref="O184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848">
        <v>83</v>
      </c>
      <c r="Q1848" s="13" t="str" cm="1">
        <f t="array" ref="Q184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848">
        <v>66</v>
      </c>
      <c r="S1848" t="str" cm="1">
        <f t="array" ref="S184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848">
        <v>93</v>
      </c>
      <c r="U1848" t="str" cm="1">
        <f t="array" ref="U184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848">
        <v>68</v>
      </c>
      <c r="W1848" t="str" cm="1">
        <f t="array" ref="W184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848">
        <v>89</v>
      </c>
      <c r="Y1848" t="str" cm="1">
        <f t="array" ref="Y184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848">
        <f>SUM(Table1[[#This Row],[Math 
Score]],Table1[[#This Row],[History 
Score]],Table1[[#This Row],[Physics 
Score]],Table1[[#This Row],[Chemistry 
Score]],Table1[[#This Row],[Biology 
Score]],Table1[[#This Row],[English 
Score]],Table1[[#This Row],[Geography 
Score]])</f>
        <v>555</v>
      </c>
      <c r="AA1848" s="3">
        <f>AVERAGE(Table1[[#This Row],[Math 
Score]],Table1[[#This Row],[History 
Score]],Table1[[#This Row],[Physics 
Score]],Table1[[#This Row],[Chemistry 
Score]],Table1[[#This Row],[Biology 
Score]],Table1[[#This Row],[English 
Score]],Table1[[#This Row],[Geography 
Score]])</f>
        <v>79.285714285714292</v>
      </c>
      <c r="AB184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848">
        <f t="shared" si="28"/>
        <v>1245</v>
      </c>
      <c r="AD1848" t="str">
        <f>_xlfn.IFS(Table1[[#This Row],[Absence 
Days]]&lt;3,"Excellent",Table1[[#This Row],[Absence 
Days]]&lt;=6,"Good",Table1[[#This Row],[Absence 
Days]]&gt;6,"Poor")</f>
        <v>Excellent</v>
      </c>
    </row>
    <row r="1849" spans="1:30" x14ac:dyDescent="0.35">
      <c r="A1849">
        <v>1848</v>
      </c>
      <c r="B1849" s="2" t="s">
        <v>25</v>
      </c>
      <c r="C1849" t="s">
        <v>1048</v>
      </c>
      <c r="D1849" t="str">
        <f>_xlfn.TEXTJOIN(" ",TRUE,Table1[[#This Row],[First 
Name]:[Last 
Name]])</f>
        <v>Peter Santos</v>
      </c>
      <c r="E1849" t="s">
        <v>2959</v>
      </c>
      <c r="F1849" t="s">
        <v>3244</v>
      </c>
      <c r="G1849" t="str">
        <f ca="1">PROPER(Table1[[#This Row],[Part Time 
Job]])</f>
        <v>False</v>
      </c>
      <c r="H1849" s="3">
        <v>2</v>
      </c>
      <c r="I1849" t="str">
        <f ca="1">PROPER(Table1[[#This Row],[Extracurricular 
Activities]])</f>
        <v>True</v>
      </c>
      <c r="J1849">
        <v>11</v>
      </c>
      <c r="K1849" t="s">
        <v>3121</v>
      </c>
      <c r="L1849">
        <v>81</v>
      </c>
      <c r="M1849" s="12" t="str" cm="1">
        <f t="array" ref="M184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849">
        <v>85</v>
      </c>
      <c r="O1849" s="13" t="str" cm="1">
        <f t="array" ref="O184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849">
        <v>91</v>
      </c>
      <c r="Q1849" s="13" t="str" cm="1">
        <f t="array" ref="Q184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849">
        <v>94</v>
      </c>
      <c r="S1849" t="str" cm="1">
        <f t="array" ref="S184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849">
        <v>97</v>
      </c>
      <c r="U1849" t="str" cm="1">
        <f t="array" ref="U184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849">
        <v>93</v>
      </c>
      <c r="W1849" t="str" cm="1">
        <f t="array" ref="W184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849">
        <v>65</v>
      </c>
      <c r="Y1849" t="str" cm="1">
        <f t="array" ref="Y184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849">
        <f>SUM(Table1[[#This Row],[Math 
Score]],Table1[[#This Row],[History 
Score]],Table1[[#This Row],[Physics 
Score]],Table1[[#This Row],[Chemistry 
Score]],Table1[[#This Row],[Biology 
Score]],Table1[[#This Row],[English 
Score]],Table1[[#This Row],[Geography 
Score]])</f>
        <v>606</v>
      </c>
      <c r="AA1849" s="3">
        <f>AVERAGE(Table1[[#This Row],[Math 
Score]],Table1[[#This Row],[History 
Score]],Table1[[#This Row],[Physics 
Score]],Table1[[#This Row],[Chemistry 
Score]],Table1[[#This Row],[Biology 
Score]],Table1[[#This Row],[English 
Score]],Table1[[#This Row],[Geography 
Score]])</f>
        <v>86.571428571428569</v>
      </c>
      <c r="AB184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849">
        <f t="shared" si="28"/>
        <v>333</v>
      </c>
      <c r="AD1849" t="str">
        <f>_xlfn.IFS(Table1[[#This Row],[Absence 
Days]]&lt;3,"Excellent",Table1[[#This Row],[Absence 
Days]]&lt;=6,"Good",Table1[[#This Row],[Absence 
Days]]&gt;6,"Poor")</f>
        <v>Excellent</v>
      </c>
    </row>
    <row r="1850" spans="1:30" x14ac:dyDescent="0.35">
      <c r="A1850">
        <v>1849</v>
      </c>
      <c r="B1850" s="2" t="s">
        <v>445</v>
      </c>
      <c r="C1850" t="s">
        <v>1011</v>
      </c>
      <c r="D1850" t="str">
        <f>_xlfn.TEXTJOIN(" ",TRUE,Table1[[#This Row],[First 
Name]:[Last 
Name]])</f>
        <v>Daryl Arnold</v>
      </c>
      <c r="E1850" t="s">
        <v>2960</v>
      </c>
      <c r="F1850" t="s">
        <v>3244</v>
      </c>
      <c r="G1850" t="str">
        <f ca="1">PROPER(Table1[[#This Row],[Part Time 
Job]])</f>
        <v>False</v>
      </c>
      <c r="H1850" s="3">
        <v>1</v>
      </c>
      <c r="I1850" t="str">
        <f ca="1">PROPER(Table1[[#This Row],[Extracurricular 
Activities]])</f>
        <v>True</v>
      </c>
      <c r="J1850">
        <v>4</v>
      </c>
      <c r="K1850" t="s">
        <v>3124</v>
      </c>
      <c r="L1850">
        <v>65</v>
      </c>
      <c r="M1850" s="12" t="str" cm="1">
        <f t="array" ref="M1850">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850">
        <v>95</v>
      </c>
      <c r="O1850" s="13" t="str" cm="1">
        <f t="array" ref="O185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850">
        <v>89</v>
      </c>
      <c r="Q1850" s="13" t="str" cm="1">
        <f t="array" ref="Q185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850">
        <v>96</v>
      </c>
      <c r="S1850" t="str" cm="1">
        <f t="array" ref="S185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850">
        <v>78</v>
      </c>
      <c r="U1850" t="str" cm="1">
        <f t="array" ref="U185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850">
        <v>85</v>
      </c>
      <c r="W1850" t="str" cm="1">
        <f t="array" ref="W185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850">
        <v>80</v>
      </c>
      <c r="Y1850" t="str" cm="1">
        <f t="array" ref="Y185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850">
        <f>SUM(Table1[[#This Row],[Math 
Score]],Table1[[#This Row],[History 
Score]],Table1[[#This Row],[Physics 
Score]],Table1[[#This Row],[Chemistry 
Score]],Table1[[#This Row],[Biology 
Score]],Table1[[#This Row],[English 
Score]],Table1[[#This Row],[Geography 
Score]])</f>
        <v>588</v>
      </c>
      <c r="AA1850" s="3">
        <f>AVERAGE(Table1[[#This Row],[Math 
Score]],Table1[[#This Row],[History 
Score]],Table1[[#This Row],[Physics 
Score]],Table1[[#This Row],[Chemistry 
Score]],Table1[[#This Row],[Biology 
Score]],Table1[[#This Row],[English 
Score]],Table1[[#This Row],[Geography 
Score]])</f>
        <v>84</v>
      </c>
      <c r="AB185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850">
        <f t="shared" si="28"/>
        <v>565</v>
      </c>
      <c r="AD1850" t="str">
        <f>_xlfn.IFS(Table1[[#This Row],[Absence 
Days]]&lt;3,"Excellent",Table1[[#This Row],[Absence 
Days]]&lt;=6,"Good",Table1[[#This Row],[Absence 
Days]]&gt;6,"Poor")</f>
        <v>Excellent</v>
      </c>
    </row>
    <row r="1851" spans="1:30" x14ac:dyDescent="0.35">
      <c r="A1851">
        <v>1850</v>
      </c>
      <c r="B1851" s="2" t="s">
        <v>34</v>
      </c>
      <c r="C1851" t="s">
        <v>492</v>
      </c>
      <c r="D1851" t="str">
        <f>_xlfn.TEXTJOIN(" ",TRUE,Table1[[#This Row],[First 
Name]:[Last 
Name]])</f>
        <v>Michael Davis</v>
      </c>
      <c r="E1851" t="s">
        <v>2961</v>
      </c>
      <c r="F1851" t="s">
        <v>3244</v>
      </c>
      <c r="G1851" t="str">
        <f ca="1">PROPER(Table1[[#This Row],[Part Time 
Job]])</f>
        <v>False</v>
      </c>
      <c r="H1851" s="3">
        <v>2</v>
      </c>
      <c r="I1851" t="str">
        <f ca="1">PROPER(Table1[[#This Row],[Extracurricular 
Activities]])</f>
        <v>False</v>
      </c>
      <c r="J1851">
        <v>33</v>
      </c>
      <c r="K1851" t="s">
        <v>3112</v>
      </c>
      <c r="L1851">
        <v>83</v>
      </c>
      <c r="M1851" s="12" t="str" cm="1">
        <f t="array" ref="M185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851">
        <v>91</v>
      </c>
      <c r="O1851" s="13" t="str" cm="1">
        <f t="array" ref="O185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851">
        <v>76</v>
      </c>
      <c r="Q1851" s="13" t="str" cm="1">
        <f t="array" ref="Q185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851">
        <v>71</v>
      </c>
      <c r="S1851" t="str" cm="1">
        <f t="array" ref="S185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851">
        <v>82</v>
      </c>
      <c r="U1851" t="str" cm="1">
        <f t="array" ref="U185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851">
        <v>82</v>
      </c>
      <c r="W1851" t="str" cm="1">
        <f t="array" ref="W185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851">
        <v>79</v>
      </c>
      <c r="Y1851" t="str" cm="1">
        <f t="array" ref="Y185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851">
        <f>SUM(Table1[[#This Row],[Math 
Score]],Table1[[#This Row],[History 
Score]],Table1[[#This Row],[Physics 
Score]],Table1[[#This Row],[Chemistry 
Score]],Table1[[#This Row],[Biology 
Score]],Table1[[#This Row],[English 
Score]],Table1[[#This Row],[Geography 
Score]])</f>
        <v>564</v>
      </c>
      <c r="AA1851" s="3">
        <f>AVERAGE(Table1[[#This Row],[Math 
Score]],Table1[[#This Row],[History 
Score]],Table1[[#This Row],[Physics 
Score]],Table1[[#This Row],[Chemistry 
Score]],Table1[[#This Row],[Biology 
Score]],Table1[[#This Row],[English 
Score]],Table1[[#This Row],[Geography 
Score]])</f>
        <v>80.571428571428569</v>
      </c>
      <c r="AB185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851">
        <f t="shared" si="28"/>
        <v>1056</v>
      </c>
      <c r="AD1851" t="str">
        <f>_xlfn.IFS(Table1[[#This Row],[Absence 
Days]]&lt;3,"Excellent",Table1[[#This Row],[Absence 
Days]]&lt;=6,"Good",Table1[[#This Row],[Absence 
Days]]&gt;6,"Poor")</f>
        <v>Excellent</v>
      </c>
    </row>
    <row r="1852" spans="1:30" x14ac:dyDescent="0.35">
      <c r="A1852">
        <v>1851</v>
      </c>
      <c r="B1852" s="2" t="s">
        <v>424</v>
      </c>
      <c r="C1852" t="s">
        <v>586</v>
      </c>
      <c r="D1852" t="str">
        <f>_xlfn.TEXTJOIN(" ",TRUE,Table1[[#This Row],[First 
Name]:[Last 
Name]])</f>
        <v>Leslie Cox</v>
      </c>
      <c r="E1852" t="s">
        <v>2962</v>
      </c>
      <c r="F1852" t="s">
        <v>3245</v>
      </c>
      <c r="G1852" t="str">
        <f ca="1">PROPER(Table1[[#This Row],[Part Time 
Job]])</f>
        <v>False</v>
      </c>
      <c r="H1852" s="3">
        <v>3</v>
      </c>
      <c r="I1852" t="str">
        <f ca="1">PROPER(Table1[[#This Row],[Extracurricular 
Activities]])</f>
        <v>True</v>
      </c>
      <c r="J1852">
        <v>22</v>
      </c>
      <c r="K1852" t="s">
        <v>3113</v>
      </c>
      <c r="L1852">
        <v>98</v>
      </c>
      <c r="M1852" s="12" t="str" cm="1">
        <f t="array" ref="M185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852">
        <v>79</v>
      </c>
      <c r="O1852" s="13" t="str" cm="1">
        <f t="array" ref="O185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852">
        <v>87</v>
      </c>
      <c r="Q1852" s="13" t="str" cm="1">
        <f t="array" ref="Q185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852">
        <v>86</v>
      </c>
      <c r="S1852" t="str" cm="1">
        <f t="array" ref="S185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852">
        <v>98</v>
      </c>
      <c r="U1852" t="str" cm="1">
        <f t="array" ref="U185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852">
        <v>85</v>
      </c>
      <c r="W1852" t="str" cm="1">
        <f t="array" ref="W185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852">
        <v>85</v>
      </c>
      <c r="Y1852" t="str" cm="1">
        <f t="array" ref="Y185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852">
        <f>SUM(Table1[[#This Row],[Math 
Score]],Table1[[#This Row],[History 
Score]],Table1[[#This Row],[Physics 
Score]],Table1[[#This Row],[Chemistry 
Score]],Table1[[#This Row],[Biology 
Score]],Table1[[#This Row],[English 
Score]],Table1[[#This Row],[Geography 
Score]])</f>
        <v>618</v>
      </c>
      <c r="AA1852" s="3">
        <f>AVERAGE(Table1[[#This Row],[Math 
Score]],Table1[[#This Row],[History 
Score]],Table1[[#This Row],[Physics 
Score]],Table1[[#This Row],[Chemistry 
Score]],Table1[[#This Row],[Biology 
Score]],Table1[[#This Row],[English 
Score]],Table1[[#This Row],[Geography 
Score]])</f>
        <v>88.285714285714292</v>
      </c>
      <c r="AB185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852">
        <f t="shared" si="28"/>
        <v>229</v>
      </c>
      <c r="AD1852" t="str">
        <f>_xlfn.IFS(Table1[[#This Row],[Absence 
Days]]&lt;3,"Excellent",Table1[[#This Row],[Absence 
Days]]&lt;=6,"Good",Table1[[#This Row],[Absence 
Days]]&gt;6,"Poor")</f>
        <v>Good</v>
      </c>
    </row>
    <row r="1853" spans="1:30" x14ac:dyDescent="0.35">
      <c r="A1853">
        <v>1852</v>
      </c>
      <c r="B1853" s="2" t="s">
        <v>49</v>
      </c>
      <c r="C1853" t="s">
        <v>825</v>
      </c>
      <c r="D1853" t="str">
        <f>_xlfn.TEXTJOIN(" ",TRUE,Table1[[#This Row],[First 
Name]:[Last 
Name]])</f>
        <v>Jamie Carter</v>
      </c>
      <c r="E1853" t="s">
        <v>2963</v>
      </c>
      <c r="F1853" t="s">
        <v>3245</v>
      </c>
      <c r="G1853" t="str">
        <f ca="1">PROPER(Table1[[#This Row],[Part Time 
Job]])</f>
        <v>False</v>
      </c>
      <c r="H1853" s="3">
        <v>0</v>
      </c>
      <c r="I1853" t="str">
        <f ca="1">PROPER(Table1[[#This Row],[Extracurricular 
Activities]])</f>
        <v>False</v>
      </c>
      <c r="J1853">
        <v>34</v>
      </c>
      <c r="K1853" t="s">
        <v>3113</v>
      </c>
      <c r="L1853">
        <v>83</v>
      </c>
      <c r="M1853" s="12" t="str" cm="1">
        <f t="array" ref="M185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853">
        <v>84</v>
      </c>
      <c r="O1853" s="13" t="str" cm="1">
        <f t="array" ref="O185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853">
        <v>91</v>
      </c>
      <c r="Q1853" s="13" t="str" cm="1">
        <f t="array" ref="Q185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853">
        <v>84</v>
      </c>
      <c r="S1853" t="str" cm="1">
        <f t="array" ref="S185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853">
        <v>85</v>
      </c>
      <c r="U1853" t="str" cm="1">
        <f t="array" ref="U185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853">
        <v>91</v>
      </c>
      <c r="W1853" t="str" cm="1">
        <f t="array" ref="W185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853">
        <v>92</v>
      </c>
      <c r="Y1853" t="str" cm="1">
        <f t="array" ref="Y185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853">
        <f>SUM(Table1[[#This Row],[Math 
Score]],Table1[[#This Row],[History 
Score]],Table1[[#This Row],[Physics 
Score]],Table1[[#This Row],[Chemistry 
Score]],Table1[[#This Row],[Biology 
Score]],Table1[[#This Row],[English 
Score]],Table1[[#This Row],[Geography 
Score]])</f>
        <v>610</v>
      </c>
      <c r="AA1853" s="3">
        <f>AVERAGE(Table1[[#This Row],[Math 
Score]],Table1[[#This Row],[History 
Score]],Table1[[#This Row],[Physics 
Score]],Table1[[#This Row],[Chemistry 
Score]],Table1[[#This Row],[Biology 
Score]],Table1[[#This Row],[English 
Score]],Table1[[#This Row],[Geography 
Score]])</f>
        <v>87.142857142857139</v>
      </c>
      <c r="AB185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853">
        <f t="shared" si="28"/>
        <v>298</v>
      </c>
      <c r="AD1853" t="str">
        <f>_xlfn.IFS(Table1[[#This Row],[Absence 
Days]]&lt;3,"Excellent",Table1[[#This Row],[Absence 
Days]]&lt;=6,"Good",Table1[[#This Row],[Absence 
Days]]&gt;6,"Poor")</f>
        <v>Excellent</v>
      </c>
    </row>
    <row r="1854" spans="1:30" x14ac:dyDescent="0.35">
      <c r="A1854">
        <v>1853</v>
      </c>
      <c r="B1854" s="2" t="s">
        <v>420</v>
      </c>
      <c r="C1854" t="s">
        <v>751</v>
      </c>
      <c r="D1854" t="str">
        <f>_xlfn.TEXTJOIN(" ",TRUE,Table1[[#This Row],[First 
Name]:[Last 
Name]])</f>
        <v>Shane Payne</v>
      </c>
      <c r="E1854" t="s">
        <v>2964</v>
      </c>
      <c r="F1854" t="s">
        <v>3244</v>
      </c>
      <c r="G1854" t="str">
        <f ca="1">PROPER(Table1[[#This Row],[Part Time 
Job]])</f>
        <v>False</v>
      </c>
      <c r="H1854" s="3">
        <v>1</v>
      </c>
      <c r="I1854" t="str">
        <f ca="1">PROPER(Table1[[#This Row],[Extracurricular 
Activities]])</f>
        <v>False</v>
      </c>
      <c r="J1854">
        <v>22</v>
      </c>
      <c r="K1854" t="s">
        <v>3117</v>
      </c>
      <c r="L1854">
        <v>85</v>
      </c>
      <c r="M1854" s="12" t="str" cm="1">
        <f t="array" ref="M185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854">
        <v>60</v>
      </c>
      <c r="O1854" s="13" t="str" cm="1">
        <f t="array" ref="O185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854">
        <v>85</v>
      </c>
      <c r="Q1854" s="13" t="str" cm="1">
        <f t="array" ref="Q185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854">
        <v>76</v>
      </c>
      <c r="S1854" t="str" cm="1">
        <f t="array" ref="S185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854">
        <v>90</v>
      </c>
      <c r="U1854" t="str" cm="1">
        <f t="array" ref="U185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854">
        <v>75</v>
      </c>
      <c r="W1854" t="str" cm="1">
        <f t="array" ref="W185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854">
        <v>93</v>
      </c>
      <c r="Y1854" t="str" cm="1">
        <f t="array" ref="Y185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854">
        <f>SUM(Table1[[#This Row],[Math 
Score]],Table1[[#This Row],[History 
Score]],Table1[[#This Row],[Physics 
Score]],Table1[[#This Row],[Chemistry 
Score]],Table1[[#This Row],[Biology 
Score]],Table1[[#This Row],[English 
Score]],Table1[[#This Row],[Geography 
Score]])</f>
        <v>564</v>
      </c>
      <c r="AA1854" s="3">
        <f>AVERAGE(Table1[[#This Row],[Math 
Score]],Table1[[#This Row],[History 
Score]],Table1[[#This Row],[Physics 
Score]],Table1[[#This Row],[Chemistry 
Score]],Table1[[#This Row],[Biology 
Score]],Table1[[#This Row],[English 
Score]],Table1[[#This Row],[Geography 
Score]])</f>
        <v>80.571428571428569</v>
      </c>
      <c r="AB185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854">
        <f t="shared" si="28"/>
        <v>1056</v>
      </c>
      <c r="AD1854" t="str">
        <f>_xlfn.IFS(Table1[[#This Row],[Absence 
Days]]&lt;3,"Excellent",Table1[[#This Row],[Absence 
Days]]&lt;=6,"Good",Table1[[#This Row],[Absence 
Days]]&gt;6,"Poor")</f>
        <v>Excellent</v>
      </c>
    </row>
    <row r="1855" spans="1:30" x14ac:dyDescent="0.35">
      <c r="A1855">
        <v>1854</v>
      </c>
      <c r="B1855" s="2" t="s">
        <v>44</v>
      </c>
      <c r="C1855" t="s">
        <v>1098</v>
      </c>
      <c r="D1855" t="str">
        <f>_xlfn.TEXTJOIN(" ",TRUE,Table1[[#This Row],[First 
Name]:[Last 
Name]])</f>
        <v>Kimberly Haley</v>
      </c>
      <c r="E1855" t="s">
        <v>2965</v>
      </c>
      <c r="F1855" t="s">
        <v>3245</v>
      </c>
      <c r="G1855" t="str">
        <f ca="1">PROPER(Table1[[#This Row],[Part Time 
Job]])</f>
        <v>False</v>
      </c>
      <c r="H1855" s="3">
        <v>10</v>
      </c>
      <c r="I1855" t="str">
        <f ca="1">PROPER(Table1[[#This Row],[Extracurricular 
Activities]])</f>
        <v>False</v>
      </c>
      <c r="J1855">
        <v>5</v>
      </c>
      <c r="K1855" t="s">
        <v>3119</v>
      </c>
      <c r="L1855">
        <v>68</v>
      </c>
      <c r="M1855" s="12" t="str" cm="1">
        <f t="array" ref="M1855">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855">
        <v>66</v>
      </c>
      <c r="O1855" s="13" t="str" cm="1">
        <f t="array" ref="O185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855">
        <v>82</v>
      </c>
      <c r="Q1855" s="13" t="str" cm="1">
        <f t="array" ref="Q185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855">
        <v>63</v>
      </c>
      <c r="S1855" t="str" cm="1">
        <f t="array" ref="S185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855">
        <v>91</v>
      </c>
      <c r="U1855" t="str" cm="1">
        <f t="array" ref="U185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855">
        <v>67</v>
      </c>
      <c r="W1855" t="str" cm="1">
        <f t="array" ref="W185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855">
        <v>89</v>
      </c>
      <c r="Y1855" t="str" cm="1">
        <f t="array" ref="Y185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855">
        <f>SUM(Table1[[#This Row],[Math 
Score]],Table1[[#This Row],[History 
Score]],Table1[[#This Row],[Physics 
Score]],Table1[[#This Row],[Chemistry 
Score]],Table1[[#This Row],[Biology 
Score]],Table1[[#This Row],[English 
Score]],Table1[[#This Row],[Geography 
Score]])</f>
        <v>526</v>
      </c>
      <c r="AA1855" s="3">
        <f>AVERAGE(Table1[[#This Row],[Math 
Score]],Table1[[#This Row],[History 
Score]],Table1[[#This Row],[Physics 
Score]],Table1[[#This Row],[Chemistry 
Score]],Table1[[#This Row],[Biology 
Score]],Table1[[#This Row],[English 
Score]],Table1[[#This Row],[Geography 
Score]])</f>
        <v>75.142857142857139</v>
      </c>
      <c r="AB185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855">
        <f t="shared" si="28"/>
        <v>1688</v>
      </c>
      <c r="AD1855" t="str">
        <f>_xlfn.IFS(Table1[[#This Row],[Absence 
Days]]&lt;3,"Excellent",Table1[[#This Row],[Absence 
Days]]&lt;=6,"Good",Table1[[#This Row],[Absence 
Days]]&gt;6,"Poor")</f>
        <v>Poor</v>
      </c>
    </row>
    <row r="1856" spans="1:30" x14ac:dyDescent="0.35">
      <c r="A1856">
        <v>1855</v>
      </c>
      <c r="B1856" s="2" t="s">
        <v>6</v>
      </c>
      <c r="C1856" t="s">
        <v>1090</v>
      </c>
      <c r="D1856" t="str">
        <f>_xlfn.TEXTJOIN(" ",TRUE,Table1[[#This Row],[First 
Name]:[Last 
Name]])</f>
        <v>George Duran</v>
      </c>
      <c r="E1856" t="s">
        <v>2966</v>
      </c>
      <c r="F1856" t="s">
        <v>3244</v>
      </c>
      <c r="G1856" t="str">
        <f ca="1">PROPER(Table1[[#This Row],[Part Time 
Job]])</f>
        <v>False</v>
      </c>
      <c r="H1856" s="3">
        <v>1</v>
      </c>
      <c r="I1856" t="str">
        <f ca="1">PROPER(Table1[[#This Row],[Extracurricular 
Activities]])</f>
        <v>False</v>
      </c>
      <c r="J1856">
        <v>11</v>
      </c>
      <c r="K1856" t="s">
        <v>3114</v>
      </c>
      <c r="L1856">
        <v>86</v>
      </c>
      <c r="M1856" s="12" t="str" cm="1">
        <f t="array" ref="M185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856">
        <v>82</v>
      </c>
      <c r="O1856" s="13" t="str" cm="1">
        <f t="array" ref="O185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856">
        <v>60</v>
      </c>
      <c r="Q1856" s="13" t="str" cm="1">
        <f t="array" ref="Q185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856">
        <v>65</v>
      </c>
      <c r="S1856" t="str" cm="1">
        <f t="array" ref="S185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856">
        <v>83</v>
      </c>
      <c r="U1856" t="str" cm="1">
        <f t="array" ref="U185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856">
        <v>69</v>
      </c>
      <c r="W1856" t="str" cm="1">
        <f t="array" ref="W185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856">
        <v>78</v>
      </c>
      <c r="Y1856" t="str" cm="1">
        <f t="array" ref="Y185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856">
        <f>SUM(Table1[[#This Row],[Math 
Score]],Table1[[#This Row],[History 
Score]],Table1[[#This Row],[Physics 
Score]],Table1[[#This Row],[Chemistry 
Score]],Table1[[#This Row],[Biology 
Score]],Table1[[#This Row],[English 
Score]],Table1[[#This Row],[Geography 
Score]])</f>
        <v>523</v>
      </c>
      <c r="AA1856" s="3">
        <f>AVERAGE(Table1[[#This Row],[Math 
Score]],Table1[[#This Row],[History 
Score]],Table1[[#This Row],[Physics 
Score]],Table1[[#This Row],[Chemistry 
Score]],Table1[[#This Row],[Biology 
Score]],Table1[[#This Row],[English 
Score]],Table1[[#This Row],[Geography 
Score]])</f>
        <v>74.714285714285708</v>
      </c>
      <c r="AB185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856">
        <f t="shared" si="28"/>
        <v>1727</v>
      </c>
      <c r="AD1856" t="str">
        <f>_xlfn.IFS(Table1[[#This Row],[Absence 
Days]]&lt;3,"Excellent",Table1[[#This Row],[Absence 
Days]]&lt;=6,"Good",Table1[[#This Row],[Absence 
Days]]&gt;6,"Poor")</f>
        <v>Excellent</v>
      </c>
    </row>
    <row r="1857" spans="1:30" x14ac:dyDescent="0.35">
      <c r="A1857">
        <v>1856</v>
      </c>
      <c r="B1857" s="2" t="s">
        <v>195</v>
      </c>
      <c r="C1857" t="s">
        <v>1099</v>
      </c>
      <c r="D1857" t="str">
        <f>_xlfn.TEXTJOIN(" ",TRUE,Table1[[#This Row],[First 
Name]:[Last 
Name]])</f>
        <v>Donald Carney</v>
      </c>
      <c r="E1857" t="s">
        <v>2967</v>
      </c>
      <c r="F1857" t="s">
        <v>3244</v>
      </c>
      <c r="G1857" t="str">
        <f ca="1">PROPER(Table1[[#This Row],[Part Time 
Job]])</f>
        <v>False</v>
      </c>
      <c r="H1857" s="3">
        <v>1</v>
      </c>
      <c r="I1857" t="str">
        <f ca="1">PROPER(Table1[[#This Row],[Extracurricular 
Activities]])</f>
        <v>False</v>
      </c>
      <c r="J1857">
        <v>12</v>
      </c>
      <c r="K1857" t="s">
        <v>3114</v>
      </c>
      <c r="L1857">
        <v>83</v>
      </c>
      <c r="M1857" s="12" t="str" cm="1">
        <f t="array" ref="M185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857">
        <v>87</v>
      </c>
      <c r="O1857" s="13" t="str" cm="1">
        <f t="array" ref="O185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857">
        <v>87</v>
      </c>
      <c r="Q1857" s="13" t="str" cm="1">
        <f t="array" ref="Q185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857">
        <v>80</v>
      </c>
      <c r="S1857" t="str" cm="1">
        <f t="array" ref="S185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857">
        <v>81</v>
      </c>
      <c r="U1857" t="str" cm="1">
        <f t="array" ref="U185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857">
        <v>79</v>
      </c>
      <c r="W1857" t="str" cm="1">
        <f t="array" ref="W185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857">
        <v>98</v>
      </c>
      <c r="Y1857" t="str" cm="1">
        <f t="array" ref="Y185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857">
        <f>SUM(Table1[[#This Row],[Math 
Score]],Table1[[#This Row],[History 
Score]],Table1[[#This Row],[Physics 
Score]],Table1[[#This Row],[Chemistry 
Score]],Table1[[#This Row],[Biology 
Score]],Table1[[#This Row],[English 
Score]],Table1[[#This Row],[Geography 
Score]])</f>
        <v>595</v>
      </c>
      <c r="AA1857" s="3">
        <f>AVERAGE(Table1[[#This Row],[Math 
Score]],Table1[[#This Row],[History 
Score]],Table1[[#This Row],[Physics 
Score]],Table1[[#This Row],[Chemistry 
Score]],Table1[[#This Row],[Biology 
Score]],Table1[[#This Row],[English 
Score]],Table1[[#This Row],[Geography 
Score]])</f>
        <v>85</v>
      </c>
      <c r="AB185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857">
        <f t="shared" si="28"/>
        <v>465</v>
      </c>
      <c r="AD1857" t="str">
        <f>_xlfn.IFS(Table1[[#This Row],[Absence 
Days]]&lt;3,"Excellent",Table1[[#This Row],[Absence 
Days]]&lt;=6,"Good",Table1[[#This Row],[Absence 
Days]]&gt;6,"Poor")</f>
        <v>Excellent</v>
      </c>
    </row>
    <row r="1858" spans="1:30" x14ac:dyDescent="0.35">
      <c r="A1858">
        <v>1857</v>
      </c>
      <c r="B1858" s="2" t="s">
        <v>54</v>
      </c>
      <c r="C1858" t="s">
        <v>527</v>
      </c>
      <c r="D1858" t="str">
        <f>_xlfn.TEXTJOIN(" ",TRUE,Table1[[#This Row],[First 
Name]:[Last 
Name]])</f>
        <v>Michelle Brown</v>
      </c>
      <c r="E1858" t="s">
        <v>2968</v>
      </c>
      <c r="F1858" t="s">
        <v>3245</v>
      </c>
      <c r="G1858" t="str">
        <f ca="1">PROPER(Table1[[#This Row],[Part Time 
Job]])</f>
        <v>False</v>
      </c>
      <c r="H1858" s="3">
        <v>2</v>
      </c>
      <c r="I1858" t="str">
        <f ca="1">PROPER(Table1[[#This Row],[Extracurricular 
Activities]])</f>
        <v>False</v>
      </c>
      <c r="J1858">
        <v>35</v>
      </c>
      <c r="K1858" t="s">
        <v>3116</v>
      </c>
      <c r="L1858">
        <v>92</v>
      </c>
      <c r="M1858" s="12" t="str" cm="1">
        <f t="array" ref="M185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858">
        <v>92</v>
      </c>
      <c r="O1858" s="13" t="str" cm="1">
        <f t="array" ref="O185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858">
        <v>99</v>
      </c>
      <c r="Q1858" s="13" t="str" cm="1">
        <f t="array" ref="Q185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858">
        <v>87</v>
      </c>
      <c r="S1858" t="str" cm="1">
        <f t="array" ref="S185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858">
        <v>100</v>
      </c>
      <c r="U1858" t="str" cm="1">
        <f t="array" ref="U185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858">
        <v>88</v>
      </c>
      <c r="W1858" t="str" cm="1">
        <f t="array" ref="W185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858">
        <v>97</v>
      </c>
      <c r="Y1858" t="str" cm="1">
        <f t="array" ref="Y185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858">
        <f>SUM(Table1[[#This Row],[Math 
Score]],Table1[[#This Row],[History 
Score]],Table1[[#This Row],[Physics 
Score]],Table1[[#This Row],[Chemistry 
Score]],Table1[[#This Row],[Biology 
Score]],Table1[[#This Row],[English 
Score]],Table1[[#This Row],[Geography 
Score]])</f>
        <v>655</v>
      </c>
      <c r="AA1858" s="3">
        <f>AVERAGE(Table1[[#This Row],[Math 
Score]],Table1[[#This Row],[History 
Score]],Table1[[#This Row],[Physics 
Score]],Table1[[#This Row],[Chemistry 
Score]],Table1[[#This Row],[Biology 
Score]],Table1[[#This Row],[English 
Score]],Table1[[#This Row],[Geography 
Score]])</f>
        <v>93.571428571428569</v>
      </c>
      <c r="AB185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858">
        <f t="shared" ref="AC1858:AC1921" si="29">RANK(AA1858,$AA$2:$AA$2001,0)</f>
        <v>34</v>
      </c>
      <c r="AD1858" t="str">
        <f>_xlfn.IFS(Table1[[#This Row],[Absence 
Days]]&lt;3,"Excellent",Table1[[#This Row],[Absence 
Days]]&lt;=6,"Good",Table1[[#This Row],[Absence 
Days]]&gt;6,"Poor")</f>
        <v>Excellent</v>
      </c>
    </row>
    <row r="1859" spans="1:30" x14ac:dyDescent="0.35">
      <c r="A1859">
        <v>1858</v>
      </c>
      <c r="B1859" s="2" t="s">
        <v>42</v>
      </c>
      <c r="C1859" t="s">
        <v>626</v>
      </c>
      <c r="D1859" t="str">
        <f>_xlfn.TEXTJOIN(" ",TRUE,Table1[[#This Row],[First 
Name]:[Last 
Name]])</f>
        <v>Elizabeth Hawkins</v>
      </c>
      <c r="E1859" t="s">
        <v>2969</v>
      </c>
      <c r="F1859" t="s">
        <v>3245</v>
      </c>
      <c r="G1859" t="str">
        <f ca="1">PROPER(Table1[[#This Row],[Part Time 
Job]])</f>
        <v>False</v>
      </c>
      <c r="H1859" s="3">
        <v>0</v>
      </c>
      <c r="I1859" t="str">
        <f ca="1">PROPER(Table1[[#This Row],[Extracurricular 
Activities]])</f>
        <v>False</v>
      </c>
      <c r="J1859">
        <v>6</v>
      </c>
      <c r="K1859" t="s">
        <v>3128</v>
      </c>
      <c r="L1859">
        <v>91</v>
      </c>
      <c r="M1859" s="12" t="str" cm="1">
        <f t="array" ref="M185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859">
        <v>66</v>
      </c>
      <c r="O1859" s="13" t="str" cm="1">
        <f t="array" ref="O185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859">
        <v>91</v>
      </c>
      <c r="Q1859" s="13" t="str" cm="1">
        <f t="array" ref="Q185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859">
        <v>62</v>
      </c>
      <c r="S1859" t="str" cm="1">
        <f t="array" ref="S185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859">
        <v>70</v>
      </c>
      <c r="U1859" t="str" cm="1">
        <f t="array" ref="U185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859">
        <v>87</v>
      </c>
      <c r="W1859" t="str" cm="1">
        <f t="array" ref="W185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859">
        <v>90</v>
      </c>
      <c r="Y1859" t="str" cm="1">
        <f t="array" ref="Y185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859">
        <f>SUM(Table1[[#This Row],[Math 
Score]],Table1[[#This Row],[History 
Score]],Table1[[#This Row],[Physics 
Score]],Table1[[#This Row],[Chemistry 
Score]],Table1[[#This Row],[Biology 
Score]],Table1[[#This Row],[English 
Score]],Table1[[#This Row],[Geography 
Score]])</f>
        <v>557</v>
      </c>
      <c r="AA1859" s="3">
        <f>AVERAGE(Table1[[#This Row],[Math 
Score]],Table1[[#This Row],[History 
Score]],Table1[[#This Row],[Physics 
Score]],Table1[[#This Row],[Chemistry 
Score]],Table1[[#This Row],[Biology 
Score]],Table1[[#This Row],[English 
Score]],Table1[[#This Row],[Geography 
Score]])</f>
        <v>79.571428571428569</v>
      </c>
      <c r="AB185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859">
        <f t="shared" si="29"/>
        <v>1200</v>
      </c>
      <c r="AD1859" t="str">
        <f>_xlfn.IFS(Table1[[#This Row],[Absence 
Days]]&lt;3,"Excellent",Table1[[#This Row],[Absence 
Days]]&lt;=6,"Good",Table1[[#This Row],[Absence 
Days]]&gt;6,"Poor")</f>
        <v>Excellent</v>
      </c>
    </row>
    <row r="1860" spans="1:30" x14ac:dyDescent="0.35">
      <c r="A1860">
        <v>1859</v>
      </c>
      <c r="B1860" s="2" t="s">
        <v>446</v>
      </c>
      <c r="C1860" t="s">
        <v>464</v>
      </c>
      <c r="D1860" t="str">
        <f>_xlfn.TEXTJOIN(" ",TRUE,Table1[[#This Row],[First 
Name]:[Last 
Name]])</f>
        <v>Johnny Gomez</v>
      </c>
      <c r="E1860" t="s">
        <v>2970</v>
      </c>
      <c r="F1860" t="s">
        <v>3244</v>
      </c>
      <c r="G1860" t="str">
        <f ca="1">PROPER(Table1[[#This Row],[Part Time 
Job]])</f>
        <v>False</v>
      </c>
      <c r="H1860" s="3">
        <v>9</v>
      </c>
      <c r="I1860" t="str">
        <f ca="1">PROPER(Table1[[#This Row],[Extracurricular 
Activities]])</f>
        <v>True</v>
      </c>
      <c r="J1860">
        <v>0</v>
      </c>
      <c r="K1860" t="s">
        <v>3119</v>
      </c>
      <c r="L1860">
        <v>53</v>
      </c>
      <c r="M1860" s="12" t="str" cm="1">
        <f t="array" ref="M1860">_xlfn.IFS(Table1[[#This Row],[Math 
Score]]&gt;=90,"A+",Table1[[#This Row],[Math 
Score]]&gt;=80,"A", Table1[[#This Row],[Math 
Score]]&gt;=75,"A-",Table1[[#This Row],[Math 
Score]]&gt;=70,"B+",Table1[[#This Row],[Math 
Score]]&gt;=65,"B",Table1[[#This Row],[Math 
Score]]&gt;=60,"B-",Table1[[#This Row],[Math 
Score]]&gt;=50,"C",Table1[[#This Row],[Math 
Score]]&gt;=40,"D",Table1[[#This Row],[Math 
Score]]&lt;40,"F")</f>
        <v>C</v>
      </c>
      <c r="N1860">
        <v>95</v>
      </c>
      <c r="O1860" s="13" t="str" cm="1">
        <f t="array" ref="O186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860">
        <v>87</v>
      </c>
      <c r="Q1860" s="13" t="str" cm="1">
        <f t="array" ref="Q186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860">
        <v>60</v>
      </c>
      <c r="S1860" t="str" cm="1">
        <f t="array" ref="S186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860">
        <v>68</v>
      </c>
      <c r="U1860" t="str" cm="1">
        <f t="array" ref="U186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860">
        <v>74</v>
      </c>
      <c r="W1860" t="str" cm="1">
        <f t="array" ref="W186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860">
        <v>68</v>
      </c>
      <c r="Y1860" t="str" cm="1">
        <f t="array" ref="Y186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860">
        <f>SUM(Table1[[#This Row],[Math 
Score]],Table1[[#This Row],[History 
Score]],Table1[[#This Row],[Physics 
Score]],Table1[[#This Row],[Chemistry 
Score]],Table1[[#This Row],[Biology 
Score]],Table1[[#This Row],[English 
Score]],Table1[[#This Row],[Geography 
Score]])</f>
        <v>505</v>
      </c>
      <c r="AA1860" s="3">
        <f>AVERAGE(Table1[[#This Row],[Math 
Score]],Table1[[#This Row],[History 
Score]],Table1[[#This Row],[Physics 
Score]],Table1[[#This Row],[Chemistry 
Score]],Table1[[#This Row],[Biology 
Score]],Table1[[#This Row],[English 
Score]],Table1[[#This Row],[Geography 
Score]])</f>
        <v>72.142857142857139</v>
      </c>
      <c r="AB186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860">
        <f t="shared" si="29"/>
        <v>1854</v>
      </c>
      <c r="AD1860" t="str">
        <f>_xlfn.IFS(Table1[[#This Row],[Absence 
Days]]&lt;3,"Excellent",Table1[[#This Row],[Absence 
Days]]&lt;=6,"Good",Table1[[#This Row],[Absence 
Days]]&gt;6,"Poor")</f>
        <v>Poor</v>
      </c>
    </row>
    <row r="1861" spans="1:30" x14ac:dyDescent="0.35">
      <c r="A1861">
        <v>1860</v>
      </c>
      <c r="B1861" s="2" t="s">
        <v>36</v>
      </c>
      <c r="C1861" t="s">
        <v>982</v>
      </c>
      <c r="D1861" t="str">
        <f>_xlfn.TEXTJOIN(" ",TRUE,Table1[[#This Row],[First 
Name]:[Last 
Name]])</f>
        <v>Christopher Mcconnell</v>
      </c>
      <c r="E1861" t="s">
        <v>2971</v>
      </c>
      <c r="F1861" t="s">
        <v>3244</v>
      </c>
      <c r="G1861" t="str">
        <f ca="1">PROPER(Table1[[#This Row],[Part Time 
Job]])</f>
        <v>False</v>
      </c>
      <c r="H1861" s="3">
        <v>2</v>
      </c>
      <c r="I1861" t="str">
        <f ca="1">PROPER(Table1[[#This Row],[Extracurricular 
Activities]])</f>
        <v>True</v>
      </c>
      <c r="J1861">
        <v>26</v>
      </c>
      <c r="K1861" t="s">
        <v>3112</v>
      </c>
      <c r="L1861">
        <v>73</v>
      </c>
      <c r="M1861" s="12" t="str" cm="1">
        <f t="array" ref="M1861">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861">
        <v>85</v>
      </c>
      <c r="O1861" s="13" t="str" cm="1">
        <f t="array" ref="O186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861">
        <v>80</v>
      </c>
      <c r="Q1861" s="13" t="str" cm="1">
        <f t="array" ref="Q186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861">
        <v>64</v>
      </c>
      <c r="S1861" t="str" cm="1">
        <f t="array" ref="S186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861">
        <v>69</v>
      </c>
      <c r="U1861" t="str" cm="1">
        <f t="array" ref="U186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861">
        <v>95</v>
      </c>
      <c r="W1861" t="str" cm="1">
        <f t="array" ref="W186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861">
        <v>64</v>
      </c>
      <c r="Y1861" t="str" cm="1">
        <f t="array" ref="Y186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861">
        <f>SUM(Table1[[#This Row],[Math 
Score]],Table1[[#This Row],[History 
Score]],Table1[[#This Row],[Physics 
Score]],Table1[[#This Row],[Chemistry 
Score]],Table1[[#This Row],[Biology 
Score]],Table1[[#This Row],[English 
Score]],Table1[[#This Row],[Geography 
Score]])</f>
        <v>530</v>
      </c>
      <c r="AA1861" s="3">
        <f>AVERAGE(Table1[[#This Row],[Math 
Score]],Table1[[#This Row],[History 
Score]],Table1[[#This Row],[Physics 
Score]],Table1[[#This Row],[Chemistry 
Score]],Table1[[#This Row],[Biology 
Score]],Table1[[#This Row],[English 
Score]],Table1[[#This Row],[Geography 
Score]])</f>
        <v>75.714285714285708</v>
      </c>
      <c r="AB186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861">
        <f t="shared" si="29"/>
        <v>1646</v>
      </c>
      <c r="AD1861" t="str">
        <f>_xlfn.IFS(Table1[[#This Row],[Absence 
Days]]&lt;3,"Excellent",Table1[[#This Row],[Absence 
Days]]&lt;=6,"Good",Table1[[#This Row],[Absence 
Days]]&gt;6,"Poor")</f>
        <v>Excellent</v>
      </c>
    </row>
    <row r="1862" spans="1:30" x14ac:dyDescent="0.35">
      <c r="A1862">
        <v>1861</v>
      </c>
      <c r="B1862" s="2" t="s">
        <v>20</v>
      </c>
      <c r="C1862" t="s">
        <v>567</v>
      </c>
      <c r="D1862" t="str">
        <f>_xlfn.TEXTJOIN(" ",TRUE,Table1[[#This Row],[First 
Name]:[Last 
Name]])</f>
        <v>Kyle Rodriguez</v>
      </c>
      <c r="E1862" t="s">
        <v>2972</v>
      </c>
      <c r="F1862" t="s">
        <v>3244</v>
      </c>
      <c r="G1862" t="str">
        <f ca="1">PROPER(Table1[[#This Row],[Part Time 
Job]])</f>
        <v>False</v>
      </c>
      <c r="H1862" s="3">
        <v>0</v>
      </c>
      <c r="I1862" t="str">
        <f ca="1">PROPER(Table1[[#This Row],[Extracurricular 
Activities]])</f>
        <v>False</v>
      </c>
      <c r="J1862">
        <v>19</v>
      </c>
      <c r="K1862" t="s">
        <v>3121</v>
      </c>
      <c r="L1862">
        <v>97</v>
      </c>
      <c r="M1862" s="12" t="str" cm="1">
        <f t="array" ref="M186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862">
        <v>95</v>
      </c>
      <c r="O1862" s="13" t="str" cm="1">
        <f t="array" ref="O186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862">
        <v>91</v>
      </c>
      <c r="Q1862" s="13" t="str" cm="1">
        <f t="array" ref="Q186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862">
        <v>97</v>
      </c>
      <c r="S1862" t="str" cm="1">
        <f t="array" ref="S186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862">
        <v>96</v>
      </c>
      <c r="U1862" t="str" cm="1">
        <f t="array" ref="U186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862">
        <v>90</v>
      </c>
      <c r="W1862" t="str" cm="1">
        <f t="array" ref="W186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862">
        <v>67</v>
      </c>
      <c r="Y1862" t="str" cm="1">
        <f t="array" ref="Y186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862">
        <f>SUM(Table1[[#This Row],[Math 
Score]],Table1[[#This Row],[History 
Score]],Table1[[#This Row],[Physics 
Score]],Table1[[#This Row],[Chemistry 
Score]],Table1[[#This Row],[Biology 
Score]],Table1[[#This Row],[English 
Score]],Table1[[#This Row],[Geography 
Score]])</f>
        <v>633</v>
      </c>
      <c r="AA1862" s="3">
        <f>AVERAGE(Table1[[#This Row],[Math 
Score]],Table1[[#This Row],[History 
Score]],Table1[[#This Row],[Physics 
Score]],Table1[[#This Row],[Chemistry 
Score]],Table1[[#This Row],[Biology 
Score]],Table1[[#This Row],[English 
Score]],Table1[[#This Row],[Geography 
Score]])</f>
        <v>90.428571428571431</v>
      </c>
      <c r="AB186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862">
        <f t="shared" si="29"/>
        <v>137</v>
      </c>
      <c r="AD1862" t="str">
        <f>_xlfn.IFS(Table1[[#This Row],[Absence 
Days]]&lt;3,"Excellent",Table1[[#This Row],[Absence 
Days]]&lt;=6,"Good",Table1[[#This Row],[Absence 
Days]]&gt;6,"Poor")</f>
        <v>Excellent</v>
      </c>
    </row>
    <row r="1863" spans="1:30" x14ac:dyDescent="0.35">
      <c r="A1863">
        <v>1862</v>
      </c>
      <c r="B1863" s="2" t="s">
        <v>67</v>
      </c>
      <c r="C1863" t="s">
        <v>619</v>
      </c>
      <c r="D1863" t="str">
        <f>_xlfn.TEXTJOIN(" ",TRUE,Table1[[#This Row],[First 
Name]:[Last 
Name]])</f>
        <v>Rhonda Cook</v>
      </c>
      <c r="E1863" t="s">
        <v>2973</v>
      </c>
      <c r="F1863" t="s">
        <v>3245</v>
      </c>
      <c r="G1863" t="str">
        <f ca="1">PROPER(Table1[[#This Row],[Part Time 
Job]])</f>
        <v>False</v>
      </c>
      <c r="H1863" s="3">
        <v>0</v>
      </c>
      <c r="I1863" t="str">
        <f ca="1">PROPER(Table1[[#This Row],[Extracurricular 
Activities]])</f>
        <v>False</v>
      </c>
      <c r="J1863">
        <v>3</v>
      </c>
      <c r="K1863" t="s">
        <v>3114</v>
      </c>
      <c r="L1863">
        <v>91</v>
      </c>
      <c r="M1863" s="12" t="str" cm="1">
        <f t="array" ref="M186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863">
        <v>97</v>
      </c>
      <c r="O1863" s="13" t="str" cm="1">
        <f t="array" ref="O186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863">
        <v>72</v>
      </c>
      <c r="Q1863" s="13" t="str" cm="1">
        <f t="array" ref="Q186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863">
        <v>62</v>
      </c>
      <c r="S1863" t="str" cm="1">
        <f t="array" ref="S186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863">
        <v>86</v>
      </c>
      <c r="U1863" t="str" cm="1">
        <f t="array" ref="U186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863">
        <v>78</v>
      </c>
      <c r="W1863" t="str" cm="1">
        <f t="array" ref="W186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863">
        <v>72</v>
      </c>
      <c r="Y1863" t="str" cm="1">
        <f t="array" ref="Y186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863">
        <f>SUM(Table1[[#This Row],[Math 
Score]],Table1[[#This Row],[History 
Score]],Table1[[#This Row],[Physics 
Score]],Table1[[#This Row],[Chemistry 
Score]],Table1[[#This Row],[Biology 
Score]],Table1[[#This Row],[English 
Score]],Table1[[#This Row],[Geography 
Score]])</f>
        <v>558</v>
      </c>
      <c r="AA1863" s="3">
        <f>AVERAGE(Table1[[#This Row],[Math 
Score]],Table1[[#This Row],[History 
Score]],Table1[[#This Row],[Physics 
Score]],Table1[[#This Row],[Chemistry 
Score]],Table1[[#This Row],[Biology 
Score]],Table1[[#This Row],[English 
Score]],Table1[[#This Row],[Geography 
Score]])</f>
        <v>79.714285714285708</v>
      </c>
      <c r="AB186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863">
        <f t="shared" si="29"/>
        <v>1178</v>
      </c>
      <c r="AD1863" t="str">
        <f>_xlfn.IFS(Table1[[#This Row],[Absence 
Days]]&lt;3,"Excellent",Table1[[#This Row],[Absence 
Days]]&lt;=6,"Good",Table1[[#This Row],[Absence 
Days]]&gt;6,"Poor")</f>
        <v>Excellent</v>
      </c>
    </row>
    <row r="1864" spans="1:30" x14ac:dyDescent="0.35">
      <c r="A1864">
        <v>1863</v>
      </c>
      <c r="B1864" s="2" t="s">
        <v>162</v>
      </c>
      <c r="C1864" t="s">
        <v>998</v>
      </c>
      <c r="D1864" t="str">
        <f>_xlfn.TEXTJOIN(" ",TRUE,Table1[[#This Row],[First 
Name]:[Last 
Name]])</f>
        <v>Nathan Fitzpatrick</v>
      </c>
      <c r="E1864" t="s">
        <v>2974</v>
      </c>
      <c r="F1864" t="s">
        <v>3244</v>
      </c>
      <c r="G1864" t="str">
        <f ca="1">PROPER(Table1[[#This Row],[Part Time 
Job]])</f>
        <v>False</v>
      </c>
      <c r="H1864" s="3">
        <v>1</v>
      </c>
      <c r="I1864" t="str">
        <f ca="1">PROPER(Table1[[#This Row],[Extracurricular 
Activities]])</f>
        <v>False</v>
      </c>
      <c r="J1864">
        <v>14</v>
      </c>
      <c r="K1864" t="s">
        <v>3121</v>
      </c>
      <c r="L1864">
        <v>91</v>
      </c>
      <c r="M1864" s="12" t="str" cm="1">
        <f t="array" ref="M186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864">
        <v>65</v>
      </c>
      <c r="O1864" s="13" t="str" cm="1">
        <f t="array" ref="O186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864">
        <v>75</v>
      </c>
      <c r="Q1864" s="13" t="str" cm="1">
        <f t="array" ref="Q186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864">
        <v>60</v>
      </c>
      <c r="S1864" t="str" cm="1">
        <f t="array" ref="S186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864">
        <v>93</v>
      </c>
      <c r="U1864" t="str" cm="1">
        <f t="array" ref="U186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864">
        <v>79</v>
      </c>
      <c r="W1864" t="str" cm="1">
        <f t="array" ref="W186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864">
        <v>82</v>
      </c>
      <c r="Y1864" t="str" cm="1">
        <f t="array" ref="Y186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864">
        <f>SUM(Table1[[#This Row],[Math 
Score]],Table1[[#This Row],[History 
Score]],Table1[[#This Row],[Physics 
Score]],Table1[[#This Row],[Chemistry 
Score]],Table1[[#This Row],[Biology 
Score]],Table1[[#This Row],[English 
Score]],Table1[[#This Row],[Geography 
Score]])</f>
        <v>545</v>
      </c>
      <c r="AA1864" s="3">
        <f>AVERAGE(Table1[[#This Row],[Math 
Score]],Table1[[#This Row],[History 
Score]],Table1[[#This Row],[Physics 
Score]],Table1[[#This Row],[Chemistry 
Score]],Table1[[#This Row],[Biology 
Score]],Table1[[#This Row],[English 
Score]],Table1[[#This Row],[Geography 
Score]])</f>
        <v>77.857142857142861</v>
      </c>
      <c r="AB186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864">
        <f t="shared" si="29"/>
        <v>1432</v>
      </c>
      <c r="AD1864" t="str">
        <f>_xlfn.IFS(Table1[[#This Row],[Absence 
Days]]&lt;3,"Excellent",Table1[[#This Row],[Absence 
Days]]&lt;=6,"Good",Table1[[#This Row],[Absence 
Days]]&gt;6,"Poor")</f>
        <v>Excellent</v>
      </c>
    </row>
    <row r="1865" spans="1:30" x14ac:dyDescent="0.35">
      <c r="A1865">
        <v>1864</v>
      </c>
      <c r="B1865" s="2" t="s">
        <v>124</v>
      </c>
      <c r="C1865" t="s">
        <v>433</v>
      </c>
      <c r="D1865" t="str">
        <f>_xlfn.TEXTJOIN(" ",TRUE,Table1[[#This Row],[First 
Name]:[Last 
Name]])</f>
        <v>John Mitchell</v>
      </c>
      <c r="E1865" t="s">
        <v>2975</v>
      </c>
      <c r="F1865" t="s">
        <v>3244</v>
      </c>
      <c r="G1865" t="str">
        <f ca="1">PROPER(Table1[[#This Row],[Part Time 
Job]])</f>
        <v>False</v>
      </c>
      <c r="H1865" s="3">
        <v>9</v>
      </c>
      <c r="I1865" t="str">
        <f ca="1">PROPER(Table1[[#This Row],[Extracurricular 
Activities]])</f>
        <v>False</v>
      </c>
      <c r="J1865">
        <v>12</v>
      </c>
      <c r="K1865" t="s">
        <v>3122</v>
      </c>
      <c r="L1865">
        <v>81</v>
      </c>
      <c r="M1865" s="12" t="str" cm="1">
        <f t="array" ref="M186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865">
        <v>72</v>
      </c>
      <c r="O1865" s="13" t="str" cm="1">
        <f t="array" ref="O186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865">
        <v>87</v>
      </c>
      <c r="Q1865" s="13" t="str" cm="1">
        <f t="array" ref="Q186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865">
        <v>84</v>
      </c>
      <c r="S1865" t="str" cm="1">
        <f t="array" ref="S186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865">
        <v>97</v>
      </c>
      <c r="U1865" t="str" cm="1">
        <f t="array" ref="U186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865">
        <v>94</v>
      </c>
      <c r="W1865" t="str" cm="1">
        <f t="array" ref="W186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865">
        <v>89</v>
      </c>
      <c r="Y1865" t="str" cm="1">
        <f t="array" ref="Y186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865">
        <f>SUM(Table1[[#This Row],[Math 
Score]],Table1[[#This Row],[History 
Score]],Table1[[#This Row],[Physics 
Score]],Table1[[#This Row],[Chemistry 
Score]],Table1[[#This Row],[Biology 
Score]],Table1[[#This Row],[English 
Score]],Table1[[#This Row],[Geography 
Score]])</f>
        <v>604</v>
      </c>
      <c r="AA1865" s="3">
        <f>AVERAGE(Table1[[#This Row],[Math 
Score]],Table1[[#This Row],[History 
Score]],Table1[[#This Row],[Physics 
Score]],Table1[[#This Row],[Chemistry 
Score]],Table1[[#This Row],[Biology 
Score]],Table1[[#This Row],[English 
Score]],Table1[[#This Row],[Geography 
Score]])</f>
        <v>86.285714285714292</v>
      </c>
      <c r="AB186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865">
        <f t="shared" si="29"/>
        <v>353</v>
      </c>
      <c r="AD1865" t="str">
        <f>_xlfn.IFS(Table1[[#This Row],[Absence 
Days]]&lt;3,"Excellent",Table1[[#This Row],[Absence 
Days]]&lt;=6,"Good",Table1[[#This Row],[Absence 
Days]]&gt;6,"Poor")</f>
        <v>Poor</v>
      </c>
    </row>
    <row r="1866" spans="1:30" x14ac:dyDescent="0.35">
      <c r="A1866">
        <v>1865</v>
      </c>
      <c r="B1866" s="2" t="s">
        <v>43</v>
      </c>
      <c r="C1866" t="s">
        <v>1055</v>
      </c>
      <c r="D1866" t="str">
        <f>_xlfn.TEXTJOIN(" ",TRUE,Table1[[#This Row],[First 
Name]:[Last 
Name]])</f>
        <v>Billy Compton</v>
      </c>
      <c r="E1866" t="s">
        <v>2976</v>
      </c>
      <c r="F1866" t="s">
        <v>3244</v>
      </c>
      <c r="G1866" t="str">
        <f ca="1">PROPER(Table1[[#This Row],[Part Time 
Job]])</f>
        <v>False</v>
      </c>
      <c r="H1866" s="3">
        <v>1</v>
      </c>
      <c r="I1866" t="str">
        <f ca="1">PROPER(Table1[[#This Row],[Extracurricular 
Activities]])</f>
        <v>False</v>
      </c>
      <c r="J1866">
        <v>18</v>
      </c>
      <c r="K1866" t="s">
        <v>3117</v>
      </c>
      <c r="L1866">
        <v>92</v>
      </c>
      <c r="M1866" s="12" t="str" cm="1">
        <f t="array" ref="M186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866">
        <v>99</v>
      </c>
      <c r="O1866" s="13" t="str" cm="1">
        <f t="array" ref="O186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866">
        <v>100</v>
      </c>
      <c r="Q1866" s="13" t="str" cm="1">
        <f t="array" ref="Q186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866">
        <v>64</v>
      </c>
      <c r="S1866" t="str" cm="1">
        <f t="array" ref="S186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866">
        <v>100</v>
      </c>
      <c r="U1866" t="str" cm="1">
        <f t="array" ref="U186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866">
        <v>65</v>
      </c>
      <c r="W1866" t="str" cm="1">
        <f t="array" ref="W186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866">
        <v>99</v>
      </c>
      <c r="Y1866" t="str" cm="1">
        <f t="array" ref="Y186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866">
        <f>SUM(Table1[[#This Row],[Math 
Score]],Table1[[#This Row],[History 
Score]],Table1[[#This Row],[Physics 
Score]],Table1[[#This Row],[Chemistry 
Score]],Table1[[#This Row],[Biology 
Score]],Table1[[#This Row],[English 
Score]],Table1[[#This Row],[Geography 
Score]])</f>
        <v>619</v>
      </c>
      <c r="AA1866" s="3">
        <f>AVERAGE(Table1[[#This Row],[Math 
Score]],Table1[[#This Row],[History 
Score]],Table1[[#This Row],[Physics 
Score]],Table1[[#This Row],[Chemistry 
Score]],Table1[[#This Row],[Biology 
Score]],Table1[[#This Row],[English 
Score]],Table1[[#This Row],[Geography 
Score]])</f>
        <v>88.428571428571431</v>
      </c>
      <c r="AB186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866">
        <f t="shared" si="29"/>
        <v>221</v>
      </c>
      <c r="AD1866" t="str">
        <f>_xlfn.IFS(Table1[[#This Row],[Absence 
Days]]&lt;3,"Excellent",Table1[[#This Row],[Absence 
Days]]&lt;=6,"Good",Table1[[#This Row],[Absence 
Days]]&gt;6,"Poor")</f>
        <v>Excellent</v>
      </c>
    </row>
    <row r="1867" spans="1:30" x14ac:dyDescent="0.35">
      <c r="A1867">
        <v>1866</v>
      </c>
      <c r="B1867" s="2" t="s">
        <v>235</v>
      </c>
      <c r="C1867" t="s">
        <v>474</v>
      </c>
      <c r="D1867" t="str">
        <f>_xlfn.TEXTJOIN(" ",TRUE,Table1[[#This Row],[First 
Name]:[Last 
Name]])</f>
        <v>Richard Chavez</v>
      </c>
      <c r="E1867" t="s">
        <v>2977</v>
      </c>
      <c r="F1867" t="s">
        <v>3244</v>
      </c>
      <c r="G1867" t="str">
        <f ca="1">PROPER(Table1[[#This Row],[Part Time 
Job]])</f>
        <v>False</v>
      </c>
      <c r="H1867" s="3">
        <v>5</v>
      </c>
      <c r="I1867" t="str">
        <f ca="1">PROPER(Table1[[#This Row],[Extracurricular 
Activities]])</f>
        <v>False</v>
      </c>
      <c r="J1867">
        <v>4</v>
      </c>
      <c r="K1867" t="s">
        <v>3119</v>
      </c>
      <c r="L1867">
        <v>85</v>
      </c>
      <c r="M1867" s="12" t="str" cm="1">
        <f t="array" ref="M186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867">
        <v>53</v>
      </c>
      <c r="O1867" s="13" t="str" cm="1">
        <f t="array" ref="O186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C</v>
      </c>
      <c r="P1867">
        <v>95</v>
      </c>
      <c r="Q1867" s="13" t="str" cm="1">
        <f t="array" ref="Q186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867">
        <v>76</v>
      </c>
      <c r="S1867" t="str" cm="1">
        <f t="array" ref="S186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867">
        <v>61</v>
      </c>
      <c r="U1867" t="str" cm="1">
        <f t="array" ref="U186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867">
        <v>88</v>
      </c>
      <c r="W1867" t="str" cm="1">
        <f t="array" ref="W186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867">
        <v>82</v>
      </c>
      <c r="Y1867" t="str" cm="1">
        <f t="array" ref="Y186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867">
        <f>SUM(Table1[[#This Row],[Math 
Score]],Table1[[#This Row],[History 
Score]],Table1[[#This Row],[Physics 
Score]],Table1[[#This Row],[Chemistry 
Score]],Table1[[#This Row],[Biology 
Score]],Table1[[#This Row],[English 
Score]],Table1[[#This Row],[Geography 
Score]])</f>
        <v>540</v>
      </c>
      <c r="AA1867" s="3">
        <f>AVERAGE(Table1[[#This Row],[Math 
Score]],Table1[[#This Row],[History 
Score]],Table1[[#This Row],[Physics 
Score]],Table1[[#This Row],[Chemistry 
Score]],Table1[[#This Row],[Biology 
Score]],Table1[[#This Row],[English 
Score]],Table1[[#This Row],[Geography 
Score]])</f>
        <v>77.142857142857139</v>
      </c>
      <c r="AB186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867">
        <f t="shared" si="29"/>
        <v>1513</v>
      </c>
      <c r="AD1867" t="str">
        <f>_xlfn.IFS(Table1[[#This Row],[Absence 
Days]]&lt;3,"Excellent",Table1[[#This Row],[Absence 
Days]]&lt;=6,"Good",Table1[[#This Row],[Absence 
Days]]&gt;6,"Poor")</f>
        <v>Good</v>
      </c>
    </row>
    <row r="1868" spans="1:30" x14ac:dyDescent="0.35">
      <c r="A1868">
        <v>1867</v>
      </c>
      <c r="B1868" s="2" t="s">
        <v>108</v>
      </c>
      <c r="C1868" t="s">
        <v>1100</v>
      </c>
      <c r="D1868" t="str">
        <f>_xlfn.TEXTJOIN(" ",TRUE,Table1[[#This Row],[First 
Name]:[Last 
Name]])</f>
        <v>Victor Andrade</v>
      </c>
      <c r="E1868" t="s">
        <v>2978</v>
      </c>
      <c r="F1868" t="s">
        <v>3244</v>
      </c>
      <c r="G1868" t="str">
        <f ca="1">PROPER(Table1[[#This Row],[Part Time 
Job]])</f>
        <v>False</v>
      </c>
      <c r="H1868" s="3">
        <v>1</v>
      </c>
      <c r="I1868" t="str">
        <f ca="1">PROPER(Table1[[#This Row],[Extracurricular 
Activities]])</f>
        <v>False</v>
      </c>
      <c r="J1868">
        <v>34</v>
      </c>
      <c r="K1868" t="s">
        <v>3125</v>
      </c>
      <c r="L1868">
        <v>83</v>
      </c>
      <c r="M1868" s="12" t="str" cm="1">
        <f t="array" ref="M186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868">
        <v>60</v>
      </c>
      <c r="O1868" s="13" t="str" cm="1">
        <f t="array" ref="O186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868">
        <v>80</v>
      </c>
      <c r="Q1868" s="13" t="str" cm="1">
        <f t="array" ref="Q186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868">
        <v>92</v>
      </c>
      <c r="S1868" t="str" cm="1">
        <f t="array" ref="S186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868">
        <v>84</v>
      </c>
      <c r="U1868" t="str" cm="1">
        <f t="array" ref="U186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868">
        <v>60</v>
      </c>
      <c r="W1868" t="str" cm="1">
        <f t="array" ref="W186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868">
        <v>70</v>
      </c>
      <c r="Y1868" t="str" cm="1">
        <f t="array" ref="Y186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868">
        <f>SUM(Table1[[#This Row],[Math 
Score]],Table1[[#This Row],[History 
Score]],Table1[[#This Row],[Physics 
Score]],Table1[[#This Row],[Chemistry 
Score]],Table1[[#This Row],[Biology 
Score]],Table1[[#This Row],[English 
Score]],Table1[[#This Row],[Geography 
Score]])</f>
        <v>529</v>
      </c>
      <c r="AA1868" s="3">
        <f>AVERAGE(Table1[[#This Row],[Math 
Score]],Table1[[#This Row],[History 
Score]],Table1[[#This Row],[Physics 
Score]],Table1[[#This Row],[Chemistry 
Score]],Table1[[#This Row],[Biology 
Score]],Table1[[#This Row],[English 
Score]],Table1[[#This Row],[Geography 
Score]])</f>
        <v>75.571428571428569</v>
      </c>
      <c r="AB186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868">
        <f t="shared" si="29"/>
        <v>1664</v>
      </c>
      <c r="AD1868" t="str">
        <f>_xlfn.IFS(Table1[[#This Row],[Absence 
Days]]&lt;3,"Excellent",Table1[[#This Row],[Absence 
Days]]&lt;=6,"Good",Table1[[#This Row],[Absence 
Days]]&gt;6,"Poor")</f>
        <v>Excellent</v>
      </c>
    </row>
    <row r="1869" spans="1:30" x14ac:dyDescent="0.35">
      <c r="A1869">
        <v>1868</v>
      </c>
      <c r="B1869" s="2" t="s">
        <v>257</v>
      </c>
      <c r="C1869" t="s">
        <v>326</v>
      </c>
      <c r="D1869" t="str">
        <f>_xlfn.TEXTJOIN(" ",TRUE,Table1[[#This Row],[First 
Name]:[Last 
Name]])</f>
        <v>Gregory Lee</v>
      </c>
      <c r="E1869" t="s">
        <v>2979</v>
      </c>
      <c r="F1869" t="s">
        <v>3244</v>
      </c>
      <c r="G1869" t="str">
        <f ca="1">PROPER(Table1[[#This Row],[Part Time 
Job]])</f>
        <v>False</v>
      </c>
      <c r="H1869" s="3">
        <v>2</v>
      </c>
      <c r="I1869" t="str">
        <f ca="1">PROPER(Table1[[#This Row],[Extracurricular 
Activities]])</f>
        <v>False</v>
      </c>
      <c r="J1869">
        <v>21</v>
      </c>
      <c r="K1869" t="s">
        <v>3116</v>
      </c>
      <c r="L1869">
        <v>92</v>
      </c>
      <c r="M1869" s="12" t="str" cm="1">
        <f t="array" ref="M186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869">
        <v>85</v>
      </c>
      <c r="O1869" s="13" t="str" cm="1">
        <f t="array" ref="O186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869">
        <v>78</v>
      </c>
      <c r="Q1869" s="13" t="str" cm="1">
        <f t="array" ref="Q186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869">
        <v>87</v>
      </c>
      <c r="S1869" t="str" cm="1">
        <f t="array" ref="S186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869">
        <v>64</v>
      </c>
      <c r="U1869" t="str" cm="1">
        <f t="array" ref="U186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869">
        <v>79</v>
      </c>
      <c r="W1869" t="str" cm="1">
        <f t="array" ref="W186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869">
        <v>74</v>
      </c>
      <c r="Y1869" t="str" cm="1">
        <f t="array" ref="Y186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869">
        <f>SUM(Table1[[#This Row],[Math 
Score]],Table1[[#This Row],[History 
Score]],Table1[[#This Row],[Physics 
Score]],Table1[[#This Row],[Chemistry 
Score]],Table1[[#This Row],[Biology 
Score]],Table1[[#This Row],[English 
Score]],Table1[[#This Row],[Geography 
Score]])</f>
        <v>559</v>
      </c>
      <c r="AA1869" s="3">
        <f>AVERAGE(Table1[[#This Row],[Math 
Score]],Table1[[#This Row],[History 
Score]],Table1[[#This Row],[Physics 
Score]],Table1[[#This Row],[Chemistry 
Score]],Table1[[#This Row],[Biology 
Score]],Table1[[#This Row],[English 
Score]],Table1[[#This Row],[Geography 
Score]])</f>
        <v>79.857142857142861</v>
      </c>
      <c r="AB186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869">
        <f t="shared" si="29"/>
        <v>1155</v>
      </c>
      <c r="AD1869" t="str">
        <f>_xlfn.IFS(Table1[[#This Row],[Absence 
Days]]&lt;3,"Excellent",Table1[[#This Row],[Absence 
Days]]&lt;=6,"Good",Table1[[#This Row],[Absence 
Days]]&gt;6,"Poor")</f>
        <v>Excellent</v>
      </c>
    </row>
    <row r="1870" spans="1:30" x14ac:dyDescent="0.35">
      <c r="A1870">
        <v>1869</v>
      </c>
      <c r="B1870" s="2" t="s">
        <v>87</v>
      </c>
      <c r="C1870" t="s">
        <v>987</v>
      </c>
      <c r="D1870" t="str">
        <f>_xlfn.TEXTJOIN(" ",TRUE,Table1[[#This Row],[First 
Name]:[Last 
Name]])</f>
        <v>Alexandra Blackburn</v>
      </c>
      <c r="E1870" t="s">
        <v>2980</v>
      </c>
      <c r="F1870" t="s">
        <v>3245</v>
      </c>
      <c r="G1870" t="str">
        <f ca="1">PROPER(Table1[[#This Row],[Part Time 
Job]])</f>
        <v>False</v>
      </c>
      <c r="H1870" s="3">
        <v>3</v>
      </c>
      <c r="I1870" t="str">
        <f ca="1">PROPER(Table1[[#This Row],[Extracurricular 
Activities]])</f>
        <v>True</v>
      </c>
      <c r="J1870">
        <v>5</v>
      </c>
      <c r="K1870" t="s">
        <v>3128</v>
      </c>
      <c r="L1870">
        <v>80</v>
      </c>
      <c r="M1870" s="12" t="str" cm="1">
        <f t="array" ref="M187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870">
        <v>88</v>
      </c>
      <c r="O1870" s="13" t="str" cm="1">
        <f t="array" ref="O187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870">
        <v>94</v>
      </c>
      <c r="Q1870" s="13" t="str" cm="1">
        <f t="array" ref="Q187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870">
        <v>60</v>
      </c>
      <c r="S1870" t="str" cm="1">
        <f t="array" ref="S187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870">
        <v>65</v>
      </c>
      <c r="U1870" t="str" cm="1">
        <f t="array" ref="U187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870">
        <v>63</v>
      </c>
      <c r="W1870" t="str" cm="1">
        <f t="array" ref="W187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870">
        <v>91</v>
      </c>
      <c r="Y1870" t="str" cm="1">
        <f t="array" ref="Y187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870">
        <f>SUM(Table1[[#This Row],[Math 
Score]],Table1[[#This Row],[History 
Score]],Table1[[#This Row],[Physics 
Score]],Table1[[#This Row],[Chemistry 
Score]],Table1[[#This Row],[Biology 
Score]],Table1[[#This Row],[English 
Score]],Table1[[#This Row],[Geography 
Score]])</f>
        <v>541</v>
      </c>
      <c r="AA1870" s="3">
        <f>AVERAGE(Table1[[#This Row],[Math 
Score]],Table1[[#This Row],[History 
Score]],Table1[[#This Row],[Physics 
Score]],Table1[[#This Row],[Chemistry 
Score]],Table1[[#This Row],[Biology 
Score]],Table1[[#This Row],[English 
Score]],Table1[[#This Row],[Geography 
Score]])</f>
        <v>77.285714285714292</v>
      </c>
      <c r="AB187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870">
        <f t="shared" si="29"/>
        <v>1493</v>
      </c>
      <c r="AD1870" t="str">
        <f>_xlfn.IFS(Table1[[#This Row],[Absence 
Days]]&lt;3,"Excellent",Table1[[#This Row],[Absence 
Days]]&lt;=6,"Good",Table1[[#This Row],[Absence 
Days]]&gt;6,"Poor")</f>
        <v>Good</v>
      </c>
    </row>
    <row r="1871" spans="1:30" x14ac:dyDescent="0.35">
      <c r="A1871">
        <v>1870</v>
      </c>
      <c r="B1871" s="2" t="s">
        <v>447</v>
      </c>
      <c r="C1871" t="s">
        <v>761</v>
      </c>
      <c r="D1871" t="str">
        <f>_xlfn.TEXTJOIN(" ",TRUE,Table1[[#This Row],[First 
Name]:[Last 
Name]])</f>
        <v>Kristopher Murray</v>
      </c>
      <c r="E1871" t="s">
        <v>2981</v>
      </c>
      <c r="F1871" t="s">
        <v>3244</v>
      </c>
      <c r="G1871" t="str">
        <f ca="1">PROPER(Table1[[#This Row],[Part Time 
Job]])</f>
        <v>False</v>
      </c>
      <c r="H1871" s="3">
        <v>1</v>
      </c>
      <c r="I1871" t="str">
        <f ca="1">PROPER(Table1[[#This Row],[Extracurricular 
Activities]])</f>
        <v>True</v>
      </c>
      <c r="J1871">
        <v>16</v>
      </c>
      <c r="K1871" t="s">
        <v>3123</v>
      </c>
      <c r="L1871">
        <v>87</v>
      </c>
      <c r="M1871" s="12" t="str" cm="1">
        <f t="array" ref="M187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871">
        <v>81</v>
      </c>
      <c r="O1871" s="13" t="str" cm="1">
        <f t="array" ref="O187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871">
        <v>69</v>
      </c>
      <c r="Q1871" s="13" t="str" cm="1">
        <f t="array" ref="Q187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871">
        <v>82</v>
      </c>
      <c r="S1871" t="str" cm="1">
        <f t="array" ref="S187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871">
        <v>70</v>
      </c>
      <c r="U1871" t="str" cm="1">
        <f t="array" ref="U187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871">
        <v>62</v>
      </c>
      <c r="W1871" t="str" cm="1">
        <f t="array" ref="W187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871">
        <v>66</v>
      </c>
      <c r="Y1871" t="str" cm="1">
        <f t="array" ref="Y187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871">
        <f>SUM(Table1[[#This Row],[Math 
Score]],Table1[[#This Row],[History 
Score]],Table1[[#This Row],[Physics 
Score]],Table1[[#This Row],[Chemistry 
Score]],Table1[[#This Row],[Biology 
Score]],Table1[[#This Row],[English 
Score]],Table1[[#This Row],[Geography 
Score]])</f>
        <v>517</v>
      </c>
      <c r="AA1871" s="3">
        <f>AVERAGE(Table1[[#This Row],[Math 
Score]],Table1[[#This Row],[History 
Score]],Table1[[#This Row],[Physics 
Score]],Table1[[#This Row],[Chemistry 
Score]],Table1[[#This Row],[Biology 
Score]],Table1[[#This Row],[English 
Score]],Table1[[#This Row],[Geography 
Score]])</f>
        <v>73.857142857142861</v>
      </c>
      <c r="AB187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871">
        <f t="shared" si="29"/>
        <v>1781</v>
      </c>
      <c r="AD1871" t="str">
        <f>_xlfn.IFS(Table1[[#This Row],[Absence 
Days]]&lt;3,"Excellent",Table1[[#This Row],[Absence 
Days]]&lt;=6,"Good",Table1[[#This Row],[Absence 
Days]]&gt;6,"Poor")</f>
        <v>Excellent</v>
      </c>
    </row>
    <row r="1872" spans="1:30" x14ac:dyDescent="0.35">
      <c r="A1872">
        <v>1871</v>
      </c>
      <c r="B1872" s="2" t="s">
        <v>179</v>
      </c>
      <c r="C1872" t="s">
        <v>1068</v>
      </c>
      <c r="D1872" t="str">
        <f>_xlfn.TEXTJOIN(" ",TRUE,Table1[[#This Row],[First 
Name]:[Last 
Name]])</f>
        <v>Wanda Pearson</v>
      </c>
      <c r="E1872" t="s">
        <v>2982</v>
      </c>
      <c r="F1872" t="s">
        <v>3245</v>
      </c>
      <c r="G1872" t="str">
        <f ca="1">PROPER(Table1[[#This Row],[Part Time 
Job]])</f>
        <v>False</v>
      </c>
      <c r="H1872" s="3">
        <v>0</v>
      </c>
      <c r="I1872" t="str">
        <f ca="1">PROPER(Table1[[#This Row],[Extracurricular 
Activities]])</f>
        <v>False</v>
      </c>
      <c r="J1872">
        <v>31</v>
      </c>
      <c r="K1872" t="s">
        <v>3120</v>
      </c>
      <c r="L1872">
        <v>88</v>
      </c>
      <c r="M1872" s="12" t="str" cm="1">
        <f t="array" ref="M187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872">
        <v>61</v>
      </c>
      <c r="O1872" s="13" t="str" cm="1">
        <f t="array" ref="O187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872">
        <v>95</v>
      </c>
      <c r="Q1872" s="13" t="str" cm="1">
        <f t="array" ref="Q187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872">
        <v>91</v>
      </c>
      <c r="S1872" t="str" cm="1">
        <f t="array" ref="S187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872">
        <v>99</v>
      </c>
      <c r="U1872" t="str" cm="1">
        <f t="array" ref="U187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872">
        <v>64</v>
      </c>
      <c r="W1872" t="str" cm="1">
        <f t="array" ref="W187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872">
        <v>90</v>
      </c>
      <c r="Y1872" t="str" cm="1">
        <f t="array" ref="Y187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872">
        <f>SUM(Table1[[#This Row],[Math 
Score]],Table1[[#This Row],[History 
Score]],Table1[[#This Row],[Physics 
Score]],Table1[[#This Row],[Chemistry 
Score]],Table1[[#This Row],[Biology 
Score]],Table1[[#This Row],[English 
Score]],Table1[[#This Row],[Geography 
Score]])</f>
        <v>588</v>
      </c>
      <c r="AA1872" s="3">
        <f>AVERAGE(Table1[[#This Row],[Math 
Score]],Table1[[#This Row],[History 
Score]],Table1[[#This Row],[Physics 
Score]],Table1[[#This Row],[Chemistry 
Score]],Table1[[#This Row],[Biology 
Score]],Table1[[#This Row],[English 
Score]],Table1[[#This Row],[Geography 
Score]])</f>
        <v>84</v>
      </c>
      <c r="AB187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872">
        <f t="shared" si="29"/>
        <v>565</v>
      </c>
      <c r="AD1872" t="str">
        <f>_xlfn.IFS(Table1[[#This Row],[Absence 
Days]]&lt;3,"Excellent",Table1[[#This Row],[Absence 
Days]]&lt;=6,"Good",Table1[[#This Row],[Absence 
Days]]&gt;6,"Poor")</f>
        <v>Excellent</v>
      </c>
    </row>
    <row r="1873" spans="1:30" x14ac:dyDescent="0.35">
      <c r="A1873">
        <v>1872</v>
      </c>
      <c r="B1873" s="2" t="s">
        <v>118</v>
      </c>
      <c r="C1873" t="s">
        <v>1091</v>
      </c>
      <c r="D1873" t="str">
        <f>_xlfn.TEXTJOIN(" ",TRUE,Table1[[#This Row],[First 
Name]:[Last 
Name]])</f>
        <v>Denise Rose</v>
      </c>
      <c r="E1873" t="s">
        <v>2983</v>
      </c>
      <c r="F1873" t="s">
        <v>3245</v>
      </c>
      <c r="G1873" t="str">
        <f ca="1">PROPER(Table1[[#This Row],[Part Time 
Job]])</f>
        <v>True</v>
      </c>
      <c r="H1873" s="3">
        <v>6</v>
      </c>
      <c r="I1873" t="str">
        <f ca="1">PROPER(Table1[[#This Row],[Extracurricular 
Activities]])</f>
        <v>False</v>
      </c>
      <c r="J1873">
        <v>1</v>
      </c>
      <c r="K1873" t="s">
        <v>3119</v>
      </c>
      <c r="L1873">
        <v>41</v>
      </c>
      <c r="M1873" s="12" t="str" cm="1">
        <f t="array" ref="M1873">_xlfn.IFS(Table1[[#This Row],[Math 
Score]]&gt;=90,"A+",Table1[[#This Row],[Math 
Score]]&gt;=80,"A", Table1[[#This Row],[Math 
Score]]&gt;=75,"A-",Table1[[#This Row],[Math 
Score]]&gt;=70,"B+",Table1[[#This Row],[Math 
Score]]&gt;=65,"B",Table1[[#This Row],[Math 
Score]]&gt;=60,"B-",Table1[[#This Row],[Math 
Score]]&gt;=50,"C",Table1[[#This Row],[Math 
Score]]&gt;=40,"D",Table1[[#This Row],[Math 
Score]]&lt;40,"F")</f>
        <v>D</v>
      </c>
      <c r="N1873">
        <v>83</v>
      </c>
      <c r="O1873" s="13" t="str" cm="1">
        <f t="array" ref="O187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873">
        <v>54</v>
      </c>
      <c r="Q1873" s="13" t="str" cm="1">
        <f t="array" ref="Q187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C</v>
      </c>
      <c r="R1873">
        <v>87</v>
      </c>
      <c r="S1873" t="str" cm="1">
        <f t="array" ref="S187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873">
        <v>97</v>
      </c>
      <c r="U1873" t="str" cm="1">
        <f t="array" ref="U187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873">
        <v>65</v>
      </c>
      <c r="W1873" t="str" cm="1">
        <f t="array" ref="W187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873">
        <v>69</v>
      </c>
      <c r="Y1873" t="str" cm="1">
        <f t="array" ref="Y187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873">
        <f>SUM(Table1[[#This Row],[Math 
Score]],Table1[[#This Row],[History 
Score]],Table1[[#This Row],[Physics 
Score]],Table1[[#This Row],[Chemistry 
Score]],Table1[[#This Row],[Biology 
Score]],Table1[[#This Row],[English 
Score]],Table1[[#This Row],[Geography 
Score]])</f>
        <v>496</v>
      </c>
      <c r="AA1873" s="3">
        <f>AVERAGE(Table1[[#This Row],[Math 
Score]],Table1[[#This Row],[History 
Score]],Table1[[#This Row],[Physics 
Score]],Table1[[#This Row],[Chemistry 
Score]],Table1[[#This Row],[Biology 
Score]],Table1[[#This Row],[English 
Score]],Table1[[#This Row],[Geography 
Score]])</f>
        <v>70.857142857142861</v>
      </c>
      <c r="AB187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873">
        <f t="shared" si="29"/>
        <v>1892</v>
      </c>
      <c r="AD1873" t="str">
        <f>_xlfn.IFS(Table1[[#This Row],[Absence 
Days]]&lt;3,"Excellent",Table1[[#This Row],[Absence 
Days]]&lt;=6,"Good",Table1[[#This Row],[Absence 
Days]]&gt;6,"Poor")</f>
        <v>Good</v>
      </c>
    </row>
    <row r="1874" spans="1:30" x14ac:dyDescent="0.35">
      <c r="A1874">
        <v>1873</v>
      </c>
      <c r="B1874" s="2" t="s">
        <v>93</v>
      </c>
      <c r="C1874" t="s">
        <v>781</v>
      </c>
      <c r="D1874" t="str">
        <f>_xlfn.TEXTJOIN(" ",TRUE,Table1[[#This Row],[First 
Name]:[Last 
Name]])</f>
        <v>Andrew Reed</v>
      </c>
      <c r="E1874" t="s">
        <v>2984</v>
      </c>
      <c r="F1874" t="s">
        <v>3244</v>
      </c>
      <c r="G1874" t="str">
        <f ca="1">PROPER(Table1[[#This Row],[Part Time 
Job]])</f>
        <v>False</v>
      </c>
      <c r="H1874" s="3">
        <v>3</v>
      </c>
      <c r="I1874" t="str">
        <f ca="1">PROPER(Table1[[#This Row],[Extracurricular 
Activities]])</f>
        <v>False</v>
      </c>
      <c r="J1874">
        <v>35</v>
      </c>
      <c r="K1874" t="s">
        <v>3121</v>
      </c>
      <c r="L1874">
        <v>87</v>
      </c>
      <c r="M1874" s="12" t="str" cm="1">
        <f t="array" ref="M187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874">
        <v>93</v>
      </c>
      <c r="O1874" s="13" t="str" cm="1">
        <f t="array" ref="O187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874">
        <v>88</v>
      </c>
      <c r="Q1874" s="13" t="str" cm="1">
        <f t="array" ref="Q187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874">
        <v>97</v>
      </c>
      <c r="S1874" t="str" cm="1">
        <f t="array" ref="S187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874">
        <v>91</v>
      </c>
      <c r="U1874" t="str" cm="1">
        <f t="array" ref="U187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874">
        <v>88</v>
      </c>
      <c r="W1874" t="str" cm="1">
        <f t="array" ref="W187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874">
        <v>88</v>
      </c>
      <c r="Y1874" t="str" cm="1">
        <f t="array" ref="Y187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874">
        <f>SUM(Table1[[#This Row],[Math 
Score]],Table1[[#This Row],[History 
Score]],Table1[[#This Row],[Physics 
Score]],Table1[[#This Row],[Chemistry 
Score]],Table1[[#This Row],[Biology 
Score]],Table1[[#This Row],[English 
Score]],Table1[[#This Row],[Geography 
Score]])</f>
        <v>632</v>
      </c>
      <c r="AA1874" s="3">
        <f>AVERAGE(Table1[[#This Row],[Math 
Score]],Table1[[#This Row],[History 
Score]],Table1[[#This Row],[Physics 
Score]],Table1[[#This Row],[Chemistry 
Score]],Table1[[#This Row],[Biology 
Score]],Table1[[#This Row],[English 
Score]],Table1[[#This Row],[Geography 
Score]])</f>
        <v>90.285714285714292</v>
      </c>
      <c r="AB187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874">
        <f t="shared" si="29"/>
        <v>143</v>
      </c>
      <c r="AD1874" t="str">
        <f>_xlfn.IFS(Table1[[#This Row],[Absence 
Days]]&lt;3,"Excellent",Table1[[#This Row],[Absence 
Days]]&lt;=6,"Good",Table1[[#This Row],[Absence 
Days]]&gt;6,"Poor")</f>
        <v>Good</v>
      </c>
    </row>
    <row r="1875" spans="1:30" x14ac:dyDescent="0.35">
      <c r="A1875">
        <v>1874</v>
      </c>
      <c r="B1875" s="2" t="s">
        <v>40</v>
      </c>
      <c r="C1875" t="s">
        <v>699</v>
      </c>
      <c r="D1875" t="str">
        <f>_xlfn.TEXTJOIN(" ",TRUE,Table1[[#This Row],[First 
Name]:[Last 
Name]])</f>
        <v>David Castro</v>
      </c>
      <c r="E1875" t="s">
        <v>2985</v>
      </c>
      <c r="F1875" t="s">
        <v>3244</v>
      </c>
      <c r="G1875" t="str">
        <f ca="1">PROPER(Table1[[#This Row],[Part Time 
Job]])</f>
        <v>False</v>
      </c>
      <c r="H1875" s="3">
        <v>1</v>
      </c>
      <c r="I1875" t="str">
        <f ca="1">PROPER(Table1[[#This Row],[Extracurricular 
Activities]])</f>
        <v>True</v>
      </c>
      <c r="J1875">
        <v>41</v>
      </c>
      <c r="K1875" t="s">
        <v>3113</v>
      </c>
      <c r="L1875">
        <v>89</v>
      </c>
      <c r="M1875" s="12" t="str" cm="1">
        <f t="array" ref="M187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875">
        <v>95</v>
      </c>
      <c r="O1875" s="13" t="str" cm="1">
        <f t="array" ref="O187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875">
        <v>97</v>
      </c>
      <c r="Q1875" s="13" t="str" cm="1">
        <f t="array" ref="Q187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875">
        <v>99</v>
      </c>
      <c r="S1875" t="str" cm="1">
        <f t="array" ref="S187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875">
        <v>87</v>
      </c>
      <c r="U1875" t="str" cm="1">
        <f t="array" ref="U187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875">
        <v>90</v>
      </c>
      <c r="W1875" t="str" cm="1">
        <f t="array" ref="W187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875">
        <v>91</v>
      </c>
      <c r="Y1875" t="str" cm="1">
        <f t="array" ref="Y187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875">
        <f>SUM(Table1[[#This Row],[Math 
Score]],Table1[[#This Row],[History 
Score]],Table1[[#This Row],[Physics 
Score]],Table1[[#This Row],[Chemistry 
Score]],Table1[[#This Row],[Biology 
Score]],Table1[[#This Row],[English 
Score]],Table1[[#This Row],[Geography 
Score]])</f>
        <v>648</v>
      </c>
      <c r="AA1875" s="3">
        <f>AVERAGE(Table1[[#This Row],[Math 
Score]],Table1[[#This Row],[History 
Score]],Table1[[#This Row],[Physics 
Score]],Table1[[#This Row],[Chemistry 
Score]],Table1[[#This Row],[Biology 
Score]],Table1[[#This Row],[English 
Score]],Table1[[#This Row],[Geography 
Score]])</f>
        <v>92.571428571428569</v>
      </c>
      <c r="AB187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875">
        <f t="shared" si="29"/>
        <v>65</v>
      </c>
      <c r="AD1875" t="str">
        <f>_xlfn.IFS(Table1[[#This Row],[Absence 
Days]]&lt;3,"Excellent",Table1[[#This Row],[Absence 
Days]]&lt;=6,"Good",Table1[[#This Row],[Absence 
Days]]&gt;6,"Poor")</f>
        <v>Excellent</v>
      </c>
    </row>
    <row r="1876" spans="1:30" x14ac:dyDescent="0.35">
      <c r="A1876">
        <v>1875</v>
      </c>
      <c r="B1876" s="2" t="s">
        <v>19</v>
      </c>
      <c r="C1876" t="s">
        <v>1097</v>
      </c>
      <c r="D1876" t="str">
        <f>_xlfn.TEXTJOIN(" ",TRUE,Table1[[#This Row],[First 
Name]:[Last 
Name]])</f>
        <v>Tim Duncan</v>
      </c>
      <c r="E1876" t="s">
        <v>2986</v>
      </c>
      <c r="F1876" t="s">
        <v>3244</v>
      </c>
      <c r="G1876" t="str">
        <f ca="1">PROPER(Table1[[#This Row],[Part Time 
Job]])</f>
        <v>True</v>
      </c>
      <c r="H1876" s="3">
        <v>5</v>
      </c>
      <c r="I1876" t="str">
        <f ca="1">PROPER(Table1[[#This Row],[Extracurricular 
Activities]])</f>
        <v>True</v>
      </c>
      <c r="J1876">
        <v>1</v>
      </c>
      <c r="K1876" t="s">
        <v>3119</v>
      </c>
      <c r="L1876">
        <v>89</v>
      </c>
      <c r="M1876" s="12" t="str" cm="1">
        <f t="array" ref="M187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876">
        <v>53</v>
      </c>
      <c r="O1876" s="13" t="str" cm="1">
        <f t="array" ref="O187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C</v>
      </c>
      <c r="P1876">
        <v>77</v>
      </c>
      <c r="Q1876" s="13" t="str" cm="1">
        <f t="array" ref="Q187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876">
        <v>96</v>
      </c>
      <c r="S1876" t="str" cm="1">
        <f t="array" ref="S187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876">
        <v>76</v>
      </c>
      <c r="U1876" t="str" cm="1">
        <f t="array" ref="U187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876">
        <v>63</v>
      </c>
      <c r="W1876" t="str" cm="1">
        <f t="array" ref="W187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876">
        <v>90</v>
      </c>
      <c r="Y1876" t="str" cm="1">
        <f t="array" ref="Y187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876">
        <f>SUM(Table1[[#This Row],[Math 
Score]],Table1[[#This Row],[History 
Score]],Table1[[#This Row],[Physics 
Score]],Table1[[#This Row],[Chemistry 
Score]],Table1[[#This Row],[Biology 
Score]],Table1[[#This Row],[English 
Score]],Table1[[#This Row],[Geography 
Score]])</f>
        <v>544</v>
      </c>
      <c r="AA1876" s="3">
        <f>AVERAGE(Table1[[#This Row],[Math 
Score]],Table1[[#This Row],[History 
Score]],Table1[[#This Row],[Physics 
Score]],Table1[[#This Row],[Chemistry 
Score]],Table1[[#This Row],[Biology 
Score]],Table1[[#This Row],[English 
Score]],Table1[[#This Row],[Geography 
Score]])</f>
        <v>77.714285714285708</v>
      </c>
      <c r="AB187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876">
        <f t="shared" si="29"/>
        <v>1446</v>
      </c>
      <c r="AD1876" t="str">
        <f>_xlfn.IFS(Table1[[#This Row],[Absence 
Days]]&lt;3,"Excellent",Table1[[#This Row],[Absence 
Days]]&lt;=6,"Good",Table1[[#This Row],[Absence 
Days]]&gt;6,"Poor")</f>
        <v>Good</v>
      </c>
    </row>
    <row r="1877" spans="1:30" x14ac:dyDescent="0.35">
      <c r="A1877">
        <v>1876</v>
      </c>
      <c r="B1877" s="2" t="s">
        <v>89</v>
      </c>
      <c r="C1877" t="s">
        <v>548</v>
      </c>
      <c r="D1877" t="str">
        <f>_xlfn.TEXTJOIN(" ",TRUE,Table1[[#This Row],[First 
Name]:[Last 
Name]])</f>
        <v>Joshua Walker</v>
      </c>
      <c r="E1877" t="s">
        <v>2987</v>
      </c>
      <c r="F1877" t="s">
        <v>3244</v>
      </c>
      <c r="G1877" t="str">
        <f ca="1">PROPER(Table1[[#This Row],[Part Time 
Job]])</f>
        <v>False</v>
      </c>
      <c r="H1877" s="3">
        <v>2</v>
      </c>
      <c r="I1877" t="str">
        <f ca="1">PROPER(Table1[[#This Row],[Extracurricular 
Activities]])</f>
        <v>False</v>
      </c>
      <c r="J1877">
        <v>6</v>
      </c>
      <c r="K1877" t="s">
        <v>3128</v>
      </c>
      <c r="L1877">
        <v>53</v>
      </c>
      <c r="M1877" s="12" t="str" cm="1">
        <f t="array" ref="M1877">_xlfn.IFS(Table1[[#This Row],[Math 
Score]]&gt;=90,"A+",Table1[[#This Row],[Math 
Score]]&gt;=80,"A", Table1[[#This Row],[Math 
Score]]&gt;=75,"A-",Table1[[#This Row],[Math 
Score]]&gt;=70,"B+",Table1[[#This Row],[Math 
Score]]&gt;=65,"B",Table1[[#This Row],[Math 
Score]]&gt;=60,"B-",Table1[[#This Row],[Math 
Score]]&gt;=50,"C",Table1[[#This Row],[Math 
Score]]&gt;=40,"D",Table1[[#This Row],[Math 
Score]]&lt;40,"F")</f>
        <v>C</v>
      </c>
      <c r="N1877">
        <v>97</v>
      </c>
      <c r="O1877" s="13" t="str" cm="1">
        <f t="array" ref="O187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877">
        <v>81</v>
      </c>
      <c r="Q1877" s="13" t="str" cm="1">
        <f t="array" ref="Q187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877">
        <v>86</v>
      </c>
      <c r="S1877" t="str" cm="1">
        <f t="array" ref="S187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877">
        <v>71</v>
      </c>
      <c r="U1877" t="str" cm="1">
        <f t="array" ref="U187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877">
        <v>87</v>
      </c>
      <c r="W1877" t="str" cm="1">
        <f t="array" ref="W187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877">
        <v>78</v>
      </c>
      <c r="Y1877" t="str" cm="1">
        <f t="array" ref="Y187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877">
        <f>SUM(Table1[[#This Row],[Math 
Score]],Table1[[#This Row],[History 
Score]],Table1[[#This Row],[Physics 
Score]],Table1[[#This Row],[Chemistry 
Score]],Table1[[#This Row],[Biology 
Score]],Table1[[#This Row],[English 
Score]],Table1[[#This Row],[Geography 
Score]])</f>
        <v>553</v>
      </c>
      <c r="AA1877" s="3">
        <f>AVERAGE(Table1[[#This Row],[Math 
Score]],Table1[[#This Row],[History 
Score]],Table1[[#This Row],[Physics 
Score]],Table1[[#This Row],[Chemistry 
Score]],Table1[[#This Row],[Biology 
Score]],Table1[[#This Row],[English 
Score]],Table1[[#This Row],[Geography 
Score]])</f>
        <v>79</v>
      </c>
      <c r="AB187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877">
        <f t="shared" si="29"/>
        <v>1284</v>
      </c>
      <c r="AD1877" t="str">
        <f>_xlfn.IFS(Table1[[#This Row],[Absence 
Days]]&lt;3,"Excellent",Table1[[#This Row],[Absence 
Days]]&lt;=6,"Good",Table1[[#This Row],[Absence 
Days]]&gt;6,"Poor")</f>
        <v>Excellent</v>
      </c>
    </row>
    <row r="1878" spans="1:30" x14ac:dyDescent="0.35">
      <c r="A1878">
        <v>1877</v>
      </c>
      <c r="B1878" s="2" t="s">
        <v>112</v>
      </c>
      <c r="C1878" t="s">
        <v>908</v>
      </c>
      <c r="D1878" t="str">
        <f>_xlfn.TEXTJOIN(" ",TRUE,Table1[[#This Row],[First 
Name]:[Last 
Name]])</f>
        <v>Julie Rogers</v>
      </c>
      <c r="E1878" t="s">
        <v>2988</v>
      </c>
      <c r="F1878" t="s">
        <v>3245</v>
      </c>
      <c r="G1878" t="str">
        <f ca="1">PROPER(Table1[[#This Row],[Part Time 
Job]])</f>
        <v>False</v>
      </c>
      <c r="H1878" s="3">
        <v>3</v>
      </c>
      <c r="I1878" t="str">
        <f ca="1">PROPER(Table1[[#This Row],[Extracurricular 
Activities]])</f>
        <v>False</v>
      </c>
      <c r="J1878">
        <v>30</v>
      </c>
      <c r="K1878" t="s">
        <v>3120</v>
      </c>
      <c r="L1878">
        <v>92</v>
      </c>
      <c r="M1878" s="12" t="str" cm="1">
        <f t="array" ref="M187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878">
        <v>88</v>
      </c>
      <c r="O1878" s="13" t="str" cm="1">
        <f t="array" ref="O187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878">
        <v>99</v>
      </c>
      <c r="Q1878" s="13" t="str" cm="1">
        <f t="array" ref="Q187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878">
        <v>92</v>
      </c>
      <c r="S1878" t="str" cm="1">
        <f t="array" ref="S187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878">
        <v>89</v>
      </c>
      <c r="U1878" t="str" cm="1">
        <f t="array" ref="U187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878">
        <v>66</v>
      </c>
      <c r="W1878" t="str" cm="1">
        <f t="array" ref="W187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878">
        <v>76</v>
      </c>
      <c r="Y1878" t="str" cm="1">
        <f t="array" ref="Y187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878">
        <f>SUM(Table1[[#This Row],[Math 
Score]],Table1[[#This Row],[History 
Score]],Table1[[#This Row],[Physics 
Score]],Table1[[#This Row],[Chemistry 
Score]],Table1[[#This Row],[Biology 
Score]],Table1[[#This Row],[English 
Score]],Table1[[#This Row],[Geography 
Score]])</f>
        <v>602</v>
      </c>
      <c r="AA1878" s="3">
        <f>AVERAGE(Table1[[#This Row],[Math 
Score]],Table1[[#This Row],[History 
Score]],Table1[[#This Row],[Physics 
Score]],Table1[[#This Row],[Chemistry 
Score]],Table1[[#This Row],[Biology 
Score]],Table1[[#This Row],[English 
Score]],Table1[[#This Row],[Geography 
Score]])</f>
        <v>86</v>
      </c>
      <c r="AB187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878">
        <f t="shared" si="29"/>
        <v>380</v>
      </c>
      <c r="AD1878" t="str">
        <f>_xlfn.IFS(Table1[[#This Row],[Absence 
Days]]&lt;3,"Excellent",Table1[[#This Row],[Absence 
Days]]&lt;=6,"Good",Table1[[#This Row],[Absence 
Days]]&gt;6,"Poor")</f>
        <v>Good</v>
      </c>
    </row>
    <row r="1879" spans="1:30" x14ac:dyDescent="0.35">
      <c r="A1879">
        <v>1878</v>
      </c>
      <c r="B1879" s="2" t="s">
        <v>180</v>
      </c>
      <c r="C1879" t="s">
        <v>932</v>
      </c>
      <c r="D1879" t="str">
        <f>_xlfn.TEXTJOIN(" ",TRUE,Table1[[#This Row],[First 
Name]:[Last 
Name]])</f>
        <v>Gina Gilbert</v>
      </c>
      <c r="E1879" t="s">
        <v>2989</v>
      </c>
      <c r="F1879" t="s">
        <v>3245</v>
      </c>
      <c r="G1879" t="str">
        <f ca="1">PROPER(Table1[[#This Row],[Part Time 
Job]])</f>
        <v>False</v>
      </c>
      <c r="H1879" s="3">
        <v>3</v>
      </c>
      <c r="I1879" t="str">
        <f ca="1">PROPER(Table1[[#This Row],[Extracurricular 
Activities]])</f>
        <v>False</v>
      </c>
      <c r="J1879">
        <v>32</v>
      </c>
      <c r="K1879" t="s">
        <v>3121</v>
      </c>
      <c r="L1879">
        <v>85</v>
      </c>
      <c r="M1879" s="12" t="str" cm="1">
        <f t="array" ref="M187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879">
        <v>84</v>
      </c>
      <c r="O1879" s="13" t="str" cm="1">
        <f t="array" ref="O187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879">
        <v>66</v>
      </c>
      <c r="Q1879" s="13" t="str" cm="1">
        <f t="array" ref="Q187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879">
        <v>66</v>
      </c>
      <c r="S1879" t="str" cm="1">
        <f t="array" ref="S187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879">
        <v>78</v>
      </c>
      <c r="U1879" t="str" cm="1">
        <f t="array" ref="U187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879">
        <v>98</v>
      </c>
      <c r="W1879" t="str" cm="1">
        <f t="array" ref="W187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879">
        <v>69</v>
      </c>
      <c r="Y1879" t="str" cm="1">
        <f t="array" ref="Y187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879">
        <f>SUM(Table1[[#This Row],[Math 
Score]],Table1[[#This Row],[History 
Score]],Table1[[#This Row],[Physics 
Score]],Table1[[#This Row],[Chemistry 
Score]],Table1[[#This Row],[Biology 
Score]],Table1[[#This Row],[English 
Score]],Table1[[#This Row],[Geography 
Score]])</f>
        <v>546</v>
      </c>
      <c r="AA1879" s="3">
        <f>AVERAGE(Table1[[#This Row],[Math 
Score]],Table1[[#This Row],[History 
Score]],Table1[[#This Row],[Physics 
Score]],Table1[[#This Row],[Chemistry 
Score]],Table1[[#This Row],[Biology 
Score]],Table1[[#This Row],[English 
Score]],Table1[[#This Row],[Geography 
Score]])</f>
        <v>78</v>
      </c>
      <c r="AB187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879">
        <f t="shared" si="29"/>
        <v>1411</v>
      </c>
      <c r="AD1879" t="str">
        <f>_xlfn.IFS(Table1[[#This Row],[Absence 
Days]]&lt;3,"Excellent",Table1[[#This Row],[Absence 
Days]]&lt;=6,"Good",Table1[[#This Row],[Absence 
Days]]&gt;6,"Poor")</f>
        <v>Good</v>
      </c>
    </row>
    <row r="1880" spans="1:30" x14ac:dyDescent="0.35">
      <c r="A1880">
        <v>1879</v>
      </c>
      <c r="B1880" s="2" t="s">
        <v>35</v>
      </c>
      <c r="C1880" t="s">
        <v>893</v>
      </c>
      <c r="D1880" t="str">
        <f>_xlfn.TEXTJOIN(" ",TRUE,Table1[[#This Row],[First 
Name]:[Last 
Name]])</f>
        <v>Miguel Nicholson</v>
      </c>
      <c r="E1880" t="s">
        <v>2990</v>
      </c>
      <c r="F1880" t="s">
        <v>3244</v>
      </c>
      <c r="G1880" t="str">
        <f ca="1">PROPER(Table1[[#This Row],[Part Time 
Job]])</f>
        <v>False</v>
      </c>
      <c r="H1880" s="3">
        <v>2</v>
      </c>
      <c r="I1880" t="str">
        <f ca="1">PROPER(Table1[[#This Row],[Extracurricular 
Activities]])</f>
        <v>False</v>
      </c>
      <c r="J1880">
        <v>18</v>
      </c>
      <c r="K1880" t="s">
        <v>3117</v>
      </c>
      <c r="L1880">
        <v>89</v>
      </c>
      <c r="M1880" s="12" t="str" cm="1">
        <f t="array" ref="M188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880">
        <v>67</v>
      </c>
      <c r="O1880" s="13" t="str" cm="1">
        <f t="array" ref="O188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880">
        <v>93</v>
      </c>
      <c r="Q1880" s="13" t="str" cm="1">
        <f t="array" ref="Q188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880">
        <v>83</v>
      </c>
      <c r="S1880" t="str" cm="1">
        <f t="array" ref="S188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880">
        <v>65</v>
      </c>
      <c r="U1880" t="str" cm="1">
        <f t="array" ref="U188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880">
        <v>94</v>
      </c>
      <c r="W1880" t="str" cm="1">
        <f t="array" ref="W188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880">
        <v>67</v>
      </c>
      <c r="Y1880" t="str" cm="1">
        <f t="array" ref="Y188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880">
        <f>SUM(Table1[[#This Row],[Math 
Score]],Table1[[#This Row],[History 
Score]],Table1[[#This Row],[Physics 
Score]],Table1[[#This Row],[Chemistry 
Score]],Table1[[#This Row],[Biology 
Score]],Table1[[#This Row],[English 
Score]],Table1[[#This Row],[Geography 
Score]])</f>
        <v>558</v>
      </c>
      <c r="AA1880" s="3">
        <f>AVERAGE(Table1[[#This Row],[Math 
Score]],Table1[[#This Row],[History 
Score]],Table1[[#This Row],[Physics 
Score]],Table1[[#This Row],[Chemistry 
Score]],Table1[[#This Row],[Biology 
Score]],Table1[[#This Row],[English 
Score]],Table1[[#This Row],[Geography 
Score]])</f>
        <v>79.714285714285708</v>
      </c>
      <c r="AB188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880">
        <f t="shared" si="29"/>
        <v>1178</v>
      </c>
      <c r="AD1880" t="str">
        <f>_xlfn.IFS(Table1[[#This Row],[Absence 
Days]]&lt;3,"Excellent",Table1[[#This Row],[Absence 
Days]]&lt;=6,"Good",Table1[[#This Row],[Absence 
Days]]&gt;6,"Poor")</f>
        <v>Excellent</v>
      </c>
    </row>
    <row r="1881" spans="1:30" x14ac:dyDescent="0.35">
      <c r="A1881">
        <v>1880</v>
      </c>
      <c r="B1881" s="2" t="s">
        <v>231</v>
      </c>
      <c r="C1881" t="s">
        <v>761</v>
      </c>
      <c r="D1881" t="str">
        <f>_xlfn.TEXTJOIN(" ",TRUE,Table1[[#This Row],[First 
Name]:[Last 
Name]])</f>
        <v>Daniel Murray</v>
      </c>
      <c r="E1881" t="s">
        <v>2991</v>
      </c>
      <c r="F1881" t="s">
        <v>3244</v>
      </c>
      <c r="G1881" t="str">
        <f ca="1">PROPER(Table1[[#This Row],[Part Time 
Job]])</f>
        <v>False</v>
      </c>
      <c r="H1881" s="3">
        <v>1</v>
      </c>
      <c r="I1881" t="str">
        <f ca="1">PROPER(Table1[[#This Row],[Extracurricular 
Activities]])</f>
        <v>False</v>
      </c>
      <c r="J1881">
        <v>2</v>
      </c>
      <c r="K1881" t="s">
        <v>3119</v>
      </c>
      <c r="L1881">
        <v>98</v>
      </c>
      <c r="M1881" s="12" t="str" cm="1">
        <f t="array" ref="M188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881">
        <v>92</v>
      </c>
      <c r="O1881" s="13" t="str" cm="1">
        <f t="array" ref="O188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881">
        <v>82</v>
      </c>
      <c r="Q1881" s="13" t="str" cm="1">
        <f t="array" ref="Q188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881">
        <v>56</v>
      </c>
      <c r="S1881" t="str" cm="1">
        <f t="array" ref="S188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C</v>
      </c>
      <c r="T1881">
        <v>71</v>
      </c>
      <c r="U1881" t="str" cm="1">
        <f t="array" ref="U188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881">
        <v>79</v>
      </c>
      <c r="W1881" t="str" cm="1">
        <f t="array" ref="W188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881">
        <v>89</v>
      </c>
      <c r="Y1881" t="str" cm="1">
        <f t="array" ref="Y188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881">
        <f>SUM(Table1[[#This Row],[Math 
Score]],Table1[[#This Row],[History 
Score]],Table1[[#This Row],[Physics 
Score]],Table1[[#This Row],[Chemistry 
Score]],Table1[[#This Row],[Biology 
Score]],Table1[[#This Row],[English 
Score]],Table1[[#This Row],[Geography 
Score]])</f>
        <v>567</v>
      </c>
      <c r="AA1881" s="3">
        <f>AVERAGE(Table1[[#This Row],[Math 
Score]],Table1[[#This Row],[History 
Score]],Table1[[#This Row],[Physics 
Score]],Table1[[#This Row],[Chemistry 
Score]],Table1[[#This Row],[Biology 
Score]],Table1[[#This Row],[English 
Score]],Table1[[#This Row],[Geography 
Score]])</f>
        <v>81</v>
      </c>
      <c r="AB188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881">
        <f t="shared" si="29"/>
        <v>994</v>
      </c>
      <c r="AD1881" t="str">
        <f>_xlfn.IFS(Table1[[#This Row],[Absence 
Days]]&lt;3,"Excellent",Table1[[#This Row],[Absence 
Days]]&lt;=6,"Good",Table1[[#This Row],[Absence 
Days]]&gt;6,"Poor")</f>
        <v>Excellent</v>
      </c>
    </row>
    <row r="1882" spans="1:30" x14ac:dyDescent="0.35">
      <c r="A1882">
        <v>1881</v>
      </c>
      <c r="B1882" s="2" t="s">
        <v>39</v>
      </c>
      <c r="C1882" t="s">
        <v>625</v>
      </c>
      <c r="D1882" t="str">
        <f>_xlfn.TEXTJOIN(" ",TRUE,Table1[[#This Row],[First 
Name]:[Last 
Name]])</f>
        <v>Lauren Ellis</v>
      </c>
      <c r="E1882" t="s">
        <v>2992</v>
      </c>
      <c r="F1882" t="s">
        <v>3245</v>
      </c>
      <c r="G1882" t="str">
        <f ca="1">PROPER(Table1[[#This Row],[Part Time 
Job]])</f>
        <v>False</v>
      </c>
      <c r="H1882" s="3">
        <v>5</v>
      </c>
      <c r="I1882" t="str">
        <f ca="1">PROPER(Table1[[#This Row],[Extracurricular 
Activities]])</f>
        <v>False</v>
      </c>
      <c r="J1882">
        <v>5</v>
      </c>
      <c r="K1882" t="s">
        <v>3119</v>
      </c>
      <c r="L1882">
        <v>66</v>
      </c>
      <c r="M1882" s="12" t="str" cm="1">
        <f t="array" ref="M1882">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882">
        <v>52</v>
      </c>
      <c r="O1882" s="13" t="str" cm="1">
        <f t="array" ref="O188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C</v>
      </c>
      <c r="P1882">
        <v>71</v>
      </c>
      <c r="Q1882" s="13" t="str" cm="1">
        <f t="array" ref="Q188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882">
        <v>76</v>
      </c>
      <c r="S1882" t="str" cm="1">
        <f t="array" ref="S188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882">
        <v>67</v>
      </c>
      <c r="U1882" t="str" cm="1">
        <f t="array" ref="U188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882">
        <v>72</v>
      </c>
      <c r="W1882" t="str" cm="1">
        <f t="array" ref="W188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882">
        <v>60</v>
      </c>
      <c r="Y1882" t="str" cm="1">
        <f t="array" ref="Y188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882">
        <f>SUM(Table1[[#This Row],[Math 
Score]],Table1[[#This Row],[History 
Score]],Table1[[#This Row],[Physics 
Score]],Table1[[#This Row],[Chemistry 
Score]],Table1[[#This Row],[Biology 
Score]],Table1[[#This Row],[English 
Score]],Table1[[#This Row],[Geography 
Score]])</f>
        <v>464</v>
      </c>
      <c r="AA1882" s="3">
        <f>AVERAGE(Table1[[#This Row],[Math 
Score]],Table1[[#This Row],[History 
Score]],Table1[[#This Row],[Physics 
Score]],Table1[[#This Row],[Chemistry 
Score]],Table1[[#This Row],[Biology 
Score]],Table1[[#This Row],[English 
Score]],Table1[[#This Row],[Geography 
Score]])</f>
        <v>66.285714285714292</v>
      </c>
      <c r="AB188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882">
        <f t="shared" si="29"/>
        <v>1975</v>
      </c>
      <c r="AD1882" t="str">
        <f>_xlfn.IFS(Table1[[#This Row],[Absence 
Days]]&lt;3,"Excellent",Table1[[#This Row],[Absence 
Days]]&lt;=6,"Good",Table1[[#This Row],[Absence 
Days]]&gt;6,"Poor")</f>
        <v>Good</v>
      </c>
    </row>
    <row r="1883" spans="1:30" x14ac:dyDescent="0.35">
      <c r="A1883">
        <v>1882</v>
      </c>
      <c r="B1883" s="2" t="s">
        <v>448</v>
      </c>
      <c r="C1883" t="s">
        <v>353</v>
      </c>
      <c r="D1883" t="str">
        <f>_xlfn.TEXTJOIN(" ",TRUE,Table1[[#This Row],[First 
Name]:[Last 
Name]])</f>
        <v>Bridget Martin</v>
      </c>
      <c r="E1883" t="s">
        <v>2993</v>
      </c>
      <c r="F1883" t="s">
        <v>3245</v>
      </c>
      <c r="G1883" t="str">
        <f ca="1">PROPER(Table1[[#This Row],[Part Time 
Job]])</f>
        <v>False</v>
      </c>
      <c r="H1883" s="3">
        <v>2</v>
      </c>
      <c r="I1883" t="str">
        <f ca="1">PROPER(Table1[[#This Row],[Extracurricular 
Activities]])</f>
        <v>False</v>
      </c>
      <c r="J1883">
        <v>32</v>
      </c>
      <c r="K1883" t="s">
        <v>3112</v>
      </c>
      <c r="L1883">
        <v>90</v>
      </c>
      <c r="M1883" s="12" t="str" cm="1">
        <f t="array" ref="M188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883">
        <v>96</v>
      </c>
      <c r="O1883" s="13" t="str" cm="1">
        <f t="array" ref="O188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883">
        <v>95</v>
      </c>
      <c r="Q1883" s="13" t="str" cm="1">
        <f t="array" ref="Q188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883">
        <v>80</v>
      </c>
      <c r="S1883" t="str" cm="1">
        <f t="array" ref="S188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883">
        <v>93</v>
      </c>
      <c r="U1883" t="str" cm="1">
        <f t="array" ref="U188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883">
        <v>95</v>
      </c>
      <c r="W1883" t="str" cm="1">
        <f t="array" ref="W188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883">
        <v>67</v>
      </c>
      <c r="Y1883" t="str" cm="1">
        <f t="array" ref="Y188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883">
        <f>SUM(Table1[[#This Row],[Math 
Score]],Table1[[#This Row],[History 
Score]],Table1[[#This Row],[Physics 
Score]],Table1[[#This Row],[Chemistry 
Score]],Table1[[#This Row],[Biology 
Score]],Table1[[#This Row],[English 
Score]],Table1[[#This Row],[Geography 
Score]])</f>
        <v>616</v>
      </c>
      <c r="AA1883" s="3">
        <f>AVERAGE(Table1[[#This Row],[Math 
Score]],Table1[[#This Row],[History 
Score]],Table1[[#This Row],[Physics 
Score]],Table1[[#This Row],[Chemistry 
Score]],Table1[[#This Row],[Biology 
Score]],Table1[[#This Row],[English 
Score]],Table1[[#This Row],[Geography 
Score]])</f>
        <v>88</v>
      </c>
      <c r="AB188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883">
        <f t="shared" si="29"/>
        <v>243</v>
      </c>
      <c r="AD1883" t="str">
        <f>_xlfn.IFS(Table1[[#This Row],[Absence 
Days]]&lt;3,"Excellent",Table1[[#This Row],[Absence 
Days]]&lt;=6,"Good",Table1[[#This Row],[Absence 
Days]]&gt;6,"Poor")</f>
        <v>Excellent</v>
      </c>
    </row>
    <row r="1884" spans="1:30" x14ac:dyDescent="0.35">
      <c r="A1884">
        <v>1883</v>
      </c>
      <c r="B1884" s="2" t="s">
        <v>347</v>
      </c>
      <c r="C1884" t="s">
        <v>702</v>
      </c>
      <c r="D1884" t="str">
        <f>_xlfn.TEXTJOIN(" ",TRUE,Table1[[#This Row],[First 
Name]:[Last 
Name]])</f>
        <v>Maureen Hart</v>
      </c>
      <c r="E1884" t="s">
        <v>2994</v>
      </c>
      <c r="F1884" t="s">
        <v>3245</v>
      </c>
      <c r="G1884" t="str">
        <f ca="1">PROPER(Table1[[#This Row],[Part Time 
Job]])</f>
        <v>True</v>
      </c>
      <c r="H1884" s="3">
        <v>2</v>
      </c>
      <c r="I1884" t="str">
        <f ca="1">PROPER(Table1[[#This Row],[Extracurricular 
Activities]])</f>
        <v>False</v>
      </c>
      <c r="J1884">
        <v>18</v>
      </c>
      <c r="K1884" t="s">
        <v>3118</v>
      </c>
      <c r="L1884">
        <v>84</v>
      </c>
      <c r="M1884" s="12" t="str" cm="1">
        <f t="array" ref="M188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884">
        <v>93</v>
      </c>
      <c r="O1884" s="13" t="str" cm="1">
        <f t="array" ref="O188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884">
        <v>74</v>
      </c>
      <c r="Q1884" s="13" t="str" cm="1">
        <f t="array" ref="Q188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884">
        <v>76</v>
      </c>
      <c r="S1884" t="str" cm="1">
        <f t="array" ref="S188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884">
        <v>95</v>
      </c>
      <c r="U1884" t="str" cm="1">
        <f t="array" ref="U188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884">
        <v>90</v>
      </c>
      <c r="W1884" t="str" cm="1">
        <f t="array" ref="W188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884">
        <v>64</v>
      </c>
      <c r="Y1884" t="str" cm="1">
        <f t="array" ref="Y188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884">
        <f>SUM(Table1[[#This Row],[Math 
Score]],Table1[[#This Row],[History 
Score]],Table1[[#This Row],[Physics 
Score]],Table1[[#This Row],[Chemistry 
Score]],Table1[[#This Row],[Biology 
Score]],Table1[[#This Row],[English 
Score]],Table1[[#This Row],[Geography 
Score]])</f>
        <v>576</v>
      </c>
      <c r="AA1884" s="3">
        <f>AVERAGE(Table1[[#This Row],[Math 
Score]],Table1[[#This Row],[History 
Score]],Table1[[#This Row],[Physics 
Score]],Table1[[#This Row],[Chemistry 
Score]],Table1[[#This Row],[Biology 
Score]],Table1[[#This Row],[English 
Score]],Table1[[#This Row],[Geography 
Score]])</f>
        <v>82.285714285714292</v>
      </c>
      <c r="AB188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884">
        <f t="shared" si="29"/>
        <v>789</v>
      </c>
      <c r="AD1884" t="str">
        <f>_xlfn.IFS(Table1[[#This Row],[Absence 
Days]]&lt;3,"Excellent",Table1[[#This Row],[Absence 
Days]]&lt;=6,"Good",Table1[[#This Row],[Absence 
Days]]&gt;6,"Poor")</f>
        <v>Excellent</v>
      </c>
    </row>
    <row r="1885" spans="1:30" x14ac:dyDescent="0.35">
      <c r="A1885">
        <v>1884</v>
      </c>
      <c r="B1885" s="2" t="s">
        <v>181</v>
      </c>
      <c r="C1885" t="s">
        <v>492</v>
      </c>
      <c r="D1885" t="str">
        <f>_xlfn.TEXTJOIN(" ",TRUE,Table1[[#This Row],[First 
Name]:[Last 
Name]])</f>
        <v>Sabrina Davis</v>
      </c>
      <c r="E1885" t="s">
        <v>2995</v>
      </c>
      <c r="F1885" t="s">
        <v>3245</v>
      </c>
      <c r="G1885" t="str">
        <f ca="1">PROPER(Table1[[#This Row],[Part Time 
Job]])</f>
        <v>False</v>
      </c>
      <c r="H1885" s="3">
        <v>7</v>
      </c>
      <c r="I1885" t="str">
        <f ca="1">PROPER(Table1[[#This Row],[Extracurricular 
Activities]])</f>
        <v>False</v>
      </c>
      <c r="J1885">
        <v>27</v>
      </c>
      <c r="K1885" t="s">
        <v>3112</v>
      </c>
      <c r="L1885">
        <v>88</v>
      </c>
      <c r="M1885" s="12" t="str" cm="1">
        <f t="array" ref="M188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885">
        <v>81</v>
      </c>
      <c r="O1885" s="13" t="str" cm="1">
        <f t="array" ref="O188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885">
        <v>73</v>
      </c>
      <c r="Q1885" s="13" t="str" cm="1">
        <f t="array" ref="Q188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885">
        <v>70</v>
      </c>
      <c r="S1885" t="str" cm="1">
        <f t="array" ref="S188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885">
        <v>60</v>
      </c>
      <c r="U1885" t="str" cm="1">
        <f t="array" ref="U188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885">
        <v>95</v>
      </c>
      <c r="W1885" t="str" cm="1">
        <f t="array" ref="W188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885">
        <v>68</v>
      </c>
      <c r="Y1885" t="str" cm="1">
        <f t="array" ref="Y188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885">
        <f>SUM(Table1[[#This Row],[Math 
Score]],Table1[[#This Row],[History 
Score]],Table1[[#This Row],[Physics 
Score]],Table1[[#This Row],[Chemistry 
Score]],Table1[[#This Row],[Biology 
Score]],Table1[[#This Row],[English 
Score]],Table1[[#This Row],[Geography 
Score]])</f>
        <v>535</v>
      </c>
      <c r="AA1885" s="3">
        <f>AVERAGE(Table1[[#This Row],[Math 
Score]],Table1[[#This Row],[History 
Score]],Table1[[#This Row],[Physics 
Score]],Table1[[#This Row],[Chemistry 
Score]],Table1[[#This Row],[Biology 
Score]],Table1[[#This Row],[English 
Score]],Table1[[#This Row],[Geography 
Score]])</f>
        <v>76.428571428571431</v>
      </c>
      <c r="AB188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885">
        <f t="shared" si="29"/>
        <v>1578</v>
      </c>
      <c r="AD1885" t="str">
        <f>_xlfn.IFS(Table1[[#This Row],[Absence 
Days]]&lt;3,"Excellent",Table1[[#This Row],[Absence 
Days]]&lt;=6,"Good",Table1[[#This Row],[Absence 
Days]]&gt;6,"Poor")</f>
        <v>Poor</v>
      </c>
    </row>
    <row r="1886" spans="1:30" x14ac:dyDescent="0.35">
      <c r="A1886">
        <v>1885</v>
      </c>
      <c r="B1886" s="2" t="s">
        <v>235</v>
      </c>
      <c r="C1886" t="s">
        <v>492</v>
      </c>
      <c r="D1886" t="str">
        <f>_xlfn.TEXTJOIN(" ",TRUE,Table1[[#This Row],[First 
Name]:[Last 
Name]])</f>
        <v>Richard Davis</v>
      </c>
      <c r="E1886" t="s">
        <v>2996</v>
      </c>
      <c r="F1886" t="s">
        <v>3244</v>
      </c>
      <c r="G1886" t="str">
        <f ca="1">PROPER(Table1[[#This Row],[Part Time 
Job]])</f>
        <v>False</v>
      </c>
      <c r="H1886" s="3">
        <v>3</v>
      </c>
      <c r="I1886" t="str">
        <f ca="1">PROPER(Table1[[#This Row],[Extracurricular 
Activities]])</f>
        <v>False</v>
      </c>
      <c r="J1886">
        <v>9</v>
      </c>
      <c r="K1886" t="s">
        <v>3116</v>
      </c>
      <c r="L1886">
        <v>66</v>
      </c>
      <c r="M1886" s="12" t="str" cm="1">
        <f t="array" ref="M1886">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886">
        <v>61</v>
      </c>
      <c r="O1886" s="13" t="str" cm="1">
        <f t="array" ref="O188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886">
        <v>97</v>
      </c>
      <c r="Q1886" s="13" t="str" cm="1">
        <f t="array" ref="Q188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886">
        <v>61</v>
      </c>
      <c r="S1886" t="str" cm="1">
        <f t="array" ref="S188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886">
        <v>60</v>
      </c>
      <c r="U1886" t="str" cm="1">
        <f t="array" ref="U188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886">
        <v>61</v>
      </c>
      <c r="W1886" t="str" cm="1">
        <f t="array" ref="W188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886">
        <v>98</v>
      </c>
      <c r="Y1886" t="str" cm="1">
        <f t="array" ref="Y188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886">
        <f>SUM(Table1[[#This Row],[Math 
Score]],Table1[[#This Row],[History 
Score]],Table1[[#This Row],[Physics 
Score]],Table1[[#This Row],[Chemistry 
Score]],Table1[[#This Row],[Biology 
Score]],Table1[[#This Row],[English 
Score]],Table1[[#This Row],[Geography 
Score]])</f>
        <v>504</v>
      </c>
      <c r="AA1886" s="3">
        <f>AVERAGE(Table1[[#This Row],[Math 
Score]],Table1[[#This Row],[History 
Score]],Table1[[#This Row],[Physics 
Score]],Table1[[#This Row],[Chemistry 
Score]],Table1[[#This Row],[Biology 
Score]],Table1[[#This Row],[English 
Score]],Table1[[#This Row],[Geography 
Score]])</f>
        <v>72</v>
      </c>
      <c r="AB188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886">
        <f t="shared" si="29"/>
        <v>1858</v>
      </c>
      <c r="AD1886" t="str">
        <f>_xlfn.IFS(Table1[[#This Row],[Absence 
Days]]&lt;3,"Excellent",Table1[[#This Row],[Absence 
Days]]&lt;=6,"Good",Table1[[#This Row],[Absence 
Days]]&gt;6,"Poor")</f>
        <v>Good</v>
      </c>
    </row>
    <row r="1887" spans="1:30" x14ac:dyDescent="0.35">
      <c r="A1887">
        <v>1886</v>
      </c>
      <c r="B1887" s="2" t="s">
        <v>18</v>
      </c>
      <c r="C1887" t="s">
        <v>503</v>
      </c>
      <c r="D1887" t="str">
        <f>_xlfn.TEXTJOIN(" ",TRUE,Table1[[#This Row],[First 
Name]:[Last 
Name]])</f>
        <v>Angela Koch</v>
      </c>
      <c r="E1887" t="s">
        <v>2997</v>
      </c>
      <c r="F1887" t="s">
        <v>3245</v>
      </c>
      <c r="G1887" t="str">
        <f ca="1">PROPER(Table1[[#This Row],[Part Time 
Job]])</f>
        <v>False</v>
      </c>
      <c r="H1887" s="3">
        <v>2</v>
      </c>
      <c r="I1887" t="str">
        <f ca="1">PROPER(Table1[[#This Row],[Extracurricular 
Activities]])</f>
        <v>False</v>
      </c>
      <c r="J1887">
        <v>15</v>
      </c>
      <c r="K1887" t="s">
        <v>3118</v>
      </c>
      <c r="L1887">
        <v>86</v>
      </c>
      <c r="M1887" s="12" t="str" cm="1">
        <f t="array" ref="M188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887">
        <v>63</v>
      </c>
      <c r="O1887" s="13" t="str" cm="1">
        <f t="array" ref="O188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887">
        <v>82</v>
      </c>
      <c r="Q1887" s="13" t="str" cm="1">
        <f t="array" ref="Q188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887">
        <v>61</v>
      </c>
      <c r="S1887" t="str" cm="1">
        <f t="array" ref="S188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887">
        <v>96</v>
      </c>
      <c r="U1887" t="str" cm="1">
        <f t="array" ref="U188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887">
        <v>98</v>
      </c>
      <c r="W1887" t="str" cm="1">
        <f t="array" ref="W188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887">
        <v>83</v>
      </c>
      <c r="Y1887" t="str" cm="1">
        <f t="array" ref="Y188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887">
        <f>SUM(Table1[[#This Row],[Math 
Score]],Table1[[#This Row],[History 
Score]],Table1[[#This Row],[Physics 
Score]],Table1[[#This Row],[Chemistry 
Score]],Table1[[#This Row],[Biology 
Score]],Table1[[#This Row],[English 
Score]],Table1[[#This Row],[Geography 
Score]])</f>
        <v>569</v>
      </c>
      <c r="AA1887" s="3">
        <f>AVERAGE(Table1[[#This Row],[Math 
Score]],Table1[[#This Row],[History 
Score]],Table1[[#This Row],[Physics 
Score]],Table1[[#This Row],[Chemistry 
Score]],Table1[[#This Row],[Biology 
Score]],Table1[[#This Row],[English 
Score]],Table1[[#This Row],[Geography 
Score]])</f>
        <v>81.285714285714292</v>
      </c>
      <c r="AB188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887">
        <f t="shared" si="29"/>
        <v>957</v>
      </c>
      <c r="AD1887" t="str">
        <f>_xlfn.IFS(Table1[[#This Row],[Absence 
Days]]&lt;3,"Excellent",Table1[[#This Row],[Absence 
Days]]&lt;=6,"Good",Table1[[#This Row],[Absence 
Days]]&gt;6,"Poor")</f>
        <v>Excellent</v>
      </c>
    </row>
    <row r="1888" spans="1:30" x14ac:dyDescent="0.35">
      <c r="A1888">
        <v>1887</v>
      </c>
      <c r="B1888" s="2" t="s">
        <v>75</v>
      </c>
      <c r="C1888" t="s">
        <v>458</v>
      </c>
      <c r="D1888" t="str">
        <f>_xlfn.TEXTJOIN(" ",TRUE,Table1[[#This Row],[First 
Name]:[Last 
Name]])</f>
        <v>William Smith</v>
      </c>
      <c r="E1888" t="s">
        <v>2998</v>
      </c>
      <c r="F1888" t="s">
        <v>3244</v>
      </c>
      <c r="G1888" t="str">
        <f ca="1">PROPER(Table1[[#This Row],[Part Time 
Job]])</f>
        <v>False</v>
      </c>
      <c r="H1888" s="3">
        <v>9</v>
      </c>
      <c r="I1888" t="str">
        <f ca="1">PROPER(Table1[[#This Row],[Extracurricular 
Activities]])</f>
        <v>False</v>
      </c>
      <c r="J1888">
        <v>1</v>
      </c>
      <c r="K1888" t="s">
        <v>3119</v>
      </c>
      <c r="L1888">
        <v>60</v>
      </c>
      <c r="M1888" s="12" t="str" cm="1">
        <f t="array" ref="M1888">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888">
        <v>72</v>
      </c>
      <c r="O1888" s="13" t="str" cm="1">
        <f t="array" ref="O188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888">
        <v>66</v>
      </c>
      <c r="Q1888" s="13" t="str" cm="1">
        <f t="array" ref="Q188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888">
        <v>95</v>
      </c>
      <c r="S1888" t="str" cm="1">
        <f t="array" ref="S188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888">
        <v>67</v>
      </c>
      <c r="U1888" t="str" cm="1">
        <f t="array" ref="U188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888">
        <v>78</v>
      </c>
      <c r="W1888" t="str" cm="1">
        <f t="array" ref="W188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888">
        <v>94</v>
      </c>
      <c r="Y1888" t="str" cm="1">
        <f t="array" ref="Y188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888">
        <f>SUM(Table1[[#This Row],[Math 
Score]],Table1[[#This Row],[History 
Score]],Table1[[#This Row],[Physics 
Score]],Table1[[#This Row],[Chemistry 
Score]],Table1[[#This Row],[Biology 
Score]],Table1[[#This Row],[English 
Score]],Table1[[#This Row],[Geography 
Score]])</f>
        <v>532</v>
      </c>
      <c r="AA1888" s="3">
        <f>AVERAGE(Table1[[#This Row],[Math 
Score]],Table1[[#This Row],[History 
Score]],Table1[[#This Row],[Physics 
Score]],Table1[[#This Row],[Chemistry 
Score]],Table1[[#This Row],[Biology 
Score]],Table1[[#This Row],[English 
Score]],Table1[[#This Row],[Geography 
Score]])</f>
        <v>76</v>
      </c>
      <c r="AB188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888">
        <f t="shared" si="29"/>
        <v>1622</v>
      </c>
      <c r="AD1888" t="str">
        <f>_xlfn.IFS(Table1[[#This Row],[Absence 
Days]]&lt;3,"Excellent",Table1[[#This Row],[Absence 
Days]]&lt;=6,"Good",Table1[[#This Row],[Absence 
Days]]&gt;6,"Poor")</f>
        <v>Poor</v>
      </c>
    </row>
    <row r="1889" spans="1:30" x14ac:dyDescent="0.35">
      <c r="A1889">
        <v>1888</v>
      </c>
      <c r="B1889" s="2" t="s">
        <v>151</v>
      </c>
      <c r="C1889" t="s">
        <v>969</v>
      </c>
      <c r="D1889" t="str">
        <f>_xlfn.TEXTJOIN(" ",TRUE,Table1[[#This Row],[First 
Name]:[Last 
Name]])</f>
        <v>Catherine Coffey</v>
      </c>
      <c r="E1889" t="s">
        <v>2999</v>
      </c>
      <c r="F1889" t="s">
        <v>3245</v>
      </c>
      <c r="G1889" t="str">
        <f ca="1">PROPER(Table1[[#This Row],[Part Time 
Job]])</f>
        <v>False</v>
      </c>
      <c r="H1889" s="3">
        <v>10</v>
      </c>
      <c r="I1889" t="str">
        <f ca="1">PROPER(Table1[[#This Row],[Extracurricular 
Activities]])</f>
        <v>False</v>
      </c>
      <c r="J1889">
        <v>2</v>
      </c>
      <c r="K1889" t="s">
        <v>3119</v>
      </c>
      <c r="L1889">
        <v>41</v>
      </c>
      <c r="M1889" s="12" t="str" cm="1">
        <f t="array" ref="M1889">_xlfn.IFS(Table1[[#This Row],[Math 
Score]]&gt;=90,"A+",Table1[[#This Row],[Math 
Score]]&gt;=80,"A", Table1[[#This Row],[Math 
Score]]&gt;=75,"A-",Table1[[#This Row],[Math 
Score]]&gt;=70,"B+",Table1[[#This Row],[Math 
Score]]&gt;=65,"B",Table1[[#This Row],[Math 
Score]]&gt;=60,"B-",Table1[[#This Row],[Math 
Score]]&gt;=50,"C",Table1[[#This Row],[Math 
Score]]&gt;=40,"D",Table1[[#This Row],[Math 
Score]]&lt;40,"F")</f>
        <v>D</v>
      </c>
      <c r="N1889">
        <v>59</v>
      </c>
      <c r="O1889" s="13" t="str" cm="1">
        <f t="array" ref="O188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C</v>
      </c>
      <c r="P1889">
        <v>69</v>
      </c>
      <c r="Q1889" s="13" t="str" cm="1">
        <f t="array" ref="Q188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889">
        <v>70</v>
      </c>
      <c r="S1889" t="str" cm="1">
        <f t="array" ref="S188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889">
        <v>100</v>
      </c>
      <c r="U1889" t="str" cm="1">
        <f t="array" ref="U188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889">
        <v>65</v>
      </c>
      <c r="W1889" t="str" cm="1">
        <f t="array" ref="W188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889">
        <v>72</v>
      </c>
      <c r="Y1889" t="str" cm="1">
        <f t="array" ref="Y188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889">
        <f>SUM(Table1[[#This Row],[Math 
Score]],Table1[[#This Row],[History 
Score]],Table1[[#This Row],[Physics 
Score]],Table1[[#This Row],[Chemistry 
Score]],Table1[[#This Row],[Biology 
Score]],Table1[[#This Row],[English 
Score]],Table1[[#This Row],[Geography 
Score]])</f>
        <v>476</v>
      </c>
      <c r="AA1889" s="3">
        <f>AVERAGE(Table1[[#This Row],[Math 
Score]],Table1[[#This Row],[History 
Score]],Table1[[#This Row],[Physics 
Score]],Table1[[#This Row],[Chemistry 
Score]],Table1[[#This Row],[Biology 
Score]],Table1[[#This Row],[English 
Score]],Table1[[#This Row],[Geography 
Score]])</f>
        <v>68</v>
      </c>
      <c r="AB188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889">
        <f t="shared" si="29"/>
        <v>1944</v>
      </c>
      <c r="AD1889" t="str">
        <f>_xlfn.IFS(Table1[[#This Row],[Absence 
Days]]&lt;3,"Excellent",Table1[[#This Row],[Absence 
Days]]&lt;=6,"Good",Table1[[#This Row],[Absence 
Days]]&gt;6,"Poor")</f>
        <v>Poor</v>
      </c>
    </row>
    <row r="1890" spans="1:30" x14ac:dyDescent="0.35">
      <c r="A1890">
        <v>1889</v>
      </c>
      <c r="B1890" s="2" t="s">
        <v>36</v>
      </c>
      <c r="C1890" t="s">
        <v>1101</v>
      </c>
      <c r="D1890" t="str">
        <f>_xlfn.TEXTJOIN(" ",TRUE,Table1[[#This Row],[First 
Name]:[Last 
Name]])</f>
        <v>Christopher Pace</v>
      </c>
      <c r="E1890" t="s">
        <v>3000</v>
      </c>
      <c r="F1890" t="s">
        <v>3244</v>
      </c>
      <c r="G1890" t="str">
        <f ca="1">PROPER(Table1[[#This Row],[Part Time 
Job]])</f>
        <v>False</v>
      </c>
      <c r="H1890" s="3">
        <v>2</v>
      </c>
      <c r="I1890" t="str">
        <f ca="1">PROPER(Table1[[#This Row],[Extracurricular 
Activities]])</f>
        <v>False</v>
      </c>
      <c r="J1890">
        <v>31</v>
      </c>
      <c r="K1890" t="s">
        <v>3117</v>
      </c>
      <c r="L1890">
        <v>94</v>
      </c>
      <c r="M1890" s="12" t="str" cm="1">
        <f t="array" ref="M189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890">
        <v>62</v>
      </c>
      <c r="O1890" s="13" t="str" cm="1">
        <f t="array" ref="O189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890">
        <v>66</v>
      </c>
      <c r="Q1890" s="13" t="str" cm="1">
        <f t="array" ref="Q189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890">
        <v>95</v>
      </c>
      <c r="S1890" t="str" cm="1">
        <f t="array" ref="S189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890">
        <v>66</v>
      </c>
      <c r="U1890" t="str" cm="1">
        <f t="array" ref="U189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890">
        <v>64</v>
      </c>
      <c r="W1890" t="str" cm="1">
        <f t="array" ref="W189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890">
        <v>62</v>
      </c>
      <c r="Y1890" t="str" cm="1">
        <f t="array" ref="Y189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890">
        <f>SUM(Table1[[#This Row],[Math 
Score]],Table1[[#This Row],[History 
Score]],Table1[[#This Row],[Physics 
Score]],Table1[[#This Row],[Chemistry 
Score]],Table1[[#This Row],[Biology 
Score]],Table1[[#This Row],[English 
Score]],Table1[[#This Row],[Geography 
Score]])</f>
        <v>509</v>
      </c>
      <c r="AA1890" s="3">
        <f>AVERAGE(Table1[[#This Row],[Math 
Score]],Table1[[#This Row],[History 
Score]],Table1[[#This Row],[Physics 
Score]],Table1[[#This Row],[Chemistry 
Score]],Table1[[#This Row],[Biology 
Score]],Table1[[#This Row],[English 
Score]],Table1[[#This Row],[Geography 
Score]])</f>
        <v>72.714285714285708</v>
      </c>
      <c r="AB189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890">
        <f t="shared" si="29"/>
        <v>1835</v>
      </c>
      <c r="AD1890" t="str">
        <f>_xlfn.IFS(Table1[[#This Row],[Absence 
Days]]&lt;3,"Excellent",Table1[[#This Row],[Absence 
Days]]&lt;=6,"Good",Table1[[#This Row],[Absence 
Days]]&gt;6,"Poor")</f>
        <v>Excellent</v>
      </c>
    </row>
    <row r="1891" spans="1:30" x14ac:dyDescent="0.35">
      <c r="A1891">
        <v>1890</v>
      </c>
      <c r="B1891" s="2" t="s">
        <v>129</v>
      </c>
      <c r="C1891" t="s">
        <v>725</v>
      </c>
      <c r="D1891" t="str">
        <f>_xlfn.TEXTJOIN(" ",TRUE,Table1[[#This Row],[First 
Name]:[Last 
Name]])</f>
        <v>Rachel Reeves</v>
      </c>
      <c r="E1891" t="s">
        <v>3001</v>
      </c>
      <c r="F1891" t="s">
        <v>3245</v>
      </c>
      <c r="G1891" t="str">
        <f ca="1">PROPER(Table1[[#This Row],[Part Time 
Job]])</f>
        <v>False</v>
      </c>
      <c r="H1891" s="3">
        <v>3</v>
      </c>
      <c r="I1891" t="str">
        <f ca="1">PROPER(Table1[[#This Row],[Extracurricular 
Activities]])</f>
        <v>False</v>
      </c>
      <c r="J1891">
        <v>2</v>
      </c>
      <c r="K1891" t="s">
        <v>3115</v>
      </c>
      <c r="L1891">
        <v>64</v>
      </c>
      <c r="M1891" s="12" t="str" cm="1">
        <f t="array" ref="M1891">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891">
        <v>69</v>
      </c>
      <c r="O1891" s="13" t="str" cm="1">
        <f t="array" ref="O189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891">
        <v>79</v>
      </c>
      <c r="Q1891" s="13" t="str" cm="1">
        <f t="array" ref="Q189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891">
        <v>89</v>
      </c>
      <c r="S1891" t="str" cm="1">
        <f t="array" ref="S189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891">
        <v>72</v>
      </c>
      <c r="U1891" t="str" cm="1">
        <f t="array" ref="U189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891">
        <v>64</v>
      </c>
      <c r="W1891" t="str" cm="1">
        <f t="array" ref="W189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891">
        <v>82</v>
      </c>
      <c r="Y1891" t="str" cm="1">
        <f t="array" ref="Y189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891">
        <f>SUM(Table1[[#This Row],[Math 
Score]],Table1[[#This Row],[History 
Score]],Table1[[#This Row],[Physics 
Score]],Table1[[#This Row],[Chemistry 
Score]],Table1[[#This Row],[Biology 
Score]],Table1[[#This Row],[English 
Score]],Table1[[#This Row],[Geography 
Score]])</f>
        <v>519</v>
      </c>
      <c r="AA1891" s="3">
        <f>AVERAGE(Table1[[#This Row],[Math 
Score]],Table1[[#This Row],[History 
Score]],Table1[[#This Row],[Physics 
Score]],Table1[[#This Row],[Chemistry 
Score]],Table1[[#This Row],[Biology 
Score]],Table1[[#This Row],[English 
Score]],Table1[[#This Row],[Geography 
Score]])</f>
        <v>74.142857142857139</v>
      </c>
      <c r="AB189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891">
        <f t="shared" si="29"/>
        <v>1766</v>
      </c>
      <c r="AD1891" t="str">
        <f>_xlfn.IFS(Table1[[#This Row],[Absence 
Days]]&lt;3,"Excellent",Table1[[#This Row],[Absence 
Days]]&lt;=6,"Good",Table1[[#This Row],[Absence 
Days]]&gt;6,"Poor")</f>
        <v>Good</v>
      </c>
    </row>
    <row r="1892" spans="1:30" x14ac:dyDescent="0.35">
      <c r="A1892">
        <v>1891</v>
      </c>
      <c r="B1892" s="2" t="s">
        <v>365</v>
      </c>
      <c r="C1892" t="s">
        <v>1095</v>
      </c>
      <c r="D1892" t="str">
        <f>_xlfn.TEXTJOIN(" ",TRUE,Table1[[#This Row],[First 
Name]:[Last 
Name]])</f>
        <v>Jillian Arroyo</v>
      </c>
      <c r="E1892" t="s">
        <v>3002</v>
      </c>
      <c r="F1892" t="s">
        <v>3245</v>
      </c>
      <c r="G1892" t="str">
        <f ca="1">PROPER(Table1[[#This Row],[Part Time 
Job]])</f>
        <v>True</v>
      </c>
      <c r="H1892" s="3">
        <v>4</v>
      </c>
      <c r="I1892" t="str">
        <f ca="1">PROPER(Table1[[#This Row],[Extracurricular 
Activities]])</f>
        <v>False</v>
      </c>
      <c r="J1892">
        <v>2</v>
      </c>
      <c r="K1892" t="s">
        <v>3126</v>
      </c>
      <c r="L1892">
        <v>99</v>
      </c>
      <c r="M1892" s="12" t="str" cm="1">
        <f t="array" ref="M189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892">
        <v>97</v>
      </c>
      <c r="O1892" s="13" t="str" cm="1">
        <f t="array" ref="O189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892">
        <v>87</v>
      </c>
      <c r="Q1892" s="13" t="str" cm="1">
        <f t="array" ref="Q189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892">
        <v>93</v>
      </c>
      <c r="S1892" t="str" cm="1">
        <f t="array" ref="S189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892">
        <v>79</v>
      </c>
      <c r="U1892" t="str" cm="1">
        <f t="array" ref="U189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892">
        <v>83</v>
      </c>
      <c r="W1892" t="str" cm="1">
        <f t="array" ref="W189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892">
        <v>94</v>
      </c>
      <c r="Y1892" t="str" cm="1">
        <f t="array" ref="Y189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892">
        <f>SUM(Table1[[#This Row],[Math 
Score]],Table1[[#This Row],[History 
Score]],Table1[[#This Row],[Physics 
Score]],Table1[[#This Row],[Chemistry 
Score]],Table1[[#This Row],[Biology 
Score]],Table1[[#This Row],[English 
Score]],Table1[[#This Row],[Geography 
Score]])</f>
        <v>632</v>
      </c>
      <c r="AA1892" s="3">
        <f>AVERAGE(Table1[[#This Row],[Math 
Score]],Table1[[#This Row],[History 
Score]],Table1[[#This Row],[Physics 
Score]],Table1[[#This Row],[Chemistry 
Score]],Table1[[#This Row],[Biology 
Score]],Table1[[#This Row],[English 
Score]],Table1[[#This Row],[Geography 
Score]])</f>
        <v>90.285714285714292</v>
      </c>
      <c r="AB189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892">
        <f t="shared" si="29"/>
        <v>143</v>
      </c>
      <c r="AD1892" t="str">
        <f>_xlfn.IFS(Table1[[#This Row],[Absence 
Days]]&lt;3,"Excellent",Table1[[#This Row],[Absence 
Days]]&lt;=6,"Good",Table1[[#This Row],[Absence 
Days]]&gt;6,"Poor")</f>
        <v>Good</v>
      </c>
    </row>
    <row r="1893" spans="1:30" x14ac:dyDescent="0.35">
      <c r="A1893">
        <v>1892</v>
      </c>
      <c r="B1893" s="2" t="s">
        <v>11</v>
      </c>
      <c r="C1893" t="s">
        <v>154</v>
      </c>
      <c r="D1893" t="str">
        <f>_xlfn.TEXTJOIN(" ",TRUE,Table1[[#This Row],[First 
Name]:[Last 
Name]])</f>
        <v>Patricia Douglas</v>
      </c>
      <c r="E1893" t="s">
        <v>3003</v>
      </c>
      <c r="F1893" t="s">
        <v>3245</v>
      </c>
      <c r="G1893" t="str">
        <f ca="1">PROPER(Table1[[#This Row],[Part Time 
Job]])</f>
        <v>True</v>
      </c>
      <c r="H1893" s="3">
        <v>6</v>
      </c>
      <c r="I1893" t="str">
        <f ca="1">PROPER(Table1[[#This Row],[Extracurricular 
Activities]])</f>
        <v>False</v>
      </c>
      <c r="J1893">
        <v>5</v>
      </c>
      <c r="K1893" t="s">
        <v>3119</v>
      </c>
      <c r="L1893">
        <v>46</v>
      </c>
      <c r="M1893" s="12" t="str" cm="1">
        <f t="array" ref="M1893">_xlfn.IFS(Table1[[#This Row],[Math 
Score]]&gt;=90,"A+",Table1[[#This Row],[Math 
Score]]&gt;=80,"A", Table1[[#This Row],[Math 
Score]]&gt;=75,"A-",Table1[[#This Row],[Math 
Score]]&gt;=70,"B+",Table1[[#This Row],[Math 
Score]]&gt;=65,"B",Table1[[#This Row],[Math 
Score]]&gt;=60,"B-",Table1[[#This Row],[Math 
Score]]&gt;=50,"C",Table1[[#This Row],[Math 
Score]]&gt;=40,"D",Table1[[#This Row],[Math 
Score]]&lt;40,"F")</f>
        <v>D</v>
      </c>
      <c r="N1893">
        <v>53</v>
      </c>
      <c r="O1893" s="13" t="str" cm="1">
        <f t="array" ref="O189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C</v>
      </c>
      <c r="P1893">
        <v>92</v>
      </c>
      <c r="Q1893" s="13" t="str" cm="1">
        <f t="array" ref="Q189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893">
        <v>71</v>
      </c>
      <c r="S1893" t="str" cm="1">
        <f t="array" ref="S189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893">
        <v>90</v>
      </c>
      <c r="U1893" t="str" cm="1">
        <f t="array" ref="U189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893">
        <v>76</v>
      </c>
      <c r="W1893" t="str" cm="1">
        <f t="array" ref="W189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893">
        <v>81</v>
      </c>
      <c r="Y1893" t="str" cm="1">
        <f t="array" ref="Y189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893">
        <f>SUM(Table1[[#This Row],[Math 
Score]],Table1[[#This Row],[History 
Score]],Table1[[#This Row],[Physics 
Score]],Table1[[#This Row],[Chemistry 
Score]],Table1[[#This Row],[Biology 
Score]],Table1[[#This Row],[English 
Score]],Table1[[#This Row],[Geography 
Score]])</f>
        <v>509</v>
      </c>
      <c r="AA1893" s="3">
        <f>AVERAGE(Table1[[#This Row],[Math 
Score]],Table1[[#This Row],[History 
Score]],Table1[[#This Row],[Physics 
Score]],Table1[[#This Row],[Chemistry 
Score]],Table1[[#This Row],[Biology 
Score]],Table1[[#This Row],[English 
Score]],Table1[[#This Row],[Geography 
Score]])</f>
        <v>72.714285714285708</v>
      </c>
      <c r="AB189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893">
        <f t="shared" si="29"/>
        <v>1835</v>
      </c>
      <c r="AD1893" t="str">
        <f>_xlfn.IFS(Table1[[#This Row],[Absence 
Days]]&lt;3,"Excellent",Table1[[#This Row],[Absence 
Days]]&lt;=6,"Good",Table1[[#This Row],[Absence 
Days]]&gt;6,"Poor")</f>
        <v>Good</v>
      </c>
    </row>
    <row r="1894" spans="1:30" x14ac:dyDescent="0.35">
      <c r="A1894">
        <v>1893</v>
      </c>
      <c r="B1894" s="2" t="s">
        <v>191</v>
      </c>
      <c r="C1894" t="s">
        <v>522</v>
      </c>
      <c r="D1894" t="str">
        <f>_xlfn.TEXTJOIN(" ",TRUE,Table1[[#This Row],[First 
Name]:[Last 
Name]])</f>
        <v>Brandon Butler</v>
      </c>
      <c r="E1894" t="s">
        <v>3004</v>
      </c>
      <c r="F1894" t="s">
        <v>3244</v>
      </c>
      <c r="G1894" t="str">
        <f ca="1">PROPER(Table1[[#This Row],[Part Time 
Job]])</f>
        <v>False</v>
      </c>
      <c r="H1894" s="3">
        <v>1</v>
      </c>
      <c r="I1894" t="str">
        <f ca="1">PROPER(Table1[[#This Row],[Extracurricular 
Activities]])</f>
        <v>False</v>
      </c>
      <c r="J1894">
        <v>21</v>
      </c>
      <c r="K1894" t="s">
        <v>3117</v>
      </c>
      <c r="L1894">
        <v>89</v>
      </c>
      <c r="M1894" s="12" t="str" cm="1">
        <f t="array" ref="M189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894">
        <v>87</v>
      </c>
      <c r="O1894" s="13" t="str" cm="1">
        <f t="array" ref="O189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894">
        <v>81</v>
      </c>
      <c r="Q1894" s="13" t="str" cm="1">
        <f t="array" ref="Q189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894">
        <v>67</v>
      </c>
      <c r="S1894" t="str" cm="1">
        <f t="array" ref="S189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894">
        <v>93</v>
      </c>
      <c r="U1894" t="str" cm="1">
        <f t="array" ref="U189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894">
        <v>98</v>
      </c>
      <c r="W1894" t="str" cm="1">
        <f t="array" ref="W189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894">
        <v>68</v>
      </c>
      <c r="Y1894" t="str" cm="1">
        <f t="array" ref="Y189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894">
        <f>SUM(Table1[[#This Row],[Math 
Score]],Table1[[#This Row],[History 
Score]],Table1[[#This Row],[Physics 
Score]],Table1[[#This Row],[Chemistry 
Score]],Table1[[#This Row],[Biology 
Score]],Table1[[#This Row],[English 
Score]],Table1[[#This Row],[Geography 
Score]])</f>
        <v>583</v>
      </c>
      <c r="AA1894" s="3">
        <f>AVERAGE(Table1[[#This Row],[Math 
Score]],Table1[[#This Row],[History 
Score]],Table1[[#This Row],[Physics 
Score]],Table1[[#This Row],[Chemistry 
Score]],Table1[[#This Row],[Biology 
Score]],Table1[[#This Row],[English 
Score]],Table1[[#This Row],[Geography 
Score]])</f>
        <v>83.285714285714292</v>
      </c>
      <c r="AB189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894">
        <f t="shared" si="29"/>
        <v>655</v>
      </c>
      <c r="AD1894" t="str">
        <f>_xlfn.IFS(Table1[[#This Row],[Absence 
Days]]&lt;3,"Excellent",Table1[[#This Row],[Absence 
Days]]&lt;=6,"Good",Table1[[#This Row],[Absence 
Days]]&gt;6,"Poor")</f>
        <v>Excellent</v>
      </c>
    </row>
    <row r="1895" spans="1:30" x14ac:dyDescent="0.35">
      <c r="A1895">
        <v>1894</v>
      </c>
      <c r="B1895" s="2" t="s">
        <v>123</v>
      </c>
      <c r="C1895" t="s">
        <v>629</v>
      </c>
      <c r="D1895" t="str">
        <f>_xlfn.TEXTJOIN(" ",TRUE,Table1[[#This Row],[First 
Name]:[Last 
Name]])</f>
        <v>Erica Valdez</v>
      </c>
      <c r="E1895" t="s">
        <v>3005</v>
      </c>
      <c r="F1895" t="s">
        <v>3245</v>
      </c>
      <c r="G1895" t="str">
        <f ca="1">PROPER(Table1[[#This Row],[Part Time 
Job]])</f>
        <v>False</v>
      </c>
      <c r="H1895" s="3">
        <v>6</v>
      </c>
      <c r="I1895" t="str">
        <f ca="1">PROPER(Table1[[#This Row],[Extracurricular 
Activities]])</f>
        <v>False</v>
      </c>
      <c r="J1895">
        <v>12</v>
      </c>
      <c r="K1895" t="s">
        <v>3124</v>
      </c>
      <c r="L1895">
        <v>83</v>
      </c>
      <c r="M1895" s="12" t="str" cm="1">
        <f t="array" ref="M189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895">
        <v>79</v>
      </c>
      <c r="O1895" s="13" t="str" cm="1">
        <f t="array" ref="O189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895">
        <v>87</v>
      </c>
      <c r="Q1895" s="13" t="str" cm="1">
        <f t="array" ref="Q189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895">
        <v>66</v>
      </c>
      <c r="S1895" t="str" cm="1">
        <f t="array" ref="S189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895">
        <v>78</v>
      </c>
      <c r="U1895" t="str" cm="1">
        <f t="array" ref="U189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895">
        <v>93</v>
      </c>
      <c r="W1895" t="str" cm="1">
        <f t="array" ref="W189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895">
        <v>82</v>
      </c>
      <c r="Y1895" t="str" cm="1">
        <f t="array" ref="Y189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895">
        <f>SUM(Table1[[#This Row],[Math 
Score]],Table1[[#This Row],[History 
Score]],Table1[[#This Row],[Physics 
Score]],Table1[[#This Row],[Chemistry 
Score]],Table1[[#This Row],[Biology 
Score]],Table1[[#This Row],[English 
Score]],Table1[[#This Row],[Geography 
Score]])</f>
        <v>568</v>
      </c>
      <c r="AA1895" s="3">
        <f>AVERAGE(Table1[[#This Row],[Math 
Score]],Table1[[#This Row],[History 
Score]],Table1[[#This Row],[Physics 
Score]],Table1[[#This Row],[Chemistry 
Score]],Table1[[#This Row],[Biology 
Score]],Table1[[#This Row],[English 
Score]],Table1[[#This Row],[Geography 
Score]])</f>
        <v>81.142857142857139</v>
      </c>
      <c r="AB189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895">
        <f t="shared" si="29"/>
        <v>975</v>
      </c>
      <c r="AD1895" t="str">
        <f>_xlfn.IFS(Table1[[#This Row],[Absence 
Days]]&lt;3,"Excellent",Table1[[#This Row],[Absence 
Days]]&lt;=6,"Good",Table1[[#This Row],[Absence 
Days]]&gt;6,"Poor")</f>
        <v>Good</v>
      </c>
    </row>
    <row r="1896" spans="1:30" x14ac:dyDescent="0.35">
      <c r="A1896">
        <v>1895</v>
      </c>
      <c r="B1896" s="2" t="s">
        <v>323</v>
      </c>
      <c r="C1896" t="s">
        <v>803</v>
      </c>
      <c r="D1896" t="str">
        <f>_xlfn.TEXTJOIN(" ",TRUE,Table1[[#This Row],[First 
Name]:[Last 
Name]])</f>
        <v>Alexis Byrd</v>
      </c>
      <c r="E1896" t="s">
        <v>3006</v>
      </c>
      <c r="F1896" t="s">
        <v>3245</v>
      </c>
      <c r="G1896" t="str">
        <f ca="1">PROPER(Table1[[#This Row],[Part Time 
Job]])</f>
        <v>True</v>
      </c>
      <c r="H1896" s="3">
        <v>5</v>
      </c>
      <c r="I1896" t="str">
        <f ca="1">PROPER(Table1[[#This Row],[Extracurricular 
Activities]])</f>
        <v>False</v>
      </c>
      <c r="J1896">
        <v>0</v>
      </c>
      <c r="K1896" t="s">
        <v>3119</v>
      </c>
      <c r="L1896">
        <v>51</v>
      </c>
      <c r="M1896" s="12" t="str" cm="1">
        <f t="array" ref="M1896">_xlfn.IFS(Table1[[#This Row],[Math 
Score]]&gt;=90,"A+",Table1[[#This Row],[Math 
Score]]&gt;=80,"A", Table1[[#This Row],[Math 
Score]]&gt;=75,"A-",Table1[[#This Row],[Math 
Score]]&gt;=70,"B+",Table1[[#This Row],[Math 
Score]]&gt;=65,"B",Table1[[#This Row],[Math 
Score]]&gt;=60,"B-",Table1[[#This Row],[Math 
Score]]&gt;=50,"C",Table1[[#This Row],[Math 
Score]]&gt;=40,"D",Table1[[#This Row],[Math 
Score]]&lt;40,"F")</f>
        <v>C</v>
      </c>
      <c r="N1896">
        <v>55</v>
      </c>
      <c r="O1896" s="13" t="str" cm="1">
        <f t="array" ref="O189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C</v>
      </c>
      <c r="P1896">
        <v>87</v>
      </c>
      <c r="Q1896" s="13" t="str" cm="1">
        <f t="array" ref="Q189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896">
        <v>51</v>
      </c>
      <c r="S1896" t="str" cm="1">
        <f t="array" ref="S189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C</v>
      </c>
      <c r="T1896">
        <v>77</v>
      </c>
      <c r="U1896" t="str" cm="1">
        <f t="array" ref="U189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896">
        <v>87</v>
      </c>
      <c r="W1896" t="str" cm="1">
        <f t="array" ref="W189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896">
        <v>65</v>
      </c>
      <c r="Y1896" t="str" cm="1">
        <f t="array" ref="Y189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896">
        <f>SUM(Table1[[#This Row],[Math 
Score]],Table1[[#This Row],[History 
Score]],Table1[[#This Row],[Physics 
Score]],Table1[[#This Row],[Chemistry 
Score]],Table1[[#This Row],[Biology 
Score]],Table1[[#This Row],[English 
Score]],Table1[[#This Row],[Geography 
Score]])</f>
        <v>473</v>
      </c>
      <c r="AA1896" s="3">
        <f>AVERAGE(Table1[[#This Row],[Math 
Score]],Table1[[#This Row],[History 
Score]],Table1[[#This Row],[Physics 
Score]],Table1[[#This Row],[Chemistry 
Score]],Table1[[#This Row],[Biology 
Score]],Table1[[#This Row],[English 
Score]],Table1[[#This Row],[Geography 
Score]])</f>
        <v>67.571428571428569</v>
      </c>
      <c r="AB189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896">
        <f t="shared" si="29"/>
        <v>1952</v>
      </c>
      <c r="AD1896" t="str">
        <f>_xlfn.IFS(Table1[[#This Row],[Absence 
Days]]&lt;3,"Excellent",Table1[[#This Row],[Absence 
Days]]&lt;=6,"Good",Table1[[#This Row],[Absence 
Days]]&gt;6,"Poor")</f>
        <v>Good</v>
      </c>
    </row>
    <row r="1897" spans="1:30" x14ac:dyDescent="0.35">
      <c r="A1897">
        <v>1896</v>
      </c>
      <c r="B1897" s="2" t="s">
        <v>71</v>
      </c>
      <c r="C1897" t="s">
        <v>461</v>
      </c>
      <c r="D1897" t="str">
        <f>_xlfn.TEXTJOIN(" ",TRUE,Table1[[#This Row],[First 
Name]:[Last 
Name]])</f>
        <v>James Simpson</v>
      </c>
      <c r="E1897" t="s">
        <v>3007</v>
      </c>
      <c r="F1897" t="s">
        <v>3244</v>
      </c>
      <c r="G1897" t="str">
        <f ca="1">PROPER(Table1[[#This Row],[Part Time 
Job]])</f>
        <v>False</v>
      </c>
      <c r="H1897" s="3">
        <v>5</v>
      </c>
      <c r="I1897" t="str">
        <f ca="1">PROPER(Table1[[#This Row],[Extracurricular 
Activities]])</f>
        <v>False</v>
      </c>
      <c r="J1897">
        <v>26</v>
      </c>
      <c r="K1897" t="s">
        <v>3123</v>
      </c>
      <c r="L1897">
        <v>79</v>
      </c>
      <c r="M1897" s="12" t="str" cm="1">
        <f t="array" ref="M189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897">
        <v>90</v>
      </c>
      <c r="O1897" s="13" t="str" cm="1">
        <f t="array" ref="O189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897">
        <v>82</v>
      </c>
      <c r="Q1897" s="13" t="str" cm="1">
        <f t="array" ref="Q189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897">
        <v>92</v>
      </c>
      <c r="S1897" t="str" cm="1">
        <f t="array" ref="S189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897">
        <v>70</v>
      </c>
      <c r="U1897" t="str" cm="1">
        <f t="array" ref="U189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897">
        <v>60</v>
      </c>
      <c r="W1897" t="str" cm="1">
        <f t="array" ref="W189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897">
        <v>80</v>
      </c>
      <c r="Y1897" t="str" cm="1">
        <f t="array" ref="Y189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897">
        <f>SUM(Table1[[#This Row],[Math 
Score]],Table1[[#This Row],[History 
Score]],Table1[[#This Row],[Physics 
Score]],Table1[[#This Row],[Chemistry 
Score]],Table1[[#This Row],[Biology 
Score]],Table1[[#This Row],[English 
Score]],Table1[[#This Row],[Geography 
Score]])</f>
        <v>553</v>
      </c>
      <c r="AA1897" s="3">
        <f>AVERAGE(Table1[[#This Row],[Math 
Score]],Table1[[#This Row],[History 
Score]],Table1[[#This Row],[Physics 
Score]],Table1[[#This Row],[Chemistry 
Score]],Table1[[#This Row],[Biology 
Score]],Table1[[#This Row],[English 
Score]],Table1[[#This Row],[Geography 
Score]])</f>
        <v>79</v>
      </c>
      <c r="AB189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897">
        <f t="shared" si="29"/>
        <v>1284</v>
      </c>
      <c r="AD1897" t="str">
        <f>_xlfn.IFS(Table1[[#This Row],[Absence 
Days]]&lt;3,"Excellent",Table1[[#This Row],[Absence 
Days]]&lt;=6,"Good",Table1[[#This Row],[Absence 
Days]]&gt;6,"Poor")</f>
        <v>Good</v>
      </c>
    </row>
    <row r="1898" spans="1:30" x14ac:dyDescent="0.35">
      <c r="A1898">
        <v>1897</v>
      </c>
      <c r="B1898" s="2" t="s">
        <v>74</v>
      </c>
      <c r="C1898" t="s">
        <v>664</v>
      </c>
      <c r="D1898" t="str">
        <f>_xlfn.TEXTJOIN(" ",TRUE,Table1[[#This Row],[First 
Name]:[Last 
Name]])</f>
        <v>Robert Campbell</v>
      </c>
      <c r="E1898" t="s">
        <v>3008</v>
      </c>
      <c r="F1898" t="s">
        <v>3244</v>
      </c>
      <c r="G1898" t="str">
        <f ca="1">PROPER(Table1[[#This Row],[Part Time 
Job]])</f>
        <v>False</v>
      </c>
      <c r="H1898" s="3">
        <v>3</v>
      </c>
      <c r="I1898" t="str">
        <f ca="1">PROPER(Table1[[#This Row],[Extracurricular 
Activities]])</f>
        <v>False</v>
      </c>
      <c r="J1898">
        <v>15</v>
      </c>
      <c r="K1898" t="s">
        <v>3123</v>
      </c>
      <c r="L1898">
        <v>97</v>
      </c>
      <c r="M1898" s="12" t="str" cm="1">
        <f t="array" ref="M189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898">
        <v>73</v>
      </c>
      <c r="O1898" s="13" t="str" cm="1">
        <f t="array" ref="O189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898">
        <v>64</v>
      </c>
      <c r="Q1898" s="13" t="str" cm="1">
        <f t="array" ref="Q189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898">
        <v>95</v>
      </c>
      <c r="S1898" t="str" cm="1">
        <f t="array" ref="S189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898">
        <v>71</v>
      </c>
      <c r="U1898" t="str" cm="1">
        <f t="array" ref="U189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898">
        <v>68</v>
      </c>
      <c r="W1898" t="str" cm="1">
        <f t="array" ref="W189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898">
        <v>78</v>
      </c>
      <c r="Y1898" t="str" cm="1">
        <f t="array" ref="Y189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898">
        <f>SUM(Table1[[#This Row],[Math 
Score]],Table1[[#This Row],[History 
Score]],Table1[[#This Row],[Physics 
Score]],Table1[[#This Row],[Chemistry 
Score]],Table1[[#This Row],[Biology 
Score]],Table1[[#This Row],[English 
Score]],Table1[[#This Row],[Geography 
Score]])</f>
        <v>546</v>
      </c>
      <c r="AA1898" s="3">
        <f>AVERAGE(Table1[[#This Row],[Math 
Score]],Table1[[#This Row],[History 
Score]],Table1[[#This Row],[Physics 
Score]],Table1[[#This Row],[Chemistry 
Score]],Table1[[#This Row],[Biology 
Score]],Table1[[#This Row],[English 
Score]],Table1[[#This Row],[Geography 
Score]])</f>
        <v>78</v>
      </c>
      <c r="AB189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898">
        <f t="shared" si="29"/>
        <v>1411</v>
      </c>
      <c r="AD1898" t="str">
        <f>_xlfn.IFS(Table1[[#This Row],[Absence 
Days]]&lt;3,"Excellent",Table1[[#This Row],[Absence 
Days]]&lt;=6,"Good",Table1[[#This Row],[Absence 
Days]]&gt;6,"Poor")</f>
        <v>Good</v>
      </c>
    </row>
    <row r="1899" spans="1:30" x14ac:dyDescent="0.35">
      <c r="A1899">
        <v>1898</v>
      </c>
      <c r="B1899" s="2" t="s">
        <v>203</v>
      </c>
      <c r="C1899" t="s">
        <v>458</v>
      </c>
      <c r="D1899" t="str">
        <f>_xlfn.TEXTJOIN(" ",TRUE,Table1[[#This Row],[First 
Name]:[Last 
Name]])</f>
        <v>Nicole Smith</v>
      </c>
      <c r="E1899" t="s">
        <v>3009</v>
      </c>
      <c r="F1899" t="s">
        <v>3245</v>
      </c>
      <c r="G1899" t="str">
        <f ca="1">PROPER(Table1[[#This Row],[Part Time 
Job]])</f>
        <v>True</v>
      </c>
      <c r="H1899" s="3">
        <v>1</v>
      </c>
      <c r="I1899" t="str">
        <f ca="1">PROPER(Table1[[#This Row],[Extracurricular 
Activities]])</f>
        <v>False</v>
      </c>
      <c r="J1899">
        <v>14</v>
      </c>
      <c r="K1899" t="s">
        <v>3123</v>
      </c>
      <c r="L1899">
        <v>100</v>
      </c>
      <c r="M1899" s="12" t="str" cm="1">
        <f t="array" ref="M189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899">
        <v>68</v>
      </c>
      <c r="O1899" s="13" t="str" cm="1">
        <f t="array" ref="O189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899">
        <v>85</v>
      </c>
      <c r="Q1899" s="13" t="str" cm="1">
        <f t="array" ref="Q189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899">
        <v>85</v>
      </c>
      <c r="S1899" t="str" cm="1">
        <f t="array" ref="S189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899">
        <v>62</v>
      </c>
      <c r="U1899" t="str" cm="1">
        <f t="array" ref="U189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899">
        <v>63</v>
      </c>
      <c r="W1899" t="str" cm="1">
        <f t="array" ref="W189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899">
        <v>92</v>
      </c>
      <c r="Y1899" t="str" cm="1">
        <f t="array" ref="Y189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899">
        <f>SUM(Table1[[#This Row],[Math 
Score]],Table1[[#This Row],[History 
Score]],Table1[[#This Row],[Physics 
Score]],Table1[[#This Row],[Chemistry 
Score]],Table1[[#This Row],[Biology 
Score]],Table1[[#This Row],[English 
Score]],Table1[[#This Row],[Geography 
Score]])</f>
        <v>555</v>
      </c>
      <c r="AA1899" s="3">
        <f>AVERAGE(Table1[[#This Row],[Math 
Score]],Table1[[#This Row],[History 
Score]],Table1[[#This Row],[Physics 
Score]],Table1[[#This Row],[Chemistry 
Score]],Table1[[#This Row],[Biology 
Score]],Table1[[#This Row],[English 
Score]],Table1[[#This Row],[Geography 
Score]])</f>
        <v>79.285714285714292</v>
      </c>
      <c r="AB189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899">
        <f t="shared" si="29"/>
        <v>1245</v>
      </c>
      <c r="AD1899" t="str">
        <f>_xlfn.IFS(Table1[[#This Row],[Absence 
Days]]&lt;3,"Excellent",Table1[[#This Row],[Absence 
Days]]&lt;=6,"Good",Table1[[#This Row],[Absence 
Days]]&gt;6,"Poor")</f>
        <v>Excellent</v>
      </c>
    </row>
    <row r="1900" spans="1:30" x14ac:dyDescent="0.35">
      <c r="A1900">
        <v>1899</v>
      </c>
      <c r="B1900" s="2" t="s">
        <v>11</v>
      </c>
      <c r="C1900" t="s">
        <v>976</v>
      </c>
      <c r="D1900" t="str">
        <f>_xlfn.TEXTJOIN(" ",TRUE,Table1[[#This Row],[First 
Name]:[Last 
Name]])</f>
        <v>Patricia Porter</v>
      </c>
      <c r="E1900" t="s">
        <v>3010</v>
      </c>
      <c r="F1900" t="s">
        <v>3245</v>
      </c>
      <c r="G1900" t="str">
        <f ca="1">PROPER(Table1[[#This Row],[Part Time 
Job]])</f>
        <v>False</v>
      </c>
      <c r="H1900" s="3">
        <v>6</v>
      </c>
      <c r="I1900" t="str">
        <f ca="1">PROPER(Table1[[#This Row],[Extracurricular 
Activities]])</f>
        <v>False</v>
      </c>
      <c r="J1900">
        <v>9</v>
      </c>
      <c r="K1900" t="s">
        <v>3118</v>
      </c>
      <c r="L1900">
        <v>70</v>
      </c>
      <c r="M1900" s="12" t="str" cm="1">
        <f t="array" ref="M1900">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900">
        <v>99</v>
      </c>
      <c r="O1900" s="13" t="str" cm="1">
        <f t="array" ref="O190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900">
        <v>60</v>
      </c>
      <c r="Q1900" s="13" t="str" cm="1">
        <f t="array" ref="Q190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900">
        <v>79</v>
      </c>
      <c r="S1900" t="str" cm="1">
        <f t="array" ref="S190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900">
        <v>71</v>
      </c>
      <c r="U1900" t="str" cm="1">
        <f t="array" ref="U190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900">
        <v>79</v>
      </c>
      <c r="W1900" t="str" cm="1">
        <f t="array" ref="W190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900">
        <v>75</v>
      </c>
      <c r="Y1900" t="str" cm="1">
        <f t="array" ref="Y190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900">
        <f>SUM(Table1[[#This Row],[Math 
Score]],Table1[[#This Row],[History 
Score]],Table1[[#This Row],[Physics 
Score]],Table1[[#This Row],[Chemistry 
Score]],Table1[[#This Row],[Biology 
Score]],Table1[[#This Row],[English 
Score]],Table1[[#This Row],[Geography 
Score]])</f>
        <v>533</v>
      </c>
      <c r="AA1900" s="3">
        <f>AVERAGE(Table1[[#This Row],[Math 
Score]],Table1[[#This Row],[History 
Score]],Table1[[#This Row],[Physics 
Score]],Table1[[#This Row],[Chemistry 
Score]],Table1[[#This Row],[Biology 
Score]],Table1[[#This Row],[English 
Score]],Table1[[#This Row],[Geography 
Score]])</f>
        <v>76.142857142857139</v>
      </c>
      <c r="AB190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900">
        <f t="shared" si="29"/>
        <v>1613</v>
      </c>
      <c r="AD1900" t="str">
        <f>_xlfn.IFS(Table1[[#This Row],[Absence 
Days]]&lt;3,"Excellent",Table1[[#This Row],[Absence 
Days]]&lt;=6,"Good",Table1[[#This Row],[Absence 
Days]]&gt;6,"Poor")</f>
        <v>Good</v>
      </c>
    </row>
    <row r="1901" spans="1:30" x14ac:dyDescent="0.35">
      <c r="A1901">
        <v>1900</v>
      </c>
      <c r="B1901" s="2" t="s">
        <v>56</v>
      </c>
      <c r="C1901" t="s">
        <v>1062</v>
      </c>
      <c r="D1901" t="str">
        <f>_xlfn.TEXTJOIN(" ",TRUE,Table1[[#This Row],[First 
Name]:[Last 
Name]])</f>
        <v>Brian Chan</v>
      </c>
      <c r="E1901" t="s">
        <v>3011</v>
      </c>
      <c r="F1901" t="s">
        <v>3244</v>
      </c>
      <c r="G1901" t="str">
        <f ca="1">PROPER(Table1[[#This Row],[Part Time 
Job]])</f>
        <v>False</v>
      </c>
      <c r="H1901" s="3">
        <v>2</v>
      </c>
      <c r="I1901" t="str">
        <f ca="1">PROPER(Table1[[#This Row],[Extracurricular 
Activities]])</f>
        <v>False</v>
      </c>
      <c r="J1901">
        <v>19</v>
      </c>
      <c r="K1901" t="s">
        <v>3116</v>
      </c>
      <c r="L1901">
        <v>70</v>
      </c>
      <c r="M1901" s="12" t="str" cm="1">
        <f t="array" ref="M1901">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901">
        <v>66</v>
      </c>
      <c r="O1901" s="13" t="str" cm="1">
        <f t="array" ref="O190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901">
        <v>90</v>
      </c>
      <c r="Q1901" s="13" t="str" cm="1">
        <f t="array" ref="Q190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901">
        <v>74</v>
      </c>
      <c r="S1901" t="str" cm="1">
        <f t="array" ref="S190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901">
        <v>100</v>
      </c>
      <c r="U1901" t="str" cm="1">
        <f t="array" ref="U190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901">
        <v>96</v>
      </c>
      <c r="W1901" t="str" cm="1">
        <f t="array" ref="W190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901">
        <v>81</v>
      </c>
      <c r="Y1901" t="str" cm="1">
        <f t="array" ref="Y190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901">
        <f>SUM(Table1[[#This Row],[Math 
Score]],Table1[[#This Row],[History 
Score]],Table1[[#This Row],[Physics 
Score]],Table1[[#This Row],[Chemistry 
Score]],Table1[[#This Row],[Biology 
Score]],Table1[[#This Row],[English 
Score]],Table1[[#This Row],[Geography 
Score]])</f>
        <v>577</v>
      </c>
      <c r="AA1901" s="3">
        <f>AVERAGE(Table1[[#This Row],[Math 
Score]],Table1[[#This Row],[History 
Score]],Table1[[#This Row],[Physics 
Score]],Table1[[#This Row],[Chemistry 
Score]],Table1[[#This Row],[Biology 
Score]],Table1[[#This Row],[English 
Score]],Table1[[#This Row],[Geography 
Score]])</f>
        <v>82.428571428571431</v>
      </c>
      <c r="AB190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901">
        <f t="shared" si="29"/>
        <v>769</v>
      </c>
      <c r="AD1901" t="str">
        <f>_xlfn.IFS(Table1[[#This Row],[Absence 
Days]]&lt;3,"Excellent",Table1[[#This Row],[Absence 
Days]]&lt;=6,"Good",Table1[[#This Row],[Absence 
Days]]&gt;6,"Poor")</f>
        <v>Excellent</v>
      </c>
    </row>
    <row r="1902" spans="1:30" x14ac:dyDescent="0.35">
      <c r="A1902">
        <v>1901</v>
      </c>
      <c r="B1902" s="2" t="s">
        <v>282</v>
      </c>
      <c r="C1902" t="s">
        <v>992</v>
      </c>
      <c r="D1902" t="str">
        <f>_xlfn.TEXTJOIN(" ",TRUE,Table1[[#This Row],[First 
Name]:[Last 
Name]])</f>
        <v>Katherine Norman</v>
      </c>
      <c r="E1902" t="s">
        <v>3012</v>
      </c>
      <c r="F1902" t="s">
        <v>3245</v>
      </c>
      <c r="G1902" t="str">
        <f ca="1">PROPER(Table1[[#This Row],[Part Time 
Job]])</f>
        <v>False</v>
      </c>
      <c r="H1902" s="3">
        <v>7</v>
      </c>
      <c r="I1902" t="str">
        <f ca="1">PROPER(Table1[[#This Row],[Extracurricular 
Activities]])</f>
        <v>False</v>
      </c>
      <c r="J1902">
        <v>17</v>
      </c>
      <c r="K1902" t="s">
        <v>3118</v>
      </c>
      <c r="L1902">
        <v>67</v>
      </c>
      <c r="M1902" s="12" t="str" cm="1">
        <f t="array" ref="M1902">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902">
        <v>80</v>
      </c>
      <c r="O1902" s="13" t="str" cm="1">
        <f t="array" ref="O190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902">
        <v>86</v>
      </c>
      <c r="Q1902" s="13" t="str" cm="1">
        <f t="array" ref="Q190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902">
        <v>98</v>
      </c>
      <c r="S1902" t="str" cm="1">
        <f t="array" ref="S190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902">
        <v>83</v>
      </c>
      <c r="U1902" t="str" cm="1">
        <f t="array" ref="U190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902">
        <v>82</v>
      </c>
      <c r="W1902" t="str" cm="1">
        <f t="array" ref="W190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902">
        <v>76</v>
      </c>
      <c r="Y1902" t="str" cm="1">
        <f t="array" ref="Y190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902">
        <f>SUM(Table1[[#This Row],[Math 
Score]],Table1[[#This Row],[History 
Score]],Table1[[#This Row],[Physics 
Score]],Table1[[#This Row],[Chemistry 
Score]],Table1[[#This Row],[Biology 
Score]],Table1[[#This Row],[English 
Score]],Table1[[#This Row],[Geography 
Score]])</f>
        <v>572</v>
      </c>
      <c r="AA1902" s="3">
        <f>AVERAGE(Table1[[#This Row],[Math 
Score]],Table1[[#This Row],[History 
Score]],Table1[[#This Row],[Physics 
Score]],Table1[[#This Row],[Chemistry 
Score]],Table1[[#This Row],[Biology 
Score]],Table1[[#This Row],[English 
Score]],Table1[[#This Row],[Geography 
Score]])</f>
        <v>81.714285714285708</v>
      </c>
      <c r="AB190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902">
        <f t="shared" si="29"/>
        <v>890</v>
      </c>
      <c r="AD1902" t="str">
        <f>_xlfn.IFS(Table1[[#This Row],[Absence 
Days]]&lt;3,"Excellent",Table1[[#This Row],[Absence 
Days]]&lt;=6,"Good",Table1[[#This Row],[Absence 
Days]]&gt;6,"Poor")</f>
        <v>Poor</v>
      </c>
    </row>
    <row r="1903" spans="1:30" x14ac:dyDescent="0.35">
      <c r="A1903">
        <v>1902</v>
      </c>
      <c r="B1903" s="2" t="s">
        <v>12</v>
      </c>
      <c r="C1903" t="s">
        <v>464</v>
      </c>
      <c r="D1903" t="str">
        <f>_xlfn.TEXTJOIN(" ",TRUE,Table1[[#This Row],[First 
Name]:[Last 
Name]])</f>
        <v>Pamela Gomez</v>
      </c>
      <c r="E1903" t="s">
        <v>3013</v>
      </c>
      <c r="F1903" t="s">
        <v>3245</v>
      </c>
      <c r="G1903" t="str">
        <f ca="1">PROPER(Table1[[#This Row],[Part Time 
Job]])</f>
        <v>False</v>
      </c>
      <c r="H1903" s="3">
        <v>3</v>
      </c>
      <c r="I1903" t="str">
        <f ca="1">PROPER(Table1[[#This Row],[Extracurricular 
Activities]])</f>
        <v>True</v>
      </c>
      <c r="J1903">
        <v>9</v>
      </c>
      <c r="K1903" t="s">
        <v>3128</v>
      </c>
      <c r="L1903">
        <v>71</v>
      </c>
      <c r="M1903" s="12" t="str" cm="1">
        <f t="array" ref="M1903">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903">
        <v>95</v>
      </c>
      <c r="O1903" s="13" t="str" cm="1">
        <f t="array" ref="O190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903">
        <v>72</v>
      </c>
      <c r="Q1903" s="13" t="str" cm="1">
        <f t="array" ref="Q190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903">
        <v>88</v>
      </c>
      <c r="S1903" t="str" cm="1">
        <f t="array" ref="S190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903">
        <v>89</v>
      </c>
      <c r="U1903" t="str" cm="1">
        <f t="array" ref="U190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903">
        <v>78</v>
      </c>
      <c r="W1903" t="str" cm="1">
        <f t="array" ref="W190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903">
        <v>67</v>
      </c>
      <c r="Y1903" t="str" cm="1">
        <f t="array" ref="Y190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903">
        <f>SUM(Table1[[#This Row],[Math 
Score]],Table1[[#This Row],[History 
Score]],Table1[[#This Row],[Physics 
Score]],Table1[[#This Row],[Chemistry 
Score]],Table1[[#This Row],[Biology 
Score]],Table1[[#This Row],[English 
Score]],Table1[[#This Row],[Geography 
Score]])</f>
        <v>560</v>
      </c>
      <c r="AA1903" s="3">
        <f>AVERAGE(Table1[[#This Row],[Math 
Score]],Table1[[#This Row],[History 
Score]],Table1[[#This Row],[Physics 
Score]],Table1[[#This Row],[Chemistry 
Score]],Table1[[#This Row],[Biology 
Score]],Table1[[#This Row],[English 
Score]],Table1[[#This Row],[Geography 
Score]])</f>
        <v>80</v>
      </c>
      <c r="AB190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903">
        <f t="shared" si="29"/>
        <v>1134</v>
      </c>
      <c r="AD1903" t="str">
        <f>_xlfn.IFS(Table1[[#This Row],[Absence 
Days]]&lt;3,"Excellent",Table1[[#This Row],[Absence 
Days]]&lt;=6,"Good",Table1[[#This Row],[Absence 
Days]]&gt;6,"Poor")</f>
        <v>Good</v>
      </c>
    </row>
    <row r="1904" spans="1:30" x14ac:dyDescent="0.35">
      <c r="A1904">
        <v>1903</v>
      </c>
      <c r="B1904" s="2" t="s">
        <v>119</v>
      </c>
      <c r="C1904" t="s">
        <v>816</v>
      </c>
      <c r="D1904" t="str">
        <f>_xlfn.TEXTJOIN(" ",TRUE,Table1[[#This Row],[First 
Name]:[Last 
Name]])</f>
        <v>Amy Morrow</v>
      </c>
      <c r="E1904" t="s">
        <v>3014</v>
      </c>
      <c r="F1904" t="s">
        <v>3245</v>
      </c>
      <c r="G1904" t="str">
        <f ca="1">PROPER(Table1[[#This Row],[Part Time 
Job]])</f>
        <v>False</v>
      </c>
      <c r="H1904" s="3">
        <v>5</v>
      </c>
      <c r="I1904" t="str">
        <f ca="1">PROPER(Table1[[#This Row],[Extracurricular 
Activities]])</f>
        <v>True</v>
      </c>
      <c r="J1904">
        <v>14</v>
      </c>
      <c r="K1904" t="s">
        <v>3121</v>
      </c>
      <c r="L1904">
        <v>87</v>
      </c>
      <c r="M1904" s="12" t="str" cm="1">
        <f t="array" ref="M190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904">
        <v>64</v>
      </c>
      <c r="O1904" s="13" t="str" cm="1">
        <f t="array" ref="O190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904">
        <v>68</v>
      </c>
      <c r="Q1904" s="13" t="str" cm="1">
        <f t="array" ref="Q190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904">
        <v>60</v>
      </c>
      <c r="S1904" t="str" cm="1">
        <f t="array" ref="S190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904">
        <v>81</v>
      </c>
      <c r="U1904" t="str" cm="1">
        <f t="array" ref="U190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904">
        <v>75</v>
      </c>
      <c r="W1904" t="str" cm="1">
        <f t="array" ref="W190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904">
        <v>67</v>
      </c>
      <c r="Y1904" t="str" cm="1">
        <f t="array" ref="Y190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904">
        <f>SUM(Table1[[#This Row],[Math 
Score]],Table1[[#This Row],[History 
Score]],Table1[[#This Row],[Physics 
Score]],Table1[[#This Row],[Chemistry 
Score]],Table1[[#This Row],[Biology 
Score]],Table1[[#This Row],[English 
Score]],Table1[[#This Row],[Geography 
Score]])</f>
        <v>502</v>
      </c>
      <c r="AA1904" s="3">
        <f>AVERAGE(Table1[[#This Row],[Math 
Score]],Table1[[#This Row],[History 
Score]],Table1[[#This Row],[Physics 
Score]],Table1[[#This Row],[Chemistry 
Score]],Table1[[#This Row],[Biology 
Score]],Table1[[#This Row],[English 
Score]],Table1[[#This Row],[Geography 
Score]])</f>
        <v>71.714285714285708</v>
      </c>
      <c r="AB190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904">
        <f t="shared" si="29"/>
        <v>1866</v>
      </c>
      <c r="AD1904" t="str">
        <f>_xlfn.IFS(Table1[[#This Row],[Absence 
Days]]&lt;3,"Excellent",Table1[[#This Row],[Absence 
Days]]&lt;=6,"Good",Table1[[#This Row],[Absence 
Days]]&gt;6,"Poor")</f>
        <v>Good</v>
      </c>
    </row>
    <row r="1905" spans="1:30" x14ac:dyDescent="0.35">
      <c r="A1905">
        <v>1904</v>
      </c>
      <c r="B1905" s="2" t="s">
        <v>47</v>
      </c>
      <c r="C1905" t="s">
        <v>593</v>
      </c>
      <c r="D1905" t="str">
        <f>_xlfn.TEXTJOIN(" ",TRUE,Table1[[#This Row],[First 
Name]:[Last 
Name]])</f>
        <v>Luke Hernandez</v>
      </c>
      <c r="E1905" t="s">
        <v>3015</v>
      </c>
      <c r="F1905" t="s">
        <v>3244</v>
      </c>
      <c r="G1905" t="str">
        <f ca="1">PROPER(Table1[[#This Row],[Part Time 
Job]])</f>
        <v>False</v>
      </c>
      <c r="H1905" s="3">
        <v>1</v>
      </c>
      <c r="I1905" t="str">
        <f ca="1">PROPER(Table1[[#This Row],[Extracurricular 
Activities]])</f>
        <v>True</v>
      </c>
      <c r="J1905">
        <v>3</v>
      </c>
      <c r="K1905" t="s">
        <v>3126</v>
      </c>
      <c r="L1905">
        <v>80</v>
      </c>
      <c r="M1905" s="12" t="str" cm="1">
        <f t="array" ref="M190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905">
        <v>79</v>
      </c>
      <c r="O1905" s="13" t="str" cm="1">
        <f t="array" ref="O190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905">
        <v>94</v>
      </c>
      <c r="Q1905" s="13" t="str" cm="1">
        <f t="array" ref="Q190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905">
        <v>74</v>
      </c>
      <c r="S1905" t="str" cm="1">
        <f t="array" ref="S190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905">
        <v>83</v>
      </c>
      <c r="U1905" t="str" cm="1">
        <f t="array" ref="U190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905">
        <v>83</v>
      </c>
      <c r="W1905" t="str" cm="1">
        <f t="array" ref="W190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905">
        <v>61</v>
      </c>
      <c r="Y1905" t="str" cm="1">
        <f t="array" ref="Y190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905">
        <f>SUM(Table1[[#This Row],[Math 
Score]],Table1[[#This Row],[History 
Score]],Table1[[#This Row],[Physics 
Score]],Table1[[#This Row],[Chemistry 
Score]],Table1[[#This Row],[Biology 
Score]],Table1[[#This Row],[English 
Score]],Table1[[#This Row],[Geography 
Score]])</f>
        <v>554</v>
      </c>
      <c r="AA1905" s="3">
        <f>AVERAGE(Table1[[#This Row],[Math 
Score]],Table1[[#This Row],[History 
Score]],Table1[[#This Row],[Physics 
Score]],Table1[[#This Row],[Chemistry 
Score]],Table1[[#This Row],[Biology 
Score]],Table1[[#This Row],[English 
Score]],Table1[[#This Row],[Geography 
Score]])</f>
        <v>79.142857142857139</v>
      </c>
      <c r="AB190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905">
        <f t="shared" si="29"/>
        <v>1264</v>
      </c>
      <c r="AD1905" t="str">
        <f>_xlfn.IFS(Table1[[#This Row],[Absence 
Days]]&lt;3,"Excellent",Table1[[#This Row],[Absence 
Days]]&lt;=6,"Good",Table1[[#This Row],[Absence 
Days]]&gt;6,"Poor")</f>
        <v>Excellent</v>
      </c>
    </row>
    <row r="1906" spans="1:30" x14ac:dyDescent="0.35">
      <c r="A1906">
        <v>1905</v>
      </c>
      <c r="B1906" s="2" t="s">
        <v>150</v>
      </c>
      <c r="C1906" t="s">
        <v>567</v>
      </c>
      <c r="D1906" t="str">
        <f>_xlfn.TEXTJOIN(" ",TRUE,Table1[[#This Row],[First 
Name]:[Last 
Name]])</f>
        <v>Roberto Rodriguez</v>
      </c>
      <c r="E1906" t="s">
        <v>3016</v>
      </c>
      <c r="F1906" t="s">
        <v>3244</v>
      </c>
      <c r="G1906" t="str">
        <f ca="1">PROPER(Table1[[#This Row],[Part Time 
Job]])</f>
        <v>True</v>
      </c>
      <c r="H1906" s="3">
        <v>9</v>
      </c>
      <c r="I1906" t="str">
        <f ca="1">PROPER(Table1[[#This Row],[Extracurricular 
Activities]])</f>
        <v>True</v>
      </c>
      <c r="J1906">
        <v>22</v>
      </c>
      <c r="K1906" t="s">
        <v>3117</v>
      </c>
      <c r="L1906">
        <v>94</v>
      </c>
      <c r="M1906" s="12" t="str" cm="1">
        <f t="array" ref="M190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906">
        <v>80</v>
      </c>
      <c r="O1906" s="13" t="str" cm="1">
        <f t="array" ref="O190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906">
        <v>72</v>
      </c>
      <c r="Q1906" s="13" t="str" cm="1">
        <f t="array" ref="Q190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906">
        <v>90</v>
      </c>
      <c r="S1906" t="str" cm="1">
        <f t="array" ref="S190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906">
        <v>60</v>
      </c>
      <c r="U1906" t="str" cm="1">
        <f t="array" ref="U190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906">
        <v>78</v>
      </c>
      <c r="W1906" t="str" cm="1">
        <f t="array" ref="W190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906">
        <v>94</v>
      </c>
      <c r="Y1906" t="str" cm="1">
        <f t="array" ref="Y190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906">
        <f>SUM(Table1[[#This Row],[Math 
Score]],Table1[[#This Row],[History 
Score]],Table1[[#This Row],[Physics 
Score]],Table1[[#This Row],[Chemistry 
Score]],Table1[[#This Row],[Biology 
Score]],Table1[[#This Row],[English 
Score]],Table1[[#This Row],[Geography 
Score]])</f>
        <v>568</v>
      </c>
      <c r="AA1906" s="3">
        <f>AVERAGE(Table1[[#This Row],[Math 
Score]],Table1[[#This Row],[History 
Score]],Table1[[#This Row],[Physics 
Score]],Table1[[#This Row],[Chemistry 
Score]],Table1[[#This Row],[Biology 
Score]],Table1[[#This Row],[English 
Score]],Table1[[#This Row],[Geography 
Score]])</f>
        <v>81.142857142857139</v>
      </c>
      <c r="AB190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906">
        <f t="shared" si="29"/>
        <v>975</v>
      </c>
      <c r="AD1906" t="str">
        <f>_xlfn.IFS(Table1[[#This Row],[Absence 
Days]]&lt;3,"Excellent",Table1[[#This Row],[Absence 
Days]]&lt;=6,"Good",Table1[[#This Row],[Absence 
Days]]&gt;6,"Poor")</f>
        <v>Poor</v>
      </c>
    </row>
    <row r="1907" spans="1:30" x14ac:dyDescent="0.35">
      <c r="A1907">
        <v>1906</v>
      </c>
      <c r="B1907" s="2" t="s">
        <v>190</v>
      </c>
      <c r="C1907" t="s">
        <v>294</v>
      </c>
      <c r="D1907" t="str">
        <f>_xlfn.TEXTJOIN(" ",TRUE,Table1[[#This Row],[First 
Name]:[Last 
Name]])</f>
        <v>Carla Jackson</v>
      </c>
      <c r="E1907" t="s">
        <v>3017</v>
      </c>
      <c r="F1907" t="s">
        <v>3245</v>
      </c>
      <c r="G1907" t="str">
        <f ca="1">PROPER(Table1[[#This Row],[Part Time 
Job]])</f>
        <v>False</v>
      </c>
      <c r="H1907" s="3">
        <v>3</v>
      </c>
      <c r="I1907" t="str">
        <f ca="1">PROPER(Table1[[#This Row],[Extracurricular 
Activities]])</f>
        <v>False</v>
      </c>
      <c r="J1907">
        <v>10</v>
      </c>
      <c r="K1907" t="s">
        <v>3128</v>
      </c>
      <c r="L1907">
        <v>83</v>
      </c>
      <c r="M1907" s="12" t="str" cm="1">
        <f t="array" ref="M190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907">
        <v>91</v>
      </c>
      <c r="O1907" s="13" t="str" cm="1">
        <f t="array" ref="O190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907">
        <v>82</v>
      </c>
      <c r="Q1907" s="13" t="str" cm="1">
        <f t="array" ref="Q190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907">
        <v>93</v>
      </c>
      <c r="S1907" t="str" cm="1">
        <f t="array" ref="S190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907">
        <v>71</v>
      </c>
      <c r="U1907" t="str" cm="1">
        <f t="array" ref="U190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907">
        <v>80</v>
      </c>
      <c r="W1907" t="str" cm="1">
        <f t="array" ref="W190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907">
        <v>85</v>
      </c>
      <c r="Y1907" t="str" cm="1">
        <f t="array" ref="Y190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907">
        <f>SUM(Table1[[#This Row],[Math 
Score]],Table1[[#This Row],[History 
Score]],Table1[[#This Row],[Physics 
Score]],Table1[[#This Row],[Chemistry 
Score]],Table1[[#This Row],[Biology 
Score]],Table1[[#This Row],[English 
Score]],Table1[[#This Row],[Geography 
Score]])</f>
        <v>585</v>
      </c>
      <c r="AA1907" s="3">
        <f>AVERAGE(Table1[[#This Row],[Math 
Score]],Table1[[#This Row],[History 
Score]],Table1[[#This Row],[Physics 
Score]],Table1[[#This Row],[Chemistry 
Score]],Table1[[#This Row],[Biology 
Score]],Table1[[#This Row],[English 
Score]],Table1[[#This Row],[Geography 
Score]])</f>
        <v>83.571428571428569</v>
      </c>
      <c r="AB190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907">
        <f t="shared" si="29"/>
        <v>615</v>
      </c>
      <c r="AD1907" t="str">
        <f>_xlfn.IFS(Table1[[#This Row],[Absence 
Days]]&lt;3,"Excellent",Table1[[#This Row],[Absence 
Days]]&lt;=6,"Good",Table1[[#This Row],[Absence 
Days]]&gt;6,"Poor")</f>
        <v>Good</v>
      </c>
    </row>
    <row r="1908" spans="1:30" x14ac:dyDescent="0.35">
      <c r="A1908">
        <v>1907</v>
      </c>
      <c r="B1908" s="2" t="s">
        <v>292</v>
      </c>
      <c r="C1908" t="s">
        <v>194</v>
      </c>
      <c r="D1908" t="str">
        <f>_xlfn.TEXTJOIN(" ",TRUE,Table1[[#This Row],[First 
Name]:[Last 
Name]])</f>
        <v>Aaron Allen</v>
      </c>
      <c r="E1908" t="s">
        <v>3018</v>
      </c>
      <c r="F1908" t="s">
        <v>3244</v>
      </c>
      <c r="G1908" t="str">
        <f ca="1">PROPER(Table1[[#This Row],[Part Time 
Job]])</f>
        <v>True</v>
      </c>
      <c r="H1908" s="3">
        <v>1</v>
      </c>
      <c r="I1908" t="str">
        <f ca="1">PROPER(Table1[[#This Row],[Extracurricular 
Activities]])</f>
        <v>False</v>
      </c>
      <c r="J1908">
        <v>1</v>
      </c>
      <c r="K1908" t="s">
        <v>3119</v>
      </c>
      <c r="L1908">
        <v>63</v>
      </c>
      <c r="M1908" s="12" t="str" cm="1">
        <f t="array" ref="M1908">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908">
        <v>69</v>
      </c>
      <c r="O1908" s="13" t="str" cm="1">
        <f t="array" ref="O190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908">
        <v>57</v>
      </c>
      <c r="Q1908" s="13" t="str" cm="1">
        <f t="array" ref="Q190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C</v>
      </c>
      <c r="R1908">
        <v>60</v>
      </c>
      <c r="S1908" t="str" cm="1">
        <f t="array" ref="S190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908">
        <v>80</v>
      </c>
      <c r="U1908" t="str" cm="1">
        <f t="array" ref="U190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908">
        <v>92</v>
      </c>
      <c r="W1908" t="str" cm="1">
        <f t="array" ref="W190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908">
        <v>62</v>
      </c>
      <c r="Y1908" t="str" cm="1">
        <f t="array" ref="Y190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908">
        <f>SUM(Table1[[#This Row],[Math 
Score]],Table1[[#This Row],[History 
Score]],Table1[[#This Row],[Physics 
Score]],Table1[[#This Row],[Chemistry 
Score]],Table1[[#This Row],[Biology 
Score]],Table1[[#This Row],[English 
Score]],Table1[[#This Row],[Geography 
Score]])</f>
        <v>483</v>
      </c>
      <c r="AA1908" s="3">
        <f>AVERAGE(Table1[[#This Row],[Math 
Score]],Table1[[#This Row],[History 
Score]],Table1[[#This Row],[Physics 
Score]],Table1[[#This Row],[Chemistry 
Score]],Table1[[#This Row],[Biology 
Score]],Table1[[#This Row],[English 
Score]],Table1[[#This Row],[Geography 
Score]])</f>
        <v>69</v>
      </c>
      <c r="AB190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908">
        <f t="shared" si="29"/>
        <v>1927</v>
      </c>
      <c r="AD1908" t="str">
        <f>_xlfn.IFS(Table1[[#This Row],[Absence 
Days]]&lt;3,"Excellent",Table1[[#This Row],[Absence 
Days]]&lt;=6,"Good",Table1[[#This Row],[Absence 
Days]]&gt;6,"Poor")</f>
        <v>Excellent</v>
      </c>
    </row>
    <row r="1909" spans="1:30" x14ac:dyDescent="0.35">
      <c r="A1909">
        <v>1908</v>
      </c>
      <c r="B1909" s="2" t="s">
        <v>97</v>
      </c>
      <c r="C1909" t="s">
        <v>1102</v>
      </c>
      <c r="D1909" t="str">
        <f>_xlfn.TEXTJOIN(" ",TRUE,Table1[[#This Row],[First 
Name]:[Last 
Name]])</f>
        <v>Wendy Burch</v>
      </c>
      <c r="E1909" t="s">
        <v>3019</v>
      </c>
      <c r="F1909" t="s">
        <v>3245</v>
      </c>
      <c r="G1909" t="str">
        <f ca="1">PROPER(Table1[[#This Row],[Part Time 
Job]])</f>
        <v>False</v>
      </c>
      <c r="H1909" s="3">
        <v>0</v>
      </c>
      <c r="I1909" t="str">
        <f ca="1">PROPER(Table1[[#This Row],[Extracurricular 
Activities]])</f>
        <v>False</v>
      </c>
      <c r="J1909">
        <v>10</v>
      </c>
      <c r="K1909" t="s">
        <v>3116</v>
      </c>
      <c r="L1909">
        <v>93</v>
      </c>
      <c r="M1909" s="12" t="str" cm="1">
        <f t="array" ref="M190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909">
        <v>78</v>
      </c>
      <c r="O1909" s="13" t="str" cm="1">
        <f t="array" ref="O190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909">
        <v>72</v>
      </c>
      <c r="Q1909" s="13" t="str" cm="1">
        <f t="array" ref="Q190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909">
        <v>66</v>
      </c>
      <c r="S1909" t="str" cm="1">
        <f t="array" ref="S190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909">
        <v>73</v>
      </c>
      <c r="U1909" t="str" cm="1">
        <f t="array" ref="U190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909">
        <v>76</v>
      </c>
      <c r="W1909" t="str" cm="1">
        <f t="array" ref="W190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909">
        <v>68</v>
      </c>
      <c r="Y1909" t="str" cm="1">
        <f t="array" ref="Y190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909">
        <f>SUM(Table1[[#This Row],[Math 
Score]],Table1[[#This Row],[History 
Score]],Table1[[#This Row],[Physics 
Score]],Table1[[#This Row],[Chemistry 
Score]],Table1[[#This Row],[Biology 
Score]],Table1[[#This Row],[English 
Score]],Table1[[#This Row],[Geography 
Score]])</f>
        <v>526</v>
      </c>
      <c r="AA1909" s="3">
        <f>AVERAGE(Table1[[#This Row],[Math 
Score]],Table1[[#This Row],[History 
Score]],Table1[[#This Row],[Physics 
Score]],Table1[[#This Row],[Chemistry 
Score]],Table1[[#This Row],[Biology 
Score]],Table1[[#This Row],[English 
Score]],Table1[[#This Row],[Geography 
Score]])</f>
        <v>75.142857142857139</v>
      </c>
      <c r="AB190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909">
        <f t="shared" si="29"/>
        <v>1688</v>
      </c>
      <c r="AD1909" t="str">
        <f>_xlfn.IFS(Table1[[#This Row],[Absence 
Days]]&lt;3,"Excellent",Table1[[#This Row],[Absence 
Days]]&lt;=6,"Good",Table1[[#This Row],[Absence 
Days]]&gt;6,"Poor")</f>
        <v>Excellent</v>
      </c>
    </row>
    <row r="1910" spans="1:30" x14ac:dyDescent="0.35">
      <c r="A1910">
        <v>1909</v>
      </c>
      <c r="B1910" s="2" t="s">
        <v>165</v>
      </c>
      <c r="C1910" t="s">
        <v>533</v>
      </c>
      <c r="D1910" t="str">
        <f>_xlfn.TEXTJOIN(" ",TRUE,Table1[[#This Row],[First 
Name]:[Last 
Name]])</f>
        <v>Sarah Hansen</v>
      </c>
      <c r="E1910" t="s">
        <v>3020</v>
      </c>
      <c r="F1910" t="s">
        <v>3245</v>
      </c>
      <c r="G1910" t="str">
        <f ca="1">PROPER(Table1[[#This Row],[Part Time 
Job]])</f>
        <v>False</v>
      </c>
      <c r="H1910" s="3">
        <v>2</v>
      </c>
      <c r="I1910" t="str">
        <f ca="1">PROPER(Table1[[#This Row],[Extracurricular 
Activities]])</f>
        <v>False</v>
      </c>
      <c r="J1910">
        <v>36</v>
      </c>
      <c r="K1910" t="s">
        <v>3113</v>
      </c>
      <c r="L1910">
        <v>94</v>
      </c>
      <c r="M1910" s="12" t="str" cm="1">
        <f t="array" ref="M191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910">
        <v>100</v>
      </c>
      <c r="O1910" s="13" t="str" cm="1">
        <f t="array" ref="O191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910">
        <v>95</v>
      </c>
      <c r="Q1910" s="13" t="str" cm="1">
        <f t="array" ref="Q191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910">
        <v>92</v>
      </c>
      <c r="S1910" t="str" cm="1">
        <f t="array" ref="S191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910">
        <v>95</v>
      </c>
      <c r="U1910" t="str" cm="1">
        <f t="array" ref="U191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910">
        <v>88</v>
      </c>
      <c r="W1910" t="str" cm="1">
        <f t="array" ref="W191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910">
        <v>88</v>
      </c>
      <c r="Y1910" t="str" cm="1">
        <f t="array" ref="Y191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910">
        <f>SUM(Table1[[#This Row],[Math 
Score]],Table1[[#This Row],[History 
Score]],Table1[[#This Row],[Physics 
Score]],Table1[[#This Row],[Chemistry 
Score]],Table1[[#This Row],[Biology 
Score]],Table1[[#This Row],[English 
Score]],Table1[[#This Row],[Geography 
Score]])</f>
        <v>652</v>
      </c>
      <c r="AA1910" s="3">
        <f>AVERAGE(Table1[[#This Row],[Math 
Score]],Table1[[#This Row],[History 
Score]],Table1[[#This Row],[Physics 
Score]],Table1[[#This Row],[Chemistry 
Score]],Table1[[#This Row],[Biology 
Score]],Table1[[#This Row],[English 
Score]],Table1[[#This Row],[Geography 
Score]])</f>
        <v>93.142857142857139</v>
      </c>
      <c r="AB191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910">
        <f t="shared" si="29"/>
        <v>46</v>
      </c>
      <c r="AD1910" t="str">
        <f>_xlfn.IFS(Table1[[#This Row],[Absence 
Days]]&lt;3,"Excellent",Table1[[#This Row],[Absence 
Days]]&lt;=6,"Good",Table1[[#This Row],[Absence 
Days]]&gt;6,"Poor")</f>
        <v>Excellent</v>
      </c>
    </row>
    <row r="1911" spans="1:30" x14ac:dyDescent="0.35">
      <c r="A1911">
        <v>1910</v>
      </c>
      <c r="B1911" s="2" t="s">
        <v>119</v>
      </c>
      <c r="C1911" t="s">
        <v>815</v>
      </c>
      <c r="D1911" t="str">
        <f>_xlfn.TEXTJOIN(" ",TRUE,Table1[[#This Row],[First 
Name]:[Last 
Name]])</f>
        <v>Amy Dominguez</v>
      </c>
      <c r="E1911" t="s">
        <v>3021</v>
      </c>
      <c r="F1911" t="s">
        <v>3245</v>
      </c>
      <c r="G1911" t="str">
        <f ca="1">PROPER(Table1[[#This Row],[Part Time 
Job]])</f>
        <v>False</v>
      </c>
      <c r="H1911" s="3">
        <v>3</v>
      </c>
      <c r="I1911" t="str">
        <f ca="1">PROPER(Table1[[#This Row],[Extracurricular 
Activities]])</f>
        <v>False</v>
      </c>
      <c r="J1911">
        <v>34</v>
      </c>
      <c r="K1911" t="s">
        <v>3117</v>
      </c>
      <c r="L1911">
        <v>99</v>
      </c>
      <c r="M1911" s="12" t="str" cm="1">
        <f t="array" ref="M191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911">
        <v>75</v>
      </c>
      <c r="O1911" s="13" t="str" cm="1">
        <f t="array" ref="O191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911">
        <v>87</v>
      </c>
      <c r="Q1911" s="13" t="str" cm="1">
        <f t="array" ref="Q191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911">
        <v>76</v>
      </c>
      <c r="S1911" t="str" cm="1">
        <f t="array" ref="S191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911">
        <v>95</v>
      </c>
      <c r="U1911" t="str" cm="1">
        <f t="array" ref="U191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911">
        <v>99</v>
      </c>
      <c r="W1911" t="str" cm="1">
        <f t="array" ref="W191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911">
        <v>67</v>
      </c>
      <c r="Y1911" t="str" cm="1">
        <f t="array" ref="Y191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911">
        <f>SUM(Table1[[#This Row],[Math 
Score]],Table1[[#This Row],[History 
Score]],Table1[[#This Row],[Physics 
Score]],Table1[[#This Row],[Chemistry 
Score]],Table1[[#This Row],[Biology 
Score]],Table1[[#This Row],[English 
Score]],Table1[[#This Row],[Geography 
Score]])</f>
        <v>598</v>
      </c>
      <c r="AA1911" s="3">
        <f>AVERAGE(Table1[[#This Row],[Math 
Score]],Table1[[#This Row],[History 
Score]],Table1[[#This Row],[Physics 
Score]],Table1[[#This Row],[Chemistry 
Score]],Table1[[#This Row],[Biology 
Score]],Table1[[#This Row],[English 
Score]],Table1[[#This Row],[Geography 
Score]])</f>
        <v>85.428571428571431</v>
      </c>
      <c r="AB191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911">
        <f t="shared" si="29"/>
        <v>436</v>
      </c>
      <c r="AD1911" t="str">
        <f>_xlfn.IFS(Table1[[#This Row],[Absence 
Days]]&lt;3,"Excellent",Table1[[#This Row],[Absence 
Days]]&lt;=6,"Good",Table1[[#This Row],[Absence 
Days]]&gt;6,"Poor")</f>
        <v>Good</v>
      </c>
    </row>
    <row r="1912" spans="1:30" x14ac:dyDescent="0.35">
      <c r="A1912">
        <v>1911</v>
      </c>
      <c r="B1912" s="2" t="s">
        <v>109</v>
      </c>
      <c r="C1912" t="s">
        <v>716</v>
      </c>
      <c r="D1912" t="str">
        <f>_xlfn.TEXTJOIN(" ",TRUE,Table1[[#This Row],[First 
Name]:[Last 
Name]])</f>
        <v>Mark Jacobs</v>
      </c>
      <c r="E1912" t="s">
        <v>3022</v>
      </c>
      <c r="F1912" t="s">
        <v>3244</v>
      </c>
      <c r="G1912" t="str">
        <f ca="1">PROPER(Table1[[#This Row],[Part Time 
Job]])</f>
        <v>False</v>
      </c>
      <c r="H1912" s="3">
        <v>3</v>
      </c>
      <c r="I1912" t="str">
        <f ca="1">PROPER(Table1[[#This Row],[Extracurricular 
Activities]])</f>
        <v>False</v>
      </c>
      <c r="J1912">
        <v>32</v>
      </c>
      <c r="K1912" t="s">
        <v>3113</v>
      </c>
      <c r="L1912">
        <v>82</v>
      </c>
      <c r="M1912" s="12" t="str" cm="1">
        <f t="array" ref="M191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912">
        <v>98</v>
      </c>
      <c r="O1912" s="13" t="str" cm="1">
        <f t="array" ref="O191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912">
        <v>100</v>
      </c>
      <c r="Q1912" s="13" t="str" cm="1">
        <f t="array" ref="Q191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912">
        <v>100</v>
      </c>
      <c r="S1912" t="str" cm="1">
        <f t="array" ref="S191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912">
        <v>100</v>
      </c>
      <c r="U1912" t="str" cm="1">
        <f t="array" ref="U191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912">
        <v>64</v>
      </c>
      <c r="W1912" t="str" cm="1">
        <f t="array" ref="W191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912">
        <v>87</v>
      </c>
      <c r="Y1912" t="str" cm="1">
        <f t="array" ref="Y191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912">
        <f>SUM(Table1[[#This Row],[Math 
Score]],Table1[[#This Row],[History 
Score]],Table1[[#This Row],[Physics 
Score]],Table1[[#This Row],[Chemistry 
Score]],Table1[[#This Row],[Biology 
Score]],Table1[[#This Row],[English 
Score]],Table1[[#This Row],[Geography 
Score]])</f>
        <v>631</v>
      </c>
      <c r="AA1912" s="3">
        <f>AVERAGE(Table1[[#This Row],[Math 
Score]],Table1[[#This Row],[History 
Score]],Table1[[#This Row],[Physics 
Score]],Table1[[#This Row],[Chemistry 
Score]],Table1[[#This Row],[Biology 
Score]],Table1[[#This Row],[English 
Score]],Table1[[#This Row],[Geography 
Score]])</f>
        <v>90.142857142857139</v>
      </c>
      <c r="AB191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912">
        <f t="shared" si="29"/>
        <v>151</v>
      </c>
      <c r="AD1912" t="str">
        <f>_xlfn.IFS(Table1[[#This Row],[Absence 
Days]]&lt;3,"Excellent",Table1[[#This Row],[Absence 
Days]]&lt;=6,"Good",Table1[[#This Row],[Absence 
Days]]&gt;6,"Poor")</f>
        <v>Good</v>
      </c>
    </row>
    <row r="1913" spans="1:30" x14ac:dyDescent="0.35">
      <c r="A1913">
        <v>1912</v>
      </c>
      <c r="B1913" s="2" t="s">
        <v>51</v>
      </c>
      <c r="C1913" t="s">
        <v>728</v>
      </c>
      <c r="D1913" t="str">
        <f>_xlfn.TEXTJOIN(" ",TRUE,Table1[[#This Row],[First 
Name]:[Last 
Name]])</f>
        <v>Melissa Mendoza</v>
      </c>
      <c r="E1913" t="s">
        <v>3023</v>
      </c>
      <c r="F1913" t="s">
        <v>3245</v>
      </c>
      <c r="G1913" t="str">
        <f ca="1">PROPER(Table1[[#This Row],[Part Time 
Job]])</f>
        <v>False</v>
      </c>
      <c r="H1913" s="3">
        <v>2</v>
      </c>
      <c r="I1913" t="str">
        <f ca="1">PROPER(Table1[[#This Row],[Extracurricular 
Activities]])</f>
        <v>False</v>
      </c>
      <c r="J1913">
        <v>28</v>
      </c>
      <c r="K1913" t="s">
        <v>3117</v>
      </c>
      <c r="L1913">
        <v>95</v>
      </c>
      <c r="M1913" s="12" t="str" cm="1">
        <f t="array" ref="M191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913">
        <v>82</v>
      </c>
      <c r="O1913" s="13" t="str" cm="1">
        <f t="array" ref="O191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913">
        <v>100</v>
      </c>
      <c r="Q1913" s="13" t="str" cm="1">
        <f t="array" ref="Q191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913">
        <v>60</v>
      </c>
      <c r="S1913" t="str" cm="1">
        <f t="array" ref="S191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913">
        <v>77</v>
      </c>
      <c r="U1913" t="str" cm="1">
        <f t="array" ref="U191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913">
        <v>95</v>
      </c>
      <c r="W1913" t="str" cm="1">
        <f t="array" ref="W191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913">
        <v>80</v>
      </c>
      <c r="Y1913" t="str" cm="1">
        <f t="array" ref="Y191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913">
        <f>SUM(Table1[[#This Row],[Math 
Score]],Table1[[#This Row],[History 
Score]],Table1[[#This Row],[Physics 
Score]],Table1[[#This Row],[Chemistry 
Score]],Table1[[#This Row],[Biology 
Score]],Table1[[#This Row],[English 
Score]],Table1[[#This Row],[Geography 
Score]])</f>
        <v>589</v>
      </c>
      <c r="AA1913" s="3">
        <f>AVERAGE(Table1[[#This Row],[Math 
Score]],Table1[[#This Row],[History 
Score]],Table1[[#This Row],[Physics 
Score]],Table1[[#This Row],[Chemistry 
Score]],Table1[[#This Row],[Biology 
Score]],Table1[[#This Row],[English 
Score]],Table1[[#This Row],[Geography 
Score]])</f>
        <v>84.142857142857139</v>
      </c>
      <c r="AB191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913">
        <f t="shared" si="29"/>
        <v>548</v>
      </c>
      <c r="AD1913" t="str">
        <f>_xlfn.IFS(Table1[[#This Row],[Absence 
Days]]&lt;3,"Excellent",Table1[[#This Row],[Absence 
Days]]&lt;=6,"Good",Table1[[#This Row],[Absence 
Days]]&gt;6,"Poor")</f>
        <v>Excellent</v>
      </c>
    </row>
    <row r="1914" spans="1:30" x14ac:dyDescent="0.35">
      <c r="A1914">
        <v>1913</v>
      </c>
      <c r="B1914" s="2" t="s">
        <v>277</v>
      </c>
      <c r="C1914" t="s">
        <v>80</v>
      </c>
      <c r="D1914" t="str">
        <f>_xlfn.TEXTJOIN(" ",TRUE,Table1[[#This Row],[First 
Name]:[Last 
Name]])</f>
        <v>Bethany Thomas</v>
      </c>
      <c r="E1914" t="s">
        <v>3024</v>
      </c>
      <c r="F1914" t="s">
        <v>3245</v>
      </c>
      <c r="G1914" t="str">
        <f ca="1">PROPER(Table1[[#This Row],[Part Time 
Job]])</f>
        <v>True</v>
      </c>
      <c r="H1914" s="3">
        <v>10</v>
      </c>
      <c r="I1914" t="str">
        <f ca="1">PROPER(Table1[[#This Row],[Extracurricular 
Activities]])</f>
        <v>False</v>
      </c>
      <c r="J1914">
        <v>3</v>
      </c>
      <c r="K1914" t="s">
        <v>3119</v>
      </c>
      <c r="L1914">
        <v>55</v>
      </c>
      <c r="M1914" s="12" t="str" cm="1">
        <f t="array" ref="M1914">_xlfn.IFS(Table1[[#This Row],[Math 
Score]]&gt;=90,"A+",Table1[[#This Row],[Math 
Score]]&gt;=80,"A", Table1[[#This Row],[Math 
Score]]&gt;=75,"A-",Table1[[#This Row],[Math 
Score]]&gt;=70,"B+",Table1[[#This Row],[Math 
Score]]&gt;=65,"B",Table1[[#This Row],[Math 
Score]]&gt;=60,"B-",Table1[[#This Row],[Math 
Score]]&gt;=50,"C",Table1[[#This Row],[Math 
Score]]&gt;=40,"D",Table1[[#This Row],[Math 
Score]]&lt;40,"F")</f>
        <v>C</v>
      </c>
      <c r="N1914">
        <v>92</v>
      </c>
      <c r="O1914" s="13" t="str" cm="1">
        <f t="array" ref="O191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914">
        <v>59</v>
      </c>
      <c r="Q1914" s="13" t="str" cm="1">
        <f t="array" ref="Q191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C</v>
      </c>
      <c r="R1914">
        <v>78</v>
      </c>
      <c r="S1914" t="str" cm="1">
        <f t="array" ref="S191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914">
        <v>61</v>
      </c>
      <c r="U1914" t="str" cm="1">
        <f t="array" ref="U191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914">
        <v>83</v>
      </c>
      <c r="W1914" t="str" cm="1">
        <f t="array" ref="W191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914">
        <v>60</v>
      </c>
      <c r="Y1914" t="str" cm="1">
        <f t="array" ref="Y191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914">
        <f>SUM(Table1[[#This Row],[Math 
Score]],Table1[[#This Row],[History 
Score]],Table1[[#This Row],[Physics 
Score]],Table1[[#This Row],[Chemistry 
Score]],Table1[[#This Row],[Biology 
Score]],Table1[[#This Row],[English 
Score]],Table1[[#This Row],[Geography 
Score]])</f>
        <v>488</v>
      </c>
      <c r="AA1914" s="3">
        <f>AVERAGE(Table1[[#This Row],[Math 
Score]],Table1[[#This Row],[History 
Score]],Table1[[#This Row],[Physics 
Score]],Table1[[#This Row],[Chemistry 
Score]],Table1[[#This Row],[Biology 
Score]],Table1[[#This Row],[English 
Score]],Table1[[#This Row],[Geography 
Score]])</f>
        <v>69.714285714285708</v>
      </c>
      <c r="AB191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914">
        <f t="shared" si="29"/>
        <v>1919</v>
      </c>
      <c r="AD1914" t="str">
        <f>_xlfn.IFS(Table1[[#This Row],[Absence 
Days]]&lt;3,"Excellent",Table1[[#This Row],[Absence 
Days]]&lt;=6,"Good",Table1[[#This Row],[Absence 
Days]]&gt;6,"Poor")</f>
        <v>Poor</v>
      </c>
    </row>
    <row r="1915" spans="1:30" x14ac:dyDescent="0.35">
      <c r="A1915">
        <v>1914</v>
      </c>
      <c r="B1915" s="2" t="s">
        <v>34</v>
      </c>
      <c r="C1915" t="s">
        <v>970</v>
      </c>
      <c r="D1915" t="str">
        <f>_xlfn.TEXTJOIN(" ",TRUE,Table1[[#This Row],[First 
Name]:[Last 
Name]])</f>
        <v>Michael Webb</v>
      </c>
      <c r="E1915" t="s">
        <v>3025</v>
      </c>
      <c r="F1915" t="s">
        <v>3244</v>
      </c>
      <c r="G1915" t="str">
        <f ca="1">PROPER(Table1[[#This Row],[Part Time 
Job]])</f>
        <v>False</v>
      </c>
      <c r="H1915" s="3">
        <v>2</v>
      </c>
      <c r="I1915" t="str">
        <f ca="1">PROPER(Table1[[#This Row],[Extracurricular 
Activities]])</f>
        <v>False</v>
      </c>
      <c r="J1915">
        <v>32</v>
      </c>
      <c r="K1915" t="s">
        <v>3117</v>
      </c>
      <c r="L1915">
        <v>90</v>
      </c>
      <c r="M1915" s="12" t="str" cm="1">
        <f t="array" ref="M191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915">
        <v>90</v>
      </c>
      <c r="O1915" s="13" t="str" cm="1">
        <f t="array" ref="O191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915">
        <v>82</v>
      </c>
      <c r="Q1915" s="13" t="str" cm="1">
        <f t="array" ref="Q191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915">
        <v>64</v>
      </c>
      <c r="S1915" t="str" cm="1">
        <f t="array" ref="S191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915">
        <v>75</v>
      </c>
      <c r="U1915" t="str" cm="1">
        <f t="array" ref="U191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915">
        <v>82</v>
      </c>
      <c r="W1915" t="str" cm="1">
        <f t="array" ref="W191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915">
        <v>93</v>
      </c>
      <c r="Y1915" t="str" cm="1">
        <f t="array" ref="Y191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915">
        <f>SUM(Table1[[#This Row],[Math 
Score]],Table1[[#This Row],[History 
Score]],Table1[[#This Row],[Physics 
Score]],Table1[[#This Row],[Chemistry 
Score]],Table1[[#This Row],[Biology 
Score]],Table1[[#This Row],[English 
Score]],Table1[[#This Row],[Geography 
Score]])</f>
        <v>576</v>
      </c>
      <c r="AA1915" s="3">
        <f>AVERAGE(Table1[[#This Row],[Math 
Score]],Table1[[#This Row],[History 
Score]],Table1[[#This Row],[Physics 
Score]],Table1[[#This Row],[Chemistry 
Score]],Table1[[#This Row],[Biology 
Score]],Table1[[#This Row],[English 
Score]],Table1[[#This Row],[Geography 
Score]])</f>
        <v>82.285714285714292</v>
      </c>
      <c r="AB191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915">
        <f t="shared" si="29"/>
        <v>789</v>
      </c>
      <c r="AD1915" t="str">
        <f>_xlfn.IFS(Table1[[#This Row],[Absence 
Days]]&lt;3,"Excellent",Table1[[#This Row],[Absence 
Days]]&lt;=6,"Good",Table1[[#This Row],[Absence 
Days]]&gt;6,"Poor")</f>
        <v>Excellent</v>
      </c>
    </row>
    <row r="1916" spans="1:30" x14ac:dyDescent="0.35">
      <c r="A1916">
        <v>1915</v>
      </c>
      <c r="B1916" s="2" t="s">
        <v>257</v>
      </c>
      <c r="C1916" t="s">
        <v>490</v>
      </c>
      <c r="D1916" t="str">
        <f>_xlfn.TEXTJOIN(" ",TRUE,Table1[[#This Row],[First 
Name]:[Last 
Name]])</f>
        <v>Gregory Cole</v>
      </c>
      <c r="E1916" t="s">
        <v>3026</v>
      </c>
      <c r="F1916" t="s">
        <v>3244</v>
      </c>
      <c r="G1916" t="str">
        <f ca="1">PROPER(Table1[[#This Row],[Part Time 
Job]])</f>
        <v>False</v>
      </c>
      <c r="H1916" s="3">
        <v>2</v>
      </c>
      <c r="I1916" t="str">
        <f ca="1">PROPER(Table1[[#This Row],[Extracurricular 
Activities]])</f>
        <v>False</v>
      </c>
      <c r="J1916">
        <v>4</v>
      </c>
      <c r="K1916" t="s">
        <v>3119</v>
      </c>
      <c r="L1916">
        <v>46</v>
      </c>
      <c r="M1916" s="12" t="str" cm="1">
        <f t="array" ref="M1916">_xlfn.IFS(Table1[[#This Row],[Math 
Score]]&gt;=90,"A+",Table1[[#This Row],[Math 
Score]]&gt;=80,"A", Table1[[#This Row],[Math 
Score]]&gt;=75,"A-",Table1[[#This Row],[Math 
Score]]&gt;=70,"B+",Table1[[#This Row],[Math 
Score]]&gt;=65,"B",Table1[[#This Row],[Math 
Score]]&gt;=60,"B-",Table1[[#This Row],[Math 
Score]]&gt;=50,"C",Table1[[#This Row],[Math 
Score]]&gt;=40,"D",Table1[[#This Row],[Math 
Score]]&lt;40,"F")</f>
        <v>D</v>
      </c>
      <c r="N1916">
        <v>77</v>
      </c>
      <c r="O1916" s="13" t="str" cm="1">
        <f t="array" ref="O191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916">
        <v>90</v>
      </c>
      <c r="Q1916" s="13" t="str" cm="1">
        <f t="array" ref="Q191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916">
        <v>78</v>
      </c>
      <c r="S1916" t="str" cm="1">
        <f t="array" ref="S191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916">
        <v>66</v>
      </c>
      <c r="U1916" t="str" cm="1">
        <f t="array" ref="U191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916">
        <v>76</v>
      </c>
      <c r="W1916" t="str" cm="1">
        <f t="array" ref="W191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916">
        <v>86</v>
      </c>
      <c r="Y1916" t="str" cm="1">
        <f t="array" ref="Y191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916">
        <f>SUM(Table1[[#This Row],[Math 
Score]],Table1[[#This Row],[History 
Score]],Table1[[#This Row],[Physics 
Score]],Table1[[#This Row],[Chemistry 
Score]],Table1[[#This Row],[Biology 
Score]],Table1[[#This Row],[English 
Score]],Table1[[#This Row],[Geography 
Score]])</f>
        <v>519</v>
      </c>
      <c r="AA1916" s="3">
        <f>AVERAGE(Table1[[#This Row],[Math 
Score]],Table1[[#This Row],[History 
Score]],Table1[[#This Row],[Physics 
Score]],Table1[[#This Row],[Chemistry 
Score]],Table1[[#This Row],[Biology 
Score]],Table1[[#This Row],[English 
Score]],Table1[[#This Row],[Geography 
Score]])</f>
        <v>74.142857142857139</v>
      </c>
      <c r="AB191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916">
        <f t="shared" si="29"/>
        <v>1766</v>
      </c>
      <c r="AD1916" t="str">
        <f>_xlfn.IFS(Table1[[#This Row],[Absence 
Days]]&lt;3,"Excellent",Table1[[#This Row],[Absence 
Days]]&lt;=6,"Good",Table1[[#This Row],[Absence 
Days]]&gt;6,"Poor")</f>
        <v>Excellent</v>
      </c>
    </row>
    <row r="1917" spans="1:30" x14ac:dyDescent="0.35">
      <c r="A1917">
        <v>1916</v>
      </c>
      <c r="B1917" s="2" t="s">
        <v>26</v>
      </c>
      <c r="C1917" t="s">
        <v>479</v>
      </c>
      <c r="D1917" t="str">
        <f>_xlfn.TEXTJOIN(" ",TRUE,Table1[[#This Row],[First 
Name]:[Last 
Name]])</f>
        <v>Jeffrey Miller</v>
      </c>
      <c r="E1917" t="s">
        <v>3027</v>
      </c>
      <c r="F1917" t="s">
        <v>3244</v>
      </c>
      <c r="G1917" t="str">
        <f ca="1">PROPER(Table1[[#This Row],[Part Time 
Job]])</f>
        <v>False</v>
      </c>
      <c r="H1917" s="3">
        <v>2</v>
      </c>
      <c r="I1917" t="str">
        <f ca="1">PROPER(Table1[[#This Row],[Extracurricular 
Activities]])</f>
        <v>False</v>
      </c>
      <c r="J1917">
        <v>21</v>
      </c>
      <c r="K1917" t="s">
        <v>3123</v>
      </c>
      <c r="L1917">
        <v>91</v>
      </c>
      <c r="M1917" s="12" t="str" cm="1">
        <f t="array" ref="M191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917">
        <v>100</v>
      </c>
      <c r="O1917" s="13" t="str" cm="1">
        <f t="array" ref="O191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917">
        <v>98</v>
      </c>
      <c r="Q1917" s="13" t="str" cm="1">
        <f t="array" ref="Q191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917">
        <v>96</v>
      </c>
      <c r="S1917" t="str" cm="1">
        <f t="array" ref="S191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917">
        <v>66</v>
      </c>
      <c r="U1917" t="str" cm="1">
        <f t="array" ref="U191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917">
        <v>87</v>
      </c>
      <c r="W1917" t="str" cm="1">
        <f t="array" ref="W191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917">
        <v>65</v>
      </c>
      <c r="Y1917" t="str" cm="1">
        <f t="array" ref="Y191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917">
        <f>SUM(Table1[[#This Row],[Math 
Score]],Table1[[#This Row],[History 
Score]],Table1[[#This Row],[Physics 
Score]],Table1[[#This Row],[Chemistry 
Score]],Table1[[#This Row],[Biology 
Score]],Table1[[#This Row],[English 
Score]],Table1[[#This Row],[Geography 
Score]])</f>
        <v>603</v>
      </c>
      <c r="AA1917" s="3">
        <f>AVERAGE(Table1[[#This Row],[Math 
Score]],Table1[[#This Row],[History 
Score]],Table1[[#This Row],[Physics 
Score]],Table1[[#This Row],[Chemistry 
Score]],Table1[[#This Row],[Biology 
Score]],Table1[[#This Row],[English 
Score]],Table1[[#This Row],[Geography 
Score]])</f>
        <v>86.142857142857139</v>
      </c>
      <c r="AB191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917">
        <f t="shared" si="29"/>
        <v>370</v>
      </c>
      <c r="AD1917" t="str">
        <f>_xlfn.IFS(Table1[[#This Row],[Absence 
Days]]&lt;3,"Excellent",Table1[[#This Row],[Absence 
Days]]&lt;=6,"Good",Table1[[#This Row],[Absence 
Days]]&gt;6,"Poor")</f>
        <v>Excellent</v>
      </c>
    </row>
    <row r="1918" spans="1:30" x14ac:dyDescent="0.35">
      <c r="A1918">
        <v>1917</v>
      </c>
      <c r="B1918" s="2" t="s">
        <v>122</v>
      </c>
      <c r="C1918" t="s">
        <v>890</v>
      </c>
      <c r="D1918" t="str">
        <f>_xlfn.TEXTJOIN(" ",TRUE,Table1[[#This Row],[First 
Name]:[Last 
Name]])</f>
        <v>Rebecca Castillo</v>
      </c>
      <c r="E1918" t="s">
        <v>3028</v>
      </c>
      <c r="F1918" t="s">
        <v>3245</v>
      </c>
      <c r="G1918" t="str">
        <f ca="1">PROPER(Table1[[#This Row],[Part Time 
Job]])</f>
        <v>False</v>
      </c>
      <c r="H1918" s="3">
        <v>1</v>
      </c>
      <c r="I1918" t="str">
        <f ca="1">PROPER(Table1[[#This Row],[Extracurricular 
Activities]])</f>
        <v>True</v>
      </c>
      <c r="J1918">
        <v>22</v>
      </c>
      <c r="K1918" t="s">
        <v>3122</v>
      </c>
      <c r="L1918">
        <v>72</v>
      </c>
      <c r="M1918" s="12" t="str" cm="1">
        <f t="array" ref="M1918">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918">
        <v>100</v>
      </c>
      <c r="O1918" s="13" t="str" cm="1">
        <f t="array" ref="O191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918">
        <v>78</v>
      </c>
      <c r="Q1918" s="13" t="str" cm="1">
        <f t="array" ref="Q191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918">
        <v>100</v>
      </c>
      <c r="S1918" t="str" cm="1">
        <f t="array" ref="S191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918">
        <v>98</v>
      </c>
      <c r="U1918" t="str" cm="1">
        <f t="array" ref="U191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918">
        <v>92</v>
      </c>
      <c r="W1918" t="str" cm="1">
        <f t="array" ref="W191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918">
        <v>97</v>
      </c>
      <c r="Y1918" t="str" cm="1">
        <f t="array" ref="Y191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918">
        <f>SUM(Table1[[#This Row],[Math 
Score]],Table1[[#This Row],[History 
Score]],Table1[[#This Row],[Physics 
Score]],Table1[[#This Row],[Chemistry 
Score]],Table1[[#This Row],[Biology 
Score]],Table1[[#This Row],[English 
Score]],Table1[[#This Row],[Geography 
Score]])</f>
        <v>637</v>
      </c>
      <c r="AA1918" s="3">
        <f>AVERAGE(Table1[[#This Row],[Math 
Score]],Table1[[#This Row],[History 
Score]],Table1[[#This Row],[Physics 
Score]],Table1[[#This Row],[Chemistry 
Score]],Table1[[#This Row],[Biology 
Score]],Table1[[#This Row],[English 
Score]],Table1[[#This Row],[Geography 
Score]])</f>
        <v>91</v>
      </c>
      <c r="AB191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918">
        <f t="shared" si="29"/>
        <v>115</v>
      </c>
      <c r="AD1918" t="str">
        <f>_xlfn.IFS(Table1[[#This Row],[Absence 
Days]]&lt;3,"Excellent",Table1[[#This Row],[Absence 
Days]]&lt;=6,"Good",Table1[[#This Row],[Absence 
Days]]&gt;6,"Poor")</f>
        <v>Excellent</v>
      </c>
    </row>
    <row r="1919" spans="1:30" x14ac:dyDescent="0.35">
      <c r="A1919">
        <v>1918</v>
      </c>
      <c r="B1919" s="2" t="s">
        <v>99</v>
      </c>
      <c r="C1919" t="s">
        <v>722</v>
      </c>
      <c r="D1919" t="str">
        <f>_xlfn.TEXTJOIN(" ",TRUE,Table1[[#This Row],[First 
Name]:[Last 
Name]])</f>
        <v>Amanda Green</v>
      </c>
      <c r="E1919" t="s">
        <v>3029</v>
      </c>
      <c r="F1919" t="s">
        <v>3245</v>
      </c>
      <c r="G1919" t="str">
        <f ca="1">PROPER(Table1[[#This Row],[Part Time 
Job]])</f>
        <v>False</v>
      </c>
      <c r="H1919" s="3">
        <v>4</v>
      </c>
      <c r="I1919" t="str">
        <f ca="1">PROPER(Table1[[#This Row],[Extracurricular 
Activities]])</f>
        <v>False</v>
      </c>
      <c r="J1919">
        <v>28</v>
      </c>
      <c r="K1919" t="s">
        <v>3121</v>
      </c>
      <c r="L1919">
        <v>79</v>
      </c>
      <c r="M1919" s="12" t="str" cm="1">
        <f t="array" ref="M191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919">
        <v>87</v>
      </c>
      <c r="O1919" s="13" t="str" cm="1">
        <f t="array" ref="O191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919">
        <v>98</v>
      </c>
      <c r="Q1919" s="13" t="str" cm="1">
        <f t="array" ref="Q191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919">
        <v>87</v>
      </c>
      <c r="S1919" t="str" cm="1">
        <f t="array" ref="S191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919">
        <v>99</v>
      </c>
      <c r="U1919" t="str" cm="1">
        <f t="array" ref="U191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919">
        <v>94</v>
      </c>
      <c r="W1919" t="str" cm="1">
        <f t="array" ref="W191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919">
        <v>88</v>
      </c>
      <c r="Y1919" t="str" cm="1">
        <f t="array" ref="Y191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919">
        <f>SUM(Table1[[#This Row],[Math 
Score]],Table1[[#This Row],[History 
Score]],Table1[[#This Row],[Physics 
Score]],Table1[[#This Row],[Chemistry 
Score]],Table1[[#This Row],[Biology 
Score]],Table1[[#This Row],[English 
Score]],Table1[[#This Row],[Geography 
Score]])</f>
        <v>632</v>
      </c>
      <c r="AA1919" s="3">
        <f>AVERAGE(Table1[[#This Row],[Math 
Score]],Table1[[#This Row],[History 
Score]],Table1[[#This Row],[Physics 
Score]],Table1[[#This Row],[Chemistry 
Score]],Table1[[#This Row],[Biology 
Score]],Table1[[#This Row],[English 
Score]],Table1[[#This Row],[Geography 
Score]])</f>
        <v>90.285714285714292</v>
      </c>
      <c r="AB191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919">
        <f t="shared" si="29"/>
        <v>143</v>
      </c>
      <c r="AD1919" t="str">
        <f>_xlfn.IFS(Table1[[#This Row],[Absence 
Days]]&lt;3,"Excellent",Table1[[#This Row],[Absence 
Days]]&lt;=6,"Good",Table1[[#This Row],[Absence 
Days]]&gt;6,"Poor")</f>
        <v>Good</v>
      </c>
    </row>
    <row r="1920" spans="1:30" x14ac:dyDescent="0.35">
      <c r="A1920">
        <v>1919</v>
      </c>
      <c r="B1920" s="2" t="s">
        <v>149</v>
      </c>
      <c r="C1920" t="s">
        <v>790</v>
      </c>
      <c r="D1920" t="str">
        <f>_xlfn.TEXTJOIN(" ",TRUE,Table1[[#This Row],[First 
Name]:[Last 
Name]])</f>
        <v>Joseph Hess</v>
      </c>
      <c r="E1920" t="s">
        <v>3030</v>
      </c>
      <c r="F1920" t="s">
        <v>3244</v>
      </c>
      <c r="G1920" t="str">
        <f ca="1">PROPER(Table1[[#This Row],[Part Time 
Job]])</f>
        <v>False</v>
      </c>
      <c r="H1920" s="3">
        <v>3</v>
      </c>
      <c r="I1920" t="str">
        <f ca="1">PROPER(Table1[[#This Row],[Extracurricular 
Activities]])</f>
        <v>False</v>
      </c>
      <c r="J1920">
        <v>35</v>
      </c>
      <c r="K1920" t="s">
        <v>3125</v>
      </c>
      <c r="L1920">
        <v>85</v>
      </c>
      <c r="M1920" s="12" t="str" cm="1">
        <f t="array" ref="M192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920">
        <v>90</v>
      </c>
      <c r="O1920" s="13" t="str" cm="1">
        <f t="array" ref="O192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920">
        <v>96</v>
      </c>
      <c r="Q1920" s="13" t="str" cm="1">
        <f t="array" ref="Q192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920">
        <v>95</v>
      </c>
      <c r="S1920" t="str" cm="1">
        <f t="array" ref="S192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920">
        <v>95</v>
      </c>
      <c r="U1920" t="str" cm="1">
        <f t="array" ref="U192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920">
        <v>88</v>
      </c>
      <c r="W1920" t="str" cm="1">
        <f t="array" ref="W192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920">
        <v>90</v>
      </c>
      <c r="Y1920" t="str" cm="1">
        <f t="array" ref="Y192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920">
        <f>SUM(Table1[[#This Row],[Math 
Score]],Table1[[#This Row],[History 
Score]],Table1[[#This Row],[Physics 
Score]],Table1[[#This Row],[Chemistry 
Score]],Table1[[#This Row],[Biology 
Score]],Table1[[#This Row],[English 
Score]],Table1[[#This Row],[Geography 
Score]])</f>
        <v>639</v>
      </c>
      <c r="AA1920" s="3">
        <f>AVERAGE(Table1[[#This Row],[Math 
Score]],Table1[[#This Row],[History 
Score]],Table1[[#This Row],[Physics 
Score]],Table1[[#This Row],[Chemistry 
Score]],Table1[[#This Row],[Biology 
Score]],Table1[[#This Row],[English 
Score]],Table1[[#This Row],[Geography 
Score]])</f>
        <v>91.285714285714292</v>
      </c>
      <c r="AB192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920">
        <f t="shared" si="29"/>
        <v>106</v>
      </c>
      <c r="AD1920" t="str">
        <f>_xlfn.IFS(Table1[[#This Row],[Absence 
Days]]&lt;3,"Excellent",Table1[[#This Row],[Absence 
Days]]&lt;=6,"Good",Table1[[#This Row],[Absence 
Days]]&gt;6,"Poor")</f>
        <v>Good</v>
      </c>
    </row>
    <row r="1921" spans="1:30" x14ac:dyDescent="0.35">
      <c r="A1921">
        <v>1920</v>
      </c>
      <c r="B1921" s="2" t="s">
        <v>20</v>
      </c>
      <c r="C1921" t="s">
        <v>1103</v>
      </c>
      <c r="D1921" t="str">
        <f>_xlfn.TEXTJOIN(" ",TRUE,Table1[[#This Row],[First 
Name]:[Last 
Name]])</f>
        <v>Kyle Novak</v>
      </c>
      <c r="E1921" t="s">
        <v>3031</v>
      </c>
      <c r="F1921" t="s">
        <v>3244</v>
      </c>
      <c r="G1921" t="str">
        <f ca="1">PROPER(Table1[[#This Row],[Part Time 
Job]])</f>
        <v>False</v>
      </c>
      <c r="H1921" s="3">
        <v>1</v>
      </c>
      <c r="I1921" t="str">
        <f ca="1">PROPER(Table1[[#This Row],[Extracurricular 
Activities]])</f>
        <v>False</v>
      </c>
      <c r="J1921">
        <v>35</v>
      </c>
      <c r="K1921" t="s">
        <v>3112</v>
      </c>
      <c r="L1921">
        <v>100</v>
      </c>
      <c r="M1921" s="12" t="str" cm="1">
        <f t="array" ref="M192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921">
        <v>87</v>
      </c>
      <c r="O1921" s="13" t="str" cm="1">
        <f t="array" ref="O192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921">
        <v>85</v>
      </c>
      <c r="Q1921" s="13" t="str" cm="1">
        <f t="array" ref="Q192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921">
        <v>90</v>
      </c>
      <c r="S1921" t="str" cm="1">
        <f t="array" ref="S192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921">
        <v>92</v>
      </c>
      <c r="U1921" t="str" cm="1">
        <f t="array" ref="U192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921">
        <v>99</v>
      </c>
      <c r="W1921" t="str" cm="1">
        <f t="array" ref="W192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921">
        <v>94</v>
      </c>
      <c r="Y1921" t="str" cm="1">
        <f t="array" ref="Y192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921">
        <f>SUM(Table1[[#This Row],[Math 
Score]],Table1[[#This Row],[History 
Score]],Table1[[#This Row],[Physics 
Score]],Table1[[#This Row],[Chemistry 
Score]],Table1[[#This Row],[Biology 
Score]],Table1[[#This Row],[English 
Score]],Table1[[#This Row],[Geography 
Score]])</f>
        <v>647</v>
      </c>
      <c r="AA1921" s="3">
        <f>AVERAGE(Table1[[#This Row],[Math 
Score]],Table1[[#This Row],[History 
Score]],Table1[[#This Row],[Physics 
Score]],Table1[[#This Row],[Chemistry 
Score]],Table1[[#This Row],[Biology 
Score]],Table1[[#This Row],[English 
Score]],Table1[[#This Row],[Geography 
Score]])</f>
        <v>92.428571428571431</v>
      </c>
      <c r="AB192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921">
        <f t="shared" si="29"/>
        <v>68</v>
      </c>
      <c r="AD1921" t="str">
        <f>_xlfn.IFS(Table1[[#This Row],[Absence 
Days]]&lt;3,"Excellent",Table1[[#This Row],[Absence 
Days]]&lt;=6,"Good",Table1[[#This Row],[Absence 
Days]]&gt;6,"Poor")</f>
        <v>Excellent</v>
      </c>
    </row>
    <row r="1922" spans="1:30" x14ac:dyDescent="0.35">
      <c r="A1922">
        <v>1921</v>
      </c>
      <c r="B1922" s="2" t="s">
        <v>449</v>
      </c>
      <c r="C1922" t="s">
        <v>814</v>
      </c>
      <c r="D1922" t="str">
        <f>_xlfn.TEXTJOIN(" ",TRUE,Table1[[#This Row],[First 
Name]:[Last 
Name]])</f>
        <v>Kara Coleman</v>
      </c>
      <c r="E1922" t="s">
        <v>3032</v>
      </c>
      <c r="F1922" t="s">
        <v>3245</v>
      </c>
      <c r="G1922" t="str">
        <f ca="1">PROPER(Table1[[#This Row],[Part Time 
Job]])</f>
        <v>False</v>
      </c>
      <c r="H1922" s="3">
        <v>4</v>
      </c>
      <c r="I1922" t="str">
        <f ca="1">PROPER(Table1[[#This Row],[Extracurricular 
Activities]])</f>
        <v>True</v>
      </c>
      <c r="J1922">
        <v>16</v>
      </c>
      <c r="K1922" t="s">
        <v>3121</v>
      </c>
      <c r="L1922">
        <v>96</v>
      </c>
      <c r="M1922" s="12" t="str" cm="1">
        <f t="array" ref="M192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922">
        <v>70</v>
      </c>
      <c r="O1922" s="13" t="str" cm="1">
        <f t="array" ref="O192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922">
        <v>65</v>
      </c>
      <c r="Q1922" s="13" t="str" cm="1">
        <f t="array" ref="Q192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922">
        <v>63</v>
      </c>
      <c r="S1922" t="str" cm="1">
        <f t="array" ref="S192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922">
        <v>97</v>
      </c>
      <c r="U1922" t="str" cm="1">
        <f t="array" ref="U192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922">
        <v>97</v>
      </c>
      <c r="W1922" t="str" cm="1">
        <f t="array" ref="W192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922">
        <v>98</v>
      </c>
      <c r="Y1922" t="str" cm="1">
        <f t="array" ref="Y192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922">
        <f>SUM(Table1[[#This Row],[Math 
Score]],Table1[[#This Row],[History 
Score]],Table1[[#This Row],[Physics 
Score]],Table1[[#This Row],[Chemistry 
Score]],Table1[[#This Row],[Biology 
Score]],Table1[[#This Row],[English 
Score]],Table1[[#This Row],[Geography 
Score]])</f>
        <v>586</v>
      </c>
      <c r="AA1922" s="3">
        <f>AVERAGE(Table1[[#This Row],[Math 
Score]],Table1[[#This Row],[History 
Score]],Table1[[#This Row],[Physics 
Score]],Table1[[#This Row],[Chemistry 
Score]],Table1[[#This Row],[Biology 
Score]],Table1[[#This Row],[English 
Score]],Table1[[#This Row],[Geography 
Score]])</f>
        <v>83.714285714285708</v>
      </c>
      <c r="AB192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922">
        <f t="shared" ref="AC1922:AC1985" si="30">RANK(AA1922,$AA$2:$AA$2001,0)</f>
        <v>601</v>
      </c>
      <c r="AD1922" t="str">
        <f>_xlfn.IFS(Table1[[#This Row],[Absence 
Days]]&lt;3,"Excellent",Table1[[#This Row],[Absence 
Days]]&lt;=6,"Good",Table1[[#This Row],[Absence 
Days]]&gt;6,"Poor")</f>
        <v>Good</v>
      </c>
    </row>
    <row r="1923" spans="1:30" x14ac:dyDescent="0.35">
      <c r="A1923">
        <v>1922</v>
      </c>
      <c r="B1923" s="2" t="s">
        <v>231</v>
      </c>
      <c r="C1923" t="s">
        <v>353</v>
      </c>
      <c r="D1923" t="str">
        <f>_xlfn.TEXTJOIN(" ",TRUE,Table1[[#This Row],[First 
Name]:[Last 
Name]])</f>
        <v>Daniel Martin</v>
      </c>
      <c r="E1923" t="s">
        <v>3033</v>
      </c>
      <c r="F1923" t="s">
        <v>3244</v>
      </c>
      <c r="G1923" t="str">
        <f ca="1">PROPER(Table1[[#This Row],[Part Time 
Job]])</f>
        <v>False</v>
      </c>
      <c r="H1923" s="3">
        <v>1</v>
      </c>
      <c r="I1923" t="str">
        <f ca="1">PROPER(Table1[[#This Row],[Extracurricular 
Activities]])</f>
        <v>True</v>
      </c>
      <c r="J1923">
        <v>20</v>
      </c>
      <c r="K1923" t="s">
        <v>3121</v>
      </c>
      <c r="L1923">
        <v>85</v>
      </c>
      <c r="M1923" s="12" t="str" cm="1">
        <f t="array" ref="M192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923">
        <v>96</v>
      </c>
      <c r="O1923" s="13" t="str" cm="1">
        <f t="array" ref="O192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923">
        <v>71</v>
      </c>
      <c r="Q1923" s="13" t="str" cm="1">
        <f t="array" ref="Q192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923">
        <v>67</v>
      </c>
      <c r="S1923" t="str" cm="1">
        <f t="array" ref="S192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923">
        <v>98</v>
      </c>
      <c r="U1923" t="str" cm="1">
        <f t="array" ref="U192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923">
        <v>92</v>
      </c>
      <c r="W1923" t="str" cm="1">
        <f t="array" ref="W192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923">
        <v>91</v>
      </c>
      <c r="Y1923" t="str" cm="1">
        <f t="array" ref="Y192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923">
        <f>SUM(Table1[[#This Row],[Math 
Score]],Table1[[#This Row],[History 
Score]],Table1[[#This Row],[Physics 
Score]],Table1[[#This Row],[Chemistry 
Score]],Table1[[#This Row],[Biology 
Score]],Table1[[#This Row],[English 
Score]],Table1[[#This Row],[Geography 
Score]])</f>
        <v>600</v>
      </c>
      <c r="AA1923" s="3">
        <f>AVERAGE(Table1[[#This Row],[Math 
Score]],Table1[[#This Row],[History 
Score]],Table1[[#This Row],[Physics 
Score]],Table1[[#This Row],[Chemistry 
Score]],Table1[[#This Row],[Biology 
Score]],Table1[[#This Row],[English 
Score]],Table1[[#This Row],[Geography 
Score]])</f>
        <v>85.714285714285708</v>
      </c>
      <c r="AB192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923">
        <f t="shared" si="30"/>
        <v>406</v>
      </c>
      <c r="AD1923" t="str">
        <f>_xlfn.IFS(Table1[[#This Row],[Absence 
Days]]&lt;3,"Excellent",Table1[[#This Row],[Absence 
Days]]&lt;=6,"Good",Table1[[#This Row],[Absence 
Days]]&gt;6,"Poor")</f>
        <v>Excellent</v>
      </c>
    </row>
    <row r="1924" spans="1:30" x14ac:dyDescent="0.35">
      <c r="A1924">
        <v>1923</v>
      </c>
      <c r="B1924" s="2" t="s">
        <v>66</v>
      </c>
      <c r="C1924" t="s">
        <v>1104</v>
      </c>
      <c r="D1924" t="str">
        <f>_xlfn.TEXTJOIN(" ",TRUE,Table1[[#This Row],[First 
Name]:[Last 
Name]])</f>
        <v>Andrea Richards</v>
      </c>
      <c r="E1924" t="s">
        <v>3034</v>
      </c>
      <c r="F1924" t="s">
        <v>3245</v>
      </c>
      <c r="G1924" t="str">
        <f ca="1">PROPER(Table1[[#This Row],[Part Time 
Job]])</f>
        <v>False</v>
      </c>
      <c r="H1924" s="3">
        <v>4</v>
      </c>
      <c r="I1924" t="str">
        <f ca="1">PROPER(Table1[[#This Row],[Extracurricular 
Activities]])</f>
        <v>False</v>
      </c>
      <c r="J1924">
        <v>27</v>
      </c>
      <c r="K1924" t="s">
        <v>3117</v>
      </c>
      <c r="L1924">
        <v>90</v>
      </c>
      <c r="M1924" s="12" t="str" cm="1">
        <f t="array" ref="M192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924">
        <v>82</v>
      </c>
      <c r="O1924" s="13" t="str" cm="1">
        <f t="array" ref="O192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924">
        <v>98</v>
      </c>
      <c r="Q1924" s="13" t="str" cm="1">
        <f t="array" ref="Q192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924">
        <v>61</v>
      </c>
      <c r="S1924" t="str" cm="1">
        <f t="array" ref="S192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924">
        <v>92</v>
      </c>
      <c r="U1924" t="str" cm="1">
        <f t="array" ref="U192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924">
        <v>67</v>
      </c>
      <c r="W1924" t="str" cm="1">
        <f t="array" ref="W192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924">
        <v>80</v>
      </c>
      <c r="Y1924" t="str" cm="1">
        <f t="array" ref="Y192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924">
        <f>SUM(Table1[[#This Row],[Math 
Score]],Table1[[#This Row],[History 
Score]],Table1[[#This Row],[Physics 
Score]],Table1[[#This Row],[Chemistry 
Score]],Table1[[#This Row],[Biology 
Score]],Table1[[#This Row],[English 
Score]],Table1[[#This Row],[Geography 
Score]])</f>
        <v>570</v>
      </c>
      <c r="AA1924" s="3">
        <f>AVERAGE(Table1[[#This Row],[Math 
Score]],Table1[[#This Row],[History 
Score]],Table1[[#This Row],[Physics 
Score]],Table1[[#This Row],[Chemistry 
Score]],Table1[[#This Row],[Biology 
Score]],Table1[[#This Row],[English 
Score]],Table1[[#This Row],[Geography 
Score]])</f>
        <v>81.428571428571431</v>
      </c>
      <c r="AB192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924">
        <f t="shared" si="30"/>
        <v>937</v>
      </c>
      <c r="AD1924" t="str">
        <f>_xlfn.IFS(Table1[[#This Row],[Absence 
Days]]&lt;3,"Excellent",Table1[[#This Row],[Absence 
Days]]&lt;=6,"Good",Table1[[#This Row],[Absence 
Days]]&gt;6,"Poor")</f>
        <v>Good</v>
      </c>
    </row>
    <row r="1925" spans="1:30" x14ac:dyDescent="0.35">
      <c r="A1925">
        <v>1924</v>
      </c>
      <c r="B1925" s="2" t="s">
        <v>189</v>
      </c>
      <c r="C1925" t="s">
        <v>1038</v>
      </c>
      <c r="D1925" t="str">
        <f>_xlfn.TEXTJOIN(" ",TRUE,Table1[[#This Row],[First 
Name]:[Last 
Name]])</f>
        <v>Sydney Clay</v>
      </c>
      <c r="E1925" t="s">
        <v>3035</v>
      </c>
      <c r="F1925" t="s">
        <v>3245</v>
      </c>
      <c r="G1925" t="str">
        <f ca="1">PROPER(Table1[[#This Row],[Part Time 
Job]])</f>
        <v>False</v>
      </c>
      <c r="H1925" s="3">
        <v>6</v>
      </c>
      <c r="I1925" t="str">
        <f ca="1">PROPER(Table1[[#This Row],[Extracurricular 
Activities]])</f>
        <v>False</v>
      </c>
      <c r="J1925">
        <v>14</v>
      </c>
      <c r="K1925" t="s">
        <v>3121</v>
      </c>
      <c r="L1925">
        <v>94</v>
      </c>
      <c r="M1925" s="12" t="str" cm="1">
        <f t="array" ref="M192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925">
        <v>96</v>
      </c>
      <c r="O1925" s="13" t="str" cm="1">
        <f t="array" ref="O192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925">
        <v>94</v>
      </c>
      <c r="Q1925" s="13" t="str" cm="1">
        <f t="array" ref="Q192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925">
        <v>99</v>
      </c>
      <c r="S1925" t="str" cm="1">
        <f t="array" ref="S192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925">
        <v>67</v>
      </c>
      <c r="U1925" t="str" cm="1">
        <f t="array" ref="U192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925">
        <v>98</v>
      </c>
      <c r="W1925" t="str" cm="1">
        <f t="array" ref="W192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925">
        <v>67</v>
      </c>
      <c r="Y1925" t="str" cm="1">
        <f t="array" ref="Y192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925">
        <f>SUM(Table1[[#This Row],[Math 
Score]],Table1[[#This Row],[History 
Score]],Table1[[#This Row],[Physics 
Score]],Table1[[#This Row],[Chemistry 
Score]],Table1[[#This Row],[Biology 
Score]],Table1[[#This Row],[English 
Score]],Table1[[#This Row],[Geography 
Score]])</f>
        <v>615</v>
      </c>
      <c r="AA1925" s="3">
        <f>AVERAGE(Table1[[#This Row],[Math 
Score]],Table1[[#This Row],[History 
Score]],Table1[[#This Row],[Physics 
Score]],Table1[[#This Row],[Chemistry 
Score]],Table1[[#This Row],[Biology 
Score]],Table1[[#This Row],[English 
Score]],Table1[[#This Row],[Geography 
Score]])</f>
        <v>87.857142857142861</v>
      </c>
      <c r="AB192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925">
        <f t="shared" si="30"/>
        <v>251</v>
      </c>
      <c r="AD1925" t="str">
        <f>_xlfn.IFS(Table1[[#This Row],[Absence 
Days]]&lt;3,"Excellent",Table1[[#This Row],[Absence 
Days]]&lt;=6,"Good",Table1[[#This Row],[Absence 
Days]]&gt;6,"Poor")</f>
        <v>Good</v>
      </c>
    </row>
    <row r="1926" spans="1:30" x14ac:dyDescent="0.35">
      <c r="A1926">
        <v>1925</v>
      </c>
      <c r="B1926" s="2" t="s">
        <v>125</v>
      </c>
      <c r="C1926" t="s">
        <v>986</v>
      </c>
      <c r="D1926" t="str">
        <f>_xlfn.TEXTJOIN(" ",TRUE,Table1[[#This Row],[First 
Name]:[Last 
Name]])</f>
        <v>Jeremy Tran</v>
      </c>
      <c r="E1926" t="s">
        <v>3036</v>
      </c>
      <c r="F1926" t="s">
        <v>3244</v>
      </c>
      <c r="G1926" t="str">
        <f ca="1">PROPER(Table1[[#This Row],[Part Time 
Job]])</f>
        <v>False</v>
      </c>
      <c r="H1926" s="3">
        <v>1</v>
      </c>
      <c r="I1926" t="str">
        <f ca="1">PROPER(Table1[[#This Row],[Extracurricular 
Activities]])</f>
        <v>False</v>
      </c>
      <c r="J1926">
        <v>35</v>
      </c>
      <c r="K1926" t="s">
        <v>3125</v>
      </c>
      <c r="L1926">
        <v>98</v>
      </c>
      <c r="M1926" s="12" t="str" cm="1">
        <f t="array" ref="M192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926">
        <v>85</v>
      </c>
      <c r="O1926" s="13" t="str" cm="1">
        <f t="array" ref="O192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926">
        <v>100</v>
      </c>
      <c r="Q1926" s="13" t="str" cm="1">
        <f t="array" ref="Q192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926">
        <v>94</v>
      </c>
      <c r="S1926" t="str" cm="1">
        <f t="array" ref="S192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926">
        <v>93</v>
      </c>
      <c r="U1926" t="str" cm="1">
        <f t="array" ref="U192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926">
        <v>92</v>
      </c>
      <c r="W1926" t="str" cm="1">
        <f t="array" ref="W192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926">
        <v>94</v>
      </c>
      <c r="Y1926" t="str" cm="1">
        <f t="array" ref="Y192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926">
        <f>SUM(Table1[[#This Row],[Math 
Score]],Table1[[#This Row],[History 
Score]],Table1[[#This Row],[Physics 
Score]],Table1[[#This Row],[Chemistry 
Score]],Table1[[#This Row],[Biology 
Score]],Table1[[#This Row],[English 
Score]],Table1[[#This Row],[Geography 
Score]])</f>
        <v>656</v>
      </c>
      <c r="AA1926" s="3">
        <f>AVERAGE(Table1[[#This Row],[Math 
Score]],Table1[[#This Row],[History 
Score]],Table1[[#This Row],[Physics 
Score]],Table1[[#This Row],[Chemistry 
Score]],Table1[[#This Row],[Biology 
Score]],Table1[[#This Row],[English 
Score]],Table1[[#This Row],[Geography 
Score]])</f>
        <v>93.714285714285708</v>
      </c>
      <c r="AB192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926">
        <f t="shared" si="30"/>
        <v>28</v>
      </c>
      <c r="AD1926" t="str">
        <f>_xlfn.IFS(Table1[[#This Row],[Absence 
Days]]&lt;3,"Excellent",Table1[[#This Row],[Absence 
Days]]&lt;=6,"Good",Table1[[#This Row],[Absence 
Days]]&gt;6,"Poor")</f>
        <v>Excellent</v>
      </c>
    </row>
    <row r="1927" spans="1:30" x14ac:dyDescent="0.35">
      <c r="A1927">
        <v>1926</v>
      </c>
      <c r="B1927" s="2" t="s">
        <v>34</v>
      </c>
      <c r="C1927" t="s">
        <v>1105</v>
      </c>
      <c r="D1927" t="str">
        <f>_xlfn.TEXTJOIN(" ",TRUE,Table1[[#This Row],[First 
Name]:[Last 
Name]])</f>
        <v>Michael Hayden</v>
      </c>
      <c r="E1927" t="s">
        <v>3037</v>
      </c>
      <c r="F1927" t="s">
        <v>3244</v>
      </c>
      <c r="G1927" t="str">
        <f ca="1">PROPER(Table1[[#This Row],[Part Time 
Job]])</f>
        <v>True</v>
      </c>
      <c r="H1927" s="3">
        <v>6</v>
      </c>
      <c r="I1927" t="str">
        <f ca="1">PROPER(Table1[[#This Row],[Extracurricular 
Activities]])</f>
        <v>False</v>
      </c>
      <c r="J1927">
        <v>2</v>
      </c>
      <c r="K1927" t="s">
        <v>3119</v>
      </c>
      <c r="L1927">
        <v>62</v>
      </c>
      <c r="M1927" s="12" t="str" cm="1">
        <f t="array" ref="M1927">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927">
        <v>54</v>
      </c>
      <c r="O1927" s="13" t="str" cm="1">
        <f t="array" ref="O192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C</v>
      </c>
      <c r="P1927">
        <v>77</v>
      </c>
      <c r="Q1927" s="13" t="str" cm="1">
        <f t="array" ref="Q192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927">
        <v>60</v>
      </c>
      <c r="S1927" t="str" cm="1">
        <f t="array" ref="S192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927">
        <v>74</v>
      </c>
      <c r="U1927" t="str" cm="1">
        <f t="array" ref="U192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927">
        <v>62</v>
      </c>
      <c r="W1927" t="str" cm="1">
        <f t="array" ref="W192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927">
        <v>76</v>
      </c>
      <c r="Y1927" t="str" cm="1">
        <f t="array" ref="Y192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927">
        <f>SUM(Table1[[#This Row],[Math 
Score]],Table1[[#This Row],[History 
Score]],Table1[[#This Row],[Physics 
Score]],Table1[[#This Row],[Chemistry 
Score]],Table1[[#This Row],[Biology 
Score]],Table1[[#This Row],[English 
Score]],Table1[[#This Row],[Geography 
Score]])</f>
        <v>465</v>
      </c>
      <c r="AA1927" s="3">
        <f>AVERAGE(Table1[[#This Row],[Math 
Score]],Table1[[#This Row],[History 
Score]],Table1[[#This Row],[Physics 
Score]],Table1[[#This Row],[Chemistry 
Score]],Table1[[#This Row],[Biology 
Score]],Table1[[#This Row],[English 
Score]],Table1[[#This Row],[Geography 
Score]])</f>
        <v>66.428571428571431</v>
      </c>
      <c r="AB192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927">
        <f t="shared" si="30"/>
        <v>1971</v>
      </c>
      <c r="AD1927" t="str">
        <f>_xlfn.IFS(Table1[[#This Row],[Absence 
Days]]&lt;3,"Excellent",Table1[[#This Row],[Absence 
Days]]&lt;=6,"Good",Table1[[#This Row],[Absence 
Days]]&gt;6,"Poor")</f>
        <v>Good</v>
      </c>
    </row>
    <row r="1928" spans="1:30" x14ac:dyDescent="0.35">
      <c r="A1928">
        <v>1927</v>
      </c>
      <c r="B1928" s="2" t="s">
        <v>96</v>
      </c>
      <c r="C1928" t="s">
        <v>1106</v>
      </c>
      <c r="D1928" t="str">
        <f>_xlfn.TEXTJOIN(" ",TRUE,Table1[[#This Row],[First 
Name]:[Last 
Name]])</f>
        <v>Antonio Beasley</v>
      </c>
      <c r="E1928" t="s">
        <v>3038</v>
      </c>
      <c r="F1928" t="s">
        <v>3244</v>
      </c>
      <c r="G1928" t="str">
        <f ca="1">PROPER(Table1[[#This Row],[Part Time 
Job]])</f>
        <v>False</v>
      </c>
      <c r="H1928" s="3">
        <v>4</v>
      </c>
      <c r="I1928" t="str">
        <f ca="1">PROPER(Table1[[#This Row],[Extracurricular 
Activities]])</f>
        <v>False</v>
      </c>
      <c r="J1928">
        <v>3</v>
      </c>
      <c r="K1928" t="s">
        <v>3115</v>
      </c>
      <c r="L1928">
        <v>63</v>
      </c>
      <c r="M1928" s="12" t="str" cm="1">
        <f t="array" ref="M1928">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928">
        <v>97</v>
      </c>
      <c r="O1928" s="13" t="str" cm="1">
        <f t="array" ref="O192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928">
        <v>80</v>
      </c>
      <c r="Q1928" s="13" t="str" cm="1">
        <f t="array" ref="Q192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928">
        <v>84</v>
      </c>
      <c r="S1928" t="str" cm="1">
        <f t="array" ref="S192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928">
        <v>90</v>
      </c>
      <c r="U1928" t="str" cm="1">
        <f t="array" ref="U192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928">
        <v>63</v>
      </c>
      <c r="W1928" t="str" cm="1">
        <f t="array" ref="W192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928">
        <v>64</v>
      </c>
      <c r="Y1928" t="str" cm="1">
        <f t="array" ref="Y192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928">
        <f>SUM(Table1[[#This Row],[Math 
Score]],Table1[[#This Row],[History 
Score]],Table1[[#This Row],[Physics 
Score]],Table1[[#This Row],[Chemistry 
Score]],Table1[[#This Row],[Biology 
Score]],Table1[[#This Row],[English 
Score]],Table1[[#This Row],[Geography 
Score]])</f>
        <v>541</v>
      </c>
      <c r="AA1928" s="3">
        <f>AVERAGE(Table1[[#This Row],[Math 
Score]],Table1[[#This Row],[History 
Score]],Table1[[#This Row],[Physics 
Score]],Table1[[#This Row],[Chemistry 
Score]],Table1[[#This Row],[Biology 
Score]],Table1[[#This Row],[English 
Score]],Table1[[#This Row],[Geography 
Score]])</f>
        <v>77.285714285714292</v>
      </c>
      <c r="AB192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928">
        <f t="shared" si="30"/>
        <v>1493</v>
      </c>
      <c r="AD1928" t="str">
        <f>_xlfn.IFS(Table1[[#This Row],[Absence 
Days]]&lt;3,"Excellent",Table1[[#This Row],[Absence 
Days]]&lt;=6,"Good",Table1[[#This Row],[Absence 
Days]]&gt;6,"Poor")</f>
        <v>Good</v>
      </c>
    </row>
    <row r="1929" spans="1:30" x14ac:dyDescent="0.35">
      <c r="A1929">
        <v>1928</v>
      </c>
      <c r="B1929" s="2" t="s">
        <v>54</v>
      </c>
      <c r="C1929" t="s">
        <v>589</v>
      </c>
      <c r="D1929" t="str">
        <f>_xlfn.TEXTJOIN(" ",TRUE,Table1[[#This Row],[First 
Name]:[Last 
Name]])</f>
        <v>Michelle Lopez</v>
      </c>
      <c r="E1929" t="s">
        <v>3039</v>
      </c>
      <c r="F1929" t="s">
        <v>3245</v>
      </c>
      <c r="G1929" t="str">
        <f ca="1">PROPER(Table1[[#This Row],[Part Time 
Job]])</f>
        <v>False</v>
      </c>
      <c r="H1929" s="3">
        <v>2</v>
      </c>
      <c r="I1929" t="str">
        <f ca="1">PROPER(Table1[[#This Row],[Extracurricular 
Activities]])</f>
        <v>False</v>
      </c>
      <c r="J1929">
        <v>32</v>
      </c>
      <c r="K1929" t="s">
        <v>3112</v>
      </c>
      <c r="L1929">
        <v>72</v>
      </c>
      <c r="M1929" s="12" t="str" cm="1">
        <f t="array" ref="M1929">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929">
        <v>95</v>
      </c>
      <c r="O1929" s="13" t="str" cm="1">
        <f t="array" ref="O192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929">
        <v>71</v>
      </c>
      <c r="Q1929" s="13" t="str" cm="1">
        <f t="array" ref="Q192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929">
        <v>74</v>
      </c>
      <c r="S1929" t="str" cm="1">
        <f t="array" ref="S192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929">
        <v>84</v>
      </c>
      <c r="U1929" t="str" cm="1">
        <f t="array" ref="U192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929">
        <v>97</v>
      </c>
      <c r="W1929" t="str" cm="1">
        <f t="array" ref="W192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929">
        <v>66</v>
      </c>
      <c r="Y1929" t="str" cm="1">
        <f t="array" ref="Y192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929">
        <f>SUM(Table1[[#This Row],[Math 
Score]],Table1[[#This Row],[History 
Score]],Table1[[#This Row],[Physics 
Score]],Table1[[#This Row],[Chemistry 
Score]],Table1[[#This Row],[Biology 
Score]],Table1[[#This Row],[English 
Score]],Table1[[#This Row],[Geography 
Score]])</f>
        <v>559</v>
      </c>
      <c r="AA1929" s="3">
        <f>AVERAGE(Table1[[#This Row],[Math 
Score]],Table1[[#This Row],[History 
Score]],Table1[[#This Row],[Physics 
Score]],Table1[[#This Row],[Chemistry 
Score]],Table1[[#This Row],[Biology 
Score]],Table1[[#This Row],[English 
Score]],Table1[[#This Row],[Geography 
Score]])</f>
        <v>79.857142857142861</v>
      </c>
      <c r="AB192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929">
        <f t="shared" si="30"/>
        <v>1155</v>
      </c>
      <c r="AD1929" t="str">
        <f>_xlfn.IFS(Table1[[#This Row],[Absence 
Days]]&lt;3,"Excellent",Table1[[#This Row],[Absence 
Days]]&lt;=6,"Good",Table1[[#This Row],[Absence 
Days]]&gt;6,"Poor")</f>
        <v>Excellent</v>
      </c>
    </row>
    <row r="1930" spans="1:30" x14ac:dyDescent="0.35">
      <c r="A1930">
        <v>1929</v>
      </c>
      <c r="B1930" s="2" t="s">
        <v>151</v>
      </c>
      <c r="C1930" t="s">
        <v>847</v>
      </c>
      <c r="D1930" t="str">
        <f>_xlfn.TEXTJOIN(" ",TRUE,Table1[[#This Row],[First 
Name]:[Last 
Name]])</f>
        <v>Catherine Brooks</v>
      </c>
      <c r="E1930" t="s">
        <v>3040</v>
      </c>
      <c r="F1930" t="s">
        <v>3245</v>
      </c>
      <c r="G1930" t="str">
        <f ca="1">PROPER(Table1[[#This Row],[Part Time 
Job]])</f>
        <v>True</v>
      </c>
      <c r="H1930" s="3">
        <v>6</v>
      </c>
      <c r="I1930" t="str">
        <f ca="1">PROPER(Table1[[#This Row],[Extracurricular 
Activities]])</f>
        <v>True</v>
      </c>
      <c r="J1930">
        <v>33</v>
      </c>
      <c r="K1930" t="s">
        <v>3117</v>
      </c>
      <c r="L1930">
        <v>94</v>
      </c>
      <c r="M1930" s="12" t="str" cm="1">
        <f t="array" ref="M193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930">
        <v>90</v>
      </c>
      <c r="O1930" s="13" t="str" cm="1">
        <f t="array" ref="O193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930">
        <v>79</v>
      </c>
      <c r="Q1930" s="13" t="str" cm="1">
        <f t="array" ref="Q193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930">
        <v>69</v>
      </c>
      <c r="S1930" t="str" cm="1">
        <f t="array" ref="S193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930">
        <v>100</v>
      </c>
      <c r="U1930" t="str" cm="1">
        <f t="array" ref="U193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930">
        <v>72</v>
      </c>
      <c r="W1930" t="str" cm="1">
        <f t="array" ref="W193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930">
        <v>98</v>
      </c>
      <c r="Y1930" t="str" cm="1">
        <f t="array" ref="Y193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930">
        <f>SUM(Table1[[#This Row],[Math 
Score]],Table1[[#This Row],[History 
Score]],Table1[[#This Row],[Physics 
Score]],Table1[[#This Row],[Chemistry 
Score]],Table1[[#This Row],[Biology 
Score]],Table1[[#This Row],[English 
Score]],Table1[[#This Row],[Geography 
Score]])</f>
        <v>602</v>
      </c>
      <c r="AA1930" s="3">
        <f>AVERAGE(Table1[[#This Row],[Math 
Score]],Table1[[#This Row],[History 
Score]],Table1[[#This Row],[Physics 
Score]],Table1[[#This Row],[Chemistry 
Score]],Table1[[#This Row],[Biology 
Score]],Table1[[#This Row],[English 
Score]],Table1[[#This Row],[Geography 
Score]])</f>
        <v>86</v>
      </c>
      <c r="AB193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930">
        <f t="shared" si="30"/>
        <v>380</v>
      </c>
      <c r="AD1930" t="str">
        <f>_xlfn.IFS(Table1[[#This Row],[Absence 
Days]]&lt;3,"Excellent",Table1[[#This Row],[Absence 
Days]]&lt;=6,"Good",Table1[[#This Row],[Absence 
Days]]&gt;6,"Poor")</f>
        <v>Good</v>
      </c>
    </row>
    <row r="1931" spans="1:30" x14ac:dyDescent="0.35">
      <c r="A1931">
        <v>1930</v>
      </c>
      <c r="B1931" s="2" t="s">
        <v>115</v>
      </c>
      <c r="C1931" t="s">
        <v>542</v>
      </c>
      <c r="D1931" t="str">
        <f>_xlfn.TEXTJOIN(" ",TRUE,Table1[[#This Row],[First 
Name]:[Last 
Name]])</f>
        <v>Anita Gonzalez</v>
      </c>
      <c r="E1931" t="s">
        <v>3041</v>
      </c>
      <c r="F1931" t="s">
        <v>3245</v>
      </c>
      <c r="G1931" t="str">
        <f ca="1">PROPER(Table1[[#This Row],[Part Time 
Job]])</f>
        <v>False</v>
      </c>
      <c r="H1931" s="3">
        <v>2</v>
      </c>
      <c r="I1931" t="str">
        <f ca="1">PROPER(Table1[[#This Row],[Extracurricular 
Activities]])</f>
        <v>True</v>
      </c>
      <c r="J1931">
        <v>24</v>
      </c>
      <c r="K1931" t="s">
        <v>3121</v>
      </c>
      <c r="L1931">
        <v>99</v>
      </c>
      <c r="M1931" s="12" t="str" cm="1">
        <f t="array" ref="M193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931">
        <v>84</v>
      </c>
      <c r="O1931" s="13" t="str" cm="1">
        <f t="array" ref="O193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931">
        <v>94</v>
      </c>
      <c r="Q1931" s="13" t="str" cm="1">
        <f t="array" ref="Q193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931">
        <v>76</v>
      </c>
      <c r="S1931" t="str" cm="1">
        <f t="array" ref="S193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931">
        <v>62</v>
      </c>
      <c r="U1931" t="str" cm="1">
        <f t="array" ref="U193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931">
        <v>79</v>
      </c>
      <c r="W1931" t="str" cm="1">
        <f t="array" ref="W193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931">
        <v>67</v>
      </c>
      <c r="Y1931" t="str" cm="1">
        <f t="array" ref="Y193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931">
        <f>SUM(Table1[[#This Row],[Math 
Score]],Table1[[#This Row],[History 
Score]],Table1[[#This Row],[Physics 
Score]],Table1[[#This Row],[Chemistry 
Score]],Table1[[#This Row],[Biology 
Score]],Table1[[#This Row],[English 
Score]],Table1[[#This Row],[Geography 
Score]])</f>
        <v>561</v>
      </c>
      <c r="AA1931" s="3">
        <f>AVERAGE(Table1[[#This Row],[Math 
Score]],Table1[[#This Row],[History 
Score]],Table1[[#This Row],[Physics 
Score]],Table1[[#This Row],[Chemistry 
Score]],Table1[[#This Row],[Biology 
Score]],Table1[[#This Row],[English 
Score]],Table1[[#This Row],[Geography 
Score]])</f>
        <v>80.142857142857139</v>
      </c>
      <c r="AB193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931">
        <f t="shared" si="30"/>
        <v>1120</v>
      </c>
      <c r="AD1931" t="str">
        <f>_xlfn.IFS(Table1[[#This Row],[Absence 
Days]]&lt;3,"Excellent",Table1[[#This Row],[Absence 
Days]]&lt;=6,"Good",Table1[[#This Row],[Absence 
Days]]&gt;6,"Poor")</f>
        <v>Excellent</v>
      </c>
    </row>
    <row r="1932" spans="1:30" x14ac:dyDescent="0.35">
      <c r="A1932">
        <v>1931</v>
      </c>
      <c r="B1932" s="2" t="s">
        <v>71</v>
      </c>
      <c r="C1932" t="s">
        <v>698</v>
      </c>
      <c r="D1932" t="str">
        <f>_xlfn.TEXTJOIN(" ",TRUE,Table1[[#This Row],[First 
Name]:[Last 
Name]])</f>
        <v>James Hudson</v>
      </c>
      <c r="E1932" t="s">
        <v>3042</v>
      </c>
      <c r="F1932" t="s">
        <v>3244</v>
      </c>
      <c r="G1932" t="str">
        <f ca="1">PROPER(Table1[[#This Row],[Part Time 
Job]])</f>
        <v>False</v>
      </c>
      <c r="H1932" s="3">
        <v>2</v>
      </c>
      <c r="I1932" t="str">
        <f ca="1">PROPER(Table1[[#This Row],[Extracurricular 
Activities]])</f>
        <v>False</v>
      </c>
      <c r="J1932">
        <v>5</v>
      </c>
      <c r="K1932" t="s">
        <v>3116</v>
      </c>
      <c r="L1932">
        <v>81</v>
      </c>
      <c r="M1932" s="12" t="str" cm="1">
        <f t="array" ref="M193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932">
        <v>91</v>
      </c>
      <c r="O1932" s="13" t="str" cm="1">
        <f t="array" ref="O193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932">
        <v>85</v>
      </c>
      <c r="Q1932" s="13" t="str" cm="1">
        <f t="array" ref="Q193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932">
        <v>64</v>
      </c>
      <c r="S1932" t="str" cm="1">
        <f t="array" ref="S193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932">
        <v>82</v>
      </c>
      <c r="U1932" t="str" cm="1">
        <f t="array" ref="U193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932">
        <v>90</v>
      </c>
      <c r="W1932" t="str" cm="1">
        <f t="array" ref="W193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932">
        <v>94</v>
      </c>
      <c r="Y1932" t="str" cm="1">
        <f t="array" ref="Y193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932">
        <f>SUM(Table1[[#This Row],[Math 
Score]],Table1[[#This Row],[History 
Score]],Table1[[#This Row],[Physics 
Score]],Table1[[#This Row],[Chemistry 
Score]],Table1[[#This Row],[Biology 
Score]],Table1[[#This Row],[English 
Score]],Table1[[#This Row],[Geography 
Score]])</f>
        <v>587</v>
      </c>
      <c r="AA1932" s="3">
        <f>AVERAGE(Table1[[#This Row],[Math 
Score]],Table1[[#This Row],[History 
Score]],Table1[[#This Row],[Physics 
Score]],Table1[[#This Row],[Chemistry 
Score]],Table1[[#This Row],[Biology 
Score]],Table1[[#This Row],[English 
Score]],Table1[[#This Row],[Geography 
Score]])</f>
        <v>83.857142857142861</v>
      </c>
      <c r="AB193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932">
        <f t="shared" si="30"/>
        <v>583</v>
      </c>
      <c r="AD1932" t="str">
        <f>_xlfn.IFS(Table1[[#This Row],[Absence 
Days]]&lt;3,"Excellent",Table1[[#This Row],[Absence 
Days]]&lt;=6,"Good",Table1[[#This Row],[Absence 
Days]]&gt;6,"Poor")</f>
        <v>Excellent</v>
      </c>
    </row>
    <row r="1933" spans="1:30" x14ac:dyDescent="0.35">
      <c r="A1933">
        <v>1932</v>
      </c>
      <c r="B1933" s="2" t="s">
        <v>252</v>
      </c>
      <c r="C1933" t="s">
        <v>567</v>
      </c>
      <c r="D1933" t="str">
        <f>_xlfn.TEXTJOIN(" ",TRUE,Table1[[#This Row],[First 
Name]:[Last 
Name]])</f>
        <v>Alicia Rodriguez</v>
      </c>
      <c r="E1933" t="s">
        <v>3043</v>
      </c>
      <c r="F1933" t="s">
        <v>3245</v>
      </c>
      <c r="G1933" t="str">
        <f ca="1">PROPER(Table1[[#This Row],[Part Time 
Job]])</f>
        <v>False</v>
      </c>
      <c r="H1933" s="3">
        <v>5</v>
      </c>
      <c r="I1933" t="str">
        <f ca="1">PROPER(Table1[[#This Row],[Extracurricular 
Activities]])</f>
        <v>False</v>
      </c>
      <c r="J1933">
        <v>8</v>
      </c>
      <c r="K1933" t="s">
        <v>3118</v>
      </c>
      <c r="L1933">
        <v>61</v>
      </c>
      <c r="M1933" s="12" t="str" cm="1">
        <f t="array" ref="M1933">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933">
        <v>100</v>
      </c>
      <c r="O1933" s="13" t="str" cm="1">
        <f t="array" ref="O193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933">
        <v>85</v>
      </c>
      <c r="Q1933" s="13" t="str" cm="1">
        <f t="array" ref="Q193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933">
        <v>99</v>
      </c>
      <c r="S1933" t="str" cm="1">
        <f t="array" ref="S193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933">
        <v>65</v>
      </c>
      <c r="U1933" t="str" cm="1">
        <f t="array" ref="U193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933">
        <v>79</v>
      </c>
      <c r="W1933" t="str" cm="1">
        <f t="array" ref="W193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933">
        <v>86</v>
      </c>
      <c r="Y1933" t="str" cm="1">
        <f t="array" ref="Y193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933">
        <f>SUM(Table1[[#This Row],[Math 
Score]],Table1[[#This Row],[History 
Score]],Table1[[#This Row],[Physics 
Score]],Table1[[#This Row],[Chemistry 
Score]],Table1[[#This Row],[Biology 
Score]],Table1[[#This Row],[English 
Score]],Table1[[#This Row],[Geography 
Score]])</f>
        <v>575</v>
      </c>
      <c r="AA1933" s="3">
        <f>AVERAGE(Table1[[#This Row],[Math 
Score]],Table1[[#This Row],[History 
Score]],Table1[[#This Row],[Physics 
Score]],Table1[[#This Row],[Chemistry 
Score]],Table1[[#This Row],[Biology 
Score]],Table1[[#This Row],[English 
Score]],Table1[[#This Row],[Geography 
Score]])</f>
        <v>82.142857142857139</v>
      </c>
      <c r="AB193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933">
        <f t="shared" si="30"/>
        <v>807</v>
      </c>
      <c r="AD1933" t="str">
        <f>_xlfn.IFS(Table1[[#This Row],[Absence 
Days]]&lt;3,"Excellent",Table1[[#This Row],[Absence 
Days]]&lt;=6,"Good",Table1[[#This Row],[Absence 
Days]]&gt;6,"Poor")</f>
        <v>Good</v>
      </c>
    </row>
    <row r="1934" spans="1:30" x14ac:dyDescent="0.35">
      <c r="A1934">
        <v>1933</v>
      </c>
      <c r="B1934" s="2" t="s">
        <v>176</v>
      </c>
      <c r="C1934" t="s">
        <v>486</v>
      </c>
      <c r="D1934" t="str">
        <f>_xlfn.TEXTJOIN(" ",TRUE,Table1[[#This Row],[First 
Name]:[Last 
Name]])</f>
        <v>Tracy Martinez</v>
      </c>
      <c r="E1934" t="s">
        <v>3044</v>
      </c>
      <c r="F1934" t="s">
        <v>3245</v>
      </c>
      <c r="G1934" t="str">
        <f ca="1">PROPER(Table1[[#This Row],[Part Time 
Job]])</f>
        <v>False</v>
      </c>
      <c r="H1934" s="3">
        <v>2</v>
      </c>
      <c r="I1934" t="str">
        <f ca="1">PROPER(Table1[[#This Row],[Extracurricular 
Activities]])</f>
        <v>True</v>
      </c>
      <c r="J1934">
        <v>8</v>
      </c>
      <c r="K1934" t="s">
        <v>3118</v>
      </c>
      <c r="L1934">
        <v>68</v>
      </c>
      <c r="M1934" s="12" t="str" cm="1">
        <f t="array" ref="M1934">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934">
        <v>95</v>
      </c>
      <c r="O1934" s="13" t="str" cm="1">
        <f t="array" ref="O193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934">
        <v>76</v>
      </c>
      <c r="Q1934" s="13" t="str" cm="1">
        <f t="array" ref="Q193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934">
        <v>97</v>
      </c>
      <c r="S1934" t="str" cm="1">
        <f t="array" ref="S193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934">
        <v>91</v>
      </c>
      <c r="U1934" t="str" cm="1">
        <f t="array" ref="U193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934">
        <v>78</v>
      </c>
      <c r="W1934" t="str" cm="1">
        <f t="array" ref="W193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934">
        <v>71</v>
      </c>
      <c r="Y1934" t="str" cm="1">
        <f t="array" ref="Y193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934">
        <f>SUM(Table1[[#This Row],[Math 
Score]],Table1[[#This Row],[History 
Score]],Table1[[#This Row],[Physics 
Score]],Table1[[#This Row],[Chemistry 
Score]],Table1[[#This Row],[Biology 
Score]],Table1[[#This Row],[English 
Score]],Table1[[#This Row],[Geography 
Score]])</f>
        <v>576</v>
      </c>
      <c r="AA1934" s="3">
        <f>AVERAGE(Table1[[#This Row],[Math 
Score]],Table1[[#This Row],[History 
Score]],Table1[[#This Row],[Physics 
Score]],Table1[[#This Row],[Chemistry 
Score]],Table1[[#This Row],[Biology 
Score]],Table1[[#This Row],[English 
Score]],Table1[[#This Row],[Geography 
Score]])</f>
        <v>82.285714285714292</v>
      </c>
      <c r="AB193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934">
        <f t="shared" si="30"/>
        <v>789</v>
      </c>
      <c r="AD1934" t="str">
        <f>_xlfn.IFS(Table1[[#This Row],[Absence 
Days]]&lt;3,"Excellent",Table1[[#This Row],[Absence 
Days]]&lt;=6,"Good",Table1[[#This Row],[Absence 
Days]]&gt;6,"Poor")</f>
        <v>Excellent</v>
      </c>
    </row>
    <row r="1935" spans="1:30" x14ac:dyDescent="0.35">
      <c r="A1935">
        <v>1934</v>
      </c>
      <c r="B1935" s="2" t="s">
        <v>36</v>
      </c>
      <c r="C1935" t="s">
        <v>951</v>
      </c>
      <c r="D1935" t="str">
        <f>_xlfn.TEXTJOIN(" ",TRUE,Table1[[#This Row],[First 
Name]:[Last 
Name]])</f>
        <v>Christopher Montgomery</v>
      </c>
      <c r="E1935" t="s">
        <v>3045</v>
      </c>
      <c r="F1935" t="s">
        <v>3244</v>
      </c>
      <c r="G1935" t="str">
        <f ca="1">PROPER(Table1[[#This Row],[Part Time 
Job]])</f>
        <v>False</v>
      </c>
      <c r="H1935" s="3">
        <v>0</v>
      </c>
      <c r="I1935" t="str">
        <f ca="1">PROPER(Table1[[#This Row],[Extracurricular 
Activities]])</f>
        <v>False</v>
      </c>
      <c r="J1935">
        <v>21</v>
      </c>
      <c r="K1935" t="s">
        <v>3116</v>
      </c>
      <c r="L1935">
        <v>64</v>
      </c>
      <c r="M1935" s="12" t="str" cm="1">
        <f t="array" ref="M1935">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935">
        <v>74</v>
      </c>
      <c r="O1935" s="13" t="str" cm="1">
        <f t="array" ref="O193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935">
        <v>79</v>
      </c>
      <c r="Q1935" s="13" t="str" cm="1">
        <f t="array" ref="Q193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935">
        <v>72</v>
      </c>
      <c r="S1935" t="str" cm="1">
        <f t="array" ref="S193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935">
        <v>74</v>
      </c>
      <c r="U1935" t="str" cm="1">
        <f t="array" ref="U193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935">
        <v>65</v>
      </c>
      <c r="W1935" t="str" cm="1">
        <f t="array" ref="W193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935">
        <v>95</v>
      </c>
      <c r="Y1935" t="str" cm="1">
        <f t="array" ref="Y193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935">
        <f>SUM(Table1[[#This Row],[Math 
Score]],Table1[[#This Row],[History 
Score]],Table1[[#This Row],[Physics 
Score]],Table1[[#This Row],[Chemistry 
Score]],Table1[[#This Row],[Biology 
Score]],Table1[[#This Row],[English 
Score]],Table1[[#This Row],[Geography 
Score]])</f>
        <v>523</v>
      </c>
      <c r="AA1935" s="3">
        <f>AVERAGE(Table1[[#This Row],[Math 
Score]],Table1[[#This Row],[History 
Score]],Table1[[#This Row],[Physics 
Score]],Table1[[#This Row],[Chemistry 
Score]],Table1[[#This Row],[Biology 
Score]],Table1[[#This Row],[English 
Score]],Table1[[#This Row],[Geography 
Score]])</f>
        <v>74.714285714285708</v>
      </c>
      <c r="AB193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935">
        <f t="shared" si="30"/>
        <v>1727</v>
      </c>
      <c r="AD1935" t="str">
        <f>_xlfn.IFS(Table1[[#This Row],[Absence 
Days]]&lt;3,"Excellent",Table1[[#This Row],[Absence 
Days]]&lt;=6,"Good",Table1[[#This Row],[Absence 
Days]]&gt;6,"Poor")</f>
        <v>Excellent</v>
      </c>
    </row>
    <row r="1936" spans="1:30" x14ac:dyDescent="0.35">
      <c r="A1936">
        <v>1935</v>
      </c>
      <c r="B1936" s="2" t="s">
        <v>450</v>
      </c>
      <c r="C1936" t="s">
        <v>602</v>
      </c>
      <c r="D1936" t="str">
        <f>_xlfn.TEXTJOIN(" ",TRUE,Table1[[#This Row],[First 
Name]:[Last 
Name]])</f>
        <v>Sherri Cruz</v>
      </c>
      <c r="E1936" t="s">
        <v>3046</v>
      </c>
      <c r="F1936" t="s">
        <v>3245</v>
      </c>
      <c r="G1936" t="str">
        <f ca="1">PROPER(Table1[[#This Row],[Part Time 
Job]])</f>
        <v>False</v>
      </c>
      <c r="H1936" s="3">
        <v>1</v>
      </c>
      <c r="I1936" t="str">
        <f ca="1">PROPER(Table1[[#This Row],[Extracurricular 
Activities]])</f>
        <v>True</v>
      </c>
      <c r="J1936">
        <v>6</v>
      </c>
      <c r="K1936" t="s">
        <v>3114</v>
      </c>
      <c r="L1936">
        <v>66</v>
      </c>
      <c r="M1936" s="12" t="str" cm="1">
        <f t="array" ref="M1936">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936">
        <v>94</v>
      </c>
      <c r="O1936" s="13" t="str" cm="1">
        <f t="array" ref="O193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936">
        <v>67</v>
      </c>
      <c r="Q1936" s="13" t="str" cm="1">
        <f t="array" ref="Q193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936">
        <v>79</v>
      </c>
      <c r="S1936" t="str" cm="1">
        <f t="array" ref="S193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936">
        <v>64</v>
      </c>
      <c r="U1936" t="str" cm="1">
        <f t="array" ref="U193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936">
        <v>89</v>
      </c>
      <c r="W1936" t="str" cm="1">
        <f t="array" ref="W193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936">
        <v>75</v>
      </c>
      <c r="Y1936" t="str" cm="1">
        <f t="array" ref="Y193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936">
        <f>SUM(Table1[[#This Row],[Math 
Score]],Table1[[#This Row],[History 
Score]],Table1[[#This Row],[Physics 
Score]],Table1[[#This Row],[Chemistry 
Score]],Table1[[#This Row],[Biology 
Score]],Table1[[#This Row],[English 
Score]],Table1[[#This Row],[Geography 
Score]])</f>
        <v>534</v>
      </c>
      <c r="AA1936" s="3">
        <f>AVERAGE(Table1[[#This Row],[Math 
Score]],Table1[[#This Row],[History 
Score]],Table1[[#This Row],[Physics 
Score]],Table1[[#This Row],[Chemistry 
Score]],Table1[[#This Row],[Biology 
Score]],Table1[[#This Row],[English 
Score]],Table1[[#This Row],[Geography 
Score]])</f>
        <v>76.285714285714292</v>
      </c>
      <c r="AB193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936">
        <f t="shared" si="30"/>
        <v>1595</v>
      </c>
      <c r="AD1936" t="str">
        <f>_xlfn.IFS(Table1[[#This Row],[Absence 
Days]]&lt;3,"Excellent",Table1[[#This Row],[Absence 
Days]]&lt;=6,"Good",Table1[[#This Row],[Absence 
Days]]&gt;6,"Poor")</f>
        <v>Excellent</v>
      </c>
    </row>
    <row r="1937" spans="1:30" x14ac:dyDescent="0.35">
      <c r="A1937">
        <v>1936</v>
      </c>
      <c r="B1937" s="2" t="s">
        <v>42</v>
      </c>
      <c r="C1937" t="s">
        <v>618</v>
      </c>
      <c r="D1937" t="str">
        <f>_xlfn.TEXTJOIN(" ",TRUE,Table1[[#This Row],[First 
Name]:[Last 
Name]])</f>
        <v>Elizabeth Adams</v>
      </c>
      <c r="E1937" t="s">
        <v>3047</v>
      </c>
      <c r="F1937" t="s">
        <v>3245</v>
      </c>
      <c r="G1937" t="str">
        <f ca="1">PROPER(Table1[[#This Row],[Part Time 
Job]])</f>
        <v>True</v>
      </c>
      <c r="H1937" s="3">
        <v>0</v>
      </c>
      <c r="I1937" t="str">
        <f ca="1">PROPER(Table1[[#This Row],[Extracurricular 
Activities]])</f>
        <v>False</v>
      </c>
      <c r="J1937">
        <v>15</v>
      </c>
      <c r="K1937" t="s">
        <v>3117</v>
      </c>
      <c r="L1937">
        <v>100</v>
      </c>
      <c r="M1937" s="12" t="str" cm="1">
        <f t="array" ref="M193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937">
        <v>95</v>
      </c>
      <c r="O1937" s="13" t="str" cm="1">
        <f t="array" ref="O193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937">
        <v>72</v>
      </c>
      <c r="Q1937" s="13" t="str" cm="1">
        <f t="array" ref="Q193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937">
        <v>77</v>
      </c>
      <c r="S1937" t="str" cm="1">
        <f t="array" ref="S193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937">
        <v>66</v>
      </c>
      <c r="U1937" t="str" cm="1">
        <f t="array" ref="U193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937">
        <v>68</v>
      </c>
      <c r="W1937" t="str" cm="1">
        <f t="array" ref="W193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937">
        <v>76</v>
      </c>
      <c r="Y1937" t="str" cm="1">
        <f t="array" ref="Y193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937">
        <f>SUM(Table1[[#This Row],[Math 
Score]],Table1[[#This Row],[History 
Score]],Table1[[#This Row],[Physics 
Score]],Table1[[#This Row],[Chemistry 
Score]],Table1[[#This Row],[Biology 
Score]],Table1[[#This Row],[English 
Score]],Table1[[#This Row],[Geography 
Score]])</f>
        <v>554</v>
      </c>
      <c r="AA1937" s="3">
        <f>AVERAGE(Table1[[#This Row],[Math 
Score]],Table1[[#This Row],[History 
Score]],Table1[[#This Row],[Physics 
Score]],Table1[[#This Row],[Chemistry 
Score]],Table1[[#This Row],[Biology 
Score]],Table1[[#This Row],[English 
Score]],Table1[[#This Row],[Geography 
Score]])</f>
        <v>79.142857142857139</v>
      </c>
      <c r="AB193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937">
        <f t="shared" si="30"/>
        <v>1264</v>
      </c>
      <c r="AD1937" t="str">
        <f>_xlfn.IFS(Table1[[#This Row],[Absence 
Days]]&lt;3,"Excellent",Table1[[#This Row],[Absence 
Days]]&lt;=6,"Good",Table1[[#This Row],[Absence 
Days]]&gt;6,"Poor")</f>
        <v>Excellent</v>
      </c>
    </row>
    <row r="1938" spans="1:30" x14ac:dyDescent="0.35">
      <c r="A1938">
        <v>1937</v>
      </c>
      <c r="B1938" s="2" t="s">
        <v>51</v>
      </c>
      <c r="C1938" t="s">
        <v>942</v>
      </c>
      <c r="D1938" t="str">
        <f>_xlfn.TEXTJOIN(" ",TRUE,Table1[[#This Row],[First 
Name]:[Last 
Name]])</f>
        <v>Melissa Simmons</v>
      </c>
      <c r="E1938" t="s">
        <v>3048</v>
      </c>
      <c r="F1938" t="s">
        <v>3245</v>
      </c>
      <c r="G1938" t="str">
        <f ca="1">PROPER(Table1[[#This Row],[Part Time 
Job]])</f>
        <v>True</v>
      </c>
      <c r="H1938" s="3">
        <v>1</v>
      </c>
      <c r="I1938" t="str">
        <f ca="1">PROPER(Table1[[#This Row],[Extracurricular 
Activities]])</f>
        <v>False</v>
      </c>
      <c r="J1938">
        <v>12</v>
      </c>
      <c r="K1938" t="s">
        <v>3114</v>
      </c>
      <c r="L1938">
        <v>74</v>
      </c>
      <c r="M1938" s="12" t="str" cm="1">
        <f t="array" ref="M1938">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938">
        <v>86</v>
      </c>
      <c r="O1938" s="13" t="str" cm="1">
        <f t="array" ref="O193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938">
        <v>70</v>
      </c>
      <c r="Q1938" s="13" t="str" cm="1">
        <f t="array" ref="Q193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938">
        <v>94</v>
      </c>
      <c r="S1938" t="str" cm="1">
        <f t="array" ref="S193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938">
        <v>71</v>
      </c>
      <c r="U1938" t="str" cm="1">
        <f t="array" ref="U193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938">
        <v>70</v>
      </c>
      <c r="W1938" t="str" cm="1">
        <f t="array" ref="W193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938">
        <v>63</v>
      </c>
      <c r="Y1938" t="str" cm="1">
        <f t="array" ref="Y193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938">
        <f>SUM(Table1[[#This Row],[Math 
Score]],Table1[[#This Row],[History 
Score]],Table1[[#This Row],[Physics 
Score]],Table1[[#This Row],[Chemistry 
Score]],Table1[[#This Row],[Biology 
Score]],Table1[[#This Row],[English 
Score]],Table1[[#This Row],[Geography 
Score]])</f>
        <v>528</v>
      </c>
      <c r="AA1938" s="3">
        <f>AVERAGE(Table1[[#This Row],[Math 
Score]],Table1[[#This Row],[History 
Score]],Table1[[#This Row],[Physics 
Score]],Table1[[#This Row],[Chemistry 
Score]],Table1[[#This Row],[Biology 
Score]],Table1[[#This Row],[English 
Score]],Table1[[#This Row],[Geography 
Score]])</f>
        <v>75.428571428571431</v>
      </c>
      <c r="AB193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938">
        <f t="shared" si="30"/>
        <v>1678</v>
      </c>
      <c r="AD1938" t="str">
        <f>_xlfn.IFS(Table1[[#This Row],[Absence 
Days]]&lt;3,"Excellent",Table1[[#This Row],[Absence 
Days]]&lt;=6,"Good",Table1[[#This Row],[Absence 
Days]]&gt;6,"Poor")</f>
        <v>Excellent</v>
      </c>
    </row>
    <row r="1939" spans="1:30" x14ac:dyDescent="0.35">
      <c r="A1939">
        <v>1938</v>
      </c>
      <c r="B1939" s="2" t="s">
        <v>27</v>
      </c>
      <c r="C1939" t="s">
        <v>1107</v>
      </c>
      <c r="D1939" t="str">
        <f>_xlfn.TEXTJOIN(" ",TRUE,Table1[[#This Row],[First 
Name]:[Last 
Name]])</f>
        <v>Carol Ramos</v>
      </c>
      <c r="E1939" t="s">
        <v>3049</v>
      </c>
      <c r="F1939" t="s">
        <v>3245</v>
      </c>
      <c r="G1939" t="str">
        <f ca="1">PROPER(Table1[[#This Row],[Part Time 
Job]])</f>
        <v>False</v>
      </c>
      <c r="H1939" s="3">
        <v>6</v>
      </c>
      <c r="I1939" t="str">
        <f ca="1">PROPER(Table1[[#This Row],[Extracurricular 
Activities]])</f>
        <v>False</v>
      </c>
      <c r="J1939">
        <v>1</v>
      </c>
      <c r="K1939" t="s">
        <v>3115</v>
      </c>
      <c r="L1939">
        <v>96</v>
      </c>
      <c r="M1939" s="12" t="str" cm="1">
        <f t="array" ref="M193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939">
        <v>66</v>
      </c>
      <c r="O1939" s="13" t="str" cm="1">
        <f t="array" ref="O193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939">
        <v>76</v>
      </c>
      <c r="Q1939" s="13" t="str" cm="1">
        <f t="array" ref="Q193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939">
        <v>71</v>
      </c>
      <c r="S1939" t="str" cm="1">
        <f t="array" ref="S193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939">
        <v>94</v>
      </c>
      <c r="U1939" t="str" cm="1">
        <f t="array" ref="U193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939">
        <v>72</v>
      </c>
      <c r="W1939" t="str" cm="1">
        <f t="array" ref="W193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939">
        <v>86</v>
      </c>
      <c r="Y1939" t="str" cm="1">
        <f t="array" ref="Y193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939">
        <f>SUM(Table1[[#This Row],[Math 
Score]],Table1[[#This Row],[History 
Score]],Table1[[#This Row],[Physics 
Score]],Table1[[#This Row],[Chemistry 
Score]],Table1[[#This Row],[Biology 
Score]],Table1[[#This Row],[English 
Score]],Table1[[#This Row],[Geography 
Score]])</f>
        <v>561</v>
      </c>
      <c r="AA1939" s="3">
        <f>AVERAGE(Table1[[#This Row],[Math 
Score]],Table1[[#This Row],[History 
Score]],Table1[[#This Row],[Physics 
Score]],Table1[[#This Row],[Chemistry 
Score]],Table1[[#This Row],[Biology 
Score]],Table1[[#This Row],[English 
Score]],Table1[[#This Row],[Geography 
Score]])</f>
        <v>80.142857142857139</v>
      </c>
      <c r="AB193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939">
        <f t="shared" si="30"/>
        <v>1120</v>
      </c>
      <c r="AD1939" t="str">
        <f>_xlfn.IFS(Table1[[#This Row],[Absence 
Days]]&lt;3,"Excellent",Table1[[#This Row],[Absence 
Days]]&lt;=6,"Good",Table1[[#This Row],[Absence 
Days]]&gt;6,"Poor")</f>
        <v>Good</v>
      </c>
    </row>
    <row r="1940" spans="1:30" x14ac:dyDescent="0.35">
      <c r="A1940">
        <v>1939</v>
      </c>
      <c r="B1940" s="2" t="s">
        <v>34</v>
      </c>
      <c r="C1940" t="s">
        <v>618</v>
      </c>
      <c r="D1940" t="str">
        <f>_xlfn.TEXTJOIN(" ",TRUE,Table1[[#This Row],[First 
Name]:[Last 
Name]])</f>
        <v>Michael Adams</v>
      </c>
      <c r="E1940" t="s">
        <v>3050</v>
      </c>
      <c r="F1940" t="s">
        <v>3244</v>
      </c>
      <c r="G1940" t="str">
        <f ca="1">PROPER(Table1[[#This Row],[Part Time 
Job]])</f>
        <v>False</v>
      </c>
      <c r="H1940" s="3">
        <v>2</v>
      </c>
      <c r="I1940" t="str">
        <f ca="1">PROPER(Table1[[#This Row],[Extracurricular 
Activities]])</f>
        <v>False</v>
      </c>
      <c r="J1940">
        <v>14</v>
      </c>
      <c r="K1940" t="s">
        <v>3117</v>
      </c>
      <c r="L1940">
        <v>90</v>
      </c>
      <c r="M1940" s="12" t="str" cm="1">
        <f t="array" ref="M194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940">
        <v>92</v>
      </c>
      <c r="O1940" s="13" t="str" cm="1">
        <f t="array" ref="O194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940">
        <v>95</v>
      </c>
      <c r="Q1940" s="13" t="str" cm="1">
        <f t="array" ref="Q194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940">
        <v>88</v>
      </c>
      <c r="S1940" t="str" cm="1">
        <f t="array" ref="S194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940">
        <v>88</v>
      </c>
      <c r="U1940" t="str" cm="1">
        <f t="array" ref="U194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940">
        <v>85</v>
      </c>
      <c r="W1940" t="str" cm="1">
        <f t="array" ref="W194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940">
        <v>92</v>
      </c>
      <c r="Y1940" t="str" cm="1">
        <f t="array" ref="Y194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940">
        <f>SUM(Table1[[#This Row],[Math 
Score]],Table1[[#This Row],[History 
Score]],Table1[[#This Row],[Physics 
Score]],Table1[[#This Row],[Chemistry 
Score]],Table1[[#This Row],[Biology 
Score]],Table1[[#This Row],[English 
Score]],Table1[[#This Row],[Geography 
Score]])</f>
        <v>630</v>
      </c>
      <c r="AA1940" s="3">
        <f>AVERAGE(Table1[[#This Row],[Math 
Score]],Table1[[#This Row],[History 
Score]],Table1[[#This Row],[Physics 
Score]],Table1[[#This Row],[Chemistry 
Score]],Table1[[#This Row],[Biology 
Score]],Table1[[#This Row],[English 
Score]],Table1[[#This Row],[Geography 
Score]])</f>
        <v>90</v>
      </c>
      <c r="AB194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940">
        <f t="shared" si="30"/>
        <v>154</v>
      </c>
      <c r="AD1940" t="str">
        <f>_xlfn.IFS(Table1[[#This Row],[Absence 
Days]]&lt;3,"Excellent",Table1[[#This Row],[Absence 
Days]]&lt;=6,"Good",Table1[[#This Row],[Absence 
Days]]&gt;6,"Poor")</f>
        <v>Excellent</v>
      </c>
    </row>
    <row r="1941" spans="1:30" x14ac:dyDescent="0.35">
      <c r="A1941">
        <v>1940</v>
      </c>
      <c r="B1941" s="2" t="s">
        <v>34</v>
      </c>
      <c r="C1941" t="s">
        <v>562</v>
      </c>
      <c r="D1941" t="str">
        <f>_xlfn.TEXTJOIN(" ",TRUE,Table1[[#This Row],[First 
Name]:[Last 
Name]])</f>
        <v>Michael Wilson</v>
      </c>
      <c r="E1941" t="s">
        <v>3051</v>
      </c>
      <c r="F1941" t="s">
        <v>3244</v>
      </c>
      <c r="G1941" t="str">
        <f ca="1">PROPER(Table1[[#This Row],[Part Time 
Job]])</f>
        <v>False</v>
      </c>
      <c r="H1941" s="3">
        <v>3</v>
      </c>
      <c r="I1941" t="str">
        <f ca="1">PROPER(Table1[[#This Row],[Extracurricular 
Activities]])</f>
        <v>False</v>
      </c>
      <c r="J1941">
        <v>26</v>
      </c>
      <c r="K1941" t="s">
        <v>3123</v>
      </c>
      <c r="L1941">
        <v>92</v>
      </c>
      <c r="M1941" s="12" t="str" cm="1">
        <f t="array" ref="M194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941">
        <v>86</v>
      </c>
      <c r="O1941" s="13" t="str" cm="1">
        <f t="array" ref="O194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941">
        <v>61</v>
      </c>
      <c r="Q1941" s="13" t="str" cm="1">
        <f t="array" ref="Q194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941">
        <v>78</v>
      </c>
      <c r="S1941" t="str" cm="1">
        <f t="array" ref="S194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941">
        <v>56</v>
      </c>
      <c r="U1941" t="str" cm="1">
        <f t="array" ref="U194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C</v>
      </c>
      <c r="V1941">
        <v>68</v>
      </c>
      <c r="W1941" t="str" cm="1">
        <f t="array" ref="W194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941">
        <v>85</v>
      </c>
      <c r="Y1941" t="str" cm="1">
        <f t="array" ref="Y194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941">
        <f>SUM(Table1[[#This Row],[Math 
Score]],Table1[[#This Row],[History 
Score]],Table1[[#This Row],[Physics 
Score]],Table1[[#This Row],[Chemistry 
Score]],Table1[[#This Row],[Biology 
Score]],Table1[[#This Row],[English 
Score]],Table1[[#This Row],[Geography 
Score]])</f>
        <v>526</v>
      </c>
      <c r="AA1941" s="3">
        <f>AVERAGE(Table1[[#This Row],[Math 
Score]],Table1[[#This Row],[History 
Score]],Table1[[#This Row],[Physics 
Score]],Table1[[#This Row],[Chemistry 
Score]],Table1[[#This Row],[Biology 
Score]],Table1[[#This Row],[English 
Score]],Table1[[#This Row],[Geography 
Score]])</f>
        <v>75.142857142857139</v>
      </c>
      <c r="AB194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941">
        <f t="shared" si="30"/>
        <v>1688</v>
      </c>
      <c r="AD1941" t="str">
        <f>_xlfn.IFS(Table1[[#This Row],[Absence 
Days]]&lt;3,"Excellent",Table1[[#This Row],[Absence 
Days]]&lt;=6,"Good",Table1[[#This Row],[Absence 
Days]]&gt;6,"Poor")</f>
        <v>Good</v>
      </c>
    </row>
    <row r="1942" spans="1:30" x14ac:dyDescent="0.35">
      <c r="A1942">
        <v>1941</v>
      </c>
      <c r="B1942" s="2" t="s">
        <v>110</v>
      </c>
      <c r="C1942" t="s">
        <v>542</v>
      </c>
      <c r="D1942" t="str">
        <f>_xlfn.TEXTJOIN(" ",TRUE,Table1[[#This Row],[First 
Name]:[Last 
Name]])</f>
        <v>Matthew Gonzalez</v>
      </c>
      <c r="E1942" t="s">
        <v>3052</v>
      </c>
      <c r="F1942" t="s">
        <v>3244</v>
      </c>
      <c r="G1942" t="str">
        <f ca="1">PROPER(Table1[[#This Row],[Part Time 
Job]])</f>
        <v>True</v>
      </c>
      <c r="H1942" s="3">
        <v>1</v>
      </c>
      <c r="I1942" t="str">
        <f ca="1">PROPER(Table1[[#This Row],[Extracurricular 
Activities]])</f>
        <v>False</v>
      </c>
      <c r="J1942">
        <v>31</v>
      </c>
      <c r="K1942" t="s">
        <v>3113</v>
      </c>
      <c r="L1942">
        <v>99</v>
      </c>
      <c r="M1942" s="12" t="str" cm="1">
        <f t="array" ref="M194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942">
        <v>78</v>
      </c>
      <c r="O1942" s="13" t="str" cm="1">
        <f t="array" ref="O194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942">
        <v>99</v>
      </c>
      <c r="Q1942" s="13" t="str" cm="1">
        <f t="array" ref="Q194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942">
        <v>88</v>
      </c>
      <c r="S1942" t="str" cm="1">
        <f t="array" ref="S194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942">
        <v>96</v>
      </c>
      <c r="U1942" t="str" cm="1">
        <f t="array" ref="U194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942">
        <v>96</v>
      </c>
      <c r="W1942" t="str" cm="1">
        <f t="array" ref="W194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942">
        <v>90</v>
      </c>
      <c r="Y1942" t="str" cm="1">
        <f t="array" ref="Y194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942">
        <f>SUM(Table1[[#This Row],[Math 
Score]],Table1[[#This Row],[History 
Score]],Table1[[#This Row],[Physics 
Score]],Table1[[#This Row],[Chemistry 
Score]],Table1[[#This Row],[Biology 
Score]],Table1[[#This Row],[English 
Score]],Table1[[#This Row],[Geography 
Score]])</f>
        <v>646</v>
      </c>
      <c r="AA1942" s="3">
        <f>AVERAGE(Table1[[#This Row],[Math 
Score]],Table1[[#This Row],[History 
Score]],Table1[[#This Row],[Physics 
Score]],Table1[[#This Row],[Chemistry 
Score]],Table1[[#This Row],[Biology 
Score]],Table1[[#This Row],[English 
Score]],Table1[[#This Row],[Geography 
Score]])</f>
        <v>92.285714285714292</v>
      </c>
      <c r="AB194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942">
        <f t="shared" si="30"/>
        <v>73</v>
      </c>
      <c r="AD1942" t="str">
        <f>_xlfn.IFS(Table1[[#This Row],[Absence 
Days]]&lt;3,"Excellent",Table1[[#This Row],[Absence 
Days]]&lt;=6,"Good",Table1[[#This Row],[Absence 
Days]]&gt;6,"Poor")</f>
        <v>Excellent</v>
      </c>
    </row>
    <row r="1943" spans="1:30" x14ac:dyDescent="0.35">
      <c r="A1943">
        <v>1942</v>
      </c>
      <c r="B1943" s="2" t="s">
        <v>32</v>
      </c>
      <c r="C1943" t="s">
        <v>1066</v>
      </c>
      <c r="D1943" t="str">
        <f>_xlfn.TEXTJOIN(" ",TRUE,Table1[[#This Row],[First 
Name]:[Last 
Name]])</f>
        <v>Lisa Palmer</v>
      </c>
      <c r="E1943" t="s">
        <v>3053</v>
      </c>
      <c r="F1943" t="s">
        <v>3245</v>
      </c>
      <c r="G1943" t="str">
        <f ca="1">PROPER(Table1[[#This Row],[Part Time 
Job]])</f>
        <v>False</v>
      </c>
      <c r="H1943" s="3">
        <v>4</v>
      </c>
      <c r="I1943" t="str">
        <f ca="1">PROPER(Table1[[#This Row],[Extracurricular 
Activities]])</f>
        <v>False</v>
      </c>
      <c r="J1943">
        <v>5</v>
      </c>
      <c r="K1943" t="s">
        <v>3116</v>
      </c>
      <c r="L1943">
        <v>63</v>
      </c>
      <c r="M1943" s="12" t="str" cm="1">
        <f t="array" ref="M1943">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943">
        <v>68</v>
      </c>
      <c r="O1943" s="13" t="str" cm="1">
        <f t="array" ref="O194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943">
        <v>91</v>
      </c>
      <c r="Q1943" s="13" t="str" cm="1">
        <f t="array" ref="Q194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943">
        <v>82</v>
      </c>
      <c r="S1943" t="str" cm="1">
        <f t="array" ref="S194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943">
        <v>90</v>
      </c>
      <c r="U1943" t="str" cm="1">
        <f t="array" ref="U194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943">
        <v>86</v>
      </c>
      <c r="W1943" t="str" cm="1">
        <f t="array" ref="W194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943">
        <v>75</v>
      </c>
      <c r="Y1943" t="str" cm="1">
        <f t="array" ref="Y194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943">
        <f>SUM(Table1[[#This Row],[Math 
Score]],Table1[[#This Row],[History 
Score]],Table1[[#This Row],[Physics 
Score]],Table1[[#This Row],[Chemistry 
Score]],Table1[[#This Row],[Biology 
Score]],Table1[[#This Row],[English 
Score]],Table1[[#This Row],[Geography 
Score]])</f>
        <v>555</v>
      </c>
      <c r="AA1943" s="3">
        <f>AVERAGE(Table1[[#This Row],[Math 
Score]],Table1[[#This Row],[History 
Score]],Table1[[#This Row],[Physics 
Score]],Table1[[#This Row],[Chemistry 
Score]],Table1[[#This Row],[Biology 
Score]],Table1[[#This Row],[English 
Score]],Table1[[#This Row],[Geography 
Score]])</f>
        <v>79.285714285714292</v>
      </c>
      <c r="AB194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943">
        <f t="shared" si="30"/>
        <v>1245</v>
      </c>
      <c r="AD1943" t="str">
        <f>_xlfn.IFS(Table1[[#This Row],[Absence 
Days]]&lt;3,"Excellent",Table1[[#This Row],[Absence 
Days]]&lt;=6,"Good",Table1[[#This Row],[Absence 
Days]]&gt;6,"Poor")</f>
        <v>Good</v>
      </c>
    </row>
    <row r="1944" spans="1:30" x14ac:dyDescent="0.35">
      <c r="A1944">
        <v>1943</v>
      </c>
      <c r="B1944" s="2" t="s">
        <v>93</v>
      </c>
      <c r="C1944" t="s">
        <v>744</v>
      </c>
      <c r="D1944" t="str">
        <f>_xlfn.TEXTJOIN(" ",TRUE,Table1[[#This Row],[First 
Name]:[Last 
Name]])</f>
        <v>Andrew Olson</v>
      </c>
      <c r="E1944" t="s">
        <v>3054</v>
      </c>
      <c r="F1944" t="s">
        <v>3244</v>
      </c>
      <c r="G1944" t="str">
        <f ca="1">PROPER(Table1[[#This Row],[Part Time 
Job]])</f>
        <v>False</v>
      </c>
      <c r="H1944" s="3">
        <v>2</v>
      </c>
      <c r="I1944" t="str">
        <f ca="1">PROPER(Table1[[#This Row],[Extracurricular 
Activities]])</f>
        <v>False</v>
      </c>
      <c r="J1944">
        <v>28</v>
      </c>
      <c r="K1944" t="s">
        <v>3123</v>
      </c>
      <c r="L1944">
        <v>98</v>
      </c>
      <c r="M1944" s="12" t="str" cm="1">
        <f t="array" ref="M194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944">
        <v>88</v>
      </c>
      <c r="O1944" s="13" t="str" cm="1">
        <f t="array" ref="O194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944">
        <v>81</v>
      </c>
      <c r="Q1944" s="13" t="str" cm="1">
        <f t="array" ref="Q194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944">
        <v>65</v>
      </c>
      <c r="S1944" t="str" cm="1">
        <f t="array" ref="S194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944">
        <v>59</v>
      </c>
      <c r="U1944" t="str" cm="1">
        <f t="array" ref="U194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C</v>
      </c>
      <c r="V1944">
        <v>84</v>
      </c>
      <c r="W1944" t="str" cm="1">
        <f t="array" ref="W194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944">
        <v>87</v>
      </c>
      <c r="Y1944" t="str" cm="1">
        <f t="array" ref="Y194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944">
        <f>SUM(Table1[[#This Row],[Math 
Score]],Table1[[#This Row],[History 
Score]],Table1[[#This Row],[Physics 
Score]],Table1[[#This Row],[Chemistry 
Score]],Table1[[#This Row],[Biology 
Score]],Table1[[#This Row],[English 
Score]],Table1[[#This Row],[Geography 
Score]])</f>
        <v>562</v>
      </c>
      <c r="AA1944" s="3">
        <f>AVERAGE(Table1[[#This Row],[Math 
Score]],Table1[[#This Row],[History 
Score]],Table1[[#This Row],[Physics 
Score]],Table1[[#This Row],[Chemistry 
Score]],Table1[[#This Row],[Biology 
Score]],Table1[[#This Row],[English 
Score]],Table1[[#This Row],[Geography 
Score]])</f>
        <v>80.285714285714292</v>
      </c>
      <c r="AB194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944">
        <f t="shared" si="30"/>
        <v>1099</v>
      </c>
      <c r="AD1944" t="str">
        <f>_xlfn.IFS(Table1[[#This Row],[Absence 
Days]]&lt;3,"Excellent",Table1[[#This Row],[Absence 
Days]]&lt;=6,"Good",Table1[[#This Row],[Absence 
Days]]&gt;6,"Poor")</f>
        <v>Excellent</v>
      </c>
    </row>
    <row r="1945" spans="1:30" x14ac:dyDescent="0.35">
      <c r="A1945">
        <v>1944</v>
      </c>
      <c r="B1945" s="2" t="s">
        <v>50</v>
      </c>
      <c r="C1945" t="s">
        <v>592</v>
      </c>
      <c r="D1945" t="str">
        <f>_xlfn.TEXTJOIN(" ",TRUE,Table1[[#This Row],[First 
Name]:[Last 
Name]])</f>
        <v>Jennifer Johnson</v>
      </c>
      <c r="E1945" t="s">
        <v>3055</v>
      </c>
      <c r="F1945" t="s">
        <v>3245</v>
      </c>
      <c r="G1945" t="str">
        <f ca="1">PROPER(Table1[[#This Row],[Part Time 
Job]])</f>
        <v>False</v>
      </c>
      <c r="H1945" s="3">
        <v>1</v>
      </c>
      <c r="I1945" t="str">
        <f ca="1">PROPER(Table1[[#This Row],[Extracurricular 
Activities]])</f>
        <v>True</v>
      </c>
      <c r="J1945">
        <v>11</v>
      </c>
      <c r="K1945" t="s">
        <v>3116</v>
      </c>
      <c r="L1945">
        <v>87</v>
      </c>
      <c r="M1945" s="12" t="str" cm="1">
        <f t="array" ref="M194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945">
        <v>61</v>
      </c>
      <c r="O1945" s="13" t="str" cm="1">
        <f t="array" ref="O194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945">
        <v>62</v>
      </c>
      <c r="Q1945" s="13" t="str" cm="1">
        <f t="array" ref="Q194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945">
        <v>66</v>
      </c>
      <c r="S1945" t="str" cm="1">
        <f t="array" ref="S194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945">
        <v>67</v>
      </c>
      <c r="U1945" t="str" cm="1">
        <f t="array" ref="U194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945">
        <v>81</v>
      </c>
      <c r="W1945" t="str" cm="1">
        <f t="array" ref="W194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945">
        <v>65</v>
      </c>
      <c r="Y1945" t="str" cm="1">
        <f t="array" ref="Y194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945">
        <f>SUM(Table1[[#This Row],[Math 
Score]],Table1[[#This Row],[History 
Score]],Table1[[#This Row],[Physics 
Score]],Table1[[#This Row],[Chemistry 
Score]],Table1[[#This Row],[Biology 
Score]],Table1[[#This Row],[English 
Score]],Table1[[#This Row],[Geography 
Score]])</f>
        <v>489</v>
      </c>
      <c r="AA1945" s="3">
        <f>AVERAGE(Table1[[#This Row],[Math 
Score]],Table1[[#This Row],[History 
Score]],Table1[[#This Row],[Physics 
Score]],Table1[[#This Row],[Chemistry 
Score]],Table1[[#This Row],[Biology 
Score]],Table1[[#This Row],[English 
Score]],Table1[[#This Row],[Geography 
Score]])</f>
        <v>69.857142857142861</v>
      </c>
      <c r="AB194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945">
        <f t="shared" si="30"/>
        <v>1914</v>
      </c>
      <c r="AD1945" t="str">
        <f>_xlfn.IFS(Table1[[#This Row],[Absence 
Days]]&lt;3,"Excellent",Table1[[#This Row],[Absence 
Days]]&lt;=6,"Good",Table1[[#This Row],[Absence 
Days]]&gt;6,"Poor")</f>
        <v>Excellent</v>
      </c>
    </row>
    <row r="1946" spans="1:30" x14ac:dyDescent="0.35">
      <c r="A1946">
        <v>1945</v>
      </c>
      <c r="B1946" s="2" t="s">
        <v>86</v>
      </c>
      <c r="C1946" t="s">
        <v>581</v>
      </c>
      <c r="D1946" t="str">
        <f>_xlfn.TEXTJOIN(" ",TRUE,Table1[[#This Row],[First 
Name]:[Last 
Name]])</f>
        <v>Benjamin Marks</v>
      </c>
      <c r="E1946" t="s">
        <v>3056</v>
      </c>
      <c r="F1946" t="s">
        <v>3244</v>
      </c>
      <c r="G1946" t="str">
        <f ca="1">PROPER(Table1[[#This Row],[Part Time 
Job]])</f>
        <v>False</v>
      </c>
      <c r="H1946" s="3">
        <v>1</v>
      </c>
      <c r="I1946" t="str">
        <f ca="1">PROPER(Table1[[#This Row],[Extracurricular 
Activities]])</f>
        <v>True</v>
      </c>
      <c r="J1946">
        <v>19</v>
      </c>
      <c r="K1946" t="s">
        <v>3117</v>
      </c>
      <c r="L1946">
        <v>96</v>
      </c>
      <c r="M1946" s="12" t="str" cm="1">
        <f t="array" ref="M194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946">
        <v>96</v>
      </c>
      <c r="O1946" s="13" t="str" cm="1">
        <f t="array" ref="O194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946">
        <v>80</v>
      </c>
      <c r="Q1946" s="13" t="str" cm="1">
        <f t="array" ref="Q194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946">
        <v>93</v>
      </c>
      <c r="S1946" t="str" cm="1">
        <f t="array" ref="S194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946">
        <v>82</v>
      </c>
      <c r="U1946" t="str" cm="1">
        <f t="array" ref="U194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946">
        <v>65</v>
      </c>
      <c r="W1946" t="str" cm="1">
        <f t="array" ref="W194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946">
        <v>70</v>
      </c>
      <c r="Y1946" t="str" cm="1">
        <f t="array" ref="Y194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946">
        <f>SUM(Table1[[#This Row],[Math 
Score]],Table1[[#This Row],[History 
Score]],Table1[[#This Row],[Physics 
Score]],Table1[[#This Row],[Chemistry 
Score]],Table1[[#This Row],[Biology 
Score]],Table1[[#This Row],[English 
Score]],Table1[[#This Row],[Geography 
Score]])</f>
        <v>582</v>
      </c>
      <c r="AA1946" s="3">
        <f>AVERAGE(Table1[[#This Row],[Math 
Score]],Table1[[#This Row],[History 
Score]],Table1[[#This Row],[Physics 
Score]],Table1[[#This Row],[Chemistry 
Score]],Table1[[#This Row],[Biology 
Score]],Table1[[#This Row],[English 
Score]],Table1[[#This Row],[Geography 
Score]])</f>
        <v>83.142857142857139</v>
      </c>
      <c r="AB194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946">
        <f t="shared" si="30"/>
        <v>670</v>
      </c>
      <c r="AD1946" t="str">
        <f>_xlfn.IFS(Table1[[#This Row],[Absence 
Days]]&lt;3,"Excellent",Table1[[#This Row],[Absence 
Days]]&lt;=6,"Good",Table1[[#This Row],[Absence 
Days]]&gt;6,"Poor")</f>
        <v>Excellent</v>
      </c>
    </row>
    <row r="1947" spans="1:30" x14ac:dyDescent="0.35">
      <c r="A1947">
        <v>1946</v>
      </c>
      <c r="B1947" s="2" t="s">
        <v>36</v>
      </c>
      <c r="C1947" t="s">
        <v>769</v>
      </c>
      <c r="D1947" t="str">
        <f>_xlfn.TEXTJOIN(" ",TRUE,Table1[[#This Row],[First 
Name]:[Last 
Name]])</f>
        <v>Christopher Gonzales</v>
      </c>
      <c r="E1947" t="s">
        <v>3057</v>
      </c>
      <c r="F1947" t="s">
        <v>3244</v>
      </c>
      <c r="G1947" t="str">
        <f ca="1">PROPER(Table1[[#This Row],[Part Time 
Job]])</f>
        <v>False</v>
      </c>
      <c r="H1947" s="3">
        <v>3</v>
      </c>
      <c r="I1947" t="str">
        <f ca="1">PROPER(Table1[[#This Row],[Extracurricular 
Activities]])</f>
        <v>False</v>
      </c>
      <c r="J1947">
        <v>17</v>
      </c>
      <c r="K1947" t="s">
        <v>3127</v>
      </c>
      <c r="L1947">
        <v>80</v>
      </c>
      <c r="M1947" s="12" t="str" cm="1">
        <f t="array" ref="M194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947">
        <v>98</v>
      </c>
      <c r="O1947" s="13" t="str" cm="1">
        <f t="array" ref="O194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947">
        <v>99</v>
      </c>
      <c r="Q1947" s="13" t="str" cm="1">
        <f t="array" ref="Q194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947">
        <v>90</v>
      </c>
      <c r="S1947" t="str" cm="1">
        <f t="array" ref="S194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947">
        <v>64</v>
      </c>
      <c r="U1947" t="str" cm="1">
        <f t="array" ref="U194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947">
        <v>86</v>
      </c>
      <c r="W1947" t="str" cm="1">
        <f t="array" ref="W194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947">
        <v>93</v>
      </c>
      <c r="Y1947" t="str" cm="1">
        <f t="array" ref="Y194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947">
        <f>SUM(Table1[[#This Row],[Math 
Score]],Table1[[#This Row],[History 
Score]],Table1[[#This Row],[Physics 
Score]],Table1[[#This Row],[Chemistry 
Score]],Table1[[#This Row],[Biology 
Score]],Table1[[#This Row],[English 
Score]],Table1[[#This Row],[Geography 
Score]])</f>
        <v>610</v>
      </c>
      <c r="AA1947" s="3">
        <f>AVERAGE(Table1[[#This Row],[Math 
Score]],Table1[[#This Row],[History 
Score]],Table1[[#This Row],[Physics 
Score]],Table1[[#This Row],[Chemistry 
Score]],Table1[[#This Row],[Biology 
Score]],Table1[[#This Row],[English 
Score]],Table1[[#This Row],[Geography 
Score]])</f>
        <v>87.142857142857139</v>
      </c>
      <c r="AB194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947">
        <f t="shared" si="30"/>
        <v>298</v>
      </c>
      <c r="AD1947" t="str">
        <f>_xlfn.IFS(Table1[[#This Row],[Absence 
Days]]&lt;3,"Excellent",Table1[[#This Row],[Absence 
Days]]&lt;=6,"Good",Table1[[#This Row],[Absence 
Days]]&gt;6,"Poor")</f>
        <v>Good</v>
      </c>
    </row>
    <row r="1948" spans="1:30" x14ac:dyDescent="0.35">
      <c r="A1948">
        <v>1947</v>
      </c>
      <c r="B1948" s="2" t="s">
        <v>51</v>
      </c>
      <c r="C1948" t="s">
        <v>939</v>
      </c>
      <c r="D1948" t="str">
        <f>_xlfn.TEXTJOIN(" ",TRUE,Table1[[#This Row],[First 
Name]:[Last 
Name]])</f>
        <v>Melissa Finley</v>
      </c>
      <c r="E1948" t="s">
        <v>3058</v>
      </c>
      <c r="F1948" t="s">
        <v>3245</v>
      </c>
      <c r="G1948" t="str">
        <f ca="1">PROPER(Table1[[#This Row],[Part Time 
Job]])</f>
        <v>False</v>
      </c>
      <c r="H1948" s="3">
        <v>0</v>
      </c>
      <c r="I1948" t="str">
        <f ca="1">PROPER(Table1[[#This Row],[Extracurricular 
Activities]])</f>
        <v>True</v>
      </c>
      <c r="J1948">
        <v>30</v>
      </c>
      <c r="K1948" t="s">
        <v>3116</v>
      </c>
      <c r="L1948">
        <v>80</v>
      </c>
      <c r="M1948" s="12" t="str" cm="1">
        <f t="array" ref="M194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948">
        <v>77</v>
      </c>
      <c r="O1948" s="13" t="str" cm="1">
        <f t="array" ref="O194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948">
        <v>96</v>
      </c>
      <c r="Q1948" s="13" t="str" cm="1">
        <f t="array" ref="Q194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948">
        <v>64</v>
      </c>
      <c r="S1948" t="str" cm="1">
        <f t="array" ref="S194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948">
        <v>93</v>
      </c>
      <c r="U1948" t="str" cm="1">
        <f t="array" ref="U194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948">
        <v>62</v>
      </c>
      <c r="W1948" t="str" cm="1">
        <f t="array" ref="W194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948">
        <v>86</v>
      </c>
      <c r="Y1948" t="str" cm="1">
        <f t="array" ref="Y194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948">
        <f>SUM(Table1[[#This Row],[Math 
Score]],Table1[[#This Row],[History 
Score]],Table1[[#This Row],[Physics 
Score]],Table1[[#This Row],[Chemistry 
Score]],Table1[[#This Row],[Biology 
Score]],Table1[[#This Row],[English 
Score]],Table1[[#This Row],[Geography 
Score]])</f>
        <v>558</v>
      </c>
      <c r="AA1948" s="3">
        <f>AVERAGE(Table1[[#This Row],[Math 
Score]],Table1[[#This Row],[History 
Score]],Table1[[#This Row],[Physics 
Score]],Table1[[#This Row],[Chemistry 
Score]],Table1[[#This Row],[Biology 
Score]],Table1[[#This Row],[English 
Score]],Table1[[#This Row],[Geography 
Score]])</f>
        <v>79.714285714285708</v>
      </c>
      <c r="AB194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948">
        <f t="shared" si="30"/>
        <v>1178</v>
      </c>
      <c r="AD1948" t="str">
        <f>_xlfn.IFS(Table1[[#This Row],[Absence 
Days]]&lt;3,"Excellent",Table1[[#This Row],[Absence 
Days]]&lt;=6,"Good",Table1[[#This Row],[Absence 
Days]]&gt;6,"Poor")</f>
        <v>Excellent</v>
      </c>
    </row>
    <row r="1949" spans="1:30" x14ac:dyDescent="0.35">
      <c r="A1949">
        <v>1948</v>
      </c>
      <c r="B1949" s="2" t="s">
        <v>176</v>
      </c>
      <c r="C1949" t="s">
        <v>1020</v>
      </c>
      <c r="D1949" t="str">
        <f>_xlfn.TEXTJOIN(" ",TRUE,Table1[[#This Row],[First 
Name]:[Last 
Name]])</f>
        <v>Tracy Hendricks</v>
      </c>
      <c r="E1949" t="s">
        <v>3059</v>
      </c>
      <c r="F1949" t="s">
        <v>3244</v>
      </c>
      <c r="G1949" t="str">
        <f ca="1">PROPER(Table1[[#This Row],[Part Time 
Job]])</f>
        <v>False</v>
      </c>
      <c r="H1949" s="3">
        <v>2</v>
      </c>
      <c r="I1949" t="str">
        <f ca="1">PROPER(Table1[[#This Row],[Extracurricular 
Activities]])</f>
        <v>False</v>
      </c>
      <c r="J1949">
        <v>23</v>
      </c>
      <c r="K1949" t="s">
        <v>3117</v>
      </c>
      <c r="L1949">
        <v>91</v>
      </c>
      <c r="M1949" s="12" t="str" cm="1">
        <f t="array" ref="M194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949">
        <v>79</v>
      </c>
      <c r="O1949" s="13" t="str" cm="1">
        <f t="array" ref="O194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949">
        <v>70</v>
      </c>
      <c r="Q1949" s="13" t="str" cm="1">
        <f t="array" ref="Q194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949">
        <v>94</v>
      </c>
      <c r="S1949" t="str" cm="1">
        <f t="array" ref="S194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949">
        <v>77</v>
      </c>
      <c r="U1949" t="str" cm="1">
        <f t="array" ref="U194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949">
        <v>83</v>
      </c>
      <c r="W1949" t="str" cm="1">
        <f t="array" ref="W194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949">
        <v>81</v>
      </c>
      <c r="Y1949" t="str" cm="1">
        <f t="array" ref="Y194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949">
        <f>SUM(Table1[[#This Row],[Math 
Score]],Table1[[#This Row],[History 
Score]],Table1[[#This Row],[Physics 
Score]],Table1[[#This Row],[Chemistry 
Score]],Table1[[#This Row],[Biology 
Score]],Table1[[#This Row],[English 
Score]],Table1[[#This Row],[Geography 
Score]])</f>
        <v>575</v>
      </c>
      <c r="AA1949" s="3">
        <f>AVERAGE(Table1[[#This Row],[Math 
Score]],Table1[[#This Row],[History 
Score]],Table1[[#This Row],[Physics 
Score]],Table1[[#This Row],[Chemistry 
Score]],Table1[[#This Row],[Biology 
Score]],Table1[[#This Row],[English 
Score]],Table1[[#This Row],[Geography 
Score]])</f>
        <v>82.142857142857139</v>
      </c>
      <c r="AB194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949">
        <f t="shared" si="30"/>
        <v>807</v>
      </c>
      <c r="AD1949" t="str">
        <f>_xlfn.IFS(Table1[[#This Row],[Absence 
Days]]&lt;3,"Excellent",Table1[[#This Row],[Absence 
Days]]&lt;=6,"Good",Table1[[#This Row],[Absence 
Days]]&gt;6,"Poor")</f>
        <v>Excellent</v>
      </c>
    </row>
    <row r="1950" spans="1:30" x14ac:dyDescent="0.35">
      <c r="A1950">
        <v>1949</v>
      </c>
      <c r="B1950" s="2" t="s">
        <v>60</v>
      </c>
      <c r="C1950" t="s">
        <v>1053</v>
      </c>
      <c r="D1950" t="str">
        <f>_xlfn.TEXTJOIN(" ",TRUE,Table1[[#This Row],[First 
Name]:[Last 
Name]])</f>
        <v>Steven Ramsey</v>
      </c>
      <c r="E1950" t="s">
        <v>3060</v>
      </c>
      <c r="F1950" t="s">
        <v>3244</v>
      </c>
      <c r="G1950" t="str">
        <f ca="1">PROPER(Table1[[#This Row],[Part Time 
Job]])</f>
        <v>False</v>
      </c>
      <c r="H1950" s="3">
        <v>6</v>
      </c>
      <c r="I1950" t="str">
        <f ca="1">PROPER(Table1[[#This Row],[Extracurricular 
Activities]])</f>
        <v>False</v>
      </c>
      <c r="J1950">
        <v>0</v>
      </c>
      <c r="K1950" t="s">
        <v>3119</v>
      </c>
      <c r="L1950">
        <v>91</v>
      </c>
      <c r="M1950" s="12" t="str" cm="1">
        <f t="array" ref="M195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950">
        <v>96</v>
      </c>
      <c r="O1950" s="13" t="str" cm="1">
        <f t="array" ref="O195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950">
        <v>78</v>
      </c>
      <c r="Q1950" s="13" t="str" cm="1">
        <f t="array" ref="Q195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950">
        <v>70</v>
      </c>
      <c r="S1950" t="str" cm="1">
        <f t="array" ref="S195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950">
        <v>50</v>
      </c>
      <c r="U1950" t="str" cm="1">
        <f t="array" ref="U195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C</v>
      </c>
      <c r="V1950">
        <v>50</v>
      </c>
      <c r="W1950" t="str" cm="1">
        <f t="array" ref="W195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C</v>
      </c>
      <c r="X1950">
        <v>69</v>
      </c>
      <c r="Y1950" t="str" cm="1">
        <f t="array" ref="Y195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950">
        <f>SUM(Table1[[#This Row],[Math 
Score]],Table1[[#This Row],[History 
Score]],Table1[[#This Row],[Physics 
Score]],Table1[[#This Row],[Chemistry 
Score]],Table1[[#This Row],[Biology 
Score]],Table1[[#This Row],[English 
Score]],Table1[[#This Row],[Geography 
Score]])</f>
        <v>504</v>
      </c>
      <c r="AA1950" s="3">
        <f>AVERAGE(Table1[[#This Row],[Math 
Score]],Table1[[#This Row],[History 
Score]],Table1[[#This Row],[Physics 
Score]],Table1[[#This Row],[Chemistry 
Score]],Table1[[#This Row],[Biology 
Score]],Table1[[#This Row],[English 
Score]],Table1[[#This Row],[Geography 
Score]])</f>
        <v>72</v>
      </c>
      <c r="AB195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950">
        <f t="shared" si="30"/>
        <v>1858</v>
      </c>
      <c r="AD1950" t="str">
        <f>_xlfn.IFS(Table1[[#This Row],[Absence 
Days]]&lt;3,"Excellent",Table1[[#This Row],[Absence 
Days]]&lt;=6,"Good",Table1[[#This Row],[Absence 
Days]]&gt;6,"Poor")</f>
        <v>Good</v>
      </c>
    </row>
    <row r="1951" spans="1:30" x14ac:dyDescent="0.35">
      <c r="A1951">
        <v>1950</v>
      </c>
      <c r="B1951" s="2" t="s">
        <v>12</v>
      </c>
      <c r="C1951" t="s">
        <v>458</v>
      </c>
      <c r="D1951" t="str">
        <f>_xlfn.TEXTJOIN(" ",TRUE,Table1[[#This Row],[First 
Name]:[Last 
Name]])</f>
        <v>Pamela Smith</v>
      </c>
      <c r="E1951" t="s">
        <v>3061</v>
      </c>
      <c r="F1951" t="s">
        <v>3245</v>
      </c>
      <c r="G1951" t="str">
        <f ca="1">PROPER(Table1[[#This Row],[Part Time 
Job]])</f>
        <v>False</v>
      </c>
      <c r="H1951" s="3">
        <v>0</v>
      </c>
      <c r="I1951" t="str">
        <f ca="1">PROPER(Table1[[#This Row],[Extracurricular 
Activities]])</f>
        <v>True</v>
      </c>
      <c r="J1951">
        <v>19</v>
      </c>
      <c r="K1951" t="s">
        <v>3121</v>
      </c>
      <c r="L1951">
        <v>83</v>
      </c>
      <c r="M1951" s="12" t="str" cm="1">
        <f t="array" ref="M195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951">
        <v>70</v>
      </c>
      <c r="O1951" s="13" t="str" cm="1">
        <f t="array" ref="O195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951">
        <v>72</v>
      </c>
      <c r="Q1951" s="13" t="str" cm="1">
        <f t="array" ref="Q195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951">
        <v>65</v>
      </c>
      <c r="S1951" t="str" cm="1">
        <f t="array" ref="S195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951">
        <v>63</v>
      </c>
      <c r="U1951" t="str" cm="1">
        <f t="array" ref="U195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951">
        <v>88</v>
      </c>
      <c r="W1951" t="str" cm="1">
        <f t="array" ref="W195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951">
        <v>94</v>
      </c>
      <c r="Y1951" t="str" cm="1">
        <f t="array" ref="Y195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951">
        <f>SUM(Table1[[#This Row],[Math 
Score]],Table1[[#This Row],[History 
Score]],Table1[[#This Row],[Physics 
Score]],Table1[[#This Row],[Chemistry 
Score]],Table1[[#This Row],[Biology 
Score]],Table1[[#This Row],[English 
Score]],Table1[[#This Row],[Geography 
Score]])</f>
        <v>535</v>
      </c>
      <c r="AA1951" s="3">
        <f>AVERAGE(Table1[[#This Row],[Math 
Score]],Table1[[#This Row],[History 
Score]],Table1[[#This Row],[Physics 
Score]],Table1[[#This Row],[Chemistry 
Score]],Table1[[#This Row],[Biology 
Score]],Table1[[#This Row],[English 
Score]],Table1[[#This Row],[Geography 
Score]])</f>
        <v>76.428571428571431</v>
      </c>
      <c r="AB195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951">
        <f t="shared" si="30"/>
        <v>1578</v>
      </c>
      <c r="AD1951" t="str">
        <f>_xlfn.IFS(Table1[[#This Row],[Absence 
Days]]&lt;3,"Excellent",Table1[[#This Row],[Absence 
Days]]&lt;=6,"Good",Table1[[#This Row],[Absence 
Days]]&gt;6,"Poor")</f>
        <v>Excellent</v>
      </c>
    </row>
    <row r="1952" spans="1:30" x14ac:dyDescent="0.35">
      <c r="A1952">
        <v>1951</v>
      </c>
      <c r="B1952" s="2" t="s">
        <v>15</v>
      </c>
      <c r="C1952" t="s">
        <v>294</v>
      </c>
      <c r="D1952" t="str">
        <f>_xlfn.TEXTJOIN(" ",TRUE,Table1[[#This Row],[First 
Name]:[Last 
Name]])</f>
        <v>Vicki Jackson</v>
      </c>
      <c r="E1952" t="s">
        <v>3062</v>
      </c>
      <c r="F1952" t="s">
        <v>3245</v>
      </c>
      <c r="G1952" t="str">
        <f ca="1">PROPER(Table1[[#This Row],[Part Time 
Job]])</f>
        <v>False</v>
      </c>
      <c r="H1952" s="3">
        <v>2</v>
      </c>
      <c r="I1952" t="str">
        <f ca="1">PROPER(Table1[[#This Row],[Extracurricular 
Activities]])</f>
        <v>True</v>
      </c>
      <c r="J1952">
        <v>33</v>
      </c>
      <c r="K1952" t="s">
        <v>3112</v>
      </c>
      <c r="L1952">
        <v>89</v>
      </c>
      <c r="M1952" s="12" t="str" cm="1">
        <f t="array" ref="M195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952">
        <v>89</v>
      </c>
      <c r="O1952" s="13" t="str" cm="1">
        <f t="array" ref="O195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952">
        <v>69</v>
      </c>
      <c r="Q1952" s="13" t="str" cm="1">
        <f t="array" ref="Q195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952">
        <v>87</v>
      </c>
      <c r="S1952" t="str" cm="1">
        <f t="array" ref="S195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952">
        <v>69</v>
      </c>
      <c r="U1952" t="str" cm="1">
        <f t="array" ref="U195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952">
        <v>97</v>
      </c>
      <c r="W1952" t="str" cm="1">
        <f t="array" ref="W195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952">
        <v>79</v>
      </c>
      <c r="Y1952" t="str" cm="1">
        <f t="array" ref="Y195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952">
        <f>SUM(Table1[[#This Row],[Math 
Score]],Table1[[#This Row],[History 
Score]],Table1[[#This Row],[Physics 
Score]],Table1[[#This Row],[Chemistry 
Score]],Table1[[#This Row],[Biology 
Score]],Table1[[#This Row],[English 
Score]],Table1[[#This Row],[Geography 
Score]])</f>
        <v>579</v>
      </c>
      <c r="AA1952" s="3">
        <f>AVERAGE(Table1[[#This Row],[Math 
Score]],Table1[[#This Row],[History 
Score]],Table1[[#This Row],[Physics 
Score]],Table1[[#This Row],[Chemistry 
Score]],Table1[[#This Row],[Biology 
Score]],Table1[[#This Row],[English 
Score]],Table1[[#This Row],[Geography 
Score]])</f>
        <v>82.714285714285708</v>
      </c>
      <c r="AB195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952">
        <f t="shared" si="30"/>
        <v>730</v>
      </c>
      <c r="AD1952" t="str">
        <f>_xlfn.IFS(Table1[[#This Row],[Absence 
Days]]&lt;3,"Excellent",Table1[[#This Row],[Absence 
Days]]&lt;=6,"Good",Table1[[#This Row],[Absence 
Days]]&gt;6,"Poor")</f>
        <v>Excellent</v>
      </c>
    </row>
    <row r="1953" spans="1:30" x14ac:dyDescent="0.35">
      <c r="A1953">
        <v>1952</v>
      </c>
      <c r="B1953" s="2" t="s">
        <v>355</v>
      </c>
      <c r="C1953" t="s">
        <v>901</v>
      </c>
      <c r="D1953" t="str">
        <f>_xlfn.TEXTJOIN(" ",TRUE,Table1[[#This Row],[First 
Name]:[Last 
Name]])</f>
        <v>Anne Malone</v>
      </c>
      <c r="E1953" t="s">
        <v>3063</v>
      </c>
      <c r="F1953" t="s">
        <v>3245</v>
      </c>
      <c r="G1953" t="str">
        <f ca="1">PROPER(Table1[[#This Row],[Part Time 
Job]])</f>
        <v>True</v>
      </c>
      <c r="H1953" s="3">
        <v>2</v>
      </c>
      <c r="I1953" t="str">
        <f ca="1">PROPER(Table1[[#This Row],[Extracurricular 
Activities]])</f>
        <v>True</v>
      </c>
      <c r="J1953">
        <v>1</v>
      </c>
      <c r="K1953" t="s">
        <v>3126</v>
      </c>
      <c r="L1953">
        <v>81</v>
      </c>
      <c r="M1953" s="12" t="str" cm="1">
        <f t="array" ref="M195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953">
        <v>73</v>
      </c>
      <c r="O1953" s="13" t="str" cm="1">
        <f t="array" ref="O195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953">
        <v>99</v>
      </c>
      <c r="Q1953" s="13" t="str" cm="1">
        <f t="array" ref="Q195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953">
        <v>72</v>
      </c>
      <c r="S1953" t="str" cm="1">
        <f t="array" ref="S195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953">
        <v>100</v>
      </c>
      <c r="U1953" t="str" cm="1">
        <f t="array" ref="U195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953">
        <v>90</v>
      </c>
      <c r="W1953" t="str" cm="1">
        <f t="array" ref="W195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953">
        <v>64</v>
      </c>
      <c r="Y1953" t="str" cm="1">
        <f t="array" ref="Y195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953">
        <f>SUM(Table1[[#This Row],[Math 
Score]],Table1[[#This Row],[History 
Score]],Table1[[#This Row],[Physics 
Score]],Table1[[#This Row],[Chemistry 
Score]],Table1[[#This Row],[Biology 
Score]],Table1[[#This Row],[English 
Score]],Table1[[#This Row],[Geography 
Score]])</f>
        <v>579</v>
      </c>
      <c r="AA1953" s="3">
        <f>AVERAGE(Table1[[#This Row],[Math 
Score]],Table1[[#This Row],[History 
Score]],Table1[[#This Row],[Physics 
Score]],Table1[[#This Row],[Chemistry 
Score]],Table1[[#This Row],[Biology 
Score]],Table1[[#This Row],[English 
Score]],Table1[[#This Row],[Geography 
Score]])</f>
        <v>82.714285714285708</v>
      </c>
      <c r="AB195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953">
        <f t="shared" si="30"/>
        <v>730</v>
      </c>
      <c r="AD1953" t="str">
        <f>_xlfn.IFS(Table1[[#This Row],[Absence 
Days]]&lt;3,"Excellent",Table1[[#This Row],[Absence 
Days]]&lt;=6,"Good",Table1[[#This Row],[Absence 
Days]]&gt;6,"Poor")</f>
        <v>Excellent</v>
      </c>
    </row>
    <row r="1954" spans="1:30" x14ac:dyDescent="0.35">
      <c r="A1954">
        <v>1953</v>
      </c>
      <c r="B1954" s="2" t="s">
        <v>1</v>
      </c>
      <c r="C1954" t="s">
        <v>592</v>
      </c>
      <c r="D1954" t="str">
        <f>_xlfn.TEXTJOIN(" ",TRUE,Table1[[#This Row],[First 
Name]:[Last 
Name]])</f>
        <v>Danielle Johnson</v>
      </c>
      <c r="E1954" t="s">
        <v>3064</v>
      </c>
      <c r="F1954" t="s">
        <v>3245</v>
      </c>
      <c r="G1954" t="str">
        <f ca="1">PROPER(Table1[[#This Row],[Part Time 
Job]])</f>
        <v>False</v>
      </c>
      <c r="H1954" s="3">
        <v>2</v>
      </c>
      <c r="I1954" t="str">
        <f ca="1">PROPER(Table1[[#This Row],[Extracurricular 
Activities]])</f>
        <v>False</v>
      </c>
      <c r="J1954">
        <v>35</v>
      </c>
      <c r="K1954" t="s">
        <v>3122</v>
      </c>
      <c r="L1954">
        <v>97</v>
      </c>
      <c r="M1954" s="12" t="str" cm="1">
        <f t="array" ref="M195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954">
        <v>85</v>
      </c>
      <c r="O1954" s="13" t="str" cm="1">
        <f t="array" ref="O195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954">
        <v>86</v>
      </c>
      <c r="Q1954" s="13" t="str" cm="1">
        <f t="array" ref="Q195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954">
        <v>99</v>
      </c>
      <c r="S1954" t="str" cm="1">
        <f t="array" ref="S195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954">
        <v>96</v>
      </c>
      <c r="U1954" t="str" cm="1">
        <f t="array" ref="U195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954">
        <v>90</v>
      </c>
      <c r="W1954" t="str" cm="1">
        <f t="array" ref="W195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954">
        <v>88</v>
      </c>
      <c r="Y1954" t="str" cm="1">
        <f t="array" ref="Y195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954">
        <f>SUM(Table1[[#This Row],[Math 
Score]],Table1[[#This Row],[History 
Score]],Table1[[#This Row],[Physics 
Score]],Table1[[#This Row],[Chemistry 
Score]],Table1[[#This Row],[Biology 
Score]],Table1[[#This Row],[English 
Score]],Table1[[#This Row],[Geography 
Score]])</f>
        <v>641</v>
      </c>
      <c r="AA1954" s="3">
        <f>AVERAGE(Table1[[#This Row],[Math 
Score]],Table1[[#This Row],[History 
Score]],Table1[[#This Row],[Physics 
Score]],Table1[[#This Row],[Chemistry 
Score]],Table1[[#This Row],[Biology 
Score]],Table1[[#This Row],[English 
Score]],Table1[[#This Row],[Geography 
Score]])</f>
        <v>91.571428571428569</v>
      </c>
      <c r="AB195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954">
        <f t="shared" si="30"/>
        <v>94</v>
      </c>
      <c r="AD1954" t="str">
        <f>_xlfn.IFS(Table1[[#This Row],[Absence 
Days]]&lt;3,"Excellent",Table1[[#This Row],[Absence 
Days]]&lt;=6,"Good",Table1[[#This Row],[Absence 
Days]]&gt;6,"Poor")</f>
        <v>Excellent</v>
      </c>
    </row>
    <row r="1955" spans="1:30" x14ac:dyDescent="0.35">
      <c r="A1955">
        <v>1954</v>
      </c>
      <c r="B1955" s="2" t="s">
        <v>157</v>
      </c>
      <c r="C1955" t="s">
        <v>479</v>
      </c>
      <c r="D1955" t="str">
        <f>_xlfn.TEXTJOIN(" ",TRUE,Table1[[#This Row],[First 
Name]:[Last 
Name]])</f>
        <v>Willie Miller</v>
      </c>
      <c r="E1955" t="s">
        <v>3065</v>
      </c>
      <c r="F1955" t="s">
        <v>3244</v>
      </c>
      <c r="G1955" t="str">
        <f ca="1">PROPER(Table1[[#This Row],[Part Time 
Job]])</f>
        <v>False</v>
      </c>
      <c r="H1955" s="3">
        <v>1</v>
      </c>
      <c r="I1955" t="str">
        <f ca="1">PROPER(Table1[[#This Row],[Extracurricular 
Activities]])</f>
        <v>False</v>
      </c>
      <c r="J1955">
        <v>3</v>
      </c>
      <c r="K1955" t="s">
        <v>3128</v>
      </c>
      <c r="L1955">
        <v>93</v>
      </c>
      <c r="M1955" s="12" t="str" cm="1">
        <f t="array" ref="M195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955">
        <v>91</v>
      </c>
      <c r="O1955" s="13" t="str" cm="1">
        <f t="array" ref="O195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955">
        <v>61</v>
      </c>
      <c r="Q1955" s="13" t="str" cm="1">
        <f t="array" ref="Q195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955">
        <v>68</v>
      </c>
      <c r="S1955" t="str" cm="1">
        <f t="array" ref="S195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955">
        <v>83</v>
      </c>
      <c r="U1955" t="str" cm="1">
        <f t="array" ref="U195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955">
        <v>82</v>
      </c>
      <c r="W1955" t="str" cm="1">
        <f t="array" ref="W195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955">
        <v>63</v>
      </c>
      <c r="Y1955" t="str" cm="1">
        <f t="array" ref="Y195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955">
        <f>SUM(Table1[[#This Row],[Math 
Score]],Table1[[#This Row],[History 
Score]],Table1[[#This Row],[Physics 
Score]],Table1[[#This Row],[Chemistry 
Score]],Table1[[#This Row],[Biology 
Score]],Table1[[#This Row],[English 
Score]],Table1[[#This Row],[Geography 
Score]])</f>
        <v>541</v>
      </c>
      <c r="AA1955" s="3">
        <f>AVERAGE(Table1[[#This Row],[Math 
Score]],Table1[[#This Row],[History 
Score]],Table1[[#This Row],[Physics 
Score]],Table1[[#This Row],[Chemistry 
Score]],Table1[[#This Row],[Biology 
Score]],Table1[[#This Row],[English 
Score]],Table1[[#This Row],[Geography 
Score]])</f>
        <v>77.285714285714292</v>
      </c>
      <c r="AB195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955">
        <f t="shared" si="30"/>
        <v>1493</v>
      </c>
      <c r="AD1955" t="str">
        <f>_xlfn.IFS(Table1[[#This Row],[Absence 
Days]]&lt;3,"Excellent",Table1[[#This Row],[Absence 
Days]]&lt;=6,"Good",Table1[[#This Row],[Absence 
Days]]&gt;6,"Poor")</f>
        <v>Excellent</v>
      </c>
    </row>
    <row r="1956" spans="1:30" x14ac:dyDescent="0.35">
      <c r="A1956">
        <v>1955</v>
      </c>
      <c r="B1956" s="2" t="s">
        <v>66</v>
      </c>
      <c r="C1956" t="s">
        <v>845</v>
      </c>
      <c r="D1956" t="str">
        <f>_xlfn.TEXTJOIN(" ",TRUE,Table1[[#This Row],[First 
Name]:[Last 
Name]])</f>
        <v>Andrea Delgado</v>
      </c>
      <c r="E1956" t="s">
        <v>3066</v>
      </c>
      <c r="F1956" t="s">
        <v>3245</v>
      </c>
      <c r="G1956" t="str">
        <f ca="1">PROPER(Table1[[#This Row],[Part Time 
Job]])</f>
        <v>False</v>
      </c>
      <c r="H1956" s="3">
        <v>2</v>
      </c>
      <c r="I1956" t="str">
        <f ca="1">PROPER(Table1[[#This Row],[Extracurricular 
Activities]])</f>
        <v>False</v>
      </c>
      <c r="J1956">
        <v>2</v>
      </c>
      <c r="K1956" t="s">
        <v>3126</v>
      </c>
      <c r="L1956">
        <v>99</v>
      </c>
      <c r="M1956" s="12" t="str" cm="1">
        <f t="array" ref="M195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956">
        <v>86</v>
      </c>
      <c r="O1956" s="13" t="str" cm="1">
        <f t="array" ref="O195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956">
        <v>83</v>
      </c>
      <c r="Q1956" s="13" t="str" cm="1">
        <f t="array" ref="Q195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956">
        <v>80</v>
      </c>
      <c r="S1956" t="str" cm="1">
        <f t="array" ref="S195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956">
        <v>69</v>
      </c>
      <c r="U1956" t="str" cm="1">
        <f t="array" ref="U195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956">
        <v>96</v>
      </c>
      <c r="W1956" t="str" cm="1">
        <f t="array" ref="W195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956">
        <v>88</v>
      </c>
      <c r="Y1956" t="str" cm="1">
        <f t="array" ref="Y195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956">
        <f>SUM(Table1[[#This Row],[Math 
Score]],Table1[[#This Row],[History 
Score]],Table1[[#This Row],[Physics 
Score]],Table1[[#This Row],[Chemistry 
Score]],Table1[[#This Row],[Biology 
Score]],Table1[[#This Row],[English 
Score]],Table1[[#This Row],[Geography 
Score]])</f>
        <v>601</v>
      </c>
      <c r="AA1956" s="3">
        <f>AVERAGE(Table1[[#This Row],[Math 
Score]],Table1[[#This Row],[History 
Score]],Table1[[#This Row],[Physics 
Score]],Table1[[#This Row],[Chemistry 
Score]],Table1[[#This Row],[Biology 
Score]],Table1[[#This Row],[English 
Score]],Table1[[#This Row],[Geography 
Score]])</f>
        <v>85.857142857142861</v>
      </c>
      <c r="AB195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956">
        <f t="shared" si="30"/>
        <v>394</v>
      </c>
      <c r="AD1956" t="str">
        <f>_xlfn.IFS(Table1[[#This Row],[Absence 
Days]]&lt;3,"Excellent",Table1[[#This Row],[Absence 
Days]]&lt;=6,"Good",Table1[[#This Row],[Absence 
Days]]&gt;6,"Poor")</f>
        <v>Excellent</v>
      </c>
    </row>
    <row r="1957" spans="1:30" x14ac:dyDescent="0.35">
      <c r="A1957">
        <v>1956</v>
      </c>
      <c r="B1957" s="2" t="s">
        <v>269</v>
      </c>
      <c r="C1957" t="s">
        <v>455</v>
      </c>
      <c r="D1957" t="str">
        <f>_xlfn.TEXTJOIN(" ",TRUE,Table1[[#This Row],[First 
Name]:[Last 
Name]])</f>
        <v>Melanie Clark</v>
      </c>
      <c r="E1957" t="s">
        <v>3067</v>
      </c>
      <c r="F1957" t="s">
        <v>3245</v>
      </c>
      <c r="G1957" t="str">
        <f ca="1">PROPER(Table1[[#This Row],[Part Time 
Job]])</f>
        <v>False</v>
      </c>
      <c r="H1957" s="3">
        <v>5</v>
      </c>
      <c r="I1957" t="str">
        <f ca="1">PROPER(Table1[[#This Row],[Extracurricular 
Activities]])</f>
        <v>True</v>
      </c>
      <c r="J1957">
        <v>16</v>
      </c>
      <c r="K1957" t="s">
        <v>3117</v>
      </c>
      <c r="L1957">
        <v>95</v>
      </c>
      <c r="M1957" s="12" t="str" cm="1">
        <f t="array" ref="M195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957">
        <v>97</v>
      </c>
      <c r="O1957" s="13" t="str" cm="1">
        <f t="array" ref="O195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957">
        <v>68</v>
      </c>
      <c r="Q1957" s="13" t="str" cm="1">
        <f t="array" ref="Q195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957">
        <v>79</v>
      </c>
      <c r="S1957" t="str" cm="1">
        <f t="array" ref="S195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957">
        <v>63</v>
      </c>
      <c r="U1957" t="str" cm="1">
        <f t="array" ref="U195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957">
        <v>88</v>
      </c>
      <c r="W1957" t="str" cm="1">
        <f t="array" ref="W195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957">
        <v>63</v>
      </c>
      <c r="Y1957" t="str" cm="1">
        <f t="array" ref="Y195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957">
        <f>SUM(Table1[[#This Row],[Math 
Score]],Table1[[#This Row],[History 
Score]],Table1[[#This Row],[Physics 
Score]],Table1[[#This Row],[Chemistry 
Score]],Table1[[#This Row],[Biology 
Score]],Table1[[#This Row],[English 
Score]],Table1[[#This Row],[Geography 
Score]])</f>
        <v>553</v>
      </c>
      <c r="AA1957" s="3">
        <f>AVERAGE(Table1[[#This Row],[Math 
Score]],Table1[[#This Row],[History 
Score]],Table1[[#This Row],[Physics 
Score]],Table1[[#This Row],[Chemistry 
Score]],Table1[[#This Row],[Biology 
Score]],Table1[[#This Row],[English 
Score]],Table1[[#This Row],[Geography 
Score]])</f>
        <v>79</v>
      </c>
      <c r="AB195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957">
        <f t="shared" si="30"/>
        <v>1284</v>
      </c>
      <c r="AD1957" t="str">
        <f>_xlfn.IFS(Table1[[#This Row],[Absence 
Days]]&lt;3,"Excellent",Table1[[#This Row],[Absence 
Days]]&lt;=6,"Good",Table1[[#This Row],[Absence 
Days]]&gt;6,"Poor")</f>
        <v>Good</v>
      </c>
    </row>
    <row r="1958" spans="1:30" x14ac:dyDescent="0.35">
      <c r="A1958">
        <v>1957</v>
      </c>
      <c r="B1958" s="2" t="s">
        <v>102</v>
      </c>
      <c r="C1958" t="s">
        <v>1106</v>
      </c>
      <c r="D1958" t="str">
        <f>_xlfn.TEXTJOIN(" ",TRUE,Table1[[#This Row],[First 
Name]:[Last 
Name]])</f>
        <v>Jessica Beasley</v>
      </c>
      <c r="E1958" t="s">
        <v>3068</v>
      </c>
      <c r="F1958" t="s">
        <v>3245</v>
      </c>
      <c r="G1958" t="str">
        <f ca="1">PROPER(Table1[[#This Row],[Part Time 
Job]])</f>
        <v>False</v>
      </c>
      <c r="H1958" s="3">
        <v>3</v>
      </c>
      <c r="I1958" t="str">
        <f ca="1">PROPER(Table1[[#This Row],[Extracurricular 
Activities]])</f>
        <v>False</v>
      </c>
      <c r="J1958">
        <v>38</v>
      </c>
      <c r="K1958" t="s">
        <v>3113</v>
      </c>
      <c r="L1958">
        <v>100</v>
      </c>
      <c r="M1958" s="12" t="str" cm="1">
        <f t="array" ref="M195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958">
        <v>92</v>
      </c>
      <c r="O1958" s="13" t="str" cm="1">
        <f t="array" ref="O195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958">
        <v>87</v>
      </c>
      <c r="Q1958" s="13" t="str" cm="1">
        <f t="array" ref="Q195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958">
        <v>94</v>
      </c>
      <c r="S1958" t="str" cm="1">
        <f t="array" ref="S195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958">
        <v>85</v>
      </c>
      <c r="U1958" t="str" cm="1">
        <f t="array" ref="U195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958">
        <v>97</v>
      </c>
      <c r="W1958" t="str" cm="1">
        <f t="array" ref="W195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958">
        <v>100</v>
      </c>
      <c r="Y1958" t="str" cm="1">
        <f t="array" ref="Y195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958">
        <f>SUM(Table1[[#This Row],[Math 
Score]],Table1[[#This Row],[History 
Score]],Table1[[#This Row],[Physics 
Score]],Table1[[#This Row],[Chemistry 
Score]],Table1[[#This Row],[Biology 
Score]],Table1[[#This Row],[English 
Score]],Table1[[#This Row],[Geography 
Score]])</f>
        <v>655</v>
      </c>
      <c r="AA1958" s="3">
        <f>AVERAGE(Table1[[#This Row],[Math 
Score]],Table1[[#This Row],[History 
Score]],Table1[[#This Row],[Physics 
Score]],Table1[[#This Row],[Chemistry 
Score]],Table1[[#This Row],[Biology 
Score]],Table1[[#This Row],[English 
Score]],Table1[[#This Row],[Geography 
Score]])</f>
        <v>93.571428571428569</v>
      </c>
      <c r="AB195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958">
        <f t="shared" si="30"/>
        <v>34</v>
      </c>
      <c r="AD1958" t="str">
        <f>_xlfn.IFS(Table1[[#This Row],[Absence 
Days]]&lt;3,"Excellent",Table1[[#This Row],[Absence 
Days]]&lt;=6,"Good",Table1[[#This Row],[Absence 
Days]]&gt;6,"Poor")</f>
        <v>Good</v>
      </c>
    </row>
    <row r="1959" spans="1:30" x14ac:dyDescent="0.35">
      <c r="A1959">
        <v>1958</v>
      </c>
      <c r="B1959" s="2" t="s">
        <v>357</v>
      </c>
      <c r="C1959" t="s">
        <v>256</v>
      </c>
      <c r="D1959" t="str">
        <f>_xlfn.TEXTJOIN(" ",TRUE,Table1[[#This Row],[First 
Name]:[Last 
Name]])</f>
        <v>Cindy Bradley</v>
      </c>
      <c r="E1959" t="s">
        <v>3069</v>
      </c>
      <c r="F1959" t="s">
        <v>3245</v>
      </c>
      <c r="G1959" t="str">
        <f ca="1">PROPER(Table1[[#This Row],[Part Time 
Job]])</f>
        <v>False</v>
      </c>
      <c r="H1959" s="3">
        <v>2</v>
      </c>
      <c r="I1959" t="str">
        <f ca="1">PROPER(Table1[[#This Row],[Extracurricular 
Activities]])</f>
        <v>False</v>
      </c>
      <c r="J1959">
        <v>3</v>
      </c>
      <c r="K1959" t="s">
        <v>3115</v>
      </c>
      <c r="L1959">
        <v>62</v>
      </c>
      <c r="M1959" s="12" t="str" cm="1">
        <f t="array" ref="M1959">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959">
        <v>67</v>
      </c>
      <c r="O1959" s="13" t="str" cm="1">
        <f t="array" ref="O195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959">
        <v>85</v>
      </c>
      <c r="Q1959" s="13" t="str" cm="1">
        <f t="array" ref="Q195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959">
        <v>97</v>
      </c>
      <c r="S1959" t="str" cm="1">
        <f t="array" ref="S195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959">
        <v>98</v>
      </c>
      <c r="U1959" t="str" cm="1">
        <f t="array" ref="U195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959">
        <v>62</v>
      </c>
      <c r="W1959" t="str" cm="1">
        <f t="array" ref="W195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959">
        <v>73</v>
      </c>
      <c r="Y1959" t="str" cm="1">
        <f t="array" ref="Y195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959">
        <f>SUM(Table1[[#This Row],[Math 
Score]],Table1[[#This Row],[History 
Score]],Table1[[#This Row],[Physics 
Score]],Table1[[#This Row],[Chemistry 
Score]],Table1[[#This Row],[Biology 
Score]],Table1[[#This Row],[English 
Score]],Table1[[#This Row],[Geography 
Score]])</f>
        <v>544</v>
      </c>
      <c r="AA1959" s="3">
        <f>AVERAGE(Table1[[#This Row],[Math 
Score]],Table1[[#This Row],[History 
Score]],Table1[[#This Row],[Physics 
Score]],Table1[[#This Row],[Chemistry 
Score]],Table1[[#This Row],[Biology 
Score]],Table1[[#This Row],[English 
Score]],Table1[[#This Row],[Geography 
Score]])</f>
        <v>77.714285714285708</v>
      </c>
      <c r="AB195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959">
        <f t="shared" si="30"/>
        <v>1446</v>
      </c>
      <c r="AD1959" t="str">
        <f>_xlfn.IFS(Table1[[#This Row],[Absence 
Days]]&lt;3,"Excellent",Table1[[#This Row],[Absence 
Days]]&lt;=6,"Good",Table1[[#This Row],[Absence 
Days]]&gt;6,"Poor")</f>
        <v>Excellent</v>
      </c>
    </row>
    <row r="1960" spans="1:30" x14ac:dyDescent="0.35">
      <c r="A1960">
        <v>1959</v>
      </c>
      <c r="B1960" s="2" t="s">
        <v>72</v>
      </c>
      <c r="C1960" t="s">
        <v>892</v>
      </c>
      <c r="D1960" t="str">
        <f>_xlfn.TEXTJOIN(" ",TRUE,Table1[[#This Row],[First 
Name]:[Last 
Name]])</f>
        <v>Dennis Richardson</v>
      </c>
      <c r="E1960" t="s">
        <v>3070</v>
      </c>
      <c r="F1960" t="s">
        <v>3244</v>
      </c>
      <c r="G1960" t="str">
        <f ca="1">PROPER(Table1[[#This Row],[Part Time 
Job]])</f>
        <v>True</v>
      </c>
      <c r="H1960" s="3">
        <v>10</v>
      </c>
      <c r="I1960" t="str">
        <f ca="1">PROPER(Table1[[#This Row],[Extracurricular 
Activities]])</f>
        <v>True</v>
      </c>
      <c r="J1960">
        <v>3</v>
      </c>
      <c r="K1960" t="s">
        <v>3126</v>
      </c>
      <c r="L1960">
        <v>88</v>
      </c>
      <c r="M1960" s="12" t="str" cm="1">
        <f t="array" ref="M196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960">
        <v>71</v>
      </c>
      <c r="O1960" s="13" t="str" cm="1">
        <f t="array" ref="O196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960">
        <v>99</v>
      </c>
      <c r="Q1960" s="13" t="str" cm="1">
        <f t="array" ref="Q196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960">
        <v>74</v>
      </c>
      <c r="S1960" t="str" cm="1">
        <f t="array" ref="S196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960">
        <v>76</v>
      </c>
      <c r="U1960" t="str" cm="1">
        <f t="array" ref="U196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960">
        <v>97</v>
      </c>
      <c r="W1960" t="str" cm="1">
        <f t="array" ref="W196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960">
        <v>87</v>
      </c>
      <c r="Y1960" t="str" cm="1">
        <f t="array" ref="Y196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960">
        <f>SUM(Table1[[#This Row],[Math 
Score]],Table1[[#This Row],[History 
Score]],Table1[[#This Row],[Physics 
Score]],Table1[[#This Row],[Chemistry 
Score]],Table1[[#This Row],[Biology 
Score]],Table1[[#This Row],[English 
Score]],Table1[[#This Row],[Geography 
Score]])</f>
        <v>592</v>
      </c>
      <c r="AA1960" s="3">
        <f>AVERAGE(Table1[[#This Row],[Math 
Score]],Table1[[#This Row],[History 
Score]],Table1[[#This Row],[Physics 
Score]],Table1[[#This Row],[Chemistry 
Score]],Table1[[#This Row],[Biology 
Score]],Table1[[#This Row],[English 
Score]],Table1[[#This Row],[Geography 
Score]])</f>
        <v>84.571428571428569</v>
      </c>
      <c r="AB196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960">
        <f t="shared" si="30"/>
        <v>505</v>
      </c>
      <c r="AD1960" t="str">
        <f>_xlfn.IFS(Table1[[#This Row],[Absence 
Days]]&lt;3,"Excellent",Table1[[#This Row],[Absence 
Days]]&lt;=6,"Good",Table1[[#This Row],[Absence 
Days]]&gt;6,"Poor")</f>
        <v>Poor</v>
      </c>
    </row>
    <row r="1961" spans="1:30" x14ac:dyDescent="0.35">
      <c r="A1961">
        <v>1960</v>
      </c>
      <c r="B1961" s="2" t="s">
        <v>451</v>
      </c>
      <c r="C1961" t="s">
        <v>1108</v>
      </c>
      <c r="D1961" t="str">
        <f>_xlfn.TEXTJOIN(" ",TRUE,Table1[[#This Row],[First 
Name]:[Last 
Name]])</f>
        <v>Peggy Hoover</v>
      </c>
      <c r="E1961" t="s">
        <v>3071</v>
      </c>
      <c r="F1961" t="s">
        <v>3245</v>
      </c>
      <c r="G1961" t="str">
        <f ca="1">PROPER(Table1[[#This Row],[Part Time 
Job]])</f>
        <v>True</v>
      </c>
      <c r="H1961" s="3">
        <v>5</v>
      </c>
      <c r="I1961" t="str">
        <f ca="1">PROPER(Table1[[#This Row],[Extracurricular 
Activities]])</f>
        <v>False</v>
      </c>
      <c r="J1961">
        <v>11</v>
      </c>
      <c r="K1961" t="s">
        <v>3118</v>
      </c>
      <c r="L1961">
        <v>75</v>
      </c>
      <c r="M1961" s="12" t="str" cm="1">
        <f t="array" ref="M196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961">
        <v>100</v>
      </c>
      <c r="O1961" s="13" t="str" cm="1">
        <f t="array" ref="O196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961">
        <v>100</v>
      </c>
      <c r="Q1961" s="13" t="str" cm="1">
        <f t="array" ref="Q196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961">
        <v>82</v>
      </c>
      <c r="S1961" t="str" cm="1">
        <f t="array" ref="S196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961">
        <v>63</v>
      </c>
      <c r="U1961" t="str" cm="1">
        <f t="array" ref="U196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961">
        <v>84</v>
      </c>
      <c r="W1961" t="str" cm="1">
        <f t="array" ref="W196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961">
        <v>82</v>
      </c>
      <c r="Y1961" t="str" cm="1">
        <f t="array" ref="Y196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961">
        <f>SUM(Table1[[#This Row],[Math 
Score]],Table1[[#This Row],[History 
Score]],Table1[[#This Row],[Physics 
Score]],Table1[[#This Row],[Chemistry 
Score]],Table1[[#This Row],[Biology 
Score]],Table1[[#This Row],[English 
Score]],Table1[[#This Row],[Geography 
Score]])</f>
        <v>586</v>
      </c>
      <c r="AA1961" s="3">
        <f>AVERAGE(Table1[[#This Row],[Math 
Score]],Table1[[#This Row],[History 
Score]],Table1[[#This Row],[Physics 
Score]],Table1[[#This Row],[Chemistry 
Score]],Table1[[#This Row],[Biology 
Score]],Table1[[#This Row],[English 
Score]],Table1[[#This Row],[Geography 
Score]])</f>
        <v>83.714285714285708</v>
      </c>
      <c r="AB196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961">
        <f t="shared" si="30"/>
        <v>601</v>
      </c>
      <c r="AD1961" t="str">
        <f>_xlfn.IFS(Table1[[#This Row],[Absence 
Days]]&lt;3,"Excellent",Table1[[#This Row],[Absence 
Days]]&lt;=6,"Good",Table1[[#This Row],[Absence 
Days]]&gt;6,"Poor")</f>
        <v>Good</v>
      </c>
    </row>
    <row r="1962" spans="1:30" x14ac:dyDescent="0.35">
      <c r="A1962">
        <v>1961</v>
      </c>
      <c r="B1962" s="2" t="s">
        <v>25</v>
      </c>
      <c r="C1962" t="s">
        <v>681</v>
      </c>
      <c r="D1962" t="str">
        <f>_xlfn.TEXTJOIN(" ",TRUE,Table1[[#This Row],[First 
Name]:[Last 
Name]])</f>
        <v>Peter Rice</v>
      </c>
      <c r="E1962" t="s">
        <v>3072</v>
      </c>
      <c r="F1962" t="s">
        <v>3244</v>
      </c>
      <c r="G1962" t="str">
        <f ca="1">PROPER(Table1[[#This Row],[Part Time 
Job]])</f>
        <v>False</v>
      </c>
      <c r="H1962" s="3">
        <v>1</v>
      </c>
      <c r="I1962" t="str">
        <f ca="1">PROPER(Table1[[#This Row],[Extracurricular 
Activities]])</f>
        <v>False</v>
      </c>
      <c r="J1962">
        <v>1</v>
      </c>
      <c r="K1962" t="s">
        <v>3126</v>
      </c>
      <c r="L1962">
        <v>87</v>
      </c>
      <c r="M1962" s="12" t="str" cm="1">
        <f t="array" ref="M196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962">
        <v>91</v>
      </c>
      <c r="O1962" s="13" t="str" cm="1">
        <f t="array" ref="O196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962">
        <v>97</v>
      </c>
      <c r="Q1962" s="13" t="str" cm="1">
        <f t="array" ref="Q196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962">
        <v>82</v>
      </c>
      <c r="S1962" t="str" cm="1">
        <f t="array" ref="S196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962">
        <v>79</v>
      </c>
      <c r="U1962" t="str" cm="1">
        <f t="array" ref="U196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962">
        <v>69</v>
      </c>
      <c r="W1962" t="str" cm="1">
        <f t="array" ref="W196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962">
        <v>62</v>
      </c>
      <c r="Y1962" t="str" cm="1">
        <f t="array" ref="Y196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962">
        <f>SUM(Table1[[#This Row],[Math 
Score]],Table1[[#This Row],[History 
Score]],Table1[[#This Row],[Physics 
Score]],Table1[[#This Row],[Chemistry 
Score]],Table1[[#This Row],[Biology 
Score]],Table1[[#This Row],[English 
Score]],Table1[[#This Row],[Geography 
Score]])</f>
        <v>567</v>
      </c>
      <c r="AA1962" s="3">
        <f>AVERAGE(Table1[[#This Row],[Math 
Score]],Table1[[#This Row],[History 
Score]],Table1[[#This Row],[Physics 
Score]],Table1[[#This Row],[Chemistry 
Score]],Table1[[#This Row],[Biology 
Score]],Table1[[#This Row],[English 
Score]],Table1[[#This Row],[Geography 
Score]])</f>
        <v>81</v>
      </c>
      <c r="AB196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962">
        <f t="shared" si="30"/>
        <v>994</v>
      </c>
      <c r="AD1962" t="str">
        <f>_xlfn.IFS(Table1[[#This Row],[Absence 
Days]]&lt;3,"Excellent",Table1[[#This Row],[Absence 
Days]]&lt;=6,"Good",Table1[[#This Row],[Absence 
Days]]&gt;6,"Poor")</f>
        <v>Excellent</v>
      </c>
    </row>
    <row r="1963" spans="1:30" x14ac:dyDescent="0.35">
      <c r="A1963">
        <v>1962</v>
      </c>
      <c r="B1963" s="2" t="s">
        <v>181</v>
      </c>
      <c r="C1963" t="s">
        <v>510</v>
      </c>
      <c r="D1963" t="str">
        <f>_xlfn.TEXTJOIN(" ",TRUE,Table1[[#This Row],[First 
Name]:[Last 
Name]])</f>
        <v>Sabrina Perez</v>
      </c>
      <c r="E1963" t="s">
        <v>3073</v>
      </c>
      <c r="F1963" t="s">
        <v>3245</v>
      </c>
      <c r="G1963" t="str">
        <f ca="1">PROPER(Table1[[#This Row],[Part Time 
Job]])</f>
        <v>False</v>
      </c>
      <c r="H1963" s="3">
        <v>4</v>
      </c>
      <c r="I1963" t="str">
        <f ca="1">PROPER(Table1[[#This Row],[Extracurricular 
Activities]])</f>
        <v>False</v>
      </c>
      <c r="J1963">
        <v>4</v>
      </c>
      <c r="K1963" t="s">
        <v>3116</v>
      </c>
      <c r="L1963">
        <v>85</v>
      </c>
      <c r="M1963" s="12" t="str" cm="1">
        <f t="array" ref="M196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963">
        <v>60</v>
      </c>
      <c r="O1963" s="13" t="str" cm="1">
        <f t="array" ref="O196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963">
        <v>61</v>
      </c>
      <c r="Q1963" s="13" t="str" cm="1">
        <f t="array" ref="Q196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963">
        <v>75</v>
      </c>
      <c r="S1963" t="str" cm="1">
        <f t="array" ref="S196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963">
        <v>83</v>
      </c>
      <c r="U1963" t="str" cm="1">
        <f t="array" ref="U196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963">
        <v>87</v>
      </c>
      <c r="W1963" t="str" cm="1">
        <f t="array" ref="W196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963">
        <v>65</v>
      </c>
      <c r="Y1963" t="str" cm="1">
        <f t="array" ref="Y196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963">
        <f>SUM(Table1[[#This Row],[Math 
Score]],Table1[[#This Row],[History 
Score]],Table1[[#This Row],[Physics 
Score]],Table1[[#This Row],[Chemistry 
Score]],Table1[[#This Row],[Biology 
Score]],Table1[[#This Row],[English 
Score]],Table1[[#This Row],[Geography 
Score]])</f>
        <v>516</v>
      </c>
      <c r="AA1963" s="3">
        <f>AVERAGE(Table1[[#This Row],[Math 
Score]],Table1[[#This Row],[History 
Score]],Table1[[#This Row],[Physics 
Score]],Table1[[#This Row],[Chemistry 
Score]],Table1[[#This Row],[Biology 
Score]],Table1[[#This Row],[English 
Score]],Table1[[#This Row],[Geography 
Score]])</f>
        <v>73.714285714285708</v>
      </c>
      <c r="AB196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963">
        <f t="shared" si="30"/>
        <v>1792</v>
      </c>
      <c r="AD1963" t="str">
        <f>_xlfn.IFS(Table1[[#This Row],[Absence 
Days]]&lt;3,"Excellent",Table1[[#This Row],[Absence 
Days]]&lt;=6,"Good",Table1[[#This Row],[Absence 
Days]]&gt;6,"Poor")</f>
        <v>Good</v>
      </c>
    </row>
    <row r="1964" spans="1:30" x14ac:dyDescent="0.35">
      <c r="A1964">
        <v>1963</v>
      </c>
      <c r="B1964" s="2" t="s">
        <v>34</v>
      </c>
      <c r="C1964" t="s">
        <v>528</v>
      </c>
      <c r="D1964" t="str">
        <f>_xlfn.TEXTJOIN(" ",TRUE,Table1[[#This Row],[First 
Name]:[Last 
Name]])</f>
        <v>Michael Parker</v>
      </c>
      <c r="E1964" t="s">
        <v>3074</v>
      </c>
      <c r="F1964" t="s">
        <v>3244</v>
      </c>
      <c r="G1964" t="str">
        <f ca="1">PROPER(Table1[[#This Row],[Part Time 
Job]])</f>
        <v>False</v>
      </c>
      <c r="H1964" s="3">
        <v>3</v>
      </c>
      <c r="I1964" t="str">
        <f ca="1">PROPER(Table1[[#This Row],[Extracurricular 
Activities]])</f>
        <v>False</v>
      </c>
      <c r="J1964">
        <v>43</v>
      </c>
      <c r="K1964" t="s">
        <v>3113</v>
      </c>
      <c r="L1964">
        <v>88</v>
      </c>
      <c r="M1964" s="12" t="str" cm="1">
        <f t="array" ref="M196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964">
        <v>98</v>
      </c>
      <c r="O1964" s="13" t="str" cm="1">
        <f t="array" ref="O196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964">
        <v>94</v>
      </c>
      <c r="Q1964" s="13" t="str" cm="1">
        <f t="array" ref="Q196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964">
        <v>96</v>
      </c>
      <c r="S1964" t="str" cm="1">
        <f t="array" ref="S196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964">
        <v>96</v>
      </c>
      <c r="U1964" t="str" cm="1">
        <f t="array" ref="U196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964">
        <v>89</v>
      </c>
      <c r="W1964" t="str" cm="1">
        <f t="array" ref="W196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964">
        <v>92</v>
      </c>
      <c r="Y1964" t="str" cm="1">
        <f t="array" ref="Y196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964">
        <f>SUM(Table1[[#This Row],[Math 
Score]],Table1[[#This Row],[History 
Score]],Table1[[#This Row],[Physics 
Score]],Table1[[#This Row],[Chemistry 
Score]],Table1[[#This Row],[Biology 
Score]],Table1[[#This Row],[English 
Score]],Table1[[#This Row],[Geography 
Score]])</f>
        <v>653</v>
      </c>
      <c r="AA1964" s="3">
        <f>AVERAGE(Table1[[#This Row],[Math 
Score]],Table1[[#This Row],[History 
Score]],Table1[[#This Row],[Physics 
Score]],Table1[[#This Row],[Chemistry 
Score]],Table1[[#This Row],[Biology 
Score]],Table1[[#This Row],[English 
Score]],Table1[[#This Row],[Geography 
Score]])</f>
        <v>93.285714285714292</v>
      </c>
      <c r="AB196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964">
        <f t="shared" si="30"/>
        <v>43</v>
      </c>
      <c r="AD1964" t="str">
        <f>_xlfn.IFS(Table1[[#This Row],[Absence 
Days]]&lt;3,"Excellent",Table1[[#This Row],[Absence 
Days]]&lt;=6,"Good",Table1[[#This Row],[Absence 
Days]]&gt;6,"Poor")</f>
        <v>Good</v>
      </c>
    </row>
    <row r="1965" spans="1:30" x14ac:dyDescent="0.35">
      <c r="A1965">
        <v>1964</v>
      </c>
      <c r="B1965" s="2" t="s">
        <v>40</v>
      </c>
      <c r="C1965" t="s">
        <v>854</v>
      </c>
      <c r="D1965" t="str">
        <f>_xlfn.TEXTJOIN(" ",TRUE,Table1[[#This Row],[First 
Name]:[Last 
Name]])</f>
        <v>David Calderon</v>
      </c>
      <c r="E1965" t="s">
        <v>3075</v>
      </c>
      <c r="F1965" t="s">
        <v>3244</v>
      </c>
      <c r="G1965" t="str">
        <f ca="1">PROPER(Table1[[#This Row],[Part Time 
Job]])</f>
        <v>False</v>
      </c>
      <c r="H1965" s="3">
        <v>1</v>
      </c>
      <c r="I1965" t="str">
        <f ca="1">PROPER(Table1[[#This Row],[Extracurricular 
Activities]])</f>
        <v>False</v>
      </c>
      <c r="J1965">
        <v>47</v>
      </c>
      <c r="K1965" t="s">
        <v>3113</v>
      </c>
      <c r="L1965">
        <v>86</v>
      </c>
      <c r="M1965" s="12" t="str" cm="1">
        <f t="array" ref="M196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965">
        <v>93</v>
      </c>
      <c r="O1965" s="13" t="str" cm="1">
        <f t="array" ref="O196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965">
        <v>91</v>
      </c>
      <c r="Q1965" s="13" t="str" cm="1">
        <f t="array" ref="Q196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965">
        <v>94</v>
      </c>
      <c r="S1965" t="str" cm="1">
        <f t="array" ref="S196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965">
        <v>93</v>
      </c>
      <c r="U1965" t="str" cm="1">
        <f t="array" ref="U196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965">
        <v>88</v>
      </c>
      <c r="W1965" t="str" cm="1">
        <f t="array" ref="W196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965">
        <v>86</v>
      </c>
      <c r="Y1965" t="str" cm="1">
        <f t="array" ref="Y196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965">
        <f>SUM(Table1[[#This Row],[Math 
Score]],Table1[[#This Row],[History 
Score]],Table1[[#This Row],[Physics 
Score]],Table1[[#This Row],[Chemistry 
Score]],Table1[[#This Row],[Biology 
Score]],Table1[[#This Row],[English 
Score]],Table1[[#This Row],[Geography 
Score]])</f>
        <v>631</v>
      </c>
      <c r="AA1965" s="3">
        <f>AVERAGE(Table1[[#This Row],[Math 
Score]],Table1[[#This Row],[History 
Score]],Table1[[#This Row],[Physics 
Score]],Table1[[#This Row],[Chemistry 
Score]],Table1[[#This Row],[Biology 
Score]],Table1[[#This Row],[English 
Score]],Table1[[#This Row],[Geography 
Score]])</f>
        <v>90.142857142857139</v>
      </c>
      <c r="AB196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965">
        <f t="shared" si="30"/>
        <v>151</v>
      </c>
      <c r="AD1965" t="str">
        <f>_xlfn.IFS(Table1[[#This Row],[Absence 
Days]]&lt;3,"Excellent",Table1[[#This Row],[Absence 
Days]]&lt;=6,"Good",Table1[[#This Row],[Absence 
Days]]&gt;6,"Poor")</f>
        <v>Excellent</v>
      </c>
    </row>
    <row r="1966" spans="1:30" x14ac:dyDescent="0.35">
      <c r="A1966">
        <v>1965</v>
      </c>
      <c r="B1966" s="2" t="s">
        <v>71</v>
      </c>
      <c r="C1966" t="s">
        <v>1094</v>
      </c>
      <c r="D1966" t="str">
        <f>_xlfn.TEXTJOIN(" ",TRUE,Table1[[#This Row],[First 
Name]:[Last 
Name]])</f>
        <v>James Gordon</v>
      </c>
      <c r="E1966" t="s">
        <v>3076</v>
      </c>
      <c r="F1966" t="s">
        <v>3244</v>
      </c>
      <c r="G1966" t="str">
        <f ca="1">PROPER(Table1[[#This Row],[Part Time 
Job]])</f>
        <v>False</v>
      </c>
      <c r="H1966" s="3">
        <v>1</v>
      </c>
      <c r="I1966" t="str">
        <f ca="1">PROPER(Table1[[#This Row],[Extracurricular 
Activities]])</f>
        <v>False</v>
      </c>
      <c r="J1966">
        <v>9</v>
      </c>
      <c r="K1966" t="s">
        <v>3114</v>
      </c>
      <c r="L1966">
        <v>68</v>
      </c>
      <c r="M1966" s="12" t="str" cm="1">
        <f t="array" ref="M1966">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966">
        <v>65</v>
      </c>
      <c r="O1966" s="13" t="str" cm="1">
        <f t="array" ref="O196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966">
        <v>95</v>
      </c>
      <c r="Q1966" s="13" t="str" cm="1">
        <f t="array" ref="Q196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966">
        <v>88</v>
      </c>
      <c r="S1966" t="str" cm="1">
        <f t="array" ref="S196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966">
        <v>62</v>
      </c>
      <c r="U1966" t="str" cm="1">
        <f t="array" ref="U196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966">
        <v>87</v>
      </c>
      <c r="W1966" t="str" cm="1">
        <f t="array" ref="W196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966">
        <v>62</v>
      </c>
      <c r="Y1966" t="str" cm="1">
        <f t="array" ref="Y196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966">
        <f>SUM(Table1[[#This Row],[Math 
Score]],Table1[[#This Row],[History 
Score]],Table1[[#This Row],[Physics 
Score]],Table1[[#This Row],[Chemistry 
Score]],Table1[[#This Row],[Biology 
Score]],Table1[[#This Row],[English 
Score]],Table1[[#This Row],[Geography 
Score]])</f>
        <v>527</v>
      </c>
      <c r="AA1966" s="3">
        <f>AVERAGE(Table1[[#This Row],[Math 
Score]],Table1[[#This Row],[History 
Score]],Table1[[#This Row],[Physics 
Score]],Table1[[#This Row],[Chemistry 
Score]],Table1[[#This Row],[Biology 
Score]],Table1[[#This Row],[English 
Score]],Table1[[#This Row],[Geography 
Score]])</f>
        <v>75.285714285714292</v>
      </c>
      <c r="AB196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966">
        <f t="shared" si="30"/>
        <v>1683</v>
      </c>
      <c r="AD1966" t="str">
        <f>_xlfn.IFS(Table1[[#This Row],[Absence 
Days]]&lt;3,"Excellent",Table1[[#This Row],[Absence 
Days]]&lt;=6,"Good",Table1[[#This Row],[Absence 
Days]]&gt;6,"Poor")</f>
        <v>Excellent</v>
      </c>
    </row>
    <row r="1967" spans="1:30" x14ac:dyDescent="0.35">
      <c r="A1967">
        <v>1966</v>
      </c>
      <c r="B1967" s="2" t="s">
        <v>50</v>
      </c>
      <c r="C1967" t="s">
        <v>1109</v>
      </c>
      <c r="D1967" t="str">
        <f>_xlfn.TEXTJOIN(" ",TRUE,Table1[[#This Row],[First 
Name]:[Last 
Name]])</f>
        <v>Jennifer Leblanc</v>
      </c>
      <c r="E1967" t="s">
        <v>3077</v>
      </c>
      <c r="F1967" t="s">
        <v>3245</v>
      </c>
      <c r="G1967" t="str">
        <f ca="1">PROPER(Table1[[#This Row],[Part Time 
Job]])</f>
        <v>False</v>
      </c>
      <c r="H1967" s="3">
        <v>6</v>
      </c>
      <c r="I1967" t="str">
        <f ca="1">PROPER(Table1[[#This Row],[Extracurricular 
Activities]])</f>
        <v>False</v>
      </c>
      <c r="J1967">
        <v>2</v>
      </c>
      <c r="K1967" t="s">
        <v>3119</v>
      </c>
      <c r="L1967">
        <v>67</v>
      </c>
      <c r="M1967" s="12" t="str" cm="1">
        <f t="array" ref="M1967">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967">
        <v>54</v>
      </c>
      <c r="O1967" s="13" t="str" cm="1">
        <f t="array" ref="O196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C</v>
      </c>
      <c r="P1967">
        <v>71</v>
      </c>
      <c r="Q1967" s="13" t="str" cm="1">
        <f t="array" ref="Q196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967">
        <v>50</v>
      </c>
      <c r="S1967" t="str" cm="1">
        <f t="array" ref="S196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C</v>
      </c>
      <c r="T1967">
        <v>55</v>
      </c>
      <c r="U1967" t="str" cm="1">
        <f t="array" ref="U196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C</v>
      </c>
      <c r="V1967">
        <v>51</v>
      </c>
      <c r="W1967" t="str" cm="1">
        <f t="array" ref="W196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C</v>
      </c>
      <c r="X1967">
        <v>66</v>
      </c>
      <c r="Y1967" t="str" cm="1">
        <f t="array" ref="Y196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967">
        <f>SUM(Table1[[#This Row],[Math 
Score]],Table1[[#This Row],[History 
Score]],Table1[[#This Row],[Physics 
Score]],Table1[[#This Row],[Chemistry 
Score]],Table1[[#This Row],[Biology 
Score]],Table1[[#This Row],[English 
Score]],Table1[[#This Row],[Geography 
Score]])</f>
        <v>414</v>
      </c>
      <c r="AA1967" s="3">
        <f>AVERAGE(Table1[[#This Row],[Math 
Score]],Table1[[#This Row],[History 
Score]],Table1[[#This Row],[Physics 
Score]],Table1[[#This Row],[Chemistry 
Score]],Table1[[#This Row],[Biology 
Score]],Table1[[#This Row],[English 
Score]],Table1[[#This Row],[Geography 
Score]])</f>
        <v>59.142857142857146</v>
      </c>
      <c r="AB196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C</v>
      </c>
      <c r="AC1967">
        <f t="shared" si="30"/>
        <v>1999</v>
      </c>
      <c r="AD1967" t="str">
        <f>_xlfn.IFS(Table1[[#This Row],[Absence 
Days]]&lt;3,"Excellent",Table1[[#This Row],[Absence 
Days]]&lt;=6,"Good",Table1[[#This Row],[Absence 
Days]]&gt;6,"Poor")</f>
        <v>Good</v>
      </c>
    </row>
    <row r="1968" spans="1:30" x14ac:dyDescent="0.35">
      <c r="A1968">
        <v>1967</v>
      </c>
      <c r="B1968" s="2" t="s">
        <v>0</v>
      </c>
      <c r="C1968" t="s">
        <v>960</v>
      </c>
      <c r="D1968" t="str">
        <f>_xlfn.TEXTJOIN(" ",TRUE,Table1[[#This Row],[First 
Name]:[Last 
Name]])</f>
        <v>Paul Bailey</v>
      </c>
      <c r="E1968" t="s">
        <v>3078</v>
      </c>
      <c r="F1968" t="s">
        <v>3244</v>
      </c>
      <c r="G1968" t="str">
        <f ca="1">PROPER(Table1[[#This Row],[Part Time 
Job]])</f>
        <v>True</v>
      </c>
      <c r="H1968" s="3">
        <v>4</v>
      </c>
      <c r="I1968" t="str">
        <f ca="1">PROPER(Table1[[#This Row],[Extracurricular 
Activities]])</f>
        <v>False</v>
      </c>
      <c r="J1968">
        <v>5</v>
      </c>
      <c r="K1968" t="s">
        <v>3119</v>
      </c>
      <c r="L1968">
        <v>82</v>
      </c>
      <c r="M1968" s="12" t="str" cm="1">
        <f t="array" ref="M196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968">
        <v>69</v>
      </c>
      <c r="O1968" s="13" t="str" cm="1">
        <f t="array" ref="O196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968">
        <v>92</v>
      </c>
      <c r="Q1968" s="13" t="str" cm="1">
        <f t="array" ref="Q196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968">
        <v>85</v>
      </c>
      <c r="S1968" t="str" cm="1">
        <f t="array" ref="S196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968">
        <v>59</v>
      </c>
      <c r="U1968" t="str" cm="1">
        <f t="array" ref="U196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C</v>
      </c>
      <c r="V1968">
        <v>87</v>
      </c>
      <c r="W1968" t="str" cm="1">
        <f t="array" ref="W196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968">
        <v>83</v>
      </c>
      <c r="Y1968" t="str" cm="1">
        <f t="array" ref="Y196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968">
        <f>SUM(Table1[[#This Row],[Math 
Score]],Table1[[#This Row],[History 
Score]],Table1[[#This Row],[Physics 
Score]],Table1[[#This Row],[Chemistry 
Score]],Table1[[#This Row],[Biology 
Score]],Table1[[#This Row],[English 
Score]],Table1[[#This Row],[Geography 
Score]])</f>
        <v>557</v>
      </c>
      <c r="AA1968" s="3">
        <f>AVERAGE(Table1[[#This Row],[Math 
Score]],Table1[[#This Row],[History 
Score]],Table1[[#This Row],[Physics 
Score]],Table1[[#This Row],[Chemistry 
Score]],Table1[[#This Row],[Biology 
Score]],Table1[[#This Row],[English 
Score]],Table1[[#This Row],[Geography 
Score]])</f>
        <v>79.571428571428569</v>
      </c>
      <c r="AB196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968">
        <f t="shared" si="30"/>
        <v>1200</v>
      </c>
      <c r="AD1968" t="str">
        <f>_xlfn.IFS(Table1[[#This Row],[Absence 
Days]]&lt;3,"Excellent",Table1[[#This Row],[Absence 
Days]]&lt;=6,"Good",Table1[[#This Row],[Absence 
Days]]&gt;6,"Poor")</f>
        <v>Good</v>
      </c>
    </row>
    <row r="1969" spans="1:30" x14ac:dyDescent="0.35">
      <c r="A1969">
        <v>1968</v>
      </c>
      <c r="B1969" s="2" t="s">
        <v>136</v>
      </c>
      <c r="C1969" t="s">
        <v>458</v>
      </c>
      <c r="D1969" t="str">
        <f>_xlfn.TEXTJOIN(" ",TRUE,Table1[[#This Row],[First 
Name]:[Last 
Name]])</f>
        <v>Tiffany Smith</v>
      </c>
      <c r="E1969" t="s">
        <v>3079</v>
      </c>
      <c r="F1969" t="s">
        <v>3245</v>
      </c>
      <c r="G1969" t="str">
        <f ca="1">PROPER(Table1[[#This Row],[Part Time 
Job]])</f>
        <v>False</v>
      </c>
      <c r="H1969" s="3">
        <v>2</v>
      </c>
      <c r="I1969" t="str">
        <f ca="1">PROPER(Table1[[#This Row],[Extracurricular 
Activities]])</f>
        <v>False</v>
      </c>
      <c r="J1969">
        <v>26</v>
      </c>
      <c r="K1969" t="s">
        <v>3116</v>
      </c>
      <c r="L1969">
        <v>86</v>
      </c>
      <c r="M1969" s="12" t="str" cm="1">
        <f t="array" ref="M196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969">
        <v>88</v>
      </c>
      <c r="O1969" s="13" t="str" cm="1">
        <f t="array" ref="O196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969">
        <v>71</v>
      </c>
      <c r="Q1969" s="13" t="str" cm="1">
        <f t="array" ref="Q196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969">
        <v>65</v>
      </c>
      <c r="S1969" t="str" cm="1">
        <f t="array" ref="S196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969">
        <v>86</v>
      </c>
      <c r="U1969" t="str" cm="1">
        <f t="array" ref="U196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969">
        <v>69</v>
      </c>
      <c r="W1969" t="str" cm="1">
        <f t="array" ref="W196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969">
        <v>84</v>
      </c>
      <c r="Y1969" t="str" cm="1">
        <f t="array" ref="Y196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969">
        <f>SUM(Table1[[#This Row],[Math 
Score]],Table1[[#This Row],[History 
Score]],Table1[[#This Row],[Physics 
Score]],Table1[[#This Row],[Chemistry 
Score]],Table1[[#This Row],[Biology 
Score]],Table1[[#This Row],[English 
Score]],Table1[[#This Row],[Geography 
Score]])</f>
        <v>549</v>
      </c>
      <c r="AA1969" s="3">
        <f>AVERAGE(Table1[[#This Row],[Math 
Score]],Table1[[#This Row],[History 
Score]],Table1[[#This Row],[Physics 
Score]],Table1[[#This Row],[Chemistry 
Score]],Table1[[#This Row],[Biology 
Score]],Table1[[#This Row],[English 
Score]],Table1[[#This Row],[Geography 
Score]])</f>
        <v>78.428571428571431</v>
      </c>
      <c r="AB196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969">
        <f t="shared" si="30"/>
        <v>1355</v>
      </c>
      <c r="AD1969" t="str">
        <f>_xlfn.IFS(Table1[[#This Row],[Absence 
Days]]&lt;3,"Excellent",Table1[[#This Row],[Absence 
Days]]&lt;=6,"Good",Table1[[#This Row],[Absence 
Days]]&gt;6,"Poor")</f>
        <v>Excellent</v>
      </c>
    </row>
    <row r="1970" spans="1:30" x14ac:dyDescent="0.35">
      <c r="A1970">
        <v>1969</v>
      </c>
      <c r="B1970" s="2" t="s">
        <v>78</v>
      </c>
      <c r="C1970" t="s">
        <v>607</v>
      </c>
      <c r="D1970" t="str">
        <f>_xlfn.TEXTJOIN(" ",TRUE,Table1[[#This Row],[First 
Name]:[Last 
Name]])</f>
        <v>Victoria Alvarez</v>
      </c>
      <c r="E1970" t="s">
        <v>3080</v>
      </c>
      <c r="F1970" t="s">
        <v>3245</v>
      </c>
      <c r="G1970" t="str">
        <f ca="1">PROPER(Table1[[#This Row],[Part Time 
Job]])</f>
        <v>True</v>
      </c>
      <c r="H1970" s="3">
        <v>3</v>
      </c>
      <c r="I1970" t="str">
        <f ca="1">PROPER(Table1[[#This Row],[Extracurricular 
Activities]])</f>
        <v>False</v>
      </c>
      <c r="J1970">
        <v>25</v>
      </c>
      <c r="K1970" t="s">
        <v>3117</v>
      </c>
      <c r="L1970">
        <v>95</v>
      </c>
      <c r="M1970" s="12" t="str" cm="1">
        <f t="array" ref="M1970">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970">
        <v>91</v>
      </c>
      <c r="O1970" s="13" t="str" cm="1">
        <f t="array" ref="O197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970">
        <v>64</v>
      </c>
      <c r="Q1970" s="13" t="str" cm="1">
        <f t="array" ref="Q197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970">
        <v>65</v>
      </c>
      <c r="S1970" t="str" cm="1">
        <f t="array" ref="S197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970">
        <v>60</v>
      </c>
      <c r="U1970" t="str" cm="1">
        <f t="array" ref="U197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970">
        <v>84</v>
      </c>
      <c r="W1970" t="str" cm="1">
        <f t="array" ref="W197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970">
        <v>99</v>
      </c>
      <c r="Y1970" t="str" cm="1">
        <f t="array" ref="Y197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970">
        <f>SUM(Table1[[#This Row],[Math 
Score]],Table1[[#This Row],[History 
Score]],Table1[[#This Row],[Physics 
Score]],Table1[[#This Row],[Chemistry 
Score]],Table1[[#This Row],[Biology 
Score]],Table1[[#This Row],[English 
Score]],Table1[[#This Row],[Geography 
Score]])</f>
        <v>558</v>
      </c>
      <c r="AA1970" s="3">
        <f>AVERAGE(Table1[[#This Row],[Math 
Score]],Table1[[#This Row],[History 
Score]],Table1[[#This Row],[Physics 
Score]],Table1[[#This Row],[Chemistry 
Score]],Table1[[#This Row],[Biology 
Score]],Table1[[#This Row],[English 
Score]],Table1[[#This Row],[Geography 
Score]])</f>
        <v>79.714285714285708</v>
      </c>
      <c r="AB197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970">
        <f t="shared" si="30"/>
        <v>1178</v>
      </c>
      <c r="AD1970" t="str">
        <f>_xlfn.IFS(Table1[[#This Row],[Absence 
Days]]&lt;3,"Excellent",Table1[[#This Row],[Absence 
Days]]&lt;=6,"Good",Table1[[#This Row],[Absence 
Days]]&gt;6,"Poor")</f>
        <v>Good</v>
      </c>
    </row>
    <row r="1971" spans="1:30" x14ac:dyDescent="0.35">
      <c r="A1971">
        <v>1970</v>
      </c>
      <c r="B1971" s="2" t="s">
        <v>157</v>
      </c>
      <c r="C1971" t="s">
        <v>1015</v>
      </c>
      <c r="D1971" t="str">
        <f>_xlfn.TEXTJOIN(" ",TRUE,Table1[[#This Row],[First 
Name]:[Last 
Name]])</f>
        <v>Willie Elliott</v>
      </c>
      <c r="E1971" t="s">
        <v>3081</v>
      </c>
      <c r="F1971" t="s">
        <v>3244</v>
      </c>
      <c r="G1971" t="str">
        <f ca="1">PROPER(Table1[[#This Row],[Part Time 
Job]])</f>
        <v>False</v>
      </c>
      <c r="H1971" s="3">
        <v>5</v>
      </c>
      <c r="I1971" t="str">
        <f ca="1">PROPER(Table1[[#This Row],[Extracurricular 
Activities]])</f>
        <v>False</v>
      </c>
      <c r="J1971">
        <v>9</v>
      </c>
      <c r="K1971" t="s">
        <v>3128</v>
      </c>
      <c r="L1971">
        <v>72</v>
      </c>
      <c r="M1971" s="12" t="str" cm="1">
        <f t="array" ref="M1971">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971">
        <v>82</v>
      </c>
      <c r="O1971" s="13" t="str" cm="1">
        <f t="array" ref="O197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971">
        <v>76</v>
      </c>
      <c r="Q1971" s="13" t="str" cm="1">
        <f t="array" ref="Q197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971">
        <v>69</v>
      </c>
      <c r="S1971" t="str" cm="1">
        <f t="array" ref="S197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971">
        <v>67</v>
      </c>
      <c r="U1971" t="str" cm="1">
        <f t="array" ref="U197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971">
        <v>92</v>
      </c>
      <c r="W1971" t="str" cm="1">
        <f t="array" ref="W197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971">
        <v>87</v>
      </c>
      <c r="Y1971" t="str" cm="1">
        <f t="array" ref="Y197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971">
        <f>SUM(Table1[[#This Row],[Math 
Score]],Table1[[#This Row],[History 
Score]],Table1[[#This Row],[Physics 
Score]],Table1[[#This Row],[Chemistry 
Score]],Table1[[#This Row],[Biology 
Score]],Table1[[#This Row],[English 
Score]],Table1[[#This Row],[Geography 
Score]])</f>
        <v>545</v>
      </c>
      <c r="AA1971" s="3">
        <f>AVERAGE(Table1[[#This Row],[Math 
Score]],Table1[[#This Row],[History 
Score]],Table1[[#This Row],[Physics 
Score]],Table1[[#This Row],[Chemistry 
Score]],Table1[[#This Row],[Biology 
Score]],Table1[[#This Row],[English 
Score]],Table1[[#This Row],[Geography 
Score]])</f>
        <v>77.857142857142861</v>
      </c>
      <c r="AB197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971">
        <f t="shared" si="30"/>
        <v>1432</v>
      </c>
      <c r="AD1971" t="str">
        <f>_xlfn.IFS(Table1[[#This Row],[Absence 
Days]]&lt;3,"Excellent",Table1[[#This Row],[Absence 
Days]]&lt;=6,"Good",Table1[[#This Row],[Absence 
Days]]&gt;6,"Poor")</f>
        <v>Good</v>
      </c>
    </row>
    <row r="1972" spans="1:30" x14ac:dyDescent="0.35">
      <c r="A1972">
        <v>1971</v>
      </c>
      <c r="B1972" s="2" t="s">
        <v>71</v>
      </c>
      <c r="C1972" t="s">
        <v>481</v>
      </c>
      <c r="D1972" t="str">
        <f>_xlfn.TEXTJOIN(" ",TRUE,Table1[[#This Row],[First 
Name]:[Last 
Name]])</f>
        <v>James Bryant</v>
      </c>
      <c r="E1972" t="s">
        <v>3082</v>
      </c>
      <c r="F1972" t="s">
        <v>3244</v>
      </c>
      <c r="G1972" t="str">
        <f ca="1">PROPER(Table1[[#This Row],[Part Time 
Job]])</f>
        <v>False</v>
      </c>
      <c r="H1972" s="3">
        <v>1</v>
      </c>
      <c r="I1972" t="str">
        <f ca="1">PROPER(Table1[[#This Row],[Extracurricular 
Activities]])</f>
        <v>False</v>
      </c>
      <c r="J1972">
        <v>27</v>
      </c>
      <c r="K1972" t="s">
        <v>3123</v>
      </c>
      <c r="L1972">
        <v>99</v>
      </c>
      <c r="M1972" s="12" t="str" cm="1">
        <f t="array" ref="M197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972">
        <v>87</v>
      </c>
      <c r="O1972" s="13" t="str" cm="1">
        <f t="array" ref="O197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972">
        <v>67</v>
      </c>
      <c r="Q1972" s="13" t="str" cm="1">
        <f t="array" ref="Q197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972">
        <v>91</v>
      </c>
      <c r="S1972" t="str" cm="1">
        <f t="array" ref="S197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972">
        <v>36</v>
      </c>
      <c r="U1972" t="str" cm="1">
        <f t="array" ref="U197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F</v>
      </c>
      <c r="V1972">
        <v>76</v>
      </c>
      <c r="W1972" t="str" cm="1">
        <f t="array" ref="W197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972">
        <v>64</v>
      </c>
      <c r="Y1972" t="str" cm="1">
        <f t="array" ref="Y197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972">
        <f>SUM(Table1[[#This Row],[Math 
Score]],Table1[[#This Row],[History 
Score]],Table1[[#This Row],[Physics 
Score]],Table1[[#This Row],[Chemistry 
Score]],Table1[[#This Row],[Biology 
Score]],Table1[[#This Row],[English 
Score]],Table1[[#This Row],[Geography 
Score]])</f>
        <v>520</v>
      </c>
      <c r="AA1972" s="3">
        <f>AVERAGE(Table1[[#This Row],[Math 
Score]],Table1[[#This Row],[History 
Score]],Table1[[#This Row],[Physics 
Score]],Table1[[#This Row],[Chemistry 
Score]],Table1[[#This Row],[Biology 
Score]],Table1[[#This Row],[English 
Score]],Table1[[#This Row],[Geography 
Score]])</f>
        <v>74.285714285714292</v>
      </c>
      <c r="AB197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972">
        <f t="shared" si="30"/>
        <v>1753</v>
      </c>
      <c r="AD1972" t="str">
        <f>_xlfn.IFS(Table1[[#This Row],[Absence 
Days]]&lt;3,"Excellent",Table1[[#This Row],[Absence 
Days]]&lt;=6,"Good",Table1[[#This Row],[Absence 
Days]]&gt;6,"Poor")</f>
        <v>Excellent</v>
      </c>
    </row>
    <row r="1973" spans="1:30" x14ac:dyDescent="0.35">
      <c r="A1973">
        <v>1972</v>
      </c>
      <c r="B1973" s="2" t="s">
        <v>44</v>
      </c>
      <c r="C1973" t="s">
        <v>627</v>
      </c>
      <c r="D1973" t="str">
        <f>_xlfn.TEXTJOIN(" ",TRUE,Table1[[#This Row],[First 
Name]:[Last 
Name]])</f>
        <v>Kimberly Swanson</v>
      </c>
      <c r="E1973" t="s">
        <v>3083</v>
      </c>
      <c r="F1973" t="s">
        <v>3245</v>
      </c>
      <c r="G1973" t="str">
        <f ca="1">PROPER(Table1[[#This Row],[Part Time 
Job]])</f>
        <v>False</v>
      </c>
      <c r="H1973" s="3">
        <v>2</v>
      </c>
      <c r="I1973" t="str">
        <f ca="1">PROPER(Table1[[#This Row],[Extracurricular 
Activities]])</f>
        <v>True</v>
      </c>
      <c r="J1973">
        <v>19</v>
      </c>
      <c r="K1973" t="s">
        <v>3121</v>
      </c>
      <c r="L1973">
        <v>75</v>
      </c>
      <c r="M1973" s="12" t="str" cm="1">
        <f t="array" ref="M197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973">
        <v>88</v>
      </c>
      <c r="O1973" s="13" t="str" cm="1">
        <f t="array" ref="O197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973">
        <v>71</v>
      </c>
      <c r="Q1973" s="13" t="str" cm="1">
        <f t="array" ref="Q197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973">
        <v>80</v>
      </c>
      <c r="S1973" t="str" cm="1">
        <f t="array" ref="S197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973">
        <v>65</v>
      </c>
      <c r="U1973" t="str" cm="1">
        <f t="array" ref="U197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973">
        <v>85</v>
      </c>
      <c r="W1973" t="str" cm="1">
        <f t="array" ref="W197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973">
        <v>60</v>
      </c>
      <c r="Y1973" t="str" cm="1">
        <f t="array" ref="Y197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973">
        <f>SUM(Table1[[#This Row],[Math 
Score]],Table1[[#This Row],[History 
Score]],Table1[[#This Row],[Physics 
Score]],Table1[[#This Row],[Chemistry 
Score]],Table1[[#This Row],[Biology 
Score]],Table1[[#This Row],[English 
Score]],Table1[[#This Row],[Geography 
Score]])</f>
        <v>524</v>
      </c>
      <c r="AA1973" s="3">
        <f>AVERAGE(Table1[[#This Row],[Math 
Score]],Table1[[#This Row],[History 
Score]],Table1[[#This Row],[Physics 
Score]],Table1[[#This Row],[Chemistry 
Score]],Table1[[#This Row],[Biology 
Score]],Table1[[#This Row],[English 
Score]],Table1[[#This Row],[Geography 
Score]])</f>
        <v>74.857142857142861</v>
      </c>
      <c r="AB197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973">
        <f t="shared" si="30"/>
        <v>1715</v>
      </c>
      <c r="AD1973" t="str">
        <f>_xlfn.IFS(Table1[[#This Row],[Absence 
Days]]&lt;3,"Excellent",Table1[[#This Row],[Absence 
Days]]&lt;=6,"Good",Table1[[#This Row],[Absence 
Days]]&gt;6,"Poor")</f>
        <v>Excellent</v>
      </c>
    </row>
    <row r="1974" spans="1:30" x14ac:dyDescent="0.35">
      <c r="A1974">
        <v>1973</v>
      </c>
      <c r="B1974" s="2" t="s">
        <v>427</v>
      </c>
      <c r="C1974" t="s">
        <v>523</v>
      </c>
      <c r="D1974" t="str">
        <f>_xlfn.TEXTJOIN(" ",TRUE,Table1[[#This Row],[First 
Name]:[Last 
Name]])</f>
        <v>Beverly Dawson</v>
      </c>
      <c r="E1974" t="s">
        <v>3084</v>
      </c>
      <c r="F1974" t="s">
        <v>3245</v>
      </c>
      <c r="G1974" t="str">
        <f ca="1">PROPER(Table1[[#This Row],[Part Time 
Job]])</f>
        <v>True</v>
      </c>
      <c r="H1974" s="3">
        <v>1</v>
      </c>
      <c r="I1974" t="str">
        <f ca="1">PROPER(Table1[[#This Row],[Extracurricular 
Activities]])</f>
        <v>False</v>
      </c>
      <c r="J1974">
        <v>31</v>
      </c>
      <c r="K1974" t="s">
        <v>3120</v>
      </c>
      <c r="L1974">
        <v>77</v>
      </c>
      <c r="M1974" s="12" t="str" cm="1">
        <f t="array" ref="M197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974">
        <v>80</v>
      </c>
      <c r="O1974" s="13" t="str" cm="1">
        <f t="array" ref="O197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974">
        <v>86</v>
      </c>
      <c r="Q1974" s="13" t="str" cm="1">
        <f t="array" ref="Q197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974">
        <v>87</v>
      </c>
      <c r="S1974" t="str" cm="1">
        <f t="array" ref="S197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974">
        <v>98</v>
      </c>
      <c r="U1974" t="str" cm="1">
        <f t="array" ref="U197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974">
        <v>98</v>
      </c>
      <c r="W1974" t="str" cm="1">
        <f t="array" ref="W197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974">
        <v>88</v>
      </c>
      <c r="Y1974" t="str" cm="1">
        <f t="array" ref="Y197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974">
        <f>SUM(Table1[[#This Row],[Math 
Score]],Table1[[#This Row],[History 
Score]],Table1[[#This Row],[Physics 
Score]],Table1[[#This Row],[Chemistry 
Score]],Table1[[#This Row],[Biology 
Score]],Table1[[#This Row],[English 
Score]],Table1[[#This Row],[Geography 
Score]])</f>
        <v>614</v>
      </c>
      <c r="AA1974" s="3">
        <f>AVERAGE(Table1[[#This Row],[Math 
Score]],Table1[[#This Row],[History 
Score]],Table1[[#This Row],[Physics 
Score]],Table1[[#This Row],[Chemistry 
Score]],Table1[[#This Row],[Biology 
Score]],Table1[[#This Row],[English 
Score]],Table1[[#This Row],[Geography 
Score]])</f>
        <v>87.714285714285708</v>
      </c>
      <c r="AB197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974">
        <f t="shared" si="30"/>
        <v>260</v>
      </c>
      <c r="AD1974" t="str">
        <f>_xlfn.IFS(Table1[[#This Row],[Absence 
Days]]&lt;3,"Excellent",Table1[[#This Row],[Absence 
Days]]&lt;=6,"Good",Table1[[#This Row],[Absence 
Days]]&gt;6,"Poor")</f>
        <v>Excellent</v>
      </c>
    </row>
    <row r="1975" spans="1:30" x14ac:dyDescent="0.35">
      <c r="A1975">
        <v>1974</v>
      </c>
      <c r="B1975" s="2" t="s">
        <v>32</v>
      </c>
      <c r="C1975" t="s">
        <v>495</v>
      </c>
      <c r="D1975" t="str">
        <f>_xlfn.TEXTJOIN(" ",TRUE,Table1[[#This Row],[First 
Name]:[Last 
Name]])</f>
        <v>Lisa Stewart</v>
      </c>
      <c r="E1975" t="s">
        <v>3085</v>
      </c>
      <c r="F1975" t="s">
        <v>3245</v>
      </c>
      <c r="G1975" t="str">
        <f ca="1">PROPER(Table1[[#This Row],[Part Time 
Job]])</f>
        <v>False</v>
      </c>
      <c r="H1975" s="3">
        <v>4</v>
      </c>
      <c r="I1975" t="str">
        <f ca="1">PROPER(Table1[[#This Row],[Extracurricular 
Activities]])</f>
        <v>True</v>
      </c>
      <c r="J1975">
        <v>26</v>
      </c>
      <c r="K1975" t="s">
        <v>3117</v>
      </c>
      <c r="L1975">
        <v>95</v>
      </c>
      <c r="M1975" s="12" t="str" cm="1">
        <f t="array" ref="M197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975">
        <v>97</v>
      </c>
      <c r="O1975" s="13" t="str" cm="1">
        <f t="array" ref="O197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975">
        <v>84</v>
      </c>
      <c r="Q1975" s="13" t="str" cm="1">
        <f t="array" ref="Q197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975">
        <v>97</v>
      </c>
      <c r="S1975" t="str" cm="1">
        <f t="array" ref="S197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975">
        <v>75</v>
      </c>
      <c r="U1975" t="str" cm="1">
        <f t="array" ref="U197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975">
        <v>92</v>
      </c>
      <c r="W1975" t="str" cm="1">
        <f t="array" ref="W197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975">
        <v>92</v>
      </c>
      <c r="Y1975" t="str" cm="1">
        <f t="array" ref="Y197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975">
        <f>SUM(Table1[[#This Row],[Math 
Score]],Table1[[#This Row],[History 
Score]],Table1[[#This Row],[Physics 
Score]],Table1[[#This Row],[Chemistry 
Score]],Table1[[#This Row],[Biology 
Score]],Table1[[#This Row],[English 
Score]],Table1[[#This Row],[Geography 
Score]])</f>
        <v>632</v>
      </c>
      <c r="AA1975" s="3">
        <f>AVERAGE(Table1[[#This Row],[Math 
Score]],Table1[[#This Row],[History 
Score]],Table1[[#This Row],[Physics 
Score]],Table1[[#This Row],[Chemistry 
Score]],Table1[[#This Row],[Biology 
Score]],Table1[[#This Row],[English 
Score]],Table1[[#This Row],[Geography 
Score]])</f>
        <v>90.285714285714292</v>
      </c>
      <c r="AB197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975">
        <f t="shared" si="30"/>
        <v>143</v>
      </c>
      <c r="AD1975" t="str">
        <f>_xlfn.IFS(Table1[[#This Row],[Absence 
Days]]&lt;3,"Excellent",Table1[[#This Row],[Absence 
Days]]&lt;=6,"Good",Table1[[#This Row],[Absence 
Days]]&gt;6,"Poor")</f>
        <v>Good</v>
      </c>
    </row>
    <row r="1976" spans="1:30" x14ac:dyDescent="0.35">
      <c r="A1976">
        <v>1975</v>
      </c>
      <c r="B1976" s="2" t="s">
        <v>452</v>
      </c>
      <c r="C1976" t="s">
        <v>929</v>
      </c>
      <c r="D1976" t="str">
        <f>_xlfn.TEXTJOIN(" ",TRUE,Table1[[#This Row],[First 
Name]:[Last 
Name]])</f>
        <v>Dwayne Sims</v>
      </c>
      <c r="E1976" t="s">
        <v>3086</v>
      </c>
      <c r="F1976" t="s">
        <v>3244</v>
      </c>
      <c r="G1976" t="str">
        <f ca="1">PROPER(Table1[[#This Row],[Part Time 
Job]])</f>
        <v>False</v>
      </c>
      <c r="H1976" s="3">
        <v>6</v>
      </c>
      <c r="I1976" t="str">
        <f ca="1">PROPER(Table1[[#This Row],[Extracurricular 
Activities]])</f>
        <v>True</v>
      </c>
      <c r="J1976">
        <v>11</v>
      </c>
      <c r="K1976" t="s">
        <v>3121</v>
      </c>
      <c r="L1976">
        <v>77</v>
      </c>
      <c r="M1976" s="12" t="str" cm="1">
        <f t="array" ref="M197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976">
        <v>97</v>
      </c>
      <c r="O1976" s="13" t="str" cm="1">
        <f t="array" ref="O197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976">
        <v>88</v>
      </c>
      <c r="Q1976" s="13" t="str" cm="1">
        <f t="array" ref="Q197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976">
        <v>89</v>
      </c>
      <c r="S1976" t="str" cm="1">
        <f t="array" ref="S197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976">
        <v>74</v>
      </c>
      <c r="U1976" t="str" cm="1">
        <f t="array" ref="U197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976">
        <v>95</v>
      </c>
      <c r="W1976" t="str" cm="1">
        <f t="array" ref="W197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976">
        <v>64</v>
      </c>
      <c r="Y1976" t="str" cm="1">
        <f t="array" ref="Y197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976">
        <f>SUM(Table1[[#This Row],[Math 
Score]],Table1[[#This Row],[History 
Score]],Table1[[#This Row],[Physics 
Score]],Table1[[#This Row],[Chemistry 
Score]],Table1[[#This Row],[Biology 
Score]],Table1[[#This Row],[English 
Score]],Table1[[#This Row],[Geography 
Score]])</f>
        <v>584</v>
      </c>
      <c r="AA1976" s="3">
        <f>AVERAGE(Table1[[#This Row],[Math 
Score]],Table1[[#This Row],[History 
Score]],Table1[[#This Row],[Physics 
Score]],Table1[[#This Row],[Chemistry 
Score]],Table1[[#This Row],[Biology 
Score]],Table1[[#This Row],[English 
Score]],Table1[[#This Row],[Geography 
Score]])</f>
        <v>83.428571428571431</v>
      </c>
      <c r="AB197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976">
        <f t="shared" si="30"/>
        <v>635</v>
      </c>
      <c r="AD1976" t="str">
        <f>_xlfn.IFS(Table1[[#This Row],[Absence 
Days]]&lt;3,"Excellent",Table1[[#This Row],[Absence 
Days]]&lt;=6,"Good",Table1[[#This Row],[Absence 
Days]]&gt;6,"Poor")</f>
        <v>Good</v>
      </c>
    </row>
    <row r="1977" spans="1:30" x14ac:dyDescent="0.35">
      <c r="A1977">
        <v>1976</v>
      </c>
      <c r="B1977" s="2" t="s">
        <v>182</v>
      </c>
      <c r="C1977" t="s">
        <v>931</v>
      </c>
      <c r="D1977" t="str">
        <f>_xlfn.TEXTJOIN(" ",TRUE,Table1[[#This Row],[First 
Name]:[Last 
Name]])</f>
        <v>Ashley Fleming</v>
      </c>
      <c r="E1977" t="s">
        <v>3087</v>
      </c>
      <c r="F1977" t="s">
        <v>3245</v>
      </c>
      <c r="G1977" t="str">
        <f ca="1">PROPER(Table1[[#This Row],[Part Time 
Job]])</f>
        <v>True</v>
      </c>
      <c r="H1977" s="3">
        <v>6</v>
      </c>
      <c r="I1977" t="str">
        <f ca="1">PROPER(Table1[[#This Row],[Extracurricular 
Activities]])</f>
        <v>False</v>
      </c>
      <c r="J1977">
        <v>6</v>
      </c>
      <c r="K1977" t="s">
        <v>3124</v>
      </c>
      <c r="L1977">
        <v>90</v>
      </c>
      <c r="M1977" s="12" t="str" cm="1">
        <f t="array" ref="M197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977">
        <v>74</v>
      </c>
      <c r="O1977" s="13" t="str" cm="1">
        <f t="array" ref="O197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977">
        <v>92</v>
      </c>
      <c r="Q1977" s="13" t="str" cm="1">
        <f t="array" ref="Q197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977">
        <v>67</v>
      </c>
      <c r="S1977" t="str" cm="1">
        <f t="array" ref="S197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977">
        <v>83</v>
      </c>
      <c r="U1977" t="str" cm="1">
        <f t="array" ref="U197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977">
        <v>73</v>
      </c>
      <c r="W1977" t="str" cm="1">
        <f t="array" ref="W197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977">
        <v>89</v>
      </c>
      <c r="Y1977" t="str" cm="1">
        <f t="array" ref="Y197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977">
        <f>SUM(Table1[[#This Row],[Math 
Score]],Table1[[#This Row],[History 
Score]],Table1[[#This Row],[Physics 
Score]],Table1[[#This Row],[Chemistry 
Score]],Table1[[#This Row],[Biology 
Score]],Table1[[#This Row],[English 
Score]],Table1[[#This Row],[Geography 
Score]])</f>
        <v>568</v>
      </c>
      <c r="AA1977" s="3">
        <f>AVERAGE(Table1[[#This Row],[Math 
Score]],Table1[[#This Row],[History 
Score]],Table1[[#This Row],[Physics 
Score]],Table1[[#This Row],[Chemistry 
Score]],Table1[[#This Row],[Biology 
Score]],Table1[[#This Row],[English 
Score]],Table1[[#This Row],[Geography 
Score]])</f>
        <v>81.142857142857139</v>
      </c>
      <c r="AB197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977">
        <f t="shared" si="30"/>
        <v>975</v>
      </c>
      <c r="AD1977" t="str">
        <f>_xlfn.IFS(Table1[[#This Row],[Absence 
Days]]&lt;3,"Excellent",Table1[[#This Row],[Absence 
Days]]&lt;=6,"Good",Table1[[#This Row],[Absence 
Days]]&gt;6,"Poor")</f>
        <v>Good</v>
      </c>
    </row>
    <row r="1978" spans="1:30" x14ac:dyDescent="0.35">
      <c r="A1978">
        <v>1977</v>
      </c>
      <c r="B1978" s="2" t="s">
        <v>32</v>
      </c>
      <c r="C1978" t="s">
        <v>705</v>
      </c>
      <c r="D1978" t="str">
        <f>_xlfn.TEXTJOIN(" ",TRUE,Table1[[#This Row],[First 
Name]:[Last 
Name]])</f>
        <v>Lisa Stafford</v>
      </c>
      <c r="E1978" t="s">
        <v>3088</v>
      </c>
      <c r="F1978" t="s">
        <v>3245</v>
      </c>
      <c r="G1978" t="str">
        <f ca="1">PROPER(Table1[[#This Row],[Part Time 
Job]])</f>
        <v>False</v>
      </c>
      <c r="H1978" s="3">
        <v>8</v>
      </c>
      <c r="I1978" t="str">
        <f ca="1">PROPER(Table1[[#This Row],[Extracurricular 
Activities]])</f>
        <v>False</v>
      </c>
      <c r="J1978">
        <v>2</v>
      </c>
      <c r="K1978" t="s">
        <v>3119</v>
      </c>
      <c r="L1978">
        <v>74</v>
      </c>
      <c r="M1978" s="12" t="str" cm="1">
        <f t="array" ref="M1978">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978">
        <v>59</v>
      </c>
      <c r="O1978" s="13" t="str" cm="1">
        <f t="array" ref="O197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C</v>
      </c>
      <c r="P1978">
        <v>82</v>
      </c>
      <c r="Q1978" s="13" t="str" cm="1">
        <f t="array" ref="Q197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978">
        <v>51</v>
      </c>
      <c r="S1978" t="str" cm="1">
        <f t="array" ref="S197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C</v>
      </c>
      <c r="T1978">
        <v>91</v>
      </c>
      <c r="U1978" t="str" cm="1">
        <f t="array" ref="U197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978">
        <v>96</v>
      </c>
      <c r="W1978" t="str" cm="1">
        <f t="array" ref="W197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978">
        <v>94</v>
      </c>
      <c r="Y1978" t="str" cm="1">
        <f t="array" ref="Y197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978">
        <f>SUM(Table1[[#This Row],[Math 
Score]],Table1[[#This Row],[History 
Score]],Table1[[#This Row],[Physics 
Score]],Table1[[#This Row],[Chemistry 
Score]],Table1[[#This Row],[Biology 
Score]],Table1[[#This Row],[English 
Score]],Table1[[#This Row],[Geography 
Score]])</f>
        <v>547</v>
      </c>
      <c r="AA1978" s="3">
        <f>AVERAGE(Table1[[#This Row],[Math 
Score]],Table1[[#This Row],[History 
Score]],Table1[[#This Row],[Physics 
Score]],Table1[[#This Row],[Chemistry 
Score]],Table1[[#This Row],[Biology 
Score]],Table1[[#This Row],[English 
Score]],Table1[[#This Row],[Geography 
Score]])</f>
        <v>78.142857142857139</v>
      </c>
      <c r="AB197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978">
        <f t="shared" si="30"/>
        <v>1388</v>
      </c>
      <c r="AD1978" t="str">
        <f>_xlfn.IFS(Table1[[#This Row],[Absence 
Days]]&lt;3,"Excellent",Table1[[#This Row],[Absence 
Days]]&lt;=6,"Good",Table1[[#This Row],[Absence 
Days]]&gt;6,"Poor")</f>
        <v>Poor</v>
      </c>
    </row>
    <row r="1979" spans="1:30" x14ac:dyDescent="0.35">
      <c r="A1979">
        <v>1978</v>
      </c>
      <c r="B1979" s="2" t="s">
        <v>204</v>
      </c>
      <c r="C1979" t="s">
        <v>516</v>
      </c>
      <c r="D1979" t="str">
        <f>_xlfn.TEXTJOIN(" ",TRUE,Table1[[#This Row],[First 
Name]:[Last 
Name]])</f>
        <v>Kristin Garcia</v>
      </c>
      <c r="E1979" t="s">
        <v>3089</v>
      </c>
      <c r="F1979" t="s">
        <v>3245</v>
      </c>
      <c r="G1979" t="str">
        <f ca="1">PROPER(Table1[[#This Row],[Part Time 
Job]])</f>
        <v>False</v>
      </c>
      <c r="H1979" s="3">
        <v>10</v>
      </c>
      <c r="I1979" t="str">
        <f ca="1">PROPER(Table1[[#This Row],[Extracurricular 
Activities]])</f>
        <v>True</v>
      </c>
      <c r="J1979">
        <v>5</v>
      </c>
      <c r="K1979" t="s">
        <v>3119</v>
      </c>
      <c r="L1979">
        <v>56</v>
      </c>
      <c r="M1979" s="12" t="str" cm="1">
        <f t="array" ref="M1979">_xlfn.IFS(Table1[[#This Row],[Math 
Score]]&gt;=90,"A+",Table1[[#This Row],[Math 
Score]]&gt;=80,"A", Table1[[#This Row],[Math 
Score]]&gt;=75,"A-",Table1[[#This Row],[Math 
Score]]&gt;=70,"B+",Table1[[#This Row],[Math 
Score]]&gt;=65,"B",Table1[[#This Row],[Math 
Score]]&gt;=60,"B-",Table1[[#This Row],[Math 
Score]]&gt;=50,"C",Table1[[#This Row],[Math 
Score]]&gt;=40,"D",Table1[[#This Row],[Math 
Score]]&lt;40,"F")</f>
        <v>C</v>
      </c>
      <c r="N1979">
        <v>66</v>
      </c>
      <c r="O1979" s="13" t="str" cm="1">
        <f t="array" ref="O197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979">
        <v>87</v>
      </c>
      <c r="Q1979" s="13" t="str" cm="1">
        <f t="array" ref="Q197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979">
        <v>64</v>
      </c>
      <c r="S1979" t="str" cm="1">
        <f t="array" ref="S197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979">
        <v>95</v>
      </c>
      <c r="U1979" t="str" cm="1">
        <f t="array" ref="U197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979">
        <v>89</v>
      </c>
      <c r="W1979" t="str" cm="1">
        <f t="array" ref="W197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979">
        <v>76</v>
      </c>
      <c r="Y1979" t="str" cm="1">
        <f t="array" ref="Y197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979">
        <f>SUM(Table1[[#This Row],[Math 
Score]],Table1[[#This Row],[History 
Score]],Table1[[#This Row],[Physics 
Score]],Table1[[#This Row],[Chemistry 
Score]],Table1[[#This Row],[Biology 
Score]],Table1[[#This Row],[English 
Score]],Table1[[#This Row],[Geography 
Score]])</f>
        <v>533</v>
      </c>
      <c r="AA1979" s="3">
        <f>AVERAGE(Table1[[#This Row],[Math 
Score]],Table1[[#This Row],[History 
Score]],Table1[[#This Row],[Physics 
Score]],Table1[[#This Row],[Chemistry 
Score]],Table1[[#This Row],[Biology 
Score]],Table1[[#This Row],[English 
Score]],Table1[[#This Row],[Geography 
Score]])</f>
        <v>76.142857142857139</v>
      </c>
      <c r="AB197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979">
        <f t="shared" si="30"/>
        <v>1613</v>
      </c>
      <c r="AD1979" t="str">
        <f>_xlfn.IFS(Table1[[#This Row],[Absence 
Days]]&lt;3,"Excellent",Table1[[#This Row],[Absence 
Days]]&lt;=6,"Good",Table1[[#This Row],[Absence 
Days]]&gt;6,"Poor")</f>
        <v>Poor</v>
      </c>
    </row>
    <row r="1980" spans="1:30" x14ac:dyDescent="0.35">
      <c r="A1980">
        <v>1979</v>
      </c>
      <c r="B1980" s="2" t="s">
        <v>58</v>
      </c>
      <c r="C1980" t="s">
        <v>1046</v>
      </c>
      <c r="D1980" t="str">
        <f>_xlfn.TEXTJOIN(" ",TRUE,Table1[[#This Row],[First 
Name]:[Last 
Name]])</f>
        <v>Eric Adkins</v>
      </c>
      <c r="E1980" t="s">
        <v>3090</v>
      </c>
      <c r="F1980" t="s">
        <v>3244</v>
      </c>
      <c r="G1980" t="str">
        <f ca="1">PROPER(Table1[[#This Row],[Part Time 
Job]])</f>
        <v>False</v>
      </c>
      <c r="H1980" s="3">
        <v>7</v>
      </c>
      <c r="I1980" t="str">
        <f ca="1">PROPER(Table1[[#This Row],[Extracurricular 
Activities]])</f>
        <v>False</v>
      </c>
      <c r="J1980">
        <v>5</v>
      </c>
      <c r="K1980" t="s">
        <v>3119</v>
      </c>
      <c r="L1980">
        <v>72</v>
      </c>
      <c r="M1980" s="12" t="str" cm="1">
        <f t="array" ref="M1980">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980">
        <v>69</v>
      </c>
      <c r="O1980" s="13" t="str" cm="1">
        <f t="array" ref="O198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980">
        <v>91</v>
      </c>
      <c r="Q1980" s="13" t="str" cm="1">
        <f t="array" ref="Q198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980">
        <v>69</v>
      </c>
      <c r="S1980" t="str" cm="1">
        <f t="array" ref="S198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980">
        <v>53</v>
      </c>
      <c r="U1980" t="str" cm="1">
        <f t="array" ref="U198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C</v>
      </c>
      <c r="V1980">
        <v>73</v>
      </c>
      <c r="W1980" t="str" cm="1">
        <f t="array" ref="W198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980">
        <v>95</v>
      </c>
      <c r="Y1980" t="str" cm="1">
        <f t="array" ref="Y198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980">
        <f>SUM(Table1[[#This Row],[Math 
Score]],Table1[[#This Row],[History 
Score]],Table1[[#This Row],[Physics 
Score]],Table1[[#This Row],[Chemistry 
Score]],Table1[[#This Row],[Biology 
Score]],Table1[[#This Row],[English 
Score]],Table1[[#This Row],[Geography 
Score]])</f>
        <v>522</v>
      </c>
      <c r="AA1980" s="3">
        <f>AVERAGE(Table1[[#This Row],[Math 
Score]],Table1[[#This Row],[History 
Score]],Table1[[#This Row],[Physics 
Score]],Table1[[#This Row],[Chemistry 
Score]],Table1[[#This Row],[Biology 
Score]],Table1[[#This Row],[English 
Score]],Table1[[#This Row],[Geography 
Score]])</f>
        <v>74.571428571428569</v>
      </c>
      <c r="AB198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B+</v>
      </c>
      <c r="AC1980">
        <f t="shared" si="30"/>
        <v>1739</v>
      </c>
      <c r="AD1980" t="str">
        <f>_xlfn.IFS(Table1[[#This Row],[Absence 
Days]]&lt;3,"Excellent",Table1[[#This Row],[Absence 
Days]]&lt;=6,"Good",Table1[[#This Row],[Absence 
Days]]&gt;6,"Poor")</f>
        <v>Poor</v>
      </c>
    </row>
    <row r="1981" spans="1:30" x14ac:dyDescent="0.35">
      <c r="A1981">
        <v>1980</v>
      </c>
      <c r="B1981" s="2" t="s">
        <v>290</v>
      </c>
      <c r="C1981" t="s">
        <v>628</v>
      </c>
      <c r="D1981" t="str">
        <f>_xlfn.TEXTJOIN(" ",TRUE,Table1[[#This Row],[First 
Name]:[Last 
Name]])</f>
        <v>Allison Henderson</v>
      </c>
      <c r="E1981" t="s">
        <v>3091</v>
      </c>
      <c r="F1981" t="s">
        <v>3245</v>
      </c>
      <c r="G1981" t="str">
        <f ca="1">PROPER(Table1[[#This Row],[Part Time 
Job]])</f>
        <v>False</v>
      </c>
      <c r="H1981" s="3">
        <v>3</v>
      </c>
      <c r="I1981" t="str">
        <f ca="1">PROPER(Table1[[#This Row],[Extracurricular 
Activities]])</f>
        <v>False</v>
      </c>
      <c r="J1981">
        <v>27</v>
      </c>
      <c r="K1981" t="s">
        <v>3112</v>
      </c>
      <c r="L1981">
        <v>87</v>
      </c>
      <c r="M1981" s="12" t="str" cm="1">
        <f t="array" ref="M198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981">
        <v>86</v>
      </c>
      <c r="O1981" s="13" t="str" cm="1">
        <f t="array" ref="O198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981">
        <v>83</v>
      </c>
      <c r="Q1981" s="13" t="str" cm="1">
        <f t="array" ref="Q198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981">
        <v>80</v>
      </c>
      <c r="S1981" t="str" cm="1">
        <f t="array" ref="S198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981">
        <v>90</v>
      </c>
      <c r="U1981" t="str" cm="1">
        <f t="array" ref="U198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981">
        <v>90</v>
      </c>
      <c r="W1981" t="str" cm="1">
        <f t="array" ref="W198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981">
        <v>61</v>
      </c>
      <c r="Y1981" t="str" cm="1">
        <f t="array" ref="Y198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981">
        <f>SUM(Table1[[#This Row],[Math 
Score]],Table1[[#This Row],[History 
Score]],Table1[[#This Row],[Physics 
Score]],Table1[[#This Row],[Chemistry 
Score]],Table1[[#This Row],[Biology 
Score]],Table1[[#This Row],[English 
Score]],Table1[[#This Row],[Geography 
Score]])</f>
        <v>577</v>
      </c>
      <c r="AA1981" s="3">
        <f>AVERAGE(Table1[[#This Row],[Math 
Score]],Table1[[#This Row],[History 
Score]],Table1[[#This Row],[Physics 
Score]],Table1[[#This Row],[Chemistry 
Score]],Table1[[#This Row],[Biology 
Score]],Table1[[#This Row],[English 
Score]],Table1[[#This Row],[Geography 
Score]])</f>
        <v>82.428571428571431</v>
      </c>
      <c r="AB198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981">
        <f t="shared" si="30"/>
        <v>769</v>
      </c>
      <c r="AD1981" t="str">
        <f>_xlfn.IFS(Table1[[#This Row],[Absence 
Days]]&lt;3,"Excellent",Table1[[#This Row],[Absence 
Days]]&lt;=6,"Good",Table1[[#This Row],[Absence 
Days]]&gt;6,"Poor")</f>
        <v>Good</v>
      </c>
    </row>
    <row r="1982" spans="1:30" x14ac:dyDescent="0.35">
      <c r="A1982">
        <v>1981</v>
      </c>
      <c r="B1982" s="2" t="s">
        <v>328</v>
      </c>
      <c r="C1982" t="s">
        <v>1066</v>
      </c>
      <c r="D1982" t="str">
        <f>_xlfn.TEXTJOIN(" ",TRUE,Table1[[#This Row],[First 
Name]:[Last 
Name]])</f>
        <v>Alison Palmer</v>
      </c>
      <c r="E1982" t="s">
        <v>3092</v>
      </c>
      <c r="F1982" t="s">
        <v>3245</v>
      </c>
      <c r="G1982" t="str">
        <f ca="1">PROPER(Table1[[#This Row],[Part Time 
Job]])</f>
        <v>False</v>
      </c>
      <c r="H1982" s="3">
        <v>2</v>
      </c>
      <c r="I1982" t="str">
        <f ca="1">PROPER(Table1[[#This Row],[Extracurricular 
Activities]])</f>
        <v>False</v>
      </c>
      <c r="J1982">
        <v>30</v>
      </c>
      <c r="K1982" t="s">
        <v>3112</v>
      </c>
      <c r="L1982">
        <v>80</v>
      </c>
      <c r="M1982" s="12" t="str" cm="1">
        <f t="array" ref="M198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982">
        <v>81</v>
      </c>
      <c r="O1982" s="13" t="str" cm="1">
        <f t="array" ref="O198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982">
        <v>96</v>
      </c>
      <c r="Q1982" s="13" t="str" cm="1">
        <f t="array" ref="Q198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982">
        <v>92</v>
      </c>
      <c r="S1982" t="str" cm="1">
        <f t="array" ref="S198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982">
        <v>100</v>
      </c>
      <c r="U1982" t="str" cm="1">
        <f t="array" ref="U198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982">
        <v>91</v>
      </c>
      <c r="W1982" t="str" cm="1">
        <f t="array" ref="W198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982">
        <v>87</v>
      </c>
      <c r="Y1982" t="str" cm="1">
        <f t="array" ref="Y198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982">
        <f>SUM(Table1[[#This Row],[Math 
Score]],Table1[[#This Row],[History 
Score]],Table1[[#This Row],[Physics 
Score]],Table1[[#This Row],[Chemistry 
Score]],Table1[[#This Row],[Biology 
Score]],Table1[[#This Row],[English 
Score]],Table1[[#This Row],[Geography 
Score]])</f>
        <v>627</v>
      </c>
      <c r="AA1982" s="3">
        <f>AVERAGE(Table1[[#This Row],[Math 
Score]],Table1[[#This Row],[History 
Score]],Table1[[#This Row],[Physics 
Score]],Table1[[#This Row],[Chemistry 
Score]],Table1[[#This Row],[Biology 
Score]],Table1[[#This Row],[English 
Score]],Table1[[#This Row],[Geography 
Score]])</f>
        <v>89.571428571428569</v>
      </c>
      <c r="AB198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982">
        <f t="shared" si="30"/>
        <v>168</v>
      </c>
      <c r="AD1982" t="str">
        <f>_xlfn.IFS(Table1[[#This Row],[Absence 
Days]]&lt;3,"Excellent",Table1[[#This Row],[Absence 
Days]]&lt;=6,"Good",Table1[[#This Row],[Absence 
Days]]&gt;6,"Poor")</f>
        <v>Excellent</v>
      </c>
    </row>
    <row r="1983" spans="1:30" x14ac:dyDescent="0.35">
      <c r="A1983">
        <v>1982</v>
      </c>
      <c r="B1983" s="2" t="s">
        <v>420</v>
      </c>
      <c r="C1983" t="s">
        <v>528</v>
      </c>
      <c r="D1983" t="str">
        <f>_xlfn.TEXTJOIN(" ",TRUE,Table1[[#This Row],[First 
Name]:[Last 
Name]])</f>
        <v>Shane Parker</v>
      </c>
      <c r="E1983" t="s">
        <v>3093</v>
      </c>
      <c r="F1983" t="s">
        <v>3244</v>
      </c>
      <c r="G1983" t="str">
        <f ca="1">PROPER(Table1[[#This Row],[Part Time 
Job]])</f>
        <v>False</v>
      </c>
      <c r="H1983" s="3">
        <v>5</v>
      </c>
      <c r="I1983" t="str">
        <f ca="1">PROPER(Table1[[#This Row],[Extracurricular 
Activities]])</f>
        <v>False</v>
      </c>
      <c r="J1983">
        <v>21</v>
      </c>
      <c r="K1983" t="s">
        <v>3117</v>
      </c>
      <c r="L1983">
        <v>98</v>
      </c>
      <c r="M1983" s="12" t="str" cm="1">
        <f t="array" ref="M198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983">
        <v>72</v>
      </c>
      <c r="O1983" s="13" t="str" cm="1">
        <f t="array" ref="O198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983">
        <v>64</v>
      </c>
      <c r="Q1983" s="13" t="str" cm="1">
        <f t="array" ref="Q198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983">
        <v>68</v>
      </c>
      <c r="S1983" t="str" cm="1">
        <f t="array" ref="S198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983">
        <v>76</v>
      </c>
      <c r="U1983" t="str" cm="1">
        <f t="array" ref="U198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983">
        <v>84</v>
      </c>
      <c r="W1983" t="str" cm="1">
        <f t="array" ref="W198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983">
        <v>72</v>
      </c>
      <c r="Y1983" t="str" cm="1">
        <f t="array" ref="Y198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983">
        <f>SUM(Table1[[#This Row],[Math 
Score]],Table1[[#This Row],[History 
Score]],Table1[[#This Row],[Physics 
Score]],Table1[[#This Row],[Chemistry 
Score]],Table1[[#This Row],[Biology 
Score]],Table1[[#This Row],[English 
Score]],Table1[[#This Row],[Geography 
Score]])</f>
        <v>534</v>
      </c>
      <c r="AA1983" s="3">
        <f>AVERAGE(Table1[[#This Row],[Math 
Score]],Table1[[#This Row],[History 
Score]],Table1[[#This Row],[Physics 
Score]],Table1[[#This Row],[Chemistry 
Score]],Table1[[#This Row],[Biology 
Score]],Table1[[#This Row],[English 
Score]],Table1[[#This Row],[Geography 
Score]])</f>
        <v>76.285714285714292</v>
      </c>
      <c r="AB198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983">
        <f t="shared" si="30"/>
        <v>1595</v>
      </c>
      <c r="AD1983" t="str">
        <f>_xlfn.IFS(Table1[[#This Row],[Absence 
Days]]&lt;3,"Excellent",Table1[[#This Row],[Absence 
Days]]&lt;=6,"Good",Table1[[#This Row],[Absence 
Days]]&gt;6,"Poor")</f>
        <v>Good</v>
      </c>
    </row>
    <row r="1984" spans="1:30" x14ac:dyDescent="0.35">
      <c r="A1984">
        <v>1983</v>
      </c>
      <c r="B1984" s="2" t="s">
        <v>160</v>
      </c>
      <c r="C1984" t="s">
        <v>932</v>
      </c>
      <c r="D1984" t="str">
        <f>_xlfn.TEXTJOIN(" ",TRUE,Table1[[#This Row],[First 
Name]:[Last 
Name]])</f>
        <v>Debra Gilbert</v>
      </c>
      <c r="E1984" t="s">
        <v>3094</v>
      </c>
      <c r="F1984" t="s">
        <v>3245</v>
      </c>
      <c r="G1984" t="str">
        <f ca="1">PROPER(Table1[[#This Row],[Part Time 
Job]])</f>
        <v>False</v>
      </c>
      <c r="H1984" s="3">
        <v>0</v>
      </c>
      <c r="I1984" t="str">
        <f ca="1">PROPER(Table1[[#This Row],[Extracurricular 
Activities]])</f>
        <v>False</v>
      </c>
      <c r="J1984">
        <v>8</v>
      </c>
      <c r="K1984" t="s">
        <v>3118</v>
      </c>
      <c r="L1984">
        <v>83</v>
      </c>
      <c r="M1984" s="12" t="str" cm="1">
        <f t="array" ref="M198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984">
        <v>91</v>
      </c>
      <c r="O1984" s="13" t="str" cm="1">
        <f t="array" ref="O198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984">
        <v>69</v>
      </c>
      <c r="Q1984" s="13" t="str" cm="1">
        <f t="array" ref="Q198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984">
        <v>74</v>
      </c>
      <c r="S1984" t="str" cm="1">
        <f t="array" ref="S198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984">
        <v>98</v>
      </c>
      <c r="U1984" t="str" cm="1">
        <f t="array" ref="U198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984">
        <v>86</v>
      </c>
      <c r="W1984" t="str" cm="1">
        <f t="array" ref="W198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984">
        <v>76</v>
      </c>
      <c r="Y1984" t="str" cm="1">
        <f t="array" ref="Y198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984">
        <f>SUM(Table1[[#This Row],[Math 
Score]],Table1[[#This Row],[History 
Score]],Table1[[#This Row],[Physics 
Score]],Table1[[#This Row],[Chemistry 
Score]],Table1[[#This Row],[Biology 
Score]],Table1[[#This Row],[English 
Score]],Table1[[#This Row],[Geography 
Score]])</f>
        <v>577</v>
      </c>
      <c r="AA1984" s="3">
        <f>AVERAGE(Table1[[#This Row],[Math 
Score]],Table1[[#This Row],[History 
Score]],Table1[[#This Row],[Physics 
Score]],Table1[[#This Row],[Chemistry 
Score]],Table1[[#This Row],[Biology 
Score]],Table1[[#This Row],[English 
Score]],Table1[[#This Row],[Geography 
Score]])</f>
        <v>82.428571428571431</v>
      </c>
      <c r="AB198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984">
        <f t="shared" si="30"/>
        <v>769</v>
      </c>
      <c r="AD1984" t="str">
        <f>_xlfn.IFS(Table1[[#This Row],[Absence 
Days]]&lt;3,"Excellent",Table1[[#This Row],[Absence 
Days]]&lt;=6,"Good",Table1[[#This Row],[Absence 
Days]]&gt;6,"Poor")</f>
        <v>Excellent</v>
      </c>
    </row>
    <row r="1985" spans="1:30" x14ac:dyDescent="0.35">
      <c r="A1985">
        <v>1984</v>
      </c>
      <c r="B1985" s="2" t="s">
        <v>270</v>
      </c>
      <c r="C1985" t="s">
        <v>294</v>
      </c>
      <c r="D1985" t="str">
        <f>_xlfn.TEXTJOIN(" ",TRUE,Table1[[#This Row],[First 
Name]:[Last 
Name]])</f>
        <v>Mary Jackson</v>
      </c>
      <c r="E1985" t="s">
        <v>3095</v>
      </c>
      <c r="F1985" t="s">
        <v>3245</v>
      </c>
      <c r="G1985" t="str">
        <f ca="1">PROPER(Table1[[#This Row],[Part Time 
Job]])</f>
        <v>False</v>
      </c>
      <c r="H1985" s="3">
        <v>2</v>
      </c>
      <c r="I1985" t="str">
        <f ca="1">PROPER(Table1[[#This Row],[Extracurricular 
Activities]])</f>
        <v>False</v>
      </c>
      <c r="J1985">
        <v>21</v>
      </c>
      <c r="K1985" t="s">
        <v>3121</v>
      </c>
      <c r="L1985">
        <v>92</v>
      </c>
      <c r="M1985" s="12" t="str" cm="1">
        <f t="array" ref="M198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985">
        <v>77</v>
      </c>
      <c r="O1985" s="13" t="str" cm="1">
        <f t="array" ref="O198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985">
        <v>91</v>
      </c>
      <c r="Q1985" s="13" t="str" cm="1">
        <f t="array" ref="Q198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985">
        <v>79</v>
      </c>
      <c r="S1985" t="str" cm="1">
        <f t="array" ref="S198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985">
        <v>98</v>
      </c>
      <c r="U1985" t="str" cm="1">
        <f t="array" ref="U198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985">
        <v>77</v>
      </c>
      <c r="W1985" t="str" cm="1">
        <f t="array" ref="W198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985">
        <v>87</v>
      </c>
      <c r="Y1985" t="str" cm="1">
        <f t="array" ref="Y198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985">
        <f>SUM(Table1[[#This Row],[Math 
Score]],Table1[[#This Row],[History 
Score]],Table1[[#This Row],[Physics 
Score]],Table1[[#This Row],[Chemistry 
Score]],Table1[[#This Row],[Biology 
Score]],Table1[[#This Row],[English 
Score]],Table1[[#This Row],[Geography 
Score]])</f>
        <v>601</v>
      </c>
      <c r="AA1985" s="3">
        <f>AVERAGE(Table1[[#This Row],[Math 
Score]],Table1[[#This Row],[History 
Score]],Table1[[#This Row],[Physics 
Score]],Table1[[#This Row],[Chemistry 
Score]],Table1[[#This Row],[Biology 
Score]],Table1[[#This Row],[English 
Score]],Table1[[#This Row],[Geography 
Score]])</f>
        <v>85.857142857142861</v>
      </c>
      <c r="AB198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985">
        <f t="shared" si="30"/>
        <v>394</v>
      </c>
      <c r="AD1985" t="str">
        <f>_xlfn.IFS(Table1[[#This Row],[Absence 
Days]]&lt;3,"Excellent",Table1[[#This Row],[Absence 
Days]]&lt;=6,"Good",Table1[[#This Row],[Absence 
Days]]&gt;6,"Poor")</f>
        <v>Excellent</v>
      </c>
    </row>
    <row r="1986" spans="1:30" x14ac:dyDescent="0.35">
      <c r="A1986">
        <v>1985</v>
      </c>
      <c r="B1986" s="2" t="s">
        <v>89</v>
      </c>
      <c r="C1986" t="s">
        <v>1082</v>
      </c>
      <c r="D1986" t="str">
        <f>_xlfn.TEXTJOIN(" ",TRUE,Table1[[#This Row],[First 
Name]:[Last 
Name]])</f>
        <v>Joshua Stuart</v>
      </c>
      <c r="E1986" t="s">
        <v>3096</v>
      </c>
      <c r="F1986" t="s">
        <v>3244</v>
      </c>
      <c r="G1986" t="str">
        <f ca="1">PROPER(Table1[[#This Row],[Part Time 
Job]])</f>
        <v>True</v>
      </c>
      <c r="H1986" s="3">
        <v>3</v>
      </c>
      <c r="I1986" t="str">
        <f ca="1">PROPER(Table1[[#This Row],[Extracurricular 
Activities]])</f>
        <v>False</v>
      </c>
      <c r="J1986">
        <v>18</v>
      </c>
      <c r="K1986" t="s">
        <v>3121</v>
      </c>
      <c r="L1986">
        <v>79</v>
      </c>
      <c r="M1986" s="12" t="str" cm="1">
        <f t="array" ref="M198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986">
        <v>68</v>
      </c>
      <c r="O1986" s="13" t="str" cm="1">
        <f t="array" ref="O198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986">
        <v>64</v>
      </c>
      <c r="Q1986" s="13" t="str" cm="1">
        <f t="array" ref="Q198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986">
        <v>68</v>
      </c>
      <c r="S1986" t="str" cm="1">
        <f t="array" ref="S198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986">
        <v>97</v>
      </c>
      <c r="U1986" t="str" cm="1">
        <f t="array" ref="U198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986">
        <v>78</v>
      </c>
      <c r="W1986" t="str" cm="1">
        <f t="array" ref="W198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986">
        <v>84</v>
      </c>
      <c r="Y1986" t="str" cm="1">
        <f t="array" ref="Y198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986">
        <f>SUM(Table1[[#This Row],[Math 
Score]],Table1[[#This Row],[History 
Score]],Table1[[#This Row],[Physics 
Score]],Table1[[#This Row],[Chemistry 
Score]],Table1[[#This Row],[Biology 
Score]],Table1[[#This Row],[English 
Score]],Table1[[#This Row],[Geography 
Score]])</f>
        <v>538</v>
      </c>
      <c r="AA1986" s="3">
        <f>AVERAGE(Table1[[#This Row],[Math 
Score]],Table1[[#This Row],[History 
Score]],Table1[[#This Row],[Physics 
Score]],Table1[[#This Row],[Chemistry 
Score]],Table1[[#This Row],[Biology 
Score]],Table1[[#This Row],[English 
Score]],Table1[[#This Row],[Geography 
Score]])</f>
        <v>76.857142857142861</v>
      </c>
      <c r="AB198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986">
        <f t="shared" ref="AC1986:AC2001" si="31">RANK(AA1986,$AA$2:$AA$2001,0)</f>
        <v>1537</v>
      </c>
      <c r="AD1986" t="str">
        <f>_xlfn.IFS(Table1[[#This Row],[Absence 
Days]]&lt;3,"Excellent",Table1[[#This Row],[Absence 
Days]]&lt;=6,"Good",Table1[[#This Row],[Absence 
Days]]&gt;6,"Poor")</f>
        <v>Good</v>
      </c>
    </row>
    <row r="1987" spans="1:30" x14ac:dyDescent="0.35">
      <c r="A1987">
        <v>1986</v>
      </c>
      <c r="B1987" s="2" t="s">
        <v>86</v>
      </c>
      <c r="C1987" t="s">
        <v>475</v>
      </c>
      <c r="D1987" t="str">
        <f>_xlfn.TEXTJOIN(" ",TRUE,Table1[[#This Row],[First 
Name]:[Last 
Name]])</f>
        <v>Benjamin Williams</v>
      </c>
      <c r="E1987" t="s">
        <v>3097</v>
      </c>
      <c r="F1987" t="s">
        <v>3244</v>
      </c>
      <c r="G1987" t="str">
        <f ca="1">PROPER(Table1[[#This Row],[Part Time 
Job]])</f>
        <v>False</v>
      </c>
      <c r="H1987" s="3">
        <v>4</v>
      </c>
      <c r="I1987" t="str">
        <f ca="1">PROPER(Table1[[#This Row],[Extracurricular 
Activities]])</f>
        <v>False</v>
      </c>
      <c r="J1987">
        <v>3</v>
      </c>
      <c r="K1987" t="s">
        <v>3114</v>
      </c>
      <c r="L1987">
        <v>72</v>
      </c>
      <c r="M1987" s="12" t="str" cm="1">
        <f t="array" ref="M1987">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987">
        <v>81</v>
      </c>
      <c r="O1987" s="13" t="str" cm="1">
        <f t="array" ref="O198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987">
        <v>89</v>
      </c>
      <c r="Q1987" s="13" t="str" cm="1">
        <f t="array" ref="Q198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987">
        <v>92</v>
      </c>
      <c r="S1987" t="str" cm="1">
        <f t="array" ref="S198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987">
        <v>88</v>
      </c>
      <c r="U1987" t="str" cm="1">
        <f t="array" ref="U198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987">
        <v>87</v>
      </c>
      <c r="W1987" t="str" cm="1">
        <f t="array" ref="W198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987">
        <v>82</v>
      </c>
      <c r="Y1987" t="str" cm="1">
        <f t="array" ref="Y198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987">
        <f>SUM(Table1[[#This Row],[Math 
Score]],Table1[[#This Row],[History 
Score]],Table1[[#This Row],[Physics 
Score]],Table1[[#This Row],[Chemistry 
Score]],Table1[[#This Row],[Biology 
Score]],Table1[[#This Row],[English 
Score]],Table1[[#This Row],[Geography 
Score]])</f>
        <v>591</v>
      </c>
      <c r="AA1987" s="3">
        <f>AVERAGE(Table1[[#This Row],[Math 
Score]],Table1[[#This Row],[History 
Score]],Table1[[#This Row],[Physics 
Score]],Table1[[#This Row],[Chemistry 
Score]],Table1[[#This Row],[Biology 
Score]],Table1[[#This Row],[English 
Score]],Table1[[#This Row],[Geography 
Score]])</f>
        <v>84.428571428571431</v>
      </c>
      <c r="AB198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987">
        <f t="shared" si="31"/>
        <v>515</v>
      </c>
      <c r="AD1987" t="str">
        <f>_xlfn.IFS(Table1[[#This Row],[Absence 
Days]]&lt;3,"Excellent",Table1[[#This Row],[Absence 
Days]]&lt;=6,"Good",Table1[[#This Row],[Absence 
Days]]&gt;6,"Poor")</f>
        <v>Good</v>
      </c>
    </row>
    <row r="1988" spans="1:30" x14ac:dyDescent="0.35">
      <c r="A1988">
        <v>1987</v>
      </c>
      <c r="B1988" s="2" t="s">
        <v>40</v>
      </c>
      <c r="C1988" t="s">
        <v>371</v>
      </c>
      <c r="D1988" t="str">
        <f>_xlfn.TEXTJOIN(" ",TRUE,Table1[[#This Row],[First 
Name]:[Last 
Name]])</f>
        <v>David Frank</v>
      </c>
      <c r="E1988" t="s">
        <v>3098</v>
      </c>
      <c r="F1988" t="s">
        <v>3244</v>
      </c>
      <c r="G1988" t="str">
        <f ca="1">PROPER(Table1[[#This Row],[Part Time 
Job]])</f>
        <v>False</v>
      </c>
      <c r="H1988" s="3">
        <v>1</v>
      </c>
      <c r="I1988" t="str">
        <f ca="1">PROPER(Table1[[#This Row],[Extracurricular 
Activities]])</f>
        <v>False</v>
      </c>
      <c r="J1988">
        <v>32</v>
      </c>
      <c r="K1988" t="s">
        <v>3113</v>
      </c>
      <c r="L1988">
        <v>89</v>
      </c>
      <c r="M1988" s="12" t="str" cm="1">
        <f t="array" ref="M198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988">
        <v>74</v>
      </c>
      <c r="O1988" s="13" t="str" cm="1">
        <f t="array" ref="O198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988">
        <v>94</v>
      </c>
      <c r="Q1988" s="13" t="str" cm="1">
        <f t="array" ref="Q198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988">
        <v>87</v>
      </c>
      <c r="S1988" t="str" cm="1">
        <f t="array" ref="S198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988">
        <v>92</v>
      </c>
      <c r="U1988" t="str" cm="1">
        <f t="array" ref="U198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988">
        <v>82</v>
      </c>
      <c r="W1988" t="str" cm="1">
        <f t="array" ref="W198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988">
        <v>79</v>
      </c>
      <c r="Y1988" t="str" cm="1">
        <f t="array" ref="Y198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988">
        <f>SUM(Table1[[#This Row],[Math 
Score]],Table1[[#This Row],[History 
Score]],Table1[[#This Row],[Physics 
Score]],Table1[[#This Row],[Chemistry 
Score]],Table1[[#This Row],[Biology 
Score]],Table1[[#This Row],[English 
Score]],Table1[[#This Row],[Geography 
Score]])</f>
        <v>597</v>
      </c>
      <c r="AA1988" s="3">
        <f>AVERAGE(Table1[[#This Row],[Math 
Score]],Table1[[#This Row],[History 
Score]],Table1[[#This Row],[Physics 
Score]],Table1[[#This Row],[Chemistry 
Score]],Table1[[#This Row],[Biology 
Score]],Table1[[#This Row],[English 
Score]],Table1[[#This Row],[Geography 
Score]])</f>
        <v>85.285714285714292</v>
      </c>
      <c r="AB198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988">
        <f t="shared" si="31"/>
        <v>446</v>
      </c>
      <c r="AD1988" t="str">
        <f>_xlfn.IFS(Table1[[#This Row],[Absence 
Days]]&lt;3,"Excellent",Table1[[#This Row],[Absence 
Days]]&lt;=6,"Good",Table1[[#This Row],[Absence 
Days]]&gt;6,"Poor")</f>
        <v>Excellent</v>
      </c>
    </row>
    <row r="1989" spans="1:30" x14ac:dyDescent="0.35">
      <c r="A1989">
        <v>1988</v>
      </c>
      <c r="B1989" s="2" t="s">
        <v>159</v>
      </c>
      <c r="C1989" t="s">
        <v>964</v>
      </c>
      <c r="D1989" t="str">
        <f>_xlfn.TEXTJOIN(" ",TRUE,Table1[[#This Row],[First 
Name]:[Last 
Name]])</f>
        <v>Holly Erickson</v>
      </c>
      <c r="E1989" t="s">
        <v>3099</v>
      </c>
      <c r="F1989" t="s">
        <v>3245</v>
      </c>
      <c r="G1989" t="str">
        <f ca="1">PROPER(Table1[[#This Row],[Part Time 
Job]])</f>
        <v>False</v>
      </c>
      <c r="H1989" s="3">
        <v>6</v>
      </c>
      <c r="I1989" t="str">
        <f ca="1">PROPER(Table1[[#This Row],[Extracurricular 
Activities]])</f>
        <v>False</v>
      </c>
      <c r="J1989">
        <v>8</v>
      </c>
      <c r="K1989" t="s">
        <v>3124</v>
      </c>
      <c r="L1989">
        <v>97</v>
      </c>
      <c r="M1989" s="12" t="str" cm="1">
        <f t="array" ref="M198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989">
        <v>91</v>
      </c>
      <c r="O1989" s="13" t="str" cm="1">
        <f t="array" ref="O198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989">
        <v>61</v>
      </c>
      <c r="Q1989" s="13" t="str" cm="1">
        <f t="array" ref="Q198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989">
        <v>75</v>
      </c>
      <c r="S1989" t="str" cm="1">
        <f t="array" ref="S198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989">
        <v>95</v>
      </c>
      <c r="U1989" t="str" cm="1">
        <f t="array" ref="U198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989">
        <v>61</v>
      </c>
      <c r="W1989" t="str" cm="1">
        <f t="array" ref="W198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989">
        <v>89</v>
      </c>
      <c r="Y1989" t="str" cm="1">
        <f t="array" ref="Y198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989">
        <f>SUM(Table1[[#This Row],[Math 
Score]],Table1[[#This Row],[History 
Score]],Table1[[#This Row],[Physics 
Score]],Table1[[#This Row],[Chemistry 
Score]],Table1[[#This Row],[Biology 
Score]],Table1[[#This Row],[English 
Score]],Table1[[#This Row],[Geography 
Score]])</f>
        <v>569</v>
      </c>
      <c r="AA1989" s="3">
        <f>AVERAGE(Table1[[#This Row],[Math 
Score]],Table1[[#This Row],[History 
Score]],Table1[[#This Row],[Physics 
Score]],Table1[[#This Row],[Chemistry 
Score]],Table1[[#This Row],[Biology 
Score]],Table1[[#This Row],[English 
Score]],Table1[[#This Row],[Geography 
Score]])</f>
        <v>81.285714285714292</v>
      </c>
      <c r="AB198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989">
        <f t="shared" si="31"/>
        <v>957</v>
      </c>
      <c r="AD1989" t="str">
        <f>_xlfn.IFS(Table1[[#This Row],[Absence 
Days]]&lt;3,"Excellent",Table1[[#This Row],[Absence 
Days]]&lt;=6,"Good",Table1[[#This Row],[Absence 
Days]]&gt;6,"Poor")</f>
        <v>Good</v>
      </c>
    </row>
    <row r="1990" spans="1:30" x14ac:dyDescent="0.35">
      <c r="A1990">
        <v>1989</v>
      </c>
      <c r="B1990" s="2" t="s">
        <v>70</v>
      </c>
      <c r="C1990" t="s">
        <v>479</v>
      </c>
      <c r="D1990" t="str">
        <f>_xlfn.TEXTJOIN(" ",TRUE,Table1[[#This Row],[First 
Name]:[Last 
Name]])</f>
        <v>Charles Miller</v>
      </c>
      <c r="E1990" t="s">
        <v>3100</v>
      </c>
      <c r="F1990" t="s">
        <v>3244</v>
      </c>
      <c r="G1990" t="str">
        <f ca="1">PROPER(Table1[[#This Row],[Part Time 
Job]])</f>
        <v>False</v>
      </c>
      <c r="H1990" s="3">
        <v>2</v>
      </c>
      <c r="I1990" t="str">
        <f ca="1">PROPER(Table1[[#This Row],[Extracurricular 
Activities]])</f>
        <v>False</v>
      </c>
      <c r="J1990">
        <v>3</v>
      </c>
      <c r="K1990" t="s">
        <v>3116</v>
      </c>
      <c r="L1990">
        <v>66</v>
      </c>
      <c r="M1990" s="12" t="str" cm="1">
        <f t="array" ref="M1990">_xlfn.IFS(Table1[[#This Row],[Math 
Score]]&gt;=90,"A+",Table1[[#This Row],[Math 
Score]]&gt;=80,"A", Table1[[#This Row],[Math 
Score]]&gt;=75,"A-",Table1[[#This Row],[Math 
Score]]&gt;=70,"B+",Table1[[#This Row],[Math 
Score]]&gt;=65,"B",Table1[[#This Row],[Math 
Score]]&gt;=60,"B-",Table1[[#This Row],[Math 
Score]]&gt;=50,"C",Table1[[#This Row],[Math 
Score]]&gt;=40,"D",Table1[[#This Row],[Math 
Score]]&lt;40,"F")</f>
        <v>B</v>
      </c>
      <c r="N1990">
        <v>63</v>
      </c>
      <c r="O1990" s="13" t="str" cm="1">
        <f t="array" ref="O199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990">
        <v>95</v>
      </c>
      <c r="Q1990" s="13" t="str" cm="1">
        <f t="array" ref="Q199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990">
        <v>76</v>
      </c>
      <c r="S1990" t="str" cm="1">
        <f t="array" ref="S199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990">
        <v>71</v>
      </c>
      <c r="U1990" t="str" cm="1">
        <f t="array" ref="U199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990">
        <v>99</v>
      </c>
      <c r="W1990" t="str" cm="1">
        <f t="array" ref="W199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990">
        <v>73</v>
      </c>
      <c r="Y1990" t="str" cm="1">
        <f t="array" ref="Y199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990">
        <f>SUM(Table1[[#This Row],[Math 
Score]],Table1[[#This Row],[History 
Score]],Table1[[#This Row],[Physics 
Score]],Table1[[#This Row],[Chemistry 
Score]],Table1[[#This Row],[Biology 
Score]],Table1[[#This Row],[English 
Score]],Table1[[#This Row],[Geography 
Score]])</f>
        <v>543</v>
      </c>
      <c r="AA1990" s="3">
        <f>AVERAGE(Table1[[#This Row],[Math 
Score]],Table1[[#This Row],[History 
Score]],Table1[[#This Row],[Physics 
Score]],Table1[[#This Row],[Chemistry 
Score]],Table1[[#This Row],[Biology 
Score]],Table1[[#This Row],[English 
Score]],Table1[[#This Row],[Geography 
Score]])</f>
        <v>77.571428571428569</v>
      </c>
      <c r="AB199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990">
        <f t="shared" si="31"/>
        <v>1464</v>
      </c>
      <c r="AD1990" t="str">
        <f>_xlfn.IFS(Table1[[#This Row],[Absence 
Days]]&lt;3,"Excellent",Table1[[#This Row],[Absence 
Days]]&lt;=6,"Good",Table1[[#This Row],[Absence 
Days]]&gt;6,"Poor")</f>
        <v>Excellent</v>
      </c>
    </row>
    <row r="1991" spans="1:30" x14ac:dyDescent="0.35">
      <c r="A1991">
        <v>1990</v>
      </c>
      <c r="B1991" s="2" t="s">
        <v>200</v>
      </c>
      <c r="C1991" t="s">
        <v>708</v>
      </c>
      <c r="D1991" t="str">
        <f>_xlfn.TEXTJOIN(" ",TRUE,Table1[[#This Row],[First 
Name]:[Last 
Name]])</f>
        <v>Samuel Baker</v>
      </c>
      <c r="E1991" t="s">
        <v>3101</v>
      </c>
      <c r="F1991" t="s">
        <v>3244</v>
      </c>
      <c r="G1991" t="str">
        <f ca="1">PROPER(Table1[[#This Row],[Part Time 
Job]])</f>
        <v>False</v>
      </c>
      <c r="H1991" s="3">
        <v>2</v>
      </c>
      <c r="I1991" t="str">
        <f ca="1">PROPER(Table1[[#This Row],[Extracurricular 
Activities]])</f>
        <v>False</v>
      </c>
      <c r="J1991">
        <v>17</v>
      </c>
      <c r="K1991" t="s">
        <v>3127</v>
      </c>
      <c r="L1991">
        <v>77</v>
      </c>
      <c r="M1991" s="12" t="str" cm="1">
        <f t="array" ref="M199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991">
        <v>86</v>
      </c>
      <c r="O1991" s="13" t="str" cm="1">
        <f t="array" ref="O199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991">
        <v>97</v>
      </c>
      <c r="Q1991" s="13" t="str" cm="1">
        <f t="array" ref="Q199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991">
        <v>85</v>
      </c>
      <c r="S1991" t="str" cm="1">
        <f t="array" ref="S199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991">
        <v>77</v>
      </c>
      <c r="U1991" t="str" cm="1">
        <f t="array" ref="U199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991">
        <v>88</v>
      </c>
      <c r="W1991" t="str" cm="1">
        <f t="array" ref="W199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991">
        <v>93</v>
      </c>
      <c r="Y1991" t="str" cm="1">
        <f t="array" ref="Y199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991">
        <f>SUM(Table1[[#This Row],[Math 
Score]],Table1[[#This Row],[History 
Score]],Table1[[#This Row],[Physics 
Score]],Table1[[#This Row],[Chemistry 
Score]],Table1[[#This Row],[Biology 
Score]],Table1[[#This Row],[English 
Score]],Table1[[#This Row],[Geography 
Score]])</f>
        <v>603</v>
      </c>
      <c r="AA1991" s="3">
        <f>AVERAGE(Table1[[#This Row],[Math 
Score]],Table1[[#This Row],[History 
Score]],Table1[[#This Row],[Physics 
Score]],Table1[[#This Row],[Chemistry 
Score]],Table1[[#This Row],[Biology 
Score]],Table1[[#This Row],[English 
Score]],Table1[[#This Row],[Geography 
Score]])</f>
        <v>86.142857142857139</v>
      </c>
      <c r="AB199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991">
        <f t="shared" si="31"/>
        <v>370</v>
      </c>
      <c r="AD1991" t="str">
        <f>_xlfn.IFS(Table1[[#This Row],[Absence 
Days]]&lt;3,"Excellent",Table1[[#This Row],[Absence 
Days]]&lt;=6,"Good",Table1[[#This Row],[Absence 
Days]]&gt;6,"Poor")</f>
        <v>Excellent</v>
      </c>
    </row>
    <row r="1992" spans="1:30" x14ac:dyDescent="0.35">
      <c r="A1992">
        <v>1991</v>
      </c>
      <c r="B1992" s="2" t="s">
        <v>4</v>
      </c>
      <c r="C1992" t="s">
        <v>569</v>
      </c>
      <c r="D1992" t="str">
        <f>_xlfn.TEXTJOIN(" ",TRUE,Table1[[#This Row],[First 
Name]:[Last 
Name]])</f>
        <v>Anthony Moore</v>
      </c>
      <c r="E1992" t="s">
        <v>3102</v>
      </c>
      <c r="F1992" t="s">
        <v>3244</v>
      </c>
      <c r="G1992" t="str">
        <f ca="1">PROPER(Table1[[#This Row],[Part Time 
Job]])</f>
        <v>False</v>
      </c>
      <c r="H1992" s="3">
        <v>0</v>
      </c>
      <c r="I1992" t="str">
        <f ca="1">PROPER(Table1[[#This Row],[Extracurricular 
Activities]])</f>
        <v>False</v>
      </c>
      <c r="J1992">
        <v>17</v>
      </c>
      <c r="K1992" t="s">
        <v>3117</v>
      </c>
      <c r="L1992">
        <v>98</v>
      </c>
      <c r="M1992" s="12" t="str" cm="1">
        <f t="array" ref="M1992">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992">
        <v>63</v>
      </c>
      <c r="O1992" s="13" t="str" cm="1">
        <f t="array" ref="O1992">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992">
        <v>64</v>
      </c>
      <c r="Q1992" s="13" t="str" cm="1">
        <f t="array" ref="Q1992">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992">
        <v>82</v>
      </c>
      <c r="S1992" t="str" cm="1">
        <f t="array" ref="S1992">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992">
        <v>64</v>
      </c>
      <c r="U1992" t="str" cm="1">
        <f t="array" ref="U1992">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992">
        <v>96</v>
      </c>
      <c r="W1992" t="str" cm="1">
        <f t="array" ref="W1992">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992">
        <v>79</v>
      </c>
      <c r="Y1992" t="str" cm="1">
        <f t="array" ref="Y1992">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992">
        <f>SUM(Table1[[#This Row],[Math 
Score]],Table1[[#This Row],[History 
Score]],Table1[[#This Row],[Physics 
Score]],Table1[[#This Row],[Chemistry 
Score]],Table1[[#This Row],[Biology 
Score]],Table1[[#This Row],[English 
Score]],Table1[[#This Row],[Geography 
Score]])</f>
        <v>546</v>
      </c>
      <c r="AA1992" s="3">
        <f>AVERAGE(Table1[[#This Row],[Math 
Score]],Table1[[#This Row],[History 
Score]],Table1[[#This Row],[Physics 
Score]],Table1[[#This Row],[Chemistry 
Score]],Table1[[#This Row],[Biology 
Score]],Table1[[#This Row],[English 
Score]],Table1[[#This Row],[Geography 
Score]])</f>
        <v>78</v>
      </c>
      <c r="AB1992"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992">
        <f t="shared" si="31"/>
        <v>1411</v>
      </c>
      <c r="AD1992" t="str">
        <f>_xlfn.IFS(Table1[[#This Row],[Absence 
Days]]&lt;3,"Excellent",Table1[[#This Row],[Absence 
Days]]&lt;=6,"Good",Table1[[#This Row],[Absence 
Days]]&gt;6,"Poor")</f>
        <v>Excellent</v>
      </c>
    </row>
    <row r="1993" spans="1:30" x14ac:dyDescent="0.35">
      <c r="A1993">
        <v>1992</v>
      </c>
      <c r="B1993" s="2" t="s">
        <v>429</v>
      </c>
      <c r="C1993" t="s">
        <v>1110</v>
      </c>
      <c r="D1993" t="str">
        <f>_xlfn.TEXTJOIN(" ",TRUE,Table1[[#This Row],[First 
Name]:[Last 
Name]])</f>
        <v>Charlotte Rowe</v>
      </c>
      <c r="E1993" t="s">
        <v>3103</v>
      </c>
      <c r="F1993" t="s">
        <v>3245</v>
      </c>
      <c r="G1993" t="str">
        <f ca="1">PROPER(Table1[[#This Row],[Part Time 
Job]])</f>
        <v>False</v>
      </c>
      <c r="H1993" s="3">
        <v>4</v>
      </c>
      <c r="I1993" t="str">
        <f ca="1">PROPER(Table1[[#This Row],[Extracurricular 
Activities]])</f>
        <v>False</v>
      </c>
      <c r="J1993">
        <v>27</v>
      </c>
      <c r="K1993" t="s">
        <v>3112</v>
      </c>
      <c r="L1993">
        <v>88</v>
      </c>
      <c r="M1993" s="12" t="str" cm="1">
        <f t="array" ref="M1993">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993">
        <v>96</v>
      </c>
      <c r="O1993" s="13" t="str" cm="1">
        <f t="array" ref="O1993">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993">
        <v>79</v>
      </c>
      <c r="Q1993" s="13" t="str" cm="1">
        <f t="array" ref="Q1993">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993">
        <v>70</v>
      </c>
      <c r="S1993" t="str" cm="1">
        <f t="array" ref="S1993">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993">
        <v>95</v>
      </c>
      <c r="U1993" t="str" cm="1">
        <f t="array" ref="U1993">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993">
        <v>90</v>
      </c>
      <c r="W1993" t="str" cm="1">
        <f t="array" ref="W1993">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993">
        <v>99</v>
      </c>
      <c r="Y1993" t="str" cm="1">
        <f t="array" ref="Y1993">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993">
        <f>SUM(Table1[[#This Row],[Math 
Score]],Table1[[#This Row],[History 
Score]],Table1[[#This Row],[Physics 
Score]],Table1[[#This Row],[Chemistry 
Score]],Table1[[#This Row],[Biology 
Score]],Table1[[#This Row],[English 
Score]],Table1[[#This Row],[Geography 
Score]])</f>
        <v>617</v>
      </c>
      <c r="AA1993" s="3">
        <f>AVERAGE(Table1[[#This Row],[Math 
Score]],Table1[[#This Row],[History 
Score]],Table1[[#This Row],[Physics 
Score]],Table1[[#This Row],[Chemistry 
Score]],Table1[[#This Row],[Biology 
Score]],Table1[[#This Row],[English 
Score]],Table1[[#This Row],[Geography 
Score]])</f>
        <v>88.142857142857139</v>
      </c>
      <c r="AB1993"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993">
        <f t="shared" si="31"/>
        <v>235</v>
      </c>
      <c r="AD1993" t="str">
        <f>_xlfn.IFS(Table1[[#This Row],[Absence 
Days]]&lt;3,"Excellent",Table1[[#This Row],[Absence 
Days]]&lt;=6,"Good",Table1[[#This Row],[Absence 
Days]]&gt;6,"Poor")</f>
        <v>Good</v>
      </c>
    </row>
    <row r="1994" spans="1:30" x14ac:dyDescent="0.35">
      <c r="A1994">
        <v>1993</v>
      </c>
      <c r="B1994" s="2" t="s">
        <v>124</v>
      </c>
      <c r="C1994" t="s">
        <v>578</v>
      </c>
      <c r="D1994" t="str">
        <f>_xlfn.TEXTJOIN(" ",TRUE,Table1[[#This Row],[First 
Name]:[Last 
Name]])</f>
        <v>John Peterson</v>
      </c>
      <c r="E1994" t="s">
        <v>3104</v>
      </c>
      <c r="F1994" t="s">
        <v>3244</v>
      </c>
      <c r="G1994" t="str">
        <f ca="1">PROPER(Table1[[#This Row],[Part Time 
Job]])</f>
        <v>False</v>
      </c>
      <c r="H1994" s="3">
        <v>2</v>
      </c>
      <c r="I1994" t="str">
        <f ca="1">PROPER(Table1[[#This Row],[Extracurricular 
Activities]])</f>
        <v>True</v>
      </c>
      <c r="J1994">
        <v>12</v>
      </c>
      <c r="K1994" t="s">
        <v>3121</v>
      </c>
      <c r="L1994">
        <v>79</v>
      </c>
      <c r="M1994" s="12" t="str" cm="1">
        <f t="array" ref="M1994">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994">
        <v>83</v>
      </c>
      <c r="O1994" s="13" t="str" cm="1">
        <f t="array" ref="O1994">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994">
        <v>76</v>
      </c>
      <c r="Q1994" s="13" t="str" cm="1">
        <f t="array" ref="Q1994">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994">
        <v>99</v>
      </c>
      <c r="S1994" t="str" cm="1">
        <f t="array" ref="S1994">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994">
        <v>100</v>
      </c>
      <c r="U1994" t="str" cm="1">
        <f t="array" ref="U1994">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994">
        <v>84</v>
      </c>
      <c r="W1994" t="str" cm="1">
        <f t="array" ref="W1994">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994">
        <v>71</v>
      </c>
      <c r="Y1994" t="str" cm="1">
        <f t="array" ref="Y1994">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994">
        <f>SUM(Table1[[#This Row],[Math 
Score]],Table1[[#This Row],[History 
Score]],Table1[[#This Row],[Physics 
Score]],Table1[[#This Row],[Chemistry 
Score]],Table1[[#This Row],[Biology 
Score]],Table1[[#This Row],[English 
Score]],Table1[[#This Row],[Geography 
Score]])</f>
        <v>592</v>
      </c>
      <c r="AA1994" s="3">
        <f>AVERAGE(Table1[[#This Row],[Math 
Score]],Table1[[#This Row],[History 
Score]],Table1[[#This Row],[Physics 
Score]],Table1[[#This Row],[Chemistry 
Score]],Table1[[#This Row],[Biology 
Score]],Table1[[#This Row],[English 
Score]],Table1[[#This Row],[Geography 
Score]])</f>
        <v>84.571428571428569</v>
      </c>
      <c r="AB1994"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994">
        <f t="shared" si="31"/>
        <v>505</v>
      </c>
      <c r="AD1994" t="str">
        <f>_xlfn.IFS(Table1[[#This Row],[Absence 
Days]]&lt;3,"Excellent",Table1[[#This Row],[Absence 
Days]]&lt;=6,"Good",Table1[[#This Row],[Absence 
Days]]&gt;6,"Poor")</f>
        <v>Excellent</v>
      </c>
    </row>
    <row r="1995" spans="1:30" x14ac:dyDescent="0.35">
      <c r="A1995">
        <v>1994</v>
      </c>
      <c r="B1995" s="2" t="s">
        <v>69</v>
      </c>
      <c r="C1995" t="s">
        <v>1075</v>
      </c>
      <c r="D1995" t="str">
        <f>_xlfn.TEXTJOIN(" ",TRUE,Table1[[#This Row],[First 
Name]:[Last 
Name]])</f>
        <v>Shawn Ochoa</v>
      </c>
      <c r="E1995" t="s">
        <v>3105</v>
      </c>
      <c r="F1995" t="s">
        <v>3244</v>
      </c>
      <c r="G1995" t="str">
        <f ca="1">PROPER(Table1[[#This Row],[Part Time 
Job]])</f>
        <v>False</v>
      </c>
      <c r="H1995" s="3">
        <v>3</v>
      </c>
      <c r="I1995" t="str">
        <f ca="1">PROPER(Table1[[#This Row],[Extracurricular 
Activities]])</f>
        <v>False</v>
      </c>
      <c r="J1995">
        <v>46</v>
      </c>
      <c r="K1995" t="s">
        <v>3113</v>
      </c>
      <c r="L1995">
        <v>92</v>
      </c>
      <c r="M1995" s="12" t="str" cm="1">
        <f t="array" ref="M1995">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995">
        <v>92</v>
      </c>
      <c r="O1995" s="13" t="str" cm="1">
        <f t="array" ref="O1995">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995">
        <v>91</v>
      </c>
      <c r="Q1995" s="13" t="str" cm="1">
        <f t="array" ref="Q1995">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995">
        <v>95</v>
      </c>
      <c r="S1995" t="str" cm="1">
        <f t="array" ref="S1995">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995">
        <v>88</v>
      </c>
      <c r="U1995" t="str" cm="1">
        <f t="array" ref="U1995">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995">
        <v>94</v>
      </c>
      <c r="W1995" t="str" cm="1">
        <f t="array" ref="W1995">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995">
        <v>93</v>
      </c>
      <c r="Y1995" t="str" cm="1">
        <f t="array" ref="Y1995">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995">
        <f>SUM(Table1[[#This Row],[Math 
Score]],Table1[[#This Row],[History 
Score]],Table1[[#This Row],[Physics 
Score]],Table1[[#This Row],[Chemistry 
Score]],Table1[[#This Row],[Biology 
Score]],Table1[[#This Row],[English 
Score]],Table1[[#This Row],[Geography 
Score]])</f>
        <v>645</v>
      </c>
      <c r="AA1995" s="3">
        <f>AVERAGE(Table1[[#This Row],[Math 
Score]],Table1[[#This Row],[History 
Score]],Table1[[#This Row],[Physics 
Score]],Table1[[#This Row],[Chemistry 
Score]],Table1[[#This Row],[Biology 
Score]],Table1[[#This Row],[English 
Score]],Table1[[#This Row],[Geography 
Score]])</f>
        <v>92.142857142857139</v>
      </c>
      <c r="AB1995"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995">
        <f t="shared" si="31"/>
        <v>81</v>
      </c>
      <c r="AD1995" t="str">
        <f>_xlfn.IFS(Table1[[#This Row],[Absence 
Days]]&lt;3,"Excellent",Table1[[#This Row],[Absence 
Days]]&lt;=6,"Good",Table1[[#This Row],[Absence 
Days]]&gt;6,"Poor")</f>
        <v>Good</v>
      </c>
    </row>
    <row r="1996" spans="1:30" x14ac:dyDescent="0.35">
      <c r="A1996">
        <v>1995</v>
      </c>
      <c r="B1996" s="2" t="s">
        <v>60</v>
      </c>
      <c r="C1996" t="s">
        <v>504</v>
      </c>
      <c r="D1996" t="str">
        <f>_xlfn.TEXTJOIN(" ",TRUE,Table1[[#This Row],[First 
Name]:[Last 
Name]])</f>
        <v>Steven Lewis</v>
      </c>
      <c r="E1996" t="s">
        <v>3106</v>
      </c>
      <c r="F1996" t="s">
        <v>3244</v>
      </c>
      <c r="G1996" t="str">
        <f ca="1">PROPER(Table1[[#This Row],[Part Time 
Job]])</f>
        <v>False</v>
      </c>
      <c r="H1996" s="3">
        <v>1</v>
      </c>
      <c r="I1996" t="str">
        <f ca="1">PROPER(Table1[[#This Row],[Extracurricular 
Activities]])</f>
        <v>False</v>
      </c>
      <c r="J1996">
        <v>19</v>
      </c>
      <c r="K1996" t="s">
        <v>3123</v>
      </c>
      <c r="L1996">
        <v>76</v>
      </c>
      <c r="M1996" s="12" t="str" cm="1">
        <f t="array" ref="M1996">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996">
        <v>62</v>
      </c>
      <c r="O1996" s="13" t="str" cm="1">
        <f t="array" ref="O1996">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996">
        <v>90</v>
      </c>
      <c r="Q1996" s="13" t="str" cm="1">
        <f t="array" ref="Q1996">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996">
        <v>82</v>
      </c>
      <c r="S1996" t="str" cm="1">
        <f t="array" ref="S1996">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996">
        <v>93</v>
      </c>
      <c r="U1996" t="str" cm="1">
        <f t="array" ref="U1996">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996">
        <v>71</v>
      </c>
      <c r="W1996" t="str" cm="1">
        <f t="array" ref="W1996">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996">
        <v>61</v>
      </c>
      <c r="Y1996" t="str" cm="1">
        <f t="array" ref="Y1996">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996">
        <f>SUM(Table1[[#This Row],[Math 
Score]],Table1[[#This Row],[History 
Score]],Table1[[#This Row],[Physics 
Score]],Table1[[#This Row],[Chemistry 
Score]],Table1[[#This Row],[Biology 
Score]],Table1[[#This Row],[English 
Score]],Table1[[#This Row],[Geography 
Score]])</f>
        <v>535</v>
      </c>
      <c r="AA1996" s="3">
        <f>AVERAGE(Table1[[#This Row],[Math 
Score]],Table1[[#This Row],[History 
Score]],Table1[[#This Row],[Physics 
Score]],Table1[[#This Row],[Chemistry 
Score]],Table1[[#This Row],[Biology 
Score]],Table1[[#This Row],[English 
Score]],Table1[[#This Row],[Geography 
Score]])</f>
        <v>76.428571428571431</v>
      </c>
      <c r="AB1996"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996">
        <f t="shared" si="31"/>
        <v>1578</v>
      </c>
      <c r="AD1996" t="str">
        <f>_xlfn.IFS(Table1[[#This Row],[Absence 
Days]]&lt;3,"Excellent",Table1[[#This Row],[Absence 
Days]]&lt;=6,"Good",Table1[[#This Row],[Absence 
Days]]&gt;6,"Poor")</f>
        <v>Excellent</v>
      </c>
    </row>
    <row r="1997" spans="1:30" x14ac:dyDescent="0.35">
      <c r="A1997">
        <v>1996</v>
      </c>
      <c r="B1997" s="2" t="s">
        <v>376</v>
      </c>
      <c r="C1997" t="s">
        <v>867</v>
      </c>
      <c r="D1997" t="str">
        <f>_xlfn.TEXTJOIN(" ",TRUE,Table1[[#This Row],[First 
Name]:[Last 
Name]])</f>
        <v>Alan Reynolds</v>
      </c>
      <c r="E1997" t="s">
        <v>3107</v>
      </c>
      <c r="F1997" t="s">
        <v>3244</v>
      </c>
      <c r="G1997" t="str">
        <f ca="1">PROPER(Table1[[#This Row],[Part Time 
Job]])</f>
        <v>False</v>
      </c>
      <c r="H1997" s="3">
        <v>2</v>
      </c>
      <c r="I1997" t="str">
        <f ca="1">PROPER(Table1[[#This Row],[Extracurricular 
Activities]])</f>
        <v>False</v>
      </c>
      <c r="J1997">
        <v>30</v>
      </c>
      <c r="K1997" t="s">
        <v>3125</v>
      </c>
      <c r="L1997">
        <v>83</v>
      </c>
      <c r="M1997" s="12" t="str" cm="1">
        <f t="array" ref="M1997">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997">
        <v>77</v>
      </c>
      <c r="O1997" s="13" t="str" cm="1">
        <f t="array" ref="O1997">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997">
        <v>84</v>
      </c>
      <c r="Q1997" s="13" t="str" cm="1">
        <f t="array" ref="Q1997">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1997">
        <v>73</v>
      </c>
      <c r="S1997" t="str" cm="1">
        <f t="array" ref="S1997">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1997">
        <v>75</v>
      </c>
      <c r="U1997" t="str" cm="1">
        <f t="array" ref="U1997">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997">
        <v>84</v>
      </c>
      <c r="W1997" t="str" cm="1">
        <f t="array" ref="W1997">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997">
        <v>82</v>
      </c>
      <c r="Y1997" t="str" cm="1">
        <f t="array" ref="Y1997">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997">
        <f>SUM(Table1[[#This Row],[Math 
Score]],Table1[[#This Row],[History 
Score]],Table1[[#This Row],[Physics 
Score]],Table1[[#This Row],[Chemistry 
Score]],Table1[[#This Row],[Biology 
Score]],Table1[[#This Row],[English 
Score]],Table1[[#This Row],[Geography 
Score]])</f>
        <v>558</v>
      </c>
      <c r="AA1997" s="3">
        <f>AVERAGE(Table1[[#This Row],[Math 
Score]],Table1[[#This Row],[History 
Score]],Table1[[#This Row],[Physics 
Score]],Table1[[#This Row],[Chemistry 
Score]],Table1[[#This Row],[Biology 
Score]],Table1[[#This Row],[English 
Score]],Table1[[#This Row],[Geography 
Score]])</f>
        <v>79.714285714285708</v>
      </c>
      <c r="AB1997"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997">
        <f t="shared" si="31"/>
        <v>1178</v>
      </c>
      <c r="AD1997" t="str">
        <f>_xlfn.IFS(Table1[[#This Row],[Absence 
Days]]&lt;3,"Excellent",Table1[[#This Row],[Absence 
Days]]&lt;=6,"Good",Table1[[#This Row],[Absence 
Days]]&gt;6,"Poor")</f>
        <v>Excellent</v>
      </c>
    </row>
    <row r="1998" spans="1:30" x14ac:dyDescent="0.35">
      <c r="A1998">
        <v>1997</v>
      </c>
      <c r="B1998" s="2" t="s">
        <v>80</v>
      </c>
      <c r="C1998" t="s">
        <v>932</v>
      </c>
      <c r="D1998" t="str">
        <f>_xlfn.TEXTJOIN(" ",TRUE,Table1[[#This Row],[First 
Name]:[Last 
Name]])</f>
        <v>Thomas Gilbert</v>
      </c>
      <c r="E1998" t="s">
        <v>3108</v>
      </c>
      <c r="F1998" t="s">
        <v>3244</v>
      </c>
      <c r="G1998" t="str">
        <f ca="1">PROPER(Table1[[#This Row],[Part Time 
Job]])</f>
        <v>False</v>
      </c>
      <c r="H1998" s="3">
        <v>2</v>
      </c>
      <c r="I1998" t="str">
        <f ca="1">PROPER(Table1[[#This Row],[Extracurricular 
Activities]])</f>
        <v>False</v>
      </c>
      <c r="J1998">
        <v>20</v>
      </c>
      <c r="K1998" t="s">
        <v>3117</v>
      </c>
      <c r="L1998">
        <v>89</v>
      </c>
      <c r="M1998" s="12" t="str" cm="1">
        <f t="array" ref="M1998">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998">
        <v>65</v>
      </c>
      <c r="O1998" s="13" t="str" cm="1">
        <f t="array" ref="O1998">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B</v>
      </c>
      <c r="P1998">
        <v>73</v>
      </c>
      <c r="Q1998" s="13" t="str" cm="1">
        <f t="array" ref="Q1998">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998">
        <v>80</v>
      </c>
      <c r="S1998" t="str" cm="1">
        <f t="array" ref="S1998">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998">
        <v>87</v>
      </c>
      <c r="U1998" t="str" cm="1">
        <f t="array" ref="U1998">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1998">
        <v>67</v>
      </c>
      <c r="W1998" t="str" cm="1">
        <f t="array" ref="W1998">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B</v>
      </c>
      <c r="X1998">
        <v>73</v>
      </c>
      <c r="Y1998" t="str" cm="1">
        <f t="array" ref="Y1998">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B+</v>
      </c>
      <c r="Z1998">
        <f>SUM(Table1[[#This Row],[Math 
Score]],Table1[[#This Row],[History 
Score]],Table1[[#This Row],[Physics 
Score]],Table1[[#This Row],[Chemistry 
Score]],Table1[[#This Row],[Biology 
Score]],Table1[[#This Row],[English 
Score]],Table1[[#This Row],[Geography 
Score]])</f>
        <v>534</v>
      </c>
      <c r="AA1998" s="3">
        <f>AVERAGE(Table1[[#This Row],[Math 
Score]],Table1[[#This Row],[History 
Score]],Table1[[#This Row],[Physics 
Score]],Table1[[#This Row],[Chemistry 
Score]],Table1[[#This Row],[Biology 
Score]],Table1[[#This Row],[English 
Score]],Table1[[#This Row],[Geography 
Score]])</f>
        <v>76.285714285714292</v>
      </c>
      <c r="AB1998"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998">
        <f t="shared" si="31"/>
        <v>1595</v>
      </c>
      <c r="AD1998" t="str">
        <f>_xlfn.IFS(Table1[[#This Row],[Absence 
Days]]&lt;3,"Excellent",Table1[[#This Row],[Absence 
Days]]&lt;=6,"Good",Table1[[#This Row],[Absence 
Days]]&gt;6,"Poor")</f>
        <v>Excellent</v>
      </c>
    </row>
    <row r="1999" spans="1:30" x14ac:dyDescent="0.35">
      <c r="A1999">
        <v>1998</v>
      </c>
      <c r="B1999" s="2" t="s">
        <v>241</v>
      </c>
      <c r="C1999" t="s">
        <v>1111</v>
      </c>
      <c r="D1999" t="str">
        <f>_xlfn.TEXTJOIN(" ",TRUE,Table1[[#This Row],[First 
Name]:[Last 
Name]])</f>
        <v>Madison Cross</v>
      </c>
      <c r="E1999" t="s">
        <v>3109</v>
      </c>
      <c r="F1999" t="s">
        <v>3245</v>
      </c>
      <c r="G1999" t="str">
        <f ca="1">PROPER(Table1[[#This Row],[Part Time 
Job]])</f>
        <v>False</v>
      </c>
      <c r="H1999" s="3">
        <v>5</v>
      </c>
      <c r="I1999" t="str">
        <f ca="1">PROPER(Table1[[#This Row],[Extracurricular 
Activities]])</f>
        <v>False</v>
      </c>
      <c r="J1999">
        <v>14</v>
      </c>
      <c r="K1999" t="s">
        <v>3117</v>
      </c>
      <c r="L1999">
        <v>97</v>
      </c>
      <c r="M1999" s="12" t="str" cm="1">
        <f t="array" ref="M1999">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1999">
        <v>85</v>
      </c>
      <c r="O1999" s="13" t="str" cm="1">
        <f t="array" ref="O1999">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1999">
        <v>63</v>
      </c>
      <c r="Q1999" s="13" t="str" cm="1">
        <f t="array" ref="Q1999">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1999">
        <v>93</v>
      </c>
      <c r="S1999" t="str" cm="1">
        <f t="array" ref="S1999">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1999">
        <v>68</v>
      </c>
      <c r="U1999" t="str" cm="1">
        <f t="array" ref="U1999">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B</v>
      </c>
      <c r="V1999">
        <v>94</v>
      </c>
      <c r="W1999" t="str" cm="1">
        <f t="array" ref="W1999">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1999">
        <v>78</v>
      </c>
      <c r="Y1999" t="str" cm="1">
        <f t="array" ref="Y1999">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1999">
        <f>SUM(Table1[[#This Row],[Math 
Score]],Table1[[#This Row],[History 
Score]],Table1[[#This Row],[Physics 
Score]],Table1[[#This Row],[Chemistry 
Score]],Table1[[#This Row],[Biology 
Score]],Table1[[#This Row],[English 
Score]],Table1[[#This Row],[Geography 
Score]])</f>
        <v>578</v>
      </c>
      <c r="AA1999" s="3">
        <f>AVERAGE(Table1[[#This Row],[Math 
Score]],Table1[[#This Row],[History 
Score]],Table1[[#This Row],[Physics 
Score]],Table1[[#This Row],[Chemistry 
Score]],Table1[[#This Row],[Biology 
Score]],Table1[[#This Row],[English 
Score]],Table1[[#This Row],[Geography 
Score]])</f>
        <v>82.571428571428569</v>
      </c>
      <c r="AB1999"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1999">
        <f t="shared" si="31"/>
        <v>752</v>
      </c>
      <c r="AD1999" t="str">
        <f>_xlfn.IFS(Table1[[#This Row],[Absence 
Days]]&lt;3,"Excellent",Table1[[#This Row],[Absence 
Days]]&lt;=6,"Good",Table1[[#This Row],[Absence 
Days]]&gt;6,"Poor")</f>
        <v>Good</v>
      </c>
    </row>
    <row r="2000" spans="1:30" x14ac:dyDescent="0.35">
      <c r="A2000">
        <v>1999</v>
      </c>
      <c r="B2000" s="2" t="s">
        <v>55</v>
      </c>
      <c r="C2000" t="s">
        <v>1055</v>
      </c>
      <c r="D2000" t="str">
        <f>_xlfn.TEXTJOIN(" ",TRUE,Table1[[#This Row],[First 
Name]:[Last 
Name]])</f>
        <v>Brittany Compton</v>
      </c>
      <c r="E2000" t="s">
        <v>3110</v>
      </c>
      <c r="F2000" t="s">
        <v>3245</v>
      </c>
      <c r="G2000" t="str">
        <f ca="1">PROPER(Table1[[#This Row],[Part Time 
Job]])</f>
        <v>True</v>
      </c>
      <c r="H2000" s="3">
        <v>10</v>
      </c>
      <c r="I2000" t="str">
        <f ca="1">PROPER(Table1[[#This Row],[Extracurricular 
Activities]])</f>
        <v>True</v>
      </c>
      <c r="J2000">
        <v>5</v>
      </c>
      <c r="K2000" t="s">
        <v>3119</v>
      </c>
      <c r="L2000">
        <v>51</v>
      </c>
      <c r="M2000" s="12" t="str" cm="1">
        <f t="array" ref="M2000">_xlfn.IFS(Table1[[#This Row],[Math 
Score]]&gt;=90,"A+",Table1[[#This Row],[Math 
Score]]&gt;=80,"A", Table1[[#This Row],[Math 
Score]]&gt;=75,"A-",Table1[[#This Row],[Math 
Score]]&gt;=70,"B+",Table1[[#This Row],[Math 
Score]]&gt;=65,"B",Table1[[#This Row],[Math 
Score]]&gt;=60,"B-",Table1[[#This Row],[Math 
Score]]&gt;=50,"C",Table1[[#This Row],[Math 
Score]]&gt;=40,"D",Table1[[#This Row],[Math 
Score]]&lt;40,"F")</f>
        <v>C</v>
      </c>
      <c r="N2000">
        <v>96</v>
      </c>
      <c r="O2000" s="13" t="str" cm="1">
        <f t="array" ref="O2000">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2000">
        <v>72</v>
      </c>
      <c r="Q2000" s="13" t="str" cm="1">
        <f t="array" ref="Q2000">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B+</v>
      </c>
      <c r="R2000">
        <v>89</v>
      </c>
      <c r="S2000" t="str" cm="1">
        <f t="array" ref="S2000">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A</v>
      </c>
      <c r="T2000">
        <v>95</v>
      </c>
      <c r="U2000" t="str" cm="1">
        <f t="array" ref="U2000">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2000">
        <v>88</v>
      </c>
      <c r="W2000" t="str" cm="1">
        <f t="array" ref="W2000">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2000">
        <v>75</v>
      </c>
      <c r="Y2000" t="str" cm="1">
        <f t="array" ref="Y2000">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2000">
        <f>SUM(Table1[[#This Row],[Math 
Score]],Table1[[#This Row],[History 
Score]],Table1[[#This Row],[Physics 
Score]],Table1[[#This Row],[Chemistry 
Score]],Table1[[#This Row],[Biology 
Score]],Table1[[#This Row],[English 
Score]],Table1[[#This Row],[Geography 
Score]])</f>
        <v>566</v>
      </c>
      <c r="AA2000" s="3">
        <f>AVERAGE(Table1[[#This Row],[Math 
Score]],Table1[[#This Row],[History 
Score]],Table1[[#This Row],[Physics 
Score]],Table1[[#This Row],[Chemistry 
Score]],Table1[[#This Row],[Biology 
Score]],Table1[[#This Row],[English 
Score]],Table1[[#This Row],[Geography 
Score]])</f>
        <v>80.857142857142861</v>
      </c>
      <c r="AB2000"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2000">
        <f t="shared" si="31"/>
        <v>1019</v>
      </c>
      <c r="AD2000" t="str">
        <f>_xlfn.IFS(Table1[[#This Row],[Absence 
Days]]&lt;3,"Excellent",Table1[[#This Row],[Absence 
Days]]&lt;=6,"Good",Table1[[#This Row],[Absence 
Days]]&gt;6,"Poor")</f>
        <v>Poor</v>
      </c>
    </row>
    <row r="2001" spans="1:30" x14ac:dyDescent="0.35">
      <c r="A2001">
        <v>2000</v>
      </c>
      <c r="B2001" s="2" t="s">
        <v>77</v>
      </c>
      <c r="C2001" t="s">
        <v>458</v>
      </c>
      <c r="D2001" t="str">
        <f>_xlfn.TEXTJOIN(" ",TRUE,Table1[[#This Row],[First 
Name]:[Last 
Name]])</f>
        <v>Natalie Smith</v>
      </c>
      <c r="E2001" t="s">
        <v>3111</v>
      </c>
      <c r="F2001" t="s">
        <v>3245</v>
      </c>
      <c r="G2001" t="str">
        <f ca="1">PROPER(Table1[[#This Row],[Part Time 
Job]])</f>
        <v>False</v>
      </c>
      <c r="H2001" s="3">
        <v>5</v>
      </c>
      <c r="I2001" t="str">
        <f ca="1">PROPER(Table1[[#This Row],[Extracurricular 
Activities]])</f>
        <v>False</v>
      </c>
      <c r="J2001">
        <v>27</v>
      </c>
      <c r="K2001" t="s">
        <v>3123</v>
      </c>
      <c r="L2001">
        <v>82</v>
      </c>
      <c r="M2001" s="12" t="str" cm="1">
        <f t="array" ref="M2001">_xlfn.IFS(Table1[[#This Row],[Math 
Score]]&gt;=90,"A+",Table1[[#This Row],[Math 
Score]]&gt;=80,"A", Table1[[#This Row],[Math 
Score]]&gt;=75,"A-",Table1[[#This Row],[Math 
Score]]&gt;=70,"B+",Table1[[#This Row],[Math 
Score]]&gt;=65,"B",Table1[[#This Row],[Math 
Score]]&gt;=60,"B-",Table1[[#This Row],[Math 
Score]]&gt;=50,"C",Table1[[#This Row],[Math 
Score]]&gt;=40,"D",Table1[[#This Row],[Math 
Score]]&lt;40,"F")</f>
        <v>A</v>
      </c>
      <c r="N2001">
        <v>99</v>
      </c>
      <c r="O2001" s="13" t="str" cm="1">
        <f t="array" ref="O2001">_xlfn.IFS(Table1[[#This Row],[History 
Score]]&gt;=90,"A+",Table1[[#This Row],[History 
Score]]&gt;=80,"A", Table1[[#This Row],[History 
Score]]&gt;=75,"A-",Table1[[#This Row],[History 
Score]]&gt;=70,"B+",Table1[[#This Row],[History 
Score]]&gt;=65,"B",Table1[[#This Row],[History 
Score]]&gt;=60,"B-",Table1[[#This Row],[History 
Score]]&gt;=50,"C",Table1[[#This Row],[History 
Score]]&gt;=40,"D",Table1[[#This Row],[History 
Score]]&lt;40,"F")</f>
        <v>A+</v>
      </c>
      <c r="P2001">
        <v>91</v>
      </c>
      <c r="Q2001" s="13" t="str" cm="1">
        <f t="array" ref="Q2001">_xlfn.IFS(Table1[[#This Row],[Physics 
Score]]&gt;=90,"A+",Table1[[#This Row],[Physics 
Score]]&gt;=80,"A", Table1[[#This Row],[Physics 
Score]]&gt;=75,"A-",Table1[[#This Row],[Physics 
Score]]&gt;=70,"B+",Table1[[#This Row],[Physics 
Score]]&gt;=65,"B",Table1[[#This Row],[Physics 
Score]]&gt;=60,"B-",Table1[[#This Row],[Physics 
Score]]&gt;=50,"C",Table1[[#This Row],[Physics 
Score]]&gt;=40,"D",Table1[[#This Row],[Physics 
Score]]&lt;40,"F")</f>
        <v>A+</v>
      </c>
      <c r="R2001">
        <v>69</v>
      </c>
      <c r="S2001" t="str" cm="1">
        <f t="array" ref="S2001">_xlfn.IFS(Table1[[#This Row],[Chemistry 
Score]]&gt;=90,"A+",Table1[[#This Row],[Chemistry 
Score]]&gt;=80,"A", Table1[[#This Row],[Chemistry 
Score]]&gt;=75,"A-",Table1[[#This Row],[Chemistry 
Score]]&gt;=70,"B+",Table1[[#This Row],[Chemistry 
Score]]&gt;=65,"B",Table1[[#This Row],[Chemistry 
Score]]&gt;=60,"B-",Table1[[#This Row],[Chemistry 
Score]]&gt;=50,"C",Table1[[#This Row],[Chemistry 
Score]]&gt;=40,"D",Table1[[#This Row],[Chemistry 
Score]]&lt;40,"F")</f>
        <v>B</v>
      </c>
      <c r="T2001">
        <v>83</v>
      </c>
      <c r="U2001" t="str" cm="1">
        <f t="array" ref="U2001">_xlfn.IFS(Table1[[#This Row],[Biology 
Score]]&gt;=90,"A+",Table1[[#This Row],[Biology 
Score]]&gt;=80,"A", Table1[[#This Row],[Biology 
Score]]&gt;=75,"A-",Table1[[#This Row],[Biology 
Score]]&gt;=70,"B+",Table1[[#This Row],[Biology 
Score]]&gt;=65,"B",Table1[[#This Row],[Biology 
Score]]&gt;=60,"B-",Table1[[#This Row],[Biology 
Score]]&gt;=50,"C",Table1[[#This Row],[Biology 
Score]]&gt;=40,"D",Table1[[#This Row],[Biology 
Score]]&lt;40,"F")</f>
        <v>A</v>
      </c>
      <c r="V2001">
        <v>93</v>
      </c>
      <c r="W2001" t="str" cm="1">
        <f t="array" ref="W2001">_xlfn.IFS(Table1[[#This Row],[English 
Score]]&gt;=90,"A+",Table1[[#This Row],[English 
Score]]&gt;=80,"A", Table1[[#This Row],[English 
Score]]&gt;=75,"A-",Table1[[#This Row],[English 
Score]]&gt;=70,"B+",Table1[[#This Row],[English 
Score]]&gt;=65,"B",Table1[[#This Row],[English 
Score]]&gt;=60,"B-",Table1[[#This Row],[English 
Score]]&gt;=50,"C",Table1[[#This Row],[English 
Score]]&gt;=40,"D",Table1[[#This Row],[English 
Score]]&lt;40,"F")</f>
        <v>A+</v>
      </c>
      <c r="X2001">
        <v>100</v>
      </c>
      <c r="Y2001" t="str" cm="1">
        <f t="array" ref="Y2001">_xlfn.IFS(Table1[[#This Row],[Geography 
Score]]&gt;=90,"A+",Table1[[#This Row],[Geography 
Score]]&gt;=80,"A", Table1[[#This Row],[Geography 
Score]]&gt;=75,"A-",Table1[[#This Row],[Geography 
Score]]&gt;=70,"B+",Table1[[#This Row],[Geography 
Score]]&gt;=65,"B",Table1[[#This Row],[Geography 
Score]]&gt;=60,"B-",Table1[[#This Row],[Geography 
Score]]&gt;=50,"C",Table1[[#This Row],[Geography 
Score]]&gt;=40,"D",Table1[[#This Row],[Geography 
Score]]&lt;40,"F")</f>
        <v>A+</v>
      </c>
      <c r="Z2001">
        <f>SUM(Table1[[#This Row],[Math 
Score]],Table1[[#This Row],[History 
Score]],Table1[[#This Row],[Physics 
Score]],Table1[[#This Row],[Chemistry 
Score]],Table1[[#This Row],[Biology 
Score]],Table1[[#This Row],[English 
Score]],Table1[[#This Row],[Geography 
Score]])</f>
        <v>617</v>
      </c>
      <c r="AA2001" s="3">
        <f>AVERAGE(Table1[[#This Row],[Math 
Score]],Table1[[#This Row],[History 
Score]],Table1[[#This Row],[Physics 
Score]],Table1[[#This Row],[Chemistry 
Score]],Table1[[#This Row],[Biology 
Score]],Table1[[#This Row],[English 
Score]],Table1[[#This Row],[Geography 
Score]])</f>
        <v>88.142857142857139</v>
      </c>
      <c r="AB2001" t="str">
        <f>_xlfn.IFS(Table1[[#This Row],[Average 
Score]]&gt;=90,"A+",Table1[[#This Row],[Average 
Score]]&gt;=80,"A", Table1[[#This Row],[Average 
Score]]&gt;=75,"A-",Table1[[#This Row],[Average 
Score]]&gt;=70,"B+",Table1[[#This Row],[Average 
Score]]&gt;=65,"B",Table1[[#This Row],[Average 
Score]]&gt;=60,"B-",Table1[[#This Row],[Average 
Score]]&gt;=50,"C",Table1[[#This Row],[Average 
Score]]&gt;=40,"D",Table1[[#This Row],[Average 
Score]]&lt;40,"F")</f>
        <v>A</v>
      </c>
      <c r="AC2001">
        <f t="shared" si="31"/>
        <v>235</v>
      </c>
      <c r="AD2001" t="str">
        <f>_xlfn.IFS(Table1[[#This Row],[Absence 
Days]]&lt;3,"Excellent",Table1[[#This Row],[Absence 
Days]]&lt;=6,"Good",Table1[[#This Row],[Absence 
Days]]&gt;6,"Poor")</f>
        <v>Good</v>
      </c>
    </row>
  </sheetData>
  <phoneticPr fontId="2" type="noConversion"/>
  <conditionalFormatting sqref="E1:E2001">
    <cfRule type="duplicateValues" dxfId="3" priority="1"/>
  </conditionalFormatting>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07609-597D-4B76-BABF-DAE7BD3DB983}">
  <dimension ref="B3:I62"/>
  <sheetViews>
    <sheetView topLeftCell="A13" workbookViewId="0">
      <selection activeCell="E4" sqref="E3:F6"/>
    </sheetView>
  </sheetViews>
  <sheetFormatPr defaultRowHeight="14.5" x14ac:dyDescent="0.35"/>
  <cols>
    <col min="1" max="1" width="12.54296875" bestFit="1" customWidth="1"/>
    <col min="2" max="2" width="12.6328125" bestFit="1" customWidth="1"/>
    <col min="3" max="3" width="15.36328125" bestFit="1" customWidth="1"/>
    <col min="4" max="4" width="17.26953125" bestFit="1" customWidth="1"/>
    <col min="5" max="5" width="19.7265625" bestFit="1" customWidth="1"/>
    <col min="6" max="6" width="30.81640625" bestFit="1" customWidth="1"/>
    <col min="7" max="7" width="17.1796875" bestFit="1" customWidth="1"/>
    <col min="8" max="8" width="20.54296875" bestFit="1" customWidth="1"/>
    <col min="9" max="9" width="18.08984375" bestFit="1" customWidth="1"/>
    <col min="10" max="10" width="15.1796875" bestFit="1" customWidth="1"/>
  </cols>
  <sheetData>
    <row r="3" spans="2:9" x14ac:dyDescent="0.35">
      <c r="B3" s="25" t="s">
        <v>3196</v>
      </c>
      <c r="C3" t="s">
        <v>3197</v>
      </c>
      <c r="E3" s="25" t="s">
        <v>3196</v>
      </c>
      <c r="F3" t="s">
        <v>3242</v>
      </c>
      <c r="H3" t="s">
        <v>3236</v>
      </c>
      <c r="I3" t="s">
        <v>3219</v>
      </c>
    </row>
    <row r="4" spans="2:9" x14ac:dyDescent="0.35">
      <c r="B4" s="13" t="s">
        <v>3245</v>
      </c>
      <c r="C4">
        <v>1002</v>
      </c>
      <c r="E4" s="13" t="s">
        <v>3246</v>
      </c>
      <c r="F4" s="28">
        <v>1684</v>
      </c>
      <c r="H4" s="28">
        <v>2000</v>
      </c>
      <c r="I4" s="3">
        <v>80.980357142857329</v>
      </c>
    </row>
    <row r="5" spans="2:9" x14ac:dyDescent="0.35">
      <c r="B5" s="13" t="s">
        <v>3244</v>
      </c>
      <c r="C5">
        <v>998</v>
      </c>
      <c r="E5" s="13" t="s">
        <v>3247</v>
      </c>
      <c r="F5" s="28">
        <v>316</v>
      </c>
    </row>
    <row r="6" spans="2:9" x14ac:dyDescent="0.35">
      <c r="B6" s="13" t="s">
        <v>3195</v>
      </c>
      <c r="C6">
        <v>2000</v>
      </c>
      <c r="E6" s="13" t="s">
        <v>3195</v>
      </c>
      <c r="F6" s="28">
        <v>2000</v>
      </c>
      <c r="H6" s="25" t="s">
        <v>3196</v>
      </c>
      <c r="I6" t="s">
        <v>3236</v>
      </c>
    </row>
    <row r="7" spans="2:9" x14ac:dyDescent="0.35">
      <c r="H7" s="13" t="s">
        <v>3199</v>
      </c>
      <c r="I7" s="29">
        <v>0.4965</v>
      </c>
    </row>
    <row r="8" spans="2:9" x14ac:dyDescent="0.35">
      <c r="B8" s="25" t="s">
        <v>3196</v>
      </c>
      <c r="C8" t="s">
        <v>3211</v>
      </c>
      <c r="E8" s="25" t="s">
        <v>3196</v>
      </c>
      <c r="F8" t="s">
        <v>3219</v>
      </c>
      <c r="H8" s="13" t="s">
        <v>3203</v>
      </c>
      <c r="I8" s="29">
        <v>0.28000000000000003</v>
      </c>
    </row>
    <row r="9" spans="2:9" x14ac:dyDescent="0.35">
      <c r="B9" s="13" t="s">
        <v>3204</v>
      </c>
      <c r="C9" s="53">
        <v>2</v>
      </c>
      <c r="E9" s="13" t="s">
        <v>3237</v>
      </c>
      <c r="F9" s="3">
        <v>81.851485148514797</v>
      </c>
      <c r="H9" s="13" t="s">
        <v>3200</v>
      </c>
      <c r="I9" s="29">
        <v>8.0500000000000002E-2</v>
      </c>
    </row>
    <row r="10" spans="2:9" x14ac:dyDescent="0.35">
      <c r="B10" s="13" t="s">
        <v>3198</v>
      </c>
      <c r="C10" s="53">
        <v>199</v>
      </c>
      <c r="E10" s="13" t="s">
        <v>3238</v>
      </c>
      <c r="F10" s="3">
        <v>81.283407480639241</v>
      </c>
      <c r="H10" s="13" t="s">
        <v>3202</v>
      </c>
      <c r="I10" s="29">
        <v>3.7999999999999999E-2</v>
      </c>
    </row>
    <row r="11" spans="2:9" x14ac:dyDescent="0.35">
      <c r="B11" s="13" t="s">
        <v>3201</v>
      </c>
      <c r="C11" s="53">
        <v>9</v>
      </c>
      <c r="E11" s="13" t="s">
        <v>3239</v>
      </c>
      <c r="F11" s="3">
        <v>78.00615384615385</v>
      </c>
      <c r="H11" s="13" t="s">
        <v>3201</v>
      </c>
      <c r="I11" s="29">
        <v>4.4999999999999997E-3</v>
      </c>
    </row>
    <row r="12" spans="2:9" x14ac:dyDescent="0.35">
      <c r="B12" s="13" t="s">
        <v>3202</v>
      </c>
      <c r="C12" s="53">
        <v>76</v>
      </c>
      <c r="E12" s="13" t="s">
        <v>3195</v>
      </c>
      <c r="F12" s="3">
        <v>80.980357142857187</v>
      </c>
      <c r="H12" s="13" t="s">
        <v>3198</v>
      </c>
      <c r="I12" s="29">
        <v>9.9500000000000005E-2</v>
      </c>
    </row>
    <row r="13" spans="2:9" x14ac:dyDescent="0.35">
      <c r="B13" s="13" t="s">
        <v>3200</v>
      </c>
      <c r="C13" s="53">
        <v>161</v>
      </c>
      <c r="H13" s="13" t="s">
        <v>3204</v>
      </c>
      <c r="I13" s="29">
        <v>1E-3</v>
      </c>
    </row>
    <row r="14" spans="2:9" x14ac:dyDescent="0.35">
      <c r="B14" s="13" t="s">
        <v>3203</v>
      </c>
      <c r="C14" s="53">
        <v>560</v>
      </c>
      <c r="E14" s="25" t="s">
        <v>3196</v>
      </c>
      <c r="F14" t="s">
        <v>3243</v>
      </c>
      <c r="H14" s="13" t="s">
        <v>3195</v>
      </c>
      <c r="I14" s="29">
        <v>1</v>
      </c>
    </row>
    <row r="15" spans="2:9" x14ac:dyDescent="0.35">
      <c r="B15" s="13" t="s">
        <v>3199</v>
      </c>
      <c r="C15" s="53">
        <v>993</v>
      </c>
      <c r="E15" s="13" t="s">
        <v>3246</v>
      </c>
      <c r="F15" s="28">
        <v>1592</v>
      </c>
    </row>
    <row r="16" spans="2:9" x14ac:dyDescent="0.35">
      <c r="B16" s="13" t="s">
        <v>3195</v>
      </c>
      <c r="C16" s="53">
        <v>2000</v>
      </c>
      <c r="E16" s="13" t="s">
        <v>3247</v>
      </c>
      <c r="F16" s="28">
        <v>408</v>
      </c>
    </row>
    <row r="17" spans="2:8" x14ac:dyDescent="0.35">
      <c r="B17" s="13"/>
      <c r="E17" s="13" t="s">
        <v>3195</v>
      </c>
      <c r="F17" s="28">
        <v>2000</v>
      </c>
    </row>
    <row r="18" spans="2:8" x14ac:dyDescent="0.35">
      <c r="B18" s="13"/>
    </row>
    <row r="19" spans="2:8" x14ac:dyDescent="0.35">
      <c r="B19" s="13"/>
    </row>
    <row r="21" spans="2:8" x14ac:dyDescent="0.35">
      <c r="B21" t="s">
        <v>3215</v>
      </c>
      <c r="C21" t="s">
        <v>3212</v>
      </c>
      <c r="D21" t="s">
        <v>3213</v>
      </c>
      <c r="E21" t="s">
        <v>3214</v>
      </c>
      <c r="F21" t="s">
        <v>3216</v>
      </c>
      <c r="G21" t="s">
        <v>3217</v>
      </c>
      <c r="H21" t="s">
        <v>3218</v>
      </c>
    </row>
    <row r="22" spans="2:8" x14ac:dyDescent="0.35">
      <c r="B22" s="3">
        <v>83.451999999999998</v>
      </c>
      <c r="C22" s="3">
        <v>80.331999999999994</v>
      </c>
      <c r="D22" s="3">
        <v>81.336500000000001</v>
      </c>
      <c r="E22" s="3">
        <v>79.995000000000005</v>
      </c>
      <c r="F22" s="3">
        <v>79.581500000000005</v>
      </c>
      <c r="G22" s="3">
        <v>81.277500000000003</v>
      </c>
      <c r="H22" s="3">
        <v>80.888000000000005</v>
      </c>
    </row>
    <row r="24" spans="2:8" x14ac:dyDescent="0.35">
      <c r="B24" s="25" t="s">
        <v>3196</v>
      </c>
      <c r="C24" t="s">
        <v>3227</v>
      </c>
      <c r="E24" s="25" t="s">
        <v>3196</v>
      </c>
      <c r="F24" t="s">
        <v>3219</v>
      </c>
      <c r="G24" t="s">
        <v>3231</v>
      </c>
    </row>
    <row r="25" spans="2:8" x14ac:dyDescent="0.35">
      <c r="B25" s="13" t="s">
        <v>3117</v>
      </c>
      <c r="C25" s="28">
        <v>315</v>
      </c>
      <c r="E25" s="13" t="s">
        <v>3221</v>
      </c>
      <c r="F25" s="3">
        <v>96.142857142857139</v>
      </c>
      <c r="G25" s="28">
        <v>1</v>
      </c>
    </row>
    <row r="26" spans="2:8" x14ac:dyDescent="0.35">
      <c r="B26" s="13" t="s">
        <v>3119</v>
      </c>
      <c r="C26" s="28">
        <v>309</v>
      </c>
      <c r="E26" s="13" t="s">
        <v>3208</v>
      </c>
      <c r="F26" s="3">
        <v>95.857142857142861</v>
      </c>
      <c r="G26" s="28">
        <v>2</v>
      </c>
    </row>
    <row r="27" spans="2:8" x14ac:dyDescent="0.35">
      <c r="B27" s="13" t="s">
        <v>3116</v>
      </c>
      <c r="C27" s="28">
        <v>223</v>
      </c>
      <c r="E27" s="13" t="s">
        <v>3223</v>
      </c>
      <c r="F27" s="3">
        <v>95.857142857142861</v>
      </c>
      <c r="G27" s="28">
        <v>2</v>
      </c>
    </row>
    <row r="28" spans="2:8" x14ac:dyDescent="0.35">
      <c r="B28" s="13" t="s">
        <v>3121</v>
      </c>
      <c r="C28" s="28">
        <v>169</v>
      </c>
      <c r="E28" s="13" t="s">
        <v>3222</v>
      </c>
      <c r="F28" s="3">
        <v>95.714285714285708</v>
      </c>
      <c r="G28" s="28">
        <v>4</v>
      </c>
    </row>
    <row r="29" spans="2:8" x14ac:dyDescent="0.35">
      <c r="B29" s="13" t="s">
        <v>3112</v>
      </c>
      <c r="C29" s="28">
        <v>138</v>
      </c>
      <c r="E29" s="13" t="s">
        <v>3207</v>
      </c>
      <c r="F29" s="3">
        <v>95.714285714285708</v>
      </c>
      <c r="G29" s="28">
        <v>4</v>
      </c>
    </row>
    <row r="30" spans="2:8" x14ac:dyDescent="0.35">
      <c r="B30" s="13" t="s">
        <v>3123</v>
      </c>
      <c r="C30" s="28">
        <v>126</v>
      </c>
      <c r="E30" s="13" t="s">
        <v>3209</v>
      </c>
      <c r="F30" s="3">
        <v>95.285714285714292</v>
      </c>
      <c r="G30" s="28">
        <v>6</v>
      </c>
    </row>
    <row r="31" spans="2:8" x14ac:dyDescent="0.35">
      <c r="B31" s="13" t="s">
        <v>3113</v>
      </c>
      <c r="C31" s="28">
        <v>119</v>
      </c>
      <c r="E31" s="13" t="s">
        <v>3205</v>
      </c>
      <c r="F31" s="3">
        <v>95.285714285714292</v>
      </c>
      <c r="G31" s="28">
        <v>6</v>
      </c>
    </row>
    <row r="32" spans="2:8" x14ac:dyDescent="0.35">
      <c r="B32" s="13" t="s">
        <v>3128</v>
      </c>
      <c r="C32" s="28">
        <v>83</v>
      </c>
      <c r="E32" s="13" t="s">
        <v>3210</v>
      </c>
      <c r="F32" s="3">
        <v>95.142857142857139</v>
      </c>
      <c r="G32" s="28">
        <v>8</v>
      </c>
    </row>
    <row r="33" spans="2:7" x14ac:dyDescent="0.35">
      <c r="B33" s="13" t="s">
        <v>3127</v>
      </c>
      <c r="C33" s="28">
        <v>73</v>
      </c>
      <c r="E33" s="13" t="s">
        <v>3206</v>
      </c>
      <c r="F33" s="3">
        <v>95</v>
      </c>
      <c r="G33" s="28">
        <v>9</v>
      </c>
    </row>
    <row r="34" spans="2:7" x14ac:dyDescent="0.35">
      <c r="B34" s="13" t="s">
        <v>3125</v>
      </c>
      <c r="C34" s="28">
        <v>68</v>
      </c>
      <c r="E34" s="13" t="s">
        <v>3220</v>
      </c>
      <c r="F34" s="3">
        <v>95</v>
      </c>
      <c r="G34" s="28">
        <v>9</v>
      </c>
    </row>
    <row r="35" spans="2:7" x14ac:dyDescent="0.35">
      <c r="B35" s="13" t="s">
        <v>3115</v>
      </c>
      <c r="C35" s="28">
        <v>67</v>
      </c>
      <c r="E35" s="13" t="s">
        <v>3195</v>
      </c>
      <c r="F35" s="3">
        <v>95.5</v>
      </c>
      <c r="G35" s="28">
        <v>51</v>
      </c>
    </row>
    <row r="36" spans="2:7" x14ac:dyDescent="0.35">
      <c r="B36" s="13" t="s">
        <v>3126</v>
      </c>
      <c r="C36" s="28">
        <v>63</v>
      </c>
    </row>
    <row r="37" spans="2:7" x14ac:dyDescent="0.35">
      <c r="B37" s="13" t="s">
        <v>3114</v>
      </c>
      <c r="C37" s="28">
        <v>61</v>
      </c>
    </row>
    <row r="38" spans="2:7" x14ac:dyDescent="0.35">
      <c r="B38" s="13" t="s">
        <v>3118</v>
      </c>
      <c r="C38" s="28">
        <v>59</v>
      </c>
    </row>
    <row r="39" spans="2:7" x14ac:dyDescent="0.35">
      <c r="B39" s="13" t="s">
        <v>3124</v>
      </c>
      <c r="C39" s="28">
        <v>56</v>
      </c>
    </row>
    <row r="40" spans="2:7" x14ac:dyDescent="0.35">
      <c r="B40" s="13" t="s">
        <v>3120</v>
      </c>
      <c r="C40" s="28">
        <v>39</v>
      </c>
    </row>
    <row r="41" spans="2:7" x14ac:dyDescent="0.35">
      <c r="B41" s="13" t="s">
        <v>3122</v>
      </c>
      <c r="C41" s="28">
        <v>32</v>
      </c>
    </row>
    <row r="42" spans="2:7" x14ac:dyDescent="0.35">
      <c r="B42" s="13" t="s">
        <v>3195</v>
      </c>
      <c r="C42" s="28">
        <v>2000</v>
      </c>
    </row>
    <row r="44" spans="2:7" x14ac:dyDescent="0.35">
      <c r="B44" s="25" t="s">
        <v>3196</v>
      </c>
      <c r="C44" t="s">
        <v>3219</v>
      </c>
    </row>
    <row r="45" spans="2:7" x14ac:dyDescent="0.35">
      <c r="B45" s="13" t="s">
        <v>3123</v>
      </c>
      <c r="C45" s="3">
        <v>79.204081632653001</v>
      </c>
    </row>
    <row r="46" spans="2:7" x14ac:dyDescent="0.35">
      <c r="B46" s="13" t="s">
        <v>3115</v>
      </c>
      <c r="C46" s="3">
        <v>80.665245202558623</v>
      </c>
    </row>
    <row r="47" spans="2:7" x14ac:dyDescent="0.35">
      <c r="B47" s="13" t="s">
        <v>3121</v>
      </c>
      <c r="C47" s="3">
        <v>81.868977176669532</v>
      </c>
    </row>
    <row r="48" spans="2:7" x14ac:dyDescent="0.35">
      <c r="B48" s="13" t="s">
        <v>3119</v>
      </c>
      <c r="C48" s="3">
        <v>74.483587609801191</v>
      </c>
    </row>
    <row r="49" spans="2:3" x14ac:dyDescent="0.35">
      <c r="B49" s="13" t="s">
        <v>3125</v>
      </c>
      <c r="C49" s="3">
        <v>83.470588235294088</v>
      </c>
    </row>
    <row r="50" spans="2:3" x14ac:dyDescent="0.35">
      <c r="B50" s="13" t="s">
        <v>3124</v>
      </c>
      <c r="C50" s="3">
        <v>82.405612244897981</v>
      </c>
    </row>
    <row r="51" spans="2:3" x14ac:dyDescent="0.35">
      <c r="B51" s="13" t="s">
        <v>3113</v>
      </c>
      <c r="C51" s="3">
        <v>89.678271308523392</v>
      </c>
    </row>
    <row r="52" spans="2:3" x14ac:dyDescent="0.35">
      <c r="B52" s="13" t="s">
        <v>3126</v>
      </c>
      <c r="C52" s="3">
        <v>81.784580498866205</v>
      </c>
    </row>
    <row r="53" spans="2:3" x14ac:dyDescent="0.35">
      <c r="B53" s="13" t="s">
        <v>3114</v>
      </c>
      <c r="C53" s="3">
        <v>80.925058548009389</v>
      </c>
    </row>
    <row r="54" spans="2:3" x14ac:dyDescent="0.35">
      <c r="B54" s="13" t="s">
        <v>3112</v>
      </c>
      <c r="C54" s="3">
        <v>84.157349896480312</v>
      </c>
    </row>
    <row r="55" spans="2:3" x14ac:dyDescent="0.35">
      <c r="B55" s="13" t="s">
        <v>3128</v>
      </c>
      <c r="C55" s="3">
        <v>79.349397590361448</v>
      </c>
    </row>
    <row r="56" spans="2:3" x14ac:dyDescent="0.35">
      <c r="B56" s="13" t="s">
        <v>3120</v>
      </c>
      <c r="C56" s="3">
        <v>86.435897435897445</v>
      </c>
    </row>
    <row r="57" spans="2:3" x14ac:dyDescent="0.35">
      <c r="B57" s="13" t="s">
        <v>3117</v>
      </c>
      <c r="C57" s="3">
        <v>82.214965986394532</v>
      </c>
    </row>
    <row r="58" spans="2:3" x14ac:dyDescent="0.35">
      <c r="B58" s="13" t="s">
        <v>3127</v>
      </c>
      <c r="C58" s="3">
        <v>81.465753424657521</v>
      </c>
    </row>
    <row r="59" spans="2:3" x14ac:dyDescent="0.35">
      <c r="B59" s="13" t="s">
        <v>3118</v>
      </c>
      <c r="C59" s="3">
        <v>80.605326876513288</v>
      </c>
    </row>
    <row r="60" spans="2:3" x14ac:dyDescent="0.35">
      <c r="B60" s="13" t="s">
        <v>3116</v>
      </c>
      <c r="C60" s="3">
        <v>79.878923766816129</v>
      </c>
    </row>
    <row r="61" spans="2:3" x14ac:dyDescent="0.35">
      <c r="B61" s="13" t="s">
        <v>3122</v>
      </c>
      <c r="C61" s="3">
        <v>84.053571428571431</v>
      </c>
    </row>
    <row r="62" spans="2:3" x14ac:dyDescent="0.35">
      <c r="B62" s="13" t="s">
        <v>3195</v>
      </c>
      <c r="C62" s="3">
        <v>80.98035714285713</v>
      </c>
    </row>
  </sheetData>
  <pageMargins left="0.7" right="0.7" top="0.75" bottom="0.75" header="0.3" footer="0.3"/>
  <pageSetup orientation="portrait" r:id="rId1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61D7B-6228-4E9D-88D2-028C90FF6C11}">
  <sheetPr>
    <pageSetUpPr autoPageBreaks="0"/>
  </sheetPr>
  <dimension ref="A7:M64"/>
  <sheetViews>
    <sheetView showGridLines="0" tabSelected="1" topLeftCell="A51" zoomScale="91" zoomScaleNormal="100" workbookViewId="0">
      <selection activeCell="C64" sqref="C64:F64"/>
    </sheetView>
  </sheetViews>
  <sheetFormatPr defaultRowHeight="20" customHeight="1" x14ac:dyDescent="0.35"/>
  <cols>
    <col min="1" max="1" width="35.90625" style="31" customWidth="1"/>
    <col min="2" max="2" width="5.81640625" customWidth="1"/>
    <col min="3" max="6" width="18.81640625" customWidth="1"/>
    <col min="7" max="7" width="5.81640625" customWidth="1"/>
    <col min="8" max="9" width="18.81640625" customWidth="1"/>
    <col min="10" max="10" width="19.6328125" customWidth="1"/>
    <col min="11" max="11" width="18.81640625" customWidth="1"/>
    <col min="12" max="12" width="26.6328125" customWidth="1"/>
  </cols>
  <sheetData>
    <row r="7" spans="3:11" ht="27.65" customHeight="1" x14ac:dyDescent="0.35"/>
    <row r="8" spans="3:11" ht="30" customHeight="1" x14ac:dyDescent="0.35"/>
    <row r="9" spans="3:11" ht="30" customHeight="1" x14ac:dyDescent="0.35">
      <c r="C9" s="37" t="s">
        <v>3225</v>
      </c>
      <c r="D9" s="38"/>
      <c r="E9" s="38"/>
      <c r="F9" s="38"/>
      <c r="G9" s="38"/>
      <c r="H9" s="38"/>
      <c r="I9" s="38"/>
      <c r="J9" s="38"/>
      <c r="K9" s="38"/>
    </row>
    <row r="10" spans="3:11" ht="12.65" customHeight="1" x14ac:dyDescent="0.35">
      <c r="C10" s="27"/>
      <c r="D10" s="27"/>
      <c r="E10" s="27"/>
      <c r="F10" s="27"/>
      <c r="G10" s="27"/>
      <c r="H10" s="27"/>
      <c r="I10" s="27"/>
      <c r="J10" s="27"/>
      <c r="K10" s="27"/>
    </row>
    <row r="11" spans="3:11" ht="19.75" customHeight="1" x14ac:dyDescent="0.35">
      <c r="C11" s="44" t="s">
        <v>3224</v>
      </c>
      <c r="D11" s="45"/>
      <c r="E11" s="45"/>
      <c r="F11" s="45"/>
      <c r="G11" s="26"/>
      <c r="H11" s="46" t="s">
        <v>3226</v>
      </c>
      <c r="I11" s="47"/>
      <c r="J11" s="47"/>
      <c r="K11" s="47"/>
    </row>
    <row r="20" spans="3:13" ht="40.25" customHeight="1" x14ac:dyDescent="0.35"/>
    <row r="21" spans="3:13" ht="30.65" customHeight="1" x14ac:dyDescent="0.35"/>
    <row r="22" spans="3:13" ht="30" customHeight="1" x14ac:dyDescent="0.35">
      <c r="C22" s="37" t="s">
        <v>3228</v>
      </c>
      <c r="D22" s="38"/>
      <c r="E22" s="38"/>
      <c r="F22" s="38"/>
      <c r="G22" s="38"/>
      <c r="H22" s="38"/>
      <c r="I22" s="38"/>
      <c r="J22" s="38"/>
      <c r="K22" s="38"/>
    </row>
    <row r="23" spans="3:13" ht="15.65" customHeight="1" x14ac:dyDescent="0.35"/>
    <row r="24" spans="3:13" ht="20" customHeight="1" x14ac:dyDescent="0.35">
      <c r="C24" s="36" t="s">
        <v>3229</v>
      </c>
      <c r="D24" s="36"/>
      <c r="E24" s="36"/>
      <c r="F24" s="36"/>
      <c r="H24" s="36" t="s">
        <v>3230</v>
      </c>
      <c r="I24" s="36"/>
      <c r="J24" s="36"/>
      <c r="K24" s="36"/>
    </row>
    <row r="25" spans="3:13" ht="20" customHeight="1" x14ac:dyDescent="0.55000000000000004">
      <c r="L25" s="33"/>
    </row>
    <row r="26" spans="3:13" ht="20" customHeight="1" x14ac:dyDescent="0.35">
      <c r="H26" s="48" t="s">
        <v>3233</v>
      </c>
      <c r="I26" s="48"/>
      <c r="J26" s="48" t="s">
        <v>3163</v>
      </c>
      <c r="K26" s="48" t="s">
        <v>3165</v>
      </c>
    </row>
    <row r="27" spans="3:13" ht="20" customHeight="1" x14ac:dyDescent="0.35">
      <c r="H27" s="48"/>
      <c r="I27" s="48"/>
      <c r="J27" s="48"/>
      <c r="K27" s="48"/>
      <c r="M27" s="32"/>
    </row>
    <row r="28" spans="3:13" ht="20" customHeight="1" x14ac:dyDescent="0.35">
      <c r="H28" s="43" t="str">
        <f>'Pivot Table'!E25</f>
        <v>Lisa Mitchell</v>
      </c>
      <c r="I28" s="43"/>
      <c r="J28" s="39">
        <f>'Pivot Table'!F25</f>
        <v>96.142857142857139</v>
      </c>
      <c r="K28" s="41">
        <f>'Pivot Table'!G25</f>
        <v>1</v>
      </c>
    </row>
    <row r="29" spans="3:13" ht="20" customHeight="1" x14ac:dyDescent="0.35">
      <c r="H29" s="43"/>
      <c r="I29" s="43"/>
      <c r="J29" s="40"/>
      <c r="K29" s="42"/>
    </row>
    <row r="30" spans="3:13" ht="20" customHeight="1" x14ac:dyDescent="0.35">
      <c r="H30" s="43" t="str">
        <f>'Pivot Table'!E26</f>
        <v>Todd Howard</v>
      </c>
      <c r="I30" s="43"/>
      <c r="J30" s="39">
        <f>'Pivot Table'!F26</f>
        <v>95.857142857142861</v>
      </c>
      <c r="K30" s="41">
        <f>'Pivot Table'!G26</f>
        <v>2</v>
      </c>
    </row>
    <row r="31" spans="3:13" ht="20" customHeight="1" x14ac:dyDescent="0.35">
      <c r="H31" s="43"/>
      <c r="I31" s="43"/>
      <c r="J31" s="40"/>
      <c r="K31" s="42"/>
    </row>
    <row r="32" spans="3:13" ht="20" customHeight="1" x14ac:dyDescent="0.35">
      <c r="H32" s="43" t="str">
        <f>'Pivot Table'!E27</f>
        <v>Paula Hernandez</v>
      </c>
      <c r="I32" s="43"/>
      <c r="J32" s="39">
        <f>'Pivot Table'!F27</f>
        <v>95.857142857142861</v>
      </c>
      <c r="K32" s="41">
        <f>'Pivot Table'!G27</f>
        <v>2</v>
      </c>
    </row>
    <row r="33" spans="3:11" ht="34.75" customHeight="1" x14ac:dyDescent="0.35">
      <c r="H33" s="43"/>
      <c r="I33" s="43"/>
      <c r="J33" s="40"/>
      <c r="K33" s="42"/>
    </row>
    <row r="34" spans="3:11" ht="31.25" customHeight="1" x14ac:dyDescent="0.35">
      <c r="H34" s="43" t="str">
        <f>'Pivot Table'!E28</f>
        <v>Mary Arnold</v>
      </c>
      <c r="I34" s="43"/>
      <c r="J34" s="39">
        <f>'Pivot Table'!F28</f>
        <v>95.714285714285708</v>
      </c>
      <c r="K34" s="41">
        <f>'Pivot Table'!G28</f>
        <v>4</v>
      </c>
    </row>
    <row r="35" spans="3:11" ht="12.65" customHeight="1" x14ac:dyDescent="0.35">
      <c r="H35" s="43"/>
      <c r="I35" s="43"/>
      <c r="J35" s="40"/>
      <c r="K35" s="42"/>
    </row>
    <row r="36" spans="3:11" ht="20" customHeight="1" x14ac:dyDescent="0.35">
      <c r="C36" s="36" t="s">
        <v>3232</v>
      </c>
      <c r="D36" s="36"/>
      <c r="E36" s="36"/>
      <c r="F36" s="36"/>
      <c r="H36" s="43" t="str">
        <f>'Pivot Table'!E29</f>
        <v>Paul Shaffer</v>
      </c>
      <c r="I36" s="43"/>
      <c r="J36" s="39">
        <f>'Pivot Table'!F29</f>
        <v>95.714285714285708</v>
      </c>
      <c r="K36" s="41">
        <f>'Pivot Table'!G29</f>
        <v>4</v>
      </c>
    </row>
    <row r="37" spans="3:11" ht="18.649999999999999" customHeight="1" x14ac:dyDescent="0.35">
      <c r="H37" s="43"/>
      <c r="I37" s="43"/>
      <c r="J37" s="40"/>
      <c r="K37" s="42"/>
    </row>
    <row r="38" spans="3:11" ht="19.75" customHeight="1" x14ac:dyDescent="0.35">
      <c r="H38" s="43" t="str">
        <f>'Pivot Table'!E30</f>
        <v>Daniel Lewis</v>
      </c>
      <c r="I38" s="43"/>
      <c r="J38" s="39">
        <f>'Pivot Table'!F30</f>
        <v>95.285714285714292</v>
      </c>
      <c r="K38" s="41">
        <f>'Pivot Table'!G30</f>
        <v>6</v>
      </c>
    </row>
    <row r="39" spans="3:11" ht="19.75" customHeight="1" x14ac:dyDescent="0.35">
      <c r="H39" s="43"/>
      <c r="I39" s="43"/>
      <c r="J39" s="40"/>
      <c r="K39" s="42"/>
    </row>
    <row r="40" spans="3:11" ht="20" customHeight="1" x14ac:dyDescent="0.35">
      <c r="H40" s="43" t="str">
        <f>'Pivot Table'!E31</f>
        <v>Nicholas Clayton</v>
      </c>
      <c r="I40" s="43"/>
      <c r="J40" s="39">
        <f>'Pivot Table'!F31</f>
        <v>95.285714285714292</v>
      </c>
      <c r="K40" s="41">
        <f>'Pivot Table'!G31</f>
        <v>6</v>
      </c>
    </row>
    <row r="41" spans="3:11" ht="20" customHeight="1" x14ac:dyDescent="0.35">
      <c r="H41" s="43"/>
      <c r="I41" s="43"/>
      <c r="J41" s="40"/>
      <c r="K41" s="42"/>
    </row>
    <row r="42" spans="3:11" ht="20" customHeight="1" x14ac:dyDescent="0.35">
      <c r="H42" s="43" t="str">
        <f>'Pivot Table'!E32</f>
        <v>Lance Nelson</v>
      </c>
      <c r="I42" s="43"/>
      <c r="J42" s="39">
        <f>'Pivot Table'!F32</f>
        <v>95.142857142857139</v>
      </c>
      <c r="K42" s="41">
        <f>'Pivot Table'!G32</f>
        <v>8</v>
      </c>
    </row>
    <row r="43" spans="3:11" ht="20" customHeight="1" x14ac:dyDescent="0.35">
      <c r="H43" s="43"/>
      <c r="I43" s="43"/>
      <c r="J43" s="40"/>
      <c r="K43" s="42"/>
    </row>
    <row r="44" spans="3:11" ht="20" customHeight="1" x14ac:dyDescent="0.35">
      <c r="H44" s="43" t="str">
        <f>'Pivot Table'!E33</f>
        <v>Scott Weaver</v>
      </c>
      <c r="I44" s="43"/>
      <c r="J44" s="39">
        <f>'Pivot Table'!F33</f>
        <v>95</v>
      </c>
      <c r="K44" s="41">
        <f>'Pivot Table'!G33</f>
        <v>9</v>
      </c>
    </row>
    <row r="45" spans="3:11" ht="20" customHeight="1" x14ac:dyDescent="0.35">
      <c r="H45" s="43"/>
      <c r="I45" s="43"/>
      <c r="J45" s="40"/>
      <c r="K45" s="42"/>
    </row>
    <row r="46" spans="3:11" ht="20" customHeight="1" x14ac:dyDescent="0.35">
      <c r="H46" s="43" t="str">
        <f>'Pivot Table'!E34</f>
        <v>Kelly Morris</v>
      </c>
      <c r="I46" s="43"/>
      <c r="J46" s="39">
        <f>'Pivot Table'!F34</f>
        <v>95</v>
      </c>
      <c r="K46" s="41">
        <f>'Pivot Table'!G34</f>
        <v>9</v>
      </c>
    </row>
    <row r="47" spans="3:11" ht="20" customHeight="1" x14ac:dyDescent="0.35">
      <c r="H47" s="43"/>
      <c r="I47" s="43"/>
      <c r="J47" s="40"/>
      <c r="K47" s="42"/>
    </row>
    <row r="49" spans="3:11" ht="30" customHeight="1" x14ac:dyDescent="0.35">
      <c r="C49" s="49" t="s">
        <v>3234</v>
      </c>
      <c r="D49" s="49"/>
      <c r="E49" s="49"/>
      <c r="F49" s="49"/>
      <c r="G49" s="49"/>
      <c r="H49" s="49"/>
      <c r="I49" s="49"/>
      <c r="J49" s="49"/>
      <c r="K49" s="49"/>
    </row>
    <row r="51" spans="3:11" ht="20" customHeight="1" x14ac:dyDescent="0.35">
      <c r="C51" s="36" t="s">
        <v>3235</v>
      </c>
      <c r="D51" s="36"/>
      <c r="E51" s="36"/>
      <c r="F51" s="36"/>
      <c r="H51" s="36" t="s">
        <v>3240</v>
      </c>
      <c r="I51" s="36"/>
      <c r="J51" s="36"/>
      <c r="K51" s="36"/>
    </row>
    <row r="52" spans="3:11" ht="20" customHeight="1" x14ac:dyDescent="0.35">
      <c r="D52" s="30"/>
    </row>
    <row r="64" spans="3:11" ht="20" customHeight="1" x14ac:dyDescent="0.35">
      <c r="C64" s="36" t="s">
        <v>3241</v>
      </c>
      <c r="D64" s="36"/>
      <c r="E64" s="36"/>
      <c r="F64" s="36"/>
    </row>
  </sheetData>
  <mergeCells count="44">
    <mergeCell ref="C49:K49"/>
    <mergeCell ref="H44:I45"/>
    <mergeCell ref="J44:J45"/>
    <mergeCell ref="K44:K45"/>
    <mergeCell ref="H46:I47"/>
    <mergeCell ref="J46:J47"/>
    <mergeCell ref="K46:K47"/>
    <mergeCell ref="J40:J41"/>
    <mergeCell ref="K40:K41"/>
    <mergeCell ref="H42:I43"/>
    <mergeCell ref="J42:J43"/>
    <mergeCell ref="K42:K43"/>
    <mergeCell ref="C9:K9"/>
    <mergeCell ref="C11:F11"/>
    <mergeCell ref="H11:K11"/>
    <mergeCell ref="C36:F36"/>
    <mergeCell ref="H26:I27"/>
    <mergeCell ref="H34:I35"/>
    <mergeCell ref="J26:J27"/>
    <mergeCell ref="J34:J35"/>
    <mergeCell ref="K26:K27"/>
    <mergeCell ref="H28:I29"/>
    <mergeCell ref="H30:I31"/>
    <mergeCell ref="H32:I33"/>
    <mergeCell ref="J28:J29"/>
    <mergeCell ref="K28:K29"/>
    <mergeCell ref="J30:J31"/>
    <mergeCell ref="K30:K31"/>
    <mergeCell ref="C51:F51"/>
    <mergeCell ref="H51:K51"/>
    <mergeCell ref="C64:F64"/>
    <mergeCell ref="C22:K22"/>
    <mergeCell ref="C24:F24"/>
    <mergeCell ref="H24:K24"/>
    <mergeCell ref="J32:J33"/>
    <mergeCell ref="K32:K33"/>
    <mergeCell ref="K34:K35"/>
    <mergeCell ref="H36:I37"/>
    <mergeCell ref="J36:J37"/>
    <mergeCell ref="K36:K37"/>
    <mergeCell ref="H38:I39"/>
    <mergeCell ref="J38:J39"/>
    <mergeCell ref="K38:K39"/>
    <mergeCell ref="H40:I41"/>
  </mergeCells>
  <pageMargins left="0.25" right="0.25" top="0.75" bottom="0.75" header="0.3" footer="0.3"/>
  <pageSetup paperSize="3" orientation="landscape"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22E3C-AA60-4879-831D-DCDDBD834E40}">
  <dimension ref="C2:K53"/>
  <sheetViews>
    <sheetView topLeftCell="G1" zoomScale="96" zoomScaleNormal="96" workbookViewId="0">
      <selection activeCell="K3" sqref="K3"/>
    </sheetView>
  </sheetViews>
  <sheetFormatPr defaultRowHeight="14.5" x14ac:dyDescent="0.35"/>
  <cols>
    <col min="3" max="3" width="25.81640625" customWidth="1"/>
    <col min="4" max="4" width="16.1796875" customWidth="1"/>
    <col min="6" max="6" width="11.08984375" customWidth="1"/>
    <col min="7" max="7" width="17.6328125" customWidth="1"/>
    <col min="10" max="10" width="30.08984375" bestFit="1" customWidth="1"/>
    <col min="11" max="11" width="16.81640625" customWidth="1"/>
  </cols>
  <sheetData>
    <row r="2" spans="3:11" ht="15.5" x14ac:dyDescent="0.35">
      <c r="C2" s="51" t="s">
        <v>3193</v>
      </c>
      <c r="D2" s="51"/>
      <c r="J2" s="52" t="s">
        <v>3248</v>
      </c>
      <c r="K2" s="52"/>
    </row>
    <row r="3" spans="3:11" ht="15.5" x14ac:dyDescent="0.35">
      <c r="C3" s="21" t="s">
        <v>3146</v>
      </c>
      <c r="D3" s="22" t="s">
        <v>3147</v>
      </c>
      <c r="F3" s="4" t="s">
        <v>3148</v>
      </c>
      <c r="G3" s="5" t="s">
        <v>3149</v>
      </c>
      <c r="J3" s="34" t="s">
        <v>3249</v>
      </c>
      <c r="K3" s="35">
        <f ca="1">COUNTBLANK(Table1[])</f>
        <v>0</v>
      </c>
    </row>
    <row r="4" spans="3:11" ht="15.5" x14ac:dyDescent="0.35">
      <c r="C4" s="10" t="s">
        <v>3145</v>
      </c>
      <c r="D4" s="23">
        <f>TYPE(Data!A2)</f>
        <v>1</v>
      </c>
      <c r="F4" s="6">
        <v>1</v>
      </c>
      <c r="G4" s="7" t="s">
        <v>3150</v>
      </c>
      <c r="J4" s="1"/>
    </row>
    <row r="5" spans="3:11" ht="15.5" x14ac:dyDescent="0.35">
      <c r="C5" s="10" t="s">
        <v>3129</v>
      </c>
      <c r="D5" s="23">
        <f>TYPE(Data!B2)</f>
        <v>2</v>
      </c>
      <c r="F5" s="6">
        <v>2</v>
      </c>
      <c r="G5" s="7" t="s">
        <v>3151</v>
      </c>
      <c r="J5" s="1"/>
    </row>
    <row r="6" spans="3:11" ht="15.5" x14ac:dyDescent="0.35">
      <c r="C6" s="10" t="s">
        <v>3130</v>
      </c>
      <c r="D6" s="23">
        <f>TYPE(Data!C2)</f>
        <v>2</v>
      </c>
      <c r="F6" s="6">
        <v>4</v>
      </c>
      <c r="G6" s="7" t="s">
        <v>3152</v>
      </c>
      <c r="J6" s="1"/>
    </row>
    <row r="7" spans="3:11" ht="15.5" x14ac:dyDescent="0.35">
      <c r="C7" s="10" t="s">
        <v>3131</v>
      </c>
      <c r="D7" s="23">
        <f>TYPE(Data!E2)</f>
        <v>2</v>
      </c>
      <c r="F7" s="8">
        <v>64</v>
      </c>
      <c r="G7" s="9" t="s">
        <v>3153</v>
      </c>
      <c r="J7" s="1"/>
    </row>
    <row r="8" spans="3:11" ht="15.5" x14ac:dyDescent="0.35">
      <c r="C8" s="10" t="s">
        <v>3132</v>
      </c>
      <c r="D8" s="23">
        <f>TYPE(Data!F2)</f>
        <v>2</v>
      </c>
      <c r="J8" s="1"/>
    </row>
    <row r="9" spans="3:11" ht="15.5" x14ac:dyDescent="0.35">
      <c r="C9" s="10" t="s">
        <v>3133</v>
      </c>
      <c r="D9" s="23">
        <f ca="1">TYPE(Data!G2)</f>
        <v>2</v>
      </c>
      <c r="J9" s="1"/>
    </row>
    <row r="10" spans="3:11" ht="15.5" x14ac:dyDescent="0.35">
      <c r="C10" s="10" t="s">
        <v>3134</v>
      </c>
      <c r="D10" s="23">
        <f>TYPE(Data!H2)</f>
        <v>1</v>
      </c>
      <c r="J10" s="1"/>
    </row>
    <row r="11" spans="3:11" ht="15.5" x14ac:dyDescent="0.35">
      <c r="C11" s="10" t="s">
        <v>3135</v>
      </c>
      <c r="D11" s="23">
        <f ca="1">TYPE(Data!I2)</f>
        <v>2</v>
      </c>
      <c r="J11" s="1"/>
    </row>
    <row r="12" spans="3:11" ht="15.5" x14ac:dyDescent="0.35">
      <c r="C12" s="10" t="s">
        <v>3136</v>
      </c>
      <c r="D12" s="23">
        <f>TYPE(Data!J2)</f>
        <v>1</v>
      </c>
      <c r="J12" s="1"/>
    </row>
    <row r="13" spans="3:11" ht="15.5" x14ac:dyDescent="0.35">
      <c r="C13" s="10" t="s">
        <v>3137</v>
      </c>
      <c r="D13" s="23">
        <f>TYPE(Data!K2)</f>
        <v>2</v>
      </c>
      <c r="J13" s="1"/>
    </row>
    <row r="14" spans="3:11" ht="15.5" x14ac:dyDescent="0.35">
      <c r="C14" s="10" t="s">
        <v>3138</v>
      </c>
      <c r="D14" s="23">
        <f>TYPE(Data!L2)</f>
        <v>1</v>
      </c>
      <c r="J14" s="1"/>
    </row>
    <row r="15" spans="3:11" ht="15.5" x14ac:dyDescent="0.35">
      <c r="C15" s="10" t="s">
        <v>3139</v>
      </c>
      <c r="D15" s="23">
        <f>TYPE(Data!N2)</f>
        <v>1</v>
      </c>
      <c r="J15" s="1"/>
    </row>
    <row r="16" spans="3:11" ht="15.5" x14ac:dyDescent="0.35">
      <c r="C16" s="10" t="s">
        <v>3140</v>
      </c>
      <c r="D16" s="23">
        <f>TYPE(Data!P2)</f>
        <v>1</v>
      </c>
      <c r="J16" s="1"/>
    </row>
    <row r="17" spans="3:10" ht="15.5" x14ac:dyDescent="0.35">
      <c r="C17" s="10" t="s">
        <v>3141</v>
      </c>
      <c r="D17" s="23">
        <f>TYPE(Data!R2)</f>
        <v>1</v>
      </c>
      <c r="J17" s="1"/>
    </row>
    <row r="18" spans="3:10" ht="15.5" x14ac:dyDescent="0.35">
      <c r="C18" s="10" t="s">
        <v>3142</v>
      </c>
      <c r="D18" s="23">
        <f>TYPE(Data!T2)</f>
        <v>1</v>
      </c>
      <c r="J18" s="1"/>
    </row>
    <row r="19" spans="3:10" ht="15.5" x14ac:dyDescent="0.35">
      <c r="C19" s="10" t="s">
        <v>3143</v>
      </c>
      <c r="D19" s="23">
        <f>TYPE(Data!V2)</f>
        <v>1</v>
      </c>
      <c r="J19" s="1"/>
    </row>
    <row r="20" spans="3:10" ht="15.5" x14ac:dyDescent="0.35">
      <c r="C20" s="11" t="s">
        <v>3144</v>
      </c>
      <c r="D20" s="24">
        <f>TYPE(Data!X2)</f>
        <v>1</v>
      </c>
    </row>
    <row r="22" spans="3:10" ht="18.5" x14ac:dyDescent="0.45">
      <c r="C22" s="50" t="s">
        <v>3192</v>
      </c>
      <c r="D22" s="50"/>
    </row>
    <row r="23" spans="3:10" ht="15.5" x14ac:dyDescent="0.35">
      <c r="C23" s="19" t="s">
        <v>3146</v>
      </c>
      <c r="D23" s="20" t="s">
        <v>3147</v>
      </c>
      <c r="F23" s="19" t="s">
        <v>3148</v>
      </c>
      <c r="G23" s="20" t="s">
        <v>3149</v>
      </c>
    </row>
    <row r="24" spans="3:10" ht="15.5" x14ac:dyDescent="0.35">
      <c r="C24" s="1" t="s">
        <v>3145</v>
      </c>
      <c r="D24" s="7">
        <f>TYPE(Data!A2)</f>
        <v>1</v>
      </c>
      <c r="F24" s="6">
        <v>1</v>
      </c>
      <c r="G24" s="7" t="s">
        <v>3150</v>
      </c>
    </row>
    <row r="25" spans="3:10" ht="15.5" x14ac:dyDescent="0.35">
      <c r="C25" s="15" t="s">
        <v>3129</v>
      </c>
      <c r="D25" s="7">
        <f>TYPE(Data!B2)</f>
        <v>2</v>
      </c>
      <c r="F25" s="6">
        <v>2</v>
      </c>
      <c r="G25" s="7" t="s">
        <v>3151</v>
      </c>
    </row>
    <row r="26" spans="3:10" ht="15.5" x14ac:dyDescent="0.35">
      <c r="C26" s="14" t="s">
        <v>3130</v>
      </c>
      <c r="D26" s="7">
        <f>TYPE(Data!C2)</f>
        <v>2</v>
      </c>
      <c r="F26" s="6">
        <v>4</v>
      </c>
      <c r="G26" s="7" t="s">
        <v>3152</v>
      </c>
    </row>
    <row r="27" spans="3:10" ht="15.5" x14ac:dyDescent="0.35">
      <c r="C27" s="14" t="s">
        <v>3154</v>
      </c>
      <c r="D27" s="7">
        <f>TYPE(Data!D2)</f>
        <v>2</v>
      </c>
      <c r="F27" s="8">
        <v>64</v>
      </c>
      <c r="G27" s="9" t="s">
        <v>3153</v>
      </c>
    </row>
    <row r="28" spans="3:10" ht="15.5" x14ac:dyDescent="0.35">
      <c r="C28" s="1" t="s">
        <v>3131</v>
      </c>
      <c r="D28" s="7">
        <f>TYPE(Data!E2)</f>
        <v>2</v>
      </c>
    </row>
    <row r="29" spans="3:10" ht="15.5" x14ac:dyDescent="0.35">
      <c r="C29" s="1" t="s">
        <v>3132</v>
      </c>
      <c r="D29" s="7">
        <f>TYPE(Data!F2)</f>
        <v>2</v>
      </c>
    </row>
    <row r="30" spans="3:10" ht="15.5" x14ac:dyDescent="0.35">
      <c r="C30" s="14" t="s">
        <v>3133</v>
      </c>
      <c r="D30" s="7">
        <f ca="1">TYPE(Data!G2)</f>
        <v>2</v>
      </c>
    </row>
    <row r="31" spans="3:10" ht="15.5" x14ac:dyDescent="0.35">
      <c r="C31" s="16" t="s">
        <v>3134</v>
      </c>
      <c r="D31" s="7">
        <f>TYPE(Data!H2)</f>
        <v>1</v>
      </c>
    </row>
    <row r="32" spans="3:10" ht="15.5" x14ac:dyDescent="0.35">
      <c r="C32" s="14" t="s">
        <v>3135</v>
      </c>
      <c r="D32" s="7">
        <f ca="1">TYPE(Data!I2)</f>
        <v>2</v>
      </c>
    </row>
    <row r="33" spans="3:4" ht="15.5" x14ac:dyDescent="0.35">
      <c r="C33" s="14" t="s">
        <v>3136</v>
      </c>
      <c r="D33" s="7">
        <f>TYPE(Data!J2)</f>
        <v>1</v>
      </c>
    </row>
    <row r="34" spans="3:4" ht="15.5" x14ac:dyDescent="0.35">
      <c r="C34" s="14" t="s">
        <v>3137</v>
      </c>
      <c r="D34" s="7">
        <f>TYPE(Data!K2)</f>
        <v>2</v>
      </c>
    </row>
    <row r="35" spans="3:4" ht="15.5" x14ac:dyDescent="0.35">
      <c r="C35" s="14" t="s">
        <v>3138</v>
      </c>
      <c r="D35" s="7">
        <f>TYPE(Data!L2)</f>
        <v>1</v>
      </c>
    </row>
    <row r="36" spans="3:4" ht="15.5" x14ac:dyDescent="0.35">
      <c r="C36" s="17" t="s">
        <v>3155</v>
      </c>
      <c r="D36" s="7">
        <f>TYPE(Data!M2)</f>
        <v>2</v>
      </c>
    </row>
    <row r="37" spans="3:4" ht="15.5" x14ac:dyDescent="0.35">
      <c r="C37" s="14" t="s">
        <v>3139</v>
      </c>
      <c r="D37" s="7">
        <f>TYPE(Data!N2)</f>
        <v>1</v>
      </c>
    </row>
    <row r="38" spans="3:4" ht="15.5" x14ac:dyDescent="0.35">
      <c r="C38" s="14" t="s">
        <v>3156</v>
      </c>
      <c r="D38" s="7">
        <f>TYPE(Data!O2)</f>
        <v>2</v>
      </c>
    </row>
    <row r="39" spans="3:4" ht="15.5" x14ac:dyDescent="0.35">
      <c r="C39" s="14" t="s">
        <v>3140</v>
      </c>
      <c r="D39" s="7">
        <f>TYPE(Data!P2)</f>
        <v>1</v>
      </c>
    </row>
    <row r="40" spans="3:4" ht="15.5" x14ac:dyDescent="0.35">
      <c r="C40" s="14" t="s">
        <v>3157</v>
      </c>
      <c r="D40" s="7">
        <f>TYPE(Data!Q2)</f>
        <v>2</v>
      </c>
    </row>
    <row r="41" spans="3:4" ht="15.5" x14ac:dyDescent="0.35">
      <c r="C41" s="14" t="s">
        <v>3141</v>
      </c>
      <c r="D41" s="7"/>
    </row>
    <row r="42" spans="3:4" ht="15.5" x14ac:dyDescent="0.35">
      <c r="C42" s="14" t="s">
        <v>3161</v>
      </c>
      <c r="D42" s="7"/>
    </row>
    <row r="43" spans="3:4" ht="15.5" x14ac:dyDescent="0.35">
      <c r="C43" s="14" t="s">
        <v>3142</v>
      </c>
      <c r="D43" s="7"/>
    </row>
    <row r="44" spans="3:4" ht="15.5" x14ac:dyDescent="0.35">
      <c r="C44" s="14" t="s">
        <v>3158</v>
      </c>
      <c r="D44" s="7"/>
    </row>
    <row r="45" spans="3:4" ht="15.5" x14ac:dyDescent="0.35">
      <c r="C45" s="14" t="s">
        <v>3143</v>
      </c>
      <c r="D45" s="7"/>
    </row>
    <row r="46" spans="3:4" ht="15.5" x14ac:dyDescent="0.35">
      <c r="C46" s="14" t="s">
        <v>3159</v>
      </c>
      <c r="D46" s="7"/>
    </row>
    <row r="47" spans="3:4" ht="15.5" x14ac:dyDescent="0.35">
      <c r="C47" s="14" t="s">
        <v>3144</v>
      </c>
      <c r="D47" s="7"/>
    </row>
    <row r="48" spans="3:4" ht="15.5" x14ac:dyDescent="0.35">
      <c r="C48" s="18" t="s">
        <v>3160</v>
      </c>
      <c r="D48" s="7"/>
    </row>
    <row r="49" spans="3:4" ht="15.5" x14ac:dyDescent="0.35">
      <c r="C49" s="14" t="s">
        <v>3162</v>
      </c>
      <c r="D49" s="7"/>
    </row>
    <row r="50" spans="3:4" ht="15.5" x14ac:dyDescent="0.35">
      <c r="C50" s="14" t="s">
        <v>3163</v>
      </c>
      <c r="D50" s="7"/>
    </row>
    <row r="51" spans="3:4" ht="15.5" x14ac:dyDescent="0.35">
      <c r="C51" s="14" t="s">
        <v>3164</v>
      </c>
      <c r="D51" s="7"/>
    </row>
    <row r="52" spans="3:4" ht="15.5" x14ac:dyDescent="0.35">
      <c r="C52" s="1" t="s">
        <v>3165</v>
      </c>
      <c r="D52" s="7"/>
    </row>
    <row r="53" spans="3:4" ht="15.5" x14ac:dyDescent="0.35">
      <c r="C53" s="14" t="s">
        <v>3194</v>
      </c>
      <c r="D53" s="7"/>
    </row>
  </sheetData>
  <mergeCells count="3">
    <mergeCell ref="C22:D22"/>
    <mergeCell ref="C2:D2"/>
    <mergeCell ref="J2:K2"/>
  </mergeCells>
  <conditionalFormatting sqref="C7">
    <cfRule type="duplicateValues" dxfId="2" priority="4"/>
  </conditionalFormatting>
  <conditionalFormatting sqref="C28">
    <cfRule type="duplicateValues" dxfId="1" priority="2"/>
  </conditionalFormatting>
  <conditionalFormatting sqref="J6">
    <cfRule type="duplicateValues" dxfId="0" priority="1"/>
  </conditionalFormatting>
  <pageMargins left="0.7" right="0.7" top="0.75" bottom="0.75" header="0.3" footer="0.3"/>
  <tableParts count="4">
    <tablePart r:id="rId1"/>
    <tablePart r:id="rId2"/>
    <tablePart r:id="rId3"/>
    <tablePart r:id="rId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Pivot Table</vt:lpstr>
      <vt:lpstr>Dashboard</vt:lpstr>
      <vt:lpstr>Data Info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LIM YONG KANG</dc:creator>
  <cp:lastModifiedBy>LIM YONG KANG</cp:lastModifiedBy>
  <cp:lastPrinted>2026-04-10T08:06:55Z</cp:lastPrinted>
  <dcterms:created xsi:type="dcterms:W3CDTF">2023-08-14T19:46:51Z</dcterms:created>
  <dcterms:modified xsi:type="dcterms:W3CDTF">2026-04-14T01:07:30Z</dcterms:modified>
</cp:coreProperties>
</file>